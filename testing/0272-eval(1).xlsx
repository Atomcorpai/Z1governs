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Summary" sheetId="2" r:id="rId5"/>
    <sheet state="visible" name="Model -&gt;" sheetId="3" r:id="rId6"/>
    <sheet state="visible" name="Income Statement" sheetId="4" r:id="rId7"/>
    <sheet state="visible" name="Calculations -&gt;" sheetId="5" r:id="rId8"/>
    <sheet state="visible" name="Revenue_Calcs" sheetId="6" r:id="rId9"/>
    <sheet state="visible" name="COGS_Calcs" sheetId="7" r:id="rId10"/>
    <sheet state="visible" name="Opex_Calcs" sheetId="8" r:id="rId11"/>
    <sheet state="visible" name="Bookings to Revenue_Calcs" sheetId="9" r:id="rId12"/>
    <sheet state="visible" name="Assumptions -&gt;" sheetId="10" r:id="rId13"/>
    <sheet state="visible" name="Revenue_Assumptions" sheetId="11" r:id="rId14"/>
    <sheet state="visible" name="COGS_Assumptions" sheetId="12" r:id="rId15"/>
    <sheet state="visible" name="Opex_Assumptions" sheetId="13" r:id="rId16"/>
    <sheet state="visible" name="Sheet1" sheetId="14" r:id="rId17"/>
  </sheets>
  <definedNames>
    <definedName name="_____________________MHA1">{"rtn",#N/A,FALSE,"RTN";"tables",#N/A,FALSE,"RTN";"cf",#N/A,FALSE,"CF";"stats",#N/A,FALSE,"Stats";"prop",#N/A,FALSE,"Prop"}</definedName>
    <definedName name="_____________________T123456">{"COUNT",#N/A,FALSE,"AB"}</definedName>
    <definedName name="_____________________T12347">{"COUNT",#N/A,FALSE,"AB"}</definedName>
    <definedName name="__________________T123456">{"COUNT",#N/A,FALSE,"AB"}</definedName>
    <definedName name="__________________T12347">{"COUNT",#N/A,FALSE,"AB"}</definedName>
    <definedName name="________________MHA1">{"rtn",#N/A,FALSE,"RTN";"tables",#N/A,FALSE,"RTN";"cf",#N/A,FALSE,"CF";"stats",#N/A,FALSE,"Stats";"prop",#N/A,FALSE,"Prop"}</definedName>
    <definedName name="______________T123456">{"COUNT",#N/A,FALSE,"AB"}</definedName>
    <definedName name="______________T12347">{"COUNT",#N/A,FALSE,"AB"}</definedName>
    <definedName name="_____________MHA1">{"rtn",#N/A,FALSE,"RTN";"tables",#N/A,FALSE,"RTN";"cf",#N/A,FALSE,"CF";"stats",#N/A,FALSE,"Stats";"prop",#N/A,FALSE,"Prop"}</definedName>
    <definedName name="___________MHA1">{"rtn",#N/A,FALSE,"RTN";"tables",#N/A,FALSE,"RTN";"cf",#N/A,FALSE,"CF";"stats",#N/A,FALSE,"Stats";"prop",#N/A,FALSE,"Prop"}</definedName>
    <definedName name="__________MHA1">{"rtn",#N/A,FALSE,"RTN";"tables",#N/A,FALSE,"RTN";"cf",#N/A,FALSE,"CF";"stats",#N/A,FALSE,"Stats";"prop",#N/A,FALSE,"Prop"}</definedName>
    <definedName name="_________MHA1">{"rtn",#N/A,FALSE,"RTN";"tables",#N/A,FALSE,"RTN";"cf",#N/A,FALSE,"CF";"stats",#N/A,FALSE,"Stats";"prop",#N/A,FALSE,"Prop"}</definedName>
    <definedName name="_________MHA1_1">{"rtn",#N/A,FALSE,"RTN";"tables",#N/A,FALSE,"RTN";"cf",#N/A,FALSE,"CF";"stats",#N/A,FALSE,"Stats";"prop",#N/A,FALSE,"Prop"}</definedName>
    <definedName name="________MHA1">{"rtn",#N/A,FALSE,"RTN";"tables",#N/A,FALSE,"RTN";"cf",#N/A,FALSE,"CF";"stats",#N/A,FALSE,"Stats";"prop",#N/A,FALSE,"Prop"}</definedName>
    <definedName name="________MHA1_1">{"rtn",#N/A,FALSE,"RTN";"tables",#N/A,FALSE,"RTN";"cf",#N/A,FALSE,"CF";"stats",#N/A,FALSE,"Stats";"prop",#N/A,FALSE,"Prop"}</definedName>
    <definedName name="_______MHA1">{"rtn",#N/A,FALSE,"RTN";"tables",#N/A,FALSE,"RTN";"cf",#N/A,FALSE,"CF";"stats",#N/A,FALSE,"Stats";"prop",#N/A,FALSE,"Prop"}</definedName>
    <definedName name="_______MHA1_1">{"rtn",#N/A,FALSE,"RTN";"tables",#N/A,FALSE,"RTN";"cf",#N/A,FALSE,"CF";"stats",#N/A,FALSE,"Stats";"prop",#N/A,FALSE,"Prop"}</definedName>
    <definedName name="_______T123456">{"COUNT",#N/A,FALSE,"AB"}</definedName>
    <definedName name="_______T12347">{"COUNT",#N/A,FALSE,"AB"}</definedName>
    <definedName name="______key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_MHA1">{"rtn",#N/A,FALSE,"RTN";"tables",#N/A,FALSE,"RTN";"cf",#N/A,FALSE,"CF";"stats",#N/A,FALSE,"Stats";"prop",#N/A,FALSE,"Prop"}</definedName>
    <definedName name="______MHA1_1">{"rtn",#N/A,FALSE,"RTN";"tables",#N/A,FALSE,"RTN";"cf",#N/A,FALSE,"CF";"stats",#N/A,FALSE,"Stats";"prop",#N/A,FALSE,"Prop"}</definedName>
    <definedName name="_____age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dfk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djd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dkj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key4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MHA1">{"rtn",#N/A,FALSE,"RTN";"tables",#N/A,FALSE,"RTN";"cf",#N/A,FALSE,"CF";"stats",#N/A,FALSE,"Stats";"prop",#N/A,FALSE,"Prop"}</definedName>
    <definedName name="_____MHA1_1">{"rtn",#N/A,FALSE,"RTN";"tables",#N/A,FALSE,"RTN";"cf",#N/A,FALSE,"CF";"stats",#N/A,FALSE,"Stats";"prop",#N/A,FALSE,"Prop"}</definedName>
    <definedName name="_____New2">{"TOTAL",#N/A,FALSE,"A";"FISCAL94",#N/A,FALSE,"A";"FISCAL95",#N/A,FALSE,"A";"FISCAL96",#N/A,FALSE,"A";"misc page",#N/A,FALSE,"A"}</definedName>
    <definedName name="_____o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R">{#N/A,#N/A,FALSE,"Minors";#N/A,#N/A,FALSE,"96CAPREV"}</definedName>
    <definedName name="_____T123456">{"COUNT",#N/A,FALSE,"AB"}</definedName>
    <definedName name="_____T12347">{"COUNT",#N/A,FALSE,"AB"}</definedName>
    <definedName name="____age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CF2">{#N/A,#N/A,TRUE,"DCF Summary (2)";#N/A,#N/A,TRUE,"DCF Summary";#N/A,"Middle Case Drivers",TRUE,"DCF"}</definedName>
    <definedName name="____dfk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JLC1">{#N/A,#N/A,TRUE,"97plnfpg"}</definedName>
    <definedName name="____JLC3">{#N/A,#N/A,FALSE,"J97plnfp"}</definedName>
    <definedName name="____key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MHA1">{"rtn",#N/A,FALSE,"RTN";"tables",#N/A,FALSE,"RTN";"cf",#N/A,FALSE,"CF";"stats",#N/A,FALSE,"Stats";"prop",#N/A,FALSE,"Prop"}</definedName>
    <definedName name="____MHA1_1">{"rtn",#N/A,FALSE,"RTN";"tables",#N/A,FALSE,"RTN";"cf",#N/A,FALSE,"CF";"stats",#N/A,FALSE,"Stats";"prop",#N/A,FALSE,"Prop"}</definedName>
    <definedName name="____New2">{"TOTAL",#N/A,FALSE,"A";"FISCAL94",#N/A,FALSE,"A";"FISCAL95",#N/A,FALSE,"A";"FISCAL96",#N/A,FALSE,"A";"misc page",#N/A,FALSE,"A"}</definedName>
    <definedName name="____o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R">{#N/A,#N/A,FALSE,"Minors";#N/A,#N/A,FALSE,"96CAPREV"}</definedName>
    <definedName name="____T123456">{"COUNT",#N/A,FALSE,"AB"}</definedName>
    <definedName name="____T12347">{"COUNT",#N/A,FALSE,"AB"}</definedName>
    <definedName name="____wrn2">{#N/A,#N/A,FALSE,"ASSUMPTIONS";#N/A,#N/A,FALSE,"Valuation Summary";"page1",#N/A,FALSE,"PRESENTATION";"page2",#N/A,FALSE,"PRESENTATION";#N/A,#N/A,FALSE,"ORIGINAL_ROLLBACK"}</definedName>
    <definedName name="____wrn3">{#N/A,#N/A,FALSE,"ASSUMPTIONS";#N/A,#N/A,FALSE,"Valuation Summary";"page1",#N/A,FALSE,"PRESENTATION";"page2",#N/A,FALSE,"PRESENTATION";#N/A,#N/A,FALSE,"ORIGINAL_ROLLBACK"}</definedName>
    <definedName name="___aaa1">{#N/A,#N/A,FALSE,"Model";#N/A,#N/A,FALSE,"Division"}</definedName>
    <definedName name="___age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c">{#N/A,#N/A,FALSE,"Layout Cash Flow"}</definedName>
    <definedName name="___D33">{"Olk by Qtr Full",#N/A,FALSE,"Tot PalmPalm";"Olk by Qtr Full",#N/A,FALSE,"Tot Device";"Olk by Qtr Full",#N/A,FALSE,"Platform";"Olk by Qtr Full",#N/A,FALSE,"Palm.Net";"Olk by Qtr Full",#N/A,FALSE,"Elim"}</definedName>
    <definedName name="___DCF2">{#N/A,#N/A,TRUE,"DCF Summary (2)";#N/A,#N/A,TRUE,"DCF Summary";#N/A,"Middle Case Drivers",TRUE,"DCF"}</definedName>
    <definedName name="___dfk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jd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kj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fy97">{#N/A,#N/A,FALSE,"FY97";#N/A,#N/A,FALSE,"FY98";#N/A,#N/A,FALSE,"FY99";#N/A,#N/A,FALSE,"FY00";#N/A,#N/A,FALSE,"FY01"}</definedName>
    <definedName name="___key4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MHA1">{"rtn",#N/A,FALSE,"RTN";"tables",#N/A,FALSE,"RTN";"cf",#N/A,FALSE,"CF";"stats",#N/A,FALSE,"Stats";"prop",#N/A,FALSE,"Prop"}</definedName>
    <definedName name="___MHA1_1">{"rtn",#N/A,FALSE,"RTN";"tables",#N/A,FALSE,"RTN";"cf",#N/A,FALSE,"CF";"stats",#N/A,FALSE,"Stats";"prop",#N/A,FALSE,"Prop"}</definedName>
    <definedName name="___New2">{"TOTAL",#N/A,FALSE,"A";"FISCAL94",#N/A,FALSE,"A";"FISCAL95",#N/A,FALSE,"A";"FISCAL96",#N/A,FALSE,"A";"misc page",#N/A,FALSE,"A"}</definedName>
    <definedName name="___o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r">{"consolidated",#N/A,FALSE,"Sheet1";"cms",#N/A,FALSE,"Sheet1";"fse",#N/A,FALSE,"Sheet1"}</definedName>
    <definedName name="___t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12347">{"COUNT",#N/A,FALSE,"AB"}</definedName>
    <definedName name="___t2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3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4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5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wrn1">{#N/A,#N/A,FALSE,"DCF";#N/A,#N/A,FALSE,"WACC";#N/A,#N/A,FALSE,"Sales_EBIT";#N/A,#N/A,FALSE,"Capex_Depreciation";#N/A,#N/A,FALSE,"WC";#N/A,#N/A,FALSE,"Interest";#N/A,#N/A,FALSE,"Assumptions"}</definedName>
    <definedName name="__a1">{#N/A,#N/A,FALSE,"Pharm";#N/A,#N/A,FALSE,"WWCM"}</definedName>
    <definedName name="__A11">{#N/A,#N/A,FALSE,"Umsatz 99";#N/A,#N/A,FALSE,"ER 99 "}</definedName>
    <definedName name="__aaa1">{#N/A,#N/A,FALSE,"REPORT"}</definedName>
    <definedName name="__aas1">{#N/A,#N/A,FALSE,"REPORT"}</definedName>
    <definedName name="__ACS2000">{#N/A,#N/A,FALSE,"REPORT"}</definedName>
    <definedName name="__age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APW_RESTORE_DATA104__">#REF!,#REF!,#REF!,#REF!,#REF!,#REF!,#REF!,#REF!,#REF!,#REF!</definedName>
    <definedName name="__APW_RESTORE_DATA105__">#REF!,#REF!,#REF!,#REF!,#REF!,#REF!,#REF!,#REF!,#REF!,#REF!</definedName>
    <definedName name="__APW_RESTORE_DATA106__">#REF!,#REF!,#REF!,#REF!,#REF!,#REF!,#REF!,#REF!,#REF!,#REF!</definedName>
    <definedName name="__APW_RESTORE_DATA107__">#REF!,#REF!,#REF!,#REF!,#REF!,#REF!,#REF!,#REF!,#REF!,#REF!</definedName>
    <definedName name="__b111">{#N/A,#N/A,FALSE,"Pharm";#N/A,#N/A,FALSE,"WWCM"}</definedName>
    <definedName name="__c">{"Fiesta Facer Page",#N/A,FALSE,"Q_C_S";"Fiesta Main Page",#N/A,FALSE,"V_L";"Fiesta 95BP Struct",#N/A,FALSE,"StructBP";"Fiesta Post 95BP Struct",#N/A,FALSE,"AdjStructBP"}</definedName>
    <definedName name="__DCF2">{#N/A,#N/A,TRUE,"DCF Summary (2)";#N/A,#N/A,TRUE,"DCF Summary";#N/A,"Middle Case Drivers",TRUE,"DCF"}</definedName>
    <definedName name="__dff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fk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jd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kj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fdf1">{"incomemth",#N/A,TRUE,"forecast00";"incomepercentmth",#N/A,TRUE,"forecast00";"balancemth",#N/A,TRUE,"forecast00";"cashmth",#N/A,TRUE,"forecast00";"covenantmth",#N/A,TRUE,"forecast00"}</definedName>
    <definedName name="__fdg1">{"incomemth",#N/A,TRUE,"forecast00";"incomepercentmth",#N/A,TRUE,"forecast00";"balancemth",#N/A,TRUE,"forecast00";"cashmth",#N/A,TRUE,"forecast00";"covenantmth",#N/A,TRUE,"forecast00"}</definedName>
    <definedName name="__FDS_HYPERLINK_TOGGLE_STATE__">"ON"</definedName>
    <definedName name="__fds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y97">{#N/A,#N/A,FALSE,"FY97";#N/A,#N/A,FALSE,"FY98";#N/A,#N/A,FALSE,"FY99";#N/A,#N/A,FALSE,"FY00";#N/A,#N/A,FALSE,"FY01"}</definedName>
    <definedName name="__gf1">{"incomemth",#N/A,TRUE,"forecast00";"incomepercentmth",#N/A,TRUE,"forecast00";"balancemth",#N/A,TRUE,"forecast00";"cashmth",#N/A,TRUE,"forecast00";"covenantmth",#N/A,TRUE,"forecast00"}</definedName>
    <definedName name="__JLC1">{#N/A,#N/A,TRUE,"97plnfpg"}</definedName>
    <definedName name="__JLC3">{#N/A,#N/A,FALSE,"J97plnfp"}</definedName>
    <definedName name="__key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key4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MHA1">{"rtn",#N/A,FALSE,"RTN";"tables",#N/A,FALSE,"RTN";"cf",#N/A,FALSE,"CF";"stats",#N/A,FALSE,"Stats";"prop",#N/A,FALSE,"Prop"}</definedName>
    <definedName name="__MHA1_1">{"rtn",#N/A,FALSE,"RTN";"tables",#N/A,FALSE,"RTN";"cf",#N/A,FALSE,"CF";"stats",#N/A,FALSE,"Stats";"prop",#N/A,FALSE,"Prop"}</definedName>
    <definedName name="__na2">"100"</definedName>
    <definedName name="__na3">"50"</definedName>
    <definedName name="__na4">"IQ_LTM_DATE"</definedName>
    <definedName name="__new1">{#N/A,#N/A,FALSE,"Pharm";#N/A,#N/A,FALSE,"WWCM"}</definedName>
    <definedName name="__New2">{"TOTAL",#N/A,FALSE,"A";"FISCAL94",#N/A,FALSE,"A";"FISCAL95",#N/A,FALSE,"A";"FISCAL96",#N/A,FALSE,"A";"misc page",#N/A,FALSE,"A"}</definedName>
    <definedName name="__o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PRN2">{"adj95mult",#N/A,FALSE,"COMPCO";"adj95est",#N/A,FALSE,"COMPCO"}</definedName>
    <definedName name="__r">{#N/A,#N/A,FALSE,"Pharm";#N/A,#N/A,FALSE,"WWCM"}</definedName>
    <definedName name="__T123456">{"COUNT",#N/A,FALSE,"AB"}</definedName>
    <definedName name="__T12347">{"COUNT",#N/A,FALSE,"AB"}</definedName>
    <definedName name="__tm1">{#N/A,#N/A,FALSE,"Pharm";#N/A,#N/A,FALSE,"WWCM"}</definedName>
    <definedName name="__wrn1">{#N/A,#N/A,FALSE,"DCF";#N/A,#N/A,FALSE,"WACC";#N/A,#N/A,FALSE,"Sales_EBIT";#N/A,#N/A,FALSE,"Capex_Depreciation";#N/A,#N/A,FALSE,"WC";#N/A,#N/A,FALSE,"Interest";#N/A,#N/A,FALSE,"Assumptions"}</definedName>
    <definedName name="__wrn2">{#N/A,#N/A,FALSE,"ASSUMPTIONS";#N/A,#N/A,FALSE,"Valuation Summary";"page1",#N/A,FALSE,"PRESENTATION";"page2",#N/A,FALSE,"PRESENTATION";#N/A,#N/A,FALSE,"ORIGINAL_ROLLBACK"}</definedName>
    <definedName name="__wrn3">{#N/A,#N/A,FALSE,"ASSUMPTIONS";#N/A,#N/A,FALSE,"Valuation Summary";"page1",#N/A,FALSE,"PRESENTATION";"page2",#N/A,FALSE,"PRESENTATION";#N/A,#N/A,FALSE,"ORIGINAL_ROLLBACK"}</definedName>
    <definedName name="__X2">{#N/A,#N/A,FALSE,"Other";#N/A,#N/A,FALSE,"Ace";#N/A,#N/A,FALSE,"Derm"}</definedName>
    <definedName name="_a1">{#N/A,#N/A,FALSE,"Pharm";#N/A,#N/A,FALSE,"WWCM"}</definedName>
    <definedName name="_A11">{#N/A,#N/A,FALSE,"Umsatz 99";#N/A,#N/A,FALSE,"ER 99 "}</definedName>
    <definedName name="_aaa1">{#N/A,#N/A,FALSE,"REPORT"}</definedName>
    <definedName name="_aas1">{#N/A,#N/A,FALSE,"REPORT"}</definedName>
    <definedName name="_ACS2000">{#N/A,#N/A,FALSE,"REPORT"}</definedName>
    <definedName name="_age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b111">{#N/A,#N/A,FALSE,"Pharm";#N/A,#N/A,FALSE,"WWCM"}</definedName>
    <definedName name="_c">{"Fiesta Facer Page",#N/A,FALSE,"Q_C_S";"Fiesta Main Page",#N/A,FALSE,"V_L";"Fiesta 95BP Struct",#N/A,FALSE,"StructBP";"Fiesta Post 95BP Struct",#N/A,FALSE,"AdjStructBP"}</definedName>
    <definedName name="_cd1">{#N/A,#N/A,FALSE,"Job Sched"}</definedName>
    <definedName name="_cd2">{#N/A,#N/A,FALSE,"Job Sched"}</definedName>
    <definedName name="_CD3">{#N/A,#N/A,FALSE,"Job Sched"}</definedName>
    <definedName name="_cd4">{#N/A,#N/A,FALSE,"Job Sched"}</definedName>
    <definedName name="_Cd5">{#N/A,#N/A,FALSE,"A"}</definedName>
    <definedName name="_cd8">{#N/A,#N/A,FALSE,"Job Sched"}</definedName>
    <definedName name="_D33">{"Olk by Qtr Full",#N/A,FALSE,"Tot PalmPalm";"Olk by Qtr Full",#N/A,FALSE,"Tot Device";"Olk by Qtr Full",#N/A,FALSE,"Platform";"Olk by Qtr Full",#N/A,FALSE,"Palm.Net";"Olk by Qtr Full",#N/A,FALSE,"Elim"}</definedName>
    <definedName name="_DCF2">{#N/A,#N/A,TRUE,"DCF Summary (2)";#N/A,#N/A,TRUE,"DCF Summary";#N/A,"Middle Case Drivers",TRUE,"DCF"}</definedName>
    <definedName name="_dfk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jd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fy97">{#N/A,#N/A,FALSE,"FY97";#N/A,#N/A,FALSE,"FY98";#N/A,#N/A,FALSE,"FY99";#N/A,#N/A,FALSE,"FY00";#N/A,#N/A,FALSE,"FY01"}</definedName>
    <definedName name="_I2">{"PVGraph2",#N/A,FALSE,"PV Data"}</definedName>
    <definedName name="_I3">{"PVGraph2",#N/A,FALSE,"PV Data"}</definedName>
    <definedName name="_JLC1">{#N/A,#N/A,TRUE,"97plnfpg"}</definedName>
    <definedName name="_JLC3">{#N/A,#N/A,FALSE,"J97plnfp"}</definedName>
    <definedName name="_key4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mfg2">{"PAGE 1",#N/A,FALSE,"WEST_OT"}</definedName>
    <definedName name="_mfg3">{"PAGE 1",#N/A,FALSE,"WEST_OT"}</definedName>
    <definedName name="_mfg4">{"PAGE 1",#N/A,FALSE,"WEST_OT"}</definedName>
    <definedName name="_mfg5">{"PAGE 1",#N/A,FALSE,"WEST_OT"}</definedName>
    <definedName name="_MHA1">{"rtn",#N/A,FALSE,"RTN";"tables",#N/A,FALSE,"RTN";"cf",#N/A,FALSE,"CF";"stats",#N/A,FALSE,"Stats";"prop",#N/A,FALSE,"Prop"}</definedName>
    <definedName name="_MHA1_1">{"rtn",#N/A,FALSE,"RTN";"tables",#N/A,FALSE,"RTN";"cf",#N/A,FALSE,"CF";"stats",#N/A,FALSE,"Stats";"prop",#N/A,FALSE,"Prop"}</definedName>
    <definedName name="_na2">"100"</definedName>
    <definedName name="_na3">"50"</definedName>
    <definedName name="_na4">"IQ_LTM_DATE"</definedName>
    <definedName name="_new1">{#N/A,#N/A,FALSE,"Pharm";#N/A,#N/A,FALSE,"WWCM"}</definedName>
    <definedName name="_New2">{"TOTAL",#N/A,FALSE,"A";"FISCAL94",#N/A,FALSE,"A";"FISCAL95",#N/A,FALSE,"A";"FISCAL96",#N/A,FALSE,"A";"misc page",#N/A,FALSE,"A"}</definedName>
    <definedName name="_o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>255</definedName>
    <definedName name="_Order2">255</definedName>
    <definedName name="_r">{#N/A,#N/A,FALSE,"Pharm";#N/A,#N/A,FALSE,"WWCM"}</definedName>
    <definedName name="_Regression_Int">1</definedName>
    <definedName name="_t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12347">{"COUNT",#N/A,FALSE,"AB"}</definedName>
    <definedName name="_t2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3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4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5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9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m1">{#N/A,#N/A,FALSE,"Pharm";#N/A,#N/A,FALSE,"WWCM"}</definedName>
    <definedName name="_w1">{"PVGraph2",#N/A,FALSE,"PV Data"}</definedName>
    <definedName name="_w2">{"PVGraph2",#N/A,FALSE,"PV Data"}</definedName>
    <definedName name="_w3">{"PVGraph2",#N/A,FALSE,"PV Data"}</definedName>
    <definedName name="_wrn1">{#N/A,#N/A,FALSE,"DCF";#N/A,#N/A,FALSE,"WACC";#N/A,#N/A,FALSE,"Sales_EBIT";#N/A,#N/A,FALSE,"Capex_Depreciation";#N/A,#N/A,FALSE,"WC";#N/A,#N/A,FALSE,"Interest";#N/A,#N/A,FALSE,"Assumptions"}</definedName>
    <definedName name="_wrn2">{#N/A,#N/A,FALSE,"ASSUMPTIONS";#N/A,#N/A,FALSE,"Valuation Summary";"page1",#N/A,FALSE,"PRESENTATION";"page2",#N/A,FALSE,"PRESENTATION";#N/A,#N/A,FALSE,"ORIGINAL_ROLLBACK"}</definedName>
    <definedName name="_wrn3">{#N/A,#N/A,FALSE,"ASSUMPTIONS";#N/A,#N/A,FALSE,"Valuation Summary";"page1",#N/A,FALSE,"PRESENTATION";"page2",#N/A,FALSE,"PRESENTATION";#N/A,#N/A,FALSE,"ORIGINAL_ROLLBACK"}</definedName>
    <definedName name="_x1">{#N/A,#N/A,FALSE,"FY97";#N/A,#N/A,FALSE,"FY98";#N/A,#N/A,FALSE,"FY99";#N/A,#N/A,FALSE,"FY00";#N/A,#N/A,FALSE,"FY01"}</definedName>
    <definedName name="_X2">{#N/A,#N/A,FALSE,"Other";#N/A,#N/A,FALSE,"Ace";#N/A,#N/A,FALSE,"Derm"}</definedName>
    <definedName name="_y2">{"PVGraph2",#N/A,FALSE,"PV Data"}</definedName>
    <definedName name="_Zcomps2">{0,0,0,0,1,-4105,28.3464566929134,28.3464566929134,28.346456664,28.3464566929134,2,TRUE,TRUE,FALSE,FALSE,FALSE,#N/A,1,85,1,2,"","","","&amp;""Kennerly,Roman Bold""&amp;14L&amp;12EHMAN &amp;14 B&amp;12ROTHERS","","",FALSE}</definedName>
    <definedName name="a_1">{"rtn",#N/A,FALSE,"RTN";"tables",#N/A,FALSE,"RTN";"cf",#N/A,FALSE,"CF";"stats",#N/A,FALSE,"Stats";"prop",#N/A,FALSE,"Prop"}</definedName>
    <definedName name="aa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aa_1">{"Outflow 1",#N/A,FALSE,"Outflows-Inflows";"Outflow 2",#N/A,FALSE,"Outflows-Inflows";"Inflow 1",#N/A,FALSE,"Outflows-Inflows";"Inflow 2",#N/A,FALSE,"Outflows-Inflows"}</definedName>
    <definedName name="aaa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aaaa">{#N/A,#N/A,FALSE,"Model";#N/A,#N/A,FALSE,"Division"}</definedName>
    <definedName name="aaaaa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aaaa_1">{"rtn",#N/A,FALSE,"RTN";"tables",#N/A,FALSE,"RTN";"cf",#N/A,FALSE,"CF";"stats",#N/A,FALSE,"Stats";"prop",#N/A,FALSE,"Prop"}</definedName>
    <definedName name="aaaaaa">{#N/A,#N/A,FALSE,"Bud Month-end Call";#N/A,#N/A,FALSE,"Bud vs Actual";#N/A,#N/A,FALSE,"Bud vs Actual Variances";#N/A,#N/A,FALSE,"FC3 Month-end Call";#N/A,#N/A,FALSE,"FC3 vs Actual";#N/A,#N/A,FALSE,"FC3 vs Actual Variances";#N/A,#N/A,FALSE,"Roll-up";#N/A,#N/A,FALSE,"Production";#N/A,#N/A,FALSE,"Waste Model";"bva costs - total",#N/A,FALSE,"Costs - Budget vs Actual";"bva costs - plant",#N/A,FALSE,"Costs - Budget vs Actual";"bva costs - cmw",#N/A,FALSE,"Costs - Budget vs Actual";"bva costs - bts",#N/A,FALSE,"Costs - Budget vs Actual";"bva costs - pts",#N/A,FALSE,"Costs - Budget vs Actual";"bva costs - transport",#N/A,FALSE,"Costs - Budget vs Actual"}</definedName>
    <definedName name="aaaaaa_1">{"Outflow 1",#N/A,FALSE,"Outflows-Inflows";"Outflow 2",#N/A,FALSE,"Outflows-Inflows";"Inflow 1",#N/A,FALSE,"Outflows-Inflows";"Inflow 2",#N/A,FALSE,"Outflows-Inflows"}</definedName>
    <definedName name="aaaaaaa">{"Outflow 1",#N/A,FALSE,"Outflows-Inflows";"Outflow 2",#N/A,FALSE,"Outflows-Inflows";"Inflow 1",#N/A,FALSE,"Outflows-Inflows";"Inflow 2",#N/A,FALSE,"Outflows-Inflows"}</definedName>
    <definedName name="aaaaaaa_1">{"Outflow 1",#N/A,FALSE,"Outflows-Inflows";"Outflow 2",#N/A,FALSE,"Outflows-Inflows";"Inflow 1",#N/A,FALSE,"Outflows-Inflows";"Inflow 2",#N/A,FALSE,"Outflows-Inflows"}</definedName>
    <definedName name="aaaaaaaaaaa">{#N/A,#N/A,FALSE,"REPORT"}</definedName>
    <definedName name="aaaaaaaaaaaaaa">{"rtn",#N/A,FALSE,"RTN";"tables",#N/A,FALSE,"RTN";"cf",#N/A,FALSE,"CF";"stats",#N/A,FALSE,"Stats";"prop",#N/A,FALSE,"Prop"}</definedName>
    <definedName name="aaaaaaaaaaaaaa_1">{"rtn",#N/A,FALSE,"RTN";"tables",#N/A,FALSE,"RTN";"cf",#N/A,FALSE,"CF";"stats",#N/A,FALSE,"Stats";"prop",#N/A,FALSE,"Prop"}</definedName>
    <definedName name="aaaaaaaaaaaaaaa">{#N/A,#N/A,FALSE,"Pharm";#N/A,#N/A,FALSE,"WWCM"}</definedName>
    <definedName name="aaaaaaaaaaaaaaaa">{"Outflow 1",#N/A,FALSE,"Outflows-Inflows";"Outflow 2",#N/A,FALSE,"Outflows-Inflows";"Inflow 1",#N/A,FALSE,"Outflows-Inflows";"Inflow 2",#N/A,FALSE,"Outflows-Inflows"}</definedName>
    <definedName name="aaaaaaaaaaaaaaaa_1">{"Outflow 1",#N/A,FALSE,"Outflows-Inflows";"Outflow 2",#N/A,FALSE,"Outflows-Inflows";"Inflow 1",#N/A,FALSE,"Outflows-Inflows";"Inflow 2",#N/A,FALSE,"Outflows-Inflows"}</definedName>
    <definedName name="aaaaaaaaaaaaaaaaaa">{"Outflow 1",#N/A,FALSE,"Outflows-Inflows";"Outflow 2",#N/A,FALSE,"Outflows-Inflows";"Inflow 1",#N/A,FALSE,"Outflows-Inflows";"Inflow 2",#N/A,FALSE,"Outflows-Inflows"}</definedName>
    <definedName name="aaaaaaaaaaaaaaaaaa_1">{"Outflow 1",#N/A,FALSE,"Outflows-Inflows";"Outflow 2",#N/A,FALSE,"Outflows-Inflows";"Inflow 1",#N/A,FALSE,"Outflows-Inflows";"Inflow 2",#N/A,FALSE,"Outflows-Inflows"}</definedName>
    <definedName name="aaaaaaaaaaaaaaaaaaaaaaa">{"Outflow 1",#N/A,FALSE,"Outflows-Inflows";"Outflow 2",#N/A,FALSE,"Outflows-Inflows";"Inflow 1",#N/A,FALSE,"Outflows-Inflows";"Inflow 2",#N/A,FALSE,"Outflows-Inflows"}</definedName>
    <definedName name="aaaaaaaaaaaaaaaaaaaaaaa_1">{"Outflow 1",#N/A,FALSE,"Outflows-Inflows";"Outflow 2",#N/A,FALSE,"Outflows-Inflows";"Inflow 1",#N/A,FALSE,"Outflows-Inflows";"Inflow 2",#N/A,FALSE,"Outflows-Inflows"}</definedName>
    <definedName name="aaaaab">{#N/A,#N/A,FALSE,"Model";#N/A,#N/A,FALSE,"Division"}</definedName>
    <definedName name="aaasb">{#N/A,#N/A,FALSE,"Pharm";#N/A,#N/A,FALSE,"WWCM"}</definedName>
    <definedName name="aab">{#N/A,#N/A,FALSE,"Pharm";#N/A,#N/A,FALSE,"WWCM"}</definedName>
    <definedName name="aabb">{#N/A,#N/A,FALSE,"Projections";#N/A,#N/A,FALSE,"Multiples Valuation";#N/A,#N/A,FALSE,"LBO";#N/A,#N/A,FALSE,"Multiples_Sensitivity";#N/A,#N/A,FALSE,"Summary"}</definedName>
    <definedName name="aaddd">{#N/A,#N/A,FALSE,"REPORT"}</definedName>
    <definedName name="aas">{#N/A,#N/A,FALSE,"1";#N/A,#N/A,FALSE,"2";#N/A,#N/A,FALSE,"16 - 17";#N/A,#N/A,FALSE,"18 - 19";#N/A,#N/A,FALSE,"26";#N/A,#N/A,FALSE,"27";#N/A,#N/A,FALSE,"28"}</definedName>
    <definedName name="aasd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fa">{"rtn",#N/A,FALSE,"RTN";"tables",#N/A,FALSE,"RTN";"cf",#N/A,FALSE,"CF";"stats",#N/A,FALSE,"Stats";"prop",#N/A,FALSE,"Prop"}</definedName>
    <definedName name="aasdfa_1">{"rtn",#N/A,FALSE,"RTN";"tables",#N/A,FALSE,"RTN";"cf",#N/A,FALSE,"CF";"stats",#N/A,FALSE,"Stats";"prop",#N/A,FALSE,"Prop"}</definedName>
    <definedName name="aasdfab">{"rtn",#N/A,FALSE,"RTN";"tables",#N/A,FALSE,"RTN";"cf",#N/A,FALSE,"CF";"stats",#N/A,FALSE,"Stats";"prop",#N/A,FALSE,"Prop"}</definedName>
    <definedName name="aasdfab_1">{"rtn",#N/A,FALSE,"RTN";"tables",#N/A,FALSE,"RTN";"cf",#N/A,FALSE,"CF";"stats",#N/A,FALSE,"Stats";"prop",#N/A,FALSE,"Prop"}</definedName>
    <definedName name="aassas">{"PR1","pr1",TRUE,"Sch PR-1"}</definedName>
    <definedName name="ab">{"rtn",#N/A,FALSE,"RTN";"tables",#N/A,FALSE,"RTN";"cf",#N/A,FALSE,"CF";"stats",#N/A,FALSE,"Stats";"prop",#N/A,FALSE,"Prop"}</definedName>
    <definedName name="ab_1">{"rtn",#N/A,FALSE,"RTN";"tables",#N/A,FALSE,"RTN";"cf",#N/A,FALSE,"CF";"stats",#N/A,FALSE,"Stats";"prop",#N/A,FALSE,"Prop"}</definedName>
    <definedName name="abc">{"bs",#N/A,FALSE,"SCF"}</definedName>
    <definedName name="Abrisa">{"FY04_Assets",#N/A,FALSE,"Fin Stmt Budget";"FY04_Liabilities",#N/A,FALSE,"Fin Stmt Budget";"FY04_Inc_Stmt",#N/A,FALSE,"Fin Stmt Budget";"FY04_SOCF",#N/A,FALSE,"Fin Stmt Budget"}</definedName>
    <definedName name="acc">{#N/A,#N/A,FALSE,"Calc";#N/A,#N/A,FALSE,"Sensitivity";#N/A,#N/A,FALSE,"LT Earn.Dil.";#N/A,#N/A,FALSE,"Dil. AVP"}</definedName>
    <definedName name="Access_Button">"CONSOL_SIM_List"</definedName>
    <definedName name="AccessDatabase">"I:\DEPT8900\OEL\FY01\Reports\Budget Comparison\Comparitive Budget TEST.mdb"</definedName>
    <definedName name="adasdasdasdasd">{"PR1","pr1",TRUE,"Sch PR-1"}</definedName>
    <definedName name="adf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">{#N/A,#N/A,FALSE,"Aging Summary";#N/A,#N/A,FALSE,"Ratio Analysis";#N/A,#N/A,FALSE,"Test 120 Day Accts";#N/A,#N/A,FALSE,"Tickmarks"}</definedName>
    <definedName name="adfadf">{"'Sheet1'!$A$1:$J$121"}</definedName>
    <definedName name="adfadfasfdadf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dfda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saf">{"AQUIRORDCF",#N/A,FALSE,"Merger consequences";"Acquirorassns",#N/A,FALSE,"Merger consequences"}</definedName>
    <definedName name="adfgasdysty">{#N/A,#N/A,FALSE,"REPORT"}</definedName>
    <definedName name="adfsfadfasf">{"Outflow 1",#N/A,FALSE,"Outflows-Inflows";"Outflow 2",#N/A,FALSE,"Outflows-Inflows";"Inflow 1",#N/A,FALSE,"Outflows-Inflows";"Inflow 2",#N/A,FALSE,"Outflows-Inflows"}</definedName>
    <definedName name="adfsfadfasf_1">{"Outflow 1",#N/A,FALSE,"Outflows-Inflows";"Outflow 2",#N/A,FALSE,"Outflows-Inflows";"Inflow 1",#N/A,FALSE,"Outflows-Inflows";"Inflow 2",#N/A,FALSE,"Outflows-Inflows"}</definedName>
    <definedName name="adfsfjfjky">{#N/A,#N/A,FALSE,"REPORT"}</definedName>
    <definedName name="adsf">{#N/A,#N/A,FALSE,"Job Sched"}</definedName>
    <definedName name="aeradfaereawt">{"var_page",#N/A,FALSE,"template"}</definedName>
    <definedName name="aertqet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FDADSFDAS">{#N/A,#N/A,FALSE,"REPORT"}</definedName>
    <definedName name="africa">{#N/A,#N/A,FALSE,"CNS";#N/A,#N/A,FALSE,"Serz";#N/A,#N/A,FALSE,"Ace"}</definedName>
    <definedName name="ag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afdhsdh">{#N/A,#N/A,FALSE,"REPORT"}</definedName>
    <definedName name="age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s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sgaghgfj">{#N/A,#N/A,FALSE,"Pharm";#N/A,#N/A,FALSE,"WWCM"}</definedName>
    <definedName name="alex">{#N/A,#N/A,FALSE,"REPORT"}</definedName>
    <definedName name="alexan">{#N/A,#N/A,FALSE,"REPORT"}</definedName>
    <definedName name="andy">{#N/A,#N/A,FALSE,"REPORT"}</definedName>
    <definedName name="anscount">1</definedName>
    <definedName name="argqe">{#N/A,#N/A,FALSE,"puboff";#N/A,#N/A,FALSE,"financials";#N/A,#N/A,FALSE,"valuation";#N/A,#N/A,FALSE,"split"}</definedName>
    <definedName name="ARroll">{"print 1.6",#N/A,FALSE,"Sheet1";"print 2.6",#N/A,FALSE,"Sheet1";"print 3.6",#N/A,FALSE,"Sheet1";"print 4.6",#N/A,FALSE,"Sheet1";"print 5.6",#N/A,FALSE,"Sheet1";"print 6.6",#N/A,FALSE,"Sheet1"}</definedName>
    <definedName name="ARroll_1">{"print 1.6",#N/A,FALSE,"Sheet1";"print 2.6",#N/A,FALSE,"Sheet1";"print 3.6",#N/A,FALSE,"Sheet1";"print 4.6",#N/A,FALSE,"Sheet1";"print 5.6",#N/A,FALSE,"Sheet1";"print 6.6",#N/A,FALSE,"Sheet1"}</definedName>
    <definedName name="AS">{"bs",#N/A,FALSE,"SCF"}</definedName>
    <definedName name="as_1">{"Outflow 1",#N/A,FALSE,"Outflows-Inflows";"Outflow 2",#N/A,FALSE,"Outflows-Inflows";"Inflow 1",#N/A,FALSE,"Outflows-Inflows";"Inflow 2",#N/A,FALSE,"Outflows-Inflows"}</definedName>
    <definedName name="AS2DocOpenMode">"AS2DocumentEdit"</definedName>
    <definedName name="AS2HasNoAutoHeaderFooter">" "</definedName>
    <definedName name="AS2NamedRange">6</definedName>
    <definedName name="AS2ReportLS">1</definedName>
    <definedName name="AS2SyncStepLS">0</definedName>
    <definedName name="AS2VersionLS">300</definedName>
    <definedName name="asas">{#N/A,#N/A,FALSE,"Pharm";#N/A,#N/A,FALSE,"WWCM"}</definedName>
    <definedName name="asasasasas">{"PR1","pr1",TRUE,"Sch PR-1"}</definedName>
    <definedName name="ASD">{"bs",#N/A,FALSE,"SCF"}</definedName>
    <definedName name="asdasdasda">{#N/A,#N/A,TRUE,"DCF Summary (2)";#N/A,#N/A,TRUE,"DCF Summary";#N/A,"Middle Case Drivers",TRUE,"DCF"}</definedName>
    <definedName name="asdf">{"Balance Sheet",#N/A,FALSE,"Consolidated"}</definedName>
    <definedName name="asdfadg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sf">{"'Sheet1'!$A$1:$J$121"}</definedName>
    <definedName name="asdfas">{"print 1.6",#N/A,FALSE,"Sheet1";"print 2.6",#N/A,FALSE,"Sheet1";"print 3.6",#N/A,FALSE,"Sheet1";"print 4.6",#N/A,FALSE,"Sheet1";"print 5.6",#N/A,FALSE,"Sheet1";"print 6.6",#N/A,FALSE,"Sheet1"}</definedName>
    <definedName name="asdfas_1">{"print 1.6",#N/A,FALSE,"Sheet1";"print 2.6",#N/A,FALSE,"Sheet1";"print 3.6",#N/A,FALSE,"Sheet1";"print 4.6",#N/A,FALSE,"Sheet1";"print 5.6",#N/A,FALSE,"Sheet1";"print 6.6",#N/A,FALSE,"Sheet1"}</definedName>
    <definedName name="asdfasaa">{"print 1.6",#N/A,FALSE,"Sheet1";"print 2.6",#N/A,FALSE,"Sheet1";"print 3.6",#N/A,FALSE,"Sheet1";"print 4.6",#N/A,FALSE,"Sheet1";"print 5.6",#N/A,FALSE,"Sheet1";"print 6.6",#N/A,FALSE,"Sheet1"}</definedName>
    <definedName name="asdfasaa_1">{"print 1.6",#N/A,FALSE,"Sheet1";"print 2.6",#N/A,FALSE,"Sheet1";"print 3.6",#N/A,FALSE,"Sheet1";"print 4.6",#N/A,FALSE,"Sheet1";"print 5.6",#N/A,FALSE,"Sheet1";"print 6.6",#N/A,FALSE,"Sheet1"}</definedName>
    <definedName name="asdfasdf">{"rtn",#N/A,FALSE,"RTN";"tables",#N/A,FALSE,"RTN";"cf",#N/A,FALSE,"CF";"stats",#N/A,FALSE,"Stats";"prop",#N/A,FALSE,"Prop"}</definedName>
    <definedName name="asdfasdf_1">{"rtn",#N/A,FALSE,"RTN";"tables",#N/A,FALSE,"RTN";"cf",#N/A,FALSE,"CF";"stats",#N/A,FALSE,"Stats";"prop",#N/A,FALSE,"Prop"}</definedName>
    <definedName name="asdfasf">38939.6653819444</definedName>
    <definedName name="asdfg">{#N/A,#N/A,FALSE,"Pharm";#N/A,#N/A,FALSE,"WWCM"}</definedName>
    <definedName name="asdgahdfhth">{#N/A,#N/A,FALSE,"REPORT"}</definedName>
    <definedName name="asdgayery">{#N/A,#N/A,FALSE,"Pharm";#N/A,#N/A,FALSE,"WWCM"}</definedName>
    <definedName name="asdgfdytyet">{#N/A,#N/A,FALSE,"REPORT"}</definedName>
    <definedName name="asdgtryukuio">{#N/A,#N/A,FALSE,"REPORT"}</definedName>
    <definedName name="asdjgkl">{#N/A,#N/A,FALSE,"Pharm";#N/A,#N/A,FALSE,"WWCM"}</definedName>
    <definedName name="asf">{"DCF1",#N/A,FALSE,"SIERRA DCF";"MATRIX1",#N/A,FALSE,"SIERRA DCF"}</definedName>
    <definedName name="asffghujyki">{#N/A,#N/A,FALSE,"Pharm";#N/A,#N/A,FALSE,"WWCM"}</definedName>
    <definedName name="asfg">{#N/A,#N/A,FALSE,"Balance Sheet";#N/A,#N/A,FALSE,"Income Statement";#N/A,#N/A,FALSE,"Changes in Financial Position"}</definedName>
    <definedName name="ASIA">{#N/A,#N/A,FALSE,"Est97";#N/A,#N/A,FALSE,"Plan98";#N/A,#N/A,FALSE,"Graphs";#N/A,#N/A,FALSE,"5Yr"}</definedName>
    <definedName name="asngfat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s_1">{"print 1.6",#N/A,FALSE,"Sheet1";"print 2.6",#N/A,FALSE,"Sheet1";"print 3.6",#N/A,FALSE,"Sheet1";"print 4.6",#N/A,FALSE,"Sheet1";"print 5.6",#N/A,FALSE,"Sheet1";"print 6.6",#N/A,FALSE,"Sheet1"}</definedName>
    <definedName name="ASSA">{#N/A,#N/A,FALSE,"1";#N/A,#N/A,FALSE,"2";#N/A,#N/A,FALSE,"16 - 17";#N/A,#N/A,FALSE,"18 - 19";#N/A,#N/A,FALSE,"26";#N/A,#N/A,FALSE,"27";#N/A,#N/A,FALSE,"28"}</definedName>
    <definedName name="assasdafsda">{"PR1","pr1",TRUE,"Sch PR-1"}</definedName>
    <definedName name="asss">{"rtn",#N/A,FALSE,"RTN";"tables",#N/A,FALSE,"RTN";"cf",#N/A,FALSE,"CF";"stats",#N/A,FALSE,"Stats";"prop",#N/A,FALSE,"Prop"}</definedName>
    <definedName name="asss_1">{"rtn",#N/A,FALSE,"RTN";"tables",#N/A,FALSE,"RTN";"cf",#N/A,FALSE,"CF";"stats",#N/A,FALSE,"Stats";"prop",#N/A,FALSE,"Prop"}</definedName>
    <definedName name="AustinTest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AUto1">{#N/A,#N/A,FALSE,"Sheet1"}</definedName>
    <definedName name="AUto2">{#N/A,#N/A,FALSE,"Sheet1"}</definedName>
    <definedName name="ave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X">{#N/A,#N/A,FALSE,"Pharm";#N/A,#N/A,FALSE,"WWCM"}</definedName>
    <definedName name="ax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yman">{#N/A,#N/A,FALSE,"1";#N/A,#N/A,FALSE,"2";#N/A,#N/A,FALSE,"16 - 17";#N/A,#N/A,FALSE,"18 - 19";#N/A,#N/A,FALSE,"26";#N/A,#N/A,FALSE,"27";#N/A,#N/A,FALSE,"28"}</definedName>
    <definedName name="ayman1">{#N/A,#N/A,FALSE,"Pharm";#N/A,#N/A,FALSE,"WWCM"}</definedName>
    <definedName name="ayman2">{#N/A,#N/A,FALSE,"Pharm";#N/A,#N/A,FALSE,"WWCM"}</definedName>
    <definedName name="ayman7">{#N/A,#N/A,FALSE,"REPORT"}</definedName>
    <definedName name="ayman8">{#N/A,#N/A,FALSE,"REPORT"}</definedName>
    <definedName name="az">{#N/A,#N/A,FALSE,"Pharm";#N/A,#N/A,FALSE,"WWCM"}</definedName>
    <definedName name="azeazr">{#N/A,#N/A,FALSE,"Sales Graph";#N/A,#N/A,FALSE,"BUC Graph";#N/A,#N/A,FALSE,"P&amp;L - YTD"}</definedName>
    <definedName name="azerety">{#N/A,#N/A,FALSE,"Pharm";#N/A,#N/A,FALSE,"WWCM"}</definedName>
    <definedName name="b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alance">{"bs",#N/A,FALSE,"SCF"}</definedName>
    <definedName name="Bank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b">{"histincome",#N/A,FALSE,"hyfins";"closing balance",#N/A,FALSE,"hyfins"}</definedName>
    <definedName name="bbb">{#N/A,#N/A,FALSE,"Pharm";#N/A,#N/A,FALSE,"WWCM"}</definedName>
    <definedName name="bbbb">{#N/A,#N/A,FALSE,"REPORT"}</definedName>
    <definedName name="bbbb_1">{"Outflow 1",#N/A,FALSE,"Outflows-Inflows";"Outflow 2",#N/A,FALSE,"Outflows-Inflows";"Inflow 1",#N/A,FALSE,"Outflows-Inflows";"Inflow 2",#N/A,FALSE,"Outflows-Inflows"}</definedName>
    <definedName name="bbbbb">{"consolidated",#N/A,FALSE,"Sheet1";"cms",#N/A,FALSE,"Sheet1";"fse",#N/A,FALSE,"Sheet1"}</definedName>
    <definedName name="BBBBBB">{#N/A,#N/A,FALSE,"REPORT"}</definedName>
    <definedName name="bbbbbb_1">{"rtn",#N/A,FALSE,"RTN";"tables",#N/A,FALSE,"RTN";"cf",#N/A,FALSE,"CF";"stats",#N/A,FALSE,"Stats";"prop",#N/A,FALSE,"Prop"}</definedName>
    <definedName name="bbbbbbb">{"Outflow 1",#N/A,FALSE,"Outflows-Inflows";"Outflow 2",#N/A,FALSE,"Outflows-Inflows";"Inflow 1",#N/A,FALSE,"Outflows-Inflows";"Inflow 2",#N/A,FALSE,"Outflows-Inflows"}</definedName>
    <definedName name="bbbbbbb_1">{"Outflow 1",#N/A,FALSE,"Outflows-Inflows";"Outflow 2",#N/A,FALSE,"Outflows-Inflows";"Inflow 1",#N/A,FALSE,"Outflows-Inflows";"Inflow 2",#N/A,FALSE,"Outflows-Inflows"}</definedName>
    <definedName name="BBBBBBBBB">{#N/A,#N/A,FALSE,"REPORT"}</definedName>
    <definedName name="bbbbbbbbbbbbb">{#N/A,#N/A,FALSE,"Pharm";#N/A,#N/A,FALSE,"WWCM"}</definedName>
    <definedName name="BBD">{#N/A,#N/A,FALSE,"PRJCTED QTRLY QTY's"}</definedName>
    <definedName name="bbt">{#N/A,#N/A,FALSE,"DI 2 YEAR MASTER SCHEDULE"}</definedName>
    <definedName name="Bear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localSheetId="8" name="BExGS09Y00R295FQF4OCD3UZVDBE">query_Standard #REF!</definedName>
    <definedName localSheetId="11" name="BExGS09Y00R295FQF4OCD3UZVDBE">query_Standard #REF!</definedName>
    <definedName localSheetId="6" name="BExGS09Y00R295FQF4OCD3UZVDBE">query_Standard #REF!</definedName>
    <definedName localSheetId="3" name="BExGS09Y00R295FQF4OCD3UZVDBE">query_Standard #REF!</definedName>
    <definedName localSheetId="12" name="BExGS09Y00R295FQF4OCD3UZVDBE">query_Standard #REF!</definedName>
    <definedName localSheetId="7" name="BExGS09Y00R295FQF4OCD3UZVDBE">query_Standard #REF!</definedName>
    <definedName localSheetId="10" name="BExGS09Y00R295FQF4OCD3UZVDBE">query_Standard #REF!</definedName>
    <definedName localSheetId="1" name="BExGS09Y00R295FQF4OCD3UZVDBE">query_Standard #REF!</definedName>
    <definedName name="BExGS09Y00R295FQF4OCD3UZVDBE">query_Standard #REF!</definedName>
    <definedName localSheetId="8" name="BExSBB5BB2NTOBYTX7MDBWRM5SBC">query_Standard #REF!</definedName>
    <definedName localSheetId="11" name="BExSBB5BB2NTOBYTX7MDBWRM5SBC">query_Standard #REF!</definedName>
    <definedName localSheetId="6" name="BExSBB5BB2NTOBYTX7MDBWRM5SBC">query_Standard #REF!</definedName>
    <definedName localSheetId="3" name="BExSBB5BB2NTOBYTX7MDBWRM5SBC">query_Standard #REF!</definedName>
    <definedName localSheetId="12" name="BExSBB5BB2NTOBYTX7MDBWRM5SBC">query_Standard #REF!</definedName>
    <definedName localSheetId="7" name="BExSBB5BB2NTOBYTX7MDBWRM5SBC">query_Standard #REF!</definedName>
    <definedName localSheetId="10" name="BExSBB5BB2NTOBYTX7MDBWRM5SBC">query_Standard #REF!</definedName>
    <definedName localSheetId="1" name="BExSBB5BB2NTOBYTX7MDBWRM5SBC">query_Standard #REF!</definedName>
    <definedName name="BExSBB5BB2NTOBYTX7MDBWRM5SBC">query_Standard #REF!</definedName>
    <definedName name="BG_Del">15</definedName>
    <definedName name="BG_Ins">4</definedName>
    <definedName name="BG_Mod">6</definedName>
    <definedName name="bgh">{"histincome",#N/A,FALSE,"hyfins";"closing balance",#N/A,FALSE,"hyfins"}</definedName>
    <definedName name="bill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bill1">{"PAGE 1",#N/A,FALSE,"WEST_OT"}</definedName>
    <definedName name="bill2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bill3">{"PAGE 1",#N/A,FALSE,"WEST_OT"}</definedName>
    <definedName name="billrev2">{"PAGE 1",#N/A,FALSE,"WEST_OT"}</definedName>
    <definedName name="blah">{"bs combined",#N/A,FALSE,"Consol BS";"PL Combined",#N/A,FALSE,"CONSOL PL";"CF COMBINED",#N/A,FALSE,"CONSOL CF"}</definedName>
    <definedName name="bnm">{#N/A,#N/A,FALSE,"REPORT"}</definedName>
    <definedName name="bnnn">{"consolidated",#N/A,FALSE,"Sheet1";"cms",#N/A,FALSE,"Sheet1";"fse",#N/A,FALSE,"Sheet1"}</definedName>
    <definedName name="bpp">{#N/A,#N/A,TRUE,"DCF Summary (2)";#N/A,#N/A,TRUE,"DCF Summary";#N/A,"Middle Case Drivers",TRUE,"DCF"}</definedName>
    <definedName name="Bridge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BROW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">{#N/A,#N/A,FALSE,"Job Sched"}</definedName>
    <definedName name="Bullshit">{"Outflow 1",#N/A,FALSE,"Outflows-Inflows";"Outflow 2",#N/A,FALSE,"Outflows-Inflows";"Inflow 1",#N/A,FALSE,"Outflows-Inflows";"Inflow 2",#N/A,FALSE,"Outflows-Inflows"}</definedName>
    <definedName name="Bullshit_1">{"Outflow 1",#N/A,FALSE,"Outflows-Inflows";"Outflow 2",#N/A,FALSE,"Outflows-Inflows";"Inflow 1",#N/A,FALSE,"Outflows-Inflows";"Inflow 2",#N/A,FALSE,"Outflows-Inflows"}</definedName>
    <definedName name="bye">{#N/A,#N/A,FALSE,"Aging Summary";#N/A,#N/A,FALSE,"Ratio Analysis";#N/A,#N/A,FALSE,"Test 120 Day Accts";#N/A,#N/A,FALSE,"Tickmarks"}</definedName>
    <definedName name="bye_1">{#N/A,#N/A,FALSE,"Aging Summary";#N/A,#N/A,FALSE,"Ratio Analysis";#N/A,#N/A,FALSE,"Test 120 Day Accts";#N/A,#N/A,FALSE,"Tickmarks"}</definedName>
    <definedName name="Campusack">{#N/A,#N/A,TRUE,"97plnfpg"}</definedName>
    <definedName name="Cap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ex">{"bs",#N/A,FALSE,"SCF"}</definedName>
    <definedName name="Capex2">{"bs",#N/A,FALSE,"SCF"}</definedName>
    <definedName name="casds">{"DCF1",#N/A,FALSE,"SIERRA DCF";"MATRIX1",#N/A,FALSE,"SIERRA DCF"}</definedName>
    <definedName name="cb_sChart16EBA7BA_opts">"1, 1, 1, False, 2, True, False, , 0, False, True, 1, 2"</definedName>
    <definedName name="cb_sChart1AC0211C_opts">"1, 1, 1, False, 2, False, False, , 0, False, False, 2, 2"</definedName>
    <definedName name="cb_sChart1AC021B3_opts">"1, 1, 1, False, 2, False, False, , 0, False, False, 2, 2"</definedName>
    <definedName name="cb_sChart1AC02226_opts">"1, 1, 1, False, 2, False, False, , 0, False, False, 2, 2"</definedName>
    <definedName name="cb_sChart1AC02446_opts">"1, 1, 1, False, 2, True, False, , 0, False, True, 2, 2"</definedName>
    <definedName name="cb_sChart1AC02765_opts">"1, 1, 1, False, 2, True, False, , 0, False, True, 2, 2"</definedName>
    <definedName name="cb_sChart1AC027D9_opts">"1, 1, 1, False, 2, True, False, , 0, False, True, 2, 2"</definedName>
    <definedName name="CBWorkbookPriority">-1980710710</definedName>
    <definedName name="cc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ccc">{#N/A,#N/A,FALSE,"Calc";#N/A,#N/A,FALSE,"Sensitivity";#N/A,#N/A,FALSE,"LT Earn.Dil.";#N/A,#N/A,FALSE,"Dil. AVP"}</definedName>
    <definedName name="cccc">{#N/A,#N/A,FALSE,"Layout Cash Flow"}</definedName>
    <definedName name="ccccc">{#N/A,#N/A,FALSE,"Layout Cash Flow"}</definedName>
    <definedName name="ccccccc">{"rtn",#N/A,FALSE,"RTN";"tables",#N/A,FALSE,"RTN";"cf",#N/A,FALSE,"CF";"stats",#N/A,FALSE,"Stats";"prop",#N/A,FALSE,"Prop"}</definedName>
    <definedName name="ccccccc_1">{"rtn",#N/A,FALSE,"RTN";"tables",#N/A,FALSE,"RTN";"cf",#N/A,FALSE,"CF";"stats",#N/A,FALSE,"Stats";"prop",#N/A,FALSE,"Prop"}</definedName>
    <definedName name="cccccccccccc">{"Outflow 1",#N/A,FALSE,"Outflows-Inflows";"Outflow 2",#N/A,FALSE,"Outflows-Inflows";"Inflow 1",#N/A,FALSE,"Outflows-Inflows";"Inflow 2",#N/A,FALSE,"Outflows-Inflows"}</definedName>
    <definedName name="cccccccccccc_1">{"Outflow 1",#N/A,FALSE,"Outflows-Inflows";"Outflow 2",#N/A,FALSE,"Outflows-Inflows";"Inflow 1",#N/A,FALSE,"Outflows-Inflows";"Inflow 2",#N/A,FALSE,"Outflows-Inflows"}</definedName>
    <definedName name="cdsc">{#N/A,#N/A,FALSE,"FFCXOUT3"}</definedName>
    <definedName name="CDW">{#N/A,#N/A,FALSE,"Job Sched"}</definedName>
    <definedName name="chart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New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osie">{#N/A,#N/A,FALSE,"Pharm";#N/A,#N/A,FALSE,"WWCM"}</definedName>
    <definedName name="CIQWBGuid">"Financials 8-31-2012.xlsx"</definedName>
    <definedName name="CIQWBGuil2">"c74735fe-0900-4227-b020-948d12a31ac8"</definedName>
    <definedName name="COGstandard">{#N/A,#N/A,FALSE,"Pharm";#N/A,#N/A,FALSE,"WWCM"}</definedName>
    <definedName name="comm">{"PAGE 1",#N/A,FALSE,"WEST_OT"}</definedName>
    <definedName name="comm2">{"PAGE 1",#N/A,FALSE,"WEST_OT"}</definedName>
    <definedName name="comm3">{"PAGE 1",#N/A,FALSE,"WEST_OT"}</definedName>
    <definedName name="commrev2">{"PAGE 1",#N/A,FALSE,"WEST_OT"}</definedName>
    <definedName name="Compad">{#N/A,#N/A,FALSE,"J97plnfp"}</definedName>
    <definedName name="comparison">{"bs",#N/A,FALSE,"SCF"}</definedName>
    <definedName name="Compco1">{"Page1",#N/A,FALSE,"CompCo";"Page2",#N/A,FALSE,"CompCo"}</definedName>
    <definedName name="Compco2">{"Page1",#N/A,FALSE,"CompCo";"Page2",#N/A,FALSE,"CompCo"}</definedName>
    <definedName name="COPY">{#N/A,#N/A,FALSE,"Pharm";#N/A,#N/A,FALSE,"WWCM"}</definedName>
    <definedName name="copy1">{#N/A,#N/A,FALSE,"Pharm";#N/A,#N/A,FALSE,"WWCM"}</definedName>
    <definedName name="COPY2">{#N/A,#N/A,FALSE,"Pharm";#N/A,#N/A,FALSE,"WWCM"}</definedName>
    <definedName name="copy233">{#N/A,#N/A,FALSE,"Pharm";#N/A,#N/A,FALSE,"WWCM"}</definedName>
    <definedName name="copy33">{#N/A,#N/A,FALSE,"Pharm";#N/A,#N/A,FALSE,"WWCM"}</definedName>
    <definedName name="copy38">{#N/A,#N/A,FALSE,"Pharm";#N/A,#N/A,FALSE,"WWCM"}</definedName>
    <definedName name="Corporate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pvs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ap">{#N/A,#N/A,FALSE,"J97plnfp"}</definedName>
    <definedName name="Customers">{#N/A,#N/A,FALSE,"1996";#N/A,#N/A,FALSE,"1995";#N/A,#N/A,FALSE,"1994"}</definedName>
    <definedName name="cv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wvu.ALL.">#REF!,#REF!</definedName>
    <definedName name="Cwvu.KJP_CC.">#REF!,#REF!,#REF!,#REF!,#REF!,#REF!,#REF!,#REF!,#REF!,#REF!,#REF!,#REF!,#REF!,#REF!,#REF!,#REF!,#REF!,#REF!,#REF!,#REF!</definedName>
    <definedName name="Cwvu.PRT.">#REF!,#REF!,#REF!,#REF!,#REF!</definedName>
    <definedName name="D">{#N/A,#N/A,FALSE,"AD_Purch";#N/A,#N/A,FALSE,"Projections";#N/A,#N/A,FALSE,"DCF";#N/A,#N/A,FALSE,"Mkt Val"}</definedName>
    <definedName name="DAD">{#N/A,#N/A,FALSE,"REPORT"}</definedName>
    <definedName name="DADF">{#N/A,#N/A,FALSE,"REPORT"}</definedName>
    <definedName name="dadfa">{"PAGE1",#N/A,FALSE,"ADJMODL";"PAGE2",#N/A,FALSE,"ADJMODL";"PAGE3",#N/A,FALSE,"ADJMODL";"PAGE4",#N/A,FALSE,"ADJMODL";"PAGE5",#N/A,FALSE,"ADJMODL";"PAGE6",#N/A,FALSE,"ADJMODL";"PAGE7",#N/A,FALSE,"ADJMODL";"PAGE8",#N/A,FALSE,"ADJMODL"}</definedName>
    <definedName name="daf">{#N/A,#N/A,FALSE,"1";#N/A,#N/A,FALSE,"2";#N/A,#N/A,FALSE,"16 - 17";#N/A,#N/A,FALSE,"18 - 19";#N/A,#N/A,FALSE,"26";#N/A,#N/A,FALSE,"27";#N/A,#N/A,FALSE,"28"}</definedName>
    <definedName name="dafd">{"bs",#N/A,FALSE,"SCF"}</definedName>
    <definedName name="dafdsaf">{"incomemth",#N/A,TRUE,"forecast00";"incomepercentmth",#N/A,TRUE,"forecast00";"balancemth",#N/A,TRUE,"forecast00";"cashmth",#N/A,TRUE,"forecast00";"covenantmth",#N/A,TRUE,"forecast00"}</definedName>
    <definedName name="dafdsf">{"qchm_dcf",#N/A,FALSE,"QCHMDCF2";"qchm_terminal",#N/A,FALSE,"QCHMDCF2"}</definedName>
    <definedName name="dafsaf1">{"incomemth",#N/A,TRUE,"forecast00";"incomepercentmth",#N/A,TRUE,"forecast00";"balancemth",#N/A,TRUE,"forecast00";"cashmth",#N/A,TRUE,"forecast00";"covenantmth",#N/A,TRUE,"forecast00"}</definedName>
    <definedName name="dakfkjafgkeaj">{#N/A,#N/A,FALSE,"Pharm";#N/A,#N/A,FALSE,"WWCM"}</definedName>
    <definedName name="Dat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">{"BONUS JOURNAL ENTRY",#N/A,FALSE,"BONUS";"BONUS CALC",#N/A,FALSE,"BONUS";"BONUS DATA",#N/A,FALSE,"BONUS"}</definedName>
    <definedName name="Data_summary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b">{#N/A,#N/A,FALSE,"Memo Page";#N/A,#N/A,FALSE,"Flash";#N/A,#N/A,FALSE,"Sls vs Mkt";#N/A,#N/A,FALSE,"YTD";#N/A,#N/A,FALSE,"Brand Detail";#N/A,#N/A,FALSE,"QTR_Index"}</definedName>
    <definedName name="dbed">{"histincome",#N/A,FALSE,"hyfins";"closing balance",#N/A,FALSE,"hyfins"}</definedName>
    <definedName name="dbf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CF">{#N/A,#N/A,FALSE,"Projections";#N/A,#N/A,FALSE,"Multiples Valuation";#N/A,#N/A,FALSE,"LBO";#N/A,#N/A,FALSE,"Multiples_Sensitivity";#N/A,#N/A,FALSE,"Summary"}</definedName>
    <definedName name="DCF_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>{"Opsys",#N/A,FALSE,"NPV_OPsys";"NT",#N/A,FALSE,"NPV_NT";"DevP",#N/A,FALSE,"NPV_DevPdt";"Office",#N/A,FALSE,"NPV_Office"}</definedName>
    <definedName name="ddd">{"histincome",#N/A,FALSE,"hyfins";"closing balance",#N/A,FALSE,"hyfins"}</definedName>
    <definedName name="dddaz">{#N/A,#N/A,FALSE,"Pharm";#N/A,#N/A,FALSE,"WWCM"}</definedName>
    <definedName name="dddd">{"SALARIES",#N/A,FALSE,"SAMPLECC"}</definedName>
    <definedName name="dddddd">{#N/A,#N/A,FALSE,"Pharm";#N/A,#N/A,FALSE,"WWCM"}</definedName>
    <definedName name="ddde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ee">{#N/A,#N/A,FALSE,"Finanzbedarsrechnung"}</definedName>
    <definedName name="ddfwd">{"PAGE1",#N/A,FALSE,"ADJMODL";"PAGE2",#N/A,FALSE,"ADJMODL";"PAGE3",#N/A,FALSE,"ADJMODL";"PAGE4",#N/A,FALSE,"ADJMODL";"PAGE5",#N/A,FALSE,"ADJMODL";"PAGE6",#N/A,FALSE,"ADJMODL";"PAGE7",#N/A,FALSE,"ADJMODL";"PAGE8",#N/A,FALSE,"ADJMODL"}</definedName>
    <definedName name="DE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bbie">{"FY03_Assets",#N/A,FALSE,"Fin Stmt Budget";"FY03_Liabilities",#N/A,FALSE,"Fin Stmt Budget";"FY03_Inc_Stmt",#N/A,FALSE,"Fin Stmt Budget";"FY03_SOCF",#N/A,FALSE,"Fin Stmt Budget"}</definedName>
    <definedName name="Debt">{"print 1.6",#N/A,FALSE,"Sheet1";"print 2.6",#N/A,FALSE,"Sheet1";"print 3.6",#N/A,FALSE,"Sheet1";"print 4.6",#N/A,FALSE,"Sheet1";"print 5.6",#N/A,FALSE,"Sheet1";"print 6.6",#N/A,FALSE,"Sheet1"}</definedName>
    <definedName name="Debt_1">{"print 1.6",#N/A,FALSE,"Sheet1";"print 2.6",#N/A,FALSE,"Sheet1";"print 3.6",#N/A,FALSE,"Sheet1";"print 4.6",#N/A,FALSE,"Sheet1";"print 5.6",#N/A,FALSE,"Sheet1";"print 6.6",#N/A,FALSE,"Sheet1"}</definedName>
    <definedName name="DebtService1">{"Outflow 1",#N/A,FALSE,"Outflows-Inflows";"Outflow 2",#N/A,FALSE,"Outflows-Inflows";"Inflow 1",#N/A,FALSE,"Outflows-Inflows";"Inflow 2",#N/A,FALSE,"Outflows-Inflows"}</definedName>
    <definedName name="Dec95JobSched">{#N/A,#N/A,FALSE,"Job Sched"}</definedName>
    <definedName name="dede">{#N/A,#N/A,FALSE,"Pharm";#N/A,#N/A,FALSE,"WWCM"}</definedName>
    <definedName name="DEDED">{#N/A,#N/A,FALSE,"Card";#N/A,#N/A,FALSE,"Prav";#N/A,#N/A,FALSE,"Irbe";#N/A,#N/A,FALSE,"Plavix";#N/A,#N/A,FALSE,"Capt";#N/A,#N/A,FALSE,"Fosi"}</definedName>
    <definedName name="DEDEDZE">{#N/A,#N/A,FALSE,"Pharm";#N/A,#N/A,FALSE,"WWCM"}</definedName>
    <definedName name="DEDZD">{#N/A,#N/A,FALSE,"Pharm";#N/A,#N/A,FALSE,"WWCM"}</definedName>
    <definedName name="DEE">{#N/A,#N/A,FALSE,"Pharm";#N/A,#N/A,FALSE,"WWCM"}</definedName>
    <definedName name="DEZLFEZKLHF">{#N/A,#N/A,FALSE,"Pharm";#N/A,#N/A,FALSE,"WWCM"}</definedName>
    <definedName name="df">{"Matrix",#N/A,FALSE,"ACQMTRX";"Fees",#N/A,FALSE,"ACQMTRX"}</definedName>
    <definedName name="dfa">{"Acq_matrix",#N/A,FALSE,"Acquisition Matrix"}</definedName>
    <definedName name="dfd">{"BS",#N/A,FALSE,"USA"}</definedName>
    <definedName name="dfdas">{"FCB_ALL",#N/A,FALSE,"FCB";"GREY_ALL",#N/A,FALSE,"GREY"}</definedName>
    <definedName name="DFDD">{#N/A,#N/A,FALSE,"REPORT"}</definedName>
    <definedName name="dfdf">{"page1",#N/A,FALSE,"BHCOMPC5";"page2",#N/A,FALSE,"BHCOMPC5";"page3",#N/A,FALSE,"BHCOMPC5";"page4",#N/A,FALSE,"BHCOMPC5"}</definedName>
    <definedName name="dfdfd">{"FCB_ALL",#N/A,FALSE,"FCB";"GREY_ALL",#N/A,FALSE,"GREY"}</definedName>
    <definedName name="dfdfdfd">{#N/A,#N/A,FALSE,"AD_Purchase";#N/A,#N/A,FALSE,"Credit";#N/A,#N/A,FALSE,"PF Acquisition";#N/A,#N/A,FALSE,"PF Offering"}</definedName>
    <definedName name="dfdfdfldsj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hgfgdjgd">{"Matrix",#N/A,FALSE,"ACQMTRX";"Fees",#N/A,FALSE,"ACQMTRX"}</definedName>
    <definedName name="dfhsf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jsalkdfjlsadjf">{"PAGE1",#N/A,FALSE,"ADJMODL";"PAGE2",#N/A,FALSE,"ADJMODL";"PAGE3",#N/A,FALSE,"ADJMODL";"PAGE4",#N/A,FALSE,"ADJMODL";"PAGE5",#N/A,FALSE,"ADJMODL";"PAGE6",#N/A,FALSE,"ADJMODL";"PAGE7",#N/A,FALSE,"ADJMODL";"PAGE8",#N/A,FALSE,"ADJMODL"}</definedName>
    <definedName name="dfk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r">{#N/A,#N/A,FALSE,"Pharm";#N/A,#N/A,FALSE,"WWCM"}</definedName>
    <definedName name="dfsdfd">{"PAGE1",#N/A,FALSE,"ADJMODL";"PAGE2",#N/A,FALSE,"ADJMODL";"PAGE3",#N/A,FALSE,"ADJMODL";"PAGE4",#N/A,FALSE,"ADJMODL";"PAGE5",#N/A,FALSE,"ADJMODL";"PAGE6",#N/A,FALSE,"ADJMODL";"PAGE7",#N/A,FALSE,"ADJMODL";"PAGE8",#N/A,FALSE,"ADJMODL"}</definedName>
    <definedName name="dgdg">{#N/A,#N/A,FALSE,"Calc";#N/A,#N/A,FALSE,"Sensitivity";#N/A,#N/A,FALSE,"LT Earn.Dil.";#N/A,#N/A,FALSE,"Dil. AVP"}</definedName>
    <definedName name="dgdgss">{"consolidated",#N/A,FALSE,"Sheet1";"cms",#N/A,FALSE,"Sheet1";"fse",#N/A,FALSE,"Sheet1"}</definedName>
    <definedName name="Div_Industrial">{"adj95mult",#N/A,FALSE,"COMPCO";"adj95est",#N/A,FALSE,"COMPCO"}</definedName>
    <definedName name="djd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fdkjf">{"PAGE1",#N/A,FALSE,"ADJMODL";"PAGE2",#N/A,FALSE,"ADJMODL";"PAGE3",#N/A,FALSE,"ADJMODL";"PAGE4",#N/A,FALSE,"ADJMODL";"PAGE5",#N/A,FALSE,"ADJMODL";"PAGE6",#N/A,FALSE,"ADJMODL";"PAGE7",#N/A,FALSE,"ADJMODL";"PAGE8",#N/A,FALSE,"ADJMODL"}</definedName>
    <definedName name="djksljd">{#N/A,#N/A,FALSE,"Other";#N/A,#N/A,FALSE,"Ace";#N/A,#N/A,FALSE,"Derm"}</definedName>
    <definedName name="dkfjdfNew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>{#N/A,#N/A,FALSE,"Pharm";#N/A,#N/A,FALSE,"WWCM"}</definedName>
    <definedName name="dkj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oh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ug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dsa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d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fsffss">{#N/A,#N/A,FALSE,"Pharm";#N/A,#N/A,FALSE,"WWCM"}</definedName>
    <definedName name="dsg">{#N/A,#N/A,FALSE,"Calc";#N/A,#N/A,FALSE,"Sensitivity";#N/A,#N/A,FALSE,"LT Earn.Dil.";#N/A,#N/A,FALSE,"Dil. AVP"}</definedName>
    <definedName name="DSO">{#N/A,#N/A,TRUE,"index";#N/A,#N/A,TRUE,"Summary";#N/A,#N/A,TRUE,"Continuing Business";#N/A,#N/A,TRUE,"Disposals";#N/A,#N/A,TRUE,"Acquisitions";#N/A,#N/A,TRUE,"Actual &amp; Plan Reconciliation"}</definedName>
    <definedName name="dss">{#N/A,#N/A,FALSE,"ACQ_GRAPHS";#N/A,#N/A,FALSE,"T_1 GRAPHS";#N/A,#N/A,FALSE,"T_2 GRAPHS";#N/A,#N/A,FALSE,"COMB_GRAPHS"}</definedName>
    <definedName name="dsss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vdfv">{"VWJECAN",#N/A,FALSE,"D"}</definedName>
    <definedName name="e">{#N/A,#N/A,FALSE,"Layout GuV"}</definedName>
    <definedName name="e5yy25y">{#N/A,#N/A,FALSE,"Projections";#N/A,#N/A,FALSE,"Contribution_Stock";#N/A,#N/A,FALSE,"PF_Combo_Stock";#N/A,#N/A,FALSE,"Projections";#N/A,#N/A,FALSE,"Contribution_Cash";#N/A,#N/A,FALSE,"PF_Combo_Cash";#N/A,#N/A,FALSE,"IPO_Cash"}</definedName>
    <definedName name="East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coast">{"FY04_Assets",#N/A,FALSE,"Fin Stmt Budget";"FY04_Liabilities",#N/A,FALSE,"Fin Stmt Budget";"FY04_Inc_Stmt",#N/A,FALSE,"Fin Stmt Budget";"FY04_SOCF",#N/A,FALSE,"Fin Stmt Budget"}</definedName>
    <definedName name="Eastern">{"FY03_Assets",#N/A,FALSE,"Fin Stmt Budget";"FY03_Liabilities",#N/A,FALSE,"Fin Stmt Budget";"FY03_Inc_Stmt",#N/A,FALSE,"Fin Stmt Budget";"FY03_SOCF",#N/A,FALSE,"Fin Stmt Budget"}</definedName>
    <definedName name="ee">{"roll-up 3",#N/A,FALSE,"Roll-up";"production 3",#N/A,FALSE,"Production";"waste 3",#N/A,FALSE,"Waste";"mact revenues 3",#N/A,FALSE,"MACT Revenues";"depreciation 3",#N/A,FALSE,"Depreciation";"total costs 3",#N/A,FALSE,"Total Costs";"plant costs 3",#N/A,FALSE,"Plant Costs";"cmw costs 3",#N/A,FALSE,"CMW Costs";"braintree costs 3",#N/A,FALSE,"Braintree Costs";"plymouth costs 3",#N/A,FALSE,"Plymouth Costs";"labor 3",#N/A,FALSE,"Labor Summary";"host fees 3",#N/A,FALSE,"Host Fees";"materials 3",#N/A,FALSE,"Materials";"transportation 3",#N/A,FALSE,"Transportation";"maintenance 3",#N/A,FALSE,"Maintenance Services";"closure 3",#N/A,FALSE,"Closure-Post Closure";"interest 3",#N/A,FALSE,"Interest";"purchase 3",#N/A,FALSE,"Purchase Accounting";"capital 3",#N/A,FALSE,"Capital";"own bs 3",#N/A,FALSE,"OWN - BS";"own pl 3",#N/A,FALSE,"OWN - PL";"op bs 3",#N/A,FALSE,"OP - BS";"op pl 3",#N/A,FALSE,"OP - PL";"op socf",#N/A,FALSE,"OP - SOCF";"sp bs 3",#N/A,FALSE,"SP - BS";"sp pl 3",#N/A,FALSE,"SP - PL";"sp socf 3",#N/A,FALSE,"SP - SOCF";"waterfall 3",#N/A,FALSE,"SP - Waterfall"}</definedName>
    <definedName name="EEE">{#N/A,#N/A,FALSE,"Pharm";#N/A,#N/A,FALSE,"WWCM"}</definedName>
    <definedName name="eeeee">{#N/A,#N/A,FALSE,"Pharm";#N/A,#N/A,FALSE,"WWCM"}</definedName>
    <definedName name="eerre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ferferfge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jejejej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kfgkjze">{#N/A,#N/A,FALSE,"Pharm";#N/A,#N/A,FALSE,"WWCM"}</definedName>
    <definedName name="emily">{#N/A,#N/A,FALSE,"Calc";#N/A,#N/A,FALSE,"Sensitivity";#N/A,#N/A,FALSE,"LT Earn.Dil.";#N/A,#N/A,FALSE,"Dil. AVP"}</definedName>
    <definedName name="Eng">{"PAGE 1",#N/A,FALSE,"WEST_OT"}</definedName>
    <definedName name="EraseMe">{#N/A,#N/A,FALSE,"Job Sched"}</definedName>
    <definedName name="erd">{#N/A,#N/A,FALSE,"Pharm";#N/A,#N/A,FALSE,"WWCM"}</definedName>
    <definedName name="erryeyetyuu">{#N/A,#N/A,FALSE,"Pharm";#N/A,#N/A,FALSE,"WWCM"}</definedName>
    <definedName name="er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ertdftr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tdsfey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rtsd">{"cap_structure",#N/A,FALSE,"Graph-Mkt Cap";"price",#N/A,FALSE,"Graph-Price";"ebit",#N/A,FALSE,"Graph-EBITDA";"ebitda",#N/A,FALSE,"Graph-EBITDA"}</definedName>
    <definedName name="erwtre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SSAI">{#N/A,#N/A,FALSE,"Pharm";#N/A,#N/A,FALSE,"WWCM"}</definedName>
    <definedName name="etet">{#N/A,#N/A,FALSE,"Calc";#N/A,#N/A,FALSE,"Sensitivity";#N/A,#N/A,FALSE,"LT Earn.Dil.";#N/A,#N/A,FALSE,"Dil. AVP"}</definedName>
    <definedName name="etr">{#N/A,#N/A,FALSE,"FACTSHEETS";#N/A,#N/A,FALSE,"pump";#N/A,#N/A,FALSE,"filter"}</definedName>
    <definedName name="EUROPE">{#N/A,#N/A,FALSE,"Est97";#N/A,#N/A,FALSE,"Plan98";#N/A,#N/A,FALSE,"Graphs";#N/A,#N/A,FALSE,"5Yr"}</definedName>
    <definedName name="EV__CVPARAMS__">"Any by Any!$B$15:$C$36;"</definedName>
    <definedName name="EV__DECIMALSYMBOL__">"."</definedName>
    <definedName name="EV__EVCOM_OPTIONS__">8</definedName>
    <definedName name="EV__EXPOPTIONS__">0</definedName>
    <definedName name="EV__LASTREFTIME__">41613.6635416666</definedName>
    <definedName name="EV__LOCKEDCVW__FINANCE">"INCOME_STATEMENT,ACTUAL,TOTWITHALLOC,Madras_Chem_BU,All_Interco,USD,2012.MAR,ALL_VENDORS,PERIODIC,"</definedName>
    <definedName name="EV__LOCKSTATUS__">2</definedName>
    <definedName name="EV__MAXEXPCOLS__">100</definedName>
    <definedName name="EV__MAXEXPROWS__">1000</definedName>
    <definedName name="EV__MEMORYCVW__">0</definedName>
    <definedName name="EV__WBEVMODE__">0</definedName>
    <definedName name="EV__WBREFOPTIONS__">134217783</definedName>
    <definedName name="EV__WBVERSION__">0</definedName>
    <definedName name="EV_LASTREFTIME">38943.6463310185</definedName>
    <definedName name="ewgw">{#N/A,#N/A,FALSE,"Admin";#N/A,#N/A,FALSE,"Other"}</definedName>
    <definedName name="ewrew">{#N/A,#N/A,FALSE,"Projections";#N/A,#N/A,FALSE,"Multiples Valuation";#N/A,#N/A,FALSE,"LBO";#N/A,#N/A,FALSE,"Multiples_Sensitivity";#N/A,#N/A,FALSE,"Summary"}</definedName>
    <definedName name="ewrfsdtr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ewrysdfer">{"inputs raw data",#N/A,TRUE,"INPUT"}</definedName>
    <definedName name="ewwe">{#N/A,#N/A,FALSE,"REPORT"}</definedName>
    <definedName name="ExactAddinReports">1</definedName>
    <definedName name="ExecSummary">{#N/A,#N/A,FALSE,"J97plnfp"}</definedName>
    <definedName name="f">{#N/A,#N/A,FALSE,"Layout Aktiva";#N/A,#N/A,FALSE,"Layout Passiva";#N/A,#N/A,FALSE,"Layout GuV";#N/A,#N/A,FALSE,"Layout Cash Flow";#N/A,#N/A,FALSE,"Mittelherkunft";#N/A,#N/A,FALSE,"Mittelverwendung";#N/A,#N/A,FALSE,"Finanzbedarsrechnung"}</definedName>
    <definedName name="fasdfs">{#N/A,#N/A,FALSE,"Aging Summary";#N/A,#N/A,FALSE,"Ratio Analysis";#N/A,#N/A,FALSE,"Test 120 Day Accts";#N/A,#N/A,FALSE,"Tickmarks"}</definedName>
    <definedName name="fcd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uk">{"by departments",#N/A,TRUE,"FORECAST";"cap_headcount",#N/A,TRUE,"FORECAST";"summary",#N/A,TRUE,"FORECAST"}</definedName>
    <definedName name="fdasfasd">{"bs",#N/A,FALSE,"SCF"}</definedName>
    <definedName name="fdf">{"incomemth",#N/A,TRUE,"forecast00";"incomepercentmth",#N/A,TRUE,"forecast00";"balancemth",#N/A,TRUE,"forecast00";"cashmth",#N/A,TRUE,"forecast00";"covenantmth",#N/A,TRUE,"forecast00"}</definedName>
    <definedName name="FD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ghdf">{"inputs raw data",#N/A,TRUE,"INPUT"}</definedName>
    <definedName name="FDFS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g">{"incomemth",#N/A,TRUE,"forecast00";"incomepercentmth",#N/A,TRUE,"forecast00";"balancemth",#N/A,TRUE,"forecast00";"cashmth",#N/A,TRUE,"forecast00";"covenantmth",#N/A,TRUE,"forecast00"}</definedName>
    <definedName name="fds">{#N/A,#N/A,FALSE,"Pharm";#N/A,#N/A,FALSE,"WWCM"}</definedName>
    <definedName name="fdsa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fdsfsd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>{"incomemth",#N/A,TRUE,"forecast00";"incomepercentmth",#N/A,TRUE,"forecast00";"balancemth",#N/A,TRUE,"forecast00";"cashmth",#N/A,TRUE,"forecast00";"covenantmth",#N/A,TRUE,"forecast00"}</definedName>
    <definedName name="fdsg1">{"incomemth",#N/A,TRUE,"forecast00";"incomepercentmth",#N/A,TRUE,"forecast00";"balancemth",#N/A,TRUE,"forecast00";"cashmth",#N/A,TRUE,"forecast00";"covenantmth",#N/A,TRUE,"forecast00"}</definedName>
    <definedName name="fdskj">{#N/A,#N/A,FALSE,"Model";#N/A,#N/A,FALSE,"Division"}</definedName>
    <definedName name="fe">{#N/A,#N/A,FALSE,"Layout GuV"}</definedName>
    <definedName name="fedf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fs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f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FFDFDFSD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">{#N/A,#N/A,FALSE,"Pharm";#N/A,#N/A,FALSE,"WWCM"}</definedName>
    <definedName name="ffff">{"SALESSCHED",#N/A,FALSE,"SAMPLECC"}</definedName>
    <definedName name="ffff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ffff">{#N/A,#N/A,FALSE,"Pharm";#N/A,#N/A,FALSE,"WWCM"}</definedName>
    <definedName name="ffy">{#N/A,#N/A,FALSE,"FY97";#N/A,#N/A,FALSE,"FY98";#N/A,#N/A,FALSE,"FY99";#N/A,#N/A,FALSE,"FY00";#N/A,#N/A,FALSE,"FY01"}</definedName>
    <definedName name="fg">{#N/A,#N/A,FALSE,"REPORT"}</definedName>
    <definedName name="fgefgef">{"qchm_dcf",#N/A,FALSE,"QCHMDCF2";"qchm_terminal",#N/A,FALSE,"QCHMDCF2"}</definedName>
    <definedName name="fgkjkh">{#N/A,#N/A,FALSE,"REPORT"}</definedName>
    <definedName name="fgsg">{"consolidated",#N/A,FALSE,"Sheet1";"cms",#N/A,FALSE,"Sheet1";"fse",#N/A,FALSE,"Sheet1"}</definedName>
    <definedName name="fhrghgrd">{"DCF1",#N/A,FALSE,"SIERRA DCF";"MATRIX1",#N/A,FALSE,"SIERRA DCF"}</definedName>
    <definedName name="financials">{"PAGE1",#N/A,FALSE,"BID (3)";"PAGE2",#N/A,FALSE,"BID (3)"}</definedName>
    <definedName name="FJEZK">{#N/A,#N/A,FALSE,"Pharm";#N/A,#N/A,FALSE,"WWCM"}</definedName>
    <definedName name="fjlk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orgeti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r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F">{#N/A,#N/A,FALSE,"1";#N/A,#N/A,FALSE,"2";#N/A,#N/A,FALSE,"16 - 17";#N/A,#N/A,FALSE,"18 - 19";#N/A,#N/A,FALSE,"26";#N/A,#N/A,FALSE,"27";#N/A,#N/A,FALSE,"28"}</definedName>
    <definedName name="FRFERFE">{#N/A,#N/A,FALSE,"Pharm";#N/A,#N/A,FALSE,"WWCM"}</definedName>
    <definedName name="fs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fsa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sd">{"inputs raw data",#N/A,TRUE,"INPUT"}</definedName>
    <definedName name="fsdfdfa">{"page1",#N/A,FALSE,"BHCOMPC5";"page2",#N/A,FALSE,"BHCOMPC5";"page3",#N/A,FALSE,"BHCOMPC5";"page4",#N/A,FALSE,"BHCOMPC5"}</definedName>
    <definedName name="fsfs">{#N/A,#N/A,FALSE,"Calc";#N/A,#N/A,FALSE,"Sensitivity";#N/A,#N/A,FALSE,"LT Earn.Dil.";#N/A,#N/A,FALSE,"Dil. AVP"}</definedName>
    <definedName name="fsssadfd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uck">{"by departments",#N/A,TRUE,"FORECAST";"cap_headcount",#N/A,TRUE,"FORECAST";"summary",#N/A,TRUE,"FORECAST"}</definedName>
    <definedName name="fuckme">{"SUMMARY",#N/A,TRUE,"SUMMARY";"compare",#N/A,TRUE,"Vs. Bus Plan";"ratios",#N/A,TRUE,"Ratios";"REVENUE",#N/A,TRUE,"Revenue";"expenses",#N/A,TRUE,"1996 budget";"payroll",#N/A,TRUE,"Payroll"}</definedName>
    <definedName name="fundIV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VG">{#N/A,#N/A,FALSE,"Pharm";#N/A,#N/A,FALSE,"WWCM"}</definedName>
    <definedName name="FWEg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">{#N/A,#N/A,FALSE,"Pharm";#N/A,#N/A,FALSE,"WWCM"}</definedName>
    <definedName name="GA">{#N/A,#N/A,FALSE,"Job Sched"}</definedName>
    <definedName name="gdfgdf">{#N/A,#N/A,FALSE,"Pharm";#N/A,#N/A,FALSE,"WWCM"}</definedName>
    <definedName name="gdgd">{#N/A,#N/A,FALSE,"Calc";#N/A,#N/A,FALSE,"Sensitivity";#N/A,#N/A,FALSE,"LT Earn.Dil.";#N/A,#N/A,FALSE,"Dil. AVP"}</definedName>
    <definedName name="GeelCapexFcst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s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ww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f">{"incomemth",#N/A,TRUE,"forecast00";"incomepercentmth",#N/A,TRUE,"forecast00";"balancemth",#N/A,TRUE,"forecast00";"cashmth",#N/A,TRUE,"forecast00";"covenantmth",#N/A,TRUE,"forecast00"}</definedName>
    <definedName name="gfdjhjh">{#N/A,#N/A,FALSE,"Pharm";#N/A,#N/A,FALSE,"WWCM"}</definedName>
    <definedName name="gfsd">{"consolidated",#N/A,FALSE,"Sheet1";"cms",#N/A,FALSE,"Sheet1";"fse",#N/A,FALSE,"Sheet1"}</definedName>
    <definedName name="GG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gg">{#N/A,#N/A,FALSE,"A"}</definedName>
    <definedName name="ghjggjh">{#N/A,#N/A,FALSE,"Pharm";#N/A,#N/A,FALSE,"WWCM"}</definedName>
    <definedName name="ghjyt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Gleacher">{"COSTCENTER",#N/A,FALSE,"SAMPLECC";"SALARIES",#N/A,FALSE,"SAMPLECC";"SALESSCHED",#N/A,FALSE,"SAMPLECC";"REVIEW",#N/A,FALSE,"SAMPLECC"}</definedName>
    <definedName name="Global1">{#N/A,#N/A,FALSE,"Pharm";#N/A,#N/A,FALSE,"WWCM"}</definedName>
    <definedName name="gods">{"consolidated",#N/A,FALSE,"Sheet1";"cms",#N/A,FALSE,"Sheet1";"fse",#N/A,FALSE,"Sheet1"}</definedName>
    <definedName name="gooch">{#N/A,#N/A,FALSE,"Projections";#N/A,#N/A,FALSE,"Multiples Valuation";#N/A,#N/A,FALSE,"LBO";#N/A,#N/A,FALSE,"Multiples_Sensitivity";#N/A,#N/A,FALSE,"Summary"}</definedName>
    <definedName name="gors">{"var_page",#N/A,FALSE,"template"}</definedName>
    <definedName name="gotfff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oto">{#N/A,#N/A,FALSE,"PRO FORMA FINANCIALS"}</definedName>
    <definedName name="graph">{#N/A,#N/A,FALSE,"REPORT"}</definedName>
    <definedName name="GREG_wrn.Bonus.">{"BONUS JOURNAL ENTRY",#N/A,FALSE,"BONUS";"BONUS CALC",#N/A,FALSE,"BONUS";"BONUS DATA",#N/A,FALSE,"BONUS"}</definedName>
    <definedName name="gui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h">{#N/A,#N/A,FALSE,"REPORT"}</definedName>
    <definedName name="hddd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ello">{"rtn",#N/A,FALSE,"RTN";"tables",#N/A,FALSE,"RTN";"cf",#N/A,FALSE,"CF";"stats",#N/A,FALSE,"Stats";"prop",#N/A,FALSE,"Prop"}</definedName>
    <definedName name="Hello_1">{"rtn",#N/A,FALSE,"RTN";"tables",#N/A,FALSE,"RTN";"cf",#N/A,FALSE,"CF";"stats",#N/A,FALSE,"Stats";"prop",#N/A,FALSE,"Prop"}</definedName>
    <definedName name="heryyw">{"Outflow 1",#N/A,FALSE,"Outflows-Inflows";"Outflow 2",#N/A,FALSE,"Outflows-Inflows";"Inflow 1",#N/A,FALSE,"Outflows-Inflows";"Inflow 2",#N/A,FALSE,"Outflows-Inflows"}</definedName>
    <definedName name="heryyw_1">{"Outflow 1",#N/A,FALSE,"Outflows-Inflows";"Outflow 2",#N/A,FALSE,"Outflows-Inflows";"Inflow 1",#N/A,FALSE,"Outflows-Inflows";"Inflow 2",#N/A,FALSE,"Outflows-Inflows"}</definedName>
    <definedName name="HFinGraph">{#N/A,#N/A,FALSE,"Pharm";#N/A,#N/A,FALSE,"WWCM"}</definedName>
    <definedName name="hg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gjhg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hgjghj">{"DCF1",#N/A,FALSE,"SIERRA DCF";"MATRIX1",#N/A,FALSE,"SIERRA DCF"}</definedName>
    <definedName name="hhh">{#N/A,#N/A,FALSE,"PRO FORMA FINANCIALS"}</definedName>
    <definedName name="hhh_1">{"Outflow 1",#N/A,FALSE,"Outflows-Inflows";"Outflow 2",#N/A,FALSE,"Outflows-Inflows";"Inflow 1",#N/A,FALSE,"Outflows-Inflows";"Inflow 2",#N/A,FALSE,"Outflows-Inflows"}</definedName>
    <definedName name="Hibh">{#N/A,#N/A,FALSE,"Pharm";#N/A,#N/A,FALSE,"WWCM"}</definedName>
    <definedName name="High">{#N/A,#N/A,FALSE,"Pharm";#N/A,#N/A,FALSE,"WWCM"}</definedName>
    <definedName name="hjhjffukfuk">{#N/A,#N/A,FALSE,"Pharm";#N/A,#N/A,FALSE,"WWCM"}</definedName>
    <definedName name="hjhjfkfukywrte">{#N/A,#N/A,FALSE,"Pharm";#N/A,#N/A,FALSE,"WWCM"}</definedName>
    <definedName name="hjhkjkl">{#N/A,#N/A,FALSE,"Pharm";#N/A,#N/A,FALSE,"WWCM"}</definedName>
    <definedName name="hjjjkk">{#N/A,#N/A,FALSE,"REPORT"}</definedName>
    <definedName name="hjjkk">{#N/A,#N/A,FALSE,"Pharm";#N/A,#N/A,FALSE,"WWCM"}</definedName>
    <definedName name="hjkk">{#N/A,#N/A,FALSE,"Pharm";#N/A,#N/A,FALSE,"WWCM"}</definedName>
    <definedName name="HKSH">{#N/A,#N/A,FALSE,"REPORT"}</definedName>
    <definedName name="HMG">{#N/A,#N/A,FALSE,"REPORT"}</definedName>
    <definedName name="hn.ConvertZero1">#REF!,#REF!,#REF!,#REF!,#REF!,#REF!,#REF!,#REF!,#REF!,#REF!</definedName>
    <definedName name="hn.ConvertZero2">#REF!,#REF!,#REF!,#REF!,#REF!,#REF!,#REF!,#REF!</definedName>
    <definedName name="hn.ConvertZero3">#REF!,#REF!,#REF!,#REF!,#REF!</definedName>
    <definedName name="hn.ConvertZero4">#REF!,#REF!,#REF!,#REF!,#REF!,#REF!,#REF!,#REF!</definedName>
    <definedName name="hn.ConvertZeroUnhide1">#REF!,#REF!,#REF!</definedName>
    <definedName name="hn.Delete015">#REF!,#REF!,#REF!,#REF!,#REF!</definedName>
    <definedName name="hn.DZ_MultByFXRates">#REF!,#REF!,#REF!,#REF!</definedName>
    <definedName name="hn.LTM_MultByFXRates">#REF!,#REF!,#REF!,#REF!,#REF!,#REF!,#REF!</definedName>
    <definedName name="hn.MultbyFXRates">#REF!,#REF!,#REF!,#REF!,#REF!,#REF!,#REF!</definedName>
    <definedName name="hn.MultByFXRates1">#REF!,#REF!,#REF!,#REF!,#REF!</definedName>
    <definedName name="hn.MultByFXRates2">#REF!,#REF!,#REF!,#REF!,#REF!</definedName>
    <definedName name="hn.MultByFXRates3">#REF!,#REF!,#REF!,#REF!,#REF!</definedName>
    <definedName name="hn.MultbyFxrates4">#REF!,#REF!,#REF!,#REF!,#REF!,#REF!,#REF!</definedName>
    <definedName name="hn.multbyfxrates5">#REF!,#REF!,#REF!,#REF!,#REF!</definedName>
    <definedName name="hn.multbyfxrates6">#REF!,#REF!,#REF!,#REF!,#REF!</definedName>
    <definedName name="hn.multbyfxrates7">#REF!,#REF!,#REF!,#REF!,#REF!</definedName>
    <definedName name="hn.MultByFXRatesBot1">#REF!,#REF!,#REF!,#REF!,#REF!,#REF!,#REF!,#REF!,#REF!,#REF!,#REF!,#REF!</definedName>
    <definedName name="hn.MultByFXRatesBot2">#REF!,#REF!,#REF!,#REF!,#REF!,#REF!,#REF!,#REF!,#REF!,#REF!,#REF!,#REF!</definedName>
    <definedName name="hn.MultByFXRatesBot3">#REF!,#REF!,#REF!,#REF!,#REF!,#REF!,#REF!,#REF!,#REF!,#REF!,#REF!,#REF!</definedName>
    <definedName name="hn.MultByFXRatesBot4">#REF!,#REF!,#REF!,#REF!,#REF!,#REF!,#REF!,#REF!,#REF!,#REF!,#REF!,#REF!,#REF!</definedName>
    <definedName name="hn.MultByFXRatesBot5">#REF!,#REF!,#REF!,#REF!,#REF!,#REF!,#REF!,#REF!,#REF!,#REF!,#REF!</definedName>
    <definedName name="hn.MultByFXRatesBot6">#REF!,#REF!,#REF!,#REF!,#REF!,#REF!,#REF!,#REF!,#REF!,#REF!,#REF!</definedName>
    <definedName name="hn.MultByFXRatesBot7">#REF!,#REF!,#REF!,#REF!,#REF!,#REF!,#REF!,#REF!,#REF!,#REF!,#REF!</definedName>
    <definedName name="hn.MultByFXRatesTop1">#REF!,#REF!,#REF!,#REF!,#REF!,#REF!,#REF!,#REF!,#REF!,#REF!,#REF!,#REF!</definedName>
    <definedName name="hn.MultByFXRatesTop2">#REF!,#REF!,#REF!,#REF!,#REF!,#REF!,#REF!,#REF!,#REF!,#REF!,#REF!,#REF!,#REF!,#REF!,#REF!</definedName>
    <definedName name="hn.MultByFXRatesTop3">#REF!,#REF!,#REF!,#REF!,#REF!,#REF!,#REF!,#REF!,#REF!,#REF!,#REF!,#REF!,#REF!,#REF!,#REF!</definedName>
    <definedName name="hn.MultByFXRatesTop4">#REF!,#REF!,#REF!,#REF!,#REF!,#REF!,#REF!,#REF!,#REF!,#REF!,#REF!,#REF!,#REF!,#REF!,#REF!</definedName>
    <definedName name="hn.MultByFXRatesTop5">#REF!,#REF!,#REF!,#REF!,#REF!,#REF!,#REF!,#REF!,#REF!,#REF!,#REF!,#REF!</definedName>
    <definedName name="hn.MultByFXRatesTop6">#REF!,#REF!,#REF!,#REF!,#REF!,#REF!,#REF!,#REF!,#REF!,#REF!,#REF!,#REF!,#REF!,#REF!,#REF!</definedName>
    <definedName name="hn.MultByFXRatesTop7">#REF!,#REF!,#REF!,#REF!,#REF!,#REF!,#REF!,#REF!,#REF!,#REF!,#REF!,#REF!,#REF!,#REF!,#REF!</definedName>
    <definedName name="hnu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">{#N/A,#N/A,FALSE,"PRJCTED MNTHLY QTY's"}</definedName>
    <definedName name="hod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e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houy">{#N/A,#N/A,FALSE,"AD_Purchase";#N/A,#N/A,FALSE,"Credit";#N/A,#N/A,FALSE,"PF Acquisition";#N/A,#N/A,FALSE,"PF Offering"}</definedName>
    <definedName name="htgrer">{"page1",#N/A,FALSE,"BHCOMPC5";"page2",#N/A,FALSE,"BHCOMPC5";"page3",#N/A,FALSE,"BHCOMPC5";"page4",#N/A,FALSE,"BHCOMPC5"}</definedName>
    <definedName name="HTML_CodePage">1252</definedName>
    <definedName name="HTML_Control">{"'Sheet1'!$A$1:$J$121"}</definedName>
    <definedName name="HTML_Description">""</definedName>
    <definedName name="HTML_Email">""</definedName>
    <definedName name="HTML_Header">"Sheet1"</definedName>
    <definedName name="HTML_LastUpdate">"10/21/99"</definedName>
    <definedName name="HTML_LineAfter">FALSE</definedName>
    <definedName name="HTML_LineBefore">FALSE</definedName>
    <definedName name="HTML_Name">"Paulette Peoples"</definedName>
    <definedName name="HTML_OBDlg2">TRUE</definedName>
    <definedName name="HTML_OBDlg4">TRUE</definedName>
    <definedName name="HTML_OS">0</definedName>
    <definedName name="HTML_PathFile">"\\Bhincres01\groups\Mkt_Dev\EXECMKTR\RIGS\RigBible\Web NA.htm"</definedName>
    <definedName name="HTML_Title">"Total North America"</definedName>
    <definedName name="HTML1_1">"[SUMFIN.XLS]IncStmt!$A$1:$AB$116"</definedName>
    <definedName name="HTML2_1">"'[BankBoston Lockbox Receipts.xls]Sheet1'!$A$4:$H$42"</definedName>
    <definedName name="HTML3_1">"'[BankBoston Lockbox Receipts.xls]Sheet1'!$A$4:$J$42"</definedName>
    <definedName name="HTML4_1">"'[BankBoston Lockbox Receipts.xls]8-98'!$A$4:$H$37"</definedName>
    <definedName name="HTML5_1">"'[NDX Daily Cash Report.xls]9-98'!$A$4:$H$37"</definedName>
    <definedName name="HTML6_1">"'[NDX Daily Cash Report.xls]10-98'!$A$4:$H$38"</definedName>
    <definedName name="HTML7_1">"'[NDX Daily Cash Report.xls]11-98'!$A$4:$H$37"</definedName>
    <definedName name="HTML8_1">"'[NDX Daily Cash Report.xls]12-98'!$A$4:$H$39"</definedName>
    <definedName name="HTML9_1">"'[NDX Daily Cash Report.xls]1-99'!$A$4:$H$37"</definedName>
    <definedName name="htyuityuiotio">{#N/A,#N/A,FALSE,"REPORT"}</definedName>
    <definedName name="hu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i">{#N/A,#N/A,FALSE,"Assump2";#N/A,#N/A,FALSE,"Income2";#N/A,#N/A,FALSE,"Balance2";#N/A,#N/A,FALSE,"DCF Filter";#N/A,#N/A,FALSE,"Trans Assump2";#N/A,#N/A,FALSE,"Combined Income2";#N/A,#N/A,FALSE,"Combined Balance2"}</definedName>
    <definedName name="Hypertention">{#N/A,#N/A,FALSE,"Pharm";#N/A,#N/A,FALSE,"WWCM"}</definedName>
    <definedName name="hypo">{#N/A,#N/A,FALSE,"Pharm";#N/A,#N/A,FALSE,"WWCM"}</definedName>
    <definedName name="i">{"DCF1",#N/A,FALSE,"SIERRA DCF";"MATRIX1",#N/A,FALSE,"SIERRA DCF"}</definedName>
    <definedName name="iffx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iiii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oo">{#N/A,#N/A,FALSE,"TSUM";#N/A,#N/A,FALSE,"shares";#N/A,#N/A,FALSE,"earnout";#N/A,#N/A,FALSE,"Heaty";#N/A,#N/A,FALSE,"self-tend";#N/A,#N/A,FALSE,"self-sum"}</definedName>
    <definedName name="ik">{#N/A,#N/A,FALSE,"Calc";#N/A,#N/A,FALSE,"Sensitivity";#N/A,#N/A,FALSE,"LT Earn.Dil.";#N/A,#N/A,FALSE,"Dil. AVP"}</definedName>
    <definedName name="imob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ncStmt3">{"AUTO",#N/A,FALSE,"SAMPLECC"}</definedName>
    <definedName name="Interco2">{#N/A,#N/A,FALSE,"Job Sched"}</definedName>
    <definedName name="Interes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Inventory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P">{#N/A,#N/A,FALSE,"Pharm";#N/A,#N/A,FALSE,"WWCM"}</definedName>
    <definedName name="IPRD_mites">{"bs",#N/A,FALSE,"SCF"}</definedName>
    <definedName name="IPRD_Pollen">{"bs",#N/A,FALSE,"SCF"}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RED_BY_REPORTING_BANK_FDIC">"c6535"</definedName>
    <definedName name="IQ_ACQUISITION_RE_ASSETS">"c1628"</definedName>
    <definedName name="IQ_AD">"c7"</definedName>
    <definedName name="IQ_ADD_PAID_IN">"c1344"</definedName>
    <definedName name="IQ_ADDIN">"AUTO"</definedName>
    <definedName name="IQ_ADDITIONAL_NON_INT_INC_FDIC">"c6574"</definedName>
    <definedName name="IQ_ADJUSTABLE_RATE_LOANS_FDIC">"c6375"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FTER_TAX_INCOME_FDIC">"c6583"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ENDED_BALANCE_PREVIOUS_YR_FDIC">"c6499"</definedName>
    <definedName name="IQ_AMORT_EXPENSE_FDIC">"c6677"</definedName>
    <definedName name="IQ_AMORTIZATION">"c1591"</definedName>
    <definedName name="IQ_AMORTIZED_COST_FDIC">"c6426"</definedName>
    <definedName name="IQ_AMT_OUT">"c2145"</definedName>
    <definedName name="IQ_ANNUAL_DIVIDEND">"c229"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BACKED_FDIC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HELD_FDIC">"c6305"</definedName>
    <definedName name="IQ_ASSETS_OPER_LEASE_DEPR">"c2070"</definedName>
    <definedName name="IQ_ASSETS_OPER_LEASE_GROSS">"c2071"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UDITOR_NAME">"c1539"</definedName>
    <definedName name="IQ_AUDITOR_OPINION">"c1540"</definedName>
    <definedName name="IQ_AUTO_WRITTEN">"c62"</definedName>
    <definedName name="IQ_AVAILABLE_FOR_SALE_FDIC">"c6409"</definedName>
    <definedName name="IQ_AVERAGE_ASSETS_FDIC">"c6362"</definedName>
    <definedName name="IQ_AVERAGE_ASSETS_QUART_FDIC">"c6363"</definedName>
    <definedName name="IQ_AVERAGE_EARNING_ASSETS_FDIC">"c6748"</definedName>
    <definedName name="IQ_AVERAGE_EQUITY_FDIC">"c6749"</definedName>
    <definedName name="IQ_AVERAGE_LOANS_FDIC">"c6750"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BROKER_REC_NO_REUT">"c5315"</definedName>
    <definedName name="IQ_AVG_BROKER_REC_REUT">"c3630"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UNUSED_UNUSED_UNUSED">"c6813"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UNUSED_UNUSED_UNUSED">"c6815"</definedName>
    <definedName name="IQ_BALANCE_SERV_YOY_FC_UNUSED_UNUSED_UNUSED">"c8135"</definedName>
    <definedName name="IQ_BALANCE_SERV_YOY_UNUSED_UNUSED_UNUSED">"c7255"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UNUSED_UNUSED_UNUSED">"c6817"</definedName>
    <definedName name="IQ_BALANCE_TRADE_YOY_FC_UNUSED_UNUSED_UNUSED">"c8137"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TOTAL_DEPOSITS_FDIC">"c6475"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NCHMARK_SECURITY">"c2154"</definedName>
    <definedName name="IQ_BENCHMARK_SPRD">"c2153"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FAX">"c2100"</definedName>
    <definedName name="IQ_BOARD_MEMBER_OFFICE">"c2098"</definedName>
    <definedName name="IQ_BOARD_MEMBER_PHONE">"c2099"</definedName>
    <definedName name="IQ_BOARD_MEMBER_TITLE">"c97"</definedName>
    <definedName name="IQ_BOND_COUPON">"c2183"</definedName>
    <definedName name="IQ_BOND_COUPON_TYPE">"c2184"</definedName>
    <definedName name="IQ_BOND_PRICE">"c2162"</definedName>
    <definedName name="IQ_BONDRATING_FITCH">"c223"</definedName>
    <definedName name="IQ_BONDRATING_FITCH_DATE">"c241"</definedName>
    <definedName name="IQ_BONDRATING_SP">"c224"</definedName>
    <definedName name="IQ_BONDRATING_SP_DATE">"c242"</definedName>
    <definedName name="IQ_BOOK_VALUE">"c68"</definedName>
    <definedName name="IQ_BROK_COMISSION">"c98"</definedName>
    <definedName name="IQ_BROKERED_DEPOSITS_FDIC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BV_SHARE_ACT_OR_EST_REUT">"c5477"</definedName>
    <definedName name="IQ_BV_SHARE_EST_REUT">"c5439"</definedName>
    <definedName name="IQ_BV_SHARE_HIGH_EST_REUT">"c5441"</definedName>
    <definedName name="IQ_BV_SHARE_LOW_EST_REUT">"c5442"</definedName>
    <definedName name="IQ_BV_SHARE_MEDIAN_EST_REUT">"c5440"</definedName>
    <definedName name="IQ_BV_SHARE_NUM_EST_REUT">"c5443"</definedName>
    <definedName name="IQ_BV_SHARE_STDDEV_EST_REUT">"c5444"</definedName>
    <definedName name="IQ_CAL_Q">"c101"</definedName>
    <definedName name="IQ_CAL_Y">"c102"</definedName>
    <definedName name="IQ_CALL_FEATURE">"c2197"</definedName>
    <definedName name="IQ_CALLABLE">"c2196"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ACT_OR_EST_REUT">"c5474"</definedName>
    <definedName name="IQ_CAPEX_BNK">"c110"</definedName>
    <definedName name="IQ_CAPEX_BR">"c111"</definedName>
    <definedName name="IQ_CAPEX_EST_REUT">"c3969"</definedName>
    <definedName name="IQ_CAPEX_FIN">"c112"</definedName>
    <definedName name="IQ_CAPEX_HIGH_EST_REUT">"c3971"</definedName>
    <definedName name="IQ_CAPEX_INS">"c113"</definedName>
    <definedName name="IQ_CAPEX_LOW_EST_REUT">"c3972"</definedName>
    <definedName name="IQ_CAPEX_MEDIAN_EST_REUT">"c3970"</definedName>
    <definedName name="IQ_CAPEX_NUM_EST_REUT">"c3973"</definedName>
    <definedName name="IQ_CAPEX_STDDEV_EST_REUT">"c3974"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IVIDENDS_NET_INCOME_FDIC">"c6738"</definedName>
    <definedName name="IQ_CASH_DUE_BANKS">"c1351"</definedName>
    <definedName name="IQ_CASH_EQUIV">"c118"</definedName>
    <definedName name="IQ_CASH_FINAN">"c119"</definedName>
    <definedName name="IQ_CASH_IN_PROCESS_FDIC">"c6386"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CE_FDIC">"c6296"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FPS_ACT_OR_EST_REUT">"c5463"</definedName>
    <definedName name="IQ_CFPS_EST">"c1667"</definedName>
    <definedName name="IQ_CFPS_EST_REUT">"c3844"</definedName>
    <definedName name="IQ_CFPS_HIGH_EST">"c1669"</definedName>
    <definedName name="IQ_CFPS_HIGH_EST_REUT">"c3846"</definedName>
    <definedName name="IQ_CFPS_LOW_EST">"c1670"</definedName>
    <definedName name="IQ_CFPS_LOW_EST_REUT">"c3847"</definedName>
    <definedName name="IQ_CFPS_MEDIAN_EST">"c1668"</definedName>
    <definedName name="IQ_CFPS_MEDIAN_EST_REUT">"c3845"</definedName>
    <definedName name="IQ_CFPS_NUM_EST">"c1671"</definedName>
    <definedName name="IQ_CFPS_NUM_EST_REUT">"c3848"</definedName>
    <definedName name="IQ_CFPS_STDDEV_EST">"c1672"</definedName>
    <definedName name="IQ_CFPS_STDDEV_EST_REUT">"c3849"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UNUSED_UNUSED_UNUSED">"c6960"</definedName>
    <definedName name="IQ_CHANGE_INVENT_REAL_YOY_FC_UNUSED_UNUSED_UNUSED">"c8280"</definedName>
    <definedName name="IQ_CHANGE_INVENT_REAL_YOY_UNUSED_UNUSED_UNUSED">"c7400"</definedName>
    <definedName name="IQ_CHANGE_INVENTORY">"c151"</definedName>
    <definedName name="IQ_CHANGE_NET_WORKING_CAPITAL">"c1909"</definedName>
    <definedName name="IQ_CHANGE_OTHER_NET_OPER_ASSETS_BR">"c3595"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GROSS">"c162"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NET">"c163"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UTSTANDING_BS_DATE">"c1971"</definedName>
    <definedName name="IQ_CLASSA_OUTSTANDING_FILING_DATE">"c1973"</definedName>
    <definedName name="IQ_CLASSB_OUTSTANDING_BS_DATE">"c1972"</definedName>
    <definedName name="IQ_CLASSB_OUTSTANDING_FILING_DATE">"c1974"</definedName>
    <definedName name="IQ_CLOSEPRICE">"c174"</definedName>
    <definedName name="IQ_CLOSEPRICE_ADJ">"c2115"</definedName>
    <definedName name="IQ_CMO_FDIC">"c6406"</definedName>
    <definedName name="IQ_COGS">"c175"</definedName>
    <definedName name="IQ_COLLECTION_DOMESTIC_FDIC">"c6387"</definedName>
    <definedName name="IQ_COMBINED_RATIO">"c176"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FIRE_WRITTEN">"c178"</definedName>
    <definedName name="IQ_COMMERCIAL_INDUSTRIAL_CHARGE_OFFS_FDIC">"c6598"</definedName>
    <definedName name="IQ_COMMERCIAL_INDUSTRIAL_LOANS_NET_FDIC">"c6317"</definedName>
    <definedName name="IQ_COMMERCIAL_INDUSTRIAL_NET_CHARGE_OFFS_FDIC">"c6636"</definedName>
    <definedName name="IQ_COMMERCIAL_INDUSTRIAL_RECOVERIES_FDIC">"c6617"</definedName>
    <definedName name="IQ_COMMERCIAL_INDUSTRIAL_TOTAL_LOANS_FOREIGN_FDIC">"c6451"</definedName>
    <definedName name="IQ_COMMERCIAL_MORT">"c179"</definedName>
    <definedName name="IQ_COMMERCIAL_RE_CONSTRUCTION_LAND_DEV_FDIC">"c6526"</definedName>
    <definedName name="IQ_COMMERCIAL_RE_LOANS_FDIC">"c6312"</definedName>
    <definedName name="IQ_COMMISS_FEES">"c180"</definedName>
    <definedName name="IQ_COMMISSION_DEF">"c181"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FDIC">"c6350"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DEV_LOANS_FDIC">"c6313"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STRUCTION_LOANS">"c222"</definedName>
    <definedName name="IQ_CONSUMER_LOANS">"c223"</definedName>
    <definedName name="IQ_CONTRACTS_OTHER_COMMODITIES_EQUITIES._FDIC">"c6522"</definedName>
    <definedName name="IQ_CONTRACTS_OTHER_COMMODITIES_EQUITIES_FDIC">"c6522"</definedName>
    <definedName name="IQ_CONV_DATE">"c2191"</definedName>
    <definedName name="IQ_CONV_PREMIUM">"c2195"</definedName>
    <definedName name="IQ_CONV_PRICE">"c2193"</definedName>
    <definedName name="IQ_CONV_RATE">"c2192"</definedName>
    <definedName name="IQ_CONV_SECURITY">"c2189"</definedName>
    <definedName name="IQ_CONV_SECURITY_ISSUER">"c2190"</definedName>
    <definedName name="IQ_CONV_SECURITY_PRICE">"c2194"</definedName>
    <definedName name="IQ_CONVERT_DEBT">"c224"</definedName>
    <definedName name="IQ_CONVEXITY">"c2182"</definedName>
    <definedName name="IQ_CONVEYED_TO_OTHERS_FDIC">"c6534"</definedName>
    <definedName name="IQ_CORE_CAPITAL_RATIO_FDIC">"c6745"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ST_BORROWINGS">"c225"</definedName>
    <definedName name="IQ_COST_OF_FUNDING_ASSETS_FDIC">"c6725"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CHARGE_OFFS_FDIC">"c6652"</definedName>
    <definedName name="IQ_CREDIT_CARD_FEE">"c231"</definedName>
    <definedName name="IQ_CREDIT_CARD_FEE_BNK">"c231"</definedName>
    <definedName name="IQ_CREDIT_CARD_FEE_FIN">"c1583"</definedName>
    <definedName name="IQ_CREDIT_CARD_LINES_FDIC">"c6525"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LOSS_CF">"c232"</definedName>
    <definedName name="IQ_CREDIT_LOSS_PROVISION_NET_CHARGE_OFFS_FDIC">"c6734"</definedName>
    <definedName name="IQ_CUMULATIVE_SPLIT_FACTOR">"c2094"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OP_FC_UNUSED_UNUSED_UNUSED">"c7947"</definedName>
    <definedName name="IQ_CURR_ACCT_BALANCE_POP_UNUSED_UNUSED_UNUSED">"c7067"</definedName>
    <definedName name="IQ_CURR_ACCT_BALANCE_UNUSED_UNUSED_UNUSED">"c6847"</definedName>
    <definedName name="IQ_CURR_ACCT_BALANCE_YOY_FC_UNUSED_UNUSED_UNUSED">"c8167"</definedName>
    <definedName name="IQ_CURR_ACCT_BALANCE_YOY_UNUSED_UNUSED_UNUSED">"c7287"</definedName>
    <definedName name="IQ_CURR_DOMESTIC_TAXES">"c2074"</definedName>
    <definedName name="IQ_CURR_FOREIGN_TAXES">"c2075"</definedName>
    <definedName name="IQ_CURRENCY_COIN_DOMESTIC_FDIC">"c6388"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USIP">"c2245"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ILY">500000</definedName>
    <definedName name="IQ_DATED_DATE">"c2185"</definedName>
    <definedName name="IQ_DAY_COUNT">"c2161"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FIN">"c321"</definedName>
    <definedName name="IQ_DEPOSITS_HELD_DOMESTIC_FDIC">"c6340"</definedName>
    <definedName name="IQ_DEPOSITS_HELD_FOREIGN_FDIC">"c6341"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RIVATIVES_FDIC">"c6523"</definedName>
    <definedName name="IQ_DESCRIPTION_LONG">"c1520"</definedName>
    <definedName name="IQ_DEVELOP_LAND">"c323"</definedName>
    <definedName name="IQ_DIFF_LASTCLOSE_TARGET_PRICE">"c1854"</definedName>
    <definedName name="IQ_DIFF_LASTCLOSE_TARGET_PRICE_REUT">"c5436"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IVIDENDS_DECLARED_COMMON_FDIC">"c6659"</definedName>
    <definedName name="IQ_DIVIDENDS_DECLARED_PREFERRED_FDIC">"c6658"</definedName>
    <definedName name="IQ_DIVIDENDS_FDIC">"c6660"</definedName>
    <definedName name="IQ_DNTM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DPS_ACT_OR_EST_REUT">"c5464"</definedName>
    <definedName name="IQ_DPS_EST">"c1674"</definedName>
    <definedName name="IQ_DPS_EST_BOTTOM_UP_REUT">"c5501"</definedName>
    <definedName name="IQ_DPS_EST_REUT">"c3851"</definedName>
    <definedName name="IQ_DPS_HIGH_EST">"c1676"</definedName>
    <definedName name="IQ_DPS_HIGH_EST_REUT">"c3853"</definedName>
    <definedName name="IQ_DPS_LOW_EST">"c1677"</definedName>
    <definedName name="IQ_DPS_LOW_EST_REUT">"c3854"</definedName>
    <definedName name="IQ_DPS_MEDIAN_EST">"c1675"</definedName>
    <definedName name="IQ_DPS_MEDIAN_EST_REUT">"c3852"</definedName>
    <definedName name="IQ_DPS_NUM_EST">"c1678"</definedName>
    <definedName name="IQ_DPS_NUM_EST_REUT">"c3855"</definedName>
    <definedName name="IQ_DPS_STDDEV_EST">"c1679"</definedName>
    <definedName name="IQ_DPS_STDDEV_EST_REUT">"c3856"</definedName>
    <definedName name="IQ_DURATION">"c2181"</definedName>
    <definedName name="IQ_EARNING_ASSET_YIELD">"c343"</definedName>
    <definedName name="IQ_EARNING_ASSETS_FDIC">"c6360"</definedName>
    <definedName name="IQ_EARNING_ASSETS_YIELD_FDIC">"c6724"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ARNINGS_ANNOUNCE_DATE_REUT">"c5314"</definedName>
    <definedName name="IQ_EARNINGS_COVERAGE_NET_CHARGE_OFFS_FDIC">"c6735"</definedName>
    <definedName name="IQ_EBIT">"c352"</definedName>
    <definedName name="IQ_EBIT_10K">"IQ_EBIT_10K"</definedName>
    <definedName name="IQ_EBIT_10Q">"IQ_EBIT_10Q"</definedName>
    <definedName name="IQ_EBIT_10Q1">"IQ_EBIT_10Q1"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ACT_OR_EST_REUT">"c5465"</definedName>
    <definedName name="IQ_EBIT_EST">"c1681"</definedName>
    <definedName name="IQ_EBIT_EST_REUT">"c5333"</definedName>
    <definedName name="IQ_EBIT_GROWTH_1">"c157"</definedName>
    <definedName name="IQ_EBIT_GROWTH_2">"c161"</definedName>
    <definedName name="IQ_EBIT_HIGH_EST">"c1683"</definedName>
    <definedName name="IQ_EBIT_HIGH_EST_REUT">"c5335"</definedName>
    <definedName name="IQ_EBIT_INT">"c360"</definedName>
    <definedName name="IQ_EBIT_LOW_EST">"c1684"</definedName>
    <definedName name="IQ_EBIT_LOW_EST_REUT">"c5336"</definedName>
    <definedName name="IQ_EBIT_MARGIN">"c359"</definedName>
    <definedName name="IQ_EBIT_MEDIAN_EST">"c1682"</definedName>
    <definedName name="IQ_EBIT_MEDIAN_EST_REUT">"c5334"</definedName>
    <definedName name="IQ_EBIT_NUM_EST">"c1685"</definedName>
    <definedName name="IQ_EBIT_NUM_EST_REUT">"c5337"</definedName>
    <definedName name="IQ_EBIT_OVER_IE">"c1369"</definedName>
    <definedName name="IQ_EBIT_STDDEV_EST">"c1686"</definedName>
    <definedName name="IQ_EBIT_STDDEV_EST_REUT">"c5338"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K">"IQ_EBITDA_10K"</definedName>
    <definedName name="IQ_EBITDA_10Q">"IQ_EBITDA_10Q"</definedName>
    <definedName name="IQ_EBITDA_10Q1">"IQ_EBITDA_10Q1"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ACT_OR_EST_REUT">"c5462"</definedName>
    <definedName name="IQ_EBITDA_CAPEX_INT">"c368"</definedName>
    <definedName name="IQ_EBITDA_CAPEX_OVER_TOTAL_IE">"c1370"</definedName>
    <definedName name="IQ_EBITDA_EST">"c369"</definedName>
    <definedName name="IQ_EBITDA_EST_REUT">"c3640"</definedName>
    <definedName name="IQ_EBITDA_GROWTH_1">"c156"</definedName>
    <definedName name="IQ_EBITDA_GROWTH_2">"c160"</definedName>
    <definedName name="IQ_EBITDA_HIGH_EST">"c370"</definedName>
    <definedName name="IQ_EBITDA_HIGH_EST_REUT">"c3642"</definedName>
    <definedName name="IQ_EBITDA_INT">"c373"</definedName>
    <definedName name="IQ_EBITDA_LOW_EST">"c371"</definedName>
    <definedName name="IQ_EBITDA_LOW_EST_REUT">"c3643"</definedName>
    <definedName name="IQ_EBITDA_MARGIN">"c372"</definedName>
    <definedName name="IQ_EBITDA_MEDIAN_EST">"c1663"</definedName>
    <definedName name="IQ_EBITDA_MEDIAN_EST_REUT">"c3641"</definedName>
    <definedName name="IQ_EBITDA_NO_EST">"c267"</definedName>
    <definedName name="IQ_EBITDA_NUM_EST">"c374"</definedName>
    <definedName name="IQ_EBITDA_NUM_EST_REUT">"c3644"</definedName>
    <definedName name="IQ_EBITDA_OVER_TOTAL_IE">"c1371"</definedName>
    <definedName name="IQ_EBITDA_STDDEV_EST">"c375"</definedName>
    <definedName name="IQ_EBITDA_STDDEV_EST_REUT">"c3645"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CO_METRIC_6825_UNUSED_UNUSED_UNUSED">"c6825"</definedName>
    <definedName name="IQ_ECO_METRIC_6839_UNUSED_UNUSED_UNUSED">"c6839"</definedName>
    <definedName name="IQ_ECO_METRIC_6896_UNUSED_UNUSED_UNUSED">"c6896"</definedName>
    <definedName name="IQ_ECO_METRIC_6897_UNUSED_UNUSED_UNUSED">"c6897"</definedName>
    <definedName name="IQ_ECO_METRIC_6988_UNUSED_UNUSED_UNUSED">"c6988"</definedName>
    <definedName name="IQ_ECO_METRIC_7045_UNUSED_UNUSED_UNUSED">"c7045"</definedName>
    <definedName name="IQ_ECO_METRIC_7059_UNUSED_UNUSED_UNUSED">"c7059"</definedName>
    <definedName name="IQ_ECO_METRIC_7116_UNUSED_UNUSED_UNUSED">"c7116"</definedName>
    <definedName name="IQ_ECO_METRIC_7117_UNUSED_UNUSED_UNUSED">"c7117"</definedName>
    <definedName name="IQ_ECO_METRIC_7208_UNUSED_UNUSED_UNUSED">"c7208"</definedName>
    <definedName name="IQ_ECO_METRIC_7265_UNUSED_UNUSED_UNUSED">"c7265"</definedName>
    <definedName name="IQ_ECO_METRIC_7279_UNUSED_UNUSED_UNUSED">"c7279"</definedName>
    <definedName name="IQ_ECO_METRIC_7336_UNUSED_UNUSED_UNUSED">"c7336"</definedName>
    <definedName name="IQ_ECO_METRIC_7337_UNUSED_UNUSED_UNUSED">"c7337"</definedName>
    <definedName name="IQ_ECO_METRIC_7428_UNUSED_UNUSED_UNUSED">"c7428"</definedName>
    <definedName name="IQ_ECO_METRIC_7556_UNUSED_UNUSED_UNUSED">"c7556"</definedName>
    <definedName name="IQ_ECO_METRIC_7557_UNUSED_UNUSED_UNUSED">"c7557"</definedName>
    <definedName name="IQ_ECO_METRIC_7648_UNUSED_UNUSED_UNUSED">"c7648"</definedName>
    <definedName name="IQ_ECO_METRIC_7705_UNUSED_UNUSED_UNUSED">"c7705"</definedName>
    <definedName name="IQ_ECO_METRIC_7719_UNUSED_UNUSED_UNUSED">"c7719"</definedName>
    <definedName name="IQ_ECO_METRIC_7776_UNUSED_UNUSED_UNUSED">"c7776"</definedName>
    <definedName name="IQ_ECO_METRIC_7777_UNUSED_UNUSED_UNUSED">"c7777"</definedName>
    <definedName name="IQ_ECO_METRIC_7868_UNUSED_UNUSED_UNUSED">"c7868"</definedName>
    <definedName name="IQ_ECO_METRIC_7925_UNUSED_UNUSED_UNUSED">"c7925"</definedName>
    <definedName name="IQ_ECO_METRIC_7939_UNUSED_UNUSED_UNUSED">"c7939"</definedName>
    <definedName name="IQ_ECO_METRIC_7996_UNUSED_UNUSED_UNUSED">"c7996"</definedName>
    <definedName name="IQ_ECO_METRIC_7997_UNUSED_UNUSED_UNUSED">"c7997"</definedName>
    <definedName name="IQ_ECO_METRIC_8088_UNUSED_UNUSED_UNUSED">"c8088"</definedName>
    <definedName name="IQ_ECO_METRIC_8145_UNUSED_UNUSED_UNUSED">"c8145"</definedName>
    <definedName name="IQ_ECO_METRIC_8159_UNUSED_UNUSED_UNUSED">"c8159"</definedName>
    <definedName name="IQ_ECO_METRIC_8216_UNUSED_UNUSED_UNUSED">"c8216"</definedName>
    <definedName name="IQ_ECO_METRIC_8217_UNUSED_UNUSED_UNUSED">"c8217"</definedName>
    <definedName name="IQ_ECO_METRIC_8308_UNUSED_UNUSED_UNUSED">"c8308"</definedName>
    <definedName name="IQ_ECO_METRIC_8436_UNUSED_UNUSED_UNUSED">"c8436"</definedName>
    <definedName name="IQ_ECO_METRIC_8437_UNUSED_UNUSED_UNUSED">"c8437"</definedName>
    <definedName name="IQ_ECO_METRIC_8528_UNUSED_UNUSED_UNUSED">"c8528"</definedName>
    <definedName name="IQ_EFFECT_SPECIAL_CHARGE">"c1595"</definedName>
    <definedName name="IQ_EFFECT_TAX_RATE">"c1899"</definedName>
    <definedName name="IQ_EFFICIENCY_RATIO">"c391"</definedName>
    <definedName name="IQ_EFFICIENCY_RATIO_FDIC">"c6736"</definedName>
    <definedName name="IQ_EMPLOYEES">"c392"</definedName>
    <definedName name="IQ_ENTERPRISE_VALUE">"c1348"</definedName>
    <definedName name="IQ_EPS">"IQ_EPS"</definedName>
    <definedName name="IQ_EPS_10K">"IQ_EPS_10K"</definedName>
    <definedName name="IQ_EPS_10Q">"IQ_EPS_10Q"</definedName>
    <definedName name="IQ_EPS_10Q1">"IQ_EPS_10Q1"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ACT_OR_EST_REUT">"c5460"</definedName>
    <definedName name="IQ_EPS_EST">"c399"</definedName>
    <definedName name="IQ_EPS_EST_1">"c189"</definedName>
    <definedName name="IQ_EPS_EST_BOTTOM_UP_REUT">"c5497"</definedName>
    <definedName name="IQ_EPS_EST_REUT">"c5453"</definedName>
    <definedName name="IQ_EPS_GW_ACT_OR_EST_REUT">"c5469"</definedName>
    <definedName name="IQ_EPS_GW_EST">"c1737"</definedName>
    <definedName name="IQ_EPS_GW_EST_BOTTOM_UP_REUT">"c5499"</definedName>
    <definedName name="IQ_EPS_GW_EST_REUT">"c5389"</definedName>
    <definedName name="IQ_EPS_GW_HIGH_EST">"c1739"</definedName>
    <definedName name="IQ_EPS_GW_HIGH_EST_REUT">"c5391"</definedName>
    <definedName name="IQ_EPS_GW_LOW_EST">"c1740"</definedName>
    <definedName name="IQ_EPS_GW_LOW_EST_REUT">"c5392"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>"c400"</definedName>
    <definedName name="IQ_EPS_HIGH_EST_REUT">"c5454"</definedName>
    <definedName name="IQ_EPS_LOW_EST">"c401"</definedName>
    <definedName name="IQ_EPS_LOW_EST_REUT">"c5455"</definedName>
    <definedName name="IQ_EPS_MEDIAN_EST">"c1661"</definedName>
    <definedName name="IQ_EPS_MEDIAN_EST_REUT">"c5456"</definedName>
    <definedName name="IQ_EPS_NO_EST">"c271"</definedName>
    <definedName name="IQ_EPS_NORM">"c1902"</definedName>
    <definedName name="IQ_EPS_NORM_EST_BOTTOM_UP_REUT">"c5498"</definedName>
    <definedName name="IQ_EPS_NORM_EST_REUT">"c5326"</definedName>
    <definedName name="IQ_EPS_NORM_HIGH_EST_REUT">"c5328"</definedName>
    <definedName name="IQ_EPS_NORM_LOW_EST_REUT">"c5329"</definedName>
    <definedName name="IQ_EPS_NORM_MEDIAN_EST_REUT">"c5327"</definedName>
    <definedName name="IQ_EPS_NORM_NUM_EST_REUT">"c5330"</definedName>
    <definedName name="IQ_EPS_NORM_STDDEV_EST_REUT">"c5331"</definedName>
    <definedName name="IQ_EPS_NUM_EST">"c402"</definedName>
    <definedName name="IQ_EPS_NUM_EST_REUT">"c5451"</definedName>
    <definedName name="IQ_EPS_REPORT_ACT_OR_EST_REUT">"c5470"</definedName>
    <definedName name="IQ_EPS_REPORTED_EST">"c1744"</definedName>
    <definedName name="IQ_EPS_REPORTED_EST_BOTTOM_UP_REUT">"c5500"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TDDEV_EST">"c403"</definedName>
    <definedName name="IQ_EPS_STDDEV_EST_REUT">"c5452"</definedName>
    <definedName name="IQ_EQUITY_AFFIL">"c1451"</definedName>
    <definedName name="IQ_EQUITY_CAPITAL_ASSETS_FDIC">"c6744"</definedName>
    <definedName name="IQ_EQUITY_FDIC">"c6353"</definedName>
    <definedName name="IQ_EQUITY_METHOD">"c404"</definedName>
    <definedName name="IQ_EQUITY_SECURITIES_FDIC">"c6304"</definedName>
    <definedName name="IQ_EQUITY_SECURITY_EXPOSURES_FDIC">"c6664"</definedName>
    <definedName name="IQ_EQV_OVER_BV">"c1596"</definedName>
    <definedName name="IQ_EQV_OVER_LTM_PRETAX_INC">"c1390"</definedName>
    <definedName name="IQ_ESOP_DEBT">"c1597"</definedName>
    <definedName name="IQ_EST_ACT_BV_SHARE_REUT">"c5445"</definedName>
    <definedName name="IQ_EST_ACT_CAPEX_REUT">"c3975"</definedName>
    <definedName name="IQ_EST_ACT_CFPS">"c1673"</definedName>
    <definedName name="IQ_EST_ACT_CFPS_REUT">"c3850"</definedName>
    <definedName name="IQ_EST_ACT_DPS">"c1680"</definedName>
    <definedName name="IQ_EST_ACT_DPS_REUT">"c3857"</definedName>
    <definedName name="IQ_EST_ACT_EBIT">"c1687"</definedName>
    <definedName name="IQ_EST_ACT_EBIT_REUT">"c5339"</definedName>
    <definedName name="IQ_EST_ACT_EBITDA">"c1664"</definedName>
    <definedName name="IQ_EST_ACT_EBITDA_REUT">"c3836"</definedName>
    <definedName name="IQ_EST_ACT_EPS">"c1648"</definedName>
    <definedName name="IQ_EST_ACT_EPS_GW">"c1743"</definedName>
    <definedName name="IQ_EST_ACT_EPS_GW_REUT">"c5395"</definedName>
    <definedName name="IQ_EST_ACT_EPS_NORM_REUT">"c5332"</definedName>
    <definedName name="IQ_EST_ACT_EPS_REPORTED">"c1750"</definedName>
    <definedName name="IQ_EST_ACT_EPS_REPORTED_REUT">"c5402"</definedName>
    <definedName name="IQ_EST_ACT_EPS_REUT">"c5457"</definedName>
    <definedName name="IQ_EST_ACT_FFO">"c1666"</definedName>
    <definedName name="IQ_EST_ACT_FFO_REUT">"c3843"</definedName>
    <definedName name="IQ_EST_ACT_FFO_SHARE_SHARE_REUT">"c3843"</definedName>
    <definedName name="IQ_EST_ACT_NAV">"c1757"</definedName>
    <definedName name="IQ_EST_ACT_NAV_SHARE_REUT">"c5616"</definedName>
    <definedName name="IQ_EST_ACT_NET_DEBT_REUT">"c5446"</definedName>
    <definedName name="IQ_EST_ACT_NI">"c1722"</definedName>
    <definedName name="IQ_EST_ACT_NI_GW">"c1729"</definedName>
    <definedName name="IQ_EST_ACT_NI_GW_REUT">"c5381"</definedName>
    <definedName name="IQ_EST_ACT_NI_REPORTED">"c1736"</definedName>
    <definedName name="IQ_EST_ACT_NI_REPORTED_REUT">"c5388"</definedName>
    <definedName name="IQ_EST_ACT_NI_REUT">"c5374"</definedName>
    <definedName name="IQ_EST_ACT_OPER_INC">"c1694"</definedName>
    <definedName name="IQ_EST_ACT_OPER_INC_REUT">"c5346"</definedName>
    <definedName name="IQ_EST_ACT_PRETAX_GW_INC">"c1708"</definedName>
    <definedName name="IQ_EST_ACT_PRETAX_GW_INC_REUT">"c5360"</definedName>
    <definedName name="IQ_EST_ACT_PRETAX_INC">"c1701"</definedName>
    <definedName name="IQ_EST_ACT_PRETAX_INC_REUT">"c5353"</definedName>
    <definedName name="IQ_EST_ACT_PRETAX_REPORT_INC">"c1715"</definedName>
    <definedName name="IQ_EST_ACT_PRETAX_REPORT_INC_REUT">"c5367"</definedName>
    <definedName name="IQ_EST_ACT_RETURN_ASSETS_REUT">"c3996"</definedName>
    <definedName name="IQ_EST_ACT_RETURN_EQUITY_REUT">"c3989"</definedName>
    <definedName name="IQ_EST_ACT_REV">"c2113"</definedName>
    <definedName name="IQ_EST_ACT_REV_REUT">"c3835"</definedName>
    <definedName name="IQ_EST_CAPEX_GROWTH_1YR_REUT">"c5447"</definedName>
    <definedName name="IQ_EST_CAPEX_GROWTH_2YR_REUT">"c5448"</definedName>
    <definedName name="IQ_EST_CAPEX_GROWTH_Q_1YR_REUT">"c5449"</definedName>
    <definedName name="IQ_EST_CAPEX_SEQ_GROWTH_Q_REUT">"c5450"</definedName>
    <definedName name="IQ_EST_CFPS_DIFF">"c1871"</definedName>
    <definedName name="IQ_EST_CFPS_DIFF_REUT">"c3892"</definedName>
    <definedName name="IQ_EST_CFPS_GROWTH_1YR">"c1774"</definedName>
    <definedName name="IQ_EST_CFPS_GROWTH_1YR_REUT">"c3878"</definedName>
    <definedName name="IQ_EST_CFPS_GROWTH_2YR">"c1775"</definedName>
    <definedName name="IQ_EST_CFPS_GROWTH_2YR_REUT">"c3879"</definedName>
    <definedName name="IQ_EST_CFPS_GROWTH_Q_1YR">"c1776"</definedName>
    <definedName name="IQ_EST_CFPS_GROWTH_Q_1YR_REUT">"c3880"</definedName>
    <definedName name="IQ_EST_CFPS_SEQ_GROWTH_Q">"c1777"</definedName>
    <definedName name="IQ_EST_CFPS_SEQ_GROWTH_Q_REUT">"c3881"</definedName>
    <definedName name="IQ_EST_CFPS_SURPRISE_PERCENT">"c1872"</definedName>
    <definedName name="IQ_EST_CFPS_SURPRISE_PERCENT_REUT">"c3893"</definedName>
    <definedName name="IQ_EST_CURRENCY">"c2140"</definedName>
    <definedName name="IQ_EST_CURRENCY_REUT">"c5437"</definedName>
    <definedName name="IQ_EST_DATE">"c1634"</definedName>
    <definedName name="IQ_EST_DATE_REUT">"c5438"</definedName>
    <definedName name="IQ_EST_DPS_DIFF">"c1873"</definedName>
    <definedName name="IQ_EST_DPS_DIFF_REUT">"c3894"</definedName>
    <definedName name="IQ_EST_DPS_GROWTH_1YR">"c1778"</definedName>
    <definedName name="IQ_EST_DPS_GROWTH_1YR_REUT">"c3882"</definedName>
    <definedName name="IQ_EST_DPS_GROWTH_2YR">"c1779"</definedName>
    <definedName name="IQ_EST_DPS_GROWTH_2YR_REUT">"c3883"</definedName>
    <definedName name="IQ_EST_DPS_GROWTH_Q_1YR">"c1780"</definedName>
    <definedName name="IQ_EST_DPS_GROWTH_Q_1YR_REUT">"c3884"</definedName>
    <definedName name="IQ_EST_DPS_SEQ_GROWTH_Q">"c1781"</definedName>
    <definedName name="IQ_EST_DPS_SEQ_GROWTH_Q_REUT">"c3885"</definedName>
    <definedName name="IQ_EST_DPS_SURPRISE_PERCENT">"c1874"</definedName>
    <definedName name="IQ_EST_DPS_SURPRISE_PERCENT_REUT">"c3895"</definedName>
    <definedName name="IQ_EST_EBIT_DIFF">"c1875"</definedName>
    <definedName name="IQ_EST_EBIT_DIFF_REUT">"c5413"</definedName>
    <definedName name="IQ_EST_EBIT_SURPRISE_PERCENT">"c1876"</definedName>
    <definedName name="IQ_EST_EBIT_SURPRISE_PERCENT_REUT">"c5414"</definedName>
    <definedName name="IQ_EST_EBITDA_DIFF">"c1867"</definedName>
    <definedName name="IQ_EST_EBITDA_DIFF_REUT">"c3888"</definedName>
    <definedName name="IQ_EST_EBITDA_GROWTH_1YR">"c1766"</definedName>
    <definedName name="IQ_EST_EBITDA_GROWTH_1YR_REUT">"c3864"</definedName>
    <definedName name="IQ_EST_EBITDA_GROWTH_2YR">"c1767"</definedName>
    <definedName name="IQ_EST_EBITDA_GROWTH_2YR_REUT">"c3865"</definedName>
    <definedName name="IQ_EST_EBITDA_GROWTH_Q_1YR">"c1768"</definedName>
    <definedName name="IQ_EST_EBITDA_GROWTH_Q_1YR_REUT">"c3866"</definedName>
    <definedName name="IQ_EST_EBITDA_SEQ_GROWTH_Q">"c1769"</definedName>
    <definedName name="IQ_EST_EBITDA_SEQ_GROWTH_Q_REUT">"c3867"</definedName>
    <definedName name="IQ_EST_EBITDA_SURPRISE_PERCENT">"c1868"</definedName>
    <definedName name="IQ_EST_EBITDA_SURPRISE_PERCENT_REUT">"c3889"</definedName>
    <definedName name="IQ_EST_EPS_DIFF">"c1864"</definedName>
    <definedName name="IQ_EST_EPS_DIFF_REUT">"c5458"</definedName>
    <definedName name="IQ_EST_EPS_GROWTH_1YR">"c1636"</definedName>
    <definedName name="IQ_EST_EPS_GROWTH_1YR_REUT">"c3646"</definedName>
    <definedName name="IQ_EST_EPS_GROWTH_2YR">"c1637"</definedName>
    <definedName name="IQ_EST_EPS_GROWTH_2YR_REUT">"c3858"</definedName>
    <definedName name="IQ_EST_EPS_GROWTH_5YR">"c1655"</definedName>
    <definedName name="IQ_EST_EPS_GROWTH_5YR_BOTTOM_UP_REUT">"c5495"</definedName>
    <definedName name="IQ_EST_EPS_GROWTH_5YR_HIGH">"c1657"</definedName>
    <definedName name="IQ_EST_EPS_GROWTH_5YR_HIGH_REUT">"c5322"</definedName>
    <definedName name="IQ_EST_EPS_GROWTH_5YR_LOW">"c1658"</definedName>
    <definedName name="IQ_EST_EPS_GROWTH_5YR_LOW_REUT">"c5323"</definedName>
    <definedName name="IQ_EST_EPS_GROWTH_5YR_MEDIAN">"c1656"</definedName>
    <definedName name="IQ_EST_EPS_GROWTH_5YR_MEDIAN_REUT">"c5321"</definedName>
    <definedName name="IQ_EST_EPS_GROWTH_5YR_NUM">"c1659"</definedName>
    <definedName name="IQ_EST_EPS_GROWTH_5YR_NUM_REUT">"c5324"</definedName>
    <definedName name="IQ_EST_EPS_GROWTH_5YR_REUT">"c3633"</definedName>
    <definedName name="IQ_EST_EPS_GROWTH_5YR_STDDEV">"c1660"</definedName>
    <definedName name="IQ_EST_EPS_GROWTH_5YR_STDDEV_REUT">"c5325"</definedName>
    <definedName name="IQ_EST_EPS_GROWTH_Q_1YR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_REUT">"c5411"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EPS_SEQ_GROWTH_Q">"c1764"</definedName>
    <definedName name="IQ_EST_EPS_SEQ_GROWTH_Q_REUT">"c3859"</definedName>
    <definedName name="IQ_EST_EPS_SURPRISE">"c1635"</definedName>
    <definedName name="IQ_EST_EPS_SURPRISE_PERCENT">"c1635"</definedName>
    <definedName name="IQ_EST_EPS_SURPRISE_PERCENT_REUT">"c5459"</definedName>
    <definedName name="IQ_EST_FFO_DIFF">"c1869"</definedName>
    <definedName name="IQ_EST_FFO_DIFF_REUT">"c3890"</definedName>
    <definedName name="IQ_EST_FFO_GROWTH_1YR">"c1770"</definedName>
    <definedName name="IQ_EST_FFO_GROWTH_1YR_REUT">"c3874"</definedName>
    <definedName name="IQ_EST_FFO_GROWTH_2YR">"c1771"</definedName>
    <definedName name="IQ_EST_FFO_GROWTH_2YR_REUT">"c3875"</definedName>
    <definedName name="IQ_EST_FFO_GROWTH_Q_1YR">"c1772"</definedName>
    <definedName name="IQ_EST_FFO_GROWTH_Q_1YR_REUT">"c3876"</definedName>
    <definedName name="IQ_EST_FFO_SEQ_GROWTH_Q">"c1773"</definedName>
    <definedName name="IQ_EST_FFO_SEQ_GROWTH_Q_REUT">"c3877"</definedName>
    <definedName name="IQ_EST_FFO_SHARE_SHARE_DIFF_REUT">"c3890"</definedName>
    <definedName name="IQ_EST_FFO_SHARE_SHARE_SURPRISE_PERCENT_REUT">"c3891"</definedName>
    <definedName name="IQ_EST_FFO_SURPRISE_PERCENT">"c1870"</definedName>
    <definedName name="IQ_EST_FFO_SURPRISE_PERCENT_REUT">"c3891"</definedName>
    <definedName name="IQ_EST_FOOTNOTE_REUT">"c5478"</definedName>
    <definedName name="IQ_EST_NAV_DIFF">"c1895"</definedName>
    <definedName name="IQ_EST_NAV_SURPRISE_PERCENT">"c1896"</definedName>
    <definedName name="IQ_EST_NI_DIFF">"c1885"</definedName>
    <definedName name="IQ_EST_NI_DIFF_REUT">"c5423"</definedName>
    <definedName name="IQ_EST_NI_GW_DIFF">"c1887"</definedName>
    <definedName name="IQ_EST_NI_GW_DIFF_REUT">"c5425"</definedName>
    <definedName name="IQ_EST_NI_GW_SURPRISE_PERCENT">"c1888"</definedName>
    <definedName name="IQ_EST_NI_GW_SURPRISE_PERCENT_REUT">"c5426"</definedName>
    <definedName name="IQ_EST_NI_REPORT_DIFF">"c1889"</definedName>
    <definedName name="IQ_EST_NI_REPORT_DIFF_REUT">"c5427"</definedName>
    <definedName name="IQ_EST_NI_REPORT_SURPRISE_PERCENT">"c1890"</definedName>
    <definedName name="IQ_EST_NI_REPORT_SURPRISE_PERCENT_REUT">"c5428"</definedName>
    <definedName name="IQ_EST_NI_SURPRISE_PERCENT">"c1886"</definedName>
    <definedName name="IQ_EST_NI_SURPRISE_PERCENT_REUT">"c5424"</definedName>
    <definedName name="IQ_EST_NUM_BUY">"c1759"</definedName>
    <definedName name="IQ_EST_NUM_BUY_REUT">"c3869"</definedName>
    <definedName name="IQ_EST_NUM_BUY_THOM">"c5165"</definedName>
    <definedName name="IQ_EST_NUM_HIGH_REC_REUT">"c3870"</definedName>
    <definedName name="IQ_EST_NUM_HIGHEST_REC_REUT">"c3869"</definedName>
    <definedName name="IQ_EST_NUM_HOLD">"c1761"</definedName>
    <definedName name="IQ_EST_NUM_HOLD_REUT">"c3871"</definedName>
    <definedName name="IQ_EST_NUM_HOLD_THOM">"c5167"</definedName>
    <definedName name="IQ_EST_NUM_LOW_REC_REUT">"c3872"</definedName>
    <definedName name="IQ_EST_NUM_LOWEST_REC_REUT">"c3873"</definedName>
    <definedName name="IQ_EST_NUM_NEUTRAL_REC_REUT">"c3871"</definedName>
    <definedName name="IQ_EST_NUM_NO_OPINION">"c1758"</definedName>
    <definedName name="IQ_EST_NUM_NO_OPINION_REUT">"c3868"</definedName>
    <definedName name="IQ_EST_NUM_OUTPERFORM">"c1760"</definedName>
    <definedName name="IQ_EST_NUM_OUTPERFORM_REUT">"c3870"</definedName>
    <definedName name="IQ_EST_NUM_OUTPERFORM_THOM">"c5166"</definedName>
    <definedName name="IQ_EST_NUM_SELL">"c1763"</definedName>
    <definedName name="IQ_EST_NUM_SELL_REUT">"c3873"</definedName>
    <definedName name="IQ_EST_NUM_SELL_THOM">"c5169"</definedName>
    <definedName name="IQ_EST_NUM_UNDERPERFORM">"c1762"</definedName>
    <definedName name="IQ_EST_NUM_UNDERPERFORM_REUT">"c3872"</definedName>
    <definedName name="IQ_EST_NUM_UNDERPERFORM_THOM">"c5168"</definedName>
    <definedName name="IQ_EST_OPER_INC_DIFF">"c1877"</definedName>
    <definedName name="IQ_EST_OPER_INC_DIFF_REUT">"c5415"</definedName>
    <definedName name="IQ_EST_OPER_INC_SURPRISE_PERCENT">"c1878"</definedName>
    <definedName name="IQ_EST_OPER_INC_SURPRISE_PERCENT_REUT">"c5416"</definedName>
    <definedName name="IQ_EST_PRE_TAX_DIFF">"c1879"</definedName>
    <definedName name="IQ_EST_PRE_TAX_DIFF_REUT">"c5417"</definedName>
    <definedName name="IQ_EST_PRE_TAX_GW_DIFF">"c1881"</definedName>
    <definedName name="IQ_EST_PRE_TAX_GW_DIFF_REUT">"c5419"</definedName>
    <definedName name="IQ_EST_PRE_TAX_GW_SURPRISE_PERCENT">"c1882"</definedName>
    <definedName name="IQ_EST_PRE_TAX_GW_SURPRISE_PERCENT_REUT">"c5420"</definedName>
    <definedName name="IQ_EST_PRE_TAX_REPORT_DIFF">"c1883"</definedName>
    <definedName name="IQ_EST_PRE_TAX_REPORT_DIFF_REUT">"c5421"</definedName>
    <definedName name="IQ_EST_PRE_TAX_REPORT_SURPRISE_PERCENT">"c1884"</definedName>
    <definedName name="IQ_EST_PRE_TAX_REPORT_SURPRISE_PERCENT_REUT">"c5422"</definedName>
    <definedName name="IQ_EST_PRE_TAX_SURPRISE_PERCENT">"c1880"</definedName>
    <definedName name="IQ_EST_PRE_TAX_SURPRISE_PERCENT_REUT">"c5418"</definedName>
    <definedName name="IQ_EST_REV_DIFF">"c1865"</definedName>
    <definedName name="IQ_EST_REV_DIFF_REUT">"c3886"</definedName>
    <definedName name="IQ_EST_REV_GROWTH_1YR">"c1638"</definedName>
    <definedName name="IQ_EST_REV_GROWTH_1YR_REUT">"c3860"</definedName>
    <definedName name="IQ_EST_REV_GROWTH_2YR">"c1639"</definedName>
    <definedName name="IQ_EST_REV_GROWTH_2YR_REUT">"c3861"</definedName>
    <definedName name="IQ_EST_REV_GROWTH_Q_1YR">"c1640"</definedName>
    <definedName name="IQ_EST_REV_GROWTH_Q_1YR_REUT">"c3862"</definedName>
    <definedName name="IQ_EST_REV_SEQ_GROWTH_Q">"c1765"</definedName>
    <definedName name="IQ_EST_REV_SEQ_GROWTH_Q_REUT">"c3863"</definedName>
    <definedName name="IQ_EST_REV_SURPRISE_PERCENT">"c1866"</definedName>
    <definedName name="IQ_EST_REV_SURPRISE_PERCENT_REUT">"c3887"</definedName>
    <definedName name="IQ_ESTIMATED_ASSESSABLE_DEPOSITS_FDIC">"c6490"</definedName>
    <definedName name="IQ_ESTIMATED_INSURED_DEPOSITS_FDIC">"c6491"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V_OVER_REVENUE_EST">"c165"</definedName>
    <definedName name="IQ_EV_OVER_REVENUE_EST_1">"c166"</definedName>
    <definedName name="IQ_EVAL_DATE">"c2180"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ENSE_CODE_">"NBRC049"</definedName>
    <definedName name="IQ_EXPLORE_DRILL">"c409"</definedName>
    <definedName name="IQ_EXPORTS_APR_FC_UNUSED_UNUSED_UNUSED">"c8401"</definedName>
    <definedName name="IQ_EXPORTS_APR_UNUSED_UNUSED_UNUSED">"c7521"</definedName>
    <definedName name="IQ_EXPORTS_FC_UNUSED_UNUSED_UNUSED">"c7741"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_FC_UNUSED_UNUSED_UNUSED">"c8292"</definedName>
    <definedName name="IQ_EXPORTS_GOODS_REAL_SAAR_YOY_UNUSED_UNUSED_UNUSED">"c7412"</definedName>
    <definedName name="IQ_EXPORTS_POP_FC_UNUSED_UNUSED_UNUSED">"c7961"</definedName>
    <definedName name="IQ_EXPORTS_POP_UNUSED_UNUSED_UNUSED">"c7081"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_FC_UNUSED_UNUSED_UNUSED">"c8296"</definedName>
    <definedName name="IQ_EXPORTS_SERVICES_REAL_SAAR_YOY_UNUSED_UNUSED_UNUSED">"c7416"</definedName>
    <definedName name="IQ_EXPORTS_UNUSED_UNUSED_UNUSED">"c6861"</definedName>
    <definedName name="IQ_EXPORTS_YOY_FC_UNUSED_UNUSED_UNUSED">"c8181"</definedName>
    <definedName name="IQ_EXPORTS_YOY_UNUSED_UNUSED_UNUSED">"c7301"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EXTRAORDINARY_GAINS_FDIC">"c6586"</definedName>
    <definedName name="IQ_FAIR_VALUE_FDIC">"c6427"</definedName>
    <definedName name="IQ_FARM_LOANS_NET_FDIC">"c6316"</definedName>
    <definedName name="IQ_FARM_LOANS_TOTAL_LOANS_FOREIGN_FDIC">"c6450"</definedName>
    <definedName name="IQ_FARMLAND_LOANS_FDIC">"c6314"</definedName>
    <definedName name="IQ_FDIC">"c417"</definedName>
    <definedName name="IQ_FED_FUNDS_PURCHASED_FDIC">"c6343"</definedName>
    <definedName name="IQ_FED_FUNDS_SOLD_FDIC">"c6307"</definedName>
    <definedName name="IQ_FEDFUNDS_SOLD">"c2256"</definedName>
    <definedName name="IQ_FFO">"c1574"</definedName>
    <definedName name="IQ_FFO_EST">"c418"</definedName>
    <definedName name="IQ_FFO_EST_REUT">"c3837"</definedName>
    <definedName name="IQ_FFO_HIGH_EST">"c419"</definedName>
    <definedName name="IQ_FFO_HIGH_EST_REUT">"c3839"</definedName>
    <definedName name="IQ_FFO_LOW_EST">"c420"</definedName>
    <definedName name="IQ_FFO_LOW_EST_REUT">"c3840"</definedName>
    <definedName name="IQ_FFO_MEDIAN_EST">"c1665"</definedName>
    <definedName name="IQ_FFO_MEDIAN_EST_REUT">"c3838"</definedName>
    <definedName name="IQ_FFO_NO_EST">"c276"</definedName>
    <definedName name="IQ_FFO_NUM_EST">"c421"</definedName>
    <definedName name="IQ_FFO_NUM_EST_REUT">"c3841"</definedName>
    <definedName name="IQ_FFO_SHARE_SHARE_EST_REUT">"c3837"</definedName>
    <definedName name="IQ_FFO_SHARE_SHARE_HIGH_EST_REUT">"c3839"</definedName>
    <definedName name="IQ_FFO_SHARE_SHARE_LOW_EST_REUT">"c3840"</definedName>
    <definedName name="IQ_FFO_SHARE_SHARE_MEDIAN_EST_REUT">"c3838"</definedName>
    <definedName name="IQ_FFO_SHARE_SHARE_NUM_EST_REUT">"c3841"</definedName>
    <definedName name="IQ_FFO_SHARE_SHARE_STDDEV_EST_REUT">"c3842"</definedName>
    <definedName name="IQ_FFO_STDDEV_EST">"c422"</definedName>
    <definedName name="IQ_FFO_STDDEV_EST_REUT">"c3842"</definedName>
    <definedName name="IQ_FH">100000</definedName>
    <definedName name="IQ_FHLB_ADVANCES_FDIC">"c6366"</definedName>
    <definedName name="IQ_FHLB_DEBT">"c423"</definedName>
    <definedName name="IQ_FHLB_DUE_AFTER_FIVE">"c2086"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CURRENT_PORT_DEBT_TOTAL">"c5524"</definedName>
    <definedName name="IQ_FIN_DIV_CURRENT_PORT_LEASES_TOTAL">"c5523"</definedName>
    <definedName name="IQ_FIN_DIV_DEBT_CURRENT">"c429"</definedName>
    <definedName name="IQ_FIN_DIV_DEBT_LT">"c430"</definedName>
    <definedName name="IQ_FIN_DIV_DEBT_LT_TOTAL">"c5526"</definedName>
    <definedName name="IQ_FIN_DIV_EXP">"c431"</definedName>
    <definedName name="IQ_FIN_DIV_INT_EXP">"c432"</definedName>
    <definedName name="IQ_FIN_DIV_LEASES_LT_TOTAL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NOTES_PAY_TOTAL">"c5522"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INT_DATE">"c2186"</definedName>
    <definedName name="IQ_FIRST_YEAR_LIFE">"c439"</definedName>
    <definedName name="IQ_FISCAL_Q">"c440"</definedName>
    <definedName name="IQ_FISCAL_Y">"c441"</definedName>
    <definedName name="IQ_FIVE_PERCENT_AMOUNT">"c240"</definedName>
    <definedName name="IQ_FIVE_PERCENT_OWNER">"c442"</definedName>
    <definedName name="IQ_FIVE_YEAR_FIXED_AND_FLOATING_RATE_FDIC">"c6422"</definedName>
    <definedName name="IQ_FIVE_YEAR_MORTGAGE_PASS_THROUGHS_FDIC">"c6414"</definedName>
    <definedName name="IQ_FIVEPERCENT_OWNER">"c239"</definedName>
    <definedName name="IQ_FIVEPERCENT_PERCENT">"c443"</definedName>
    <definedName name="IQ_FIVEPERCENT_SHARES">"c444"</definedName>
    <definedName name="IQ_FIXED_ASSET_TURNS">"c445"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UNUSED_UNUSED_UNUSED">"c6978"</definedName>
    <definedName name="IQ_FIXED_INVEST_REAL_YOY_FC_UNUSED_UNUSED_UNUSED">"c8298"</definedName>
    <definedName name="IQ_FIXED_INVEST_REAL_YOY_UNUSED_UNUSED_UNUSED">"c7418"</definedName>
    <definedName name="IQ_FIXED_INVEST_UNUSED_UNUSED_UNUSED">"c6870"</definedName>
    <definedName name="IQ_FIXED_INVEST_YOY_FC_UNUSED_UNUSED_UNUSED">"c8190"</definedName>
    <definedName name="IQ_FIXED_INVEST_YOY_UNUSED_UNUSED_UNUSED">"c7310"</definedName>
    <definedName name="IQ_FLOAT_PERCENT">"c1575"</definedName>
    <definedName name="IQ_FNMA_FHLMC_FDIC">"c6397"</definedName>
    <definedName name="IQ_FNMA_FHLMC_GNMA_FDIC">"c6399"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.S._BANKS_LOANS_FDIC">"c6438"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_IB">"c446"</definedName>
    <definedName name="IQ_FOREIGN_DEP_NON_IB">"c447"</definedName>
    <definedName name="IQ_FOREIGN_DEPOSITS_NONTRANSACTION_ACCOUNTS_FDIC">"c6549"</definedName>
    <definedName name="IQ_FOREIGN_DEPOSITS_TRANSACTION_ACCOUNTS_FDIC">"c6541"</definedName>
    <definedName name="IQ_FOREIGN_EXCHANGE">"c1376"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LOANS">"c448"</definedName>
    <definedName name="IQ_FQ">500</definedName>
    <definedName name="IQ_FUEL">"c449"</definedName>
    <definedName name="IQ_FULL_TIME">"c450"</definedName>
    <definedName name="IQ_FULLY_INSURED_DEPOSITS_FDIC">"c6487"</definedName>
    <definedName name="IQ_FUTURES_FORWARD_CONTRACTS_NOTIONAL_AMOUNT_FDIC">"c6518"</definedName>
    <definedName name="IQ_FUTURES_FORWARD_CONTRACTS_RATE_RISK_FDIC">"c6508"</definedName>
    <definedName name="IQ_FWD">"LTM"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WD_Q3">"504"</definedName>
    <definedName name="IQ_FWD_Q4">"505"</definedName>
    <definedName name="IQ_FWD_Q5">"506"</definedName>
    <definedName name="IQ_FWD_Q6">"507"</definedName>
    <definedName name="IQ_FWD_Q7">"508"</definedName>
    <definedName name="IQ_FWD1">"LTM"</definedName>
    <definedName name="IQ_FX">"c451"</definedName>
    <definedName name="IQ_FX_CONTRACTS_FDIC">"c6517"</definedName>
    <definedName name="IQ_FX_CONTRACTS_SPOT_FDIC">"c6356"</definedName>
    <definedName name="IQ_FY">1000</definedName>
    <definedName name="IQ_FY_DATE">"IQ_FY_DATE"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C_BNK">"c488"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AIN_SALE_LOANS_FDIC">"c6673"</definedName>
    <definedName name="IQ_GAIN_SALE_RE_FDIC">"c6674"</definedName>
    <definedName name="IQ_GAINS_SALE_ASSETS_FDIC">"c6675"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INTAN">"c520"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ROSS_SPRD">"c2155"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ELD_MATURITY_FDIC">"c6408"</definedName>
    <definedName name="IQ_HIGH_TARGET_PRICE">"c1651"</definedName>
    <definedName name="IQ_HIGH_TARGET_PRICE_REUT">"c5317"</definedName>
    <definedName name="IQ_HIGHPRICE">"c545"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MEOWNERS_WRITTEN">"c546"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IMPAIR_OIL">"c547"</definedName>
    <definedName name="IQ_IMPAIRMENT_GW">"c548"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UNUSED_UNUSED_UNUSED">"c6889"</definedName>
    <definedName name="IQ_IMPORTS_GOODS_SERVICES_YOY_FC_UNUSED_UNUSED_UNUSED">"c8209"</definedName>
    <definedName name="IQ_IMPORTS_GOODS_SERVICES_YOY_UNUSED_UNUSED_UNUSED">"c7329"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ES_FDIC">"c6582"</definedName>
    <definedName name="IQ_INDEX_PROVIDED_DIVIDEND">"c19252"</definedName>
    <definedName name="IQ_INDEXCONSTITUENT_CLOSEPRICE">"c19241"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">"c1534"</definedName>
    <definedName name="IQ_INSIDER_3MTH_BOUGHT_PCT">"c1534"</definedName>
    <definedName name="IQ_INSIDER_3MTH_NET">"c1535"</definedName>
    <definedName name="IQ_INSIDER_3MTH_NET_PCT">"c1535"</definedName>
    <definedName name="IQ_INSIDER_3MTH_SOLD">"c1533"</definedName>
    <definedName name="IQ_INSIDER_3MTH_SOLD_PCT">"c1533"</definedName>
    <definedName name="IQ_INSIDER_6MTH_BOUGHT">"c1537"</definedName>
    <definedName name="IQ_INSIDER_6MTH_BOUGHT_PCT">"c1537"</definedName>
    <definedName name="IQ_INSIDER_6MTH_NET">"c1538"</definedName>
    <definedName name="IQ_INSIDER_6MTH_NET_PCT">"c1538"</definedName>
    <definedName name="IQ_INSIDER_6MTH_SOLD">"c1536"</definedName>
    <definedName name="IQ_INSIDER_6MTH_SOLD_PCT">"c1536"</definedName>
    <definedName name="IQ_INSIDER_AMOUNT">"c238"</definedName>
    <definedName name="IQ_INSIDER_LOANS_FDIC">"c6365"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AMOUNT">"c236"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TITUTIONS_EARNINGS_GAINS_FDIC">"c6723"</definedName>
    <definedName name="IQ_INSUR_RECEIV">"c1600"</definedName>
    <definedName name="IQ_INSURANCE_COMMISSION_FEES_FDIC">"c6670"</definedName>
    <definedName name="IQ_INSURANCE_UNDERWRITING_INCOME_FDIC">"c6671"</definedName>
    <definedName name="IQ_INT_BORROW">"c583"</definedName>
    <definedName name="IQ_INT_DEMAND_NOTES_FDIC">"c6567"</definedName>
    <definedName name="IQ_INT_DEPOSITS">"c584"</definedName>
    <definedName name="IQ_INT_DIV_INC">"c585"</definedName>
    <definedName name="IQ_INT_DOMESTIC_DEPOSITS_FDIC">"c6564"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TOTAL_FDIC">"c6569"</definedName>
    <definedName name="IQ_INT_EXP_UTI">"c592"</definedName>
    <definedName name="IQ_INT_FED_FUNDS_FDIC">"c6566"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IN">"c594"</definedName>
    <definedName name="IQ_INT_INC_FOREIGN_LOANS_FDIC">"c6556"</definedName>
    <definedName name="IQ_INT_INC_INVEST">"c595"</definedName>
    <definedName name="IQ_INT_INC_LEASE_RECEIVABLES_FDIC">"c6557"</definedName>
    <definedName name="IQ_INT_INC_LOANS">"c596"</definedName>
    <definedName name="IQ_INT_INC_OTHER_FDIC">"c6562"</definedName>
    <definedName name="IQ_INT_INC_REIT">"c597"</definedName>
    <definedName name="IQ_INT_INC_SECURITIES_FDIC">"c6559"</definedName>
    <definedName name="IQ_INT_INC_TOTAL">"c598"</definedName>
    <definedName name="IQ_INT_INC_TOTAL_FDIC">"c6563"</definedName>
    <definedName name="IQ_INT_INC_TRADING_ACCOUNTS_FDIC">"c6560"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_SUB_NOTES_FDIC">"c6568"</definedName>
    <definedName name="IQ_INTANGIBLES_NET">"c1407"</definedName>
    <definedName name="IQ_INTEREST_BEARING_BALANCES_FDIC">"c6371"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10K">"IQ_INTEREST_INC_10K"</definedName>
    <definedName name="IQ_INTEREST_INC_10Q">"IQ_INTEREST_INC_10Q"</definedName>
    <definedName name="IQ_INTEREST_INC_10Q1">"IQ_INTEREST_INC_10Q1"</definedName>
    <definedName name="IQ_INTEREST_INC_NON">"c1384"</definedName>
    <definedName name="IQ_INTEREST_INVEST_INC">"c619"</definedName>
    <definedName name="IQ_INTEREST_RATE_CONTRACTS_FDIC">"c6512"</definedName>
    <definedName name="IQ_INTEREST_RATE_EXPOSURES_FDIC">"c6662"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NVESTMENT_BANKING_OTHER_FEES_FDIC">"c6666"</definedName>
    <definedName name="IQ_IPRD">"c644"</definedName>
    <definedName name="IQ_IRA_KEOGH_ACCOUNTS_FDIC">"c6496"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_DEBT_NET">"c1391"</definedName>
    <definedName name="IQ_ISS_STOCK_NET">"c1601"</definedName>
    <definedName name="IQ_ISSUE_CURRENCY">"c2156"</definedName>
    <definedName name="IQ_ISSUE_NAME">"c2142"</definedName>
    <definedName name="IQ_ISSUED_GUARANTEED_US_FDIC">"c6404"</definedName>
    <definedName name="IQ_ISSUER">"c2143"</definedName>
    <definedName name="IQ_ISSUER_PARENT">"c2144"</definedName>
    <definedName name="IQ_LAND">"c645"</definedName>
    <definedName name="IQ_LAST_EBIT_MARGIN">"c151"</definedName>
    <definedName name="IQ_LAST_EBITDA_MARGIN">"c150"</definedName>
    <definedName name="IQ_LAST_GROSS_MARGIN">"c149"</definedName>
    <definedName name="IQ_LAST_NET_INC_MARGIN">"c152"</definedName>
    <definedName name="IQ_LAST_PMT_DATE">"c2188"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">"1"</definedName>
    <definedName name="IQ_LATESTK">1000</definedName>
    <definedName name="IQ_LATESTKFR">"100"</definedName>
    <definedName name="IQ_LATESTQ">500</definedName>
    <definedName name="IQ_LATESTQFR">"50"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RECOVERIES_FDIC">"c6621"</definedName>
    <definedName name="IQ_LEASE_FINANCING_RECEIVABLES_TOTAL_LOANS_FOREIGN_FDIC">"c6449"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E_INSURANCE_ASSETS_FDIC">"c6372"</definedName>
    <definedName name="IQ_LIFOR">"c655"</definedName>
    <definedName name="IQ_LL">"c656"</definedName>
    <definedName name="IQ_LOAN_COMMITMENTS_REVOLVING_FDIC">"c6524"</definedName>
    <definedName name="IQ_LOAN_LEASE_RECEIV">"c657"</definedName>
    <definedName name="IQ_LOAN_LOSS">"c1386"</definedName>
    <definedName name="IQ_LOAN_LOSS_ALLOW_FDIC">"c6326"</definedName>
    <definedName name="IQ_LOAN_LOSS_ALLOWANCE_NONCURRENT_LOANS_FDIC">"c6740"</definedName>
    <definedName name="IQ_LOAN_LOSSES_FDIC">"c6580"</definedName>
    <definedName name="IQ_LOAN_SERVICE_REV">"c658"</definedName>
    <definedName name="IQ_LOANS_AND_LEASES_HELD_FDIC">"c6367"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DEPOSITORY_INSTITUTIONS_FDIC">"c6382"</definedName>
    <definedName name="IQ_LOANS_FOR_SALE">"c666"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NET_FDIC">"c6327"</definedName>
    <definedName name="IQ_LOANS_LEASES_NET_UNEARNED_FDIC">"c6325"</definedName>
    <definedName name="IQ_LOANS_NOT_SECURED_RE_FDIC">"c6381"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ALLOWANCE_LOANS_FDIC">"c6739"</definedName>
    <definedName name="IQ_LOSS_LOSS_EXP">"c672"</definedName>
    <definedName name="IQ_LOW_TARGET_PRICE">"c1652"</definedName>
    <definedName name="IQ_LOW_TARGET_PRICE_REUT">"c5318"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_SENIOR_DEBT">"c702"</definedName>
    <definedName name="IQ_LT_SUB_DEBT">"c703"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DATE">"IQ_LTM_DATE"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ARKTCAP">"c258"</definedName>
    <definedName name="IQ_MATURITY_DATE">"c2146"</definedName>
    <definedName name="IQ_MATURITY_ONE_YEAR_LESS_FDIC">"c6425"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DIAN_TARGET_PRICE">"c1650"</definedName>
    <definedName name="IQ_MEDIAN_TARGET_PRICE_REUT">"c5316"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REUT">"c4048"</definedName>
    <definedName name="IQ_MM_ACCOUNT">"c743"</definedName>
    <definedName name="IQ_MONEY_MARKET_DEPOSIT_ACCOUNTS_FDIC">"c6553"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>"c6402"</definedName>
    <definedName name="IQ_MORTGAGE_SERV_RIGHTS">"c2242"</definedName>
    <definedName name="IQ_MORTGAGE_SERVICING_FDIC">"c6335"</definedName>
    <definedName name="IQ_MTD">800000</definedName>
    <definedName name="IQ_MULTIFAMILY_RESIDENTIAL_LOANS_FDIC">"c6311"</definedName>
    <definedName name="IQ_NAMES_REVISION_DATE_">42184.5488773148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HARE_ACT_OR_EST_REUT">"c5623"</definedName>
    <definedName name="IQ_NAV_SHARE_EST_REUT">"c5617"</definedName>
    <definedName name="IQ_NAV_SHARE_HIGH_EST_REUT">"c5620"</definedName>
    <definedName name="IQ_NAV_SHARE_LOW_EST_REUT">"c5621"</definedName>
    <definedName name="IQ_NAV_SHARE_MEDIAN_EST_REUT">"c5618"</definedName>
    <definedName name="IQ_NAV_SHARE_NUM_EST_REUT">"c5622"</definedName>
    <definedName name="IQ_NAV_SHARE_STDDEV_EST_REUT">"c5619"</definedName>
    <definedName name="IQ_NAV_STDDEV_EST">"c1756"</definedName>
    <definedName name="IQ_NET_CHANGE">"c749"</definedName>
    <definedName name="IQ_NET_CHARGE_OFFS_FDIC">"c6641"</definedName>
    <definedName name="IQ_NET_CHARGE_OFFS_LOANS_FDIC">"c6751"</definedName>
    <definedName name="IQ_NET_DEBT">"c1584"</definedName>
    <definedName name="IQ_NET_DEBT_ACT_OR_EST_REUT">"c5473"</definedName>
    <definedName name="IQ_NET_DEBT_EBITDA">"c750"</definedName>
    <definedName name="IQ_NET_DEBT_EST_REUT">"c3976"</definedName>
    <definedName name="IQ_NET_DEBT_HIGH_EST_REUT">"c3978"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DEBT_LOW_EST_REUT">"c3979"</definedName>
    <definedName name="IQ_NET_DEBT_MEDIAN_EST_REUT">"c3977"</definedName>
    <definedName name="IQ_NET_DEBT_NUM_EST_REUT">"c3980"</definedName>
    <definedName name="IQ_NET_DEBT_STDDEV_EST_REUT">"c3981"</definedName>
    <definedName name="IQ_NET_INC">"c1394"</definedName>
    <definedName name="IQ_NET_INC_10K">"IQ_NET_INC_10K"</definedName>
    <definedName name="IQ_NET_INC_10Q">"IQ_NET_INC_10Q"</definedName>
    <definedName name="IQ_NET_INC_10Q1">"IQ_NET_INC_10Q1"</definedName>
    <definedName name="IQ_NET_INC_BEFORE">"c1368"</definedName>
    <definedName name="IQ_NET_INC_CF">"c1397"</definedName>
    <definedName name="IQ_NET_INC_GROWTH_1">"c158"</definedName>
    <definedName name="IQ_NET_INC_GROWTH_2">"c162"</definedName>
    <definedName name="IQ_NET_INC_MARGIN">"c1398"</definedName>
    <definedName name="IQ_NET_INCOME_FDIC">"c6587"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NK_FDIC">"c6570"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INTEREST_MARGIN_FDIC">"c6726"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LEASES_CORE_DEPOSITS_FDIC">"c6743"</definedName>
    <definedName name="IQ_NET_LOANS_LEASES_DEPOSITS_FDIC">"c6742"</definedName>
    <definedName name="IQ_NET_LOANS_TOTAL_DEPOSITS">"c779"</definedName>
    <definedName name="IQ_NET_OPERATING_INCOME_ASSETS_FDIC">"c6729"</definedName>
    <definedName name="IQ_NET_RENTAL_EXP_FN">"c780"</definedName>
    <definedName name="IQ_NET_SECURITIZATION_INCOME_FDIC">"c6669"</definedName>
    <definedName name="IQ_NET_SERVICING_FEES_FDIC">"c6668"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CT_OR_EST_REUT">"c5468"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EST">"c1716"</definedName>
    <definedName name="IQ_NI_EST_REUT">"c5368"</definedName>
    <definedName name="IQ_NI_GW_EST">"c1723"</definedName>
    <definedName name="IQ_NI_GW_EST_REUT">"c5375"</definedName>
    <definedName name="IQ_NI_GW_HIGH_EST">"c1725"</definedName>
    <definedName name="IQ_NI_GW_HIGH_EST_REUT">"c5377"</definedName>
    <definedName name="IQ_NI_GW_LOW_EST">"c1726"</definedName>
    <definedName name="IQ_NI_GW_LOW_EST_REUT">"c5378"</definedName>
    <definedName name="IQ_NI_GW_MEDIAN_EST">"c1724"</definedName>
    <definedName name="IQ_NI_GW_MEDIAN_EST_REUT">"c5376"</definedName>
    <definedName name="IQ_NI_GW_NUM_EST">"c1727"</definedName>
    <definedName name="IQ_NI_GW_NUM_EST_REUT">"c5379"</definedName>
    <definedName name="IQ_NI_GW_STDDEV_EST">"c1728"</definedName>
    <definedName name="IQ_NI_GW_STDDEV_EST_REUT">"c5380"</definedName>
    <definedName name="IQ_NI_HIGH_EST">"c1718"</definedName>
    <definedName name="IQ_NI_HIGH_EST_REUT">"c5370"</definedName>
    <definedName name="IQ_NI_LOW_EST">"c1719"</definedName>
    <definedName name="IQ_NI_LOW_EST_REUT">"c5371"</definedName>
    <definedName name="IQ_NI_MARGIN">"c794"</definedName>
    <definedName name="IQ_NI_MEDIAN_EST">"c1717"</definedName>
    <definedName name="IQ_NI_MEDIAN_EST_REUT">"c5369"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NUM_EST">"c1720"</definedName>
    <definedName name="IQ_NI_NUM_EST_REUT">"c5372"</definedName>
    <definedName name="IQ_NI_REPORTED_EST">"c1730"</definedName>
    <definedName name="IQ_NI_REPORTED_EST_REUT">"c5382"</definedName>
    <definedName name="IQ_NI_REPORTED_HIGH_EST">"c1732"</definedName>
    <definedName name="IQ_NI_REPORTED_HIGH_EST_REUT">"c5384"</definedName>
    <definedName name="IQ_NI_REPORTED_LOW_EST">"c1733"</definedName>
    <definedName name="IQ_NI_REPORTED_LOW_EST_REUT">"c5385"</definedName>
    <definedName name="IQ_NI_REPORTED_MEDIAN_EST">"c1731"</definedName>
    <definedName name="IQ_NI_REPORTED_MEDIAN_EST_REUT">"c5383"</definedName>
    <definedName name="IQ_NI_REPORTED_NUM_EST">"c1734"</definedName>
    <definedName name="IQ_NI_REPORTED_NUM_EST_REUT">"c5386"</definedName>
    <definedName name="IQ_NI_REPORTED_STDDEV_EST">"c1735"</definedName>
    <definedName name="IQ_NI_REPORTED_STDDEV_EST_REUT">"c5387"</definedName>
    <definedName name="IQ_NI_SFAS">"c795"</definedName>
    <definedName name="IQ_NI_STDDEV_EST">"c1721"</definedName>
    <definedName name="IQ_NI_STDDEV_EST_REUT">"c5373"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EXP_FDIC">"c6579"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_INC_FDIC">"c6575"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OME_EARNING_ASSETS_FDIC">"c6727"</definedName>
    <definedName name="IQ_NONMORTGAGE_SERVICING_FDIC">"c6336"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UNUSED_UNUSED_UNUSED">"c6928"</definedName>
    <definedName name="IQ_NONRES_FIXED_INVEST_PRIV_YOY_FC_UNUSED_UNUSED_UNUSED">"c8248"</definedName>
    <definedName name="IQ_NONRES_FIXED_INVEST_PRIV_YOY_UNUSED_UNUSED_UNUSED">"c7368"</definedName>
    <definedName name="IQ_NONTRANSACTION_ACCOUNTS_FDIC">"c6552"</definedName>
    <definedName name="IQ_NONUTIL_REV">"c2089"</definedName>
    <definedName name="IQ_NORM_EPS_ACT_OR_EST_REUT">"c5472"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_OFFICES">"c2088"</definedName>
    <definedName name="IQ_NUMBER_ADRHOLDERS">"c1970"</definedName>
    <definedName name="IQ_NUMBER_DAYS">"c1904"</definedName>
    <definedName name="IQ_NUMBER_DEPOSITS_LESS_THAN_100K_FDIC">"c6495"</definedName>
    <definedName name="IQ_NUMBER_DEPOSITS_MORE_THAN_100K_FDIC">"c6493"</definedName>
    <definedName name="IQ_NUMBER_SHAREHOLDERS">"c1967"</definedName>
    <definedName name="IQ_NUMBER_SHAREHOLDERS_CLASSA">"c1968"</definedName>
    <definedName name="IQ_NUMBER_SHAREHOLDERS_CLASSB">"c1969"</definedName>
    <definedName name="IQ_NUMBER_SHAREHOLDERS_OTHER">"c1969"</definedName>
    <definedName name="IQ_OBLIGATIONS_OF_STATES_TOTAL_LOANS_FOREIGN_FDIC">"c6447"</definedName>
    <definedName name="IQ_OBLIGATIONS_STATES_FDIC">"c6431"</definedName>
    <definedName name="IQ_OCCUPY_EXP">"c839"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">"c1999"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ED55">1</definedName>
    <definedName name="IQ_OPENPRICE">"c848"</definedName>
    <definedName name="IQ_OPER_INC">"c849"</definedName>
    <definedName name="IQ_OPER_INC_ACT_OR_EST_REUT">"c5466"</definedName>
    <definedName name="IQ_OPER_INC_BR">"c850"</definedName>
    <definedName name="IQ_OPER_INC_EST">"c1688"</definedName>
    <definedName name="IQ_OPER_INC_EST_REUT">"c5340"</definedName>
    <definedName name="IQ_OPER_INC_FIN">"c851"</definedName>
    <definedName name="IQ_OPER_INC_HIGH_EST">"c1690"</definedName>
    <definedName name="IQ_OPER_INC_HIGH_EST_REUT">"c5342"</definedName>
    <definedName name="IQ_OPER_INC_INS">"c852"</definedName>
    <definedName name="IQ_OPER_INC_LOW_EST">"c1691"</definedName>
    <definedName name="IQ_OPER_INC_LOW_EST_REUT">"c5343"</definedName>
    <definedName name="IQ_OPER_INC_MARGIN">"c1448"</definedName>
    <definedName name="IQ_OPER_INC_MEDIAN_EST">"c1689"</definedName>
    <definedName name="IQ_OPER_INC_MEDIAN_EST_REUT">"c5341"</definedName>
    <definedName name="IQ_OPER_INC_NUM_EST">"c1692"</definedName>
    <definedName name="IQ_OPER_INC_NUM_EST_REUT">"c5344"</definedName>
    <definedName name="IQ_OPER_INC_REIT">"c853"</definedName>
    <definedName name="IQ_OPER_INC_STDDEV_EST">"c1693"</definedName>
    <definedName name="IQ_OPER_INC_STDDEV_EST_REUT">"c5345"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CERCISED">"c2116"</definedName>
    <definedName name="IQ_OPTIONS_EXERCISED">"c2116"</definedName>
    <definedName name="IQ_OPTIONS_ISSUED">"c857"</definedName>
    <definedName name="IQ_OPTIONS_OS">"c858"</definedName>
    <definedName name="IQ_ORDER_BACKLOG">"c2090"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MULTI_FAMILY_RESIDENTIAL_FDIC">"c6455"</definedName>
    <definedName name="IQ_OTHER_ADJUST_GROSS_LOANS">"c859"</definedName>
    <definedName name="IQ_OTHER_AMORT_BR">"c5566"</definedName>
    <definedName name="IQ_OTHER_ASSETS">"c860"</definedName>
    <definedName name="IQ_OTHER_ASSETS_BNK">"c861"</definedName>
    <definedName name="IQ_OTHER_ASSETS_BR">"c862"</definedName>
    <definedName name="IQ_OTHER_ASSETS_FDIC">"c6338"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BORROWED_FUNDS_FDIC">"c6345"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OMPREHENSIVE_INCOME_FDIC">"c6503"</definedName>
    <definedName name="IQ_OTHER_CURRENT_ASSETS">"c1403"</definedName>
    <definedName name="IQ_OTHER_CURRENT_LIAB">"c1404"</definedName>
    <definedName name="IQ_OTHER_DEP">"c885"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SURANCE_FEES_FDIC">"c6672"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TANGIBLE_FDIC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IABILITIES_FDIC">"c6347"</definedName>
    <definedName name="IQ_OTHER_LOANS">"c945"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FDIC">"c6578"</definedName>
    <definedName name="IQ_OTHER_NON_INT_EXP_TOTAL">"c954"</definedName>
    <definedName name="IQ_OTHER_NON_INT_EXPENSE_FDIC">"c6679"</definedName>
    <definedName name="IQ_OTHER_NON_INT_INC">"c955"</definedName>
    <definedName name="IQ_OTHER_NON_INT_INC_FDIC">"c6676"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FF_BS_LIAB_FDIC">"c6533"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_OWNED_FDIC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SAVINGS_DEPOSITS_FDIC">"c6554"</definedName>
    <definedName name="IQ_OTHER_TRANSACTIONS_FDIC">"c6504"</definedName>
    <definedName name="IQ_OTHER_UNUSED_COMMITMENTS_FDIC">"c6530"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OUTSTANDING_FILING_DATE_TOTAL">"c2107"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OWNERSHIP">"c2160"</definedName>
    <definedName name="IQ_PART_TIME">"c1024"</definedName>
    <definedName name="IQ_PARTICIPATION_POOLS_RESIDENTIAL_MORTGAGES_FDIC">"c6403"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EXCL_FWD_REUT">"c4049"</definedName>
    <definedName name="IQ_PE_NORMALIZED">"c2207"</definedName>
    <definedName name="IQ_PE_RATIO">"c1610"</definedName>
    <definedName name="IQ_PEG_FWD">"c1863"</definedName>
    <definedName name="IQ_PEG_FWD_REUT">"c4052"</definedName>
    <definedName name="IQ_PENSION">"c1031"</definedName>
    <definedName name="IQ_PERCENT_CHANGE_EST_5YR_GROWTH_RATE_12MONTHS">"c1852"</definedName>
    <definedName name="IQ_PERCENT_CHANGE_EST_5YR_GROWTH_RATE_12MONTHS_REUT">"c3959"</definedName>
    <definedName name="IQ_PERCENT_CHANGE_EST_5YR_GROWTH_RATE_18MONTHS">"c1853"</definedName>
    <definedName name="IQ_PERCENT_CHANGE_EST_5YR_GROWTH_RATE_18MONTHS_REUT">"c3960"</definedName>
    <definedName name="IQ_PERCENT_CHANGE_EST_5YR_GROWTH_RATE_3MONTHS">"c1849"</definedName>
    <definedName name="IQ_PERCENT_CHANGE_EST_5YR_GROWTH_RATE_3MONTHS_REUT">"c3956"</definedName>
    <definedName name="IQ_PERCENT_CHANGE_EST_5YR_GROWTH_RATE_6MONTHS">"c1850"</definedName>
    <definedName name="IQ_PERCENT_CHANGE_EST_5YR_GROWTH_RATE_6MONTHS_REUT">"c3957"</definedName>
    <definedName name="IQ_PERCENT_CHANGE_EST_5YR_GROWTH_RATE_9MONTHS">"c1851"</definedName>
    <definedName name="IQ_PERCENT_CHANGE_EST_5YR_GROWTH_RATE_9MONTHS_REUT">"c3958"</definedName>
    <definedName name="IQ_PERCENT_CHANGE_EST_5YR_GROWTH_RATE_DAY">"c1846"</definedName>
    <definedName name="IQ_PERCENT_CHANGE_EST_5YR_GROWTH_RATE_DAY_REUT">"c3954"</definedName>
    <definedName name="IQ_PERCENT_CHANGE_EST_5YR_GROWTH_RATE_MONTH">"c1848"</definedName>
    <definedName name="IQ_PERCENT_CHANGE_EST_5YR_GROWTH_RATE_MONTH_REUT">"c3955"</definedName>
    <definedName name="IQ_PERCENT_CHANGE_EST_5YR_GROWTH_RATE_WEEK">"c1847"</definedName>
    <definedName name="IQ_PERCENT_CHANGE_EST_5YR_GROWTH_RATE_WEEK_REUT">"c5435"</definedName>
    <definedName name="IQ_PERCENT_CHANGE_EST_CFPS_12MONTHS">"c1812"</definedName>
    <definedName name="IQ_PERCENT_CHANGE_EST_CFPS_12MONTHS_REUT">"c3924"</definedName>
    <definedName name="IQ_PERCENT_CHANGE_EST_CFPS_18MONTHS">"c1813"</definedName>
    <definedName name="IQ_PERCENT_CHANGE_EST_CFPS_18MONTHS_REUT">"c3925"</definedName>
    <definedName name="IQ_PERCENT_CHANGE_EST_CFPS_3MONTHS">"c1809"</definedName>
    <definedName name="IQ_PERCENT_CHANGE_EST_CFPS_3MONTHS_REUT">"c3921"</definedName>
    <definedName name="IQ_PERCENT_CHANGE_EST_CFPS_6MONTHS">"c1810"</definedName>
    <definedName name="IQ_PERCENT_CHANGE_EST_CFPS_6MONTHS_REUT">"c3922"</definedName>
    <definedName name="IQ_PERCENT_CHANGE_EST_CFPS_9MONTHS">"c1811"</definedName>
    <definedName name="IQ_PERCENT_CHANGE_EST_CFPS_9MONTHS_REUT">"c3923"</definedName>
    <definedName name="IQ_PERCENT_CHANGE_EST_CFPS_DAY">"c1806"</definedName>
    <definedName name="IQ_PERCENT_CHANGE_EST_CFPS_DAY_REUT">"c3919"</definedName>
    <definedName name="IQ_PERCENT_CHANGE_EST_CFPS_MONTH">"c1808"</definedName>
    <definedName name="IQ_PERCENT_CHANGE_EST_CFPS_MONTH_REUT">"c3920"</definedName>
    <definedName name="IQ_PERCENT_CHANGE_EST_CFPS_WEEK">"c1807"</definedName>
    <definedName name="IQ_PERCENT_CHANGE_EST_CFPS_WEEK_REUT">"c3962"</definedName>
    <definedName name="IQ_PERCENT_CHANGE_EST_DPS_12MONTHS">"c1820"</definedName>
    <definedName name="IQ_PERCENT_CHANGE_EST_DPS_12MONTHS_REUT">"c3931"</definedName>
    <definedName name="IQ_PERCENT_CHANGE_EST_DPS_18MONTHS">"c1821"</definedName>
    <definedName name="IQ_PERCENT_CHANGE_EST_DPS_18MONTHS_REUT">"c3932"</definedName>
    <definedName name="IQ_PERCENT_CHANGE_EST_DPS_3MONTHS">"c1817"</definedName>
    <definedName name="IQ_PERCENT_CHANGE_EST_DPS_3MONTHS_REUT">"c3928"</definedName>
    <definedName name="IQ_PERCENT_CHANGE_EST_DPS_6MONTHS">"c1818"</definedName>
    <definedName name="IQ_PERCENT_CHANGE_EST_DPS_6MONTHS_REUT">"c3929"</definedName>
    <definedName name="IQ_PERCENT_CHANGE_EST_DPS_9MONTHS">"c1819"</definedName>
    <definedName name="IQ_PERCENT_CHANGE_EST_DPS_9MONTHS_REUT">"c3930"</definedName>
    <definedName name="IQ_PERCENT_CHANGE_EST_DPS_DAY">"c1814"</definedName>
    <definedName name="IQ_PERCENT_CHANGE_EST_DPS_DAY_REUT">"c3926"</definedName>
    <definedName name="IQ_PERCENT_CHANGE_EST_DPS_MONTH">"c1816"</definedName>
    <definedName name="IQ_PERCENT_CHANGE_EST_DPS_MONTH_REUT">"c3927"</definedName>
    <definedName name="IQ_PERCENT_CHANGE_EST_DPS_WEEK">"c1815"</definedName>
    <definedName name="IQ_PERCENT_CHANGE_EST_DPS_WEEK_REUT">"c3963"</definedName>
    <definedName name="IQ_PERCENT_CHANGE_EST_EBITDA_12MONTHS">"c1804"</definedName>
    <definedName name="IQ_PERCENT_CHANGE_EST_EBITDA_12MONTHS_REUT">"c3917"</definedName>
    <definedName name="IQ_PERCENT_CHANGE_EST_EBITDA_18MONTHS">"c1805"</definedName>
    <definedName name="IQ_PERCENT_CHANGE_EST_EBITDA_18MONTHS_REUT">"c3918"</definedName>
    <definedName name="IQ_PERCENT_CHANGE_EST_EBITDA_3MONTHS">"c1801"</definedName>
    <definedName name="IQ_PERCENT_CHANGE_EST_EBITDA_3MONTHS_REUT">"c3914"</definedName>
    <definedName name="IQ_PERCENT_CHANGE_EST_EBITDA_6MONTHS">"c1802"</definedName>
    <definedName name="IQ_PERCENT_CHANGE_EST_EBITDA_6MONTHS_REUT">"c3915"</definedName>
    <definedName name="IQ_PERCENT_CHANGE_EST_EBITDA_9MONTHS">"c1803"</definedName>
    <definedName name="IQ_PERCENT_CHANGE_EST_EBITDA_9MONTHS_REUT">"c3916"</definedName>
    <definedName name="IQ_PERCENT_CHANGE_EST_EBITDA_DAY">"c1798"</definedName>
    <definedName name="IQ_PERCENT_CHANGE_EST_EBITDA_DAY_REUT">"c3912"</definedName>
    <definedName name="IQ_PERCENT_CHANGE_EST_EBITDA_MONTH">"c1800"</definedName>
    <definedName name="IQ_PERCENT_CHANGE_EST_EBITDA_MONTH_REUT">"c3913"</definedName>
    <definedName name="IQ_PERCENT_CHANGE_EST_EBITDA_WEEK">"c1799"</definedName>
    <definedName name="IQ_PERCENT_CHANGE_EST_EBITDA_WEEK_REUT">"c3961"</definedName>
    <definedName name="IQ_PERCENT_CHANGE_EST_EPS_12MONTHS">"c1788"</definedName>
    <definedName name="IQ_PERCENT_CHANGE_EST_EPS_12MONTHS_REUT">"c3902"</definedName>
    <definedName name="IQ_PERCENT_CHANGE_EST_EPS_18MONTHS">"c1789"</definedName>
    <definedName name="IQ_PERCENT_CHANGE_EST_EPS_18MONTHS_REUT">"c3903"</definedName>
    <definedName name="IQ_PERCENT_CHANGE_EST_EPS_3MONTHS">"c1785"</definedName>
    <definedName name="IQ_PERCENT_CHANGE_EST_EPS_3MONTHS_REUT">"c3899"</definedName>
    <definedName name="IQ_PERCENT_CHANGE_EST_EPS_6MONTHS">"c1786"</definedName>
    <definedName name="IQ_PERCENT_CHANGE_EST_EPS_6MONTHS_REUT">"c3900"</definedName>
    <definedName name="IQ_PERCENT_CHANGE_EST_EPS_9MONTHS">"c1787"</definedName>
    <definedName name="IQ_PERCENT_CHANGE_EST_EPS_9MONTHS_REUT">"c3901"</definedName>
    <definedName name="IQ_PERCENT_CHANGE_EST_EPS_DAY">"c1782"</definedName>
    <definedName name="IQ_PERCENT_CHANGE_EST_EPS_DAY_REUT">"c3896"</definedName>
    <definedName name="IQ_PERCENT_CHANGE_EST_EPS_MONTH">"c1784"</definedName>
    <definedName name="IQ_PERCENT_CHANGE_EST_EPS_MONTH_REUT">"c3898"</definedName>
    <definedName name="IQ_PERCENT_CHANGE_EST_EPS_WEEK">"c1783"</definedName>
    <definedName name="IQ_PERCENT_CHANGE_EST_EPS_WEEK_REUT">"c3897"</definedName>
    <definedName name="IQ_PERCENT_CHANGE_EST_FFO_12MONTHS">"c1828"</definedName>
    <definedName name="IQ_PERCENT_CHANGE_EST_FFO_12MONTHS_CIQ">"c3769"</definedName>
    <definedName name="IQ_PERCENT_CHANGE_EST_FFO_12MONTHS_REUT">"c3938"</definedName>
    <definedName name="IQ_PERCENT_CHANGE_EST_FFO_18MONTHS">"c1829"</definedName>
    <definedName name="IQ_PERCENT_CHANGE_EST_FFO_18MONTHS_CIQ">"c3770"</definedName>
    <definedName name="IQ_PERCENT_CHANGE_EST_FFO_18MONTHS_REUT">"c3939"</definedName>
    <definedName name="IQ_PERCENT_CHANGE_EST_FFO_3MONTHS">"c1825"</definedName>
    <definedName name="IQ_PERCENT_CHANGE_EST_FFO_3MONTHS_CIQ">"c3766"</definedName>
    <definedName name="IQ_PERCENT_CHANGE_EST_FFO_3MONTHS_REUT">"c3935"</definedName>
    <definedName name="IQ_PERCENT_CHANGE_EST_FFO_6MONTHS">"c1826"</definedName>
    <definedName name="IQ_PERCENT_CHANGE_EST_FFO_6MONTHS_CIQ">"c3767"</definedName>
    <definedName name="IQ_PERCENT_CHANGE_EST_FFO_6MONTHS_REUT">"c3936"</definedName>
    <definedName name="IQ_PERCENT_CHANGE_EST_FFO_9MONTHS">"c1827"</definedName>
    <definedName name="IQ_PERCENT_CHANGE_EST_FFO_9MONTHS_CIQ">"c3768"</definedName>
    <definedName name="IQ_PERCENT_CHANGE_EST_FFO_9MONTHS_REUT">"c3937"</definedName>
    <definedName name="IQ_PERCENT_CHANGE_EST_FFO_DAY">"c1822"</definedName>
    <definedName name="IQ_PERCENT_CHANGE_EST_FFO_DAY_CIQ">"c3764"</definedName>
    <definedName name="IQ_PERCENT_CHANGE_EST_FFO_DAY_REUT">"c3933"</definedName>
    <definedName name="IQ_PERCENT_CHANGE_EST_FFO_MONTH">"c1824"</definedName>
    <definedName name="IQ_PERCENT_CHANGE_EST_FFO_MONTH_CIQ">"c3765"</definedName>
    <definedName name="IQ_PERCENT_CHANGE_EST_FFO_MONTH_REUT">"c3934"</definedName>
    <definedName name="IQ_PERCENT_CHANGE_EST_FFO_SHARE_SHARE_12MONTHS">"c1828"</definedName>
    <definedName name="IQ_PERCENT_CHANGE_EST_FFO_SHARE_SHARE_12MONTHS_CIQ">"c3769"</definedName>
    <definedName name="IQ_PERCENT_CHANGE_EST_FFO_SHARE_SHARE_12MONTHS_REUT">"c3938"</definedName>
    <definedName name="IQ_PERCENT_CHANGE_EST_FFO_SHARE_SHARE_18MONTHS">"c1829"</definedName>
    <definedName name="IQ_PERCENT_CHANGE_EST_FFO_SHARE_SHARE_18MONTHS_CIQ">"c3770"</definedName>
    <definedName name="IQ_PERCENT_CHANGE_EST_FFO_SHARE_SHARE_18MONTHS_REUT">"c3939"</definedName>
    <definedName name="IQ_PERCENT_CHANGE_EST_FFO_SHARE_SHARE_3MONTHS">"c1825"</definedName>
    <definedName name="IQ_PERCENT_CHANGE_EST_FFO_SHARE_SHARE_3MONTHS_CIQ">"c3766"</definedName>
    <definedName name="IQ_PERCENT_CHANGE_EST_FFO_SHARE_SHARE_3MONTHS_REUT">"c3935"</definedName>
    <definedName name="IQ_PERCENT_CHANGE_EST_FFO_SHARE_SHARE_6MONTHS">"c1826"</definedName>
    <definedName name="IQ_PERCENT_CHANGE_EST_FFO_SHARE_SHARE_6MONTHS_CIQ">"c3767"</definedName>
    <definedName name="IQ_PERCENT_CHANGE_EST_FFO_SHARE_SHARE_6MONTHS_REUT">"c3936"</definedName>
    <definedName name="IQ_PERCENT_CHANGE_EST_FFO_SHARE_SHARE_9MONTHS">"c1827"</definedName>
    <definedName name="IQ_PERCENT_CHANGE_EST_FFO_SHARE_SHARE_9MONTHS_CIQ">"c3768"</definedName>
    <definedName name="IQ_PERCENT_CHANGE_EST_FFO_SHARE_SHARE_9MONTHS_REUT">"c3937"</definedName>
    <definedName name="IQ_PERCENT_CHANGE_EST_FFO_SHARE_SHARE_DAY">"c1822"</definedName>
    <definedName name="IQ_PERCENT_CHANGE_EST_FFO_SHARE_SHARE_DAY_CIQ">"c3764"</definedName>
    <definedName name="IQ_PERCENT_CHANGE_EST_FFO_SHARE_SHARE_DAY_REUT">"c3933"</definedName>
    <definedName name="IQ_PERCENT_CHANGE_EST_FFO_SHARE_SHARE_MONTH">"c1824"</definedName>
    <definedName name="IQ_PERCENT_CHANGE_EST_FFO_SHARE_SHARE_MONTH_CIQ">"c3765"</definedName>
    <definedName name="IQ_PERCENT_CHANGE_EST_FFO_SHARE_SHARE_MONTH_REUT">"c3934"</definedName>
    <definedName name="IQ_PERCENT_CHANGE_EST_FFO_SHARE_SHARE_WEEK">"c1823"</definedName>
    <definedName name="IQ_PERCENT_CHANGE_EST_FFO_SHARE_SHARE_WEEK_CIQ">"c3795"</definedName>
    <definedName name="IQ_PERCENT_CHANGE_EST_FFO_SHARE_SHARE_WEEK_REUT">"c3964"</definedName>
    <definedName name="IQ_PERCENT_CHANGE_EST_FFO_WEEK">"c1823"</definedName>
    <definedName name="IQ_PERCENT_CHANGE_EST_FFO_WEEK_CIQ">"c3795"</definedName>
    <definedName name="IQ_PERCENT_CHANGE_EST_FFO_WEEK_REUT">"c3964"</definedName>
    <definedName name="IQ_PERCENT_CHANGE_EST_PRICE_TARGET_12MONTHS">"c1844"</definedName>
    <definedName name="IQ_PERCENT_CHANGE_EST_PRICE_TARGET_12MONTHS_REUT">"c3952"</definedName>
    <definedName name="IQ_PERCENT_CHANGE_EST_PRICE_TARGET_18MONTHS">"c1845"</definedName>
    <definedName name="IQ_PERCENT_CHANGE_EST_PRICE_TARGET_18MONTHS_REUT">"c3953"</definedName>
    <definedName name="IQ_PERCENT_CHANGE_EST_PRICE_TARGET_3MONTHS">"c1841"</definedName>
    <definedName name="IQ_PERCENT_CHANGE_EST_PRICE_TARGET_3MONTHS_REUT">"c3949"</definedName>
    <definedName name="IQ_PERCENT_CHANGE_EST_PRICE_TARGET_6MONTHS">"c1842"</definedName>
    <definedName name="IQ_PERCENT_CHANGE_EST_PRICE_TARGET_6MONTHS_REUT">"c3950"</definedName>
    <definedName name="IQ_PERCENT_CHANGE_EST_PRICE_TARGET_9MONTHS">"c1843"</definedName>
    <definedName name="IQ_PERCENT_CHANGE_EST_PRICE_TARGET_9MONTHS_REUT">"c3951"</definedName>
    <definedName name="IQ_PERCENT_CHANGE_EST_PRICE_TARGET_DAY">"c1838"</definedName>
    <definedName name="IQ_PERCENT_CHANGE_EST_PRICE_TARGET_DAY_REUT">"c3947"</definedName>
    <definedName name="IQ_PERCENT_CHANGE_EST_PRICE_TARGET_MONTH">"c1840"</definedName>
    <definedName name="IQ_PERCENT_CHANGE_EST_PRICE_TARGET_MONTH_REUT">"c3948"</definedName>
    <definedName name="IQ_PERCENT_CHANGE_EST_PRICE_TARGET_WEEK">"c1839"</definedName>
    <definedName name="IQ_PERCENT_CHANGE_EST_PRICE_TARGET_WEEK_REUT">"c3967"</definedName>
    <definedName name="IQ_PERCENT_CHANGE_EST_RECO_12MONTHS">"c1836"</definedName>
    <definedName name="IQ_PERCENT_CHANGE_EST_RECO_12MONTHS_REUT">"c3945"</definedName>
    <definedName name="IQ_PERCENT_CHANGE_EST_RECO_18MONTHS">"c1837"</definedName>
    <definedName name="IQ_PERCENT_CHANGE_EST_RECO_18MONTHS_REUT">"c3946"</definedName>
    <definedName name="IQ_PERCENT_CHANGE_EST_RECO_3MONTHS">"c1833"</definedName>
    <definedName name="IQ_PERCENT_CHANGE_EST_RECO_3MONTHS_REUT">"c3942"</definedName>
    <definedName name="IQ_PERCENT_CHANGE_EST_RECO_6MONTHS">"c1834"</definedName>
    <definedName name="IQ_PERCENT_CHANGE_EST_RECO_6MONTHS_REUT">"c3943"</definedName>
    <definedName name="IQ_PERCENT_CHANGE_EST_RECO_9MONTHS">"c1835"</definedName>
    <definedName name="IQ_PERCENT_CHANGE_EST_RECO_9MONTHS_REUT">"c3944"</definedName>
    <definedName name="IQ_PERCENT_CHANGE_EST_RECO_DAY">"c1830"</definedName>
    <definedName name="IQ_PERCENT_CHANGE_EST_RECO_DAY_REUT">"c3940"</definedName>
    <definedName name="IQ_PERCENT_CHANGE_EST_RECO_MONTH">"c1832"</definedName>
    <definedName name="IQ_PERCENT_CHANGE_EST_RECO_MONTH_REUT">"c3941"</definedName>
    <definedName name="IQ_PERCENT_CHANGE_EST_RECO_WEEK">"c1831"</definedName>
    <definedName name="IQ_PERCENT_CHANGE_EST_RECO_WEEK_REUT">"c3965"</definedName>
    <definedName name="IQ_PERCENT_CHANGE_EST_REV_12MONTHS">"c1796"</definedName>
    <definedName name="IQ_PERCENT_CHANGE_EST_REV_12MONTHS_REUT">"c3910"</definedName>
    <definedName name="IQ_PERCENT_CHANGE_EST_REV_18MONTHS">"c1797"</definedName>
    <definedName name="IQ_PERCENT_CHANGE_EST_REV_18MONTHS_REUT">"c3911"</definedName>
    <definedName name="IQ_PERCENT_CHANGE_EST_REV_3MONTHS">"c1793"</definedName>
    <definedName name="IQ_PERCENT_CHANGE_EST_REV_3MONTHS_REUT">"c3907"</definedName>
    <definedName name="IQ_PERCENT_CHANGE_EST_REV_6MONTHS">"c1794"</definedName>
    <definedName name="IQ_PERCENT_CHANGE_EST_REV_6MONTHS_REUT">"c3908"</definedName>
    <definedName name="IQ_PERCENT_CHANGE_EST_REV_9MONTHS">"c1795"</definedName>
    <definedName name="IQ_PERCENT_CHANGE_EST_REV_9MONTHS_REUT">"c3909"</definedName>
    <definedName name="IQ_PERCENT_CHANGE_EST_REV_DAY">"c1790"</definedName>
    <definedName name="IQ_PERCENT_CHANGE_EST_REV_DAY_REUT">"c3904"</definedName>
    <definedName name="IQ_PERCENT_CHANGE_EST_REV_MONTH">"c1792"</definedName>
    <definedName name="IQ_PERCENT_CHANGE_EST_REV_MONTH_REUT">"c3906"</definedName>
    <definedName name="IQ_PERCENT_CHANGE_EST_REV_WEEK">"c1791"</definedName>
    <definedName name="IQ_PERCENT_CHANGE_EST_REV_WEEK_REUT">"c3905"</definedName>
    <definedName name="IQ_PERCENT_FLOAT">"c227"</definedName>
    <definedName name="IQ_PERCENT_INSURED_FDIC">"c6374"</definedName>
    <definedName name="IQ_PERIODDATE">"c1414"</definedName>
    <definedName name="IQ_PERIODDATE_BS">"c1032"</definedName>
    <definedName name="IQ_PERIODDATE_CF">"c1033"</definedName>
    <definedName name="IQ_PERIODDATE_FDIC">"c13646"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EDGED_SECURITIES_FDIC">"c6401"</definedName>
    <definedName name="IQ_PLL">"c2114"</definedName>
    <definedName name="IQ_PMT_FREQ">"c2236"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OTENTIAL_UPSIDE_REUT">"c3968"</definedName>
    <definedName name="IQ_PRE_OPEN_COST">"c1040"</definedName>
    <definedName name="IQ_PRE_TAX_ACT_OR_EST_REUT">"c5467"</definedName>
    <definedName name="IQ_PRE_TAX_INCOME_FDIC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FERRED_FDIC">"c6349"</definedName>
    <definedName name="IQ_PREMISES_EQUIPMENT_FDIC">"c6577"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>"c1702"</definedName>
    <definedName name="IQ_PRETAX_GW_INC_EST_REUT">"c5354"</definedName>
    <definedName name="IQ_PRETAX_GW_INC_HIGH_EST">"c1704"</definedName>
    <definedName name="IQ_PRETAX_GW_INC_HIGH_EST_REUT">"c5356"</definedName>
    <definedName name="IQ_PRETAX_GW_INC_LOW_EST">"c1705"</definedName>
    <definedName name="IQ_PRETAX_GW_INC_LOW_EST_REUT">"c5357"</definedName>
    <definedName name="IQ_PRETAX_GW_INC_MEDIAN_EST">"c1703"</definedName>
    <definedName name="IQ_PRETAX_GW_INC_MEDIAN_EST_REUT">"c5355"</definedName>
    <definedName name="IQ_PRETAX_GW_INC_NUM_EST">"c1706"</definedName>
    <definedName name="IQ_PRETAX_GW_INC_NUM_EST_REUT">"c5358"</definedName>
    <definedName name="IQ_PRETAX_GW_INC_STDDEV_EST">"c1707"</definedName>
    <definedName name="IQ_PRETAX_GW_INC_STDDEV_EST_REUT">"c5359"</definedName>
    <definedName name="IQ_PRETAX_INC">"c16"</definedName>
    <definedName name="IQ_PRETAX_INC_10K">"IQ_PRETAX_INC_10K"</definedName>
    <definedName name="IQ_PRETAX_INC_10Q">"IQ_PRETAX_INC_10Q"</definedName>
    <definedName name="IQ_PRETAX_INC_10Q1">"IQ_PRETAX_INC_10Q1"</definedName>
    <definedName name="IQ_PRETAX_INC_EST">"c1695"</definedName>
    <definedName name="IQ_PRETAX_INC_EST_REUT">"c5347"</definedName>
    <definedName name="IQ_PRETAX_INC_HIGH_EST">"c1697"</definedName>
    <definedName name="IQ_PRETAX_INC_HIGH_EST_REUT">"c5349"</definedName>
    <definedName name="IQ_PRETAX_INC_LOW_EST">"c1698"</definedName>
    <definedName name="IQ_PRETAX_INC_LOW_EST_REUT">"c5350"</definedName>
    <definedName name="IQ_PRETAX_INC_MEDIAN_EST">"c1696"</definedName>
    <definedName name="IQ_PRETAX_INC_MEDIAN_EST_REUT">"c5348"</definedName>
    <definedName name="IQ_PRETAX_INC_NUM_EST">"c1699"</definedName>
    <definedName name="IQ_PRETAX_INC_NUM_EST_REUT">"c5351"</definedName>
    <definedName name="IQ_PRETAX_INC_STDDEV_EST">"c1700"</definedName>
    <definedName name="IQ_PRETAX_INC_STDDEV_EST_REUT">"c5352"</definedName>
    <definedName name="IQ_PRETAX_REPORT_INC_EST">"c1709"</definedName>
    <definedName name="IQ_PRETAX_REPORT_INC_EST_REUT">"c5361"</definedName>
    <definedName name="IQ_PRETAX_REPORT_INC_HIGH_EST">"c1711"</definedName>
    <definedName name="IQ_PRETAX_REPORT_INC_HIGH_EST_REUT">"c5363"</definedName>
    <definedName name="IQ_PRETAX_REPORT_INC_LOW_EST">"c1712"</definedName>
    <definedName name="IQ_PRETAX_REPORT_INC_LOW_EST_REUT">"c5364"</definedName>
    <definedName name="IQ_PRETAX_REPORT_INC_MEDIAN_EST">"c1710"</definedName>
    <definedName name="IQ_PRETAX_REPORT_INC_MEDIAN_EST_REUT">"c5362"</definedName>
    <definedName name="IQ_PRETAX_REPORT_INC_NUM_EST">"c1713"</definedName>
    <definedName name="IQ_PRETAX_REPORT_INC_NUM_EST_REUT">"c5365"</definedName>
    <definedName name="IQ_PRETAX_REPORT_INC_STDDEV_EST">"c1714"</definedName>
    <definedName name="IQ_PRETAX_REPORT_INC_STDDEV_EST_REUT">"c5366"</definedName>
    <definedName name="IQ_PRETAX_RETURN_ASSETS_FDIC">"c6731"</definedName>
    <definedName name="IQ_PRICE_CFPS_FWD_REUT">"c4053"</definedName>
    <definedName name="IQ_PRICE_OVER_BVPS">"c1412"</definedName>
    <definedName name="IQ_PRICE_OVER_EPS_EST">"c174"</definedName>
    <definedName name="IQ_PRICE_OVER_EPS_EST_1">"c175"</definedName>
    <definedName name="IQ_PRICE_OVER_LTM_EPS">"c1413"</definedName>
    <definedName name="IQ_PRICE_TARGET">"c82"</definedName>
    <definedName name="IQ_PRICE_TARGET_BOTTOM_UP_REUT">"c5494"</definedName>
    <definedName name="IQ_PRICE_TARGET_REUT">"c3631"</definedName>
    <definedName name="IQ_PRICEDATE">"c1069"</definedName>
    <definedName name="IQ_PRICEDATETIME">"IQ_PRICEDATETIME"</definedName>
    <definedName name="IQ_PRICING_DATE">"c1613"</definedName>
    <definedName name="IQ_PRIMARY_EPS_TYPE_REUT">"c5481"</definedName>
    <definedName name="IQ_PRIMARY_EPS_TYPE_THOM">"c5297"</definedName>
    <definedName name="IQ_PRIMARY_INDUSTRY">"c1070"</definedName>
    <definedName name="IQ_PRINCIPAL_AMT">"c2157"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LY_ISSUED_MORTGAGE_BACKED_SECURITIES_FDIC">"c6407"</definedName>
    <definedName name="IQ_PRIVATELY_ISSUED_MORTGAGE_PASS_THROUGHS_FDIC">"c6405"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QTD">750000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_FORECLOSURE_FDIC">"c6332"</definedName>
    <definedName name="IQ_RE_INVEST_FDIC">"c6331"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AL_ESTATE">"c1093"</definedName>
    <definedName name="IQ_REAL_ESTATE_ASSETS">"c1094"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LATED_PLANS_FDIC">"c6320"</definedName>
    <definedName name="IQ_RENTAL_REV">"c1101"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ATEMENTS_NET_FDIC">"c6500"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AVG_STORE_SIZE_GROSS">"c2066"</definedName>
    <definedName name="IQ_RETAIL_AVG_STORE_SIZE_NET">"c2067"</definedName>
    <definedName name="IQ_RETAIL_CLOSED_STORES">"c2063"</definedName>
    <definedName name="IQ_RETAIL_DEPOSITS_FDIC">"c6488"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AINED_EARNINGS_AVERAGE_EQUITY_FDIC">"c6733"</definedName>
    <definedName name="IQ_RETURN_ASSETS">"c1113"</definedName>
    <definedName name="IQ_RETURN_ASSETS_ACT_OR_EST_REUT">"c5475"</definedName>
    <definedName name="IQ_RETURN_ASSETS_BANK">"c1114"</definedName>
    <definedName name="IQ_RETURN_ASSETS_BROK">"c1115"</definedName>
    <definedName name="IQ_RETURN_ASSETS_EST_REUT">"c3990"</definedName>
    <definedName name="IQ_RETURN_ASSETS_FDIC">"c6730"</definedName>
    <definedName name="IQ_RETURN_ASSETS_FS">"c1116"</definedName>
    <definedName name="IQ_RETURN_ASSETS_HIGH_EST_REUT">"c3992"</definedName>
    <definedName name="IQ_RETURN_ASSETS_LOW_EST_REUT">"c3993"</definedName>
    <definedName name="IQ_RETURN_ASSETS_MEDIAN_EST_REUT">"c3991"</definedName>
    <definedName name="IQ_RETURN_ASSETS_NUM_EST_REUT">"c3994"</definedName>
    <definedName name="IQ_RETURN_ASSETS_STDDEV_EST_REUT">"c3995"</definedName>
    <definedName name="IQ_RETURN_CAPITAL">"c1117"</definedName>
    <definedName name="IQ_RETURN_EQUITY">"c1118"</definedName>
    <definedName name="IQ_RETURN_EQUITY_ACT_OR_EST_REUT">"c5476"</definedName>
    <definedName name="IQ_RETURN_EQUITY_BANK">"c1119"</definedName>
    <definedName name="IQ_RETURN_EQUITY_BROK">"c1120"</definedName>
    <definedName name="IQ_RETURN_EQUITY_EST_REUT">"c3983"</definedName>
    <definedName name="IQ_RETURN_EQUITY_FDIC">"c6732"</definedName>
    <definedName name="IQ_RETURN_EQUITY_FS">"c1121"</definedName>
    <definedName name="IQ_RETURN_EQUITY_HIGH_EST_REUT">"c3985"</definedName>
    <definedName name="IQ_RETURN_EQUITY_LOW_EST_REUT">"c3986"</definedName>
    <definedName name="IQ_RETURN_EQUITY_MEDIAN_EST_REUT">"c3984"</definedName>
    <definedName name="IQ_RETURN_EQUITY_NUM_EST_REUT">"c3987"</definedName>
    <definedName name="IQ_RETURN_EQUITY_STDDEV_EST_REUT">"c3988"</definedName>
    <definedName name="IQ_RETURN_INVESTMENT">"c1421"</definedName>
    <definedName name="IQ_REV">"c1122"</definedName>
    <definedName name="IQ_REV_BEFORE_LL">"c1123"</definedName>
    <definedName name="IQ_REV_STDDEV_EST">"c1124"</definedName>
    <definedName name="IQ_REV_STDDEV_EST_REUT">"c3639"</definedName>
    <definedName name="IQ_REV_UTI">"c1125"</definedName>
    <definedName name="IQ_REVALUATION_GAINS_FDIC">"c6428"</definedName>
    <definedName name="IQ_REVALUATION_LOSSES_FDIC">"c6429"</definedName>
    <definedName name="IQ_REVENUE">"c1422"</definedName>
    <definedName name="IQ_REVENUE_10K">"IQ_REVENUE_10K"</definedName>
    <definedName name="IQ_REVENUE_10Q">"IQ_REVENUE_10Q"</definedName>
    <definedName name="IQ_REVENUE_10Q1">"IQ_REVENUE_10Q1"</definedName>
    <definedName name="IQ_REVENUE_ACT_OR_EST_REUT">"c5461"</definedName>
    <definedName name="IQ_REVENUE_EST">"c1126"</definedName>
    <definedName name="IQ_REVENUE_EST_1">"c190"</definedName>
    <definedName name="IQ_REVENUE_EST_BOTTOM_UP_REUT">"c5496"</definedName>
    <definedName name="IQ_REVENUE_EST_REUT">"c3634"</definedName>
    <definedName name="IQ_REVENUE_GROWTH_1">"c155"</definedName>
    <definedName name="IQ_REVENUE_GROWTH_2">"c159"</definedName>
    <definedName name="IQ_REVENUE_HIGH_EST">"c1127"</definedName>
    <definedName name="IQ_REVENUE_HIGH_EST_REUT">"c3636"</definedName>
    <definedName name="IQ_REVENUE_LOW_EST">"c1128"</definedName>
    <definedName name="IQ_REVENUE_LOW_EST_REUT">"c3637"</definedName>
    <definedName name="IQ_REVENUE_MEDIAN_EST">"c1662"</definedName>
    <definedName name="IQ_REVENUE_MEDIAN_EST_REUT">"c3635"</definedName>
    <definedName name="IQ_REVENUE_NO_EST">"c263"</definedName>
    <definedName name="IQ_REVENUE_NUM_EST">"c1129"</definedName>
    <definedName name="IQ_REVENUE_NUM_EST_REUT">"c3638"</definedName>
    <definedName name="IQ_REVISION_DATE_">39000.7075115741</definedName>
    <definedName name="IQ_REVISION_DATE__1">39237.6235648148</definedName>
    <definedName name="IQ_REVOLVING_SECURED_1_4_NON_ACCRUAL_FFIEC">"c13314"</definedName>
    <definedName name="IQ_RISK_WEIGHTED_ASSETS_FDIC">"c6370"</definedName>
    <definedName name="IQ_SALARY">"c1130"</definedName>
    <definedName name="IQ_SALARY_FDIC">"c6576"</definedName>
    <definedName name="IQ_SALE_CONVERSION_RETIREMENT_STOCK_FDIC">"c6661"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UNDERWRITING_FDIC">"c6529"</definedName>
    <definedName name="IQ_SECURITY_BORROW">"c1152"</definedName>
    <definedName name="IQ_SECURITY_LEVEL">"c2159"</definedName>
    <definedName name="IQ_SECURITY_NOTES">"c2202"</definedName>
    <definedName name="IQ_SECURITY_OWN">"c1153"</definedName>
    <definedName name="IQ_SECURITY_RESELL">"c1154"</definedName>
    <definedName name="IQ_SECURITY_TYPE">"c2158"</definedName>
    <definedName name="IQ_SEPARATE_ACCT_ASSETS">"c1155"</definedName>
    <definedName name="IQ_SEPARATE_ACCT_LIAB">"c1156"</definedName>
    <definedName name="IQ_SERV_CHARGE_DEPOSITS">"c1157"</definedName>
    <definedName name="IQ_SERVICE_CHARGES_FDIC">"c6572"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INTEREST_VOLUME">"c228"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">"c2171"</definedName>
    <definedName name="IQ_SP_DATE">"c2172"</definedName>
    <definedName name="IQ_SP_REASON">"c2174"</definedName>
    <definedName name="IQ_SP_STATUS">"c2173"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ES_NONTRANSACTION_ACCOUNTS_FDIC">"c6547"</definedName>
    <definedName name="IQ_STATES_TOTAL_DEPOSITS_FDIC">"c6473"</definedName>
    <definedName name="IQ_STATES_TRANSACTION_ACCOUNTS_FDIC">"c6539"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TW">"c2166"</definedName>
    <definedName name="IQ_SUB_DEBT_FDIC">"c6346"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RPLUS_FDIC">"c6351"</definedName>
    <definedName name="IQ_SVA">"c1214"</definedName>
    <definedName name="IQ_TARGET_PRICE_LASTCLOSE">"c1855"</definedName>
    <definedName name="IQ_TARGET_PRICE_NUM">"c1653"</definedName>
    <definedName name="IQ_TARGET_PRICE_NUM_REUT">"c5319"</definedName>
    <definedName name="IQ_TARGET_PRICE_STDDEV">"c1654"</definedName>
    <definedName name="IQ_TARGET_PRICE_STDDEV_REUT">"c5320"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_FWD_REUT">"c4054"</definedName>
    <definedName name="IQ_TEV_EBITDA">"c1222"</definedName>
    <definedName name="IQ_TEV_EBITDA_AVG">"c1223"</definedName>
    <definedName name="IQ_TEV_EBITDA_FWD">"c1224"</definedName>
    <definedName name="IQ_TEV_EBITDA_FWD_REUT">"c4050"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EV_TOTAL_REV_FWD_REUT">"c4051"</definedName>
    <definedName name="IQ_TEV_UFCF">"c2208"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FDIC">"c6369"</definedName>
    <definedName name="IQ_TIER_ONE_RATIO">"c1229"</definedName>
    <definedName name="IQ_TIME_DEP">"c1230"</definedName>
    <definedName name="IQ_TIME_DEPOSITS_LESS_THAN_100K_FDIC">"c6465"</definedName>
    <definedName name="IQ_TIME_DEPOSITS_MORE_THAN_100K_FDIC">"c6470"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SSETS_FDIC">"c6339"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ARGE_OFFS_FDIC">"c6603"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DUE">"c2509"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BT_SECURITIES_FDIC">"c6410"</definedName>
    <definedName name="IQ_TOTAL_DEPOSITS">"c1265"</definedName>
    <definedName name="IQ_TOTAL_DEPOSITS_FDIC">"c6342"</definedName>
    <definedName name="IQ_TOTAL_DIV_PAID_CF">"c1266"</definedName>
    <definedName name="IQ_TOTAL_EMPLOYEE">"c2141"</definedName>
    <definedName name="IQ_TOTAL_EMPLOYEES">"c1522"</definedName>
    <definedName name="IQ_TOTAL_EMPLOYEES_FDIC">"c6355"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EQUITY_FDIC">"c6354"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IABILITIES_FDIC">"c6348"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COVERIES_FDIC">"c6622"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NK_FDIC">"c6786"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RISK_BASED_CAPITAL_RATIO_FDIC">"c6747"</definedName>
    <definedName name="IQ_TOTAL_SECURITIES_FDIC">"c6306"</definedName>
    <definedName name="IQ_TOTAL_SPECIAL">"c1618"</definedName>
    <definedName name="IQ_TOTAL_ST_BORROW">"c1424"</definedName>
    <definedName name="IQ_TOTAL_SUBS">"c2119"</definedName>
    <definedName name="IQ_TOTAL_TIME_DEPOSITS_FDIC">"c6497"</definedName>
    <definedName name="IQ_TOTAL_TIME_SAVINGS_DEPOSITS_FDIC">"c6498"</definedName>
    <definedName name="IQ_TOTAL_UNUSED_COMMITMENTS_FDIC">"c6536"</definedName>
    <definedName name="IQ_TOTAL_UNUSUAL">"c1508"</definedName>
    <definedName name="IQ_TOTAL_UNUSUAL_BR">"c5517"</definedName>
    <definedName name="IQ_TRADE_AR">"c1345"</definedName>
    <definedName name="IQ_TRADE_PRINCIPAL">"c1309"</definedName>
    <definedName name="IQ_TRADING_ACCOUNT_GAINS_FEES_FDIC">"c6573"</definedName>
    <definedName name="IQ_TRADING_ASSETS">"c1310"</definedName>
    <definedName name="IQ_TRADING_ASSETS_FDIC">"c6328"</definedName>
    <definedName name="IQ_TRADING_CURRENCY">"c2212"</definedName>
    <definedName name="IQ_TRADING_LIABILITIES_FDIC">"c6344"</definedName>
    <definedName name="IQ_TRANSACTION_ACCOUNTS_FDIC">"c6544"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EASURY_STOCK_TRANSACTIONS_FDIC">"c6501"</definedName>
    <definedName name="IQ_TRUST_INC">"c1319"</definedName>
    <definedName name="IQ_TRUST_PREF">"c1320"</definedName>
    <definedName name="IQ_TWELVE_MONTHS_FIXED_AND_FLOATING_FDIC">"c6420"</definedName>
    <definedName name="IQ_TWELVE_MONTHS_MORTGAGE_PASS_THROUGHS_FDIC">"c6412"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DIVIDED_PROFITS_FDIC">"c6352"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EARNED_INCOME_FDIC">"c6324"</definedName>
    <definedName name="IQ_UNEARNED_INCOME_FOREIGN_FDIC">"c6385"</definedName>
    <definedName name="IQ_UNLEVERED_FCF">"c1908"</definedName>
    <definedName name="IQ_UNPAID_CLAIMS">"c1330"</definedName>
    <definedName name="IQ_UNPROFITABLE_INSTITUTIONS_FDIC">"c6722"</definedName>
    <definedName name="IQ_UNREALIZED_GAIN">"c1619"</definedName>
    <definedName name="IQ_UNUSED_LOAN_COMMITMENTS_FDIC">"c6368"</definedName>
    <definedName name="IQ_UNUSUAL_EXP">"c1456"</definedName>
    <definedName name="IQ_US_BRANCHES_FOREIGN_BANK_LOANS_FDIC">"c6435"</definedName>
    <definedName name="IQ_US_BRANCHES_FOREIGN_BANKS_FDIC">"c6390"</definedName>
    <definedName name="IQ_US_GAAP">"c1331"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TREASURY_SECURITIES_FDIC">"c6298"</definedName>
    <definedName name="IQ_UTIL_PPE_NET">"c1620"</definedName>
    <definedName name="IQ_UTIL_REV">"c2091"</definedName>
    <definedName name="IQ_UV_PENSION_LIAB">"c1332"</definedName>
    <definedName name="IQ_VALUATION_ALLOWANCES_FDIC">"c6400"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C_REVENUE_FDIC">"c6667"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>"c6364"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YTW">"c2163"</definedName>
    <definedName name="IQ_YTW_DATE">"c2164"</definedName>
    <definedName name="IQ_YTW_DATE_TYPE">"c2165"</definedName>
    <definedName name="IQ_Z_SCORE">"c1339"</definedName>
    <definedName name="IQB_BOOKMARK_COUNT">1</definedName>
    <definedName name="IQB_CURRENT_BOOKMARK">0</definedName>
    <definedName name="IQRB6">"$B$7:$B$26"</definedName>
    <definedName name="IQRC11">"$C$12:$C$967"</definedName>
    <definedName name="IQRD11">"$D$12:$D$967"</definedName>
    <definedName name="IQRD6">"$D$7:$D$26"</definedName>
    <definedName name="IQRD8">"$D$9:$D$964"</definedName>
    <definedName name="IQRE8">"$E$9:$E$964"</definedName>
    <definedName name="IQRH6">"$H$7:$H$238"</definedName>
    <definedName name="IQRI2">"$I$3:$I$66"</definedName>
    <definedName name="IQRI6">"$I$7:$I$238"</definedName>
    <definedName name="IQRJ3">"$J$4:$J$67"</definedName>
    <definedName name="IQRJ6">"$J$7:$J$238"</definedName>
    <definedName name="IQRL16">"$L$17:$L$21"</definedName>
    <definedName name="IQRM15">"$M$16:$M$32"</definedName>
    <definedName name="IQRM16">"$N$16"</definedName>
    <definedName name="IQRM17">"$M$18:$M$22"</definedName>
    <definedName name="IQRO14">"$O$15:$O$66"</definedName>
    <definedName name="IQRP30">"$P$31:$P$281"</definedName>
    <definedName name="IQRR192">"$R$193:$R$443"</definedName>
    <definedName name="IQRR207">"$R$208:$R$458"</definedName>
    <definedName name="IQRR24">"$R$25:$R$275"</definedName>
    <definedName name="Irbe">{#N/A,#N/A,FALSE,"Pharm";#N/A,#N/A,FALSE,"WWCM"}</definedName>
    <definedName name="iv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">{#N/A,#N/A,FALSE,"REPORT"}</definedName>
    <definedName name="jen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yj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h">{#N/A,#N/A,FALSE,"Assump";#N/A,#N/A,FALSE,"Income";#N/A,#N/A,FALSE,"Balance";#N/A,#N/A,FALSE,"DCF Pump";#N/A,#N/A,FALSE,"Trans Assump";#N/A,#N/A,FALSE,"Combined Income";#N/A,#N/A,FALSE,"Combined Balance"}</definedName>
    <definedName name="jj">{#N/A,#N/A,TRUE,"DCF Summary (2)";#N/A,#N/A,TRUE,"DCF Summary";#N/A,"Base Case Value Drivers",TRUE,"DCF"}</definedName>
    <definedName name="jjj">{#N/A,#N/A,FALSE,"REPORT"}</definedName>
    <definedName name="jk">{#N/A,#N/A,FALSE,"FY97";#N/A,#N/A,FALSE,"FY98";#N/A,#N/A,FALSE,"FY99";#N/A,#N/A,FALSE,"FY00";#N/A,#N/A,FALSE,"FY01"}</definedName>
    <definedName name="jkl">{#N/A,#N/A,FALSE,"REPORT"}</definedName>
    <definedName name="jklhjk">{#N/A,#N/A,FALSE,"Sheet1"}</definedName>
    <definedName name="jlc">{#N/A,#N/A,FALSE,"J97plnfp"}</definedName>
    <definedName name="JLCC">{#N/A,#N/A,FALSE,"J97plnfp"}</definedName>
    <definedName name="Joe">{"FY04_Assets",#N/A,FALSE,"Fin Stmt Budget";"FY04_Liabilities",#N/A,FALSE,"Fin Stmt Budget";"FY04_Inc_Stmt",#N/A,FALSE,"Fin Stmt Budget";"FY04_SOCF",#N/A,FALSE,"Fin Stmt Budget"}</definedName>
    <definedName name="jr97pl">{#N/A,#N/A,FALSE,"J97plnfp"}</definedName>
    <definedName name="jsfda">{"incomemth",#N/A,TRUE,"forecast00";"incomepercentmth",#N/A,TRUE,"forecast00";"balancemth",#N/A,TRUE,"forecast00";"cashmth",#N/A,TRUE,"forecast00";"covenantmth",#N/A,TRUE,"forecast00"}</definedName>
    <definedName name="ju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judy">{#N/A,#N/A,FALSE,"Pharm";#N/A,#N/A,FALSE,"WWCM"}</definedName>
    <definedName name="judy1">{#N/A,#N/A,FALSE,"Pharm";#N/A,#N/A,FALSE,"WWCM"}</definedName>
    <definedName name="junk2">{"BS",#N/A,FALSE,"USA"}</definedName>
    <definedName name="junk3">{"BS",#N/A,FALSE,"USA"}</definedName>
    <definedName name="k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K2_WBEVMODE">0</definedName>
    <definedName name="kcuf">{"SUMMARY",#N/A,TRUE,"SUMMARY";"compare",#N/A,TRUE,"Vs. Bus Plan";"ratios",#N/A,TRUE,"Ratios";"REVENUE",#N/A,TRUE,"Revenue";"expenses",#N/A,TRUE,"1996 budget";"payroll",#N/A,TRUE,"Payroll"}</definedName>
    <definedName name="kdjfdkj">{"PAGE1",#N/A,FALSE,"ADJMODL";"PAGE2",#N/A,FALSE,"ADJMODL";"PAGE3",#N/A,FALSE,"ADJMODL";"PAGE4",#N/A,FALSE,"ADJMODL";"PAGE5",#N/A,FALSE,"ADJMODL";"PAGE6",#N/A,FALSE,"ADJMODL";"PAGE7",#N/A,FALSE,"ADJMODL";"PAGE8",#N/A,FALSE,"ADJMODL"}</definedName>
    <definedName name="key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pr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j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o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j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kkk">{#N/A,#N/A,FALSE,"Pharm";#N/A,#N/A,FALSE,"WWCM"}</definedName>
    <definedName name="kl">{#N/A,#N/A,FALSE,"FY97";#N/A,#N/A,FALSE,"FY98";#N/A,#N/A,FALSE,"FY99";#N/A,#N/A,FALSE,"FY00";#N/A,#N/A,FALSE,"FY01"}</definedName>
    <definedName name="krista">{#N/A,#N/A,TRUE,"97plnfpg"}</definedName>
    <definedName name="kslkjkjlkjd">{#N/A,#N/A,FALSE,"REPORT"}</definedName>
    <definedName name="LBO">{#N/A,#N/A,FALSE,"Summary";#N/A,#N/A,FALSE,"Projections";#N/A,#N/A,FALSE,"Mkt Mults";#N/A,#N/A,FALSE,"DCF";#N/A,#N/A,FALSE,"Accr Dil";#N/A,#N/A,FALSE,"PIC LBO";#N/A,#N/A,FALSE,"MULT10_4";#N/A,#N/A,FALSE,"CBI LBO"}</definedName>
    <definedName name="LBOAnalysis2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ea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e">{#N/A,#N/A,FALSE,"Pharm";#N/A,#N/A,FALSE,"WWCM"}</definedName>
    <definedName name="limcount">1</definedName>
    <definedName name="limey">{#N/A,#N/A,FALSE,"Calc";#N/A,#N/A,FALSE,"Sensitivity";#N/A,#N/A,FALSE,"LT Earn.Dil.";#N/A,#N/A,FALSE,"Dil. AVP"}</definedName>
    <definedName name="lkjlkj">{"Final",#N/A,FALSE,"Feb-96"}</definedName>
    <definedName name="lklkl">{"consolidated",#N/A,FALSE,"Sheet1";"cms",#N/A,FALSE,"Sheet1";"fse",#N/A,FALSE,"Sheet1"}</definedName>
    <definedName name="ll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LLCP">{"PAGE1",#N/A,FALSE,"BID (3)";"PAGE2",#N/A,FALSE,"BID (3)"}</definedName>
    <definedName name="LLL">{#N/A,#N/A,FALSE,"ACQ_GRAPHS";#N/A,#N/A,FALSE,"T_1 GRAPHS";#N/A,#N/A,FALSE,"T_2 GRAPHS";#N/A,#N/A,FALSE,"COMB_GRAPHS"}</definedName>
    <definedName localSheetId="8"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localSheetId="11"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localSheetId="6"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localSheetId="3"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localSheetId="12"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localSheetId="7"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localSheetId="10"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localSheetId="1"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_1">{"rtn",#N/A,FALSE,"RTN";"tables",#N/A,FALSE,"RTN";"cf",#N/A,FALSE,"CF";"stats",#N/A,FALSE,"Stats";"prop",#N/A,FALSE,"Prop"}</definedName>
    <definedName name="Malcolm">{"Budget V Actual YTD",#N/A,FALSE,"Budget v Actual"}</definedName>
    <definedName name="Mark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matrix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DI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e">{#N/A,#N/A,TRUE,"index";#N/A,#N/A,TRUE,"Summary";#N/A,#N/A,TRUE,"Continuing Business";#N/A,#N/A,TRUE,"Disposals";#N/A,#N/A,TRUE,"Acquisitions";#N/A,#N/A,TRUE,"Actual &amp; Plan Reconciliation"}</definedName>
    <definedName name="meoi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Warning">1</definedName>
    <definedName name="mfgr">{"PAGE 1",#N/A,FALSE,"WEST_OT"}</definedName>
    <definedName name="mfgtest">{"PAGE 1",#N/A,FALSE,"WEST_OT"}</definedName>
    <definedName name="MHA">{"Outflow 1",#N/A,FALSE,"Outflows-Inflows";"Outflow 2",#N/A,FALSE,"Outflows-Inflows";"Inflow 1",#N/A,FALSE,"Outflows-Inflows";"Inflow 2",#N/A,FALSE,"Outflows-Inflows"}</definedName>
    <definedName name="MHA_1">{"Outflow 1",#N/A,FALSE,"Outflows-Inflows";"Outflow 2",#N/A,FALSE,"Outflows-Inflows";"Inflow 1",#N/A,FALSE,"Outflows-Inflows";"Inflow 2",#N/A,FALSE,"Outflows-Inflows"}</definedName>
    <definedName name="Midwest">{"FY02_Assets",#N/A,FALSE,"Fin Stmt Budget";"FY02_Liabilities",#N/A,FALSE,"Fin Stmt Budget";"FY02_Inc_Stmt",#N/A,FALSE,"Fin Stmt Budget";"FY02_SOCF",#N/A,FALSE,"Fin Stmt Budget"}</definedName>
    <definedName name="min">{#N/A,#N/A,FALSE,"REPORT"}</definedName>
    <definedName name="mina">{#N/A,#N/A,FALSE,"REPORT"}</definedName>
    <definedName name="mj">{#N/A,#N/A,FALSE,"FY97";#N/A,#N/A,FALSE,"FY98";#N/A,#N/A,FALSE,"FY99";#N/A,#N/A,FALSE,"FY00";#N/A,#N/A,FALSE,"FY01"}</definedName>
    <definedName name="mlw">{#N/A,#N/A,FALSE,"Pharm";#N/A,#N/A,FALSE,"WWCM"}</definedName>
    <definedName name="mmjj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m">{"MFGLBRBEN",#N/A,FALSE,"SAMPLECC"}</definedName>
    <definedName name="mmmmm">{#N/A,#N/A,FALSE,"Calc";#N/A,#N/A,FALSE,"Sensitivity";#N/A,#N/A,FALSE,"LT Earn.Dil.";#N/A,#N/A,FALSE,"Dil. AVP"}</definedName>
    <definedName name="mmmmmmmmmmmmm">{"rtn",#N/A,FALSE,"RTN";"tables",#N/A,FALSE,"RTN";"cf",#N/A,FALSE,"CF";"stats",#N/A,FALSE,"Stats";"prop",#N/A,FALSE,"Prop"}</definedName>
    <definedName name="mmmmmmmmmmmmm_1">{"rtn",#N/A,FALSE,"RTN";"tables",#N/A,FALSE,"RTN";"cf",#N/A,FALSE,"CF";"stats",#N/A,FALSE,"Stats";"prop",#N/A,FALSE,"Prop"}</definedName>
    <definedName name="mn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w">{#N/A,#N/A,FALSE,"Pharm";#N/A,#N/A,FALSE,"WWCM"}</definedName>
    <definedName name="N">{"by departments",#N/A,TRUE,"FORECAST";"cap_headcount",#N/A,TRUE,"FORECAST";"summary",#N/A,TRUE,"FORECAST"}</definedName>
    <definedName name="na">"IQ_FY_DATE"</definedName>
    <definedName name="new">{"'Income Statement'!$A$1:$L$32"}</definedName>
    <definedName name="newdata">{"PAGE 1",#N/A,FALSE,"WEST_OT"}</definedName>
    <definedName name="newdata2">{"PAGE 1",#N/A,FALSE,"WEST_OT"}</definedName>
    <definedName name="newdcf">{#N/A,#N/A,TRUE,"DCF Summary (2)";#N/A,#N/A,TRUE,"DCF Summary";#N/A,"Middle Case Drivers",TRUE,"DCF"}</definedName>
    <definedName name="newnewnew">{#N/A,#N/A,FALSE,"Pharm";#N/A,#N/A,FALSE,"WWCM"}</definedName>
    <definedName name="nname">38743.7825231481</definedName>
    <definedName name="nnn">{"INDUSTRYCONVENTIONS",#N/A,FALSE,"SAMPLECC"}</definedName>
    <definedName name="nnnb">{"consolidated",#N/A,FALSE,"Sheet1";"cms",#N/A,FALSE,"Sheet1";"fse",#N/A,FALSE,"Sheet1"}</definedName>
    <definedName name="nnnn">{#N/A,#N/A,FALSE,"Job Sched"}</definedName>
    <definedName name="nnnnnnnnnnnnnnnn">{"print 1.6",#N/A,FALSE,"Sheet1";"print 2.6",#N/A,FALSE,"Sheet1";"print 3.6",#N/A,FALSE,"Sheet1";"print 4.6",#N/A,FALSE,"Sheet1";"print 5.6",#N/A,FALSE,"Sheet1";"print 6.6",#N/A,FALSE,"Sheet1"}</definedName>
    <definedName name="nnnnnnnnnnnnnnnn_1">{"print 1.6",#N/A,FALSE,"Sheet1";"print 2.6",#N/A,FALSE,"Sheet1";"print 3.6",#N/A,FALSE,"Sheet1";"print 4.6",#N/A,FALSE,"Sheet1";"print 5.6",#N/A,FALSE,"Sheet1";"print 6.6",#N/A,FALSE,"Sheet1"}</definedName>
    <definedName name="no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noidea">{#N/A,#N/A,FALSE,"Calc";#N/A,#N/A,FALSE,"Sensitivity";#N/A,#N/A,FALSE,"LT Earn.Dil.";#N/A,#N/A,FALSE,"Dil. AVP"}</definedName>
    <definedName name="Nope">{"'Bellville Acetylene'!$A$1:$L$99"}</definedName>
    <definedName name="nouv">{#N/A,#N/A,FALSE,"Pharm";#N/A,#N/A,FALSE,"WWCM"}</definedName>
    <definedName name="nuovo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we">{"pages345",#N/A,FALSE,"group and company";"page1920",#N/A,FALSE,"glass grp";"page21",#N/A,FALSE,"glass and marbleine";"page2223",#N/A,FALSE,"wood grp "}</definedName>
    <definedName name="o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h_sum">{#N/A,#N/A,FALSE,"PRO FORMA FINANCIALS"}</definedName>
    <definedName name="oh_sum1">{#N/A,#N/A,FALSE,"PRO FORMA FINANCIALS"}</definedName>
    <definedName name="ok">{"TOTAL",#N/A,FALSE,"A";"FISCAL94",#N/A,FALSE,"A";"FISCAL95",#N/A,FALSE,"A";"FISCAL96",#N/A,FALSE,"A";"misc page",#N/A,FALSE,"A"}</definedName>
    <definedName name="okay">{#N/A,#N/A,FALSE,"INPUTS";#N/A,#N/A,FALSE,"PROFORMA BSHEET";#N/A,#N/A,FALSE,"COMBINED";#N/A,#N/A,FALSE,"HIGH YIELD";#N/A,#N/A,FALSE,"COMB_GRAPHS"}</definedName>
    <definedName name="old">{"Period 5 Income Statements",#N/A,FALSE,"Income Statement";"Period 5 Balance Sheets",#N/A,FALSE,"Balance Sheet";"Period 5 Cashflow Statements",#N/A,FALSE,"Cashflow Statement";"Period 5 Financial Ratios",#N/A,FALSE,"Financial Ratios"}</definedName>
    <definedName name="olddata">{"PAGE 1",#N/A,FALSE,"WEST_OT"}</definedName>
    <definedName name="olddata1">{"PAGE 1",#N/A,FALSE,"WEST_OT"}</definedName>
    <definedName name="olddata2">{"PAGE 1",#N/A,FALSE,"WEST_OT"}</definedName>
    <definedName name="olddata3">{"PAGE 1",#N/A,FALSE,"WEST_OT"}</definedName>
    <definedName name="one.total">{#N/A,#N/A,FALSE,"Coverage";#N/A,#N/A,FALSE,"Leverage";#N/A,#N/A,FALSE,"Projections"}</definedName>
    <definedName name="ooo">{#N/A,#N/A,FALSE,"REPORT"}</definedName>
    <definedName name="ooooo">{#N/A,#N/A,FALSE,"Calc";#N/A,#N/A,FALSE,"Sensitivity";#N/A,#N/A,FALSE,"LT Earn.Dil.";#N/A,#N/A,FALSE,"Dil. AVP"}</definedName>
    <definedName name="opopop">{#N/A,#N/A,TRUE,"index";#N/A,#N/A,TRUE,"Summary";#N/A,#N/A,TRUE,"Continuing Business";#N/A,#N/A,TRUE,"Disposals";#N/A,#N/A,TRUE,"Acquisitions";#N/A,#N/A,TRUE,"Actual &amp; Plan Reconciliation"}</definedName>
    <definedName name="other33">{#N/A,#N/A,FALSE,"Pharm";#N/A,#N/A,FALSE,"WWCM"}</definedName>
    <definedName name="othermar">{#N/A,#N/A,FALSE,"Pharm";#N/A,#N/A,FALSE,"WWCM"}</definedName>
    <definedName name="p">{#N/A,#N/A,TRUE,"Model"}</definedName>
    <definedName name="pac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tty">{"PAGE 1",#N/A,FALSE,"WEST_OT"}</definedName>
    <definedName name="Pechous">{"FY01_Assets",#N/A,FALSE,"Fin Stmt Budget";"FY01_Liabilities",#N/A,FALSE,"Fin Stmt Budget";"FY01_Inc_Stmt",#N/A,FALSE,"Fin Stmt Budget";"FY01_SOCF",#N/A,FALSE,"Fin Stmt Budget"}</definedName>
    <definedName name="pepe">{#N/A,#N/A,FALSE,"Pharm";#N/A,#N/A,FALSE,"WWCM"}</definedName>
    <definedName name="PEPE4">{#N/A,#N/A,FALSE,"Pharm";#N/A,#N/A,FALSE,"WWCM"}</definedName>
    <definedName name="PEPE5">{#N/A,#N/A,FALSE,"Pharm";#N/A,#N/A,FALSE,"WWCM"}</definedName>
    <definedName name="perm">{"PAGE 1",#N/A,FALSE,"WEST_OT"}</definedName>
    <definedName name="perm1">{"PAGE 1",#N/A,FALSE,"WEST_OT"}</definedName>
    <definedName name="perm3">{"PAGE 1",#N/A,FALSE,"WEST_OT"}</definedName>
    <definedName name="perm4">{"PAGE 1",#N/A,FALSE,"WEST_OT"}</definedName>
    <definedName name="perm5">{"PAGE 2",#N/A,FALSE,"WEST_OT"}</definedName>
    <definedName name="perm6">{"PAGE 2",#N/A,FALSE,"WEST_OT"}</definedName>
    <definedName name="perm7">{"PAGE 1",#N/A,FALSE,"WEST_OT"}</definedName>
    <definedName name="PetPL">{#N/A,#N/A,FALSE,"J97plnfp"}</definedName>
    <definedName name="pharma">{#N/A,#N/A,FALSE,"Sales Graph";#N/A,#N/A,FALSE,"PSBM";#N/A,#N/A,FALSE,"BUC Graph";#N/A,#N/A,FALSE,"P&amp;L - YTD"}</definedName>
    <definedName name="pl">{#N/A,#N/A,FALSE,"REPORT"}</definedName>
    <definedName name="PlanVLE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Cepi">{#N/A,#N/A,FALSE,"REPORT"}</definedName>
    <definedName name="PLProcef">{#N/A,#N/A,FALSE,"REPORT"}</definedName>
    <definedName name="PLTaxol">{#N/A,#N/A,FALSE,"REPORT"}</definedName>
    <definedName name="Pnl">{#N/A,#N/A,FALSE,"Pharm";#N/A,#N/A,FALSE,"WWCM"}</definedName>
    <definedName name="PO">{#N/A,#N/A,FALSE,"PRO FORMA FINANCIALS"}</definedName>
    <definedName name="port29">{#N/A,#N/A,FALSE,"Pharm";#N/A,#N/A,FALSE,"WWCM"}</definedName>
    <definedName name="POW">{#N/A,#N/A,FALSE,"PRO FORMA FINANCIALS"}</definedName>
    <definedName name="pppp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remissas">{"summary1",#N/A,TRUE,"Comps";"summary2",#N/A,TRUE,"Comps";"summary3",#N/A,TRUE,"Comps"}</definedName>
    <definedName name="Presentation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view2">{"PR1","pr1",TRUE,"Sch PR-1"}</definedName>
    <definedName name="pricesg.xls">{#N/A,#N/A,FALSE,"J97plnfp"}</definedName>
    <definedName name="Procef">{#N/A,#N/A,FALSE,"Pharm";#N/A,#N/A,FALSE,"WWCM"}</definedName>
    <definedName name="prod">{#N/A,#N/A,FALSE,"Pharm";#N/A,#N/A,FALSE,"WWCM"}</definedName>
    <definedName name="profimp2">{"PAGE 1",#N/A,FALSE,"WEST_OT"}</definedName>
    <definedName name="profimp3">{"PAGE 2",#N/A,FALSE,"WEST_OT"}</definedName>
    <definedName name="profimp5">{"PAGE 1",#N/A,FALSE,"WEST_OT"}</definedName>
    <definedName name="profimptest">{"PAGE 2",#N/A,FALSE,"WEST_OT"}</definedName>
    <definedName name="project">{#N/A,#N/A,FALSE,"DI 2 YEAR MASTER SCHEDULE"}</definedName>
    <definedName name="prova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vdsk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">{"page1",#N/A,FALSE,"BHCOMPC5";"page2",#N/A,FALSE,"BHCOMPC5";"page3",#N/A,FALSE,"BHCOMPC5";"page4",#N/A,FALSE,"BHCOMPC5"}</definedName>
    <definedName name="Q1_Team_Mapping">#REF!,#REF!,#REF!,#REF!,#REF!,#REF!,#REF!</definedName>
    <definedName name="qaz">{#N/A,#N/A,FALSE,"Pharm";#N/A,#N/A,FALSE,"WWCM"}</definedName>
    <definedName name="qe5yh">{#N/A,#N/A,FALSE,"Summary";#N/A,#N/A,FALSE,"Projections";#N/A,#N/A,FALSE,"Mkt Mults";#N/A,#N/A,FALSE,"DCF";#N/A,#N/A,FALSE,"Accr Dil";#N/A,#N/A,FALSE,"PIC LBO";#N/A,#N/A,FALSE,"MULT10_4";#N/A,#N/A,FALSE,"CBI LBO"}</definedName>
    <definedName name="qertweyu">{#N/A,#N/A,FALSE,"REPORT"}</definedName>
    <definedName name="qetryywt">{#N/A,#N/A,FALSE,"REPORT"}</definedName>
    <definedName name="QofE2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q_1">{"Outflow 1",#N/A,FALSE,"Outflows-Inflows";"Outflow 2",#N/A,FALSE,"Outflows-Inflows";"Inflow 1",#N/A,FALSE,"Outflows-Inflows";"Inflow 2",#N/A,FALSE,"Outflows-Inflows"}</definedName>
    <definedName name="qqq">{#N/A,#N/A,FALSE,"Pharm";#N/A,#N/A,FALSE,"WWCM"}</definedName>
    <definedName name="qqq_1">{"Outflow 1",#N/A,FALSE,"Outflows-Inflows";"Outflow 2",#N/A,FALSE,"Outflows-Inflows";"Inflow 1",#N/A,FALSE,"Outflows-Inflows";"Inflow 2",#N/A,FALSE,"Outflows-Inflows"}</definedName>
    <definedName name="qqqq_1">{"print 1.6",#N/A,FALSE,"Sheet1";"print 2.6",#N/A,FALSE,"Sheet1";"print 3.6",#N/A,FALSE,"Sheet1";"print 4.6",#N/A,FALSE,"Sheet1";"print 5.6",#N/A,FALSE,"Sheet1";"print 6.6",#N/A,FALSE,"Sheet1"}</definedName>
    <definedName name="QQQQQQQ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wtweryey">{#N/A,#N/A,FALSE,"REPORT"}</definedName>
    <definedName name="qrewrqwerqw3e">{"Outflow 1",#N/A,FALSE,"Outflows-Inflows";"Outflow 2",#N/A,FALSE,"Outflows-Inflows";"Inflow 1",#N/A,FALSE,"Outflows-Inflows";"Inflow 2",#N/A,FALSE,"Outflows-Inflows"}</definedName>
    <definedName name="qrewrqwerqw3e_1">{"Outflow 1",#N/A,FALSE,"Outflows-Inflows";"Outflow 2",#N/A,FALSE,"Outflows-Inflows";"Inflow 1",#N/A,FALSE,"Outflows-Inflows";"Inflow 2",#N/A,FALSE,"Outflows-Inflows"}</definedName>
    <definedName name="Quart">{"revenue",#N/A,FALSE,"Visudyne JV";"qearn1",#N/A,FALSE,"Qearn";"qearn2",#N/A,FALSE,"Qearn";#N/A,#N/A,FALSE,"Qmargin";"cashflow",#N/A,FALSE,"Cashflow"}</definedName>
    <definedName name="quit">{"rtn",#N/A,FALSE,"RTN";"tables",#N/A,FALSE,"RTN";"cf",#N/A,FALSE,"CF";"stats",#N/A,FALSE,"Stats";"prop",#N/A,FALSE,"Prop"}</definedName>
    <definedName name="quit_1">{"rtn",#N/A,FALSE,"RTN";"tables",#N/A,FALSE,"RTN";"cf",#N/A,FALSE,"CF";"stats",#N/A,FALSE,"Stats";"prop",#N/A,FALSE,"Prop"}</definedName>
    <definedName name="qw">{#N/A,#N/A,FALSE,"REPORT"}</definedName>
    <definedName name="qwerqwer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qwertqry">{#N/A,#N/A,FALSE,"REPORT"}</definedName>
    <definedName name="qwetqryetytu">{#N/A,#N/A,FALSE,"Pharm";#N/A,#N/A,FALSE,"WWCM"}</definedName>
    <definedName name="Ramp">{"rtn",#N/A,FALSE,"RTN";"tables",#N/A,FALSE,"RTN";"cf",#N/A,FALSE,"CF";"stats",#N/A,FALSE,"Stats";"prop",#N/A,FALSE,"Prop"}</definedName>
    <definedName name="Ramp_1">{"rtn",#N/A,FALSE,"RTN";"tables",#N/A,FALSE,"RTN";"cf",#N/A,FALSE,"CF";"stats",#N/A,FALSE,"Stats";"prop",#N/A,FALSE,"Prop"}</definedName>
    <definedName name="RawsFIT">{#N/A,#N/A,TRUE,"Summary";#N/A,#N/A,TRUE,"Assumptions";#N/A,#N/A,TRUE,"Comparison";#N/A,#N/A,TRUE,"Financials";#N/A,#N/A,TRUE,"Plan v. Act"}</definedName>
    <definedName name="ray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ecap">{#N/A,#N/A,FALSE,"IPO";#N/A,#N/A,FALSE,"DCF";#N/A,#N/A,FALSE,"LBO";#N/A,#N/A,FALSE,"MULT_VAL";#N/A,#N/A,FALSE,"Status Quo";#N/A,#N/A,FALSE,"Recap"}</definedName>
    <definedName name="redo">{#N/A,#N/A,FALSE,"ACQ_GRAPHS";#N/A,#N/A,FALSE,"T_1 GRAPHS";#N/A,#N/A,FALSE,"T_2 GRAPHS";#N/A,#N/A,FALSE,"COMB_GRAPHS"}</definedName>
    <definedName name="reggie">{#N/A,#N/A,FALSE,"Pharm";#N/A,#N/A,FALSE,"WWCM"}</definedName>
    <definedName name="Related">{#N/A,#N/A,FALSE,"Job Sched"}</definedName>
    <definedName name="ReportGroup">0</definedName>
    <definedName name="reps">{"FY03_Assets",#N/A,FALSE,"Fin Stmt Budget";"FY03_Liabilities",#N/A,FALSE,"Fin Stmt Budget";"FY03_Inc_Stmt",#N/A,FALSE,"Fin Stmt Budget";"FY03_SOCF",#N/A,FALSE,"Fin Stmt Budget"}</definedName>
    <definedName name="resp.">{#N/A,#N/A,FALSE,"Pharm";#N/A,#N/A,FALSE,"WWCM"}</definedName>
    <definedName name="RestatedActuals">{#N/A,#N/A,FALSE,"Aging Summary";#N/A,#N/A,FALSE,"Ratio Analysis";#N/A,#N/A,FALSE,"Test 120 Day Accts";#N/A,#N/A,FALSE,"Tickmarks"}</definedName>
    <definedName name="retyu">{#N/A,#N/A,FALSE,"AD_Purchase";#N/A,#N/A,FALSE,"Credit";#N/A,#N/A,FALSE,"PF Acquisition";#N/A,#N/A,FALSE,"PF Offering"}</definedName>
    <definedName name="rf2e">{#N/A,#N/A,FALSE,"Pharm";#N/A,#N/A,FALSE,"WWCM"}</definedName>
    <definedName name="rfgg">{#N/A,#N/A,FALSE,"sum-don";#N/A,#N/A,FALSE,"inc-don"}</definedName>
    <definedName name="RG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ich">{"Capital Plan CA Schedule",#N/A,TRUE,"Capital Plan";"Capital Plan Summary",#N/A,TRUE,"Capital Plan"}</definedName>
    <definedName name="Rick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RRR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r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rsem">{#N/A,#N/A,FALSE,"1996";#N/A,#N/A,FALSE,"1995";#N/A,#N/A,FALSE,"1994"}</definedName>
    <definedName name="rustey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wert">{#N/A,#N/A,FALSE,"Pharm";#N/A,#N/A,FALSE,"WWCM"}</definedName>
    <definedName name="Rwvu.PRT.">#REF!,#REF!</definedName>
    <definedName name="ry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s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_1">{"Outflow 1",#N/A,FALSE,"Outflows-Inflows";"Outflow 2",#N/A,FALSE,"Outflows-Inflows";"Inflow 1",#N/A,FALSE,"Outflows-Inflows";"Inflow 2",#N/A,FALSE,"Outflows-Inflows"}</definedName>
    <definedName name="sa">{#N/A,#N/A,FALSE,"IPO";#N/A,#N/A,FALSE,"DCF";#N/A,#N/A,FALSE,"LBO";#N/A,#N/A,FALSE,"MULT_VAL";#N/A,#N/A,FALSE,"Status Quo";#N/A,#N/A,FALSE,"Recap"}</definedName>
    <definedName name="saa">{"rtn",#N/A,FALSE,"RTN";"tables",#N/A,FALSE,"RTN";"cf",#N/A,FALSE,"CF";"stats",#N/A,FALSE,"Stats";"prop",#N/A,FALSE,"Prop"}</definedName>
    <definedName name="saa_1">{"rtn",#N/A,FALSE,"RTN";"tables",#N/A,FALSE,"RTN";"cf",#N/A,FALSE,"CF";"stats",#N/A,FALSE,"Stats";"prop",#N/A,FALSE,"Prop"}</definedName>
    <definedName name="sad">{"by_month",#N/A,TRUE,"template";"destec_month",#N/A,TRUE,"template";"by_quarter",#N/A,TRUE,"template";"destec_quarter",#N/A,TRUE,"template";"by_year",#N/A,TRUE,"template";"destec_annual",#N/A,TRUE,"template"}</definedName>
    <definedName name="sally">{#N/A,#N/A,FALSE,"Pharm";#N/A,#N/A,FALSE,"WWCM"}</definedName>
    <definedName name="SAPBEXrevision">3</definedName>
    <definedName name="SAPBEXsysID">"PN2"</definedName>
    <definedName name="SAPBEXwbID">"3T2LGOD7SYY4EFWWGCCVZMA6C"</definedName>
    <definedName name="sas">{"Outflow 1",#N/A,FALSE,"Outflows-Inflows";"Outflow 2",#N/A,FALSE,"Outflows-Inflows";"Inflow 1",#N/A,FALSE,"Outflows-Inflows";"Inflow 2",#N/A,FALSE,"Outflows-Inflows"}</definedName>
    <definedName name="sas_1">{"Outflow 1",#N/A,FALSE,"Outflows-Inflows";"Outflow 2",#N/A,FALSE,"Outflows-Inflows";"Inflow 1",#N/A,FALSE,"Outflows-Inflows";"Inflow 2",#N/A,FALSE,"Outflows-Inflows"}</definedName>
    <definedName name="SD">{#N/A,#N/A,FALSE,"Pharm";#N/A,#N/A,FALSE,"WWCM"}</definedName>
    <definedName name="SDA">{#N/A,#N/A,FALSE,"Minors";#N/A,#N/A,FALSE,"96CAPREV"}</definedName>
    <definedName name="sdafgs">{#N/A,#N/A,FALSE,"Pharm";#N/A,#N/A,FALSE,"WWCM"}</definedName>
    <definedName name="sdasd">{"EVA",#N/A,FALSE,"EVA";"WACC",#N/A,FALSE,"WACC"}</definedName>
    <definedName name="sdf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ass">{"Outflow 1",#N/A,FALSE,"Outflows-Inflows";"Outflow 2",#N/A,FALSE,"Outflows-Inflows";"Inflow 1",#N/A,FALSE,"Outflows-Inflows";"Inflow 2",#N/A,FALSE,"Outflows-Inflows"}</definedName>
    <definedName name="sdfass_1">{"Outflow 1",#N/A,FALSE,"Outflows-Inflows";"Outflow 2",#N/A,FALSE,"Outflows-Inflows";"Inflow 1",#N/A,FALSE,"Outflows-Inflows";"Inflow 2",#N/A,FALSE,"Outflows-Inflows"}</definedName>
    <definedName name="sdfdsa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grsta">{"var_page",#N/A,FALSE,"template"}</definedName>
    <definedName name="sdfgty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h">{#N/A,#N/A,FALSE,"Pharm";#N/A,#N/A,FALSE,"WWCM"}</definedName>
    <definedName name="SDFHG">{"Agg Output",#N/A,FALSE,"Operational Drivers Output";"NW Output",#N/A,FALSE,"Operational Drivers Output";"South Output",#N/A,FALSE,"Operational Drivers Output";"Central Output",#N/A,FALSE,"Operational Drivers Output"}</definedName>
    <definedName name="sdflkj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">{#N/A,#N/A,FALSE,"Projections";#N/A,#N/A,FALSE,"Multiples Valuation";#N/A,#N/A,FALSE,"LBO";#N/A,#N/A,FALSE,"Multiples_Sensitivity";#N/A,#N/A,FALSE,"Summary"}</definedName>
    <definedName name="sdfsdfsdf">{#N/A,#N/A,TRUE,"DCF Summary (2)";#N/A,#N/A,TRUE,"DCF Summary";#N/A,"Middle Case Drivers",TRUE,"DCF"}</definedName>
    <definedName name="sdft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gagf">{#N/A,#N/A,FALSE,"Pharm";#N/A,#N/A,FALSE,"WWCM"}</definedName>
    <definedName name="sdhdhfdfhh">{#N/A,#N/A,FALSE,"Balance Sheet";#N/A,#N/A,FALSE,"Income Statement";#N/A,#N/A,FALSE,"Changes in Financial Position"}</definedName>
    <definedName name="sdsadasd">{#N/A,#N/A,FALSE,"Pharm";#N/A,#N/A,FALSE,"WWCM"}</definedName>
    <definedName name="sdsd">{#N/A,#N/A,FALSE,"REPORT"}</definedName>
    <definedName name="sdsds">{"PR1","pr1",TRUE,"Sch PR-1"}</definedName>
    <definedName name="se">{"COSTCENTER",#N/A,FALSE,"SAMPLECC";"SALARIES",#N/A,FALSE,"SAMPLECC";"SALESSCHED",#N/A,FALSE,"SAMPLECC";"REVIEW",#N/A,FALSE,"SAMPLECC"}</definedName>
    <definedName name="segfsdvgfsd">{"page1",#N/A,FALSE,"BHCOMPC5";"page2",#N/A,FALSE,"BHCOMPC5";"page3",#N/A,FALSE,"BHCOMPC5";"page4",#N/A,FALSE,"BHCOMPC5"}</definedName>
    <definedName name="Selim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sell">{"INDUSTRYCONVENTIONS",#N/A,FALSE,"SAMPLECC"}</definedName>
    <definedName name="selm">{"MFGLBRBEN",#N/A,FALSE,"SAMPLECC"}</definedName>
    <definedName name="sencount">1</definedName>
    <definedName name="sf">{#N/A,#N/A,FALSE,"Sales Graph";#N/A,#N/A,FALSE,"BUC Graph";#N/A,#N/A,FALSE,"P&amp;L - YTD"}</definedName>
    <definedName name="sfads">{"EVA",#N/A,FALSE,"EVA";"WACC",#N/A,FALSE,"WACC"}</definedName>
    <definedName name="sfdirect">{#N/A,#N/A,FALSE,"REPORT"}</definedName>
    <definedName name="SFG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v">{"consolidated",#N/A,FALSE,"Sheet1";"cms",#N/A,FALSE,"Sheet1";"fse",#N/A,FALSE,"Sheet1"}</definedName>
    <definedName name="sfq">{#N/A,#N/A,FALSE,"Calc";#N/A,#N/A,FALSE,"Sensitivity";#N/A,#N/A,FALSE,"LT Earn.Dil.";#N/A,#N/A,FALSE,"Dil. AVP"}</definedName>
    <definedName name="sfsf">{#N/A,#N/A,FALSE,"Calc";#N/A,#N/A,FALSE,"Sensitivity";#N/A,#N/A,FALSE,"LT Earn.Dil.";#N/A,#N/A,FALSE,"Dil. AVP"}</definedName>
    <definedName name="sg">{"SALARIES",#N/A,FALSE,"SAMPLECC"}</definedName>
    <definedName name="sgag">{"page1",#N/A,FALSE,"BHCOMPC5";"page2",#N/A,FALSE,"BHCOMPC5";"page3",#N/A,FALSE,"BHCOMPC5";"page4",#N/A,FALSE,"BHCOMPC5"}</definedName>
    <definedName name="sgd">{#N/A,#N/A,FALSE,"Calc";#N/A,#N/A,FALSE,"Sensitivity";#N/A,#N/A,FALSE,"LT Earn.Dil.";#N/A,#N/A,FALSE,"Dil. AVP"}</definedName>
    <definedName name="sgdg">{#N/A,#N/A,FALSE,"Calc";#N/A,#N/A,FALSE,"Sensitivity";#N/A,#N/A,FALSE,"LT Earn.Dil.";#N/A,#N/A,FALSE,"Dil. AVP"}</definedName>
    <definedName name="sgsx">{"consolidated",#N/A,FALSE,"Sheet1";"cms",#N/A,FALSE,"Sheet1";"fse",#N/A,FALSE,"Sheet1"}</definedName>
    <definedName name="sh">{"SALESSCHED",#N/A,FALSE,"SAMPLECC"}</definedName>
    <definedName name="Sheet2">{#N/A,#N/A,FALSE,"DISTRIBUTION";#N/A,#N/A,FALSE,"1996 BRAND SUMMARY (2)";#N/A,#N/A,FALSE,"1995 BRAND SUMMARY"}</definedName>
    <definedName name="Sheet3">{"bs combined",#N/A,FALSE,"Consol BS";"PL Combined",#N/A,FALSE,"CONSOL PL";"CF COMBINED",#N/A,FALSE,"CONSOL CF"}</definedName>
    <definedName name="Sheet4">{#N/A,#N/A,FALSE,"1996 BRAND SUMMARY"}</definedName>
    <definedName name="sj">{"TRADESHOWS",#N/A,FALSE,"SAMPLECC"}</definedName>
    <definedName name="SleepmasterIncom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VIN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olver_cvg">0.0001</definedName>
    <definedName name="solver_drv">1</definedName>
    <definedName name="solver_est">1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rel1">2</definedName>
    <definedName name="solver_rel10">1</definedName>
    <definedName name="solver_rel11">3</definedName>
    <definedName name="solver_rel2">2</definedName>
    <definedName name="solver_rel3">2</definedName>
    <definedName name="solver_rel4">2</definedName>
    <definedName name="solver_rel5">1</definedName>
    <definedName name="solver_rel6">3</definedName>
    <definedName name="solver_rel7">2</definedName>
    <definedName name="solver_rel8">1</definedName>
    <definedName name="solver_rel9">3</definedName>
    <definedName name="solver_scl">2</definedName>
    <definedName name="solver_sho">2</definedName>
    <definedName name="solver_tim">100</definedName>
    <definedName name="solver_tol">0.05</definedName>
    <definedName name="solver_typ">3</definedName>
    <definedName name="solver_val">0.6</definedName>
    <definedName name="ss">{#N/A,#N/A,FALSE,"Calc";#N/A,#N/A,FALSE,"Sensitivity";#N/A,#N/A,FALSE,"LT Earn.Dil.";#N/A,#N/A,FALSE,"Dil. AVP"}</definedName>
    <definedName name="ss_1">{"rtn",#N/A,FALSE,"RTN";"tables",#N/A,FALSE,"RTN";"cf",#N/A,FALSE,"CF";"stats",#N/A,FALSE,"Stats";"prop",#N/A,FALSE,"Prop"}</definedName>
    <definedName name="SSD">{#N/A,#N/A,FALSE,"REPORT"}</definedName>
    <definedName name="sss">{#N/A,#N/A,FALSE,"Pharm";#N/A,#N/A,FALSE,"WWCM"}</definedName>
    <definedName name="sss_1">{"Outflow 1",#N/A,FALSE,"Outflows-Inflows";"Outflow 2",#N/A,FALSE,"Outflows-Inflows";"Inflow 1",#N/A,FALSE,"Outflows-Inflows";"Inflow 2",#N/A,FALSE,"Outflows-Inflows"}</definedName>
    <definedName name="ssss">{"REVIEW",#N/A,FALSE,"SAMPLECC"}</definedName>
    <definedName name="ssss_1">{"print 1.6",#N/A,FALSE,"Sheet1";"print 2.6",#N/A,FALSE,"Sheet1";"print 3.6",#N/A,FALSE,"Sheet1";"print 4.6",#N/A,FALSE,"Sheet1";"print 5.6",#N/A,FALSE,"Sheet1";"print 6.6",#N/A,FALSE,"Sheet1"}</definedName>
    <definedName name="sssss">{#N/A,#N/A,FALSE,"Calc";#N/A,#N/A,FALSE,"Sensitivity";#N/A,#N/A,FALSE,"LT Earn.Dil.";#N/A,#N/A,FALSE,"Dil. AVP"}</definedName>
    <definedName name="sssss_1">{"print 1.6",#N/A,FALSE,"Sheet1";"print 2.6",#N/A,FALSE,"Sheet1";"print 3.6",#N/A,FALSE,"Sheet1";"print 4.6",#N/A,FALSE,"Sheet1";"print 5.6",#N/A,FALSE,"Sheet1";"print 6.6",#N/A,FALSE,"Sheet1"}</definedName>
    <definedName name="ssssss">{"rtn",#N/A,FALSE,"RTN";"tables",#N/A,FALSE,"RTN";"cf",#N/A,FALSE,"CF";"stats",#N/A,FALSE,"Stats";"prop",#N/A,FALSE,"Prop"}</definedName>
    <definedName name="ssssss_1">{"rtn",#N/A,FALSE,"RTN";"tables",#N/A,FALSE,"RTN";"cf",#N/A,FALSE,"CF";"stats",#N/A,FALSE,"Stats";"prop",#N/A,FALSE,"Prop"}</definedName>
    <definedName name="sssssss_1">{"print 1.6",#N/A,FALSE,"Sheet1";"print 2.6",#N/A,FALSE,"Sheet1";"print 3.6",#N/A,FALSE,"Sheet1";"print 4.6",#N/A,FALSE,"Sheet1";"print 5.6",#N/A,FALSE,"Sheet1";"print 6.6",#N/A,FALSE,"Sheet1"}</definedName>
    <definedName name="ssssssss">{"rtn",#N/A,FALSE,"RTN";"tables",#N/A,FALSE,"RTN";"cf",#N/A,FALSE,"CF";"stats",#N/A,FALSE,"Stats";"prop",#N/A,FALSE,"Prop"}</definedName>
    <definedName name="ssssssss_1">{"rtn",#N/A,FALSE,"RTN";"tables",#N/A,FALSE,"RTN";"cf",#N/A,FALSE,"CF";"stats",#N/A,FALSE,"Stats";"prop",#N/A,FALSE,"Prop"}</definedName>
    <definedName name="sssssssss">{"rtn",#N/A,FALSE,"RTN";"tables",#N/A,FALSE,"RTN";"cf",#N/A,FALSE,"CF";"stats",#N/A,FALSE,"Stats";"prop",#N/A,FALSE,"Prop"}</definedName>
    <definedName name="sssssssss_1">{"rtn",#N/A,FALSE,"RTN";"tables",#N/A,FALSE,"RTN";"cf",#N/A,FALSE,"CF";"stats",#N/A,FALSE,"Stats";"prop",#N/A,FALSE,"Prop"}</definedName>
    <definedName name="Staril">{#N/A,#N/A,FALSE,"REPORT"}</definedName>
    <definedName name="StratPlanAP">{#N/A,#N/A,FALSE,"Pharm";#N/A,#N/A,FALSE,"WWCM"}</definedName>
    <definedName name="stuff">{"TOTAL",#N/A,FALSE,"A";"FISCAL94",#N/A,FALSE,"A";"FISCAL95",#N/A,FALSE,"A";"FISCAL96",#N/A,FALSE,"A";"misc page",#N/A,FALSE,"A"}</definedName>
    <definedName name="SUMMARY_BOOK">{"page1",#N/A,FALSE,"GIRLBO";"page2",#N/A,FALSE,"GIRLBO";"page3",#N/A,FALSE,"GIRLBO";"page4",#N/A,FALSE,"GIRLBO";"page5",#N/A,FALSE,"GIRLBO"}</definedName>
    <definedName name="supp">{#N/A,#N/A,FALSE,"Comp Balance";#N/A,#N/A,FALSE,"Sum Balance ";#N/A,#N/A,FALSE,"Balance Trend";#N/A,#N/A,FALSE,"Comp PL";#N/A,#N/A,FALSE,"PL";#N/A,#N/A,FALSE,"Sum PL";#N/A,#N/A,FALSE,"PL Trend";#N/A,#N/A,FALSE,"Change"}</definedName>
    <definedName name="Suppliers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X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t">{#N/A,#N/A,FALSE,"Minors";#N/A,#N/A,FALSE,"96CAPREV"}</definedName>
    <definedName name="tab_wrn.ALL.">{"INCOME",#N/A,FALSE,"Metrocall";"VALUE",#N/A,FALSE,"Metrocall"}</definedName>
    <definedName name="tab_wrn.CHART.">{"CHART",#N/A,FALSE,"Arch Communications"}</definedName>
    <definedName name="TargetDCF2">{#N/A,#N/A,FALSE,"Sheet1"}</definedName>
    <definedName name="taxol">{#N/A,#N/A,FALSE,"Pharm";#N/A,#N/A,FALSE,"WWCM"}</definedName>
    <definedName name="Tem">{#N/A,#N/A,FALSE,"Pharm";#N/A,#N/A,FALSE,"WWCM"}</definedName>
    <definedName name="temp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_1">{"Outflow 1",#N/A,FALSE,"Outflows-Inflows";"Outflow 2",#N/A,FALSE,"Outflows-Inflows";"Inflow 1",#N/A,FALSE,"Outflows-Inflows";"Inflow 2",#N/A,FALSE,"Outflows-Inflows"}</definedName>
    <definedName name="temp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3">{"PAGE 1",#N/A,FALSE,"WEST_OT"}</definedName>
    <definedName name="tempq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>{#N/A,#N/A,TRUE,"FD IV Portfolio Summary ";#N/A,#N/A,TRUE,"Western";#N/A,#N/A,TRUE,"Kranson";#N/A,#N/A,TRUE,"ARC";#N/A,#N/A,TRUE,"Precise";#N/A,#N/A,TRUE,"WNA"}</definedName>
    <definedName name="tempq7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q">{#N/A,#N/A,FALSE,"Pharm";#N/A,#N/A,FALSE,"WWCM"}</definedName>
    <definedName name="Tequin">{#N/A,#N/A,FALSE,"Pharm";#N/A,#N/A,FALSE,"WWCM"}</definedName>
    <definedName name="tequinol">{#N/A,#N/A,FALSE,"REPORT"}</definedName>
    <definedName name="tesg4">{"PAGE 1",#N/A,FALSE,"WEST_OT"}</definedName>
    <definedName name="test1">{"PAGE 1",#N/A,FALSE,"WEST_OT"}</definedName>
    <definedName name="test10">{"PAGE 1",#N/A,FALSE,"WEST_OT"}</definedName>
    <definedName name="test11">{"PAGE 1",#N/A,FALSE,"WEST_OT"}</definedName>
    <definedName name="test12">{"PAGE 2",#N/A,FALSE,"WEST_OT"}</definedName>
    <definedName name="test13">{"PAGE 2",#N/A,FALSE,"WEST_OT"}</definedName>
    <definedName name="test14">{"PAGE 1",#N/A,FALSE,"WEST_OT"}</definedName>
    <definedName name="test15">{"PAGE 1",#N/A,FALSE,"WEST_OT"}</definedName>
    <definedName name="test2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0">{"PAGE 1",#N/A,FALSE,"WEST_OT"}</definedName>
    <definedName name="test21">{"PAGE 1",#N/A,FALSE,"WEST_OT"}</definedName>
    <definedName name="test22">{"PAGE 1",#N/A,FALSE,"WEST_OT"}</definedName>
    <definedName name="test23">{"PAGE 1",#N/A,FALSE,"WEST_OT"}</definedName>
    <definedName name="test24">{"PAGE 1",#N/A,FALSE,"WEST_OT"}</definedName>
    <definedName name="test25">{"PAGE 1",#N/A,FALSE,"WEST_OT"}</definedName>
    <definedName name="test26">{"PAGE 1",#N/A,FALSE,"WEST_OT"}</definedName>
    <definedName name="test27">{"PAGE 1",#N/A,FALSE,"WEST_OT"}</definedName>
    <definedName name="test28">{"PAGE 1",#N/A,FALSE,"WEST_OT"}</definedName>
    <definedName name="test29">{"PAGE 1",#N/A,FALSE,"WEST_OT"}</definedName>
    <definedName name="test3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0">{"PAGE 2",#N/A,FALSE,"WEST_OT"}</definedName>
    <definedName name="test31">{"PAGE 1",#N/A,FALSE,"WEST_OT"}</definedName>
    <definedName name="test32">{"PAGE 1",#N/A,FALSE,"WEST_OT"}</definedName>
    <definedName name="test33">{"PAGE 1",#N/A,FALSE,"WEST_OT"}</definedName>
    <definedName name="test34">{"PAGE 1",#N/A,FALSE,"WEST_OT"}</definedName>
    <definedName name="test35">{"PAGE 1",#N/A,FALSE,"WEST_OT"}</definedName>
    <definedName name="test36">{"PAGE 1",#N/A,FALSE,"WEST_OT"}</definedName>
    <definedName name="test37">{"PAGE 2",#N/A,FALSE,"WEST_OT"}</definedName>
    <definedName name="test38">{"PAGE 1",#N/A,FALSE,"WEST_OT"}</definedName>
    <definedName name="test39">{"PAGE 1",#N/A,FALSE,"WEST_OT"}</definedName>
    <definedName name="test4">{"PAGE 1",#N/A,FALSE,"WEST_OT"}</definedName>
    <definedName name="test40">{"PAGE 2",#N/A,FALSE,"WEST_OT"}</definedName>
    <definedName name="test41">{"PAGE 1",#N/A,FALSE,"WEST_OT"}</definedName>
    <definedName name="test42">{"PAGE 1",#N/A,FALSE,"WEST_OT"}</definedName>
    <definedName name="test43">{"PAGE 2",#N/A,FALSE,"WEST_OT"}</definedName>
    <definedName name="test44">{"PAGE 2",#N/A,FALSE,"WEST_OT"}</definedName>
    <definedName name="test45">{"PAGE 1",#N/A,FALSE,"WEST_OT"}</definedName>
    <definedName name="test46">{"PAGE 1",#N/A,FALSE,"WEST_OT"}</definedName>
    <definedName name="test5">{"PAGE 1",#N/A,FALSE,"WEST_OT"}</definedName>
    <definedName name="test6">{"PAGE 2",#N/A,FALSE,"WEST_OT"}</definedName>
    <definedName name="test7">{"PAGE 2",#N/A,FALSE,"WEST_OT"}</definedName>
    <definedName name="test8">{"PAGE 1",#N/A,FALSE,"WEST_OT"}</definedName>
    <definedName name="test9">{"PAGE 1",#N/A,FALSE,"WEST_OT"}</definedName>
    <definedName name="teste">{#N/A,#N/A,FALSE,"Pharm";#N/A,#N/A,FALSE,"WWCM"}</definedName>
    <definedName name="Testing">{#N/A,#N/A,TRUE,"index";#N/A,#N/A,TRUE,"Summary";#N/A,#N/A,TRUE,"Continuing Business";#N/A,#N/A,TRUE,"Disposals";#N/A,#N/A,TRUE,"Acquisitions";#N/A,#N/A,TRUE,"Actual &amp; Plan Reconciliation"}</definedName>
    <definedName name="tete">{#N/A,#N/A,FALSE,"Calc";#N/A,#N/A,FALSE,"Sensitivity";#N/A,#N/A,FALSE,"LT Earn.Dil.";#N/A,#N/A,FALSE,"Dil. AVP"}</definedName>
    <definedName name="TextRefCopyRangeCount">57</definedName>
    <definedName name="thth">{#N/A,#N/A,FALSE,"Calc";#N/A,#N/A,FALSE,"Sensitivity";#N/A,#N/A,FALSE,"LT Earn.Dil.";#N/A,#N/A,FALSE,"Dil. AVP"}</definedName>
    <definedName name="tou">{#N/A,#N/A,TRUE,"TransPrcd 1";#N/A,#N/A,TRUE,"TransPrcd 2";#N/A,#N/A,TRUE,"TransPrcd 3"}</definedName>
    <definedName name="trout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yeuyit">{#N/A,#N/A,FALSE,"Pharm";#N/A,#N/A,FALSE,"WWCM"}</definedName>
    <definedName name="tttoo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T">{"PAGE 1",#N/A,FALSE,"WEST_OT"}</definedName>
    <definedName name="ttttttt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wert">{"by_month",#N/A,TRUE,"template";"destec_month",#N/A,TRUE,"template";"by_quarter",#N/A,TRUE,"template";"destec_quarter",#N/A,TRUE,"template";"by_year",#N/A,TRUE,"template";"destec_annual",#N/A,TRUE,"template"}</definedName>
    <definedName name="ty">{"Assumptions",#N/A,TRUE,"Assumptions";"Income",#N/A,TRUE,"Income";"Balance",#N/A,TRUE,"Balance"}</definedName>
    <definedName name="tyhdfs">{"inputs raw data",#N/A,TRUE,"INPUT"}</definedName>
    <definedName name="tyr">{#N/A,#N/A,FALSE,"AD_Purch";#N/A,#N/A,FALSE,"Projections";#N/A,#N/A,FALSE,"DCF";#N/A,#N/A,FALSE,"Mkt Val"}</definedName>
    <definedName name="tyryu">{#N/A,#N/A,FALSE,"Sheet1";#N/A,#N/A,FALSE,"Summary";#N/A,#N/A,FALSE,"proj1";#N/A,#N/A,FALSE,"proj2"}</definedName>
    <definedName name="tyuhj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utytyi">{#N/A,#N/A,FALSE,"Pharm";#N/A,#N/A,FALSE,"WWCM"}</definedName>
    <definedName name="tyyufkjkhjd">{#N/A,#N/A,FALSE,"Pharm";#N/A,#N/A,FALSE,"WWCM"}</definedName>
    <definedName name="Unit">{#N/A,#N/A,FALSE,"Pharm";#N/A,#N/A,FALSE,"WWCM"}</definedName>
    <definedName name="United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SA">{#N/A,#N/A,FALSE,"Est97";#N/A,#N/A,FALSE,"Plan98";#N/A,#N/A,FALSE,"Graphs";#N/A,#N/A,FALSE,"5Yr"}</definedName>
    <definedName name="V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v_1">{"rtn",#N/A,FALSE,"RTN";"tables",#N/A,FALSE,"RTN";"cf",#N/A,FALSE,"CF";"stats",#N/A,FALSE,"Stats";"prop",#N/A,FALSE,"Prop"}</definedName>
    <definedName name="val">{#N/A,#N/A,FALSE,"Valuation Assumptions";#N/A,#N/A,FALSE,"Summary";#N/A,#N/A,FALSE,"DCF";#N/A,#N/A,FALSE,"Valuation";#N/A,#N/A,FALSE,"WACC";#N/A,#N/A,FALSE,"UBVH";#N/A,#N/A,FALSE,"Free Cash Flow"}</definedName>
    <definedName name="Valuation2">{"PR1","pr1",TRUE,"Sch PR-1"}</definedName>
    <definedName name="valuevx">42.314159</definedName>
    <definedName name="vcvc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ertex42_copyright">"© 2015 Vertex42 LLC"</definedName>
    <definedName name="vertex42_id">"waterfall-chart.xlsx"</definedName>
    <definedName name="vertex42_title">"Waterfall Chart Template"</definedName>
    <definedName name="vhcmth2">{"pages345",#N/A,FALSE,"group and company";"page1920",#N/A,FALSE,"glass grp";"page21",#N/A,FALSE,"glass and marbleine";"page2223",#N/A,FALSE,"wood grp "}</definedName>
    <definedName name="vhcytd2">{"pages345",#N/A,FALSE,"group and company";"page1920",#N/A,FALSE,"glass grp";"page21",#N/A,FALSE,"glass and marbleine";"page2223",#N/A,FALSE,"wood grp "}</definedName>
    <definedName name="vhcytdebitda">{"pages345",#N/A,FALSE,"group and company";"page1920",#N/A,FALSE,"glass grp";"page21",#N/A,FALSE,"glass and marbleine";"page2223",#N/A,FALSE,"wood grp "}</definedName>
    <definedName name="victor">{"multiple",#N/A,FALSE,"client";"margins",#N/A,FALSE,"client";"data",#N/A,FALSE,"client"}</definedName>
    <definedName name="vo">{"consolidated",#N/A,FALSE,"Sheet1";"cms",#N/A,FALSE,"Sheet1";"fse",#N/A,FALSE,"Sheet1"}</definedName>
    <definedName name="vv">{"cash_marc",#N/A,FALSE,"dec95cr.xls"}</definedName>
    <definedName name="vvcrrr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">{"DCF1",#N/A,FALSE,"SIERRA DCF";"MATRIX1",#N/A,FALSE,"SIERRA DCF"}</definedName>
    <definedName name="w_1">{"rtn",#N/A,FALSE,"RTN";"tables",#N/A,FALSE,"RTN";"cf",#N/A,FALSE,"CF";"stats",#N/A,FALSE,"Stats";"prop",#N/A,FALSE,"Prop"}</definedName>
    <definedName name="w5y2367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ACC3">{"adj95mult",#N/A,FALSE,"COMPCO";"adj95est",#N/A,FALSE,"COMPCO"}</definedName>
    <definedName name="wan">{"COMBINED",#N/A,FALSE,"BALANCE SHEET 2";"KRONE",#N/A,FALSE,"BALANCE SHEET 2";"INTERSYSTEMS",#N/A,FALSE,"BALANCE SHEET 2"}</definedName>
    <definedName name="was">{#N/A,#N/A,FALSE,"Sales Graph";#N/A,#N/A,FALSE,"BUC Graph";#N/A,#N/A,FALSE,"P&amp;L - YTD"}</definedName>
    <definedName name="wb">{#N/A,#N/A,FALSE,"Pharm";#N/A,#N/A,FALSE,"WWCM"}</definedName>
    <definedName name="wc">{#N/A,#N/A,FALSE,"Pharm";#N/A,#N/A,FALSE,"WWCM"}</definedName>
    <definedName name="we">{#N/A,#N/A,FALSE,"Pharm";#N/A,#N/A,FALSE,"WWCM"}</definedName>
    <definedName name="weaadsf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dasf">{"inputs raw data",#N/A,TRUE,"INPUT"}</definedName>
    <definedName name="WEEEEE">{#N/A,#N/A,FALSE,"Minors";#N/A,#N/A,FALSE,"96CAPREV"}</definedName>
    <definedName name="wefdg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erdfy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rfds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errr">{#N/A,#N/A,FALSE,"Pharm";#N/A,#N/A,FALSE,"WWCM"}</definedName>
    <definedName name="wersdf">{"summary1",#N/A,TRUE,"Comps";"summary2",#N/A,TRUE,"Comps";"summary3",#N/A,TRUE,"Comps"}</definedName>
    <definedName name="werwe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ydsfg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hat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?">{#N/A,#N/A,TRUE,"Summary";#N/A,#N/A,TRUE,"Financials"}</definedName>
    <definedName name="What2?">{#N/A,#N/A,TRUE,"Summary";#N/A,#N/A,TRUE,"Financials";#N/A,#N/A,TRUE,"Assumptions";#N/A,#N/A,TRUE,"Pro Forma";#N/A,#N/A,TRUE,"Debt";#N/A,#N/A,TRUE,"Amortization";#N/A,#N/A,TRUE,"GG Returns"}</definedName>
    <definedName name="What3?">{#N/A,#N/A,TRUE,"Summary";#N/A,#N/A,TRUE,"Assumptions";#N/A,#N/A,TRUE,"Comparison";#N/A,#N/A,TRUE,"Financials";#N/A,#N/A,TRUE,"Plan v. Act"}</definedName>
    <definedName name="WHATEVER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ere">{"pages345",#N/A,FALSE,"group and company";"page1920",#N/A,FALSE,"glass grp";"page21",#N/A,FALSE,"glass and marbleine";"page2223",#N/A,FALSE,"wood grp "}</definedName>
    <definedName name="working">{#N/A,#N/A,FALSE,"REPORT"}</definedName>
    <definedName name="wrd">{#N/A,#N/A,FALSE,"INPUTS";#N/A,#N/A,FALSE,"PROFORMA BSHEET";#N/A,#N/A,FALSE,"COMBINED";#N/A,#N/A,FALSE,"HIGH YIELD";#N/A,#N/A,FALSE,"COMB_GRAPHS"}</definedName>
    <definedName name="WRN">{#N/A,#N/A,FALSE,"Pkg Assets";#N/A,#N/A,FALSE,"Elite Pkg Liab";#N/A,#N/A,FALSE,"Pkg Income";#N/A,#N/A,FALSE,"Pkg FOH";#N/A,#N/A,FALSE,"Pkg SGA"}</definedName>
    <definedName name="wrn.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>{#N/A,#N/A,FALSE,"Calc";#N/A,#N/A,FALSE,"Sensitivity";#N/A,#N/A,FALSE,"LT Earn.Dil.";#N/A,#N/A,FALSE,"Dil. AVP"}</definedName>
    <definedName name="wrn.1.._.5._.Year._.Model.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00._.Monthly._.Package.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11111">{#N/A,#N/A,FALSE,"Pharm";#N/A,#N/A,FALSE,"WWCM"}</definedName>
    <definedName name="wrn.12_30._.Adv._.Book.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294BS.">{#N/A,#N/A,FALSE,"PRO FORMA FINANCIALS"}</definedName>
    <definedName name="wrn.1294BSADJUST.">{#N/A,#N/A,FALSE,"PRO FORMA FINANCIALS"}</definedName>
    <definedName name="wrn.1294IS.">{#N/A,#N/A,FALSE,"PRO FORMA FINANCIALS"}</definedName>
    <definedName name="wrn.1294ISADJUST.">{#N/A,#N/A,FALSE,"PRO FORMA FINANCIALS"}</definedName>
    <definedName name="wrn.1996._.BUDGET.">{"SUMMARY",#N/A,TRUE,"SUMMARY";"compare",#N/A,TRUE,"Vs. Bus Plan";"ratios",#N/A,TRUE,"Ratios";"REVENUE",#N/A,TRUE,"Revenue";"expenses",#N/A,TRUE,"1996 budget";"payroll",#N/A,TRUE,"Payroll"}</definedName>
    <definedName name="wrn.1996._.TO._.2004.">{"ten year ratios",#N/A,TRUE,"PROFIT_LOSS";"ten year ratios",#N/A,TRUE,"Ratios";"ten yr opex and capex",#N/A,TRUE,"1996 budget";"ten year revenues",#N/A,TRUE,"Revenue_1996-2004";"ten year payroll",#N/A,TRUE,"Payroll"}</definedName>
    <definedName name="wrn.1998._.Budget.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FINANCIAL._.STATEMENTS.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9._.budget.">{"common_pl",#N/A,FALSE,"Commonized PL";"analyst",#N/A,FALSE,"Budget to Analyst";"sec",#N/A,FALSE,"SEC PL";"summary",#N/A,FALSE,"Summary";"detail",#N/A,FALSE,"Detail"}</definedName>
    <definedName name="wrn.2.._.PPM.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_.pagers.">{"Cover",#N/A,FALSE,"Cover";"Summary",#N/A,FALSE,"Summarpage"}</definedName>
    <definedName name="wrn.2._.pagers.2">{"Cover",#N/A,FALSE,"Cover";"Summary",#N/A,FALSE,"Summarpage"}</definedName>
    <definedName name="wrn.2001._.Budget.">{"MFG",#N/A,FALSE,"Man";"SER",#N/A,FALSE,"Service"}</definedName>
    <definedName name="wrn.2003._.Detail._.in._.Dollars.">{#N/A,#N/A,FALSE,"2003 Est";#N/A,#N/A,FALSE,"2003 Pr";#N/A,#N/A,FALSE,"2003 Plan"}</definedName>
    <definedName name="wrn.2003._.Detail._.per._.pax.">{#N/A,#N/A,FALSE,"2003 Est per pax";#N/A,#N/A,FALSE,"2003 Pr per pax";#N/A,#N/A,FALSE,"2003 Plan per pax"}</definedName>
    <definedName name="wrn.2003._.RM._.Reports.">{#N/A,#N/A,FALSE,"Prd Summ 03Prvs03E";#N/A,#N/A,FALSE,"Prd Summ 03Pvs03E"}</definedName>
    <definedName name="wrn.2004._.Detail._.in._.Dollars.">{#N/A,#N/A,FALSE,"2004 Est";#N/A,#N/A,FALSE,"2004 Pr Est";#N/A,#N/A,FALSE,"2004 Plan"}</definedName>
    <definedName name="wrn.2004._.Detail._.per._.pax.">{#N/A,#N/A,FALSE,"2004 Est per pax";#N/A,#N/A,FALSE,"2004 Pr per pax";#N/A,#N/A,FALSE,"2004 Plan per pax"}</definedName>
    <definedName name="wrn.2004._.RM._.Reports.">{#N/A,#N/A,FALSE,"Prd Summ 04Pvs04E";#N/A,#N/A,FALSE,"Prd Summ 04Prvs04E";#N/A,#N/A,FALSE,"Prd Summ 03Evs04E"}</definedName>
    <definedName name="wrn.3.._.Pre._.Opening.">{"Pre Opening BS",#N/A,FALSE,"Pre-Opening";"Pre Opening Worksheet",#N/A,FALSE,"Pre-Opening"}</definedName>
    <definedName name="wrn.3.._.Pre._.Opening._1">{"Pre Opening BS",#N/A,FALSE,"Pre-Opening";"Pre Opening Worksheet",#N/A,FALSE,"Pre-Opening"}</definedName>
    <definedName name="wrn.3._.month._.budget.">{"roll-up 3",#N/A,FALSE,"Roll-up";"production 3",#N/A,FALSE,"Production";"waste 3",#N/A,FALSE,"Waste";"mact revenues 3",#N/A,FALSE,"MACT Revenues";"depreciation 3",#N/A,FALSE,"Depreciation";"total costs 3",#N/A,FALSE,"Total Costs";"plant costs 3",#N/A,FALSE,"Plant Costs";"cmw costs 3",#N/A,FALSE,"CMW Costs";"braintree costs 3",#N/A,FALSE,"Braintree Costs";"plymouth costs 3",#N/A,FALSE,"Plymouth Costs";"labor 3",#N/A,FALSE,"Labor Summary";"host fees 3",#N/A,FALSE,"Host Fees";"materials 3",#N/A,FALSE,"Materials";"transportation 3",#N/A,FALSE,"Transportation";"maintenance 3",#N/A,FALSE,"Maintenance Services";"closure 3",#N/A,FALSE,"Closure-Post Closure";"interest 3",#N/A,FALSE,"Interest";"purchase 3",#N/A,FALSE,"Purchase Accounting";"capital 3",#N/A,FALSE,"Capital";"own bs 3",#N/A,FALSE,"OWN - BS";"own pl 3",#N/A,FALSE,"OWN - PL";"op bs 3",#N/A,FALSE,"OP - BS";"op pl 3",#N/A,FALSE,"OP - PL";"op socf",#N/A,FALSE,"OP - SOCF";"sp bs 3",#N/A,FALSE,"SP - BS";"sp pl 3",#N/A,FALSE,"SP - PL";"sp socf 3",#N/A,FALSE,"SP - SOCF";"waterfall 3",#N/A,FALSE,"SP - Waterfall"}</definedName>
    <definedName name="wrn.3.00._.Adv.._.Board.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yr.CF.">{"assume",#N/A,FALSE,"K&amp;20th Month CF";"MoCF",#N/A,FALSE,"K&amp;20th Month CF";"AnCF",#N/A,FALSE,"K&amp;20th Month CF"}</definedName>
    <definedName name="wrn.4.._.Detail._.Financial._.Statements.">{"IS All",#N/A,FALSE,"Summary P&amp;L";"IS CS All",#N/A,FALSE,"CS Inc. Stmt.";"BS All",#N/A,FALSE,"Balance Sheet";"CF All",#N/A,FALSE,"CashFlow"}</definedName>
    <definedName name="wrn.4.._.Detail._.Financial._.Statements._1">{"IS All",#N/A,FALSE,"Summary P&amp;L";"IS CS All",#N/A,FALSE,"CS Inc. Stmt.";"BS All",#N/A,FALSE,"Balance Sheet";"CF All",#N/A,FALSE,"CashFlow"}</definedName>
    <definedName name="wrn.495BS.">{#N/A,#N/A,FALSE,"PRO FORMA FINANCIALS"}</definedName>
    <definedName name="wrn.495BSADJUST.">{#N/A,#N/A,FALSE,"PRO FORMA FINANCIALS"}</definedName>
    <definedName name="wrn.495IS.">{#N/A,#N/A,FALSE,"PRO FORMA FINANCIALS"}</definedName>
    <definedName name="wrn.495ISADJUST.">{#N/A,#N/A,FALSE,"PRO FORMA FINANCIALS"}</definedName>
    <definedName name="wrn.5.._.ALL._.Detail._.Support.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6.._.Two._.Year._.Reports.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730.">{#N/A,#N/A,FALSE,"REPORT"}</definedName>
    <definedName name="wrn.731">{#N/A,#N/A,FALSE,"REPORT"}</definedName>
    <definedName name="wrn.750.">{#N/A,#N/A,FALSE,"REPORT"}</definedName>
    <definedName name="wrn.7501">{#N/A,#N/A,FALSE,"REPORT"}</definedName>
    <definedName name="wrn.760.16.">{#N/A,#N/A,FALSE,"REPORT"}</definedName>
    <definedName name="wrn.7900">{#N/A,#N/A,FALSE,"REPORT"}</definedName>
    <definedName name="wrn.9_30._.Adv._.Board.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905">{#N/A,#N/A,FALSE,"REPORT"}</definedName>
    <definedName name="wrn.96._.Plan.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563.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wrn.97PLNS2.XLS.">{#N/A,#N/A,TRUE,"97plnfpg"}</definedName>
    <definedName name="wrn.99999">{#N/A,#N/A,FALSE,"REPORT"}</definedName>
    <definedName name="wrn.A_VALUATION.">{#N/A,#N/A,FALSE,"A_D";#N/A,#N/A,FALSE,"WACC";#N/A,#N/A,FALSE,"DCF";#N/A,#N/A,FALSE,"A";#N/A,#N/A,FALSE,"LBO";#N/A,#N/A,FALSE,"C";#N/A,#N/A,FALSE,"impd";#N/A,#N/A,FALSE,"comps"}</definedName>
    <definedName name="wrn.aaa">{#N/A,#N/A,FALSE,"Pharm";#N/A,#N/A,FALSE,"WWCM"}</definedName>
    <definedName name="wrn.AAAA._.Reports.">{"AAA Minn",#N/A,FALSE,"AAAA - Minn";"AAAA Col and Miami",#N/A,FALSE,"AAAA - Col &amp; Miami";"AAAA Consol",#N/A,FALSE,"AAAA - Consolidated"}</definedName>
    <definedName name="wrn.aaaaaaa">{#N/A,#N/A,FALSE,"Pharm";#N/A,#N/A,FALSE,"WWCM"}</definedName>
    <definedName name="wrn.Accounts.">{"turnover",#N/A,FALSE;"profits",#N/A,FALSE;"cash",#N/A,FALSE}</definedName>
    <definedName name="wrn.ACCOUNTS._.PAYABLE.">{#N/A,#N/A,FALSE,"CC-1 Accounts Payable";#N/A,#N/A,FALSE,"CC-2 Search for Unrecorded Liab"}</definedName>
    <definedName name="wrn.Accr_Dil.">{#N/A,#N/A,FALSE,"Debt Accr";#N/A,#N/A,FALSE,"Stock Accr";#N/A,#N/A,FALSE,"Debt Stock Accr"}</definedName>
    <definedName name="wrn.ACCRUED._.EXPENSES.">{#N/A,#N/A,FALSE,"EE-1 Othr Acts. Pbl &amp; Accr. Exp";#N/A,#N/A,FALSE,"FF-1 Payroll Taxes";#N/A,#N/A,FALSE,"HH-1 Employee Benefit Plans"}</definedName>
    <definedName name="wrn.AcqState.">{#N/A,#N/A,TRUE,"Acq-Ass";#N/A,#N/A,TRUE,"Acq-IS";#N/A,#N/A,TRUE,"Acq-BS";#N/A,#N/A,TRUE,"Acq-CF"}</definedName>
    <definedName name="wrn.Acquiror.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>{"a_Acquiror Assumptions",#N/A,FALSE,"Financials";"b_Acquiror Income Statement",#N/A,FALSE,"Financials";"c_Acquiror Balance Sheet",#N/A,FALSE,"Financials";"d_Acquiror Cashflow Statement",#N/A,FALSE,"Financials"}</definedName>
    <definedName name="wrn.Acquisition_matrix.">{"Acq_matrix",#N/A,FALSE,"Acquisition Matrix"}</definedName>
    <definedName name="wrn.Acquisition_matrix_from_DBAB">{"Acq_matrix",#N/A,FALSE,"Acquisition Matrix"}</definedName>
    <definedName name="wrn.AcqVal.">{#N/A,#N/A,FALSE,"Acq-Val";#N/A,#N/A,FALSE,"Acq-Mult Val"}</definedName>
    <definedName name="wrn.adj95.">{"adj95mult",#N/A,FALSE,"COMPCO";"adj95est",#N/A,FALSE,"COMPCO"}</definedName>
    <definedName name="wrn.adj95._from_DBAB">{"adj95mult",#N/A,FALSE,"COMPCO";"adj95est",#N/A,FALSE,"COMPCO"}</definedName>
    <definedName name="wrn.adj95a">{"adj95mult",#N/A,FALSE,"COMPCO";"adj95est",#N/A,FALSE,"COMPCO"}</definedName>
    <definedName name="wrn.administracion.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EA.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gency._.Profit._.and._.Loss.">{"Forecast PL by Client",#N/A,FALSE,"P&amp;L by Client - Forecast";"Projected PL by Client",#N/A,FALSE,"P&amp;L by Client - Projected";"Consolidated PL",#N/A,FALSE,"Consolidated P&amp;L"}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PH._.Full._.Report.">{"Qearn1",#N/A,FALSE,"Qearn";"Qearn2",#N/A,FALSE,"Qearn";"qmargin",#N/A,FALSE,"Qmargin";"cashflow",#N/A,FALSE,"Cashflow"}</definedName>
    <definedName name="wrn.ALAN.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>{#N/A,#N/A,FALSE,"INPUTS";#N/A,#N/A,FALSE,"PROFORMA BSHEET";#N/A,#N/A,FALSE,"COMBINED";#N/A,#N/A,FALSE,"ACQUIROR";#N/A,#N/A,FALSE,"TARGET 1";#N/A,#N/A,FALSE,"TARGET 2";#N/A,#N/A,FALSE,"HIGH YIELD";#N/A,#N/A,FALSE,"OVERFUND"}</definedName>
    <definedName name="wrn.All._.Agings._.with._.Excess._.Cash.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gings._.with._.Excess._.Cash._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gulp._.sheets.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>{#N/A,#N/A,FALSE,"puboff";#N/A,#N/A,FALSE,"financials";#N/A,#N/A,FALSE,"valuation";#N/A,#N/A,FALSE,"split"}</definedName>
    <definedName name="wrn.all._.print.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Reports.">{"Stat of Ops Summary",#N/A,FALSE,"Summ P&amp;L";"Balance Sheet",#N/A,FALSE,"Summ P&amp;L";"Cash Flow",#N/A,FALSE,"Summ P&amp;L";"Facility Stats",#N/A,FALSE,"Summ P&amp;L";"Stat of Ops Detail",#N/A,FALSE,"Expenses by Dept";"Census",#N/A,FALSE,"Census";"Billing Template",#N/A,FALSE,"Billing Rates";"Staffing $s",#N/A,FALSE,"Staffing";"Staffing Pattern",#N/A,FALSE,"Staffing Pattern";"Assumptions",#N/A,FALSE,"Assumptions";"Capital Expenditures",#N/A,FALSE,"Capital Expenditures";"Prepaids/Accruals",#N/A,FALSE,"Prepaid_Accrual Wkst"}</definedName>
    <definedName name="wrn.All._.Schedules.">{#N/A,#N/A,FALSE,"Static Proforma";#N/A,#N/A,FALSE,"Bldg Dev DCF";#N/A,#N/A,FALSE,"Land Sales DCF"}</definedName>
    <definedName name="wrn.ALL._.SHEETS.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PAPERS.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2">{#N/A,#N/A,FALSE,"DCF";#N/A,#N/A,FALSE,"WACC";#N/A,#N/A,FALSE,"Sales_EBIT";#N/A,#N/A,FALSE,"Capex_Depreciation";#N/A,#N/A,FALSE,"WC";#N/A,#N/A,FALSE,"Interest";#N/A,#N/A,FALSE,"Assumptions"}</definedName>
    <definedName name="wrn.ALL.new">{"INCOME",#N/A,FALSE,"Metrocall";"VALUE",#N/A,FALSE,"Metrocall"}</definedName>
    <definedName name="wrn.All_Models.">{#N/A,#N/A,FALSE,"Summary";#N/A,#N/A,FALSE,"Projections";#N/A,#N/A,FALSE,"Mkt Mults";#N/A,#N/A,FALSE,"DCF";#N/A,#N/A,FALSE,"Accr Dil";#N/A,#N/A,FALSE,"PIC LBO";#N/A,#N/A,FALSE,"MULT10_4";#N/A,#N/A,FALSE,"CBI LBO"}</definedName>
    <definedName name="wrn.All_Sheets.">{#N/A,#N/A,FALSE,"Projections";#N/A,#N/A,FALSE,"Contribution_Stock";#N/A,#N/A,FALSE,"PF_Combo_Stock";#N/A,#N/A,FALSE,"Projections";#N/A,#N/A,FALSE,"Contribution_Cash";#N/A,#N/A,FALSE,"PF_Combo_Cash";#N/A,#N/A,FALSE,"IPO_Cash"}</definedName>
    <definedName name="wrn.ALL2.">{#N/A,#N/A,FALSE,"DCF";#N/A,#N/A,FALSE,"WACC";#N/A,#N/A,FALSE,"Sales_EBIT";#N/A,#N/A,FALSE,"Capex_Depreciation";#N/A,#N/A,FALSE,"WC";#N/A,#N/A,FALSE,"Interest";#N/A,#N/A,FALSE,"Assumptions"}</definedName>
    <definedName name="wrn.all3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4">{#N/A,#N/A,FALSE,"ASSUMPTIONS";#N/A,#N/A,FALSE,"Valuation Summary";"page1",#N/A,FALSE,"PRESENTATION";"page2",#N/A,FALSE,"PRESENTATION";#N/A,#N/A,FALSE,"ORIGINAL_ROLLBACK"}</definedName>
    <definedName name="wrn.ALL5">{#N/A,#N/A,FALSE,"ASSUMPTIONS";#N/A,#N/A,FALSE,"Valuation Summary";"page1",#N/A,FALSE,"PRESENTATION";"page2",#N/A,FALSE,"PRESENTATION";#N/A,#N/A,FALSE,"ORIGINAL_ROLLBACK"}</definedName>
    <definedName name="wrn.ALL6">{#N/A,#N/A,FALSE,"ASSUMPTIONS";#N/A,#N/A,FALSE,"Valuation Summary";"page1",#N/A,FALSE,"PRESENTATION";"page2",#N/A,FALSE,"PRESENTATION";#N/A,#N/A,FALSE,"ORIGINAL_ROLLBACK"}</definedName>
    <definedName name="wrn.ALL8">{#N/A,#N/A,FALSE,"ASSUMPTIONS";#N/A,#N/A,FALSE,"Valuation Summary";"page1",#N/A,FALSE,"PRESENTATION";"page2",#N/A,FALSE,"PRESENTATION";#N/A,#N/A,FALSE,"ORIGINAL_ROLLBACK"}</definedName>
    <definedName name="wrn.ALL94.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butPREMIUM.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>{#N/A,#N/A,FALSE,"Balance Sheet";#N/A,#N/A,FALSE,"Income Statement";#N/A,#N/A,FALSE,"Changes in Financial Position"}</definedName>
    <definedName name="wrn.AllModels.">{#N/A,#N/A,FALSE,"AD_Purchase";#N/A,#N/A,FALSE,"Credit";#N/A,#N/A,FALSE,"PF Acquisition";#N/A,#N/A,FALSE,"PF Offering"}</definedName>
    <definedName name="wrn.ANALISIS._.SENSIBILIDAD.">{#N/A,#N/A,FALSE,"BALANCE";#N/A,#N/A,FALSE,"CUENTA DE PYG";#N/A,#N/A,FALSE,"RATIOS"}</definedName>
    <definedName name="wrn.AQUIROR._.DCF.">{"AQUIRORDCF",#N/A,FALSE,"Merger consequences";"Acquirorassns",#N/A,FALSE,"Merger consequences"}</definedName>
    <definedName name="wrn.AQUIROR._.DCF._from_DBAB">{"AQUIRORDCF",#N/A,FALSE,"Merger consequences";"Acquirorassns",#N/A,FALSE,"Merger consequences"}</definedName>
    <definedName name="wrn.asg.">{#N/A,#N/A,FALSE,"Exh 1";#N/A,#N/A,FALSE,"Exh 2";#N/A,#N/A,FALSE,"Exh 2a";#N/A,#N/A,FALSE,"Exh 3";#N/A,#N/A,FALSE,"Exhib 4";#N/A,#N/A,FALSE,"eh 5";#N/A,#N/A,FALSE,"Exh 6"}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>{"baseassum",#N/A,FALSE,"BASEDCF";"bassum2",#N/A,FALSE,"BASEDCF";"hmix",#N/A,FALSE,"BASEDCF"}</definedName>
    <definedName name="wrn.Assumptions._.and._.Results.">{"CV_1",#N/A,TRUE,"Assumptions and Results"}</definedName>
    <definedName name="wrn.AUTO.">{"AUTO",#N/A,FALSE,"SAMPLECC"}</definedName>
    <definedName name="wrn.Auto._.Comp.">{#N/A,#N/A,FALSE,"Sheet1"}</definedName>
    <definedName name="wrn.Auto._.Comp.1">{#N/A,#N/A,FALSE,"Sheet1"}</definedName>
    <definedName name="wrn.ba.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ck._.Page.">{"Back Page",#N/A,FALSE,"Front and Back"}</definedName>
    <definedName name="wrn.backup.">{"background",#N/A,FALSE,"CS First Boston Merger Model";"inputs",#N/A,FALSE,"CS First Boston Merger Model"}</definedName>
    <definedName name="wrn.balance._.sheet.">{"bs",#N/A,FALSE,"SCF"}</definedName>
    <definedName name="wrn.balance._.sheet.2">{"bs",#N/A,FALSE,"SCF"}</definedName>
    <definedName name="wrn.balance._.sheet2.">{"bs",#N/A,FALSE,"SCF"}</definedName>
    <definedName name="wrn.balance._.sheet3.">{"bs",#N/A,FALSE,"SCF"}</definedName>
    <definedName name="wrn.balance._.sheet4.">{"bs",#N/A,FALSE,"SCF"}</definedName>
    <definedName name="wrn.balance._sheet2.">{"bs",#N/A,FALSE,"SCF"}</definedName>
    <definedName name="wrn.Bank._.of._.America.">{#N/A,#N/A,TRUE,"Cover_Page";#N/A,#N/A,TRUE,"Balance Sheet FY12";#N/A,#N/A,TRUE,"Debt Covenants_BofA_Cons";#N/A,#N/A,TRUE,"Consolidated-Cash Flow";#N/A,#N/A,TRUE,"CY_Per Inc FY12";#N/A,#N/A,TRUE,"Income FY12";#N/A,#N/A,TRUE,"Consolidated"}</definedName>
    <definedName name="wrn.Bankers.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e_Middle_Drivers.">{#N/A,#N/A,TRUE,"DCF Summary (2)";#N/A,#N/A,TRUE,"DCF Summary";#N/A,"Middle Case Drivers",TRUE,"DCF"}</definedName>
    <definedName name="wrn.basics.">{#N/A,#N/A,FALSE,"TSUM";#N/A,#N/A,FALSE,"shares";#N/A,#N/A,FALSE,"earnout";#N/A,#N/A,FALSE,"Heaty";#N/A,#N/A,FALSE,"self-tend";#N/A,#N/A,FALSE,"self-sum"}</definedName>
    <definedName name="wrn.BBCert.">{#N/A,#N/A,FALSE,"BBCert";#N/A,#N/A,FALSE,"Ineligible Summ";#N/A,#N/A,FALSE,"Ineligible Detail"}</definedName>
    <definedName name="wrn.Bewegungsbilanz.">{#N/A,#N/A,FALSE,"Mittelherkunft";#N/A,#N/A,FALSE,"Mittelverwendung"}</definedName>
    <definedName name="wrn.BGEN.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ID.">{"PAGE1",#N/A,FALSE,"BID (3)";"PAGE2",#N/A,FALSE,"BID (3)"}</definedName>
    <definedName name="wrn.Bilanz.">{#N/A,#N/A,FALSE,"Layout Aktiva";#N/A,#N/A,FALSE,"Layout Passiva"}</definedName>
    <definedName name="wrn.BKD.">{#N/A,#N/A,FALSE,"Cover_Page";#N/A,#N/A,FALSE,"Balance Sheet FY12";#N/A,#N/A,FALSE,"Debt Covenants_US Bank_Cons";#N/A,#N/A,FALSE,"Debt Covenants_BofA_Cons";#N/A,#N/A,FALSE,"Consolidated-Cash Flow";#N/A,#N/A,FALSE,"CY_Per Inc FY12";#N/A,#N/A,FALSE,"Income FY12";#N/A,#N/A,FALSE,"Consolidated"}</definedName>
    <definedName name="wrn.bm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NUS.">{"BONUS JOURNAL ENTRY",#N/A,FALSE,"BONUS";"BONUS CALC",#N/A,FALSE,"BONUS";"BONUS DATA",#N/A,FALSE,"BONUS"}</definedName>
    <definedName name="wrn.BONUS2.">{"BONUS JOURNAL ENTRY",#N/A,FALSE,"BONUS";"BONUS CALC",#N/A,FALSE,"BONUS";"BONUS DATA",#N/A,FALSE,"BONUS"}</definedName>
    <definedName name="wrn.BP._.print.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SAnnualModel.">{"BSAnnualModel",#N/A,FALSE,"BS"}</definedName>
    <definedName name="wrn.budget.">{"budget vs all page 1",#N/A,FALSE,"Budget vs All";"budget vs all page 2",#N/A,FALSE,"Budget vs All";"mv to makegood",#N/A,FALSE,"Major Variances";"mv to fc3",#N/A,FALSE,"Major Variances";"mv to fy98",#N/A,FALSE,"Major Variances";"chart 1",#N/A,FALSE,"Charts";"chart 2",#N/A,FALSE,"Charts";"chart 3",#N/A,FALSE,"Charts";"roll-up fy00",#N/A,FALSE,"Roll-up";"production fy00",#N/A,FALSE,"Production";"waste fy00",#N/A,FALSE,"Waste";"total costs fy00",#N/A,FALSE,"Total Costs";"plant costs fy00",#N/A,FALSE,"Plant Costs";"cmw costs fy00",#N/A,FALSE,"CMW Costs";"braintree costs fy00",#N/A,FALSE,"Braintree Costs";"plymouth costs fy00",#N/A,FALSE,"Plymouth Costs";"labor summary fy00",#N/A,FALSE,"Labor Summary";"materials fy00",#N/A,FALSE,"Materials";"maintenance services fy00",#N/A,FALSE,"Maintenance Services";"host fees fy00",#N/A,FALSE,"Host Fees";"close fy00",#N/A,FALSE,"Closure-Post Closure";"interest fy00",#N/A,FALSE,"Interest";"depreciation fy00",#N/A,FALSE,"Depreciation";"purchase fy00",#N/A,FALSE,"Purchase Accounting";"mact revenue fy00",#N/A,FALSE,"MACT Revenues";"mact effect",#N/A,FALSE,"MACT Revenues";"capital fy00",#N/A,FALSE,"Capital";#N/A,#N/A,FALSE,"Sensitivities";"roll-up 15",#N/A,FALSE,"Roll-up";"production 15",#N/A,FALSE,"Production";"waste 15",#N/A,FALSE,"Waste";"parent cash",#N/A,FALSE,"Parent Cash";"capital 15",#N/A,FALSE,"Capital"}</definedName>
    <definedName name="wrn.Budget._.Detail.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Package.">{#N/A,#N/A,FALSE,"Comparison";#N/A,#N/A,FALSE,"Income Statement";#N/A,#N/A,FALSE,"Balance Sheet";#N/A,#N/A,FALSE,"Cash Flow";#N/A,#N/A,FALSE,"Material &amp; Labor";#N/A,#N/A,FALSE,"Operating OH"}</definedName>
    <definedName name="wrn.budgetb.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ildups.">{"ACQ",#N/A,FALSE,"ACQUISITIONS";"ACQF",#N/A,FALSE,"ACQUISITIONS";"PF",#N/A,FALSE,"PROYECTOVILA";"PV",#N/A,FALSE,"PROYECTOVILA";"Fee Dev",#N/A,FALSE,"DEVELOPMENT GROWTH";"gd",#N/A,FALSE,"DEVELOPMENT GROWTH"}</definedName>
    <definedName name="wrn.bullshit1.">{#N/A,#N/A,FALSE,"Sheet1";#N/A,#N/A,FALSE,"Summary";#N/A,#N/A,FALSE,"proj1";#N/A,#N/A,FALSE,"proj2"}</definedName>
    <definedName name="wrn.CapersPlotter.">{#N/A,#N/A,FALSE,"DI 2 YEAR MASTER SCHEDULE"}</definedName>
    <definedName name="wrn.CAPITAL.">{#N/A,#N/A,FALSE,"Minors";#N/A,#N/A,FALSE,"96CAPREV"}</definedName>
    <definedName name="wrn.CAPITAL._.LEASES.">{#N/A,#N/A,FALSE,"NN-1 Capital Leases"}</definedName>
    <definedName name="wrn.Capital._.Plan._.Report.">{"Capital Plan CA Schedule",#N/A,TRUE,"Capital Plan";"Capital Plan Summary",#N/A,TRUE,"Capital Plan"}</definedName>
    <definedName name="wrn.Cardiovasculars.">{#N/A,#N/A,FALSE,"Card";#N/A,#N/A,FALSE,"Prav";#N/A,#N/A,FALSE,"Irbe";#N/A,#N/A,FALSE,"Plavix";#N/A,#N/A,FALSE,"Capt";#N/A,#N/A,FALSE,"Fosi"}</definedName>
    <definedName name="wrn.CASH.">{#N/A,#N/A,FALSE,"A-1 Bank Reconcilation";#N/A,#N/A,FALSE,"A-2 Outstanding Checks";#N/A,#N/A,FALSE,"A-3 Savings Accounts";#N/A,#N/A,FALSE,"A-4 Certificates of Deposit";#N/A,#N/A,FALSE,"A-5 Bank Transfer Schedule"}</definedName>
    <definedName name="wrn.Cash._.Flow.">{#N/A,#N/A,FALSE,"Layout Cash Flow"}</definedName>
    <definedName name="wrn.Cell._.Nightmare.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ntral._.Nervous._.System.">{#N/A,#N/A,FALSE,"CNS";#N/A,#N/A,FALSE,"Serz";#N/A,#N/A,FALSE,"Ace"}</definedName>
    <definedName name="wrn.CFSModel.">{"CFSModel",#N/A,FALSE,"CFS"}</definedName>
    <definedName name="wrn.CHART.">{"CHART",#N/A,FALSE,"Arch Communications"}</definedName>
    <definedName name="wrn.chart.new">{"CHART",#N/A,FALSE,"Arch Communications"}</definedName>
    <definedName name="wrn.client.">{"multiple",#N/A,FALSE,"client";"margins",#N/A,FALSE,"client";"data",#N/A,FALSE,"client"}</definedName>
    <definedName name="wrn.Client3.">{"data",#N/A,FALSE,"client (3)";"margins",#N/A,FALSE,"client (3)";"multiple",#N/A,FALSE,"client (3)"}</definedName>
    <definedName name="wrn.client4.">{"multiple",#N/A,FALSE,"client (4)";"margins",#N/A,FALSE,"client (4)";"data",#N/A,FALSE,"client (4)"}</definedName>
    <definedName name="wrn.clientcopy.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1.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olumbus.">{"Columbus Actual Expense",#N/A,FALSE,"Columbus97 Exp. - Actual";"Columbus Projected Expense",#N/A,FALSE,"Columbus97-98 Exp. - Projected";"Columbus Forecast Expense",#N/A,FALSE,"Columbus97 Exp. - Forecast";"Columbus Profit and Loss",#N/A,FALSE,"Columbus P&amp;L "}</definedName>
    <definedName name="wrn.Combination.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>{#N/A,#N/A,FALSE,"INPUTS";#N/A,#N/A,FALSE,"PROFORMA BSHEET";#N/A,#N/A,FALSE,"COMBINED";#N/A,#N/A,FALSE,"HIGH YIELD";#N/A,#N/A,FALSE,"COMB_GRAPHS"}</definedName>
    <definedName name="wrn.ComboResults.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>{#N/A,#N/A,FALSE,"Combo-Ass ";#N/A,#N/A,FALSE,"Combo-IS";#N/A,#N/A,FALSE,"Combo-BS";#N/A,#N/A,FALSE,"Combo-CF"}</definedName>
    <definedName name="wrn.Comcast.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PCO.">{"Page1",#N/A,FALSE,"CompCo";"Page2",#N/A,FALSE,"CompCo"}</definedName>
    <definedName name="wrn.Compco._.Only.">{"vi1",#N/A,FALSE,"6_30_96";"vi2",#N/A,FALSE,"6_30_96";"vi3",#N/A,FALSE,"6_30_96"}</definedName>
    <definedName name="wrn.compco._from_DBAB">{"mult96",#N/A,FALSE,"PETCOMP";"est96",#N/A,FALSE,"PETCOMP";"mult95",#N/A,FALSE,"PETCOMP";"est95",#N/A,FALSE,"PETCOMP";"multltm",#N/A,FALSE,"PETCOMP";"resultltm",#N/A,FALSE,"PETCOMP"}</definedName>
    <definedName name="wrn.compco2">{"page1",#N/A,FALSE,"BHCOMPC5";"page2",#N/A,FALSE,"BHCOMPC5";"page3",#N/A,FALSE,"BHCOMPC5";"page4",#N/A,FALSE,"BHCOMPC5"}</definedName>
    <definedName name="wrn.compilation.">{#N/A,#N/A,FALSE,"TABLE OF CONTENTS";#N/A,#N/A,FALSE,"COMPLTR";#N/A,#N/A,FALSE,"BAL SHEET";#N/A,#N/A,FALSE,"INCOME STMNT";#N/A,#N/A,FALSE,"RETAINED E";#N/A,#N/A,FALSE,"NOTES";#N/A,#N/A,FALSE,"NOTES (2)";#N/A,#N/A,FALSE,"NOTES (3)";#N/A,#N/A,FALSE,"Supplemental";#N/A,#N/A,FALSE,"95contract"}</definedName>
    <definedName name="wrn.Complete.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2004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2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nsolidated.">{"income",#N/A,FALSE,"CONSOLIDATED";"value",#N/A,FALSE,"CONSOLIDATED"}</definedName>
    <definedName name="wrn.Consolidated._.Financials.">{#N/A,#N/A,TRUE,"Index";#N/A,#N/A,TRUE,"Highlights";#N/A,#N/A,TRUE,"Month P&amp;L";#N/A,#N/A,TRUE,"YTD P&amp;L";#N/A,#N/A,TRUE,"Bal Sht";#N/A,#N/A,TRUE,"Mth &amp; YTD CF";#N/A,#N/A,TRUE,"QTR &amp; YTD CF";#N/A,#N/A,TRUE,"Ops data";#N/A,#N/A,TRUE,"Fin Data";#N/A,#N/A,TRUE,"Mth reg P&amp;L-GC";#N/A,#N/A,TRUE,"YTD reg P&amp;L-GC";#N/A,#N/A,TRUE,"Summ admin exps"}</definedName>
    <definedName name="wrn.Consumer._.Medicines.">{#N/A,#N/A,FALSE,"OTC";#N/A,#N/A,FALSE,"Ther";#N/A,#N/A,FALSE,"Temp";#N/A,#N/A,FALSE,"Exce";#N/A,#N/A,FALSE,"Buff";#N/A,#N/A,FALSE,"Picot";#N/A,#N/A,FALSE,"Luftal";#N/A,#N/A,FALSE,"Comt"}</definedName>
    <definedName name="wrn.Continous._.Page._.Numbers._.DCF.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>{#N/A,#N/A,FALSE,"A"}</definedName>
    <definedName name="wrn.COSTCENTER.">{"COSTCENTER",#N/A,FALSE,"SAMPLECC"}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wboy.">{"assumptions",#N/A,FALSE,"Assumption Summary";"proforma97",#N/A,FALSE,"97 pro forma";"sensitivity97",#N/A,FALSE,"97 sensitivity ";"proforma98",#N/A,FALSE,"98 pro forma";"sensitivity98",#N/A,FALSE,"98 sensitivity"}</definedName>
    <definedName name="wrn.Current._.View.">{#N/A,#N/A,FALSE,"ACCS-XXX.XLS";#N/A,#N/A,FALSE,"ACCS-ADJ.XLS";#N/A,#N/A,FALSE,"ACCS-COR.XLS";#N/A,#N/A,FALSE,"LEGL-ACX.XLS";#N/A,#N/A,FALSE,"JNTV-PHX.XLS"}</definedName>
    <definedName name="wrn.cxdia.">{#N/A,#N/A,FALSE,"FFCXOUT3"}</definedName>
    <definedName name="wrn.cxdiager.">{#N/A,#N/A,FALSE,"FFCXOUT3"}</definedName>
    <definedName name="wrn.cy._.budget.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wrn.DCF.">{"DCF1",#N/A,FALSE,"SIERRA DCF";"MATRIX1",#N/A,FALSE,"SIERRA DCF"}</definedName>
    <definedName name="wrn.DCF._.Valuation.">{"value box",#N/A,TRUE,"DPL Inc. Fin Statements";"unlevered free cash flows",#N/A,TRUE,"DPL Inc. Fin Statements"}</definedName>
    <definedName name="wrn.DCF._from_DBAB">{"DCF1",#N/A,FALSE,"SIERRA DCF";"MATRIX1",#N/A,FALSE,"SIERRA DCF"}</definedName>
    <definedName name="wrn.DCF_Terminal_Value_qchm.">{"qchm_dcf",#N/A,FALSE,"QCHMDCF2";"qchm_terminal",#N/A,FALSE,"QCHMDCF2"}</definedName>
    <definedName name="wrn.DCF_Terminal_Value_qchm._from_DBAB">{"qchm_dcf",#N/A,FALSE,"QCHMDCF2";"qchm_terminal",#N/A,FALSE,"QCHMDCF2"}</definedName>
    <definedName name="wrn.dcf2">{"DCF1",#N/A,FALSE,"SIERRA DCF";"MATRIX1",#N/A,FALSE,"SIERRA DCF"}</definedName>
    <definedName name="wrn.dcf2.">{"mgmt forecast",#N/A,FALSE,"Mgmt Forecast";"dcf table",#N/A,FALSE,"Mgmt Forecast";"sensitivity",#N/A,FALSE,"Mgmt Forecast";"table inputs",#N/A,FALSE,"Mgmt Forecast";"calculations",#N/A,FALSE,"Mgmt Forecast"}</definedName>
    <definedName name="wrn.DCFEpervier.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B.">{"BSDEB",#N/A,FALSE,"Jun 98";"ISDEB",#N/A,FALSE,"Jun 98";"CFDEB",#N/A,FALSE,"Jun 98";"WP1DEB",#N/A,FALSE,"Jun 98";"WP2DEB",#N/A,FALSE,"Jun 98";"WP3EB",#N/A,FALSE,"Jun 98";"EQUITYDEB",#N/A,FALSE,"Jun 98"}</definedName>
    <definedName name="wrn.Delchamps.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partment.">{"GA Summary",#N/A,FALSE,"Dept P&amp;L Forecast";"GA Trend",#N/A,FALSE,"Dept P&amp;L Forecast"}</definedName>
    <definedName name="wrn.DEPARTMENTS.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matrix.">{"depmatrix",#N/A,FALSE,"DECATUR-DIMMIT"}</definedName>
    <definedName name="wrn.DEPT_ACTUALSvBUDGET.">{#N/A,#N/A,FALSE,"115";#N/A,#N/A,FALSE,"120";#N/A,#N/A,FALSE,"130";#N/A,#N/A,FALSE,"150";#N/A,#N/A,FALSE,"165";#N/A,#N/A,FALSE,"280";#N/A,#N/A,FALSE,"520";#N/A,#N/A,FALSE,"810";#N/A,#N/A,FALSE,"830";#N/A,#N/A,FALSE,"910"}</definedName>
    <definedName name="wrn.detail.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.Balance._.Sheet.">{#N/A,#N/A,FALSE,"Detail"}</definedName>
    <definedName name="wrn.Detail_Projection.">{#N/A,#N/A,FALSE,"Detail YTD"}</definedName>
    <definedName name="wrn.Detailed._.Model.">{"P_L",#N/A,TRUE,"P&amp;L";"Rev",#N/A,TRUE,"Rev";"Staff",#N/A,TRUE,"Staff";"Exp",#N/A,TRUE,"Exp";"Capital",#N/A,TRUE,"Capital"}</definedName>
    <definedName name="wrn.Detailed._.Model._1">{"P_L",#N/A,TRUE,"P&amp;L";"Rev",#N/A,TRUE,"Rev";"Staff",#N/A,TRUE,"Staff";"Exp",#N/A,TRUE,"Exp";"Capital",#N/A,TRUE,"Capital"}</definedName>
    <definedName name="wrn.Detailed._.P._.and._.L.">{"P and L Detail Page 1",#N/A,FALSE,"Data";"P and L Detail Page 2",#N/A,FALSE,"Data"}</definedName>
    <definedName name="wrn.devdeal.">{"top",#N/A,TRUE,"Detail";"next",#N/A,TRUE,"Detail";"then",#N/A,TRUE,"Detail";"and",#N/A,TRUE,"Detail";"inaddition",#N/A,TRUE,"Detail";"finally",#N/A,TRUE,"Detail"}</definedName>
    <definedName name="wrn.Development._.Hours.">{#N/A,#N/A,FALSE,"July 95";#N/A,#N/A,FALSE,"Aug 95";#N/A,#N/A,FALSE,"Sep 95";#N/A,#N/A,FALSE,"October 95"}</definedName>
    <definedName name="wrn.DISTRIBUTION.">{#N/A,#N/A,FALSE,"1996 BRAND SUMMARY"}</definedName>
    <definedName name="wrn.distributiona.">{#N/A,#N/A,FALSE,"1996 BRAND SUMMARY"}</definedName>
    <definedName name="wrn.Divisional._.IS.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jall.">{"djcash",#N/A,FALSE,"DJann";"djinc",#N/A,FALSE,"DJann";"djtaxes",#N/A,FALSE,"DJann";"djbuspub",#N/A,FALSE,"DJann";"djwall",#N/A,FALSE,"DJann";"djcompprs",#N/A,FALSE,"DJann";"djteler",#N/A,FALSE,"DJann"}</definedName>
    <definedName name="wrn.document.">{"consolidated",#N/A,FALSE,"Sheet1";"cms",#N/A,FALSE,"Sheet1";"fse",#N/A,FALSE,"Sheet1"}</definedName>
    <definedName name="wrn.documentation.">{"document1",#N/A,FALSE,"Documentation";"document2",#N/A,FALSE,"Documentation"}</definedName>
    <definedName name="wrn.DPI._.Summary.">{#N/A,#N/A,TRUE,"Summary";#N/A,#N/A,TRUE,"Financials"}</definedName>
    <definedName name="wrn.Draft.">{"Draft",#N/A,FALSE,"Feb-96"}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itda.">{#N/A,#N/A,FALSE,"2003_Input - P&amp;L"}</definedName>
    <definedName name="wrn.ebitda2">{#N/A,#N/A,FALSE,"2003_Input - P&amp;L"}</definedName>
    <definedName name="wrn.Economic._.Value._.Added._.Analysis.">{"EVA",#N/A,FALSE,"EVA";"WACC",#N/A,FALSE,"WACC"}</definedName>
    <definedName name="wrn.Economic._.Value._.Added._.Analysis._from_DBAB">{"EVA",#N/A,FALSE,"EVA";"WACC",#N/A,FALSE,"WACC"}</definedName>
    <definedName name="wrn.ecpall.">{"ecpcash",#N/A,FALSE,"ECPann";"ecpinc",#N/A,FALSE,"ECPann";"ecpindia",#N/A,FALSE,"ECPann";"ecpmun",#N/A,FALSE,"ECPann";"ecpphoenix",#N/A,FALSE,"ECPann";"ecpothe",#N/A,FALSE,"ECPann";"ecpbalsht",#N/A,FALSE,"ECPann"}</definedName>
    <definedName name="wrn.Edutainment._.Priority._.List.">{#N/A,#N/A,FALSE,"DI 2 YEAR MASTER SCHEDULE"}</definedName>
    <definedName name="wrn.ElitePackaging.">{#N/A,#N/A,FALSE,"Pkg Assets";#N/A,#N/A,FALSE,"Elite Pkg Liab";#N/A,#N/A,FALSE,"Pkg Income";#N/A,#N/A,FALSE,"Pkg FOH";#N/A,#N/A,FALSE,"Pkg SGA"}</definedName>
    <definedName name="wrn.Entire._.Model._.with._.Backup.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t25yr.">{#N/A,#N/A,FALSE,"Est97";#N/A,#N/A,FALSE,"Plan98";#N/A,#N/A,FALSE,"Graphs";#N/A,#N/A,FALSE,"5Yr"}</definedName>
    <definedName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erything.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am._.Workpapers._.1.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change.">{"Balance Sheet",#N/A,FALSE,"Exchange 05-06";"Profit and Loss",#N/A,FALSE,"Exchange 05-06"}</definedName>
    <definedName name="wrn.exec.">{"exec",#N/A,FALSE,"EXECSUM";"int",#N/A,FALSE,"EXECSUM"}</definedName>
    <definedName name="wrn.Exhibits.">{#N/A,#N/A,FALSE,"Options PV";"stat_quo",#N/A,FALSE,"Status Quo";"traditional",#N/A,FALSE,"Traditional";"MBO_w_equity",#N/A,FALSE,"Master";#N/A,#N/A,FALSE,"stock";#N/A,#N/A,FALSE,"cash"}</definedName>
    <definedName name="wrn.EXPENSES.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FCB.">{"FCB_ALL",#N/A,FALSE,"FCB"}</definedName>
    <definedName name="wrn.fcb2">{"FCB_ALL",#N/A,FALSE,"FCB"}</definedName>
    <definedName name="wrn.fcopy2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DII6_01PortReview.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ELDSELLING.">{"FIELDSELLING",#N/A,FALSE,"SAMPLECC"}</definedName>
    <definedName name="wrn.filecopy.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1.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ter.">{#N/A,#N/A,FALSE,"Assump2";#N/A,#N/A,FALSE,"Income2";#N/A,#N/A,FALSE,"Balance2";#N/A,#N/A,FALSE,"DCF Filter";#N/A,#N/A,FALSE,"Trans Assump2";#N/A,#N/A,FALSE,"Combined Income2";#N/A,#N/A,FALSE,"Combined Balance2"}</definedName>
    <definedName name="wrn.fin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97.">{#N/A,#N/A,FALSE,"FIN97 DETAIL"}</definedName>
    <definedName name="wrn.Final.">{"Final",#N/A,FALSE,"Feb-96"}</definedName>
    <definedName name="wrn.Financial.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assessment.">{#N/A,#N/A,TRUE,"Cover letter";#N/A,#N/A,TRUE,"Definitions";#N/A,#N/A,TRUE,"financial data";#N/A,#N/A,TRUE,"general data"}</definedName>
    <definedName name="wrn.Financial._.Output.">{"P and L",#N/A,FALSE,"Financial Output";"Cashflow",#N/A,FALSE,"Financial Output";"Balance Sheet",#N/A,FALSE,"Financial Output"}</definedName>
    <definedName name="wrn.Financial._.Statements.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tatements._.Wrk.">{#N/A,#N/A,FALSE,"Sep 98";"Bal Sheet CY - Legal",#N/A,FALSE,"Sep 98";"Bal Sheet PY - Legal",#N/A,FALSE,"Sep 98";"Inc Stmt - Legal",#N/A,FALSE,"Sep 98";"Cash Flow - Legal",#N/A,FALSE,"Sep 98"}</definedName>
    <definedName name="wrn.financials.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._.for._.PPM.">{"Cover",#N/A,FALSE,"Cover";"Income Statement",#N/A,FALSE,"IncStmt";"Balance Sheet",#N/A,FALSE,"BalSht";"Cash Flow",#N/A,FALSE,"CashFlow";"Footnotes",#N/A,FALSE,"Footnotes"}</definedName>
    <definedName name="wrn.Financials._.for._.PPM._1">{"Cover",#N/A,FALSE,"Cover";"Income Statement",#N/A,FALSE,"IncStmt";"Balance Sheet",#N/A,FALSE,"BalSht";"Cash Flow",#N/A,FALSE,"CashFlow";"Footnotes",#N/A,FALSE,"Footnotes"}</definedName>
    <definedName name="wrn.Financials_long.">{"IS",#N/A,FALSE,"Financials2 (Expanded)";"bsa",#N/A,FALSE,"Financials2 (Expanded)";"BS",#N/A,FALSE,"Financials2 (Expanded)";"CF",#N/A,FALSE,"Financials2 (Expanded)"}</definedName>
    <definedName name="wrn.Finanzbedarfsrechnung.">{#N/A,#N/A,FALSE,"Finanzbedarfsrechnung"}</definedName>
    <definedName name="wrn.first2.">{#N/A,#N/A,FALSE,"sum-don";#N/A,#N/A,FALSE,"inc-don"}</definedName>
    <definedName name="wrn.first3.">{#N/A,#N/A,FALSE,"Summary";#N/A,#N/A,FALSE,"proj1";#N/A,#N/A,FALSE,"proj2"}</definedName>
    <definedName name="wrn.first4.">{#N/A,#N/A,FALSE,"Summary";#N/A,#N/A,FALSE,"proj1";#N/A,#N/A,FALSE,"proj2";#N/A,#N/A,FALSE,"DCF"}</definedName>
    <definedName name="wrn.Five._.Year._.Model.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>{"FIVEYEAR",#N/A,TRUE,"SUMMARY";"FIVEYEAR",#N/A,TRUE,"Ratios";"FIVEYEAR",#N/A,TRUE,"Revenue";"FIVEYEAR",#N/A,TRUE,"DETAIL";"FIVEYEAR",#N/A,TRUE,"Payroll"}</definedName>
    <definedName name="wrn.Five._.Year._.Record.">{"Five Year Record",#N/A,FALSE,"Front and Back"}</definedName>
    <definedName name="wrn.Fla._.Cape._.Info._.Memo._.Reports.">{#N/A,#N/A,FALSE,"All Properties Summary";#N/A,#N/A,FALSE,"Gas Sales";#N/A,#N/A,FALSE,"Diesel Sales";#N/A,#N/A,FALSE,"C-StoreMoSales";#N/A,#N/A,FALSE,"Car Wash Mo Sales";#N/A,#N/A,FALSE,"Store Sales 18806";#N/A,#N/A,FALSE,"Store Sales 10530";#N/A,#N/A,FALSE,"Store Sales 12537";#N/A,#N/A,FALSE,"Store Sales 12434 "}</definedName>
    <definedName name="wrn.FORECAST.">{"COMBINED",#N/A,FALSE,"BALANCE SHEET 2";"KRONE",#N/A,FALSE,"BALANCE SHEET 2";"INTERSYSTEMS",#N/A,FALSE,"BALANCE SHEET 2"}</definedName>
    <definedName name="wrn.Forecast._.Red._.Book.">{"RB QY $",#N/A,FALSE,"Fin STMT";"RB QY Stats",#N/A,FALSE,"Fin STMT";"RB 00 $",#N/A,FALSE,"Fin STMT";"RB 00 Stats",#N/A,FALSE,"Fin STMT";"RB 01 $",#N/A,FALSE,"Fin STMT";"RB 01 Stats",#N/A,FALSE,"Fin STMT"}</definedName>
    <definedName name="wrn.Forecast._.Report.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ecast2">{#N/A,#N/A,FALSE,"model"}</definedName>
    <definedName name="wrn.forecastassumptions.">{#N/A,#N/A,FALSE,"model"}</definedName>
    <definedName name="wrn.forecastassumptions2">{#N/A,#N/A,FALSE,"model"}</definedName>
    <definedName name="wrn.forecastROIC.">{#N/A,#N/A,FALSE,"model"}</definedName>
    <definedName name="wrn.forecastROIC2">{#N/A,#N/A,FALSE,"model"}</definedName>
    <definedName name="wrn.forms.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.only.">{#N/A,#N/A,TRUE,"financial data";#N/A,#N/A,TRUE,"general data";#N/A,#N/A,TRUE,"order fulfillment"}</definedName>
    <definedName name="wrn.FOschedules.">{"FOschedule1",#N/A,FALSE,"Sheet1";"FOschedule2",#N/A,FALSE,"Sheet1";"FOschedule3",#N/A,FALSE,"Sheet1"}</definedName>
    <definedName name="wrn.Front._.Page.">{"Front Page",#N/A,FALSE,"Front and Back"}</definedName>
    <definedName name="wrn.full.">{"vi1",#N/A,FALSE,"Pagcc";"vi2",#N/A,FALSE,"Pagcc";"vi3",#N/A,FALSE,"Pagcc";"vi4",#N/A,FALSE,"Pagcc";"vi5",#N/A,FALSE,"Pagcc";#N/A,#N/A,FALSE,"Contribution"}</definedName>
    <definedName name="wrn.Full._.Model.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wrn.Full._.Monty.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Report.">{#N/A,#N/A,TRUE,"Income Statement";#N/A,#N/A,TRUE,"Gas Assumptions";#N/A,#N/A,TRUE,"DCF";#N/A,#N/A,TRUE,"Depreciation Matrix";#N/A,#N/A,TRUE,"Matrix";#N/A,#N/A,TRUE,"Matrix_Perpetuity"}</definedName>
    <definedName name="wrn.full._.report._from_DBAB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Workbook._.Report.">{"Balance Sheet Summary",#N/A,TRUE,"Balance Sheet";"Cash Flow Summary",#N/A,TRUE,"Cash Flow";"Capital Plan CA Schedule",#N/A,TRUE,"Capital Plan";"Capital Plan Summary",#N/A,TRUE,"Capital Plan"}</definedName>
    <definedName name="wrn.Full_Analysis_Analyst.">{#N/A,#N/A,TRUE,"DCF Summary (2)";#N/A,#N/A,TRUE,"DCF Summary";#N/A,"Analyst Value Drivers",TRUE,"DCF"}</definedName>
    <definedName name="wrn.Full_Analysis_Base.">{#N/A,#N/A,TRUE,"DCF Summary (2)";#N/A,#N/A,TRUE,"DCF Summary";#N/A,"Base Case Value Drivers",TRUE,"DCF"}</definedName>
    <definedName name="wrn.Full_Analysis_Middle.">{#N/A,#N/A,TRUE,"DCF Summary (2)";#N/A,#N/A,TRUE,"DCF Summary";#N/A,"Middle Case Drivers",TRUE,"DCF"}</definedName>
    <definedName name="wrn.Fund._.II.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._.Brd._.June._.2000.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_.Mtg..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Mtg..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._.Brd.._.June._.2000.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_.Mtg..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V._.Adv.._.Brd.._.June._.2000.">{#N/A,#N/A,TRUE,"FD IV Portfolio Summary ";#N/A,#N/A,TRUE,"Western";#N/A,#N/A,TRUE,"Kranson";#N/A,#N/A,TRUE,"ARC";#N/A,#N/A,TRUE,"Precise";#N/A,#N/A,TRUE,"WNA"}</definedName>
    <definedName name="wrn.FY01_Fin_Stmts.">{"FY01_Assets",#N/A,FALSE,"Fin Stmt Budget";"FY01_Liabilities",#N/A,FALSE,"Fin Stmt Budget";"FY01_Inc_Stmt",#N/A,FALSE,"Fin Stmt Budget";"FY01_SOCF",#N/A,FALSE,"Fin Stmt Budget"}</definedName>
    <definedName name="wrn.FY02_Fin_Stmts.">{"FY02_Assets",#N/A,FALSE,"Fin Stmt Budget";"FY02_Liabilities",#N/A,FALSE,"Fin Stmt Budget";"FY02_Inc_Stmt",#N/A,FALSE,"Fin Stmt Budget";"FY02_SOCF",#N/A,FALSE,"Fin Stmt Budget"}</definedName>
    <definedName name="wrn.FY03_Fin_Stmts.">{"FY03_Assets",#N/A,FALSE,"Fin Stmt Budget";"FY03_Liabilities",#N/A,FALSE,"Fin Stmt Budget";"FY03_Inc_Stmt",#N/A,FALSE,"Fin Stmt Budget";"FY03_SOCF",#N/A,FALSE,"Fin Stmt Budget"}</definedName>
    <definedName name="wrn.FY04_Fin._.Stmts.">{"FY04_Assets",#N/A,FALSE,"Fin Stmt Budget";"FY04_Liabilities",#N/A,FALSE,"Fin Stmt Budget";"FY04_Inc_Stmt",#N/A,FALSE,"Fin Stmt Budget";"FY04_SOCF",#N/A,FALSE,"Fin Stmt Budget"}</definedName>
    <definedName name="wrn.FY06">{"FY04_Assets",#N/A,FALSE,"Fin Stmt Budget";"FY04_Liabilities",#N/A,FALSE,"Fin Stmt Budget";"FY04_Inc_Stmt",#N/A,FALSE,"Fin Stmt Budget";"FY04_SOCF",#N/A,FALSE,"Fin Stmt Budget"}</definedName>
    <definedName name="wrn.FY07">{"FY01_Assets",#N/A,FALSE,"Fin Stmt Budget";"FY01_Liabilities",#N/A,FALSE,"Fin Stmt Budget";"FY01_Inc_Stmt",#N/A,FALSE,"Fin Stmt Budget";"FY01_SOCF",#N/A,FALSE,"Fin Stmt Budget"}</definedName>
    <definedName name="wrn.FY07_fin">{"FY04_Assets",#N/A,FALSE,"Fin Stmt Budget";"FY04_Liabilities",#N/A,FALSE,"Fin Stmt Budget";"FY04_Inc_Stmt",#N/A,FALSE,"Fin Stmt Budget";"FY04_SOCF",#N/A,FALSE,"Fin Stmt Budget"}</definedName>
    <definedName name="wrn.FY96sbp99">{#N/A,#N/A,FALSE,"FY97";#N/A,#N/A,FALSE,"FY98";#N/A,#N/A,FALSE,"FY99";#N/A,#N/A,FALSE,"FY00";#N/A,#N/A,FALSE,"FY01"}</definedName>
    <definedName name="wrn.FY97SBP.">{#N/A,#N/A,FALSE,"FY97";#N/A,#N/A,FALSE,"FY98";#N/A,#N/A,FALSE,"FY99";#N/A,#N/A,FALSE,"FY00";#N/A,#N/A,FALSE,"FY01"}</definedName>
    <definedName name="wrn.FY97SBP.1">{#N/A,#N/A,FALSE,"FY97";#N/A,#N/A,FALSE,"FY98";#N/A,#N/A,FALSE,"FY99";#N/A,#N/A,FALSE,"FY00";#N/A,#N/A,FALSE,"FY01"}</definedName>
    <definedName name="wrn.FY97SBP2">{#N/A,#N/A,FALSE,"FY97";#N/A,#N/A,FALSE,"FY98";#N/A,#N/A,FALSE,"FY99";#N/A,#N/A,FALSE,"FY00";#N/A,#N/A,FALSE,"FY01"}</definedName>
    <definedName name="wrn.GCIall.">{"gcicash",#N/A,FALSE,"GCIINC";"gciinc",#N/A,FALSE,"GCIINC";"gciexclusa",#N/A,FALSE,"GCIINC";"usatdy",#N/A,FALSE,"GCIINC"}</definedName>
    <definedName name="wrn.gd.">{#N/A,#N/A,FALSE,"Summary";#N/A,#N/A,FALSE,"Annual";#N/A,#N/A,FALSE,"Quarterly";#N/A,#N/A,FALSE,"Land Systems";#N/A,#N/A,FALSE,"LandSystemsQtr";#N/A,#N/A,FALSE,"E.B.";#N/A,#N/A,FALSE,"EBqtr";#N/A,#N/A,FALSE,"Other";#N/A,#N/A,FALSE,"Other, Qtr.";#N/A,#N/A,FALSE,"Balance Sht.";#N/A,#N/A,FALSE,"BalShtQtr";#N/A,#N/A,FALSE,"Cashflow";#N/A,#N/A,FALSE,"CashflowQtr"}</definedName>
    <definedName name="wrn.General._.OTC.">{#N/A,#N/A,FALSE,"Title Page (3)";#N/A,#N/A,FALSE,"YTD - OTC";#N/A,#N/A,FALSE,"MTH - OTC"}</definedName>
    <definedName name="wrn.General._.Pharm.">{#N/A,#N/A,FALSE,"Title Page (2)";#N/A,#N/A,FALSE,"YTD - Pharm";#N/A,#N/A,FALSE,"MTH - Pharm"}</definedName>
    <definedName name="wrn.General._.Total.">{#N/A,#N/A,FALSE,"Title Page (4)";#N/A,#N/A,FALSE,"YTD - Total";#N/A,#N/A,FALSE,"MTH - Total"}</definedName>
    <definedName name="wrn.Geographic._.Trends.">{"Geographic P1",#N/A,FALSE,"Division &amp; Geog"}</definedName>
    <definedName name="wrn.GRAPHS.">{#N/A,#N/A,FALSE,"ACQ_GRAPHS";#N/A,#N/A,FALSE,"T_1 GRAPHS";#N/A,#N/A,FALSE,"T_2 GRAPHS";#N/A,#N/A,FALSE,"COMB_GRAPHS"}</definedName>
    <definedName name="wrn.Gross._.Income._.Actual.">{"Columbus",#N/A,FALSE,"97 GI - Actual";"Miami",#N/A,FALSE,"97 GI - Actual";"Minn",#N/A,FALSE,"97 GI - Actual"}</definedName>
    <definedName name="wrn.Gross._.Income._.Forecast.">{"Columbus",#N/A,FALSE,"97 GI - Forecast";"Miami",#N/A,FALSE,"97 GI - Forecast";"Minn",#N/A,FALSE,"97 GI - Forecast"}</definedName>
    <definedName name="wrn.Gross._.Income._.Projection.">{"Columbus",#N/A,FALSE,"97-98 GI - Projection";"Miami",#N/A,FALSE,"97-98 GI - Projection";"Minn",#N/A,FALSE,"97-98 GI - Projection"}</definedName>
    <definedName name="wrn.Gross._.Profit._.Report.">{"Monthly",#N/A,FALSE,"Phosphate Gross Profit";"Quarterly",#N/A,FALSE,"Phosphate Gross Profit"}</definedName>
    <definedName name="wrn.GuV.">{#N/A,#N/A,FALSE,"Layout GuV"}</definedName>
    <definedName name="wrn.HAMMOND.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EAT.">{#N/A,#N/A,FALSE,"Heat";#N/A,#N/A,FALSE,"DCF";#N/A,#N/A,FALSE,"LBO";#N/A,#N/A,FALSE,"A";#N/A,#N/A,FALSE,"C";#N/A,#N/A,FALSE,"impd";#N/A,#N/A,FALSE,"Accr-Dilu"}</definedName>
    <definedName name="wrn.Historical._.Financials.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y.">{#N/A,#N/A,FALSE,"model"}</definedName>
    <definedName name="wrn.history2">{#N/A,#N/A,FALSE,"model"}</definedName>
    <definedName name="wrn.histROIC.">{#N/A,#N/A,FALSE,"model"}</definedName>
    <definedName name="wrn.histROIC2">{#N/A,#N/A,FALSE,"model"}</definedName>
    <definedName name="wrn.Hydraulic.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DPH.">{"Rituxan Revenues",#N/A,FALSE,"B cell Revenues";"QEarn1",#N/A,FALSE,"Qearn";"QEarn2",#N/A,FALSE,"Qearn";"QMargin",#N/A,FALSE,"qmargin";"Cashflow",#N/A,FALSE,"cashflow";"Product Pipeline",#N/A,FALSE,"Product Pipeline"}</definedName>
    <definedName name="wrn.II._.PortRev33102.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ncome.">{"Income",#N/A,FALSE,"Recap IS"}</definedName>
    <definedName name="wrn.income._.statement.">{"income statement",#N/A,FALSE,"ATLAS-A"}</definedName>
    <definedName name="wrn.Income._.Statements.">{"Deal-IS",#N/A,FALSE,"Deal";"Nixon-IS",#N/A,FALSE,"Nabisco";"Kennedy-IS",#N/A,FALSE,"Kellogg"}</definedName>
    <definedName name="wrn.Income._1">{"Income",#N/A,FALSE,"Recap IS"}</definedName>
    <definedName name="wrn.INDEPS.">{"page1",#N/A,FALSE,"TIND_CC1";"page2",#N/A,FALSE,"TIND_CC1";"page3",#N/A,FALSE,"TIND_CC1";"page4",#N/A,FALSE,"TIND_CC1";"page5",#N/A,FALSE,"TIND_CC1"}</definedName>
    <definedName name="wrn.INDUSTRYCONVENTIONS.">{"INDUSTRYCONVENTIONS",#N/A,FALSE,"SAMPLECC"}</definedName>
    <definedName name="wrn.Infectious._.Diseases.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MemoPhotosMapsPlans.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wrn.Informe._.Mensual.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put._.and._.output.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>{#N/A,#N/A,FALSE,"inputs";#N/A,#N/A,FALSE,"inputs"}</definedName>
    <definedName name="wrn.INTANGIBLES.">{#N/A,#N/A,FALSE,"T-1 Intangibles"}</definedName>
    <definedName name="wrn.INTEREST.">{#N/A,#N/A,FALSE,"0700 Interest Expense";#N/A,#N/A,FALSE,"0700-1 Summary of Interest Earn"}</definedName>
    <definedName name="wrn.Internal.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roduction.">{"Intro",#N/A,FALSE,"Intro"}</definedName>
    <definedName name="wrn.INVENTORY.">{#N/A,#N/A,FALSE,"F-1 Inventory Price Test-RM";#N/A,#N/A,FALSE,"F-2 Inventory-Test Count"}</definedName>
    <definedName name="wrn.Investment._.Package.">{#N/A,#N/A,TRUE,"Title Page";"TOC",#N/A,TRUE,"TOC";"Assumptions",#N/A,TRUE,"Assumptions";"Highlights",#N/A,TRUE,"Highlights";"1996 IS-OHS",#N/A,TRUE,"OHS";"1996 IS-VCI",#N/A,TRUE,"VCI";"1996 IS-Cons",#N/A,TRUE,"Consolidated";"1997 IS-OHS",#N/A,TRUE,"OHS";"1997 IS-VCI",#N/A,TRUE,"VCI";"1997 IS-Cons",#N/A,TRUE,"Consolidated";"1998 IS-OHS",#N/A,TRUE,"OHS";"1998 IS-VCI",#N/A,TRUE,"VCI";"1998 IS-Cons",#N/A,TRUE,"Consolidated";"1999 IS-OHS",#N/A,TRUE,"OHS";"1999 IS-VCI",#N/A,TRUE,"VCI";"1999 IS-Cons",#N/A,TRUE,"Consolidated";"1996-99 BS-OHS",#N/A,TRUE,"OHS BS";"1996-99 BS-VCI",#N/A,TRUE,"VCI BS";"1996-99 BS-Cons",#N/A,TRUE,"Consolidated BS"}</definedName>
    <definedName name="wrn.Investment._.Summary.">{#N/A,#N/A,TRUE,"Summary";#N/A,#N/A,TRUE,"Financials";#N/A,#N/A,TRUE,"Assumptions";#N/A,#N/A,TRUE,"Pro Forma";#N/A,#N/A,TRUE,"Debt";#N/A,#N/A,TRUE,"Amortization";#N/A,#N/A,TRUE,"GG Returns"}</definedName>
    <definedName name="wrn.Investor._.Cash._.Flows.">{"CV_2",#N/A,TRUE,"Investor Cash Flows"}</definedName>
    <definedName name="wrn.IPO._.Valuation.">{"assumptions",#N/A,FALSE,"Scenario 1";"valuation",#N/A,FALSE,"Scenario 1"}</definedName>
    <definedName name="wrn.ipovalue.">{#N/A,#N/A,FALSE,"puboff";#N/A,#N/A,FALSE,"valuation";#N/A,#N/A,FALSE,"finanalsis";#N/A,#N/A,FALSE,"split";#N/A,#N/A,FALSE,"ownership"}</definedName>
    <definedName name="wrn.IQRCGMES.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SAnnualModel.">{"AnnModel",#N/A,FALSE,"IS"}</definedName>
    <definedName name="wrn.ISCG._.model.">{#N/A,#N/A,FALSE,"Second";#N/A,#N/A,FALSE,"ownership";#N/A,#N/A,FALSE,"Valuation";#N/A,#N/A,FALSE,"Eqiv";#N/A,#N/A,FALSE,"Mults";#N/A,#N/A,FALSE,"ISCG Graphics"}</definedName>
    <definedName name="wrn.ISQtrModel.">{"QtrModel",#N/A,FALSE,"IS"}</definedName>
    <definedName name="wrn.J97PLNS.XLS.">{#N/A,#N/A,FALSE,"J97plnfp"}</definedName>
    <definedName name="wrn.JANI._.REBATES.">{"TOTAL",#N/A,FALSE,"A";"FISCAL94",#N/A,FALSE,"A";"FISCAL95",#N/A,FALSE,"A";"FISCAL96",#N/A,FALSE,"A";"misc page",#N/A,FALSE,"A"}</definedName>
    <definedName name="wrn.Japan_Capers_Ed._.Pub.">{"Japan_Capers_Ed_Pub",#N/A,FALSE,"DI 2 YEAR MASTER SCHEDULE"}</definedName>
    <definedName name="wrn.jcbsum.">{#N/A,#N/A,FALSE,"Finstmts";#N/A,#N/A,FALSE,"Lost Revenue";#N/A,#N/A,FALSE,"Ratios"}</definedName>
    <definedName name="wrn.jerrys_copy.">{#N/A,#N/A,FALSE,"Cover_Page";#N/A,#N/A,FALSE,"Balance Sheet FY12";#N/A,#N/A,FALSE,"Debt Covenants_US Bank";#N/A,#N/A,FALSE,"Debt Covenants_Bank of Amercia";#N/A,#N/A,FALSE,"Con Bal_Sheet";#N/A,#N/A,FALSE,"Balance Sheet FY11";#N/A,#N/A,FALSE,"Consolidated-Cash Flow";#N/A,#N/A,FALSE,"CY_Per Inc FY12";#N/A,#N/A,FALSE,"Income FY12";#N/A,#N/A,FALSE,"Con Inc_Stmt CY";#N/A,#N/A,FALSE,"I_S Summary";#N/A,#N/A,FALSE,"Consolidated";#N/A,#N/A,FALSE,"WD";#N/A,#N/A,FALSE,"Pace";#N/A,#N/A,FALSE,"Pace Elim";#N/A,#N/A,FALSE,"WA";#N/A,#N/A,FALSE,"WA Elim";#N/A,#N/A,FALSE,"Cr Memo_Reclass";#N/A,#N/A,FALSE,"Notes"}</definedName>
    <definedName name="wrn.JOGO_CONSOLIDADO.">{#N/A,#N/A,TRUE,"Consolidado";#N/A,#N/A,TRUE,"Laticínios";#N/A,#N/A,TRUE,"Frangos";#N/A,#N/A,TRUE,"Suínos";#N/A,#N/A,TRUE,"Peru";#N/A,#N/A,TRUE,"Carnes";#N/A,#N/A,TRUE,"Suco";#N/A,#N/A,TRUE,"Batata"}</definedName>
    <definedName name="wrn.K3._.Annual.">{"K3Cash",#N/A,FALSE,"Ann";"K3Income",#N/A,FALSE,"Ann";"K3Educ",#N/A,FALSE,"Ann";"K3media",#N/A,FALSE,"Ann";"K3Info",#N/A,FALSE,"Ann";"K3Valuation",#N/A,FALSE,"Ann"}</definedName>
    <definedName name="wrn.K3._.Quarterly.">{"K3 first",#N/A,FALSE,"Qtr.";"K3 second",#N/A,FALSE,"Qtr.";"K3 Third",#N/A,FALSE,"Qtr.";"K3 Fourth",#N/A,FALSE,"Qtr.";"K3 Full",#N/A,FALSE,"Qtr."}</definedName>
    <definedName name="wrn.Komplettausdruck.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riall.">{"kricash",#N/A,FALSE,"INC";"kriinc",#N/A,FALSE,"INC";"krimiami",#N/A,FALSE,"INC";"kriother",#N/A,FALSE,"INC";"kripapers",#N/A,FALSE,"INC"}</definedName>
    <definedName name="wrn.landscape._.template.">{#N/A,#N/A,FALSE,"Sheet1"}</definedName>
    <definedName name="wrn.LBO.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wrn.LBO._.Summary.">{"LBO Summary",#N/A,FALSE,"Summary"}</definedName>
    <definedName name="wrn.LIFE._.INS.._.LOANS.">{#N/A,#N/A,FALSE,"TT-1 Officers' Life Insurance"}</definedName>
    <definedName name="wrn.LONG._.TERM._.DEBT.">{#N/A,#N/A,FALSE,"MM-1 Long Term Debt"}</definedName>
    <definedName name="wrn.LP._.Committee._.Book.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m_cash.">{"cash_marc",#N/A,FALSE,"dec95cr.xls"}</definedName>
    <definedName name="wrn.main.">{#N/A,#N/A,FALSE,"Finstmts";#N/A,#N/A,FALSE,"O&amp;M and Cap";#N/A,#N/A,FALSE,"Fuel";#N/A,#N/A,FALSE,"Gen Dat";#N/A,#N/A,FALSE,"Lost Revenue";#N/A,#N/A,FALSE,"Ratios"}</definedName>
    <definedName name="wrn.Maine.">{"Assumptions",#N/A,TRUE,"Assumptions";"Income",#N/A,TRUE,"Income";"Balance",#N/A,TRUE,"Balance"}</definedName>
    <definedName name="wrn.Maine2.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rket._.Values.">{#N/A,#N/A,TRUE,"10 Yr Hold";#N/A,#N/A,TRUE,"7 Yr Hold";#N/A,#N/A,TRUE,"5 Yr Hold";#N/A,#N/A,TRUE,"3 Yr Hold"}</definedName>
    <definedName name="wrn.MARKETABLE._.SEC..">{#N/A,#N/A,FALSE,"B-1 Mkt. Sec. - Int.";#N/A,#N/A,FALSE,"B-2 Mkt. Sec. - Val.";#N/A,#N/A,FALSE,"B-3 Mkt. Sec. - Gain (Loss)"}</definedName>
    <definedName name="wrn.Massimo.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EDI.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moria97.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rge.">{#N/A,#N/A,FALSE,"IPO";#N/A,#N/A,FALSE,"DCF";#N/A,#N/A,FALSE,"LBO";#N/A,#N/A,FALSE,"MULT_VAL";#N/A,#N/A,FALSE,"Status Quo";#N/A,#N/A,FALSE,"Recap"}</definedName>
    <definedName name="wrn.MFGLBRBEN.">{"MFGLBRBEN",#N/A,FALSE,"SAMPLECC"}</definedName>
    <definedName name="wrn.mhpall.">{"mhpcash",#N/A,FALSE,"MHPNEWX";"mhpinc",#N/A,FALSE,"MHPNEWX";"mhptax",#N/A,FALSE,"MHPNEWX";"mhpbroad",#N/A,FALSE,"MHPNEWX";"mhpeduc",#N/A,FALSE,"MHPNEWX";"mhpfin",#N/A,FALSE,"MHPNEWX";"mhpinfo",#N/A,FALSE,"MHPNEWX"}</definedName>
    <definedName name="wrn.Miami.">{"Miami Actual Expense",#N/A,FALSE,"Miami97 Exp. - Actual";"Miami Projected Expense",#N/A,FALSE,"Miami97-98 Exp. - Projected";"Miami Forecast Expense",#N/A,FALSE,"Miami97 Exp. - Forecast";"Miami Profit and Loss",#N/A,FALSE,"Miami P&amp;L"}</definedName>
    <definedName name="wrn.mikes_copy.">{#N/A,#N/A,FALSE,"Cover_Page";#N/A,#N/A,FALSE,"Balance Sheet FY12";#N/A,#N/A,FALSE,"Balance Sheet FY11";#N/A,#N/A,FALSE,"Debt Covenants_US Bank_Cons";#N/A,#N/A,FALSE,"Debt Covenants_BofA_Cons";#N/A,#N/A,FALSE,"Consolidated-Cash Flow";#N/A,#N/A,FALSE,"CY_Per Inc FY12";#N/A,#N/A,FALSE,"Income FY12";#N/A,#N/A,FALSE,"Con Bal_Sheet";#N/A,#N/A,FALSE,"Con Inc_Stmt CY";#N/A,#N/A,FALSE,"Con Inc_Stmt BD";#N/A,#N/A,FALSE,"Con Inc_Stmt PY";#N/A,#N/A,FALSE,"I_S Summary";#N/A,#N/A,FALSE,"Consolidated";#N/A,#N/A,FALSE,"WD";#N/A,#N/A,FALSE,"Pace";#N/A,#N/A,FALSE,"Pace Elim";#N/A,#N/A,FALSE,"WA";#N/A,#N/A,FALSE,"WA Elim";#N/A,#N/A,FALSE,"Cr Memo_Reclass"}</definedName>
    <definedName name="wrn.Minneapolis.">{"Minn Actual Expense",#N/A,FALSE,"Minn 97 Exp. - Actual";"Minn Projected Expense",#N/A,FALSE,"Minn 97-98 Exp. - Projected";"Minn Forecast Expense",#N/A,FALSE,"Minn 97 Exp. - Forecast";"Minn Profit and Loss",#N/A,FALSE,"Minn P&amp;L"}</definedName>
    <definedName name="wrn.model.">{"page1",#N/A,FALSE,"GIRLBO";"page2",#N/A,FALSE,"GIRLBO";"page3",#N/A,FALSE,"GIRLBO";"page4",#N/A,FALSE,"GIRLBO";"page5",#N/A,FALSE,"GIRLBO"}</definedName>
    <definedName name="wrn.Models.">{"cable_one",#N/A,FALSE,"cable 96-02";"cable_two",#N/A,FALSE,"cable 96-02";"Newrev_one",#N/A,FALSE,"New rev 97 - 02";"Newrev_two",#N/A,FALSE,"New rev 97 - 02"}</definedName>
    <definedName name="wrn.Month.">{#N/A,#N/A,FALSE,"Comp Balance";#N/A,#N/A,FALSE,"Sum Balance ";#N/A,#N/A,FALSE,"Balance Trend";#N/A,#N/A,FALSE,"Comp PL";#N/A,#N/A,FALSE,"PL";#N/A,#N/A,FALSE,"Sum PL";#N/A,#N/A,FALSE,"PL Trend";#N/A,#N/A,FALSE,"Change"}</definedName>
    <definedName name="wrn.Month._.end._.call.">{#N/A,#N/A,FALSE,"Bud Month-end Call";#N/A,#N/A,FALSE,"Bud vs Actual";#N/A,#N/A,FALSE,"FC3 Month-end Call";#N/A,#N/A,FALSE,"FC3 vs Actual"}</definedName>
    <definedName name="wrn.Month._.end._.report.">{#N/A,#N/A,FALSE,"Bud Month-end Call";#N/A,#N/A,FALSE,"Bud vs Actual";#N/A,#N/A,FALSE,"Bud vs Actual Variances";#N/A,#N/A,FALSE,"FC3 Month-end Call";#N/A,#N/A,FALSE,"FC3 vs Actual";#N/A,#N/A,FALSE,"FC3 vs Actual Variances";#N/A,#N/A,FALSE,"Roll-up";#N/A,#N/A,FALSE,"Production";#N/A,#N/A,FALSE,"Waste Model";"bva costs - total",#N/A,FALSE,"Costs - Budget vs Actual";"bva costs - plant",#N/A,FALSE,"Costs - Budget vs Actual";"bva costs - cmw",#N/A,FALSE,"Costs - Budget vs Actual";"bva costs - bts",#N/A,FALSE,"Costs - Budget vs Actual";"bva costs - pts",#N/A,FALSE,"Costs - Budget vs Actual";"bva costs - transport",#N/A,FALSE,"Costs - Budget vs Actual"}</definedName>
    <definedName name="wrn.Monthly._.LE.">{"sku_equnits",#N/A,FALSE,"1997 &amp; PROD";"sku_nsr",#N/A,FALSE,"1997 &amp; PROD";"sku_units",#N/A,FALSE,"1997 &amp; PROD";"yag_eq",#N/A,FALSE,"YAGSUM";"yag_units",#N/A,FALSE,"YAGSUM";"yag_nsr",#N/A,FALSE,"YAGSUM";"SKUSUM_NSR",#N/A,FALSE,"1997 &amp; PROD";"SKUSUM_UNITS",#N/A,FALSE,"1997 &amp; PROD";"SKUSUM_EQ",#N/A,FALSE,"1997 &amp; PROD"}</definedName>
    <definedName name="wrn.Monthly._.MIFA._.Sheets.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s._.1999.">{"Monthly 1999 Stats",#N/A,FALSE,"Months";"Monthly 1999 IS",#N/A,FALSE,"Months"}</definedName>
    <definedName name="wrn.Months._.2000.">{"Monthly 2000 Stats",#N/A,FALSE,"Months";"Monthly 2000 IS",#N/A,FALSE,"Months"}</definedName>
    <definedName name="wrn.Months._.2001.">{"Monthly 2001 Stats",#N/A,FALSE,"Months";"Monthly 2001 IS",#N/A,FALSE,"Months"}</definedName>
    <definedName name="wrn.Months._.2002.">{"Monthly 2002 Stats",#N/A,FALSE,"Months";"Monthly 2002 IS",#N/A,FALSE,"Months"}</definedName>
    <definedName name="wrn.Months._.2003.">{"Monthly 2003 Stats",#N/A,FALSE,"Months";"Monthly 2003 IS",#N/A,FALSE,"Months"}</definedName>
    <definedName name="wrn.newest.">{#N/A,#N/A,TRUE,"TS";#N/A,#N/A,TRUE,"Combo";#N/A,#N/A,TRUE,"FAIR";#N/A,#N/A,TRUE,"RBC";#N/A,#N/A,TRUE,"xxxx"}</definedName>
    <definedName name="wrn.noc.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TES._.REC..">{#N/A,#N/A,FALSE,"H-1 Notes Receivable"}</definedName>
    <definedName name="wrn.ntfinance.">{"Rate",#N/A,TRUE,"SUMMARY";"Ratios",#N/A,TRUE,"Ratios";"BUDGETREVENUE",#N/A,TRUE,"Revenue";"TOTALS",#N/A,TRUE,"DETAIL"}</definedName>
    <definedName name="wrn.nytaann.">{"nytacash",#N/A,FALSE,"GLOBEINC";"nytainc",#N/A,FALSE,"GLOBEINC";"nytanyt",#N/A,FALSE,"GLOBEINC";"nytareg",#N/A,FALSE,"GLOBEINC";"nytaglobe",#N/A,FALSE,"GLOBEINC";"nytapprttl",#N/A,FALSE,"GLOBEINC"}</definedName>
    <definedName name="wrn.O._.and._.I._.Worksheet.">{#N/A,#N/A,FALSE,"O&amp;I Worksheet"}</definedName>
    <definedName name="wrn.on._.site._.assessment.">{#N/A,#N/A,TRUE,"Cover letter";#N/A,#N/A,TRUE,"Definitions";#N/A,#N/A,TRUE,"financial data";#N/A,#N/A,TRUE,"general data";#N/A,#N/A,TRUE,"order fulfillment"}</definedName>
    <definedName name="wrn.Oncology.">{#N/A,#N/A,FALSE,"Onco";#N/A,#N/A,FALSE,"Taxol";#N/A,#N/A,FALSE,"UFT";#N/A,#N/A,FALSE,"Carb"}</definedName>
    <definedName name="wrn.Opportunity._.Assessment.">{#N/A,#N/A,TRUE,"Summary";#N/A,#N/A,TRUE,"Assumptions";#N/A,#N/A,TRUE,"Comparison";#N/A,#N/A,TRUE,"Financials";#N/A,#N/A,TRUE,"Plan v. Act"}</definedName>
    <definedName name="wrn.OTC._.Market._.Report.">{#N/A,#N/A,FALSE,"Sales Graph";#N/A,#N/A,FALSE,"BUC Graph";#N/A,#N/A,FALSE,"P&amp;L - YTD"}</definedName>
    <definedName name="wrn.OTHER._.INCOME.">{#N/A,#N/A,FALSE,"0600-1 Other Income (Expense)"}</definedName>
    <definedName name="wrn.Other._.Pharm.">{#N/A,#N/A,FALSE,"Other";#N/A,#N/A,FALSE,"Ace";#N/A,#N/A,FALSE,"Derm"}</definedName>
    <definedName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vhd.">{#N/A,#N/A,FALSE,"OVHDSUM"}</definedName>
    <definedName name="wrn.ovhd1.">{#N/A,#N/A,FALSE,"OVHDSUM"}</definedName>
    <definedName name="wrn.p">{#N/A,#N/A,FALSE,"1";#N/A,#N/A,FALSE,"2";#N/A,#N/A,FALSE,"16 - 17";#N/A,#N/A,FALSE,"18 - 19";#N/A,#N/A,FALSE,"26";#N/A,#N/A,FALSE,"27";#N/A,#N/A,FALSE,"28"}</definedName>
    <definedName name="wrn.packer._.1.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._.1.">{"PAGE 1",#N/A,FALSE,"WEST_OT"}</definedName>
    <definedName name="wrn.PAGE._.2.">{"PAGE 2",#N/A,FALSE,"WEST_OT"}</definedName>
    <definedName name="wrn.PAGE._.3.">{"PAGE 2",#N/A,FALSE,"WEST_OT"}</definedName>
    <definedName name="wrn.Pages._.for._.Distribution.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aging._.Compco.">{"financials",#N/A,TRUE,"6_30_96";"footnotes",#N/A,TRUE,"6_30_96";"valuation",#N/A,TRUE,"6_30_96"}</definedName>
    <definedName name="wrn.Partner._.Expenses.">{"Partner Actual Exp",#N/A,FALSE,"Partners97 Exp. - Actual";"Partner Projected Exp",#N/A,FALSE,"Partners97-98 Exp. - Projected";"Partners Forecast Exp",#N/A,FALSE,"Partners97 Exp. - Forecast"}</definedName>
    <definedName name="wrn.Period._.1._.Financial._.Statements.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>{"Period 9 Income Statements",#N/A,FALSE,"Income Statement";"Period 9 Balance Sheets",#N/A,FALSE,"Balance Sheet";"Period 9 Cashflow Statements",#N/A,FALSE,"Cashflow Statement";"Period 9 Financial Ratios",#N/A,FALSE,"Financial Ratios"}</definedName>
    <definedName name="wrn.Pharm._.Market._.Report.">{#N/A,#N/A,FALSE,"Sales Graph";#N/A,#N/A,FALSE,"PSBM";#N/A,#N/A,FALSE,"BUC Graph";#N/A,#N/A,FALSE,"P&amp;L - YTD"}</definedName>
    <definedName name="wrn.Pharmaceuticals.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L.">{"20 Years",#N/A,FALSE,"P&amp;Ls";"2001",#N/A,FALSE,"P&amp;Ls"}</definedName>
    <definedName name="wrn.Plan._.Sheets.">{#N/A,#N/A,TRUE,"95 Consolidated Forecast";#N/A,#N/A,TRUE,"95 Consolidated Frcst per Gal";#N/A,#N/A,TRUE,"96 Consolidated Plan";#N/A,#N/A,TRUE,"96 Consolidated per Gallon"}</definedName>
    <definedName name="wrn.PLFORECAST.">{"CY",#N/A,FALSE,"FORECAST";"PAYROLL",#N/A,FALSE,"FORECAST";"REC",#N/A,FALSE,"FORECAST";"SALES",#N/A,FALSE,"FORECAST"}</definedName>
    <definedName name="wrn.PnL.">{"qearn",#N/A,FALSE,"Qearn";"qearn2",#N/A,FALSE,"Qearn";"qmargin",#N/A,FALSE,"Qearn"}</definedName>
    <definedName name="wrn.POST.">{#N/A,#N/A,FALSE,"Memo Page";#N/A,#N/A,FALSE,"Flash";#N/A,#N/A,FALSE,"Sls vs Mkt";#N/A,#N/A,FALSE,"YTD";#N/A,#N/A,FALSE,"Brand Detail";#N/A,#N/A,FALSE,"QTR_Index"}</definedName>
    <definedName name="wrn.ppp">{#N/A,#N/A,FALSE,"1";#N/A,#N/A,FALSE,"2";#N/A,#N/A,FALSE,"16 - 17";#N/A,#N/A,FALSE,"18 - 19";#N/A,#N/A,FALSE,"26";#N/A,#N/A,FALSE,"27";#N/A,#N/A,FALSE,"28"}</definedName>
    <definedName name="wrn.PRBFinancials.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.">{#N/A,#N/A,FALSE,"Summary";#N/A,#N/A,FALSE,"Flash";#N/A,#N/A,FALSE,"Sls vs Mkt";#N/A,#N/A,FALSE,"YTD";#N/A,#N/A,FALSE,"Brand Detail";#N/A,#N/A,FALSE,"QTR_Index";#N/A,#N/A,FALSE,"VOP Impact"}</definedName>
    <definedName name="wrn.PREPAIDS.">{#N/A,#N/A,FALSE,"G-1 Prepaid Expenses-Other";#N/A,#N/A,FALSE,"G-2 Prepaid Property Taxes";#N/A,#N/A,FALSE,"G-3 Prepaid Insurance "}</definedName>
    <definedName name="wrn.PRES_OUT.">{"page1",#N/A,FALSE,"PRESENTATION";"page2",#N/A,FALSE,"PRESENTATION";#N/A,#N/A,FALSE,"Valuation Summary"}</definedName>
    <definedName name="wrn.PRES_OUT2">{"page1",#N/A,FALSE,"PRESENTATION";"page2",#N/A,FALSE,"PRESENTATION";#N/A,#N/A,FALSE,"Valuation Summary"}</definedName>
    <definedName name="wrn.Pres_OUT3">{"page1",#N/A,FALSE,"PRESENTATION";"page2",#N/A,FALSE,"PRESENTATION";#N/A,#N/A,FALSE,"Valuation Summary"}</definedName>
    <definedName name="wrn.PRES_OUT4">{"page1",#N/A,FALSE,"PRESENTATION";"page2",#N/A,FALSE,"PRESENTATION";#N/A,#N/A,FALSE,"Valuation Summary"}</definedName>
    <definedName name="wrn.PRES_OUT5">{"page1",#N/A,FALSE,"PRESENTATION";"page2",#N/A,FALSE,"PRESENTATION";#N/A,#N/A,FALSE,"Valuation Summary"}</definedName>
    <definedName name="wrn.PRES_OUT6">{"page1",#N/A,FALSE,"PRESENTATION";"page2",#N/A,FALSE,"PRESENTATION";#N/A,#N/A,FALSE,"Valuation Summary"}</definedName>
    <definedName name="wrn.PRES_OUT8">{"page1",#N/A,FALSE,"PRESENTATION";"page2",#N/A,FALSE,"PRESENTATION";#N/A,#N/A,FALSE,"Valuation Summary"}</definedName>
    <definedName name="wrn.prin2._.all.">{#N/A,#N/A,FALSE,"Pharm";#N/A,#N/A,FALSE,"WWCM"}</definedName>
    <definedName name="wrn.prin3">{#N/A,#N/A,FALSE,"Pharm";#N/A,#N/A,FALSE,"WWCM"}</definedName>
    <definedName name="wrn.print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>{#N/A,#N/A,FALSE,"SUMMARY";#N/A,#N/A,FALSE,"ITI";#N/A,#N/A,FALSE,"Rostra";#N/A,#N/A,FALSE,"Lavelle";#N/A,#N/A,FALSE,"Eagle";#N/A,#N/A,FALSE,"Baird";#N/A,#N/A,FALSE,"Ass";#N/A,#N/A,FALSE,"Golden";#N/A,#N/A,FALSE,"Struck";#N/A,#N/A,FALSE,"Wrights";#N/A,#N/A,FALSE,"TEKRA";#N/A,#N/A,FALSE,"Kux";#N/A,#N/A,FALSE,"SPI";#N/A,#N/A,FALSE,"Midwest"}</definedName>
    <definedName name="wrn.Print._.4.">{"Outflow 1",#N/A,FALSE,"Outflows-Inflows";"Outflow 2",#N/A,FALSE,"Outflows-Inflows";"Inflow 1",#N/A,FALSE,"Outflows-Inflows";"Inflow 2",#N/A,FALSE,"Outflows-Inflows"}</definedName>
    <definedName name="wrn.Print._.4._1">{"Outflow 1",#N/A,FALSE,"Outflows-Inflows";"Outflow 2",#N/A,FALSE,"Outflows-Inflows";"Inflow 1",#N/A,FALSE,"Outflows-Inflows";"Inflow 2",#N/A,FALSE,"Outflows-Inflows"}</definedName>
    <definedName name="wrn.Print._.6.">{"print 1.6",#N/A,FALSE,"Sheet1";"print 2.6",#N/A,FALSE,"Sheet1";"print 3.6",#N/A,FALSE,"Sheet1";"print 4.6",#N/A,FALSE,"Sheet1";"print 5.6",#N/A,FALSE,"Sheet1";"print 6.6",#N/A,FALSE,"Sheet1"}</definedName>
    <definedName name="wrn.Print._.6._1">{"print 1.6",#N/A,FALSE,"Sheet1";"print 2.6",#N/A,FALSE,"Sheet1";"print 3.6",#N/A,FALSE,"Sheet1";"print 4.6",#N/A,FALSE,"Sheet1";"print 5.6",#N/A,FALSE,"Sheet1";"print 6.6",#N/A,FALSE,"Sheet1"}</definedName>
    <definedName name="wrn.PRINT._.ALL.">{#N/A,#N/A,FALSE,"Pharm";#N/A,#N/A,FALSE,"WWCM"}</definedName>
    <definedName name="wrn.Print._.All._.Pages.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heets.">{"summary",#N/A,FALSE,"Valuation Analysis";"assumptions1",#N/A,FALSE,"Valuation Analysis";"assumptions2",#N/A,FALSE,"Valuation Analysis"}</definedName>
    <definedName name="wrn.PRINT._.ALL.2">{#N/A,#N/A,FALSE,"Pharm";#N/A,#N/A,FALSE,"WWCM"}</definedName>
    <definedName name="wrn.print._.all2">{#N/A,#N/A,FALSE,"Pharm";#N/A,#N/A,FALSE,"WWCM"}</definedName>
    <definedName name="wrn.Print._.Disk.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ocuments.">{#N/A,#N/A,TRUE,"Cover Page";#N/A,#N/A,TRUE,"Executive Summary";#N/A,#N/A,TRUE,"Photos";#N/A,#N/A,TRUE,"Area Map";#N/A,#N/A,TRUE,"Descriptions";#N/A,#N/A,TRUE,"SitePlan";#N/A,#N/A,TRUE,"Land Grid";#N/A,#N/A,TRUE,"Land Sales Map";#N/A,#N/A,TRUE,"Cost Approach Schedule";#N/A,#N/A,TRUE,"Certification"}</definedName>
    <definedName name="wrn.PRINT._.DONC._.CONS._.TOTALS.">{"DONC CONS RPT",#N/A,TRUE,"Doncaster"}</definedName>
    <definedName name="wrn.print._.graphs.">{"cap_structure",#N/A,FALSE,"Graph-Mkt Cap";"price",#N/A,FALSE,"Graph-Price";"ebit",#N/A,FALSE,"Graph-EBITDA";"ebitda",#N/A,FALSE,"Graph-EBITDA"}</definedName>
    <definedName name="wrn.print._.graphs._1">{"cap_structure",#N/A,FALSE,"Graph-Mkt Cap";"price",#N/A,FALSE,"Graph-Price";"ebit",#N/A,FALSE,"Graph-EBITDA";"ebitda",#N/A,FALSE,"Graph-EBITDA"}</definedName>
    <definedName name="wrn.Print._.It.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raw._.data._.entry.">{"inputs raw data",#N/A,TRUE,"INPUT"}</definedName>
    <definedName name="wrn.print._.raw._.data._.entry._1">{"inputs raw data",#N/A,TRUE,"INPUT"}</definedName>
    <definedName name="wrn.print._.standalone.">{"standalone1",#N/A,FALSE,"DCFBase";"standalone2",#N/A,FALSE,"DCFBase"}</definedName>
    <definedName name="wrn.print._.summary._.sheets.">{"summary1",#N/A,TRUE,"Comps";"summary2",#N/A,TRUE,"Comps";"summary3",#N/A,TRUE,"Comps"}</definedName>
    <definedName name="wrn.print._.summary._.sheets._1">{"summary1",#N/A,TRUE,"Comps";"summary2",#N/A,TRUE,"Comps";"summary3",#N/A,TRUE,"Comps"}</definedName>
    <definedName name="wrn.print._all1.">{#N/A,#N/A,FALSE,"Pharm";#N/A,#N/A,FALSE,"WWCM"}</definedName>
    <definedName name="wrn.PRINT_ALL.">{"SUMMARY",#N/A,FALSE,"DEALSUM";"ASSUMPS",#N/A,FALSE,"DEALSUM"}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Earnings_template.">{"by_month",#N/A,TRUE,"template";"destec_month",#N/A,TRUE,"template";"by_quarter",#N/A,TRUE,"template";"destec_quarter",#N/A,TRUE,"template";"by_year",#N/A,TRUE,"template";"destec_annual",#N/A,TRUE,"template"}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Var_page.">{"var_page",#N/A,FALSE,"template"}</definedName>
    <definedName name="wrn.print2">{#N/A,#N/A,FALSE,"Pharm";#N/A,#N/A,FALSE,"WWCM"}</definedName>
    <definedName name="wrn.PRINT2.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ac.">{#N/A,#N/A,FALSE,"Op-BS";#N/A,#N/A,FALSE,"Assum";#N/A,#N/A,FALSE,"IS";#N/A,#N/A,FALSE,"Syn+Elim";#N/A,#N/A,FALSE,"BSCF";#N/A,#N/A,FALSE,"Blue_IS";#N/A,#N/A,FALSE,"Blue_BSCF";#N/A,#N/A,FALSE,"Ratings"}</definedName>
    <definedName name="wrn.printall.">{"ngcpv",#N/A,TRUE,"NGC Summary";"insum1",#N/A,TRUE,"Inputs Summary";"insum2",#N/A,TRUE,"Inputs Summary";"insum3",#N/A,TRUE,"Inputs Summary";"revsum1",#N/A,TRUE,"RevExp";"revsum2",#N/A,TRUE,"RevExp";"debtin1",#N/A,TRUE,"Debt Inputs";"debtin2",#N/A,TRUE,"Debt Inputs";"opprn1",#N/A,TRUE,"OPS";"opprn2",#N/A,TRUE,"OPS";"opprn3",#N/A,TRUE,"OPS";"deprn1",#N/A,TRUE,"DeprAlloc";"deprn2",#N/A,TRUE,"DeprAlloc";"finp1",#N/A,TRUE,"Financials";"finp2",#N/A,TRUE,"Financials";"finp3",#N/A,TRUE,"Financials";"finp4",#N/A,TRUE,"Financials";"dei12c",#N/A,TRUE,"Destec";"deip3",#N/A,TRUE,"Destec";"ddpv",#N/A,TRUE,"Drawdown"}</definedName>
    <definedName name="wrn.Printfinancialsmth.">{"incomemth",#N/A,TRUE,"forecast00";"incomepercentmth",#N/A,TRUE,"forecast00";"balancemth",#N/A,TRUE,"forecast00";"cashmth",#N/A,TRUE,"forecast00";"covenantmth",#N/A,TRUE,"forecast00"}</definedName>
    <definedName name="wrn.printout.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qtr.">{"nytasecond",#N/A,FALSE,"NYTQTRS";"nytafirst",#N/A,FALSE,"NYTQTRS";"nytathird",#N/A,FALSE,"NYTQTRS";"nytafourth",#N/A,FALSE,"NYTQTRS";"nytafull",#N/A,FALSE,"NYTQTRS"}</definedName>
    <definedName name="wrn.PRINTREP.">{"PRINTREP",#N/A,FALSE,"Sheet1"}</definedName>
    <definedName name="wrn.Priority._.list.">{#N/A,#N/A,FALSE,"DI 2 YEAR MASTER SCHEDULE"}</definedName>
    <definedName name="wrn.Prjcted._.Mnthly._.Qtys.">{#N/A,#N/A,FALSE,"PRJCTED MNTHLY QTY's"}</definedName>
    <definedName name="wrn.Prjcted._.Qtrly._.Dollars.">{#N/A,#N/A,FALSE,"PRJCTED QTRLY $'s"}</definedName>
    <definedName name="wrn.Prjcted._.Qtrly._.Qtys.">{#N/A,#N/A,FALSE,"PRJCTED QTRLY QTY's"}</definedName>
    <definedName name="wrn.Pro._.Forma.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ducts">{#N/A,#N/A,FALSE,"1";#N/A,#N/A,FALSE,"2";#N/A,#N/A,FALSE,"16 - 17";#N/A,#N/A,FALSE,"18 - 19";#N/A,#N/A,FALSE,"26";#N/A,#N/A,FALSE,"27";#N/A,#N/A,FALSE,"28"}</definedName>
    <definedName name="wrn.Products.">{#N/A,#N/A,FALSE,"1";#N/A,#N/A,FALSE,"2";#N/A,#N/A,FALSE,"16 - 17";#N/A,#N/A,FALSE,"18 - 19";#N/A,#N/A,FALSE,"26";#N/A,#N/A,FALSE,"27";#N/A,#N/A,FALSE,"28"}</definedName>
    <definedName name="wrn.PROFIT_LOSS.">{"רווה_מסכם",#N/A,FALSE,"p&amp;l";"באור_תפעול",#N/A,FALSE,"operation";"באור_מופ",#N/A,FALSE,"R&amp;D";"באור_שיווק",#N/A,FALSE,"M&amp;S";"באור_הנהלה",#N/A,FALSE,"g&amp;a"}</definedName>
    <definedName name="wrn.Projection._.Inputs.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PERTY._.AND._.EQUIP..">{#N/A,#N/A,FALSE,"M-1 Property and Equipment";#N/A,#N/A,FALSE,"M-2 Asset Additions";#N/A,#N/A,FALSE,"M-3 Property Disposals"}</definedName>
    <definedName name="wrn.pror">{#N/A,#N/A,FALSE,"Pharm";#N/A,#N/A,FALSE,"WWCM"}</definedName>
    <definedName name="wrn.Pulp.">{"Pulp Production",#N/A,FALSE,"Pulp";"Pulp Earnings",#N/A,FALSE,"Pulp"}</definedName>
    <definedName name="wrn.Pulp.2">{"Pulp Production",#N/A,FALSE,"Pulp";"Pulp Earnings",#N/A,FALSE,"Pulp"}</definedName>
    <definedName name="wrn.Pulp.3">{"Pulp Production",#N/A,FALSE,"Pulp";"Pulp Earnings",#N/A,FALSE,"Pulp"}</definedName>
    <definedName name="wrn.Pump.">{#N/A,#N/A,FALSE,"Assump";#N/A,#N/A,FALSE,"Income";#N/A,#N/A,FALSE,"Balance";#N/A,#N/A,FALSE,"DCF Pump";#N/A,#N/A,FALSE,"Trans Assump";#N/A,#N/A,FALSE,"Combined Income";#N/A,#N/A,FALSE,"Combined Balance"}</definedName>
    <definedName name="wrn.Q3._.Prof._.Serv._.Summary.">{"Professional Service Summary",#N/A,FALSE,"Q3 Prof Serv"}</definedName>
    <definedName name="wrn.Q3._.Professional._.service._.detail.">{"Professional Service Detail",#N/A,FALSE,"Q3 Prof Serv"}</definedName>
    <definedName name="wrn.QLT._.Full._.Report.">{"revenue",#N/A,FALSE,"Visudyne JV";"qearn1",#N/A,FALSE,"Qearn";"qearn2",#N/A,FALSE,"Qearn";#N/A,#N/A,FALSE,"Qmargin";"cashflow",#N/A,FALSE,"Cashflow"}</definedName>
    <definedName name="wrn.Qtr._.3.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1.">{"QTR1PGIBS",#N/A,FALSE,"Qtr 1 PGI";"QTR1PGIPL",#N/A,FALSE,"Qtr 1 PGI";"QTR1PGICF",#N/A,FALSE,"Qtr 1 PGI";"QTR1BS",#N/A,FALSE,"Qtr 1 ";"QTR1PL",#N/A,FALSE,"Qtr 1 ";"QTR1CF",#N/A,FALSE,"Qtr 1 "}</definedName>
    <definedName name="wrn.Qtr2.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uarterly._.MIFA._.Sheets.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RECEIVABLES.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gions._.Bank.">{#N/A,#N/A,FALSE,"Cover_Page";#N/A,#N/A,FALSE,"Balance Sheet FY12";#N/A,#N/A,FALSE,"Consolidated-Cash Flow";#N/A,#N/A,FALSE,"CY_Per Inc FY12"}</definedName>
    <definedName name="wrn.Relevant.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>{#N/A,#N/A,FALSE,"AD_Purch";#N/A,#N/A,FALSE,"Projections";#N/A,#N/A,FALSE,"DCF";#N/A,#N/A,FALSE,"Mkt Val"}</definedName>
    <definedName name="wrn.Remnant.">{#N/A,#N/A,FALSE,"DISTRIBUTION";#N/A,#N/A,FALSE,"1996 BRAND SUMMARY (2)";#N/A,#N/A,FALSE,"1995 BRAND SUMMARY"}</definedName>
    <definedName name="wrn.report.">{"pag1",#N/A,FALSE,"Sheet1";"pag2",#N/A,FALSE,"Sheet1";"pag3",#N/A,FALSE,"Sheet1";"pag4",#N/A,FALSE,"Sheet1"}</definedName>
    <definedName name="wrn.Report._.2.">{#N/A,#N/A,TRUE,"Pivots-Employee";#N/A,"Scenerio2",TRUE,"Assumptions Summary"}</definedName>
    <definedName name="wrn.Report._.Detail.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_PR_1.">{"PR1","pr1",TRUE,"Sch PR-1"}</definedName>
    <definedName name="wrn.Report1.">{#N/A,#N/A,FALSE,"IS";#N/A,#N/A,FALSE,"BS";#N/A,#N/A,FALSE,"CF";#N/A,#N/A,FALSE,"CE";#N/A,#N/A,FALSE,"Depr";#N/A,#N/A,FALSE,"APAL"}</definedName>
    <definedName name="wrn.Reports._.to._.EBITDARM.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SULTADO.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S.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VIEW.">{"REVIEW",#N/A,FALSE,"SAMPLECC"}</definedName>
    <definedName name="wrn.review._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Pack.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Brief.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s.">{"Base_rev",#N/A,FALSE,"Proj_IS_Base";"Projrev",#N/A,FALSE,"Proj_IS_wOTLC";"Delta",#N/A,FALSE,"Delta Rev_PV"}</definedName>
    <definedName name="wrn.Riverwood_comp_model.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SALARIES.">{"SALARIES",#N/A,FALSE,"SAMPLECC"}</definedName>
    <definedName name="wrn.sales.">{"sales",#N/A,FALSE,"Sales";"sales existing",#N/A,FALSE,"Sales";"sales rd1",#N/A,FALSE,"Sales";"sales rd2",#N/A,FALSE,"Sales"}</definedName>
    <definedName name="wrn.sales._from_DBAB">{"sales",#N/A,FALSE,"Sales";"sales existing",#N/A,FALSE,"Sales";"sales rd1",#N/A,FALSE,"Sales";"sales rd2",#N/A,FALSE,"Sales"}</definedName>
    <definedName name="wrn.SalesMarginPages.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SCHED.">{"SALESSCHED",#N/A,FALSE,"SAMPLECC"}</definedName>
    <definedName name="wrn.sample.">{"sample",#N/A,FALSE,"Client Input Sheet"}</definedName>
    <definedName name="wrn.SANDSQUARTERLY.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cenario._.Summary.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>{"schedule1",#N/A,FALSE,"Sheet1";"schedule2",#N/A,FALSE,"Sheet1";"schedule3",#N/A,FALSE,"Sheet1";"schedule4",#N/A,FALSE,"Sheet1";"schedule5",#N/A,FALSE,"Sheet1";"schedule6",#N/A,FALSE,"Sheet1"}</definedName>
    <definedName name="wrn.Scripts.">{"ENBREL",#N/A,FALSE,"Sheet1";"RenaGel",#N/A,FALSE,"Sheet1";"HIV PI",#N/A,FALSE,"Sheet1";"MS",#N/A,FALSE,"Sheet1"}</definedName>
    <definedName name="wrn.SHORT.">{"CREDIT STATISTICS",#N/A,FALSE,"STATS";"CF_AND_IS",#N/A,FALSE,"PLAN";"BALSHEET",#N/A,FALSE,"BALANCE SHEET"}</definedName>
    <definedName name="wrn.SKSCS1.">{#N/A,#N/A,FALSE,"Antony Financials";#N/A,#N/A,FALSE,"Cowboy Financials";#N/A,#N/A,FALSE,"Combined";#N/A,#N/A,FALSE,"Valuematrix";#N/A,#N/A,FALSE,"DCFAntony";#N/A,#N/A,FALSE,"DCFCowboy";#N/A,#N/A,FALSE,"DCFCombined"}</definedName>
    <definedName name="wrn.sspall.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.">{"FCB_ALL",#N/A,FALSE,"FCB";"GREY_ALL",#N/A,FALSE,"GREY"}</definedName>
    <definedName name="wrn.STOCKHOLDERS._.EQUITY.">{#N/A,#N/A,FALSE,"WW-1 Stockholders' Equity"}</definedName>
    <definedName name="wrn.sum.">{"Opsys",#N/A,FALSE,"NPV_OPsys";"NT",#N/A,FALSE,"NPV_NT";"DevP",#N/A,FALSE,"NPV_DevPdt";"Office",#N/A,FALSE,"NPV_Office"}</definedName>
    <definedName name="wrn.summaries.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.2.">{#N/A,#N/A,TRUE,"Model"}</definedName>
    <definedName name="wrn.SummaryPgs.">{#N/A,#N/A,FALSE,"CreditStat";#N/A,#N/A,FALSE,"SPbrkup";#N/A,#N/A,FALSE,"MerSPsyn";#N/A,#N/A,FALSE,"MerSPwKCsyn";#N/A,#N/A,FALSE,"MerSPwKCsyn (2)";#N/A,#N/A,FALSE,"CreditStat (2)"}</definedName>
    <definedName name="wrn.t_cash.">{"cash_tes",#N/A,FALSE,"dec95cr.xls"}</definedName>
    <definedName name="wrn.Target.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>{"targetdcf",#N/A,FALSE,"Merger consequences";"TARGETASSU",#N/A,FALSE,"Merger consequences";"TERMINAL VALUE",#N/A,FALSE,"Merger consequences"}</definedName>
    <definedName name="wrn.TARGET._.DCF._from_DBAB">{"targetdcf",#N/A,FALSE,"Merger consequences";"TARGETASSU",#N/A,FALSE,"Merger consequences";"TERMINAL VALUE",#N/A,FALSE,"Merger consequences"}</definedName>
    <definedName name="wrn.Target._1">{"e_Target Assumptions",#N/A,FALSE,"Financials";"f_Target Income Statement",#N/A,FALSE,"Financials";"g_Target Balance Sheet",#N/A,FALSE,"Financials";"h_Target Cashflow Statement",#N/A,FALSE,"Financials"}</definedName>
    <definedName name="wrn.TargetLBO.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>{#N/A,#N/A,FALSE,"Tar-Ass";#N/A,#N/A,FALSE,"Tar-IS";#N/A,#N/A,FALSE,"Tar-BS";#N/A,#N/A,FALSE,"Tar-Adg BS";#N/A,#N/A,FALSE,"Tar-CF"}</definedName>
    <definedName name="wrn.TargetVal.">{#N/A,#N/A,TRUE,"Val - sum";#N/A,#N/A,TRUE,"Val - Sum1";#N/A,#N/A,TRUE,"Val - sum2";#N/A,#N/A,TRUE,"Val - Sum3";#N/A,#N/A,TRUE,"Tar-DCF";#N/A,#N/A,TRUE,"Tar-Val LBO";#N/A,#N/A,TRUE,"Tar-Mult Val"}</definedName>
    <definedName name="wrn.TAXATION.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est.">{#N/A,#N/A,FALSE,"Availability";#N/A,#N/A,FALSE,"Loan Stats";#N/A,#N/A,FALSE,"Clltrl Ln Smmry";#N/A,#N/A,FALSE,"AR Stats";#N/A,#N/A,FALSE,"AR Sum";#N/A,#N/A,FALSE,"Recs";#N/A,#N/A,FALSE,"Ship,CM Rev"}</definedName>
    <definedName name="wrn.Textron.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heWholeEnchilada.">{"CSheet",#N/A,FALSE,"C";"SmCap",#N/A,FALSE,"VAL1";"GulfCoast",#N/A,FALSE,"VAL1";"nav",#N/A,FALSE,"NAV";"Summary",#N/A,FALSE,"NAV"}</definedName>
    <definedName name="wrn.three">{"EVA",#N/A,FALSE,"EVA";"WACC",#N/A,FALSE,"WACC"}</definedName>
    <definedName name="wrn.Tier._.1.">{#N/A,#N/A,TRUE,"segqtr"}</definedName>
    <definedName name="wrn.TMCALL.">{"tmccash",#N/A,FALSE,"INCX";"tmcinc",#N/A,FALSE,"INCX";"tmcpretx",#N/A,FALSE,"INCX";"tmcadrev",#N/A,FALSE,"INCX";"tmcbooks",#N/A,FALSE,"INCX"}</definedName>
    <definedName name="wrn.tobacco.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>{"income",#N/A,FALSE,"TOBACCO";"value",#N/A,FALSE,"TOBACCO";"assum1",#N/A,FALSE,"TOBACCO"}</definedName>
    <definedName name="wrn.TODO.">{#N/A,#N/A,FALSE,"RESUMEN";#N/A,#N/A,FALSE,"PARQ_C";#N/A,#N/A,FALSE,"PARQ_P";#N/A,#N/A,FALSE,"MIN_S_C";#N/A,#N/A,FALSE,"MIN_S_P";#N/A,#N/A,FALSE,"MIN_E_M_M";#N/A,#N/A,FALSE,"MIN_E_FIJA";#N/A,#N/A,FALSE,"SUPUESTOS"}</definedName>
    <definedName name="wrn.TOOL.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Market._.Report.">{#N/A,#N/A,FALSE,"Sales Graph";#N/A,#N/A,FALSE,"BUC Graph";#N/A,#N/A,FALSE,"P&amp;L - YTD"}</definedName>
    <definedName name="wrn.total._.year.">{#N/A,#N/A,FALSE,"2003_Input - P&amp;L"}</definedName>
    <definedName name="wrn.total1.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ut._.Sauf._.BG.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e._.analysis.">{#N/A,#N/A,FALSE,"Volume Inputs";#N/A,#N/A,FALSE,"MCF";#N/A,#N/A,FALSE,"Detail Trade Calc.";#N/A,#N/A,FALSE,"Participation Rates";#N/A,#N/A,FALSE,"Galvin Rpt.";#N/A,#N/A,FALSE,"Glvn Rpt Brdg-96PLAN vs. 97";#N/A,#N/A,FALSE,"Glvn Rpt Brdg-96OL vs. 97";#N/A,#N/A,FALSE,"Branded Summary";#N/A,#N/A,FALSE,"Accrual Funds"}</definedName>
    <definedName name="wrn.TRADESHOWS.">{"TRADESHOWS",#N/A,FALSE,"SAMPLECC"}</definedName>
    <definedName name="wrn.TransPrcd_123.">{#N/A,#N/A,TRUE,"TransPrcd 1";#N/A,#N/A,TRUE,"TransPrcd 2";#N/A,#N/A,TRUE,"TransPrcd 3"}</definedName>
    <definedName name="wrn.trball.">{"trbcash",#N/A,FALSE,"INCPF";"trbinc",#N/A,FALSE,"INCPF";"trbchic",#N/A,FALSE,"INCPF";"trbadrev",#N/A,FALSE,"INCPF";"trbstns",#N/A,FALSE,"INCPF";"trbtvstns",#N/A,FALSE,"INCPF"}</definedName>
    <definedName name="wrn.Trended._.BS.">{"TrendLiab",#N/A,FALSE,"Balance Sheet";"TrendAssets",#N/A,FALSE,"Balance Sheet"}</definedName>
    <definedName name="wrn.Tweety.">{#N/A,#N/A,FALSE,"A&amp;E";#N/A,#N/A,FALSE,"HighTop";#N/A,#N/A,FALSE,"JG";#N/A,#N/A,FALSE,"RI";#N/A,#N/A,FALSE,"woHT";#N/A,#N/A,FALSE,"woHT&amp;JG"}</definedName>
    <definedName name="wrn.twofin.">{"bscompare",#N/A,FALSE,"Bal Sheet"}</definedName>
    <definedName name="wrn.Tycon._.Model.">{"rtn",#N/A,FALSE,"RTN";"tables",#N/A,FALSE,"RTN";"cf",#N/A,FALSE,"CF";"stats",#N/A,FALSE,"Stats";"prop",#N/A,FALSE,"Prop"}</definedName>
    <definedName name="wrn.Tycon._.Model._1">{"rtn",#N/A,FALSE,"RTN";"tables",#N/A,FALSE,"RTN";"cf",#N/A,FALSE,"CF";"stats",#N/A,FALSE,"Stats";"prop",#N/A,FALSE,"Prop"}</definedName>
    <definedName name="wrn.Typhoon.">{"Agg Output",#N/A,FALSE,"Operational Drivers Output";"NW Output",#N/A,FALSE,"Operational Drivers Output";"South Output",#N/A,FALSE,"Operational Drivers Output";"Central Output",#N/A,FALSE,"Operational Drivers Output"}</definedName>
    <definedName name="wrn.U.S.._.Industries._.Inc..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pstairs.">{"histincome",#N/A,FALSE,"hyfins";"closing balance",#N/A,FALSE,"hyfins"}</definedName>
    <definedName name="wrn.US._.Bank.">{#N/A,#N/A,TRUE,"Cover_Page";#N/A,#N/A,TRUE,"Balance Sheet FY12";#N/A,#N/A,TRUE,"Debt Covenants_US Bank_Cons";#N/A,#N/A,TRUE,"Consolidated-Cash Flow";#N/A,#N/A,TRUE,"CY_Per Inc FY12";#N/A,#N/A,TRUE,"Income FY12";#N/A,#N/A,TRUE,"Consolidated"}</definedName>
    <definedName name="wrn.VALUATION.">{#N/A,#N/A,FALSE,"Pooling";#N/A,#N/A,FALSE,"income";#N/A,#N/A,FALSE,"valuation"}</definedName>
    <definedName name="wrn.Variance._.REports.">{#N/A,#N/A,FALSE,"Summary";#N/A,#N/A,FALSE,"04E Summ";#N/A,#N/A,FALSE,"04Pvs03E Summ";#N/A,#N/A,FALSE,"03E Summ"}</definedName>
    <definedName name="wrn.VRTX.">{"Revenues",#N/A,FALSE,"Revenue";"qearn1",#N/A,FALSE,"Qearn";"qearn2",#N/A,FALSE,"Qearn";#N/A,#N/A,FALSE,"Qmargin";"cashflow",#N/A,FALSE,"Cashflow";"Product Pipeline",#N/A,FALSE,"Product Pipeline"}</definedName>
    <definedName name="wrn.Wacc.">{"Area1",#N/A,FALSE,"OREWACC";"Area2",#N/A,FALSE,"OREWACC"}</definedName>
    <definedName name="wrn.Warrant._.analysis.">{#N/A,#N/A,FALSE,"sum (2)";#N/A,#N/A,FALSE,"bs";#N/A,#N/A,FALSE,"is";#N/A,#N/A,FALSE,"cf";#N/A,#N/A,FALSE,"ltd";#N/A,#N/A,FALSE,"irr (2)"}</definedName>
    <definedName name="wrn.waternown._.budget.2004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b._.Portfolio._.Companies._.June._.2000.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stern._.Metal.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2004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OLE.">{#N/A,#N/A,FALSE,"assumptions";#N/A,#N/A,FALSE,"contrib_annual";#N/A,#N/A,FALSE,"historic";#N/A,#N/A,FALSE,"Proforma";#N/A,#N/A,FALSE,"CALENDARIZED";#N/A,#N/A,FALSE,"Has_gets";#N/A,#N/A,FALSE,"DILUTION"}</definedName>
    <definedName name="wrn.wicor.">{#N/A,#N/A,FALSE,"FACTSHEETS";#N/A,#N/A,FALSE,"pump";#N/A,#N/A,FALSE,"filter"}</definedName>
    <definedName name="wrn.WK.">{#N/A,#N/A,FALSE,"PA";#N/A,#N/A,FALSE,"PA (2)";#N/A,#N/A,FALSE,"PA (3)"}</definedName>
    <definedName name="wrn.Workpapers.">{"Cash Flow Input - Legal",#N/A,FALSE,"Sep 98";"Net Income Adj - Legal",#N/A,FALSE,"Sep 98";"Working Cap Adj - Legal",#N/A,FALSE,"Sep 98";"Equity - Legal",#N/A,FALSE,"Sep 98"}</definedName>
    <definedName name="wrn.wpoall.">{"wpocash",#N/A,FALSE,"WPOALLT";"wpoinc",#N/A,FALSE,"WPOALLT";"wpoexcl",#N/A,FALSE,"WPOALLT";"wpocable",#N/A,FALSE,"WPOALLT";"wpobroad",#N/A,FALSE,"WPOALLT";"wpopost",#N/A,FALSE,"WPOALLT";"wponwsweek",#N/A,FALSE,"WPOALLT"}</definedName>
    <definedName name="wrn.xrates.">{#N/A,#N/A,FALSE,"1996";#N/A,#N/A,FALSE,"1995";#N/A,#N/A,FALSE,"1994"}</definedName>
    <definedName name="wrn.xx.">{"sarhist",#N/A,FALSE,"Sheet2";"sarhist",#N/A,FALSE,"Sheet2"}</definedName>
    <definedName name="wrn.z_ALL.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דוח_מרכז.">{"רווח והפסד",#N/A,FALSE,"תכנית לבנק (2)";"באור_ראשון",#N/A,FALSE,"תכנית לבנק (2)";"באור_שני",#N/A,FALSE,"תכנית לבנק (2)";"מכירות",#N/A,FALSE,"SALES"}</definedName>
    <definedName name="wrn.הערות._.רבעון._.3.">{"הערות",#N/A,FALSE,"תקציב מול ביצוע (2)"}</definedName>
    <definedName name="wrn.השקעות.">{"השקעות",#N/A,FALSE,"investments";"מפעל חדש",#N/A,FALSE,"nf"}</definedName>
    <definedName name="wrn.טבלאות_עזר.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מאזן.">{"מאזן",#N/A,FALSE,"מאזן בוחן"}</definedName>
    <definedName name="wrn.מאזן_בוחן_כללי.">{#N/A,#N/A,FALSE,"מאזן בוחן";"כל_מאזן_בוחן",#N/A,FALSE,"מאזן בוחן"}</definedName>
    <definedName name="wrn.מופ.">{"באור_מופ",#N/A,FALSE,"R&amp;D";"מופ_לפי_מוצרים",#N/A,FALSE,"R&amp;D"}</definedName>
    <definedName name="wrn.סעיפי_מאזן_בוחן.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רווה.">{"רווה",#N/A,FALSE,"מאזן בוחן"}</definedName>
    <definedName name="wrn.רווה_לפי_מוצרים.">{"ossix",#N/A,FALSE,"ossix";"דרמיקול",#N/A,FALSE,"dermicol";"reflux",#N/A,FALSE,"reflux";"מופ_לפי_מוצרים",#N/A,FALSE,"R&amp;D"}</definedName>
    <definedName name="wrn.שכר_כולל.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תזרים.">{"תזרים",#N/A,FALSE,"cf"}</definedName>
    <definedName name="wrn_eva">{"EVA",#N/A,FALSE,"EVA";"WACC",#N/A,FALSE,"WACC"}</definedName>
    <definedName name="wrn1.all.">{"INCOME",#N/A,FALSE,"Metrocall";"VALUE",#N/A,FALSE,"Metrocall"}</definedName>
    <definedName name="wrn1.all.new">{"INCOME",#N/A,FALSE,"Metrocall";"VALUE",#N/A,FALSE,"Metrocall"}</definedName>
    <definedName name="wrn1.history">{#N/A,#N/A,FALSE,"model"}</definedName>
    <definedName name="wrn3.ALL.">{#N/A,#N/A,FALSE,"DCF";#N/A,#N/A,FALSE,"WACC";#N/A,#N/A,FALSE,"Sales_EBIT";#N/A,#N/A,FALSE,"Capex_Depreciation";#N/A,#N/A,FALSE,"WC";#N/A,#N/A,FALSE,"Interest";#N/A,#N/A,FALSE,"Assumptions"}</definedName>
    <definedName name="wrn3.histroic">{#N/A,#N/A,FALSE,"model"}</definedName>
    <definedName name="wrna.prod">{#N/A,#N/A,FALSE,"1";#N/A,#N/A,FALSE,"2";#N/A,#N/A,FALSE,"16 - 17";#N/A,#N/A,FALSE,"18 - 19";#N/A,#N/A,FALSE,"26";#N/A,#N/A,FALSE,"27";#N/A,#N/A,FALSE,"28"}</definedName>
    <definedName name="wrnfy97">{#N/A,#N/A,FALSE,"FY97";#N/A,#N/A,FALSE,"FY98";#N/A,#N/A,FALSE,"FY99";#N/A,#N/A,FALSE,"FY00";#N/A,#N/A,FALSE,"FY01"}</definedName>
    <definedName name="WRR">{#N/A,#N/A,FALSE,"Pharm";#N/A,#N/A,FALSE,"WWCM"}</definedName>
    <definedName name="wrrrrr">{#N/A,#N/A,FALSE,"REPORT"}</definedName>
    <definedName name="wt">{#N/A,#N/A,FALSE,"FY97";#N/A,#N/A,FALSE,"FY98";#N/A,#N/A,FALSE,"FY99";#N/A,#N/A,FALSE,"FY00";#N/A,#N/A,FALSE,"FY01"}</definedName>
    <definedName name="wv">{#N/A,#N/A,FALSE,"Pharm";#N/A,#N/A,FALSE,"WWCM"}</definedName>
    <definedName name="wvu.ALL.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.2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2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3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CapersView.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sh.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Japan_Capers_Ed_Pub.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profits.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T.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.2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2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>{#N/A,#N/A,FALSE,"INPUTS";#N/A,#N/A,FALSE,"PROFORMA BSHEET";#N/A,#N/A,FALSE,"COMBINED";#N/A,#N/A,FALSE,"ACQUIROR";#N/A,#N/A,FALSE,"TARGET 1";#N/A,#N/A,FALSE,"TARGET 2";#N/A,#N/A,FALSE,"HIGH YIELD";#N/A,#N/A,FALSE,"OVERFUND"}</definedName>
    <definedName name="ww.Rele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W">{#N/A,#N/A,FALSE,"Est97";#N/A,#N/A,FALSE,"Plan98";#N/A,#N/A,FALSE,"Graphs";#N/A,#N/A,FALSE,"5Yr"}</definedName>
    <definedName name="wx">{#N/A,#N/A,FALSE,"Pharm";#N/A,#N/A,FALSE,"WWCM"}</definedName>
    <definedName name="x">{#N/A,#N/A,FALSE,"FY97";#N/A,#N/A,FALSE,"FY98";#N/A,#N/A,FALSE,"FY99";#N/A,#N/A,FALSE,"FY00";#N/A,#N/A,FALSE,"FY01"}</definedName>
    <definedName name="xcv">{#N/A,#N/A,FALSE,"Pharm";#N/A,#N/A,FALSE,"WWCM"}</definedName>
    <definedName name="XFDG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RefColumnsCount">4</definedName>
    <definedName name="XRefCopyRangeCount">8</definedName>
    <definedName name="XRefPasteRangeCount">2</definedName>
    <definedName name="xx">{"ngcpv",#N/A,TRUE,"NGC Summary";"insum1",#N/A,TRUE,"Inputs Summary";"insum2",#N/A,TRUE,"Inputs Summary";"insum3",#N/A,TRUE,"Inputs Summary";"revsum1",#N/A,TRUE,"RevExp";"revsum2",#N/A,TRUE,"RevExp";"debtin1",#N/A,TRUE,"Debt Inputs";"debtin2",#N/A,TRUE,"Debt Inputs";"opprn1",#N/A,TRUE,"OPS";"opprn2",#N/A,TRUE,"OPS";"opprn3",#N/A,TRUE,"OPS";"deprn1",#N/A,TRUE,"DeprAlloc";"deprn2",#N/A,TRUE,"DeprAlloc";"finp1",#N/A,TRUE,"Financials";"finp2",#N/A,TRUE,"Financials";"finp3",#N/A,TRUE,"Financials";"finp4",#N/A,TRUE,"Financials";"dei12c",#N/A,TRUE,"Destec";"deip3",#N/A,TRUE,"Destec";"ddpv",#N/A,TRUE,"Drawdown"}</definedName>
    <definedName name="xxx">{"PAGE 1",#N/A,FALSE,"WEST_OT"}</definedName>
    <definedName name="xxxx">{"PAGE 1",#N/A,FALSE,"WEST_OT"}</definedName>
    <definedName name="xxxxx">{#N/A,#N/A,FALSE,"Calc";#N/A,#N/A,FALSE,"Sensitivity";#N/A,#N/A,FALSE,"LT Earn.Dil.";#N/A,#N/A,FALSE,"Dil. AVP"}</definedName>
    <definedName name="xxxxxxxx">{"var_page",#N/A,FALSE,"template"}</definedName>
    <definedName name="xyz">{#N/A,#N/A,FALSE,"OVHDSUM"}</definedName>
    <definedName name="xzf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">{#N/A,#N/A,TRUE,"Cover letter";#N/A,#N/A,TRUE,"Definitions";#N/A,#N/A,TRUE,"financial data";#N/A,#N/A,TRUE,"general data"}</definedName>
    <definedName name="YEAH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s">{"PAGE 1",#N/A,FALSE,"WEST_OT"}</definedName>
    <definedName name="ygjv">{"cap_structure",#N/A,FALSE,"Graph-Mkt Cap";"price",#N/A,FALSE,"Graph-Price";"ebit",#N/A,FALSE,"Graph-EBITDA";"ebitda",#N/A,FALSE,"Graph-EBITDA"}</definedName>
    <definedName name="yhn">{#N/A,#N/A,FALSE,"Model";#N/A,#N/A,FALSE,"Division"}</definedName>
    <definedName name="yjhgj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youh">{#N/A,#N/A,FALSE,"AD_Purchase";#N/A,#N/A,FALSE,"Credit";#N/A,#N/A,FALSE,"PF Acquisition";#N/A,#N/A,FALSE,"PF Offering"}</definedName>
    <definedName name="yrd">{"PAGE 1",#N/A,FALSE,"WEST_OT"}</definedName>
    <definedName name="yy">{"consolidated",#N/A,FALSE,"Sheet1";"cms",#N/A,FALSE,"Sheet1";"fse",#N/A,FALSE,"Sheet1"}</definedName>
    <definedName name="YYY">{#N/A,#N/A,FALSE,"Est97";#N/A,#N/A,FALSE,"Plan98";#N/A,#N/A,FALSE,"Graphs";#N/A,#N/A,FALSE,"5Yr"}</definedName>
    <definedName name="z">{"Budget V Actual YTD",#N/A,FALSE,"Budget v Actual"}</definedName>
    <definedName name="Z_6D32E220_B2B4_11D5_A6FB_00D0593767F7_.wvu.Rows">#REF!,#REF!,#REF!,#REF!,#REF!,#REF!,#REF!</definedName>
    <definedName name="Z_9118CF73_A0E0_408F_82FC_D7B84F445576_.wvu.Rows">#REF!,#REF!</definedName>
    <definedName name="Z_9A428CE1_B4D9_11D0_A8AA_0000C071AEE7_.wvu.Cols">#REF!,#REF!</definedName>
    <definedName name="Z_9A428CE1_B4D9_11D0_A8AA_0000C071AEE7_.wvu.Rows">#REF!,#REF!,#REF!,#REF!,#REF!,#REF!,#REF!,#REF!</definedName>
    <definedName name="zaCQW">{"turnover",#N/A,FALSE;"profits",#N/A,FALSE;"cash",#N/A,FALSE}</definedName>
    <definedName name="zaq">{#N/A,#N/A,FALSE,"Calc";#N/A,#N/A,FALSE,"Sensitivity";#N/A,#N/A,FALSE,"LT Earn.Dil.";#N/A,#N/A,FALSE,"Dil. AVP"}</definedName>
    <definedName name="zer">{#N/A,#N/A,FALSE,"Calc";#N/A,#N/A,FALSE,"Sensitivity";#N/A,#N/A,FALSE,"LT Earn.Dil.";#N/A,#N/A,FALSE,"Dil. AVP"}</definedName>
    <definedName name="zfzsf">{"page1",#N/A,FALSE,"BHCOMPC5";"page2",#N/A,FALSE,"BHCOMPC5";"page3",#N/A,FALSE,"BHCOMPC5";"page4",#N/A,FALSE,"BHCOMPC5"}</definedName>
    <definedName name="zhu">{#N/A,#N/A,FALSE,"REPORT"}</definedName>
    <definedName name="zhutr">{#N/A,#N/A,FALSE,"REPORT"}</definedName>
    <definedName name="ZSZ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za4pg">{#N/A,#N/A,FALSE,"REPORT"}</definedName>
    <definedName name="zzee">{#N/A,#N/A,FALSE,"Pharm";#N/A,#N/A,FALSE,"WWCM"}</definedName>
    <definedName name="ZZZ">{#N/A,#N/A,FALSE,"Est97";#N/A,#N/A,FALSE,"Plan98";#N/A,#N/A,FALSE,"Graphs";#N/A,#N/A,FALSE,"5Yr"}</definedName>
    <definedName name="zzz.com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zz">{#N/A,#N/A,FALSE,"REPORT"}</definedName>
    <definedName name="zzzzzz">{"var_page",#N/A,FALSE,"template"}</definedName>
    <definedName name="אאא">{#N/A,#N/A,FALSE,"מאזן בוחן";"כל_מאזן_בוחן",#N/A,FALSE,"מאזן בוחן"}</definedName>
    <definedName name="אאא1">{#N/A,#N/A,FALSE,"מאזן בוחן";"כל_מאזן_בוחן",#N/A,FALSE,"מאזן בוחן"}</definedName>
    <definedName name="בככ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אזן_בוחן_כללי_1">{#N/A,#N/A,FALSE,"מאזן בוחן";"כל_מאזן_בוחן",#N/A,FALSE,"מאזן בוחן"}</definedName>
    <definedName name="מאזן_בוחן_כללי1">{#N/A,#N/A,FALSE,"מאזן בוחן";"כל_מאזן_בוחן",#N/A,FALSE,"מאזן בוחן"}</definedName>
    <definedName name="סעיפי_מאזן_בוחן_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고">{#N/A,#N/A,FALSE,"REPORT"}</definedName>
    <definedName name="ㄶㅇ노ㅗㄶ호">{#N/A,#N/A,FALSE,"REPORT"}</definedName>
    <definedName name="미애">{#N/A,#N/A,FALSE,"REPORT"}</definedName>
    <definedName name="_bdm.0FBD79EB2A4043BCA5A41D9E234DC189.edm">#REF!</definedName>
    <definedName name="_bdm.332D210E2DB648878CB5D892D80652D6.edm">#REF!</definedName>
    <definedName name="_bdm.0DB20995C9854E53A792CD3FD0B868AC.edm">#REF!</definedName>
    <definedName name="Swvu.ALL.">#REF!</definedName>
    <definedName name="_bdm.997D0773D7274E3096BACC8A89539443.edm">#REF!</definedName>
    <definedName name="_bdm.93534DCDE7F84B34A15A3C2D09A84478.edm">#REF!</definedName>
    <definedName name="_6__123Graph_BCHART_3">#REF!</definedName>
    <definedName name="_12__123Graph_BCHART_3">#REF!</definedName>
    <definedName name="_bdm.2AB8234C29D94D7EAD52D60227365442.edm">#REF!</definedName>
    <definedName name="VKKVHHK">#REF!</definedName>
    <definedName name="__123Graph_CAPDSO">#REF!</definedName>
    <definedName name="_bdm.45EADCCFF62A421A95C90343F8451B7E.edm">#REF!</definedName>
    <definedName name="_bdm.C6DF74AF76C345B5A36001E8585EFAA5.edm">#REF!</definedName>
    <definedName name="ChangeRange">#REF!</definedName>
    <definedName name="_bdm.CD64EA5757A64666A9756C01B63EF22A.edm">#REF!</definedName>
    <definedName name="_bdm.DC800D995A7E4157AFF6ECA7438CBB6F.edm">#REF!</definedName>
    <definedName name="XRefPaste8Row">#REF!</definedName>
    <definedName name="XRefPaste26Row">#REF!</definedName>
    <definedName name="FDP_21_1_aDrv">#REF!</definedName>
    <definedName name="hn._I071">#REF!</definedName>
    <definedName name="ERJWEAS">#REF!</definedName>
    <definedName name="__123Graph_BNTINCMO">#REF!</definedName>
    <definedName name="BLPB32">#REF!</definedName>
    <definedName name="_bdm.3809D90D6AB1459094D5CF9363A0D3B7.edm">#REF!</definedName>
    <definedName name="BLPB31">#REF!</definedName>
    <definedName name="SAG">#REF!</definedName>
    <definedName name="_bdm.DA456E79736A4781ACAE43D8F1858BB0.edm">#REF!</definedName>
    <definedName name="_bdm.5899DA80924A4C1182E5C7D6095DD314.edm">#REF!</definedName>
    <definedName name="REWR">#REF!</definedName>
    <definedName name="_mm1">#REF!</definedName>
    <definedName name="__123Graph_XSACAS">#REF!</definedName>
    <definedName name="FDP_59_1_aUrv">#REF!</definedName>
    <definedName name="_bdm.AE50EFB30B3B42A1A2BA2B5658415FFF.edm">#REF!</definedName>
    <definedName name="__3__123Graph_ACHART_4">#REF!</definedName>
    <definedName name="_bdm.977DE76EE615477883A9CBBD77A681C2.edm">#REF!</definedName>
    <definedName name="FDP_146_1_aUrv">#REF!</definedName>
    <definedName name="_bdm.74D84D6F13154D35A410C46EA6D0D6D7.edm">#REF!</definedName>
    <definedName name="_bdm.6380020DCF3E4F1E8795C087F5D10473.edm">#REF!</definedName>
    <definedName name="__123Graph_AGRAPH1">#REF!</definedName>
    <definedName name="FDP_117_1_aUrv">#REF!</definedName>
    <definedName name="XRefCopy8">#REF!</definedName>
    <definedName name="hn._I062">#REF!</definedName>
    <definedName name="CompanyName1">#REF!</definedName>
    <definedName name="_bdm.C7EBECEE16EF4F55A5512B680D8A6106.edm">#REF!</definedName>
    <definedName localSheetId="6" name="DeleteRange">#REF!</definedName>
    <definedName name="_bdm.C37AC4F827AD41ABA71C377EC9647825.edm">#REF!</definedName>
    <definedName name="_bdm.020381284EBD4FA2B15CF496329279EF.edm">#REF!</definedName>
    <definedName name="rngPWD">#REF!</definedName>
    <definedName name="_9__123Graph_ACHART_6">#REF!</definedName>
    <definedName name="junk107">#REF!</definedName>
    <definedName name="FDP_34_1_aUrv">#REF!</definedName>
    <definedName name="FDP_124_1_aUrv">#REF!</definedName>
    <definedName name="_bdm.2F7A28C715A34E59ACD47BF4ACFF5BEC.edm">#REF!</definedName>
    <definedName name="_14__123Graph_DCHART_1">#REF!</definedName>
    <definedName name="FDP_174_1_aDrv">#REF!</definedName>
    <definedName name="ETRJE">#REF!</definedName>
    <definedName name="_bdm.E8E49C6DF7BD45AE9D28FA42F05764BF.edm">#REF!</definedName>
    <definedName name="BLPB8">#REF!</definedName>
    <definedName name="_bdm.91A9B6216FF246DE9F7390A097A5DEFD.edm">#REF!</definedName>
    <definedName name="FDP_81_1_aUrv">#REF!</definedName>
    <definedName name="_66__123Graph_XCHART_8">#REF!</definedName>
    <definedName name="IQRCapIQIDPullN23">#REF!</definedName>
    <definedName name="__123Graph_BSALESMO">#REF!</definedName>
    <definedName name="__123Graph_E">#REF!</definedName>
    <definedName name="_bdm.635BC897BE9843D6A2C05F29B3D114D3.edm">#REF!</definedName>
    <definedName name="jkhasjkhd">#REF!</definedName>
    <definedName name="_33__123Graph_FCHART_3">#REF!</definedName>
    <definedName name="_bdm.78AFE9E80B0D4AFF8C04381071A38851.edm">#REF!</definedName>
    <definedName name="DateRangeCompMain">#REF!</definedName>
    <definedName name="IQRCapIQIDPullH75">#REF!</definedName>
    <definedName name="ddfd">#REF!</definedName>
    <definedName name="_23__123Graph_LBL_ACHART_5">#REF!</definedName>
    <definedName localSheetId="6" name="CreateTable">#REF!</definedName>
    <definedName name="BLPH12">#REF!</definedName>
    <definedName name="_bdm.DBBDCCA241AB4CDBA0A2926762898DB0.edm">#REF!</definedName>
    <definedName name="_11__123Graph_CCHART_1">#REF!</definedName>
    <definedName name="__123Graph_XSALESTREND">#REF!</definedName>
    <definedName name="dfsa">#REF!</definedName>
    <definedName name="FDP_50_1_aUrv">#REF!</definedName>
    <definedName name="_bdm.5F552BAA91B545D7B75B3C6EB3136853.edm">#REF!</definedName>
    <definedName name="DSHiddenYear4">#REF!</definedName>
    <definedName name="BLPH57">#REF!</definedName>
    <definedName name="IQRPeerGroupMAAI61">#REF!</definedName>
    <definedName name="solver_lhs7">#REF!</definedName>
    <definedName name="DATA_06">#REF!</definedName>
    <definedName name="IQRCapIQIDPullH32">#REF!</definedName>
    <definedName name="__123Graph_COPNETGRA">#REF!</definedName>
    <definedName name="BLPH8">#REF!</definedName>
    <definedName name="BLPB71">#REF!</definedName>
    <definedName name="_bdm.79080FA8B1DB44C2BDDC6DA897E8B8FB.edm">#REF!</definedName>
    <definedName localSheetId="12" name="MerrillPrintIt">#REF!</definedName>
    <definedName name="Note">#REF!</definedName>
    <definedName name="_bdm.1E0AB042559A4328BFFF48F1082C9870.edm">#REF!</definedName>
    <definedName name="FDP_11_1_aDrv">#REF!</definedName>
    <definedName name="_bdm.ACD1318250C646278A1B8793AA30831A.edm">#REF!</definedName>
    <definedName name="_bdm.65A096E432FC43AD868EC1545AD140BD.edm">#REF!</definedName>
    <definedName name="_bdm.9BB88B99999244E8AFD51A5DA182BAD2.edm">#REF!</definedName>
    <definedName name="YAxisMin">#REF!</definedName>
    <definedName name="_bdm.BDA80911910C4026B63FC6D213F4306C.edm">#REF!</definedName>
    <definedName name="IQRPublicTradingMultiplesC10">#REF!</definedName>
    <definedName name="IQRPeerGroupMAQ61">#REF!</definedName>
    <definedName name="_bdm.5ED84A6FDDF74A13984CF836AC2B61A9.edm">#REF!</definedName>
    <definedName name="_bdm.074EB0C6AAE811D6B66B0010A4863BD8.edm">#REF!</definedName>
    <definedName name="_bdm.A8E3766A1B2B4EA9AEAFFC1FD6183D2A.edm">#REF!</definedName>
    <definedName name="_s5">#REF!</definedName>
    <definedName name="_bdm.B504EC076CD2407CAECA180FE1447EB2.edm">#REF!</definedName>
    <definedName name="DSIndHiddenYear4">#REF!</definedName>
    <definedName name="_s4">#REF!</definedName>
    <definedName name="_bdm.1E69A5B39DAA4B89A92B65DED2FD16F4.edm">#REF!</definedName>
    <definedName name="FDP_86_1_aSrv">#REF!</definedName>
    <definedName localSheetId="10" name="MerrillPrintIt">#REF!</definedName>
    <definedName name="ttt">#REF!</definedName>
    <definedName name="NCapLease">#REF!</definedName>
    <definedName name="WTWEWETWETWETWET">#REF!</definedName>
    <definedName name="ExRate_Yr4">#REF!</definedName>
    <definedName name="DZ.IndSpec_Left">#REF!</definedName>
    <definedName name="IQRCapIQIDPullH16">#REF!</definedName>
    <definedName name="_bdm.8FF3BF171E2349979CB11B4E3239B0E3.edm">#REF!</definedName>
    <definedName name="_bdm.05AD755AE1B644BCB6FF7AF6D6C94EE7.edm">#REF!</definedName>
    <definedName name="_bdm.8B6A3F9B66334120804DB28EE2982DEA.edm">#REF!</definedName>
    <definedName name="_bdm.5E2A3741D33144D78F20B635D578857E.edm">#REF!</definedName>
    <definedName name="_bdm.A9B7A2454E0149F8A41C141A8FE2B3FD.edm">#REF!</definedName>
    <definedName name="XRefCopy2">#REF!</definedName>
    <definedName name="_bdm.72934129B329455ABD5822AD0C713752.edm">#REF!</definedName>
    <definedName name="FDP_126_1_aUrv">#REF!</definedName>
    <definedName name="IQRCapIQIDPullN16">#REF!</definedName>
    <definedName name="FDP_63_1_aUrv">#REF!</definedName>
    <definedName name="solver_lhs5">#REF!</definedName>
    <definedName name="BLPH96">#REF!</definedName>
    <definedName name="kdjsasdfasdfajks">#REF!</definedName>
    <definedName name="_bdm.02652F2045C946998E2E629F85FE5CD4.edm">#REF!</definedName>
    <definedName name="_bdm.308EA4E3F819487DA935FAE0F95D991B.edm">#REF!</definedName>
    <definedName name="_bdm.1947C269431F4D57A54F6F32CE0C09F6.edm">#REF!</definedName>
    <definedName name="XZX">#REF!</definedName>
    <definedName name="_Actual_for_2004_Measure">#REF!</definedName>
    <definedName name="_bdm.0B50767A95D5414BAE0BA687F7B2A086.edm">#REF!</definedName>
    <definedName name="ml">#REF!</definedName>
    <definedName name="_pcSlicerSheet2_Slicer2">#REF!</definedName>
    <definedName name="_bdm.6543244057494E7FB7DC05E459CCCDF8.edm">#REF!</definedName>
    <definedName name="Taxpb">#REF!</definedName>
    <definedName name="_Table2_In2">#REF!</definedName>
    <definedName name="Stub_Header2">#REF!</definedName>
    <definedName name="_mm3">#REF!</definedName>
    <definedName localSheetId="1" name="DeleteRange">#REF!</definedName>
    <definedName name="ACwvu.KJP_CC.">#REF!</definedName>
    <definedName name="__123Graph_AANIDRO">#REF!</definedName>
    <definedName name="_bdm.A7DD30D910CB4CFBADF15377C889C8EE.edm">#REF!</definedName>
    <definedName name="BLPB26">#REF!</definedName>
    <definedName name="_51__123Graph_LBL_BCHART_4">#REF!</definedName>
    <definedName name="_5__123Graph_ACHART_4">#REF!</definedName>
    <definedName name="_bdm.FB8D8AB244B64BB9B4F5F5A4C5205085.edm">#REF!</definedName>
    <definedName name="IQRSheet1G7">#REF!</definedName>
    <definedName name="__123Graph_AGRAPH2">#REF!</definedName>
    <definedName name="_bdm.8D1848696CCC4472B9D72219F515442F.edm">#REF!</definedName>
    <definedName name="FDP_187_1_aUdv">#REF!</definedName>
    <definedName name="_bdm.72E85C467477469DA54600FABA32AC9A.edm">#REF!</definedName>
    <definedName name="_bdm.4C93A0AB83254B778B15DDFC78CB40B4.edm">#REF!</definedName>
    <definedName name="solver_rhs6">#REF!</definedName>
    <definedName name="_bdm.21076A8F218347E1A22B4777942C9DE8.edm">#REF!</definedName>
    <definedName name="BLPH54">#REF!</definedName>
    <definedName name="IQRCapIQIDPullN17">#REF!</definedName>
    <definedName name="_bdm.E6FDFD2D8FEB434083F8655016212492.edm">#REF!</definedName>
    <definedName name="_10__123Graph_BCHART_8">#REF!</definedName>
    <definedName name="XRefPaste35Row">#REF!</definedName>
    <definedName name="mike">#REF!</definedName>
    <definedName name="_pcSlicerSheet11_Slicer1">#REF!</definedName>
    <definedName name="_bdm.A1189DBD73734B6AB6932B6F2CBECC68.edm">#REF!</definedName>
    <definedName name="FDP_154_1_aUrv">#REF!</definedName>
    <definedName name="BLPB37">#REF!</definedName>
    <definedName name="_FIll2">#REF!</definedName>
    <definedName localSheetId="1" name="CreateTable">#REF!</definedName>
    <definedName name="esf">#REF!</definedName>
    <definedName name="_bdm.70144F2FA49F4CD09CAD94C7CEE88DDB.edm">#REF!</definedName>
    <definedName name="_33__123Graph_XChart_4">#REF!</definedName>
    <definedName name="BLPB3">#REF!</definedName>
    <definedName name="_7__123Graph_BCHART_1">#REF!</definedName>
    <definedName name="XRefPaste21Row">#REF!</definedName>
    <definedName localSheetId="3" name="MerrillPrintIt">#REF!</definedName>
    <definedName name="BLPH55">#REF!</definedName>
    <definedName name="_bdm.C369FE745F514F6091E15AC591DEAB2E.edm">#REF!</definedName>
    <definedName name="_bdm.A852CDBA55C94BB49B9292C47B481E06.edm">#REF!</definedName>
    <definedName name="_bdm.dc26b42d597c4e33b15d74b5cb12d37a.edm">#REF!</definedName>
    <definedName name="_27__123Graph_DCHART_3">#REF!</definedName>
    <definedName name="_6__123Graph_ACHART_2">#REF!</definedName>
    <definedName name="_bdm.02ED01FCE88A4C0F837293428B18554E.edm">#REF!</definedName>
    <definedName name="__123Graph_LBL_D">#REF!</definedName>
    <definedName name="tempp">#REF!</definedName>
    <definedName name="__123Graph_AOPNETGRA">#REF!</definedName>
    <definedName name="NInvestFVCY">#REF!</definedName>
    <definedName name="IQRPeerGroupMAY61">#REF!</definedName>
    <definedName name="rngStoredProcedure">#REF!</definedName>
    <definedName name="XRefCopy9">#REF!</definedName>
    <definedName name="ERTYY">#REF!</definedName>
    <definedName name="hn.FromMain4">#REF!</definedName>
    <definedName name="_bdm.A00643E6A705476084A5F584F5934ED2.edm">#REF!</definedName>
    <definedName name="IQB_BOOKMARK_LOCATION_1">#REF!</definedName>
    <definedName name="temppppp">#REF!</definedName>
    <definedName name="IQRDataSheetDP14">#REF!</definedName>
    <definedName name="_bdm.404C5BF0DDC24CFF8EF63A0BF89C6993.edm">#REF!</definedName>
    <definedName name="BNE_MESSAGES_HIDDEN">#REF!</definedName>
    <definedName name="Bob">#REF!</definedName>
    <definedName name="BLPB1">#REF!</definedName>
    <definedName name="solver_lhs2">#REF!</definedName>
    <definedName name="_bdm.AF462FD92A954B7B8B38891685DCD1AF.edm">#REF!</definedName>
    <definedName name="IQRCapIQIDPullN45">#REF!</definedName>
    <definedName name="_bdm.BB669183FA794AD6844DAEFC5D5675B8.edm">#REF!</definedName>
    <definedName name="CIQANR_7ec3cec2eabd42fc9322934f3f69d669">#REF!</definedName>
    <definedName name="_bdm.411237EA1E4948B09C45B377B4294C27.edm">#REF!</definedName>
    <definedName name="Cwvu.CapersView.">#REF!</definedName>
    <definedName name="_bdm.3E9C7A1FEC5947968F815112890F9211.edm">#REF!</definedName>
    <definedName name="_bdm.298A5F8B64B9430DBAA63A1F768B0EAE.edm">#REF!</definedName>
    <definedName name="Database.File">#REF!</definedName>
    <definedName name="_bdm.A1C2283F55E445F4B852F9A326BF8D5D.edm">#REF!</definedName>
    <definedName name="FDP_62_1_aUrv">#REF!</definedName>
    <definedName name="Gridlines">#REF!</definedName>
    <definedName name="IQRCapIQIDPullN61">#REF!</definedName>
    <definedName name="_15__123Graph_LBL_ACHART_4">#REF!</definedName>
    <definedName name="_bdm.B9B75D2E33A345B893E65C6068329B34.edm">#REF!</definedName>
    <definedName name="Z_9118CF73_A0E0_408F_82FC_D7B84F445576_.wvu.PrintArea">#REF!</definedName>
    <definedName name="__16__123Graph_LBL_BCHART_3">#REF!</definedName>
    <definedName name="p.Covenants">#REF!</definedName>
    <definedName name="DSIndHistHiddenYear1">#REF!</definedName>
    <definedName name="_26__123Graph_D_Chart_1A">#REF!</definedName>
    <definedName name="_bdm.740B54656D9D45B09E13C2C5913CB5A3.edm">#REF!</definedName>
    <definedName localSheetId="7" name="Sales">#REF!</definedName>
    <definedName name="IQRCapIQIDPullN27">#REF!</definedName>
    <definedName name="_bdm.460E72BAA5164D9881D410AC15BE8B42.edm">#REF!</definedName>
    <definedName name="FDP_29_1_aUrv">#REF!</definedName>
    <definedName name="FDP_120_1_aUrv">#REF!</definedName>
    <definedName name="_bdm.EFA9AF35FC7D43C589669C950F56E80C.edm">#REF!</definedName>
    <definedName name="BLPH89">#REF!</definedName>
    <definedName name="HGDF">#REF!</definedName>
    <definedName name="_bdm.846E67F585EE4A99BEB90DAF644281FF.edm">#REF!</definedName>
    <definedName name="IQRPeerGroupMAI61">#REF!</definedName>
    <definedName name="FDP_96_1_aUrv">#REF!</definedName>
    <definedName name="IQRDataSheetDP49">#REF!</definedName>
    <definedName name="IQRPeerGroupMAH61">#REF!</definedName>
    <definedName name="_bdm.6757656113bb402f8aedebb4a84ea85c.edm">#REF!</definedName>
    <definedName name="BLPB43">#REF!</definedName>
    <definedName name="Stub_Header3">#REF!</definedName>
    <definedName name="_bdm.5DBB14AA8B534769A9173AB46C4C8DAB.edm">#REF!</definedName>
    <definedName name="__14__123Graph_LBL_ACHART_3">#REF!</definedName>
    <definedName name="ef">#REF!</definedName>
    <definedName name="XRefCopy12">#REF!</definedName>
    <definedName name="_bdm.1B666951DC9941F2A5DBE572DA611E79.edm">#REF!</definedName>
    <definedName name="_bdm.860D46D5746E4B04AAA16BB5C9974A1A.edm">#REF!</definedName>
    <definedName name="_bdm.F39A5BDBAD4D49E6BE5092309A5B163A.edm">#REF!</definedName>
    <definedName name="FDP_27_1_aDrv">#REF!</definedName>
    <definedName localSheetId="7" name="ContentsHelp">#REF!</definedName>
    <definedName name="solver_lhs9">#REF!</definedName>
    <definedName name="hn._P021">#REF!</definedName>
    <definedName name="_bdm.11506455E7DE4EE0BD7A39469CBC264B.edm">#REF!</definedName>
    <definedName name="sortnew">#REF!</definedName>
    <definedName name="p.LTM_BS">#REF!</definedName>
    <definedName name="BLPH112">#REF!</definedName>
    <definedName name="IQRPeerGroupMAD61">#REF!</definedName>
    <definedName name="IQRDataSheetDP38">#REF!</definedName>
    <definedName name="JJZK">#REF!</definedName>
    <definedName name="FDP_38_1_aUrv">#REF!</definedName>
    <definedName name="IQRCapIQIDPullH28">#REF!</definedName>
    <definedName name="_bdm.3F560B14FEF541A68AA8C11E396DF8B6.edm">#REF!</definedName>
    <definedName name="XRefPaste15Row">#REF!</definedName>
    <definedName name="_bdm.6D616DD3E3B04BC88CD244C1D767D326.edm">#REF!</definedName>
    <definedName name="hn._P024">#REF!</definedName>
    <definedName name="_24__123Graph_XCHART_3">#REF!</definedName>
    <definedName name="CreditStats">#REF!</definedName>
    <definedName name="IQRCapIQIDPullH14">#REF!</definedName>
    <definedName name="_bdm.528343931B2C434796C1CBD0B9B37AD4.edm">#REF!</definedName>
    <definedName name="BLPB2">#REF!</definedName>
    <definedName name="hn._I059">#REF!</definedName>
    <definedName localSheetId="1" name="RedefinePrintTableRange">#REF!</definedName>
    <definedName name="__123Graph_CEURDSO">#REF!</definedName>
    <definedName name="_bdm.ACE5D4193D3F4447AFC1C813980EFA99.edm">#REF!</definedName>
    <definedName name="BLPB22">#REF!</definedName>
    <definedName name="XRefPaste11Row">#REF!</definedName>
    <definedName name="FDP_184_1_aUdv">#REF!</definedName>
    <definedName name="IQRCapIQIDPullN57">#REF!</definedName>
    <definedName name="_bdm.9A96A80E039F407A9B76BADFF53BDFEF.edm">#REF!</definedName>
    <definedName name="XREF_COLUMN_5">#REF!</definedName>
    <definedName name="_bdm.E9CCAE8596D9481D837EE0C15EE6195E.edm">#REF!</definedName>
    <definedName name="_bdm.95285EC446A34A5B8C69CB60FB4BFECF.edm">#REF!</definedName>
    <definedName name="_12__123Graph_CCHART_3">#REF!</definedName>
    <definedName name="BLPB4">#REF!</definedName>
    <definedName name="_bdm.7F3A9061895447DB9058180F98AECD45.edm">#REF!</definedName>
    <definedName name="BLPB20">#REF!</definedName>
    <definedName name="fill2">#REF!</definedName>
    <definedName name="ZXX">#REF!</definedName>
    <definedName name="_pcSlicerSheet2_Slicer1">#REF!</definedName>
    <definedName localSheetId="6" name="DeleteTable">#REF!</definedName>
    <definedName name="__123Graph_LBL_ASALESTREND">#REF!</definedName>
    <definedName name="_45__123Graph_LBL_ACHART_4">#REF!</definedName>
    <definedName name="TT_bdm">#REF!</definedName>
    <definedName name="_bdm.F49180971557492BB2EEC0FAEC8337E5.edm">#REF!</definedName>
    <definedName name="BLPH13">#REF!</definedName>
    <definedName name="XRefPaste17Row">#REF!</definedName>
    <definedName name="FDP_182_1_aDrv">#REF!</definedName>
    <definedName name="FDP_188_1_aUdv">#REF!</definedName>
    <definedName name="_bdm.C3F21CE8BDDD423AA1D66D034871EC24.edm">#REF!</definedName>
    <definedName name="_bdm.7F9D65EB4F634FE386D841548C4F6662.edm">#REF!</definedName>
    <definedName localSheetId="8" name="CreateTable">#REF!</definedName>
    <definedName name="_pcSlicerSheet5_Slicer2">#REF!</definedName>
    <definedName name="FDP_105_1_aUrv">#REF!</definedName>
    <definedName name="_1__123Graph_CCHART_12">#REF!</definedName>
    <definedName name="BLPB106">#REF!</definedName>
    <definedName name="IQRPeerGroupMAAB61">#REF!</definedName>
    <definedName name="__9__123Graph_CCHART_1">#REF!</definedName>
    <definedName name="_bdm.03DD44CFD1924D08A0423EAA2E13F1AB.edm">#REF!</definedName>
    <definedName name="hn._I051">#REF!</definedName>
    <definedName name="_bdm.0A1096B9741A43259E65FECD5FBD0787.edm">#REF!</definedName>
    <definedName name="BLPH5">#REF!</definedName>
    <definedName name="__123Graph_CSALES">#REF!</definedName>
    <definedName name="FDP_85_1_aUrv">#REF!</definedName>
    <definedName name="_42__123Graph_XCHART_4">#REF!</definedName>
    <definedName name="_bdm.F496CE46C0A745C69FA158B999972483.edm">#REF!</definedName>
    <definedName name="XRefCopy16Row">#REF!</definedName>
    <definedName name="IQRCapIQIDPullN14">#REF!</definedName>
    <definedName name="CIQANR_207fc91a7fb04bc5a8ac1a153c013724">#REF!</definedName>
    <definedName name="FDP_23_1_aDrv">#REF!</definedName>
    <definedName name="_Table1_In1">#REF!</definedName>
    <definedName name="_bdm.DBED0FF28B7F46BF836FE32D4DE46B03.edm">#REF!</definedName>
    <definedName name="__123Graph_DCANDSO">#REF!</definedName>
    <definedName name="__5__123Graph_BCHART_1">#REF!</definedName>
    <definedName name="junk">#REF!</definedName>
    <definedName name="FDP_133_1_aUrv">#REF!</definedName>
    <definedName name="__123Graph_BSAPIP">#REF!</definedName>
    <definedName name="IQRCapIQIDPullH54">#REF!</definedName>
    <definedName name="LastStartDate">#REF!</definedName>
    <definedName name="_bdm.7EA75D0FD727457B9DBD4029392A3988.edm">#REF!</definedName>
    <definedName name="vsd">#REF!</definedName>
    <definedName name="_bdm.23082D1FC4EF49E5A5D905CC341790E5.edm">#REF!</definedName>
    <definedName name="_bdm.53BCFD0C5D4F4E6590CA00E6450B32CB.edm">#REF!</definedName>
    <definedName name="ltm_IncomeStatement">#REF!</definedName>
    <definedName name="fgg">#REF!</definedName>
    <definedName name="_Sort">#REF!</definedName>
    <definedName localSheetId="8" name="RedefinePrintTableRange">#REF!</definedName>
    <definedName name="__123Graph_AHIDRATADO">#REF!</definedName>
    <definedName name="__123Graph_BAPPIP">#REF!</definedName>
    <definedName name="IQRSheet1E2646">#REF!</definedName>
    <definedName name="RRR">#REF!</definedName>
    <definedName name="FDP_52_1_aSrv">#REF!</definedName>
    <definedName name="FDP_183_1_aDrv">#REF!</definedName>
    <definedName name="DivFpb">#REF!</definedName>
    <definedName name="dvsdvef">#REF!</definedName>
    <definedName name="__123Graph_CGRAPH1">#REF!</definedName>
    <definedName name="_bdm.80B23A37468B40B3894A27D4E20E72C4.edm">#REF!</definedName>
    <definedName name="_11__123Graph_ACHART_8">#REF!</definedName>
    <definedName name="cma">#REF!</definedName>
    <definedName name="_bdm.FC80B04A028648D385C0769FFFEBE276.edm">#REF!</definedName>
    <definedName name="IQRStockPriceChartB13">#REF!</definedName>
    <definedName name="FDP_202_1_aDdv">#REF!</definedName>
    <definedName name="IQRDataSheetDP44">#REF!</definedName>
    <definedName name="_bdm.44A7AFE455524A5AA4C0051144171E10.edm">#REF!</definedName>
    <definedName name="_bdm.C3E13177535448438E150830D06FAD0D.edm">#REF!</definedName>
    <definedName name="_bdm.3C1CC0821C2A4BC6BE4DCBB1A037BCFE.edm">#REF!</definedName>
    <definedName name="_bdm.25ACB1A7FD5645B09002826B654D5938.edm">#REF!</definedName>
    <definedName name="LastEndDate">#REF!</definedName>
    <definedName name="BLPB9">#REF!</definedName>
    <definedName name="_bdm.744511281D1F486D82248BE59E6E2295.edm">#REF!</definedName>
    <definedName name="BLPH60">#REF!</definedName>
    <definedName name="_bdm.6C9AD2AC67A84208A8CA59D3DE1915B0.edm">#REF!</definedName>
    <definedName name="BLPH84">#REF!</definedName>
    <definedName name="_21__123Graph_LBL_ACHART_1">#REF!</definedName>
    <definedName name="IQRCapIQIDPullN83">#REF!</definedName>
    <definedName localSheetId="12" name="RedefinePrintTableRange">#REF!</definedName>
    <definedName name="_bdm.7ADB198E0E4A4666B940CD69BA2D0A9E.edm">#REF!</definedName>
    <definedName name="hn._I028">#REF!</definedName>
    <definedName name="_bdm.73C1AA7E756346319E5E8F596A6887AA.edm">#REF!</definedName>
    <definedName name="FDP_118_1_aUrv">#REF!</definedName>
    <definedName name="_bdm.F4912DB540554E3D95FCFB40424CA502.edm">#REF!</definedName>
    <definedName name="DATA_05">#REF!</definedName>
    <definedName name="IQRPeerGroupMAM61">#REF!</definedName>
    <definedName name="Z_9A428CE1_B4D9_11D0_A8AA_0000C071AEE7_.wvu.PrintArea">#REF!</definedName>
    <definedName name="_bdm.1A2BF69EB12541B695DDE8713805365B.edm">#REF!</definedName>
    <definedName name="_bdm.52D23C8E86DA4633900C28DC8A160897.edm">#REF!</definedName>
    <definedName name="_bdm.8087E9509BB547ACA7CD1DC3EEB6AE2A.edm">#REF!</definedName>
    <definedName name="_bdm.994160C5841248FC97422355A618AF07.edm">#REF!</definedName>
    <definedName name="IQRDataSheetDP34">#REF!</definedName>
    <definedName name="IQRSheet1C7">#REF!</definedName>
    <definedName name="_17__123Graph_LBL_BCHART_4">#REF!</definedName>
    <definedName name="BLPB38">#REF!</definedName>
    <definedName name="_25__123Graph_XCHART_4">#REF!</definedName>
    <definedName name="solver_lhs10">#REF!</definedName>
    <definedName name="_bdm.E1837D3312514FD98F4C33975864BCF8.edm">#REF!</definedName>
    <definedName name="XRefCopy17Row">#REF!</definedName>
    <definedName name="_17_0_0Cwvu.GREY_A">#REF!</definedName>
    <definedName name="__123Graph_LBL_C">#REF!</definedName>
    <definedName name="__21__123Graph_XCHART_4">#REF!</definedName>
    <definedName name="TRZL">#REF!</definedName>
    <definedName name="_bdm.17BAB2A5729141439AABF03E16D9D219.edm">#REF!</definedName>
    <definedName name="BLPH1">#REF!</definedName>
    <definedName name="_36__123Graph_XCHART_1">#REF!</definedName>
    <definedName name="_bdm.8E84CAABAB7A4B8C884E144EE1881604.edm">#REF!</definedName>
    <definedName name="FDP_43_1_aUrv">#REF!</definedName>
    <definedName name="_22__123Graph_AChart_5">#REF!</definedName>
    <definedName name="ZKZLL">#REF!</definedName>
    <definedName name="IQRCurrentCompsO6">#REF!</definedName>
    <definedName name="_bdm.77CA350A03D2489DBB902CDB2CC7E9F3.edm">#REF!</definedName>
    <definedName name="_bdm.10C7BD106DB14367B2A66079B7A7E9EA.edm">#REF!</definedName>
    <definedName name="FDP_116_1_aUrv">#REF!</definedName>
    <definedName name="_bdm.CF26F181CFB149089A150B6E9984E88F.edm">#REF!</definedName>
    <definedName name="_bdm.0DA59F0DBB3D4768A7821788B27B6497.edm">#REF!</definedName>
    <definedName name="IQRCapIQIDPullH46">#REF!</definedName>
    <definedName name="_bdm.9CCCBD048AD84D48BA0F9D3A84928913.edm">#REF!</definedName>
    <definedName name="_bdm.3F09A6E7DEF141D394A2053F30614CE4.edm">#REF!</definedName>
    <definedName name="_bdm.E8301848F17C48DDAEB62324BFFB9792.edm">#REF!</definedName>
    <definedName name="_bdm.CA2B34821C524FC8842C506A7BF0F92E.edm">#REF!</definedName>
    <definedName name="_36__123Graph_LBL_CCHART_3">#REF!</definedName>
    <definedName name="FDP_194_1_aUdv">#REF!</definedName>
    <definedName name="_bdm.1571D4A9C4694368843C2F721BA7644E.edm">#REF!</definedName>
    <definedName name="FDP_155_1_aSrv">#REF!</definedName>
    <definedName name="BLPB89">#REF!</definedName>
    <definedName name="_bdm.BE7B84AAC50542C7A8BCDCCD2EDFACF3.edm">#REF!</definedName>
    <definedName name="FDP_177_1_aDrv">#REF!</definedName>
    <definedName name="IQRDataSheetDP43">#REF!</definedName>
    <definedName name="AWER">#REF!</definedName>
    <definedName name="_20__123Graph_LBL_BCHART_4">#REF!</definedName>
    <definedName name="_bdm.71CFBF43E6884A81856572108D06B66F.edm">#REF!</definedName>
    <definedName name="FDP_53_1_aUrv">#REF!</definedName>
    <definedName name="_bdm.DB4675DE840C40549DB02FFA7A37A90B.edm">#REF!</definedName>
    <definedName name="IQRPeerGroupMAZ61">#REF!</definedName>
    <definedName name="_6__123Graph_BCHART_1">#REF!</definedName>
    <definedName name="Blank3">#REF!</definedName>
    <definedName name="_bdm.C5DF5D8429054AF8BB36B6050ADD20A6.edm">#REF!</definedName>
    <definedName name="rngDialogType">#REF!</definedName>
    <definedName name="XRefCopy15Row">#REF!</definedName>
    <definedName name="_bdm.206C2D94AA3711D6B64A0010A494EFA8.edm">#REF!</definedName>
    <definedName name="IQRCapIQIDPullH35">#REF!</definedName>
    <definedName name="_42__123Graph_LBL_ACHART_3">#REF!</definedName>
    <definedName name="_bdm.E2011F0CC5414D128E867DA4F842AC36.edm">#REF!</definedName>
    <definedName localSheetId="10" name="ChangeRange">#REF!</definedName>
    <definedName name="_bdm.874D473845384134872618403C31B1CF.edm">#REF!</definedName>
    <definedName name="BLPB19">#REF!</definedName>
    <definedName name="CIQANR_a9d2f4b95ad94c2a9e17ff8889302769">#REF!</definedName>
    <definedName name="_18__123Graph_CCHART_2">#REF!</definedName>
    <definedName name="Cwvu.Japan_Capers_Ed_Pub.">#REF!</definedName>
    <definedName name="_bdm.D9E6F7E2FBDB4FF6A6D632BFBE3A1A0F.edm">#REF!</definedName>
    <definedName name="_24__123Graph_B_Chart_1A">#REF!</definedName>
    <definedName name="IQRPeerGroupMAAA61">#REF!</definedName>
    <definedName name="IQRCapIQIDPullH51">#REF!</definedName>
    <definedName name="FDP_102_1_aUrv">#REF!</definedName>
    <definedName name="_bdm.e822ce02f4354460800cec2782d0d508.edm">#REF!</definedName>
    <definedName name="BLPB74">#REF!</definedName>
    <definedName name="_13__123Graph_CCHART_8">#REF!</definedName>
    <definedName name="_s1">#REF!</definedName>
    <definedName name="_bdm.9D4509913E354D95983F285763A51F4E.edm">#REF!</definedName>
    <definedName name="_bdm.46AA3F6DE83349389FBD4CE0CAEFF29B.edm">#REF!</definedName>
    <definedName name="_bdm.9430A34B85B64251B77A8AAED9A8C014.edm">#REF!</definedName>
    <definedName name="TTTTTTTTT">#REF!</definedName>
    <definedName name="BLPB65">#REF!</definedName>
    <definedName name="_bdm.9BD899F281E749FDADCE93768ECC63B3.edm">#REF!</definedName>
    <definedName name="FDP_204_1_aUrv">#REF!</definedName>
    <definedName name="_bdm.454608BE810744269D4F8DD0CC567BCC.edm">#REF!</definedName>
    <definedName name="_bdm.EE4A65FC78A44935BFD229A5892D3F4A.edm">#REF!</definedName>
    <definedName name="_Budget_for_Measure">#REF!</definedName>
    <definedName name="FDP_158_1_aUrv">#REF!</definedName>
    <definedName name="_9__123Graph_BCHART_1">#REF!</definedName>
    <definedName name="ExRateLTM_Yr1">#REF!</definedName>
    <definedName name="_bdm.57375F6F1A8349BDB8D9EA77DC2DF440.edm">#REF!</definedName>
    <definedName name="FDP_123_1_aUrv">#REF!</definedName>
    <definedName name="_7__123Graph_BCHART_4">#REF!</definedName>
    <definedName name="_bdm.8D001EFA365C40EBA3BD37464EBE3009.edm">#REF!</definedName>
    <definedName name="IQRSheet1D7">#REF!</definedName>
    <definedName name="_bdm.FA5EADE9F91745999510034EC433119A.edm">#REF!</definedName>
    <definedName name="VNV">#REF!</definedName>
    <definedName name="FDP_17_1_aUrv">#REF!</definedName>
    <definedName name="FDP_160_1_aUrv">#REF!</definedName>
    <definedName name="ACwvu.CapersView.">#REF!</definedName>
    <definedName name="BLPB56">#REF!</definedName>
    <definedName name="_8__123Graph_BCHART_8">#REF!</definedName>
    <definedName name="_bdm.83444DA71B124E30BDFC416C3C835D58.edm">#REF!</definedName>
    <definedName name="_bdm.FF2819E156E940D3B9AA6C8BD4B8283E.edm">#REF!</definedName>
    <definedName name="RRRRRR">#REF!</definedName>
    <definedName name="tttttttttt">#REF!</definedName>
    <definedName name="GEN">#REF!</definedName>
    <definedName name="sjfg">#REF!</definedName>
    <definedName name="rngProtected">#REF!</definedName>
    <definedName name="XRefPaste12Row">#REF!</definedName>
    <definedName name="_bdm.CBFB8A1EAADB4C03967C11F4944256E4.edm">#REF!</definedName>
    <definedName name="_Table2_Out">#REF!</definedName>
    <definedName name="__123Graph_XHIALCOOL">#REF!</definedName>
    <definedName name="LotusGraphChart1">#REF!</definedName>
    <definedName name="_bdm.B70DF1CA325F4835B262185E36EFBCE5.edm">#REF!</definedName>
    <definedName name="IsSecureSenior7">#REF!</definedName>
    <definedName name="_20__123Graph_AChart_3">#REF!</definedName>
    <definedName name="_bdm.B7E7C50F3DAA4F209FDC7EAC95768391.edm">#REF!</definedName>
    <definedName name="FDP_162_1_aUrv">#REF!</definedName>
    <definedName name="_bdm.028CC6519D43470B92AA1057669099E5.edm">#REF!</definedName>
    <definedName name="_bdm.40BA8CFF98B84DB1BE0E23DBB5005A4E.edm">#REF!</definedName>
    <definedName name="FDP_161_1_aSrv">#REF!</definedName>
    <definedName name="_bdm.C25894AE57854EF199FBC0310D46BF18.edm">#REF!</definedName>
    <definedName name="Key1V2">#REF!</definedName>
    <definedName name="BLPB63">#REF!</definedName>
    <definedName name="IQRCapIQIDPullN38">#REF!</definedName>
    <definedName name="__123Graph_CGRAPH2">#REF!</definedName>
    <definedName name="DZ.LTM">#REF!</definedName>
    <definedName name="_bdm.026E96BF4F9D49419E9B13FFEFAC8DE8.edm">#REF!</definedName>
    <definedName name="_bdm.05B7D36D80CB4713BF37422E1B079E9C.edm">#REF!</definedName>
    <definedName name="_bdm.B368E7FD7E85416DA2815D46A8D98C9E.edm">#REF!</definedName>
    <definedName name="IQRCapIQIDPullN72">#REF!</definedName>
    <definedName name="FDP_136_1_aSrv">#REF!</definedName>
    <definedName name="BLPB5">#REF!</definedName>
    <definedName name="CCVHKVHKVHKVHKVHKCVHKC">#REF!</definedName>
    <definedName name="_bdm.7ABDAB9DEE104EC69DB66AABDE154025.edm">#REF!</definedName>
    <definedName name="FDP_56_1_aUrv">#REF!</definedName>
    <definedName name="XRefCopy13Row">#REF!</definedName>
    <definedName name="_bdm.7D32BE19AC494B549B6C3D157F92E7BC.edm">#REF!</definedName>
    <definedName name="FDP_65_1_aSrv">#REF!</definedName>
    <definedName name="_bdm.649B937CA2CE47C0825D713FBE81C25E.edm">#REF!</definedName>
    <definedName name="__123Graph_BEXPPIP">#REF!</definedName>
    <definedName localSheetId="1" name="DeleteTable">#REF!</definedName>
    <definedName name="FDP_89_1_aUrv">#REF!</definedName>
    <definedName name="BLPB72">#REF!</definedName>
    <definedName name="PriceRangeMain">#REF!</definedName>
    <definedName name="IQRCapIQIDPullH85">#REF!</definedName>
    <definedName name="_39__123Graph_DCHART_8">#REF!</definedName>
    <definedName name="BLPB97">#REF!</definedName>
    <definedName name="DSIndHistHiddenYear2">#REF!</definedName>
    <definedName name="FDP_185_1_aUdv">#REF!</definedName>
    <definedName name="_bdm.F0B3901D35BF4005A71CB064DA0503A4.edm">#REF!</definedName>
    <definedName name="XREF_COLUMN_6">#REF!</definedName>
    <definedName name="DSIndHistHiddenYear3">#REF!</definedName>
    <definedName name="_bdm.178DA99AD3DC440D98F884BD78631C52.edm">#REF!</definedName>
    <definedName name="IQRDataSheetDP42">#REF!</definedName>
    <definedName name="BLPB102">#REF!</definedName>
    <definedName name="_bdm.4D56505E4B3442D3880FC56B7B3BB826.edm">#REF!</definedName>
    <definedName name="FDP_68_1_aSrv">#REF!</definedName>
    <definedName name="_bdm.FE4A89C4AFEA43C7A2CD83D3C66DD3AC.edm">#REF!</definedName>
    <definedName name="_Regression_Y">#REF!</definedName>
    <definedName name="_8__123Graph_ACHART_8">#REF!</definedName>
    <definedName name="_bdm.50ED6F7816794F3894E59B89ED27C735.edm">#REF!</definedName>
    <definedName name="_bdm.C329B662A15941C58E38DE34A4509437.edm">#REF!</definedName>
    <definedName name="_9__123Graph_CCHART_1">#REF!</definedName>
    <definedName name="FDP_192_1_aUdv">#REF!</definedName>
    <definedName name="FDP_49_1_aUrv">#REF!</definedName>
    <definedName name="_28__123Graph_F_Chart_1A">#REF!</definedName>
    <definedName name="__123Graph_AEURPIP">#REF!</definedName>
    <definedName name="_bdm.A9871BF2BE2B4D63BDF520FE1BB25892.edm">#REF!</definedName>
    <definedName name="rngPivotLocation">#REF!</definedName>
    <definedName name="_bdm.8A58D70CE9E04F22AF55BE5F040CFC67.edm">#REF!</definedName>
    <definedName name="IQRPeerGroupMAO61">#REF!</definedName>
    <definedName name="_bdm.655D6BD401844556A20A2515CD7C86D2.edm">#REF!</definedName>
    <definedName name="_pcSlicerSheet20_Slicer1">#REF!</definedName>
    <definedName name="uuuuuu">#REF!</definedName>
    <definedName name="_18__123Graph_CCHART_1">#REF!</definedName>
    <definedName name="_bdm.F4728034891C452F8B990509BFBDCF9D.edm">#REF!</definedName>
    <definedName name="_bdm.323D6DF2921E4F87B29472FA0E3508ED.edm">#REF!</definedName>
    <definedName name="_bdm.972FCC2A942F45C8B2287294A5EA6590.edm">#REF!</definedName>
    <definedName name="__123Graph_DTOTDSO">#REF!</definedName>
    <definedName name="_bdm.8F5E432711154DF89A2440207F98B07D.edm">#REF!</definedName>
    <definedName name="_bdm.99388E34D13C47428C937D48E1DDEECF.edm">#REF!</definedName>
    <definedName name="CompRange1Main">#REF!</definedName>
    <definedName name="IQRSheet1B5">#REF!</definedName>
    <definedName name="FDP_58_1_aUrv">#REF!</definedName>
    <definedName name="__123Graph_XSAPIP">#REF!</definedName>
    <definedName name="_bdm.2599A91C569144CE8B11C9FBF455E285.edm">#REF!</definedName>
    <definedName name="IQRCapIQIDPullN82">#REF!</definedName>
    <definedName name="Blank6">#REF!</definedName>
    <definedName name="__20__123Graph_XCHART_3">#REF!</definedName>
    <definedName name="IQRCapIQIDPullN56">#REF!</definedName>
    <definedName name="IQRDataSheetDP21">#REF!</definedName>
    <definedName name="_bdm.74269881E2794903AFC15C22C2C9D694.edm">#REF!</definedName>
    <definedName name="hn.LTMData">#REF!</definedName>
    <definedName name="_27__123Graph_XCHART_2">#REF!</definedName>
    <definedName name="BLPB84">#REF!</definedName>
    <definedName name="mike2">#REF!</definedName>
    <definedName name="_bdm.5EF6CF1B8D7B482EBF6982650294B9C9.edm">#REF!</definedName>
    <definedName name="_bdm.48EDAEFDA7DF48A19B044F06BEE48D02.edm">#REF!</definedName>
    <definedName name="_bdm.AD6F5036FF634A19B0E910CBFD64E556.edm">#REF!</definedName>
    <definedName name="_bdm.3F0F2158DE8E413DB6CA19D1DA50F8F0.edm">#REF!</definedName>
    <definedName name="IQRPeerGroupMAN61">#REF!</definedName>
    <definedName name="BLPB23">#REF!</definedName>
    <definedName name="_bdm.C34CD0AF303B4E84A4FB7F97EA05F7A6.edm">#REF!</definedName>
    <definedName name="_16__123Graph_LBL_BCHART_3">#REF!</definedName>
    <definedName name="rngPassword">#REF!</definedName>
    <definedName name="BLPB44">#REF!</definedName>
    <definedName name="__123Graph_ANTINCMO">#REF!</definedName>
    <definedName name="_bdm.74B19A7D3BA04AB3BC8C6B72722DF942.edm">#REF!</definedName>
    <definedName name="IQRCapIQIDPullH73">#REF!</definedName>
    <definedName name="_bdm.14B7FD86198A4B3DA7C7B8507CF22CFD.edm">#REF!</definedName>
    <definedName name="_bdm.688FA7F28CC145838B3AF2B523E24F84.edm">#REF!</definedName>
    <definedName name="_21__123Graph_BCHART_3">#REF!</definedName>
    <definedName name="__123Graph_XSADSO">#REF!</definedName>
    <definedName name="__123Graph_CCHART1">#REF!</definedName>
    <definedName name="DZ.IndSpec_Right">#REF!</definedName>
    <definedName name="FDP_125_1_aUrv">#REF!</definedName>
    <definedName name="_bdm.34D4F1FF74324883AE27C4D2F7A26E0E.edm">#REF!</definedName>
    <definedName name="tmp_787">#REF!</definedName>
    <definedName name="_bdm.8043F0BD9A1C4FABB215706D483A2907.edm">#REF!</definedName>
    <definedName name="_bdm.5666DA1E7D5F4F33BF386C7839436C24.edm">#REF!</definedName>
    <definedName name="_bdm.8FA45EF3DE484EFC80A91D53E94A6FC4.edm">#REF!</definedName>
    <definedName name="eeeeeeeeeeee">#REF!</definedName>
    <definedName name="qwe">#REF!</definedName>
    <definedName name="_bdm.96E97136D6804888A1E017620DB84BC9.edm">#REF!</definedName>
    <definedName name="_12__123Graph_LBL_ACHART_1">#REF!</definedName>
    <definedName name="FDP_90_1_aUrv">#REF!</definedName>
    <definedName name="hn.FromMain2">#REF!</definedName>
    <definedName name="ETSKTRKTRKTRKTRK">#REF!</definedName>
    <definedName name="_Dist_Values">#REF!</definedName>
    <definedName name="_bdm.A9E8F2214015449F99BBFDAC629C22DB.edm">#REF!</definedName>
    <definedName name="_bdm.F4164DE47BCA44F49E2266B3D5510754.edm">#REF!</definedName>
    <definedName name="_pcSlicerSheet22_Slicer2">#REF!</definedName>
    <definedName name="__123Graph_ASALES">#REF!</definedName>
    <definedName name="_bdm.546028CE0FBA41E8B0E4B66ED55882A2.edm">#REF!</definedName>
    <definedName name="_16__123Graph_BCHART_7">#REF!</definedName>
    <definedName name="IQRCapIQIDPullN15">#REF!</definedName>
    <definedName name="FDP_76_1_aDrv">#REF!</definedName>
    <definedName name="IQRCapIQIDPullH42">#REF!</definedName>
    <definedName name="cxzv">#REF!</definedName>
    <definedName name="_bdm.279511A8E42241F19297ADE1C3ACC6BD.edm">#REF!</definedName>
    <definedName name="RunningHead">#REF!</definedName>
    <definedName name="IQRCapIQIDPullH43">#REF!</definedName>
    <definedName name="_bdm.E759967588A5442C9B723120C8E73070.edm">#REF!</definedName>
    <definedName name="hn._I070">#REF!</definedName>
    <definedName name="_bdm.07C54DFF5E534C3E8859FE499270A5AB.edm">#REF!</definedName>
    <definedName name="IQRDataSheetDP25">#REF!</definedName>
    <definedName name="__IntlFixupTable">#REF!</definedName>
    <definedName name="IQRCapIQIDPullN78">#REF!</definedName>
    <definedName name="FDP_167_1_aDrv">#REF!</definedName>
    <definedName name="XRefPaste16Row">#REF!</definedName>
    <definedName name="dfsafdsa">#REF!</definedName>
    <definedName name="FDP_166_1_aDrv">#REF!</definedName>
    <definedName name="zxcv">#REF!</definedName>
    <definedName name="BLPH95">#REF!</definedName>
    <definedName name="BLPH92">#REF!</definedName>
    <definedName name="_bdm.7E4E9ED049944762B1E1446F419D3371.edm">#REF!</definedName>
    <definedName name="BLPB88">#REF!</definedName>
    <definedName name="BLPB70">#REF!</definedName>
    <definedName name="__123Graph_ECHART2">#REF!</definedName>
    <definedName name="_bdm.7B007940329849568FF8B2D44B9C4B13.edm">#REF!</definedName>
    <definedName name="_9__123Graph_BCHART_4">#REF!</definedName>
    <definedName name="Confidentiality">#REF!</definedName>
    <definedName name="_bdm.A551AD7B7926449CA18B96716283F8F4.edm">#REF!</definedName>
    <definedName name="OIK">#REF!</definedName>
    <definedName name="_bdm.8B9B833431AA4D65A2A6F6832141FD7A.edm">#REF!</definedName>
    <definedName name="BLPH3">#REF!</definedName>
    <definedName name="_22__123Graph_LBL_ACHART_2">#REF!</definedName>
    <definedName name="ContentsHelp">#REF!</definedName>
    <definedName name="FDP_51_1_aUrv">#REF!</definedName>
    <definedName name="_bdm.2A5234D8A73011D6B6510010A48BFF38.edm">#REF!</definedName>
    <definedName name="p.Summary">#REF!</definedName>
    <definedName name="solver_rhs4">#REF!</definedName>
    <definedName name="_bdm.79048CB2734E42A1813A19AF346D6F3B.edm">#REF!</definedName>
    <definedName name="Time">#REF!</definedName>
    <definedName name="XRefPaste2">#REF!</definedName>
    <definedName name="_bdm.2F6223BCED3146A89501B73110CA220A.edm">#REF!</definedName>
    <definedName name="_bdm.B4304459C934450E80E1E1C187C23A17.edm">#REF!</definedName>
    <definedName name="_bdm.1FED5B0F6DBD43239314BBD62563CD2A.edm">#REF!</definedName>
    <definedName name="IQRCapIQIDPullN62">#REF!</definedName>
    <definedName name="__6__123Graph_BCHART_3">#REF!</definedName>
    <definedName name="_bdm.BD31A80AEEEA484CB8BF6204D87FC893.edm">#REF!</definedName>
    <definedName name="FDP_33_1_aDrv">#REF!</definedName>
    <definedName name="qqqqqqqqqqqqqqqqqq">#REF!</definedName>
    <definedName name="lskdjfksldjf">#REF!</definedName>
    <definedName name="_bdm.7B2A4F94A9FB4CD286C0FF23443B9184.edm">#REF!</definedName>
    <definedName name="p.Summary_Titles">#REF!</definedName>
    <definedName name="_14__123Graph_LBL_ACHART_3">#REF!</definedName>
    <definedName name="_bdm.FBC8F4734CD44B95848F689416B40C4F.edm">#REF!</definedName>
    <definedName name="_bdm.8994A2262DB3490A825212D66E5B6AD4.edm">#REF!</definedName>
    <definedName name="__13__123Graph_DCHART_8">#REF!</definedName>
    <definedName name="IQRSheet2H5">#REF!</definedName>
    <definedName name="Slicer_Project_Name">#REF!</definedName>
    <definedName name="Footnote6">#REF!</definedName>
    <definedName name="YTER">#REF!</definedName>
    <definedName name="BLPH68">#REF!</definedName>
    <definedName name="IQRPeerGroupMAAJ61">#REF!</definedName>
    <definedName name="__123Graph_XAPDSO">#REF!</definedName>
    <definedName name="_bdm.B9FBECB379F246FFAB29680451152793.edm">#REF!</definedName>
    <definedName name="IQRDataSheetDP27">#REF!</definedName>
    <definedName name="IQRCapIQIDPullH68">#REF!</definedName>
    <definedName name="qqqq">#REF!</definedName>
    <definedName name="_bdm.110075C8BC304D429245F5CA303DFC4F.edm">#REF!</definedName>
    <definedName name="hn._P001">#REF!</definedName>
    <definedName name="BLPB68">#REF!</definedName>
    <definedName localSheetId="3" name="Sales">#REF!</definedName>
    <definedName name="_bdm.35C17C1594054E34B9A67423BDDA99B2.edm">#REF!</definedName>
    <definedName name="IQRCapIQIDPullN51">#REF!</definedName>
    <definedName name="IQRCapIQIDPullH66">#REF!</definedName>
    <definedName name="_bdm.044B15321E4B4C03B6CDEC9EFF79DF80.edm">#REF!</definedName>
    <definedName name="_bdm.970AEAF2A7014448AA135C7EA1B8D7EA.edm">#REF!</definedName>
    <definedName name="hn.YearLabel">#REF!</definedName>
    <definedName name="WERWW">#REF!</definedName>
    <definedName name="hn.Global">#REF!</definedName>
    <definedName name="_bdm.53560227A3444DE7BD2C6290AEEEFD6A.edm">#REF!</definedName>
    <definedName name="_bdm.097753650E004B8C87DEDE359C56E9B6.edm">#REF!</definedName>
    <definedName name="_bdm.946A1633B4E0459E960544966A1DF6CB.edm">#REF!</definedName>
    <definedName name="_bdm.9E50B697BB1D4F1C96F0454AC0493EF5.edm">#REF!</definedName>
    <definedName name="__123Graph_DAPDSO">#REF!</definedName>
    <definedName name="BLPB91">#REF!</definedName>
    <definedName name="___DF4">#REF!</definedName>
    <definedName name="_bdm.4BACF6F441574CBA83A6F3F980B6422D.edm">#REF!</definedName>
    <definedName name="_bdm.BF69873DCA9C4775BEBB9C8E753DAB46.edm">#REF!</definedName>
    <definedName name="FDP_129_1_aUrv">#REF!</definedName>
    <definedName name="_pcSlicerSheet12_Slicer1">#REF!</definedName>
    <definedName name="__123Graph_CUSDSO">#REF!</definedName>
    <definedName name="IQRCapIQIDPullH62">#REF!</definedName>
    <definedName name="_3__123Graph_BCHART_2">#REF!</definedName>
    <definedName name="_bdm.7815160B305D4DC499B60802F206A98E.edm">#REF!</definedName>
    <definedName name="__123Graph_BTOTPIP">#REF!</definedName>
    <definedName name="CompRange3Main">#REF!</definedName>
    <definedName name="solver_adj">#REF!</definedName>
    <definedName name="_2__123Graph_ACHART_1">#REF!</definedName>
    <definedName name="__123Graph_BDONATMO">#REF!</definedName>
    <definedName name="BLPH11">#REF!</definedName>
    <definedName name="IQRDataSheetDP50">#REF!</definedName>
    <definedName name="_bdm.48EBE65C3B244666BD1AE9F08263EDCA.edm">#REF!</definedName>
    <definedName name="FDP_31_1_aUrv">#REF!</definedName>
    <definedName name="DSIndHiddenYear2">#REF!</definedName>
    <definedName name="_bdm.A76B119490E54F00983296FEEFBBDCAC.edm">#REF!</definedName>
    <definedName name="_bdm.D99215FCF77045E0B1004579D0884371.edm">#REF!</definedName>
    <definedName name="_pcSlicerSheet19_Slicer1">#REF!</definedName>
    <definedName name="IQRCapIQIDPullH17">#REF!</definedName>
    <definedName name="FDP_4_1_aSrv">#REF!</definedName>
    <definedName name="IQRPeerGroupMAG61">#REF!</definedName>
    <definedName name="NewRange">#REF!</definedName>
    <definedName name="_bdm.8372D10CAC804846BD34EC30978F6C1C.edm">#REF!</definedName>
    <definedName name="FDP_149_1_aUrv">#REF!</definedName>
    <definedName name="BLPI5">#REF!</definedName>
    <definedName name="_bdm.256CA7BB3DC540CD902F522DEEBDD422.edm">#REF!</definedName>
    <definedName name="FDP_106_1_aUrv">#REF!</definedName>
    <definedName name="IQB_BOOKMARK_LOCATION_3">#REF!</definedName>
    <definedName name="IQRRelativepricesv2C26">#REF!</definedName>
    <definedName name="__123Graph_ASALESTREND">#REF!</definedName>
    <definedName name="IQRCapIQIDPullN64">#REF!</definedName>
    <definedName name="_pcSlicerSheet19_Slicer2">#REF!</definedName>
    <definedName name="Blank7">#REF!</definedName>
    <definedName name="NetIncomeGraph">#REF!</definedName>
    <definedName name="XRefPaste30Row">#REF!</definedName>
    <definedName name="_bdm.838667AEA1FD44689ED08B69BB61CF61.edm">#REF!</definedName>
    <definedName name="IQRCapIQIDPullN39">#REF!</definedName>
    <definedName name="IQRDataSheetDP47">#REF!</definedName>
    <definedName name="_bdm.EE2E4F1825EA4B71B32589360B666158.edm">#REF!</definedName>
    <definedName name="_pcSlicerSheet15_Slicer1">#REF!</definedName>
    <definedName name="FDP_203_1_aDdv">#REF!</definedName>
    <definedName name="__123Graph_DCHART2">#REF!</definedName>
    <definedName name="FDP_73_1_aSrv">#REF!</definedName>
    <definedName name="_bdm.BAD6C29E8737480DA74326892A123810.edm">#REF!</definedName>
    <definedName name="SortV2">#REF!</definedName>
    <definedName name="_45__123Graph_XCHART_5">#REF!</definedName>
    <definedName name="_30__123Graph_ECHART_3">#REF!</definedName>
    <definedName name="_bdm.B003080D17D740D5902F2C483255248E.edm">#REF!</definedName>
    <definedName name="_57__123Graph_XCHART_1">#REF!</definedName>
    <definedName name="_pcSlicerSheet14_Slicer1">#REF!</definedName>
    <definedName name="__123Graph_BCHART1">#REF!</definedName>
    <definedName name="r.CashFlow">#REF!</definedName>
    <definedName name="BLPH52">#REF!</definedName>
    <definedName name="_bdm.D83EFA7232ED469280D48891B256A74F.edm">#REF!</definedName>
    <definedName name="_bdm.023B0A2509844A929D654B4B2FF45EC8.edm">#REF!</definedName>
    <definedName localSheetId="10" name="NewRange">#REF!</definedName>
    <definedName name="_bdm.0E08FE8AC29647558ED31CA52106CD72.edm">#REF!</definedName>
    <definedName localSheetId="7" name="MerrillPrintIt">#REF!</definedName>
    <definedName name="IQRCapIQIDPullH61">#REF!</definedName>
    <definedName name="BLPH107">#REF!</definedName>
    <definedName name="_15__123Graph_BCHART_1">#REF!</definedName>
    <definedName name="FDP_91_1_aUrv">#REF!</definedName>
    <definedName name="Confused">#REF!</definedName>
    <definedName name="_bdm.F8A8DCEB4DD84118B520FF6070B6FAA2.edm">#REF!</definedName>
    <definedName name="_pcSlicerSheet13_Slicer1">#REF!</definedName>
    <definedName name="_bdm.0077A1EFE81848E9AF62206B67B0BE38.edm">#REF!</definedName>
    <definedName name="kyd.ChngCell.01.">#REF!</definedName>
    <definedName name="qwjjeqiow">#REF!</definedName>
    <definedName name="_bdm.952DC289B2D3435CA7FB937CFE80C520.edm">#REF!</definedName>
    <definedName name="rngLastRefreshOffline">#REF!</definedName>
    <definedName name="__2__123Graph_ACHART_3">#REF!</definedName>
    <definedName name="_bdm.BAD6FB61E89F4B799406FDFB2C353231.edm">#REF!</definedName>
    <definedName name="_bdm.CC0A8C22187A4749BFC5C831E452E224.edm">#REF!</definedName>
    <definedName name="_22__123Graph_XCHART_8">#REF!</definedName>
    <definedName name="IQRCapIQIDPullN85">#REF!</definedName>
    <definedName name="_30__123Graph_XChart_1">#REF!</definedName>
    <definedName name="r.LTMInterim">#REF!</definedName>
    <definedName name="_bdm.16D30ED17E854DEE91B4FC39663D8D01.edm">#REF!</definedName>
    <definedName name="eaf">#REF!</definedName>
    <definedName name="_18__123Graph_BCHART_3">#REF!</definedName>
    <definedName name="_bdm.78B77DCD689A43EC883A79537C2E8408.edm">#REF!</definedName>
    <definedName localSheetId="1" name="ChangeRange">#REF!</definedName>
    <definedName name="_bdm.317630215C304A9593BCEE8DC5A9A104.edm">#REF!</definedName>
    <definedName name="_bdm.37583F759FFD456D88B9693046EFE4D0.edm">#REF!</definedName>
    <definedName name="_bdm.4D0CA4AF78814CD09713AB6F66C9F0A7.edm">#REF!</definedName>
    <definedName name="_bdm.5B204CAA29AC4667ABB9B23BA017CE74.edm">#REF!</definedName>
    <definedName name="rngComments">#REF!</definedName>
    <definedName name="Sales">#REF!</definedName>
    <definedName name="FDP_48_1_aUrv">#REF!</definedName>
    <definedName name="_18__123Graph_AChart_1">#REF!</definedName>
    <definedName name="kkern">#REF!</definedName>
    <definedName name="_17__123Graph_A_Chart_1A">#REF!</definedName>
    <definedName name="solver_rhs11">#REF!</definedName>
    <definedName name="_bdm.F0F40F22973D4E6FBFCCDA4A812DE808.edm">#REF!</definedName>
    <definedName name="IQRCapIQIDPullN73">#REF!</definedName>
    <definedName name="PageNumber">#REF!</definedName>
    <definedName name="_bdm.C7B3922953C6426985C1620C7A3C7EDA.edm">#REF!</definedName>
    <definedName name="_5__123Graph_BCHART_1">#REF!</definedName>
    <definedName name="_pcSlicerSheet20_Slicer2">#REF!</definedName>
    <definedName name="__123Graph_XSALESMO">#REF!</definedName>
    <definedName name="sadgasd">#REF!</definedName>
    <definedName name="_pcSlicerSheet7_Slicer2">#REF!</definedName>
    <definedName name="IQRCapIQIDPullH64">#REF!</definedName>
    <definedName name="IQRPeerGroupMAJ61">#REF!</definedName>
    <definedName name="IQRCapIQIDPullH49">#REF!</definedName>
    <definedName name="__123Graph_XEURDSO">#REF!</definedName>
    <definedName name="__123Graph_FCHART2">#REF!</definedName>
    <definedName name="FDP_198_1_aUdv">#REF!</definedName>
    <definedName name="_bdm.991A663BE1BA4CE6916986AE15E5C2FE.edm">#REF!</definedName>
    <definedName name="BLPB101">#REF!</definedName>
    <definedName name="_pcSlicerSheet21_Slicer2">#REF!</definedName>
    <definedName name="IQRSheet1B10">#REF!</definedName>
    <definedName name="_4__123Graph_ACHART_3">#REF!</definedName>
    <definedName name="_bdm.B5DCC29E4AA54FBF9E84F0A67BE75DED.edm">#REF!</definedName>
    <definedName name="_35__123Graph_XChart_6">#REF!</definedName>
    <definedName name="_bdm.428579D7C1FE4F6AB2214700FCBBFFB0.edm">#REF!</definedName>
    <definedName name="FDP_64_1_aUrv">#REF!</definedName>
    <definedName name="__123Graph_XCANPIP">#REF!</definedName>
    <definedName name="_pcSlicerSheet21_Slicer1">#REF!</definedName>
    <definedName name="_bdm.3480B78C50014DF3BF567826DA157C66.edm">#REF!</definedName>
    <definedName name="_bdm.E2713B28FAC44138A874F102FEE3A8B4.edm">#REF!</definedName>
    <definedName name="__123Graph_BMEXPIP">#REF!</definedName>
    <definedName name="tpp">#REF!</definedName>
    <definedName name="_20__123Graph_XCHART_3">#REF!</definedName>
    <definedName name="FDP_61_1_aUrv">#REF!</definedName>
    <definedName name="__123Graph_XMEXDSO">#REF!</definedName>
    <definedName name="_bdm.D43A6B2A947B4EA9A42335B05D28E8EB.edm">#REF!</definedName>
    <definedName name="FDP_5_1_aDrv">#REF!</definedName>
    <definedName name="XREF_COLUMN_20">#REF!</definedName>
    <definedName name="_bdm.FBA13FC976A64CBDB4878E15E63EF763.edm">#REF!</definedName>
    <definedName name="_bdm.391999CACE464470A52D5211F98EF808.edm">#REF!</definedName>
    <definedName name="_bdm.68C63F4515314BF89862B5A20C1BD7F8.edm">#REF!</definedName>
    <definedName localSheetId="11" name="CreateTable">#REF!</definedName>
    <definedName name="FDP_127_1_aUrv">#REF!</definedName>
    <definedName name="__123Graph_DEXPDSO">#REF!</definedName>
    <definedName name="IQRCapIQIDPullN76">#REF!</definedName>
    <definedName name="qwkjheqjkwh">#REF!</definedName>
    <definedName name="__123Graph_BEURPIP">#REF!</definedName>
    <definedName name="_bdm.C0D40696085E49099831902D538DE4D4.edm">#REF!</definedName>
    <definedName name="_bdm.5EE7843A8FCE42B0ADBF5FBD4707C67E.edm">#REF!</definedName>
    <definedName name="_bdm.900FAFBE062C4143884C3880BD866466.edm">#REF!</definedName>
    <definedName name="IQRDataSheetDP20">#REF!</definedName>
    <definedName name="BLPH83">#REF!</definedName>
    <definedName name="IQRCapIQIDPullN19">#REF!</definedName>
    <definedName name="FDP_150_1_aUrv">#REF!</definedName>
    <definedName name="IQRCapIQIDPullN20">#REF!</definedName>
    <definedName localSheetId="10" name="DeleteRange">#REF!</definedName>
    <definedName name="_pcSlicerSheet17_Slicer2">#REF!</definedName>
    <definedName name="BLPH106">#REF!</definedName>
    <definedName name="IQRPeerGroupMAS61">#REF!</definedName>
    <definedName name="TZLSDTZ">#REF!</definedName>
    <definedName name="_pcSlicerSheet1_Slicer1">#REF!</definedName>
    <definedName name="_bdm.889B0C01A12B4C6893AFBB1E367DFF55.edm">#REF!</definedName>
    <definedName name="_bdm.88B23E70B2044083B53316922D490B0D.edm">#REF!</definedName>
    <definedName name="__7__123Graph_BCHART_4">#REF!</definedName>
    <definedName name="BLPH7">#REF!</definedName>
    <definedName name="_mbm">#REF!</definedName>
    <definedName name="_bdm.597354D9110D423BB093BCB8871ED198.edm">#REF!</definedName>
    <definedName name="_4__123Graph_ACHART_8">#REF!</definedName>
    <definedName name="IQRDataSheetDP48">#REF!</definedName>
    <definedName name="_bdm.FD178DE840B940E4B7189043EA2CFE4D.edm">#REF!</definedName>
    <definedName name="BLPH82">#REF!</definedName>
    <definedName name="_bdm.6585FA7BEF4A47D4B23D11F023F3688E.edm">#REF!</definedName>
    <definedName name="_for_YTD_Year">#REF!</definedName>
    <definedName name="IQRPeerGroupMAV61">#REF!</definedName>
    <definedName name="__123Graph_ACHART2">#REF!</definedName>
    <definedName name="CIQANR_626faed3fdfc48f5a2aa424819ce4106">#REF!</definedName>
    <definedName name="_bdm.F75EFAB259E64C3E82375E7A0C05228F.edm">#REF!</definedName>
    <definedName name="_bdm.83AA3AC1FEB341A08D72C8E047045D19.edm">#REF!</definedName>
    <definedName name="_bdm.BA029BC5A1E84105A6FB8334F3A0A48A.edm">#REF!</definedName>
    <definedName name="FDP_131_1_aUrv">#REF!</definedName>
    <definedName name="IQRCapIQIDPullN49">#REF!</definedName>
    <definedName localSheetId="3" name="ContentsHelp">#REF!</definedName>
    <definedName name="BLPH_2">#REF!</definedName>
    <definedName name="IQRCapIQIDPullN36">#REF!</definedName>
    <definedName name="_bdm.EAEC9C3D50474F6CA7AEE5FBEDB1FC8E.edm">#REF!</definedName>
    <definedName name="BLPB62">#REF!</definedName>
    <definedName name="__123Graph_AHIALCOOL">#REF!</definedName>
    <definedName name="FDP_138_1_aUrv">#REF!</definedName>
    <definedName name="_Table3_In2">#REF!</definedName>
    <definedName name="BLPH87">#REF!</definedName>
    <definedName name="_bdm.98DA668A90F240D591C2ACEFE834E487.edm">#REF!</definedName>
    <definedName name="_bdm.0E7857D7423F476298279C7EA2BEFA68.edm">#REF!</definedName>
    <definedName name="_2__123Graph_CCHART_8">#REF!</definedName>
    <definedName name="_bdm.F884775407794BCA85204DBA808B86AB.edm">#REF!</definedName>
    <definedName name="_8__123Graph_BCHART_3">#REF!</definedName>
    <definedName name="_7__123Graph_ACHART_1">#REF!</definedName>
    <definedName name="_bdm.0532EAC0032C41598DCCFFCD0C08B9BE.edm">#REF!</definedName>
    <definedName name="FDP_190_1_aUdv">#REF!</definedName>
    <definedName name="BLPB81">#REF!</definedName>
    <definedName name="_bdm.43753D313C434DBDAA18E677F5DED2C1.edm">#REF!</definedName>
    <definedName name="_bdm.CBE87296C97E401A85A42DB239E23049.edm">#REF!</definedName>
    <definedName name="_bdm.0DE44911D7094E90B3DEED97A9F4B72E.edm">#REF!</definedName>
    <definedName name="p.LTM_IS">#REF!</definedName>
    <definedName name="_bdm.D884E0F5D4CB417BA25162F104D3CB10.edm">#REF!</definedName>
    <definedName name="_21__123Graph_XCHART_4">#REF!</definedName>
    <definedName name="FDP_20_1_aDrv">#REF!</definedName>
    <definedName name="DATA_08">#REF!</definedName>
    <definedName name="_new">#REF!</definedName>
    <definedName name="TZKTRKTR">#REF!</definedName>
    <definedName name="hn.PrivateLTMYear">#REF!</definedName>
    <definedName name="_bdm.DEB4D18E25554E9B9A5DB29485574589.edm">#REF!</definedName>
    <definedName name="FDP_186_1_aUdv">#REF!</definedName>
    <definedName name="XRefPaste28Row">#REF!</definedName>
    <definedName name="_bdm.062E4F7E8ACF4BB8A09178BB561E07BA.edm">#REF!</definedName>
    <definedName name="FDP_57_1_aUrv">#REF!</definedName>
    <definedName name="_bdm.968E9260F5DF4235ABC2659F30C599F1.edm">#REF!</definedName>
    <definedName name="DATA_03">#REF!</definedName>
    <definedName localSheetId="8" name="Sales">#REF!</definedName>
    <definedName name="IQRPVChartB13">#REF!</definedName>
    <definedName name="_bdm.71047B4328BD449B96F3D3D8F0BA4BF4.edm">#REF!</definedName>
    <definedName name="_bdm.C666660578604CA39B400A527F6F47A4.edm">#REF!</definedName>
    <definedName name="CIQANR_d1cb3c82e97a48efb5e25e927c639495">#REF!</definedName>
    <definedName name="_bdm.C715D688370A4AF8A674CC65CF18CA24.edm">#REF!</definedName>
    <definedName name="FDP_103_1_aUrv">#REF!</definedName>
    <definedName localSheetId="8" name="ChangeRange">#REF!</definedName>
    <definedName name="_bdm.2BE03F2DA7BB4A3090558010F6DB5D53.edm">#REF!</definedName>
    <definedName name="FirstPlotDate">#REF!</definedName>
    <definedName name="IQRPublicTradingMultiplesC24">#REF!</definedName>
    <definedName name="_bdm.DFFD8463C52F480597C295CE0061B749.edm">#REF!</definedName>
    <definedName name="FDP_132_1_aUrv">#REF!</definedName>
    <definedName localSheetId="12" name="Sales">#REF!</definedName>
    <definedName name="solver_rhs3">#REF!</definedName>
    <definedName name="IQRCapIQIDPullN68">#REF!</definedName>
    <definedName name="__123Graph_XANIDRO">#REF!</definedName>
    <definedName name="__123Graph_XTOTPIP">#REF!</definedName>
    <definedName name="CIQANR_7a53ac5db59b4b7194125faebcb36c60">#REF!</definedName>
    <definedName name="qwekjqwiejiou">#REF!</definedName>
    <definedName name="_bdm.C61969384C984092BB8CD20982F6B3B6.edm">#REF!</definedName>
    <definedName name="IQRCapIQIDPullH34">#REF!</definedName>
    <definedName name="_Rf_Oct_Act_for_2003_YTD">#REF!</definedName>
    <definedName name="_bdm.AA849B5610244B71A817077A2D1B9250.edm">#REF!</definedName>
    <definedName name="_bdm.9F53E5BEC27A4BCA9895CE2419015102.edm">#REF!</definedName>
    <definedName name="FDP_153_1_aUrv">#REF!</definedName>
    <definedName name="BLPB55">#REF!</definedName>
    <definedName name="r.Profitability">#REF!</definedName>
    <definedName name="USDollar">#REF!</definedName>
    <definedName name="_bdm.9D576385AB334E0F91FC7FB7CEA21807.edm">#REF!</definedName>
    <definedName name="_bdm.CEBB6A14528F448289D542FA3717CAF3.edm">#REF!</definedName>
    <definedName name="VHKVHKCVHKVHKCVHK">#REF!</definedName>
    <definedName name="_bdm.A925713FD6974631AA09CBF6E79DD493.edm">#REF!</definedName>
    <definedName name="FDP_40_1_aUrv">#REF!</definedName>
    <definedName name="sssssss">#REF!</definedName>
    <definedName name="FDP_139_1_aUrv">#REF!</definedName>
    <definedName localSheetId="12" name="DeleteRange">#REF!</definedName>
    <definedName name="_bdm.49680129826D479B87AE60BB03B43832.edm">#REF!</definedName>
    <definedName name="FDP_35_1_aUrv">#REF!</definedName>
    <definedName name="BLPH109">#REF!</definedName>
    <definedName name="whatisthis">#REF!</definedName>
    <definedName name="tempw">#REF!</definedName>
    <definedName name="_bdm.9CDC35CDB7B143079762F320F757C403.edm">#REF!</definedName>
    <definedName name="_bdm.DA2B51307DCF40FBB7EA50C3DAF39D37.edm">#REF!</definedName>
    <definedName name="BLPH56">#REF!</definedName>
    <definedName name="FDP_82_1_aUrv">#REF!</definedName>
    <definedName localSheetId="1" name="Sales">#REF!</definedName>
    <definedName name="_11__123Graph_CCHART_8">#REF!</definedName>
    <definedName name="_bdm.F0C4D0A06132474297172E66F1E293D3.edm">#REF!</definedName>
    <definedName name="_bdm.190D0444B6204043BC963A066D752948.edm">#REF!</definedName>
    <definedName name="RT">#REF!</definedName>
    <definedName name="XRefPaste1">#REF!</definedName>
    <definedName name="_bdm.396F0119E49B4C9287B59BB9D8E3120F.edm">#REF!</definedName>
    <definedName name="FDP_1_1_aUrv">#REF!</definedName>
    <definedName name="CVVKHCVHKVKCVHKVHKKVHVHK">#REF!</definedName>
    <definedName name="_bdm.FA5944A4D7D644CA8283449B5AE2024F.edm">#REF!</definedName>
    <definedName name="_bdm.13308F275BB844B09BC903B0F9167D88.edm">#REF!</definedName>
    <definedName name="_bdm.513A7CE817F841EEB85DD7F1B96522D2.edm">#REF!</definedName>
    <definedName name="BLPH59">#REF!</definedName>
    <definedName name="BLPH104">#REF!</definedName>
    <definedName name="_28__123Graph_LBL_ACHART_3">#REF!</definedName>
    <definedName name="ewr">#REF!</definedName>
    <definedName name="_bdm.AB52415298E34F85B048D5AB77972B60.edm">#REF!</definedName>
    <definedName name="XRefPaste22">#REF!</definedName>
    <definedName name="_bdm.DDC8F78F10164D7995FCB315239F0BC7.edm">#REF!</definedName>
    <definedName name="_bdm.71E9769D67644132B847A885083CD694.edm">#REF!</definedName>
    <definedName name="IQRCapIQIDPullH82">#REF!</definedName>
    <definedName name="Column">#REF!</definedName>
    <definedName name="_bdm.B5419FC1BD3848A6800EA796C5C0EF2E.edm">#REF!</definedName>
    <definedName name="IQRPeerGroupMAL61">#REF!</definedName>
    <definedName name="__123Graph_BFUEL">#REF!</definedName>
    <definedName name="XREF_COLUMN_21">#REF!</definedName>
    <definedName name="ExRateLTM_Yr3">#REF!</definedName>
    <definedName name="_bdm.ABEC84C526B949799B82019B446CC74C.edm">#REF!</definedName>
    <definedName name="Timestamp">#REF!</definedName>
    <definedName name="hn.Add015">#REF!</definedName>
    <definedName name="GraphPage">#REF!</definedName>
    <definedName name="_bdm.ECC9F373FB1E4EF493F69019703B4C0C.edm">#REF!</definedName>
    <definedName name="_bdm.AA2F5D92684B4EDBBC19B7EB7B3EA5D5.edm">#REF!</definedName>
    <definedName name="_bdm.C0F0A83CF71B4EF7A3F488243567E385.edm">#REF!</definedName>
    <definedName name="kyd.ChngCell.02.">#REF!</definedName>
    <definedName name="_bdm.28F3C3B79E43484AA41A87D12ADB61B5.edm">#REF!</definedName>
    <definedName name="_bdm.D669BDCB369146119FC3EE688C5B9598.edm">#REF!</definedName>
    <definedName name="__123Graph_ASAPIP">#REF!</definedName>
    <definedName name="BLPH102">#REF!</definedName>
    <definedName name="_10__123Graph_CCHART_3">#REF!</definedName>
    <definedName name="_bdm.D3CD2003F1864916AA37FCD55AFA3A9F.edm">#REF!</definedName>
    <definedName name="__123Graph_ACURRENT">#REF!</definedName>
    <definedName name="BLPB16">#REF!</definedName>
    <definedName name="IQRCapIQIDPullH45">#REF!</definedName>
    <definedName name="BDOCheckNeg">#REF!</definedName>
    <definedName name="_bdm.4A1ED1A579F94FF7A30883C5A84BFD03.edm">#REF!</definedName>
    <definedName name="dfdafadfa">#REF!</definedName>
    <definedName name="chgcvhgvvg">#REF!</definedName>
    <definedName name="BLPB75">#REF!</definedName>
    <definedName name="FDP_193_1_aUdv">#REF!</definedName>
    <definedName name="FDP_60_1_aUrv">#REF!</definedName>
    <definedName name="rngLastQuery">#REF!</definedName>
    <definedName name="hn.ParityCheck">#REF!</definedName>
    <definedName name="BLPB25">#REF!</definedName>
    <definedName name="_bdm.8A37F7BF932F488C803F2326E7B830DE.edm">#REF!</definedName>
    <definedName name="_bdm.C615DC9E36804957883962320CECCA09.edm">#REF!</definedName>
    <definedName name="XRefCopy10Row">#REF!</definedName>
    <definedName name="_13__123Graph_LBL_ACHART_3">#REF!</definedName>
    <definedName name="_bdm.C55E5D6BA4EC441A91CA5BEEA4E16BF1.edm">#REF!</definedName>
    <definedName name="FDP_151_1_aUrv">#REF!</definedName>
    <definedName name="__123Graph_ADONAGRA">#REF!</definedName>
    <definedName name="XRefPaste29Row">#REF!</definedName>
    <definedName name="_pcSlicerSheet14_Slicer2">#REF!</definedName>
    <definedName name="_bdm.A0783238DD414C05A2DAF7E86F0C01E6.edm">#REF!</definedName>
    <definedName name="_bdm.E7774C2A9A34477C974CA42E6AEE0EC7.edm">#REF!</definedName>
    <definedName name="_bdm.C9AAEF808D554CA5B53246E5731D102F.edm">#REF!</definedName>
    <definedName name="_bdm.8CA890C3C511490D9571DC07174EB172.edm">#REF!</definedName>
    <definedName name="__10__123Graph_CCHART_3">#REF!</definedName>
    <definedName name="IQRDataSheetDP17">#REF!</definedName>
    <definedName name="_bdm.BC31C9F9A17546C895F2D41CA4BDD873.edm">#REF!</definedName>
    <definedName name="_bdm.983AC8FF6A984882AED2CBB174642E2F.edm">#REF!</definedName>
    <definedName name="_bdm.ACA6B6C51E7C4BFDA72443FD51E3D70F.edm">#REF!</definedName>
    <definedName name="IQRCapIQIDPullH19">#REF!</definedName>
    <definedName name="_bdm.513D96F963EC4183AFBD65AAAFE20746.edm">#REF!</definedName>
    <definedName name="te">#REF!</definedName>
    <definedName name="BLPB59">#REF!</definedName>
    <definedName name="_bdm.6B1083DFED3F42049C2E612CF735134F.edm">#REF!</definedName>
    <definedName name="_bdm.FF8E9486839944EAA1BC635145766DF3.edm">#REF!</definedName>
    <definedName name="_pcSlicerSheet12_Slicer2">#REF!</definedName>
    <definedName name="_bdm.AE1FBA0B0FC3485188EF8DE68C4F97C3.edm">#REF!</definedName>
    <definedName name="__123Graph_ADONATMO">#REF!</definedName>
    <definedName name="_bdm.FB06355068A6473E8BFD84F095498EEF.edm">#REF!</definedName>
    <definedName name="FDP_195_1_aUdv">#REF!</definedName>
    <definedName name="IQRCapIQIDPullN63">#REF!</definedName>
    <definedName name="BLPB40">#REF!</definedName>
    <definedName name="FDP_3_1_aUrv">#REF!</definedName>
    <definedName name="IQRCapIQIDPullH80">#REF!</definedName>
    <definedName name="XREF_COLUMN_13">#REF!</definedName>
    <definedName localSheetId="10" name="Sales">#REF!</definedName>
    <definedName name="_bdm.F8349144CA034B17BAA677CB970252CF.edm">#REF!</definedName>
    <definedName name="r.Market">#REF!</definedName>
    <definedName name="_bdm.AB3A026D80A344D8B3CEA63EF9C311E0.edm">#REF!</definedName>
    <definedName name="_bdm.D4A2FC8DB31A4C018801E6E77AC77E3A.edm">#REF!</definedName>
    <definedName name="FDP_99_1_aUrv">#REF!</definedName>
    <definedName name="_bdm.7260F40786394460BA3BB3B689E34C81.edm">#REF!</definedName>
    <definedName name="__123Graph_BCHART2">#REF!</definedName>
    <definedName name="_bdm.1F8EF658D6064D2783A70472F7877EA3.edm">#REF!</definedName>
    <definedName name="data_02">#REF!</definedName>
    <definedName name="_bdm.B9FFD30AC47E45B392E551A210890006.edm">#REF!</definedName>
    <definedName name="_bdm.6DCD09F061A44E1CAEA41A4ED973FCA6.edm">#REF!</definedName>
    <definedName name="FDP_171_1_aDrv">#REF!</definedName>
    <definedName name="hn._I006">#REF!</definedName>
    <definedName name="_bdm.812B793BB2D743E6AC0EA96108BF0DE8.edm">#REF!</definedName>
    <definedName name="TJRTJTETJ">#REF!</definedName>
    <definedName name="_12__123Graph_DCHART_1">#REF!</definedName>
    <definedName name="FDP_205_1_aUrv">#REF!</definedName>
    <definedName name="FDP_15_1_aUrv">#REF!</definedName>
    <definedName name="hn._I024">#REF!</definedName>
    <definedName name="FDP_26_1_aUrv">#REF!</definedName>
    <definedName name="tttttttt">#REF!</definedName>
    <definedName name="FDP_69_1_aSrv">#REF!</definedName>
    <definedName name="FDP_94_1_aSrv">#REF!</definedName>
    <definedName name="CIQANR_d34c605a4a5241d6b7f37e701638c56a">#REF!</definedName>
    <definedName name="_bdm.908CC2BEE0FD40A8BAC88CD666A29E28.edm">#REF!</definedName>
    <definedName name="_bdm.d652015ca7324b21b6fa7510e880a497.edm">#REF!</definedName>
    <definedName name="SDAFDASFSD">#REF!</definedName>
    <definedName name="FDP_206_1_aDrv">#REF!</definedName>
    <definedName name="_bdm.8E6E416A89D844B483D55AA34621A1C1.edm">#REF!</definedName>
    <definedName name="BLPB92">#REF!</definedName>
    <definedName name="BLPI1">#REF!</definedName>
    <definedName name="_bdm.4E7A9582F2FB420F9567C72160A2BD16.edm">#REF!</definedName>
    <definedName name="IQRPeerGroupMAAD61">#REF!</definedName>
    <definedName name="ItemStart">#REF!</definedName>
    <definedName name="_bdm.36B39627A7D44B91AD0479D92C5EDDC0.edm">#REF!</definedName>
    <definedName name="BLPH97">#REF!</definedName>
    <definedName name="tempe">#REF!</definedName>
    <definedName name="ACwvu.Japan_Capers_Ed_Pub.">#REF!</definedName>
    <definedName name="_bdm.ABC0E05734364F228197C083E55B7183.edm">#REF!</definedName>
    <definedName name="_bdm.1B9EE71476064B9BBD08944E51A8FA1B.edm">#REF!</definedName>
    <definedName name="_mm">#REF!</definedName>
    <definedName name="IQRCapIQIDPullH15">#REF!</definedName>
    <definedName name="FDP_159_1_aSrv">#REF!</definedName>
    <definedName name="IQRDataSheetDP32">#REF!</definedName>
    <definedName name="_pcSlicerSheet16_Slicer2">#REF!</definedName>
    <definedName name="_bdm.83CA9AD602FB4D3ABB7ED5D3FB732AD0.edm">#REF!</definedName>
    <definedName name="_bdm.10E20494F47240EC9CDEF4A877E16DCF.edm">#REF!</definedName>
    <definedName name="FDP_142_1_aUrv">#REF!</definedName>
    <definedName name="FDP_128_1_aUrv">#REF!</definedName>
    <definedName name="_bdm.FDBD19558B064FEB9B723E6A8238F094.edm">#REF!</definedName>
    <definedName name="Show.MDB.Update.Warning">#REF!</definedName>
    <definedName name="_bdm.EFF7983BB9A047FD84DD7C340E0853AB.edm">#REF!</definedName>
    <definedName name="BLPB85">#REF!</definedName>
    <definedName name="_bdm.2F7FDB93CC844FBBA90A2E4BF1AF92FD.edm">#REF!</definedName>
    <definedName name="_Parse_In">#REF!</definedName>
    <definedName name="CIQANR_b732830d97c046c58b8ed7734a3432b6">#REF!</definedName>
    <definedName name="BLPH99">#REF!</definedName>
    <definedName name="BLPH85">#REF!</definedName>
    <definedName name="FDP_143_1_aUrv">#REF!</definedName>
    <definedName name="ChartTitle">#REF!</definedName>
    <definedName name="_bdm.050E76F41C754C279DA97D7D3DC27086.edm">#REF!</definedName>
    <definedName name="___key2">#REF!</definedName>
    <definedName name="_bdm.17B5DC10C28549F292FCB8DC79B43563.edm">#REF!</definedName>
    <definedName name="conflict1">#REF!</definedName>
    <definedName name="_22__123Graph_LBL_DCHART_1">#REF!</definedName>
    <definedName name="BLPH111">#REF!</definedName>
    <definedName name="CIQANR_9aef4366fbb042d095a4cfd2c71559e5">#REF!</definedName>
    <definedName name="IQRCapIQIDPullH20">#REF!</definedName>
    <definedName name="DateRangePriceMain">#REF!</definedName>
    <definedName name="_bdm.1EB0F988EF6742F5873D9F30002CBE94.edm">#REF!</definedName>
    <definedName name="_bdm.8E05A6813FB9457FB1919E93413997E8.edm">#REF!</definedName>
    <definedName name="FDP_165_1_aSrv">#REF!</definedName>
    <definedName name="__123Graph_BOPNETGRA">#REF!</definedName>
    <definedName name="solver_lhs11">#REF!</definedName>
    <definedName name="solver_lhs8">#REF!</definedName>
    <definedName name="BLPH58">#REF!</definedName>
    <definedName name="_9__123Graph_ACHART_3">#REF!</definedName>
    <definedName name="_bdm.BC43E0FCAF9D4C9AA7C6EA50D85C1843.edm">#REF!</definedName>
    <definedName name="_16__123Graph_BCHART_8">#REF!</definedName>
    <definedName name="TRJEAJ">#REF!</definedName>
    <definedName name="tmpLoadSedol">#REF!</definedName>
    <definedName name="BLPB13">#REF!</definedName>
    <definedName name="XRefPaste25Row">#REF!</definedName>
    <definedName localSheetId="11" name="MerrillPrintIt">#REF!</definedName>
    <definedName name="IQRCapIQIDPullH81">#REF!</definedName>
    <definedName name="_Key1">#REF!</definedName>
    <definedName name="__123Graph_AMEXPIP">#REF!</definedName>
    <definedName name="_bdm.966ff0f366ed4398b27e77ab09ac2bfa.edm">#REF!</definedName>
    <definedName name="_27__123Graph_CCHART_1">#REF!</definedName>
    <definedName name="_pcSlicerSheet22_Slicer1">#REF!</definedName>
    <definedName name="BLPH79">#REF!</definedName>
    <definedName name="_bdm.42802E95197149D9B41BAD12863E3242.edm">#REF!</definedName>
    <definedName name="rngScenarios">#REF!</definedName>
    <definedName name="FDP_84_1_aUrv">#REF!</definedName>
    <definedName name="_bdm.3AB97D89679B4ECE8C2D29383C46ABD8.edm">#REF!</definedName>
    <definedName name="BLPH103">#REF!</definedName>
    <definedName name="rngQuery">#REF!</definedName>
    <definedName name="tttttttttttttttt">#REF!</definedName>
    <definedName name="_bdm.A7A73E42F58044DCA8CC1BC2962803EA.edm">#REF!</definedName>
    <definedName name="FDP_93_1_aUrv">#REF!</definedName>
    <definedName name="_bdm.DD8E7CB51BC04633B05147D30A76D80F.edm">#REF!</definedName>
    <definedName name="_bdm.48B80208EB5449A6885BD8B5FC42BF73.edm">#REF!</definedName>
    <definedName name="_bdm.A835AB8BC6DC49ACA93174F81142BACB.edm">#REF!</definedName>
    <definedName name="_F">#REF!</definedName>
    <definedName name="_bdm.A3033EE320BC4450B9123164230A7F12.edm">#REF!</definedName>
    <definedName name="solver_rhs8">#REF!</definedName>
    <definedName name="_bdm.F4BC23F18C224DADAD6D2D0AF37C0106.edm">#REF!</definedName>
    <definedName name="_3__123Graph_CCHART_4H">#REF!</definedName>
    <definedName name="_bdm.D5B1E2FC6DC04B23AF42330FF5BAC9C5.edm">#REF!</definedName>
    <definedName name="_bdm.2398C53567284E5E8937DD13BB789BD3.edm">#REF!</definedName>
    <definedName name="_bdm.E99262E08FD14D0D85656350CB016D85.edm">#REF!</definedName>
    <definedName name="XRefPaste13Row">#REF!</definedName>
    <definedName name="_bdm.02079742F7314D4E92D065884A9EF46E.edm">#REF!</definedName>
    <definedName name="_11__123Graph_DCHART_1">#REF!</definedName>
    <definedName name="_bdm.FC43E0CFC6C04B6D8C65AC46A8B9910E.edm">#REF!</definedName>
    <definedName name="IQRCapIQIDPullN34">#REF!</definedName>
    <definedName name="_bdm.206C2DBCAA3711D6B64A0010A494EFA8.edm">#REF!</definedName>
    <definedName name="IQRPeerGroupMAC61">#REF!</definedName>
    <definedName name="BLPB11">#REF!</definedName>
    <definedName name="_10__123Graph_BCHART_3">#REF!</definedName>
    <definedName name="BLPH80">#REF!</definedName>
    <definedName name="grapha1">#REF!</definedName>
    <definedName name="IQRCapIQIDPullH37">#REF!</definedName>
    <definedName name="_bdm.B661B8E4D29B4E39BA6940BB45310199.edm">#REF!</definedName>
    <definedName name="FDP_72_1_aUrv">#REF!</definedName>
    <definedName name="XRefCopy1Row">#REF!</definedName>
    <definedName name="_bdm.6D226D07072145F4B2F572D6CDF93C59.edm">#REF!</definedName>
    <definedName name="_Fill">#REF!</definedName>
    <definedName name="FDP_0_1_aUrv">#REF!</definedName>
    <definedName name="_bdm.763145F7396F459B824F842673004DA8.edm">#REF!</definedName>
    <definedName name="_34__123Graph_LBL_BCHART_4">#REF!</definedName>
    <definedName name="_bdm.A18B1720385046DDB818A6A005FE2B0E.edm">#REF!</definedName>
    <definedName name="asdzfczv">#REF!</definedName>
    <definedName name="IQRDataSheetDP12">#REF!</definedName>
    <definedName name="__12__123Graph_DCHART_1">#REF!</definedName>
    <definedName name="__123Graph_DCURRENT">#REF!</definedName>
    <definedName name="BLPB17">#REF!</definedName>
    <definedName name="_bdm.91B0A1BC063546C185F76391A23C3F5E.edm">#REF!</definedName>
    <definedName name="_Table1_In2">#REF!</definedName>
    <definedName name="_bdm.E5E791ED8BD04267A71BD33F4FFBEA2A.edm">#REF!</definedName>
    <definedName name="_pcSlicerSheet4_Slicer2">#REF!</definedName>
    <definedName name="IQRCapIQIDPullH39">#REF!</definedName>
    <definedName name="junk5">#REF!</definedName>
    <definedName name="_bdm.680534A8CE05489CAF305B50B8D9395C.edm">#REF!</definedName>
    <definedName name="_bdm.7E9045F23A4A4387A1A033AA4DB4FA53.edm">#REF!</definedName>
    <definedName name="_pcSlicerSheet13_Slicer2">#REF!</definedName>
    <definedName name="_pcSlicerSheet1_Slicer2">#REF!</definedName>
    <definedName localSheetId="6" name="ContentsHelp">#REF!</definedName>
    <definedName name="_bdm.4212F73CB8D346CB92A9724D9A486486.edm">#REF!</definedName>
    <definedName name="__123Graph_BCURRENT">#REF!</definedName>
    <definedName name="XRefPaste19Row">#REF!</definedName>
    <definedName name="_Regression_Out">#REF!</definedName>
    <definedName name="_32__123Graph_XChart_3">#REF!</definedName>
    <definedName name="_bdm.F9D367D58E1745259E7E9B1B2C4433AE.edm">#REF!</definedName>
    <definedName name="_bdm.E6B474E0AE0948B2AD436F3BCC3C3F23.edm">#REF!</definedName>
    <definedName name="__123Graph_BGRAPH2">#REF!</definedName>
    <definedName name="_26__123Graph_XCHART_1">#REF!</definedName>
    <definedName name="FDP_111_1_aUrv">#REF!</definedName>
    <definedName name="_2__123Graph_BCHART_4H">#REF!</definedName>
    <definedName name="__123Graph_F">#REF!</definedName>
    <definedName name="BLPB94">#REF!</definedName>
    <definedName name="__123Graph_AUSPIP">#REF!</definedName>
    <definedName name="IQRCapIQIDPullH13">#REF!</definedName>
    <definedName name="_bdm.FA5AD8608BF447A19C39E2A014CBA028.edm">#REF!</definedName>
    <definedName name="IQRCapIQIDPullN43">#REF!</definedName>
    <definedName name="__123Graph_XCHART1">#REF!</definedName>
    <definedName name="RRW">#REF!</definedName>
    <definedName name="XREF_COLUMN_22">#REF!</definedName>
    <definedName localSheetId="7" name="RedefinePrintTableRange">#REF!</definedName>
    <definedName name="BDOCheckTrue">#REF!</definedName>
    <definedName name="_12__123Graph_ACHART_4">#REF!</definedName>
    <definedName name="BLPB87">#REF!</definedName>
    <definedName name="SEF_Sales_Trend">#REF!</definedName>
    <definedName name="FDP_97_1_aSrv">#REF!</definedName>
    <definedName name="__123Graph_ACHART1">#REF!</definedName>
    <definedName name="BLPB46">#REF!</definedName>
    <definedName name="FDP_122_1_aUrv">#REF!</definedName>
    <definedName name="IQRDataSheetDP52">#REF!</definedName>
    <definedName name="____DF4">#REF!</definedName>
    <definedName name="_bdm.F9A3185EB0A6456B8B4C9BD249BDD96B.edm">#REF!</definedName>
    <definedName name="_bdm.881C11335FC4476E8AD892C6D69EC4D8.edm">#REF!</definedName>
    <definedName name="DATA_07">#REF!</definedName>
    <definedName name="FDP_137_1_aUrv">#REF!</definedName>
    <definedName name="SUPPSCHED">#REF!</definedName>
    <definedName name="_bdm.EC0FED27E529455D83389B00BE827DC1.edm">#REF!</definedName>
    <definedName name="FDP_196_1_aUdv">#REF!</definedName>
    <definedName name="FDP_98_1_aDrv">#REF!</definedName>
    <definedName name="_bdm.B3FB7BFCF8C24F9B80738015F477FA7D.edm">#REF!</definedName>
    <definedName name="__123Graph_XOPNETGRA">#REF!</definedName>
    <definedName name="ZXZx">#REF!</definedName>
    <definedName name="__123Graph_CMEXDSO">#REF!</definedName>
    <definedName name="_123Graph_A">#REF!</definedName>
    <definedName name="_bdm.4691602F391E433B882576A2EE523B32.edm">#REF!</definedName>
    <definedName name="BLPB12">#REF!</definedName>
    <definedName name="p.Covenants_Titles">#REF!</definedName>
    <definedName name="__123Graph_XTOTDSO">#REF!</definedName>
    <definedName name="__123Graph_ECURRENT">#REF!</definedName>
    <definedName localSheetId="7" name="ChangeRange">#REF!</definedName>
    <definedName name="Swvu.PRT.">#REF!</definedName>
    <definedName name="BLPH88">#REF!</definedName>
    <definedName name="_bdm.2B5FE286FD31474C86081094B6E54935.edm">#REF!</definedName>
    <definedName name="_1__123Graph_ACHART_4H">#REF!</definedName>
    <definedName name="junk1">#REF!</definedName>
    <definedName name="_bdm.F732BDB633DB4E18BA71319AE38E65A4.edm">#REF!</definedName>
    <definedName name="BLPI3">#REF!</definedName>
    <definedName name="_bdm.78E2B1240B8B42A39971554EB5AC247F.edm">#REF!</definedName>
    <definedName name="_bdm.3207604AA08C45C7A0EE7ED0609AC8C5.edm">#REF!</definedName>
    <definedName name="ac">#REF!</definedName>
    <definedName localSheetId="6" name="MerrillPrintIt">#REF!</definedName>
    <definedName name="qawerhqreh">#REF!</definedName>
    <definedName name="IQRDataSheetDP31">#REF!</definedName>
    <definedName name="BLPB107">#REF!</definedName>
    <definedName name="_bdm.B5E1CE290D664EC9908CE120B7DDB7AD.edm">#REF!</definedName>
    <definedName name="_bdm.75B01926043541D1A6556368F1C63207.edm">#REF!</definedName>
    <definedName name="DSIndHiddenYear3">#REF!</definedName>
    <definedName name="_bdm.82FEBB8AB6FA44BC9364E61EE0F6DE18.edm">#REF!</definedName>
    <definedName name="IQRRelativePVB14">#REF!</definedName>
    <definedName name="__123Graph_XCHART2">#REF!</definedName>
    <definedName name="XRefPaste7Row">#REF!</definedName>
    <definedName name="FDP_44_1_aUrv">#REF!</definedName>
    <definedName name="ZKZK">#REF!</definedName>
    <definedName name="__123Graph_C">#REF!</definedName>
    <definedName name="FDP_191_1_aUdv">#REF!</definedName>
    <definedName name="_bdm.5C6D0D9D93BD4742A18A5B8A51E9F99E.edm">#REF!</definedName>
    <definedName name="p.CreditStats">#REF!</definedName>
    <definedName name="_bdm.045725A469A146049D05B901FD91C808.edm">#REF!</definedName>
    <definedName name="_bdm.19DC00AFFB61436B916670E6F82993D9.edm">#REF!</definedName>
    <definedName name="_bdm.CCEF8C99A5964846BC975EE0AA416535.edm">#REF!</definedName>
    <definedName name="ACwvu.ALL.">#REF!</definedName>
    <definedName localSheetId="11" name="ChangeRange">#REF!</definedName>
    <definedName name="BDOCheckMinor">#REF!</definedName>
    <definedName name="IQRCapIQIDPullN54">#REF!</definedName>
    <definedName name="_bdm.08347EC17CFA4831A27665426D95CBE3.edm">#REF!</definedName>
    <definedName name="_bdm.C04F078FF77840BFB05B43A4DA79031A.edm">#REF!</definedName>
    <definedName name="FDP_47_1_aUrv">#REF!</definedName>
    <definedName name="_bdm.BF464F28B96A47E2B498166B4439A886.edm">#REF!</definedName>
    <definedName name="_bdm.623B059E76514313BEA9E83309A5D195.edm">#REF!</definedName>
    <definedName name="XRefPaste6Row">#REF!</definedName>
    <definedName name="_bdm.3A00BFB064C349C18F2DAF14BB84C865.edm">#REF!</definedName>
    <definedName name="_bdm.96F2B8722D9A4B43AC3D9981DC509338.edm">#REF!</definedName>
    <definedName name="_17__123Graph_LBL_ACHART_3">#REF!</definedName>
    <definedName name="__123Graph_ASACAS">#REF!</definedName>
    <definedName name="XRefPaste31Row">#REF!</definedName>
    <definedName name="__123Graph_BGRAPH1">#REF!</definedName>
    <definedName name="FDP_70_1_aUrv">#REF!</definedName>
    <definedName name="FDP_164_1_aUrv">#REF!</definedName>
    <definedName name="_3__123Graph_ACHART_4">#REF!</definedName>
    <definedName name="FDP_163_1_aSrv">#REF!</definedName>
    <definedName name="_bdm.AD6766E08FCB467E8B669B40D877B929.edm">#REF!</definedName>
    <definedName name="_54__123Graph_LBL_CCHART_3">#REF!</definedName>
    <definedName name="FDP_178_1_aDrv">#REF!</definedName>
    <definedName name="_bdm.10521C6931054F108320029711F55E08.edm">#REF!</definedName>
    <definedName name="rename1">#REF!</definedName>
    <definedName name="Cwvu.GREY_ALL.">#REF!</definedName>
    <definedName name="XRefPaste9Row">#REF!</definedName>
    <definedName name="_bdm.FF269D10713B43AE84EB8700D190E853.edm">#REF!</definedName>
    <definedName name="XRefPaste34Row">#REF!</definedName>
    <definedName name="FDP_112_1_aUrv">#REF!</definedName>
    <definedName name="_pcSlicerSheet16_Slicer1">#REF!</definedName>
    <definedName name="DSIndHistHiddenYear5">#REF!</definedName>
    <definedName name="r.Summary">#REF!</definedName>
    <definedName name="_bdm.329FD9CDA97C40029C4A921D6224414B.edm">#REF!</definedName>
    <definedName name="hn._I085">#REF!</definedName>
    <definedName name="XRefCopy4">#REF!</definedName>
    <definedName name="_bdm.29B6C90491534050B2C5F5D0FAC008D1.edm">#REF!</definedName>
    <definedName name="_bdm.10C7181EFB9C4A8E9119A23D910FEE5F.edm">#REF!</definedName>
    <definedName name="WEWEWTWETWET">#REF!</definedName>
    <definedName name="_bdm.142F6DDBBFBE4B85A0450ABB2111F569.edm">#REF!</definedName>
    <definedName name="IQRDataSheetDP18">#REF!</definedName>
    <definedName name="_bdm.0DCF3CE421554A9082E0B8A40DBD6FA4.edm">#REF!</definedName>
    <definedName name="_bdm.D824635185544CA1AF896F102368FB62.edm">#REF!</definedName>
    <definedName name="_bdm.3FD5B52068BC4268A674B5E038EF8617.edm">#REF!</definedName>
    <definedName name="_bdm.A2C1A5060C6344E1A582BAD5AE6EF53D.edm">#REF!</definedName>
    <definedName name="YYYYYYY">#REF!</definedName>
    <definedName name="FDP_71_1_aUrv">#REF!</definedName>
    <definedName name="_bdm.219019D8D14E48DCB80FC2F2972A3E4F.edm">#REF!</definedName>
    <definedName name="__123Graph_DEURDSO">#REF!</definedName>
    <definedName name="_bdm.27A6C0B6DEAE48388EE17DB48CF0545F.edm">#REF!</definedName>
    <definedName name="_bdm.E84AAA0FBA484CD4AA99869AE1DF13C8.edm">#REF!</definedName>
    <definedName name="IQB_BOOKMARK_LOCATION_5">#REF!</definedName>
    <definedName localSheetId="12" name="DeleteTable">#REF!</definedName>
    <definedName name="DFHDHDHDH">#REF!</definedName>
    <definedName name="solver_opt">#REF!</definedName>
    <definedName name="_bdm.25B795C4E6A44D30A98311C96332BCF0.edm">#REF!</definedName>
    <definedName name="IQB_BOOKMARK_LOCATION_0">#REF!</definedName>
    <definedName name="FDP_67_1_aUrv">#REF!</definedName>
    <definedName name="BLPH1000003">#REF!</definedName>
    <definedName name="_bdm.C8003552E7AD4B88B87D1409C3D9B12E.edm">#REF!</definedName>
    <definedName name="FDP_7_1_aSrv">#REF!</definedName>
    <definedName name="_bdm.91CD4DEC29C049BD929A8110F777B566.edm">#REF!</definedName>
    <definedName name="IQRPeerGroupMAAH61">#REF!</definedName>
    <definedName name="_bdm.FE758129DDB740FA950B34C638D718FF.edm">#REF!</definedName>
    <definedName name="_bdm.67AB1D9CDB5C4FD39F333BB0BBA820CE.edm">#REF!</definedName>
    <definedName name="__123Graph_B">#REF!</definedName>
    <definedName name="_23__123Graph_AChart_6">#REF!</definedName>
    <definedName name="__123Graph_BSALES">#REF!</definedName>
    <definedName name="_bdm.8BFE33F0D91B4D5EB60269CC7CE8D37F.edm">#REF!</definedName>
    <definedName name="_Table2_In1">#REF!</definedName>
    <definedName name="FDP_173_1_aDrv">#REF!</definedName>
    <definedName name="BLPB29">#REF!</definedName>
    <definedName name="hn._I077">#REF!</definedName>
    <definedName name="__19__123Graph_XCHART_1">#REF!</definedName>
    <definedName name="_30__123Graph_CCHART_3">#REF!</definedName>
    <definedName name="_bdm.3803A7941AB5419A8F5B3F22659B0C31.edm">#REF!</definedName>
    <definedName name="dadsf">#REF!</definedName>
    <definedName name="tfill">#REF!</definedName>
    <definedName name="_bdm.1848655873D64F02B0C21EA075FE78F5.edm">#REF!</definedName>
    <definedName name="IQRCapIQIDPullH72">#REF!</definedName>
    <definedName name="XREF_COLUMN_14">#REF!</definedName>
    <definedName name="_bdm.5DB0585B5F2249CFBECF5314BC75BB67.edm">#REF!</definedName>
    <definedName name="Z_9118CF73_A0E0_408F_82FC_D7B84F445576_.wvu.Cols">#REF!</definedName>
    <definedName name="Swvu.CapersView.">#REF!</definedName>
    <definedName name="_21__123Graph_BCHART_4">#REF!</definedName>
    <definedName name="_pcSlicerSheet18_Slicer2">#REF!</definedName>
    <definedName name="TGP">#REF!</definedName>
    <definedName name="_bdm.E18630D9EA3D40E49A458795BBBF24D9.edm">#REF!</definedName>
    <definedName name="_bdm.BFD348C94CE74B9B948C48D10A79AB56.edm">#REF!</definedName>
    <definedName name="BLPH100">#REF!</definedName>
    <definedName name="kyd.ElementList.02.">#REF!</definedName>
    <definedName name="hn.CopyforPR">#REF!</definedName>
    <definedName name="ExRate_Yr6">#REF!</definedName>
    <definedName name="BLPB30">#REF!</definedName>
    <definedName name="BLPB83">#REF!</definedName>
    <definedName name="FDP_75_1_aUrv">#REF!</definedName>
    <definedName name="XRefPaste27Row">#REF!</definedName>
    <definedName name="__123Graph_XEXPDSO">#REF!</definedName>
    <definedName name="__123Graph_AAPPIP">#REF!</definedName>
    <definedName name="_8__123Graph_ACHART_3">#REF!</definedName>
    <definedName name="_bdm.C2C8C5053CD8452EA68B57871BA7BBC2.edm">#REF!</definedName>
    <definedName name="CIQANR_5a577ce641ea41b5a378e5fe2647d2eb">#REF!</definedName>
    <definedName name="Exchange_Rates">#REF!</definedName>
    <definedName name="_bdm.05C2D837C14941B5BA8921164BAFD1E2.edm">#REF!</definedName>
    <definedName name="Blank8">#REF!</definedName>
    <definedName name="FDP_147_1_aUrv">#REF!</definedName>
    <definedName name="_bdm.AC7E3E5F84EC4B798DC9D5ED496E6C5C.edm">#REF!</definedName>
    <definedName name="_bdm.88DFEC77CFBB4956834BC715FC05200D.edm">#REF!</definedName>
    <definedName name="_bdm.6C1DD4364C5149E88F3B7F6ACC85440F.edm">#REF!</definedName>
    <definedName name="DATA_04">#REF!</definedName>
    <definedName name="__123Graph_XEURPIP">#REF!</definedName>
    <definedName name="IQRCapIQIDPullN75">#REF!</definedName>
    <definedName name="solver_lhs6">#REF!</definedName>
    <definedName name="rngEndDate">#REF!</definedName>
    <definedName name="_12__123Graph_XCHART_1">#REF!</definedName>
    <definedName name="Woods">#REF!</definedName>
    <definedName name="XREF_COLUMN_1">#REF!</definedName>
    <definedName name="FDP_14_1_aDrv">#REF!</definedName>
    <definedName name="SUPPSCHED2">#REF!</definedName>
    <definedName name="_bdm.F8D37F6BEAC84BEF9146866533097162.edm">#REF!</definedName>
    <definedName name="ExRate_Yr5">#REF!</definedName>
    <definedName name="_pcSlicerSheet10_Slicer2">#REF!</definedName>
    <definedName name="_bdm.418392816ED046BBA05C601E57A678F3.edm">#REF!</definedName>
    <definedName name="_bdm.27C64C8586AE42B6B69CBABDD8DD6F86.edm">#REF!</definedName>
    <definedName name="__123Graph_CDONATMO">#REF!</definedName>
    <definedName name="_bdm.053C19DDE71146C7BB353DB80848FFA0.edm">#REF!</definedName>
    <definedName name="__123Graph_XCANDSO">#REF!</definedName>
    <definedName name="IsSecureSenior1">#REF!</definedName>
    <definedName name="FDP_25_1_aUrv">#REF!</definedName>
    <definedName name="IsSecureSenior4">#REF!</definedName>
    <definedName name="solver_rhs10">#REF!</definedName>
    <definedName name="hn._I044">#REF!</definedName>
    <definedName name="_bdm.6AA1CB96E50A4249B1FA1F87775772CB.edm">#REF!</definedName>
    <definedName name="__123Graph_DMEXDSO">#REF!</definedName>
    <definedName name="_bdm.1F9BFE97922341DC9913B640AEC37313.edm">#REF!</definedName>
    <definedName name="IQRCapIQIDPullN26">#REF!</definedName>
    <definedName name="_mm4">#REF!</definedName>
    <definedName name="_6__123Graph_ACHART_1">#REF!</definedName>
    <definedName name="IQB_BOOKMARK_LOCATION_4">#REF!</definedName>
    <definedName name="XAxisIncr">#REF!</definedName>
    <definedName name="_bdm.77E3DB1B6A6448A88B71EC33708EDC78.edm">#REF!</definedName>
    <definedName name="_bdm.27E28DCC9F5E45A3BDDBF091A4604B8C.edm">#REF!</definedName>
    <definedName name="IQRCapIQIDPullH65">#REF!</definedName>
    <definedName name="BLPB45">#REF!</definedName>
    <definedName name="BLPB54">#REF!</definedName>
    <definedName name="FDP_181_1_aUrv">#REF!</definedName>
    <definedName name="_bdm.A19BD2EDEAA34E56A8BB4CFDAC711D1B.edm">#REF!</definedName>
    <definedName name="IQRCapIQIDPullH57">#REF!</definedName>
    <definedName name="_bdm.757ADFFFDF1A4B06B02526052279A658.edm">#REF!</definedName>
    <definedName name="XREF_COLUMN_15">#REF!</definedName>
    <definedName name="BLPB79">#REF!</definedName>
    <definedName name="ExRateLTM_Yr2">#REF!</definedName>
    <definedName name="__123Graph_XNTINCMO">#REF!</definedName>
    <definedName localSheetId="11" name="DeleteRange">#REF!</definedName>
    <definedName name="_bdm.30A08561BDCA4971AEBB2D511AF0912F.edm">#REF!</definedName>
    <definedName name="FDP_121_1_aUrv">#REF!</definedName>
    <definedName name="IQRDataSheetDP19">#REF!</definedName>
    <definedName name="FDP_156_1_aUrv">#REF!</definedName>
    <definedName localSheetId="8" name="DeleteTable">#REF!</definedName>
    <definedName name="_bdm.B858ADD3FEAD431085F6D77CE87AF482.edm">#REF!</definedName>
    <definedName name="_bdm.DFBE57D240B5461D813C216169C15E9A.edm">#REF!</definedName>
    <definedName name="Slicer_Task_Name">#REF!</definedName>
    <definedName name="XRefPaste5">#REF!</definedName>
    <definedName name="SEF_profit_chart">#REF!</definedName>
    <definedName name="WARZ">#REF!</definedName>
    <definedName name="FDP_169_1_aDrv">#REF!</definedName>
    <definedName name="hn._P017g">#REF!</definedName>
    <definedName name="_Parse_Out">#REF!</definedName>
    <definedName name="_bdm.D5E561EBD92B4887A1BB5A944ECDBDFA.edm">#REF!</definedName>
    <definedName name="_bdm.DBF8F79D2FE244698C14155A4A3CFA25.edm">#REF!</definedName>
    <definedName name="delete">#REF!</definedName>
    <definedName name="_bdm.BA4AF58A6250465B80D5A147F295D4DE.edm">#REF!</definedName>
    <definedName name="_bdm.B91BF0A48D364AFE9B706DF758CA7B5B.edm">#REF!</definedName>
    <definedName name="Rwvu.KJP_CC.">#REF!</definedName>
    <definedName name="_bdm.5C9D3FF18E474F08A252A7A33930598E.edm">#REF!</definedName>
    <definedName name="__123Graph_DCHART1">#REF!</definedName>
    <definedName name="lotusgraphchart1x">#REF!</definedName>
    <definedName name="__123Graph_X">#REF!</definedName>
    <definedName name="_pcSlicerSheet6_Slicer1">#REF!</definedName>
    <definedName name="BLPB90">#REF!</definedName>
    <definedName name="U">#REF!</definedName>
    <definedName name="BLPH4">#REF!</definedName>
    <definedName name="__123Graph_BDONAGRA">#REF!</definedName>
    <definedName name="_bdm.D1FE6606321A4E308AF1787067A8C814.edm">#REF!</definedName>
    <definedName name="_bdm.6CF948DFF4CA4E74B9226183938ACDB6.edm">#REF!</definedName>
    <definedName name="XREF_COLUMN_7">#REF!</definedName>
    <definedName name="_bdm.CD7973B02F534A888A7F14E92AE7E578.edm">#REF!</definedName>
    <definedName name="IQRCapIQIDPullN55">#REF!</definedName>
    <definedName name="_bdm.65f5c880e902405091df26ee32ec2013.edm">#REF!</definedName>
    <definedName name="_10__123Graph_BCHART_1">#REF!</definedName>
    <definedName name="_bdm.98CDF015E8FE4315B61B3BFE13898812.edm">#REF!</definedName>
    <definedName name="YAxisIncr">#REF!</definedName>
    <definedName name="sfdk">#REF!</definedName>
    <definedName name="_bdm.B0CFD1EEA380419BA2C53B03448D1285.edm">#REF!</definedName>
    <definedName name="_13__123Graph_BCHART_2">#REF!</definedName>
    <definedName name="_19__123Graph_DCHART_1">#REF!</definedName>
    <definedName localSheetId="12" name="ContentsHelp">#REF!</definedName>
    <definedName name="BLPH108">#REF!</definedName>
    <definedName name="_bdm.AD3A6C0BAC68459FBE3975DC620D8C90.edm">#REF!</definedName>
    <definedName name="_Pat1">#REF!</definedName>
    <definedName name="__4__123Graph_ACHART_8">#REF!</definedName>
    <definedName name="_bdm.5E7F617B6BCF41CEB1E7BD9B748CBBE3.edm">#REF!</definedName>
    <definedName name="BLPH53">#REF!</definedName>
    <definedName name="_bdm.5EE386060E11431C94266FE21A51ADB3.edm">#REF!</definedName>
    <definedName name="BLPB60">#REF!</definedName>
    <definedName name="FDP_77_1_aUrv">#REF!</definedName>
    <definedName name="rngShow">#REF!</definedName>
    <definedName name="XRefPaste6">#REF!</definedName>
    <definedName name="FDP_172_1_aDrv">#REF!</definedName>
    <definedName name="_30__123Graph_LBL_ACHART_4">#REF!</definedName>
    <definedName name="CVHKCVHKKVHVHKCVHKHKCVCVHK">#REF!</definedName>
    <definedName name="__123Graph_XUSPIP">#REF!</definedName>
    <definedName name="IQRPeerGroupMAW61">#REF!</definedName>
    <definedName name="XRefCopy3Row">#REF!</definedName>
    <definedName name="_bdm.F444C53E9AD64F2D9BC76CA83B705B3E.edm">#REF!</definedName>
    <definedName name="_bdm.D14BB958E5884CC19D1A1FE85E27CABC.edm">#REF!</definedName>
    <definedName name="IQRCapIQIDPullN28">#REF!</definedName>
    <definedName name="NFairValueCY">#REF!</definedName>
    <definedName name="CIQANR_393fab8b2bae453394ecd03d0046c94d">#REF!</definedName>
    <definedName name="_bdm.5DE54CC3CB984843B6B6B89E3A748F65.edm">#REF!</definedName>
    <definedName name="BLPB51">#REF!</definedName>
    <definedName localSheetId="1" name="MerrillPrintIt">#REF!</definedName>
    <definedName name="_bdm.020B9A151BC94DF796207C69F2575D8C.edm">#REF!</definedName>
    <definedName name="BLPH86">#REF!</definedName>
    <definedName name="AS2TickmarkLS">#REF!</definedName>
    <definedName localSheetId="11" name="ContentsHelp">#REF!</definedName>
    <definedName name="NCompExp">#REF!</definedName>
    <definedName name="_bdm.1D2F6BABA6744956ABCE249CE33BD5E9.edm">#REF!</definedName>
    <definedName name="_bdm.F5B0CEAF44BC42AB9CDD942262239F49.edm">#REF!</definedName>
    <definedName name="IQRPeerGroupMAE61">#REF!</definedName>
    <definedName name="IQRCapIQIDPullN79">#REF!</definedName>
    <definedName name="_bdm.DE7D382C2635442DB0954D25283AC608.edm">#REF!</definedName>
    <definedName name="_bdm.1969BB18ED5948BEA808FBA1549FAAFD.edm">#REF!</definedName>
    <definedName name="_bdm.19575CE001CF4A55BEC20F1D0146AC95.edm">#REF!</definedName>
    <definedName name="Footnote5">#REF!</definedName>
    <definedName name="_bdm.803667C105C14884B5A6CB9298713468.edm">#REF!</definedName>
    <definedName name="qwjkehqjkwhy">#REF!</definedName>
    <definedName name="FHJ">#REF!</definedName>
    <definedName name="XREF_COLUMN_4">#REF!</definedName>
    <definedName name="_bdm.5027225510644DF88418648672B20675.edm">#REF!</definedName>
    <definedName name="dscv">#REF!</definedName>
    <definedName name="_bdm.0FE579AE6EBE4A03AEA35A7F7B449830.edm">#REF!</definedName>
    <definedName name="__123Graph_CCHART2">#REF!</definedName>
    <definedName name="IQRDataSheetDP15">#REF!</definedName>
    <definedName name="_bdm.E914DCB1872D458D8978B6DD8E02BA50.edm">#REF!</definedName>
    <definedName name="lotusgraphchart1b">#REF!</definedName>
    <definedName name="sdvcx">#REF!</definedName>
    <definedName name="_bdm.21D70E5051C24CA0915BCFAE36BC3A8B.edm">#REF!</definedName>
    <definedName name="BLPB93">#REF!</definedName>
    <definedName name="FDP_119_1_aUrv">#REF!</definedName>
    <definedName name="_bdm.105A6EA88498413DA917C0CED815D258.edm">#REF!</definedName>
    <definedName name="_bdm.220ABDB127024EEF88978546727EAC0D.edm">#REF!</definedName>
    <definedName name="mikke">#REF!</definedName>
    <definedName name="_bdm.E7E6C55D5A074E59BC7D647F3046571D.edm">#REF!</definedName>
    <definedName name="_bdm.D020ED2ECE4848F485BACF3A6601FA25.edm">#REF!</definedName>
    <definedName name="__123Graph_XGRAPH1">#REF!</definedName>
    <definedName name="solver_lhs3">#REF!</definedName>
    <definedName name="_20__123Graph_CCHART_3">#REF!</definedName>
    <definedName name="__8__123Graph_BCHART_8">#REF!</definedName>
    <definedName name="NetIncomeGraph1">#REF!</definedName>
    <definedName name="r.LTM">#REF!</definedName>
    <definedName name="BLPB47">#REF!</definedName>
    <definedName name="_123Graph_C">#REF!</definedName>
    <definedName name="_pcSlicerSheet5_Slicer1">#REF!</definedName>
    <definedName name="BLPH94">#REF!</definedName>
    <definedName name="_P00comps2">#REF!</definedName>
    <definedName name="FDP_168_1_aDrv">#REF!</definedName>
    <definedName localSheetId="7" name="NewRange">#REF!</definedName>
    <definedName name="_bdm.BB7DC6374E7C4CE6BD20BF592C7B6176.edm">#REF!</definedName>
    <definedName name="_bdm.1E174FF182FE4327AC9992C9CB30CEB1.edm">#REF!</definedName>
    <definedName name="__123Graph_AEXPPIP">#REF!</definedName>
    <definedName name="_DF4">#REF!</definedName>
    <definedName name="XRefCopy27">#REF!</definedName>
    <definedName name="AS2StaticLS">#REF!</definedName>
    <definedName name="rngRefreshedDate">#REF!</definedName>
    <definedName name="hn._I031">#REF!</definedName>
    <definedName name="IQRCapIQIDPullN13">#REF!</definedName>
    <definedName name="_bdm.7C350B6A981F4654BBF9123071309DBC.edm">#REF!</definedName>
    <definedName name="FDP_200_1_aDdv">#REF!</definedName>
    <definedName name="_33__123Graph_CCHART_8">#REF!</definedName>
    <definedName name="_bdm.DDB6CE09E8A14C0E976E17AFB7637E76.edm">#REF!</definedName>
    <definedName name="_bdm.E41EFB5D67CA4F098426416C424233E9.edm">#REF!</definedName>
    <definedName name="_bdm.8D7C809E256D488EA330D7C849FFFD49.edm">#REF!</definedName>
    <definedName name="_bdm.A4C2FE39322F4A2B912B61ED693BB84A.edm">#REF!</definedName>
    <definedName name="_bdm.E2DE8527FE52411392CE06BD5481ADA1.edm">#REF!</definedName>
    <definedName name="__123Graph_XHIDRATADO">#REF!</definedName>
    <definedName name="_bdm.61E1F0AD82274477BCF41D5ECFC8A1DB.edm">#REF!</definedName>
    <definedName name="hn._I030">#REF!</definedName>
    <definedName name="FDP_19_1_aDrv">#REF!</definedName>
    <definedName name="_bdm.AB0EED42CDB442E78F09BE45F4535AF7.edm">#REF!</definedName>
    <definedName name="_bdm.A51FF886F36547B7A0E6590859ACFA18.edm">#REF!</definedName>
    <definedName name="_pcSlicerSheet7_Slicer1">#REF!</definedName>
    <definedName name="_bdm.772FC7347F12488C9B6F749FB5AE5A1B.edm">#REF!</definedName>
    <definedName name="_bdm.1AD2C974E8284EE29AE32645380BD610.edm">#REF!</definedName>
    <definedName name="_bdm.09CEF7044C834245B50891A0C8ED760E.edm">#REF!</definedName>
    <definedName name="Swvu.Japan_Capers_Ed_Pub.">#REF!</definedName>
    <definedName name="_bdm.431BCA8CC3A54BEF95334167F0F8EC55.edm">#REF!</definedName>
    <definedName name="_bdm.0488B6EB24544945BFED70BB8E99B121.edm">#REF!</definedName>
    <definedName name="IQRPeerGroupMAT61">#REF!</definedName>
    <definedName name="_39__123Graph_XCHART_2">#REF!</definedName>
    <definedName name="_bdm.327EA03D3A584F82A302CFE810FD977E.edm">#REF!</definedName>
    <definedName name="FDP_24_1_aDrv">#REF!</definedName>
    <definedName name="_bdm.6C11E49A487B49DFBA9A2D782D814CD2.edm">#REF!</definedName>
    <definedName name="_bdm.9EAECDBD8291451D98EA4C42080A6B70.edm">#REF!</definedName>
    <definedName name="_bdm.0A56FBB4D3E94D76915CFA92934E6A25.edm">#REF!</definedName>
    <definedName name="_bdm.3F61F9E890F74209BA6DAA4137682DA0.edm">#REF!</definedName>
    <definedName name="_bdm.2954882716114685A8F9069F2F4D3CE5.edm">#REF!</definedName>
    <definedName name="_bdm.ABB7F168219D4287982D28A39DE34188.edm">#REF!</definedName>
    <definedName name="_bdm.3D28B5C0B3174E7695148CD2BBC5E746.edm">#REF!</definedName>
    <definedName name="_bdm.9EA6DE0CADDB4633933E62BD5A305EFC.edm">#REF!</definedName>
    <definedName name="IQRCapIQIDPullN65">#REF!</definedName>
    <definedName name="XRefCopy2Row">#REF!</definedName>
    <definedName name="NClassBOutStanding">#REF!</definedName>
    <definedName name="_bdm.30B76ABB9C2649D6926870B0EEC13693.edm">#REF!</definedName>
    <definedName name="_bdm.ED8021DABE244DACAB7967D8BD02933B.edm">#REF!</definedName>
    <definedName name="_bdm.40607C88C8FA4F84A9A2EF5BE9BF4562.edm">#REF!</definedName>
    <definedName name="_10__123Graph_ACHART_7">#REF!</definedName>
    <definedName name="__123Graph_CDONAGRA">#REF!</definedName>
    <definedName name="_bdm.014B48EB5A2B4F91AF7082913FF881BF.edm">#REF!</definedName>
    <definedName name="_bdm.81009E44167944CAA0BAA27E4A5B2B15.edm">#REF!</definedName>
    <definedName name="BLPH98">#REF!</definedName>
    <definedName name="_bdm.22ADEF1DBA16429F9BA2083CBC357A06.edm">#REF!</definedName>
    <definedName name="_bdm.2A7F0634550741A382BE070198E19D44.edm">#REF!</definedName>
    <definedName name="_15__123Graph_BCHART_6">#REF!</definedName>
    <definedName name="_pcSlicerSheet3_Slicer1">#REF!</definedName>
    <definedName name="FDP_18_1_aUrv">#REF!</definedName>
    <definedName name="WET">#REF!</definedName>
    <definedName name="_bdm.196E2C1A7BD14EB9BA42E1F187F09491.edm">#REF!</definedName>
    <definedName name="BLPH10">#REF!</definedName>
    <definedName name="FDP_170_1_aDrv">#REF!</definedName>
    <definedName name="_bdm.700CE76222FF47CF9F426F464056CB07.edm">#REF!</definedName>
    <definedName name="__123Graph_DUSDSO">#REF!</definedName>
    <definedName name="_bdm.77FD22E7B14C4EE3853B7BCADC5859B5.edm">#REF!</definedName>
    <definedName name="_bdm.726808AF6ACB495FA1B21036DFA75F1F.edm">#REF!</definedName>
    <definedName name="zzzzzzzzzzz">#REF!</definedName>
    <definedName name="_bdm.5145E2374A1143C49FA71355CDB89252.edm">#REF!</definedName>
    <definedName name="_bdm.92795785E4A448FF93C8CA5E7DF7820B.edm">#REF!</definedName>
    <definedName name="XRefPaste18Row">#REF!</definedName>
    <definedName name="__123Graph_ATOTPIP">#REF!</definedName>
    <definedName name="rngUnplugged">#REF!</definedName>
    <definedName name="FDP_46_1_aSrv">#REF!</definedName>
    <definedName name="_44__123Graph_XCHART_8">#REF!</definedName>
    <definedName name="BLPB61">#REF!</definedName>
    <definedName name="_bdm.45454F7247BC4361AA496FB26BE6337D.edm">#REF!</definedName>
    <definedName name="_bdm.84dd219bd63c474aa79a6168ad2c40fd.edm">#REF!</definedName>
    <definedName name="XREF_COLUMN_2">#REF!</definedName>
    <definedName name="_bdm.5CD53986D7FF4559A19CFB74490F0BD8.edm">#REF!</definedName>
    <definedName name="solver_lhs1">#REF!</definedName>
    <definedName name="_bdm.39DBCB3477184F08A33A0E519E6D7698.edm">#REF!</definedName>
    <definedName name="_bdm.66B8A86AA38B4D169352E2FDFDAA0D09.edm">#REF!</definedName>
    <definedName name="_bdm.C1BB772F57604D329D796EEDAA103B80.edm">#REF!</definedName>
    <definedName name="BLPB14">#REF!</definedName>
    <definedName name="BLPB73">#REF!</definedName>
    <definedName name="CIQANR_f9f52bdc70d3487e99884b8e8e1628fc">#REF!</definedName>
    <definedName name="_pcSlicerSheet9_Slicer2">#REF!</definedName>
    <definedName name="BLPH101">#REF!</definedName>
    <definedName name="_bdm.2A568D5E120C4CA2B2B89FC1C54F08BE.edm">#REF!</definedName>
    <definedName name="Blank4">#REF!</definedName>
    <definedName name="_bdm.3904F8F37A744B94B129398ABFAE04F8.edm">#REF!</definedName>
    <definedName name="_12__123Graph_BCHART_1">#REF!</definedName>
    <definedName name="_bdm.F7E091AD74D2486AA2AA80A8F256087D.edm">#REF!</definedName>
    <definedName name="temppp">#REF!</definedName>
    <definedName name="IQRCapIQIDPullN60">#REF!</definedName>
    <definedName name="IQRDataSheetDP39">#REF!</definedName>
    <definedName name="CompRange2Main">#REF!</definedName>
    <definedName name="_bdm.D5A970840F704505A3314E3C89E9F83C.edm">#REF!</definedName>
    <definedName name="_bdm.A57B1B15D3684455B41C3B30F2FA8322.edm">#REF!</definedName>
    <definedName name="__123Graph_BUSPIP">#REF!</definedName>
    <definedName name="IQRSheet1F7">#REF!</definedName>
    <definedName name="_bdm.F3340340DB0E4A4DB056FBF62E1826D8.edm">#REF!</definedName>
    <definedName name="_4__123Graph_XCHART_4H">#REF!</definedName>
    <definedName name="_bdm.0E72569B534E450BBDD4D4C08A228512.edm">#REF!</definedName>
    <definedName name="_pcSlicerSheet3_Slicer2">#REF!</definedName>
    <definedName name="IQRPeerGroupMAAE61">#REF!</definedName>
    <definedName name="BLPB99">#REF!</definedName>
    <definedName name="FDP_95_1_aUrv">#REF!</definedName>
    <definedName name="_key3">#REF!</definedName>
    <definedName name="__123Graph_CCANDSO">#REF!</definedName>
    <definedName name="_bdm.647151F8AC1D418B96CE9ACA6EA1BDA2.edm">#REF!</definedName>
    <definedName name="_bdm.D9D59AD56CFF4BD89A6E086EB6830B78.edm">#REF!</definedName>
    <definedName name="BLPB36">#REF!</definedName>
    <definedName localSheetId="7" name="DeleteTable">#REF!</definedName>
    <definedName name="_bdm.5DF8E015EACF4ACAAE4F2204CC2153F5.edm">#REF!</definedName>
    <definedName name="_bdm.2A4A1748E6784F359034878F7873359B.edm">#REF!</definedName>
    <definedName name="_bdm.7FFD65134049474BB1DB10BEBAFDF686.edm">#REF!</definedName>
    <definedName name="_bdm.6E335960AD864D5DBCE5A9EF680D2930.edm">#REF!</definedName>
    <definedName name="__123Graph_CSALESMO">#REF!</definedName>
    <definedName name="_bdm.F3CFF2BF5402457FB00E2E054D82FB37.edm">#REF!</definedName>
    <definedName name="__123Graph_ASALESMO">#REF!</definedName>
    <definedName name="BLPH110">#REF!</definedName>
    <definedName name="_bdm.5E917FD7221848AFB35D24480F4EC346.edm">#REF!</definedName>
    <definedName name="_bdm.EEECB3705D90410695934B49428C7B45.edm">#REF!</definedName>
    <definedName name="FDP_107_1_aUrv">#REF!</definedName>
    <definedName name="_bdm.5DDDC8E9462B49DAA7DEF701FACC7E0C.edm">#REF!</definedName>
    <definedName name="_bdm.5D8D55B204CB487ABFE89E021F786C24.edm">#REF!</definedName>
    <definedName name="NFairValuePY">#REF!</definedName>
    <definedName name="_bdm.16F0282E935E4F7187393AC227EC2695.edm">#REF!</definedName>
    <definedName name="_bdm.CCD8AD3B631F4A879E68F4BB562DE6FF.edm">#REF!</definedName>
    <definedName name="BLPH75">#REF!</definedName>
    <definedName name="__123Graph_LBL_A">#REF!</definedName>
    <definedName name="_bdm.DF9AC0CCB2AC4F71A75F09BAC7CA1CAA.edm">#REF!</definedName>
    <definedName name="_bdm.753ED9B1FED44FFBB388B7509BF06C97.edm">#REF!</definedName>
    <definedName name="_bdm.1FAFC0C6DEB4476EA3201A5430EDA615.edm">#REF!</definedName>
    <definedName name="_17__123Graph_BCHART_8">#REF!</definedName>
    <definedName name="_18__123Graph_ACHART_6">#REF!</definedName>
    <definedName name="BLPB41">#REF!</definedName>
    <definedName name="IQRPeerGroupMAK61">#REF!</definedName>
    <definedName localSheetId="11" name="NewRange">#REF!</definedName>
    <definedName name="_bdm.0B5E4A07F78E4E3E923312BD37FD77A2.edm">#REF!</definedName>
    <definedName name="_bdm.7F96D57FCE974A7F816D1035820FC6FF.edm">#REF!</definedName>
    <definedName name="_25__123Graph_LBL_BCHART_4">#REF!</definedName>
    <definedName name="_bdm.2FB22EE84F9649D5A86A378169BCA9E5.edm">#REF!</definedName>
    <definedName name="IQRCapIQIDPullH83">#REF!</definedName>
    <definedName name="BLPB77">#REF!</definedName>
    <definedName name="FDP_79_1_aUrv">#REF!</definedName>
    <definedName name="_bdm.E438982364844612918DE717041EF07E.edm">#REF!</definedName>
    <definedName name="FDP_10_1_aUrv">#REF!</definedName>
    <definedName name="_bdm.6738E237911843BE86AA9568F2C02915.edm">#REF!</definedName>
    <definedName name="zx">#REF!</definedName>
    <definedName name="_bdm.10DC428B5ABA42F9A486E6FB29FCFCFD.edm">#REF!</definedName>
    <definedName name="NInvestFVPY">#REF!</definedName>
    <definedName name="_bdm.7DC45D46BFBA47EFA1384C0D9AA597D1.edm">#REF!</definedName>
    <definedName name="CapitalStructure">#REF!</definedName>
    <definedName name="__123Graph_CTOTDSO">#REF!</definedName>
    <definedName name="IQRCapIQIDPullN32">#REF!</definedName>
    <definedName name="_bdm.E0F1C89529E84CBA882C8CD9AB4DEE1F.edm">#REF!</definedName>
    <definedName localSheetId="1" name="ContentsHelp">#REF!</definedName>
    <definedName name="_bdm.E9922D8ABABC437689687D3832AA918D.edm">#REF!</definedName>
    <definedName name="_2__123Graph_ACHART_3">#REF!</definedName>
    <definedName name="IQB_BOOKMARK_LOCATION_2">#REF!</definedName>
    <definedName name="_6__123Graph_ACHART_8">#REF!</definedName>
    <definedName name="FDP_54_1_aUrv">#REF!</definedName>
    <definedName localSheetId="8" name="NewRange">#REF!</definedName>
    <definedName name="__123Graph_XGRAPH2">#REF!</definedName>
    <definedName name="FDP_180_1_aUrv">#REF!</definedName>
    <definedName name="FDP_83_1_aUrv">#REF!</definedName>
    <definedName name="__123Graph_DSADSO">#REF!</definedName>
    <definedName name="FDP_37_1_aUrv">#REF!</definedName>
    <definedName localSheetId="3" name="CreateTable">#REF!</definedName>
    <definedName name="_bdm.0E2C8F2F364243E2B85FBBC94E748564.edm">#REF!</definedName>
    <definedName name="_bdm.7D7CA2623B74404EA728F9A524B65275.edm">#REF!</definedName>
    <definedName name="BLPB28">#REF!</definedName>
    <definedName name="_bdm.069E0903A0524E058DBD0D65F455B355.edm">#REF!</definedName>
    <definedName name="__17__123Graph_LBL_BCHART_4">#REF!</definedName>
    <definedName name="IQRDataSheetDP37">#REF!</definedName>
    <definedName name="XRefCopy12Row">#REF!</definedName>
    <definedName name="BLPB39">#REF!</definedName>
    <definedName name="_bdm.39C9E15CE9D24374A40E40FCDF6B0E3F.edm">#REF!</definedName>
    <definedName name="_bdm.7971B93021B648BEB0A06E2E251756CA.edm">#REF!</definedName>
    <definedName name="_27__123Graph_E_Chart_1A">#REF!</definedName>
    <definedName name="ExRate_Yr2">#REF!</definedName>
    <definedName name="IQRCapIQIDPullH25">#REF!</definedName>
    <definedName name="_bdm.7BF116DE38A64470B4E18265DDE92DC0.edm">#REF!</definedName>
    <definedName name="_s2">#REF!</definedName>
    <definedName name="_1__123Graph_ACHART_1">#REF!</definedName>
    <definedName name="ETJTRJRJ">#REF!</definedName>
    <definedName name="IQRDataSheetDP36">#REF!</definedName>
    <definedName name="BLPI4">#REF!</definedName>
    <definedName name="_bdm.9EE864F35C8D494894CE310B148B0446.edm">#REF!</definedName>
    <definedName name="_bdm.99FC09CB430E4DBEAE5223ACBE146E9E.edm">#REF!</definedName>
    <definedName name="_bdm.37206074DD284FF399122A0BAB2CC76E.edm">#REF!</definedName>
    <definedName name="BLPH62">#REF!</definedName>
    <definedName name="_bdm.4948C8A3D3E1498CBF0D60E720E7FC2D.edm">#REF!</definedName>
    <definedName name="IntroPrintArea">#REF!</definedName>
    <definedName name="FDP_179_1_aUrv">#REF!</definedName>
    <definedName name="BLPH91">#REF!</definedName>
    <definedName name="_bdm.6C5152912D93404CB7937EECADAB8826.edm">#REF!</definedName>
    <definedName name="_pcSlicerSheet_Slicer2">#REF!</definedName>
    <definedName name="hn.domestic">#REF!</definedName>
    <definedName name="XRefPaste33Row">#REF!</definedName>
    <definedName name="hn._P016">#REF!</definedName>
    <definedName name="IQRDataSheetDP22">#REF!</definedName>
    <definedName name="FDP_12_1_aDrv">#REF!</definedName>
    <definedName name="IQRDataSheetDP26">#REF!</definedName>
    <definedName name="_bdm.6BBB01F3CA2D4391930ED58472ABB475.edm">#REF!</definedName>
    <definedName name="_bdm.BFB5B95A174842F4A8F2375A9FFDAEDC.edm">#REF!</definedName>
    <definedName name="_bdm.C194714595F14520AA52E6501AEC9C62.edm">#REF!</definedName>
    <definedName name="BLPB50">#REF!</definedName>
    <definedName name="uuu">#REF!</definedName>
    <definedName name="FDP_42_1_aUrv">#REF!</definedName>
    <definedName name="__123Graph_LBL_B">#REF!</definedName>
    <definedName name="_____DF4">#REF!</definedName>
    <definedName name="BLPH78">#REF!</definedName>
    <definedName name="UU">#REF!</definedName>
    <definedName name="BLPB48">#REF!</definedName>
    <definedName name="_bdm.F16CDE695B5146908E78CDD9F5E25F2C.edm">#REF!</definedName>
    <definedName localSheetId="10" name="DeleteTable">#REF!</definedName>
    <definedName name="DateStart">#REF!</definedName>
    <definedName name="_bdm.FA206C7EF05344A1ADB2599D6DDD41D6.edm">#REF!</definedName>
    <definedName name="hn._P014">#REF!</definedName>
    <definedName name="FDP_101_1_aUrv">#REF!</definedName>
    <definedName localSheetId="10" name="ContentsHelp">#REF!</definedName>
    <definedName name="_bdm.B829D7BA98114D4389ADE0392ED309DD.edm">#REF!</definedName>
    <definedName name="mikek">#REF!</definedName>
    <definedName name="_bdm.71E778345FB6478BBFF343FCAFC083EA.edm">#REF!</definedName>
    <definedName name="BLPB76">#REF!</definedName>
    <definedName name="__DF4">#REF!</definedName>
    <definedName name="_6__123Graph_ACHART_3">#REF!</definedName>
    <definedName name="_bdm.073124E035AF46F282A5B1E87AE6E792.edm">#REF!</definedName>
    <definedName name="_bdm.A5079CC3AD6E11D6B69B0010A4860669.edm">#REF!</definedName>
    <definedName name="_bdm.1D220B6B5B164370A3CF21AC7A43A0CE.edm">#REF!</definedName>
    <definedName name="__123Graph_XDONAGRA">#REF!</definedName>
    <definedName name="_bdm.4DC3AE1E0F744F5D9EF18EA21D885678.edm">#REF!</definedName>
    <definedName name="hn._I018">#REF!</definedName>
    <definedName name="_bdm.98509675FE304640BD0099E41768A4DB.edm">#REF!</definedName>
    <definedName name="BLPH93">#REF!</definedName>
    <definedName name="FDP_30_1_aUrv">#REF!</definedName>
    <definedName name="__15__123Graph_LBL_ACHART_4">#REF!</definedName>
    <definedName name="_bdm.483CE52867F34C35A4D1B9CC11172C62.edm">#REF!</definedName>
    <definedName name="IQB_BOOKMARK_LOCATION_7">#REF!</definedName>
    <definedName name="_bdm.31CD4FCC5F8D4DB0A9A96D2AF532C817.edm">#REF!</definedName>
    <definedName name="IQRDataSheetDP33">#REF!</definedName>
    <definedName name="_bdm.68569DC481304279902D3AC0D5D9DD16.edm">#REF!</definedName>
    <definedName name="_bdm.8E6D06A125CF4280A14F77DC091CFA46.edm">#REF!</definedName>
    <definedName name="_24__123Graph_BCHART_8">#REF!</definedName>
    <definedName name="_bdm.2A2C1AD3D43746C3B145A4E98664B88E.edm">#REF!</definedName>
    <definedName name="_20__123Graph_DCHART_2">#REF!</definedName>
    <definedName name="qet">#REF!</definedName>
    <definedName name="_18__123Graph_LBL_ACHART_4">#REF!</definedName>
    <definedName name="BLPH61">#REF!</definedName>
    <definedName name="qq">#REF!</definedName>
    <definedName name="BLPB67">#REF!</definedName>
    <definedName name="_14__123Graph_LBL_DCHART_1">#REF!</definedName>
    <definedName name="IQRPeerGroupMAAC61">#REF!</definedName>
    <definedName name="ytd">#REF!</definedName>
    <definedName name="IQRPeerGroupMAAG61">#REF!</definedName>
    <definedName name="qerherhrh">#REF!</definedName>
    <definedName name="_26__123Graph_DCHART_8">#REF!</definedName>
    <definedName name="__123Graph_FCURRENT">#REF!</definedName>
    <definedName name="BLPB21">#REF!</definedName>
    <definedName name="_pcSlicerSheet4_Slicer1">#REF!</definedName>
    <definedName name="_bdm.9C8876C5F2F944A48FA5B41955C926C2.edm">#REF!</definedName>
    <definedName name="XXXXXXXXXX">#REF!</definedName>
    <definedName name="FDP_201_1_aDdv">#REF!</definedName>
    <definedName name="_pcSlicerSheet8_Slicer2">#REF!</definedName>
    <definedName name="_21__123Graph_AChart_4">#REF!</definedName>
    <definedName name="FDP_66_1_aSrv">#REF!</definedName>
    <definedName name="_bdm.C4A2B53F49104E5CAC02F6530DE4A74A.edm">#REF!</definedName>
    <definedName name="__1__123Graph_ACHART_1">#REF!</definedName>
    <definedName name="_38__123Graph_XCHART_1">#REF!</definedName>
    <definedName name="_bdm.E2C81FF2C2BF4F83968533878A6B9BA4.edm">#REF!</definedName>
    <definedName name="_bdm.50189a56ad9647f388607a37458b4f4c.edm">#REF!</definedName>
    <definedName name="_bdm.5CA6D5D9D886488B9DF12098BDEC2D3E.edm">#REF!</definedName>
    <definedName localSheetId="1" name="NewRange">#REF!</definedName>
    <definedName name="_bdm.F996A483C4DF4D2FB1219B6012D3EDD4.edm">#REF!</definedName>
    <definedName name="_bdm.806E1688796F40A79ED47C192C17E994.edm">#REF!</definedName>
    <definedName name="ULZUL">#REF!</definedName>
    <definedName name="_bdm.E52699831A844B698D1F4BC04ADD6956.edm">#REF!</definedName>
    <definedName name="_bdm.BD509C20E7EC48209EAF4412A90E9CC1.edm">#REF!</definedName>
    <definedName name="_bdm.02B4C75159F04199B8934F516F6AA809.edm">#REF!</definedName>
    <definedName name="XRefPaste1Row">#REF!</definedName>
    <definedName name="_bdm.1925861F1AF14194919CB2978FCDE43B.edm">#REF!</definedName>
    <definedName name="_bdm.D41457ED29A0432B9E96210775CD9097.edm">#REF!</definedName>
    <definedName name="FDP_130_1_aUrv">#REF!</definedName>
    <definedName name="_bdm.F5C51698EE854B5685E4BC4C7C01FC72.edm">#REF!</definedName>
    <definedName name="ONYX19970501222055">#REF!</definedName>
    <definedName name="Blank5">#REF!</definedName>
    <definedName name="solver_lhs4">#REF!</definedName>
    <definedName name="_bdm.D0B59BE390984049A77EF5F017F9A8D0.edm">#REF!</definedName>
    <definedName name="hn.FromMain">#REF!</definedName>
    <definedName name="BLPB27">#REF!</definedName>
    <definedName name="qqqqqq">#REF!</definedName>
    <definedName name="_bdm.BB59D91C713F4EF0A0FA009876D4F048.edm">#REF!</definedName>
    <definedName name="BLPB78">#REF!</definedName>
    <definedName name="_2__123Graph_CCHART_12">#REF!</definedName>
    <definedName name="_bdm.C83AD97D91A14FE4A1D7DFE0A8040554.edm">#REF!</definedName>
    <definedName name="hn._P017">#REF!</definedName>
    <definedName name="rngVersion">#REF!</definedName>
    <definedName name="DSHiddenYear2">#REF!</definedName>
    <definedName name="__123Graph_XCURRENT">#REF!</definedName>
    <definedName name="FDP_78_1_aSrv">#REF!</definedName>
    <definedName name="_15__123Graph_DCHART_8">#REF!</definedName>
    <definedName name="XRefPaste23Row">#REF!</definedName>
    <definedName name="BLPB42">#REF!</definedName>
    <definedName name="_bdm.AB94E62955764CA8B3FD975E83039AAE.edm">#REF!</definedName>
    <definedName name="_bdm.1546ECE4B697484AAB90B28AB708F295.edm">#REF!</definedName>
    <definedName name="IQRCapIQIDPullN42">#REF!</definedName>
    <definedName name="BLPH2">#REF!</definedName>
    <definedName name="solver_rhs5">#REF!</definedName>
    <definedName name="_bdm.4D54FFD98360451A9CC1DC1279DE1D29.edm">#REF!</definedName>
    <definedName name="XRefCopy14Row">#REF!</definedName>
    <definedName name="_mm2">#REF!</definedName>
    <definedName name="_s6">#REF!</definedName>
    <definedName name="hn.USLast">#REF!</definedName>
    <definedName name="_bdm.B5475DECE13D4ED8AE13A2DEC5D5070F.edm">#REF!</definedName>
    <definedName name="_bdm.55F92649105C4A8EBC3427D4EC0F5F03.edm">#REF!</definedName>
    <definedName name="_23__123Graph_XCHART_1">#REF!</definedName>
    <definedName name="_bdm.FCD802781DD7435E88F13DE4D4F3FF6A.edm">#REF!</definedName>
    <definedName name="BLPH14">#REF!</definedName>
    <definedName name="XRefPaste5Row">#REF!</definedName>
    <definedName name="BLPB6">#REF!</definedName>
    <definedName name="_bdm.1BEC47944BB344F3BCDEBB2C953A80AF.edm">#REF!</definedName>
    <definedName name="_bdm.14263D1F2D814D5EB1F95B1D6957384D.edm">#REF!</definedName>
    <definedName name="ewg">#REF!</definedName>
    <definedName name="BLPB24">#REF!</definedName>
    <definedName name="XREF_COLUMN_19">#REF!</definedName>
    <definedName name="_bdm.7B72BC9772534DBAA04B19095EDF540A.edm">#REF!</definedName>
    <definedName name="BLPH74">#REF!</definedName>
    <definedName name="XRefPaste10Row">#REF!</definedName>
    <definedName name="SectionHead">#REF!</definedName>
    <definedName name="IQRDataSheetDP23">#REF!</definedName>
    <definedName name="_bdm.71B1E071896743469A68D740D659FF2D.edm">#REF!</definedName>
    <definedName name="_bdm.F0B1B418EDB64C6CA4C2481ABBB508A5.edm">#REF!</definedName>
    <definedName name="CIQANR_0de47bf040d24041928f683623764ee8">#REF!</definedName>
    <definedName name="kern">#REF!</definedName>
    <definedName name="_bdm.851B0A84FA2F419B9A21519BEDEE7FAB.edm">#REF!</definedName>
    <definedName name="_bdm.8ba6d6dd72f84587be894945e6a9a185.edm">#REF!</definedName>
    <definedName name="_bdm.96FD6FE2BA574AF8B2C778C0ADD1FE07.edm">#REF!</definedName>
    <definedName name="_bdm.AEDF57C973344E1FA2C83B10D5384341.edm">#REF!</definedName>
    <definedName name="XNN">#REF!</definedName>
    <definedName name="_bdm.8B68549E7C8A405CB2968E11CC5540F3.edm">#REF!</definedName>
    <definedName localSheetId="12" name="ChangeRange">#REF!</definedName>
    <definedName name="_bdm.12AD1E6F9107443A9A52C32036667A2C.edm">#REF!</definedName>
    <definedName name="hn._I083">#REF!</definedName>
    <definedName name="DSIndHistHiddenYear4">#REF!</definedName>
    <definedName name="_21__123Graph_LBL_CCHART_3">#REF!</definedName>
    <definedName name="ExRate_Yr7">#REF!</definedName>
    <definedName name="_bdm.65F71FA2EA89473EB011323DADD6A056.edm">#REF!</definedName>
    <definedName name="_bdm.3BC86EEE1D1745FF9733ED8223BB8976.edm">#REF!</definedName>
    <definedName name="_bdm.43BEFD54E5614A47BA6CC71AF25685D4.edm">#REF!</definedName>
    <definedName name="BLPB18">#REF!</definedName>
    <definedName localSheetId="11" name="Sales">#REF!</definedName>
    <definedName name="_bdm.CF8AEAF52A8A4887A0B828A298C40612.edm">#REF!</definedName>
    <definedName name="_bdm.39C09902C55E4DFAB2F33EBDB878026D.edm">#REF!</definedName>
    <definedName name="_bdm.2693C73ACCE34EC18978BF86295C3430.edm">#REF!</definedName>
    <definedName name="_bdm.4D149573CFE64B2EB38A57A4E1F87C35.edm">#REF!</definedName>
    <definedName name="_19__123Graph_XCHART_1">#REF!</definedName>
    <definedName name="DZ.LTMPlus">#REF!</definedName>
    <definedName name="FDP_108_1_aUrv">#REF!</definedName>
    <definedName name="_bdm.C0F5ADB39F4B4C2299A880C43395DBAF.edm">#REF!</definedName>
    <definedName localSheetId="11" name="DeleteTable">#REF!</definedName>
    <definedName name="_bdm.796A1D7F51DA47928C5BC4E8DD3CAE6E.edm">#REF!</definedName>
    <definedName name="_bdm.98A6FF5E6E104127A4B3CE93863956AF.edm">#REF!</definedName>
    <definedName name="_bdm.7ED7BE0688BA464BA57B5C4A8FE429E8.edm">#REF!</definedName>
    <definedName name="_26__123Graph_XCHART_8">#REF!</definedName>
    <definedName name="XREF_COLUMN_8">#REF!</definedName>
    <definedName name="hn.FromMain1">#REF!</definedName>
    <definedName name="_bdm.A04B5F0ECAF34EDFA78BA62339D53B48.edm">#REF!</definedName>
    <definedName name="_9__123Graph_ACHART_4">#REF!</definedName>
    <definedName name="base1">#REF!</definedName>
    <definedName name="IsSecureSenior2">#REF!</definedName>
    <definedName name="_bdm.7C94300BA80D11D6B6520010A48BFF38.edm">#REF!</definedName>
    <definedName name="IQRPeerGroupMAAF61">#REF!</definedName>
    <definedName name="DeleteRange">#REF!</definedName>
    <definedName name="_bdm.5AE77257362A41D5ADCDEE0C7DE7DA67.edm">#REF!</definedName>
    <definedName name="r.Leverage">#REF!</definedName>
    <definedName localSheetId="11" name="RedefinePrintTableRange">#REF!</definedName>
    <definedName name="_6__123Graph_ACHART_4">#REF!</definedName>
    <definedName name="Type">#REF!</definedName>
    <definedName name="__123Graph_CSADSO">#REF!</definedName>
    <definedName name="_32__123Graph_LBL_BCHART_3">#REF!</definedName>
    <definedName name="FDP_16_1_aDrv">#REF!</definedName>
    <definedName name="BLPB66">#REF!</definedName>
    <definedName name="FDP_114_1_aUrv">#REF!</definedName>
    <definedName name="IQRDataSheetDP41">#REF!</definedName>
    <definedName name="BLPB100">#REF!</definedName>
    <definedName name="XREF_COLUMN_3">#REF!</definedName>
    <definedName name="_16__123Graph_LBL_ACHART_1">#REF!</definedName>
    <definedName name="_bdm.9ECB63A12E9F4B9C88C18E0F4ACCFD11.edm">#REF!</definedName>
    <definedName name="BLPH105">#REF!</definedName>
    <definedName name="_bdm.C9299FEDDF42425C8DAF9E49F55C46C4.edm">#REF!</definedName>
    <definedName name="YAxisMax">#REF!</definedName>
    <definedName name="_bdm.A9433F36D27E42998843D0702B3398CD.edm">#REF!</definedName>
    <definedName name="SZTKZKL">#REF!</definedName>
    <definedName name="BLPB34">#REF!</definedName>
    <definedName name="_bdm.C14E0CEA9BE24FD1B59CC06D27D32BF9.edm">#REF!</definedName>
    <definedName name="IQRCapIQIDPullH56">#REF!</definedName>
    <definedName name="_bdm.18F872EA41EB42D6B8CE32747B237FBF.edm">#REF!</definedName>
    <definedName name="_bdm.70930C9F803E41C7B33643D2957FFFD2.edm">#REF!</definedName>
    <definedName localSheetId="12" name="NewRange">#REF!</definedName>
    <definedName name="_key9">#REF!</definedName>
    <definedName name="_bdm.BFD21F3CFC0D47F0967226AE88C4E1AC.edm">#REF!</definedName>
    <definedName name="_bdm.1D5081D5FD824A2FA691607ECBDC25EA.edm">#REF!</definedName>
    <definedName name="_bdm.E0E09833E7884563826050A31055BBC9.edm">#REF!</definedName>
    <definedName name="__123Graph_XMEXPIP">#REF!</definedName>
    <definedName name="IQRDataSheetDP53">#REF!</definedName>
    <definedName name="BLPB104">#REF!</definedName>
    <definedName name="_bdm.C9AD573F369B417FB0A17E768B32D2A8.edm">#REF!</definedName>
    <definedName name="IQRCapIQIDPullH36">#REF!</definedName>
    <definedName name="_bdm.0101CE9886FF458D9F1C444663EAAC3B.edm">#REF!</definedName>
    <definedName name="_bdm.A8125A31048E4CE5A9E7FFED3A6EEC7B.edm">#REF!</definedName>
    <definedName name="_bdm.443F16CCC4F541CEB38834EFF6279E0B.edm">#REF!</definedName>
    <definedName name="BLPB95">#REF!</definedName>
    <definedName name="_24__123Graph_DCHART_1">#REF!</definedName>
    <definedName name="BLPB10">#REF!</definedName>
    <definedName name="_bdm.1E4998F6806A478DA69D0C3A7C91B092.edm">#REF!</definedName>
    <definedName name="_bdm.0CF1517B9171402582397A5C2159E97A.edm">#REF!</definedName>
    <definedName name="zfill">#REF!</definedName>
    <definedName name="_bdm.F18E305365E04841B663E3E0ADEA9418.edm">#REF!</definedName>
    <definedName localSheetId="10" name="RedefinePrintTableRange">#REF!</definedName>
    <definedName name="_bdm.61102D8B11A445608CA259250405ACB7.edm">#REF!</definedName>
    <definedName name="_bdm.82644e32cd9d433fb0685aa6af1599b5.edm">#REF!</definedName>
    <definedName name="FDP_13_1_aDrv">#REF!</definedName>
    <definedName name="FDP_115_1_aUrv">#REF!</definedName>
    <definedName name="_bdm.54F1E604DB79427CB5B22E3E2547D02D.edm">#REF!</definedName>
    <definedName name="_bdm.2E6B333BD79A4B01A2BE2143E7115F29.edm">#REF!</definedName>
    <definedName name="_bdm.254CD980702C4E1DA096E1B673D68CB3.edm">#REF!</definedName>
    <definedName name="XRefCopy11Row">#REF!</definedName>
    <definedName name="FDP_36_1_aUrv">#REF!</definedName>
    <definedName name="_bdm.CE65FEFB1AF94A499F3851F0CD9DF90F.edm">#REF!</definedName>
    <definedName name="Rwvu.CapersView.">#REF!</definedName>
    <definedName name="_pcSlicerSheet17_Slicer1">#REF!</definedName>
    <definedName name="_bdm.0D1D78872C6C4CD2949340515F157612.edm">#REF!</definedName>
    <definedName name="IQRDataSheetDP13">#REF!</definedName>
    <definedName name="__11__123Graph_CCHART_8">#REF!</definedName>
    <definedName name="IQRSheet1C10">#REF!</definedName>
    <definedName name="_bdm.075516DF6D474B1CA05EC11A256B88BD.edm">#REF!</definedName>
    <definedName name="IQRCapIQIDPullN35">#REF!</definedName>
    <definedName name="__123Graph_A">#REF!</definedName>
    <definedName name="_bdm.F29A517B6666403FB15EB73990F5EDD9.edm">#REF!</definedName>
    <definedName name="hn._I075">#REF!</definedName>
    <definedName name="hn._P004">#REF!</definedName>
    <definedName name="_bdm.2CF99D97A61B41F6B3AA6E06E719F0A4.edm">#REF!</definedName>
    <definedName name="tttttt">#REF!</definedName>
    <definedName name="_bdm.ADE63A88559244DBA6492ADE6B9297B3.edm">#REF!</definedName>
    <definedName name="_bdm.B129682F75944FF4A259464228B6BE06.edm">#REF!</definedName>
    <definedName name="_3__123Graph_ACHART_1">#REF!</definedName>
    <definedName name="IQRCapIQIDPullN80">#REF!</definedName>
    <definedName name="__123Graph_FCHART1">#REF!</definedName>
    <definedName name="AERJJ">#REF!</definedName>
    <definedName name="ass">#REF!</definedName>
    <definedName name="_48__123Graph_LBL_BCHART_3">#REF!</definedName>
    <definedName name="_bdm.75AEB8ED3BB74DDAAF13881E19CF0474.edm">#REF!</definedName>
    <definedName name="DSHiddenYear1">#REF!</definedName>
    <definedName name="VHKCVHKVKCH">#REF!</definedName>
    <definedName name="BLPH77">#REF!</definedName>
    <definedName name="IQRSheet1B8">#REF!</definedName>
    <definedName name="hn.ConvertVal1">#REF!</definedName>
    <definedName name="FDP_80_1_aSrv">#REF!</definedName>
    <definedName name="a">#REF!</definedName>
    <definedName name="_bdm.CE1C09E278CA40B1A1CB878D1D9242A9.edm">#REF!</definedName>
    <definedName name="ZUKLTZLZL">#REF!</definedName>
    <definedName name="IQRCapIQIDPullN48">#REF!</definedName>
    <definedName name="ExRate_Yr1">#REF!</definedName>
    <definedName name="RWERWTEW">#REF!</definedName>
    <definedName name="_bdm.00628FCD9B824F6C8F06EE813DE28F54.edm">#REF!</definedName>
    <definedName name="_bdm.1F253A911F15417EBD24093B49F602A9.edm">#REF!</definedName>
    <definedName name="_bdm.07FAAF288C7F40C68B81A520EFB0773B.edm">#REF!</definedName>
    <definedName name="_pcSlicerSheet8_Slicer1">#REF!</definedName>
    <definedName name="_15__123Graph_ACHART_5">#REF!</definedName>
    <definedName name="_bdm.E0FCAD0818CF410F83ADEE48CCDE27DD.edm">#REF!</definedName>
    <definedName name="IQRCapIQIDPullH23">#REF!</definedName>
    <definedName name="_24__123Graph_LBL_BCHART_1">#REF!</definedName>
    <definedName name="_8__123Graph_ACHART_4">#REF!</definedName>
    <definedName name="FDP_145_1_aUrv">#REF!</definedName>
    <definedName name="IQRCapIQIDPullH76">#REF!</definedName>
    <definedName name="_bdm.F42A9DBD7F844D2E8A75BAAADEEBC874.edm">#REF!</definedName>
    <definedName name="_bdm.5AF8C68B1B4D4725A2EF100AD746D415.edm">#REF!</definedName>
    <definedName name="__123Graph_AHOTBUTTONS">#REF!</definedName>
    <definedName name="FDP_199_1_aUdv">#REF!</definedName>
    <definedName name="_bdm.E401C6DF14D34F83ACA432AB5C6DBD59.edm">#REF!</definedName>
    <definedName name="_bdm.9451B8A5E33849F48B8FB53A7237E6CE.edm">#REF!</definedName>
    <definedName name="BLPB69">#REF!</definedName>
    <definedName name="_bdm.FD58F0A0A0BD458E847AFDAA1D6E7EFC.edm">#REF!</definedName>
    <definedName localSheetId="7" name="CreateTable">#REF!</definedName>
    <definedName name="_bdm.7375F0F69CE749CAA94EA1A37468EF2F.edm">#REF!</definedName>
    <definedName name="rngUID">#REF!</definedName>
    <definedName name="_bdm.E80EC4DBC5154884A8212A79D2A69CA8.edm">#REF!</definedName>
    <definedName name="_bdm.9E42FEEF1A1D4DC3BB4C1571292555E5.edm">#REF!</definedName>
    <definedName name="_bdm.56C9D084B66C40CD8F157685821740BB.edm">#REF!</definedName>
    <definedName name="IQRCapIQIDPullH63">#REF!</definedName>
    <definedName name="_bdm.BD3CE6CB961F42D59FC59FD09CF66939.edm">#REF!</definedName>
    <definedName name="hn._I029">#REF!</definedName>
    <definedName name="XRefCopy9Row">#REF!</definedName>
    <definedName name="FDP_144_1_aUrv">#REF!</definedName>
    <definedName localSheetId="7" name="DeleteRange">#REF!</definedName>
    <definedName name="_bdm.506F8C201A6B42618E3A9FAEC485BD7A.edm">#REF!</definedName>
    <definedName name="_bdm.5F8CC79D4FFE49289AD0A587599EE4A8.edm">#REF!</definedName>
    <definedName name="ChartSubtitle">#REF!</definedName>
    <definedName name="_Regression_X">#REF!</definedName>
    <definedName name="_bdm.A0CF1E1AB8854812B17287BF503A80D2.edm">#REF!</definedName>
    <definedName name="table3">#REF!</definedName>
    <definedName name="_bdm.6F44DF6EBF3D4432A71DF03D4DA26537.edm">#REF!</definedName>
    <definedName name="_bdm.CCA03FF33CD943F9BFEF286D55E7B2A5.edm">#REF!</definedName>
    <definedName name="IQRCapIQIDPullN46">#REF!</definedName>
    <definedName name="IQRDataSheetDP16">#REF!</definedName>
    <definedName name="__123Graph_XEXPPIP">#REF!</definedName>
    <definedName name="solver_rhs1">#REF!</definedName>
    <definedName name="FDP_32_1_aUrv">#REF!</definedName>
    <definedName localSheetId="6" name="Sales">#REF!</definedName>
    <definedName name="_bdm.3FFEE8484F5F4FD78F751BB5AFF76849.edm">#REF!</definedName>
    <definedName name="FDP_87_1_aUrv">#REF!</definedName>
    <definedName name="_bdm.475844AEC35A11D6B6A80010A4860669.edm">#REF!</definedName>
    <definedName name="FDP_100_1_aUrv">#REF!</definedName>
    <definedName name="IQRCapIQIDPullH38">#REF!</definedName>
    <definedName name="_bdm.BA759280F5E749B5B422ACEA85F12DF4.edm">#REF!</definedName>
    <definedName name="CVHKCKVHVHKCVHKVHCKVHKC">#REF!</definedName>
    <definedName name="_Rf_Feb_Act_for_YTD">#REF!</definedName>
    <definedName name="ExRate_Yr3">#REF!</definedName>
    <definedName name="_36__123Graph_DCHART_1">#REF!</definedName>
    <definedName name="_bdm.7EFABF4C0CF34F85835F270EEF142470.edm">#REF!</definedName>
    <definedName name="IQRCapIQIDPullN18">#REF!</definedName>
    <definedName name="IQRPublicTradingMultiplesC12">#REF!</definedName>
    <definedName name="BLPB58">#REF!</definedName>
    <definedName name="hn.FromMain3">#REF!</definedName>
    <definedName name="_bdm.0C4E3B42C5C24DDCAC5F12B732087AC7.edm">#REF!</definedName>
    <definedName name="ERWERHH">#REF!</definedName>
    <definedName name="__123Graph_XAPPIP">#REF!</definedName>
    <definedName name="_bdm.0F288D482B984B9FB7CF701B327B593C.edm">#REF!</definedName>
    <definedName name="_bdm.190B71B068684EEA826EF050712DA456.edm">#REF!</definedName>
    <definedName name="_bdm.D47CA4D0B4494CBB8F50F6DBC51AD730.edm">#REF!</definedName>
    <definedName name="__22__123Graph_XCHART_8">#REF!</definedName>
    <definedName name="FDP_135_1_aUrv">#REF!</definedName>
    <definedName name="vdzxc">#REF!</definedName>
    <definedName name="_bdm.9DF14E571924492AA6EC045C79DCA90C.edm">#REF!</definedName>
    <definedName name="_19__123Graph_LBL_BCHART_3">#REF!</definedName>
    <definedName name="FDP_110_1_aUrv">#REF!</definedName>
    <definedName name="XRefCopy13">#REF!</definedName>
    <definedName name="BLPB86">#REF!</definedName>
    <definedName name="__123Graph_XSALES">#REF!</definedName>
    <definedName name="FDP_55_1_aUrv">#REF!</definedName>
    <definedName name="__123Graph_CCURRENT">#REF!</definedName>
    <definedName name="IQRDataSheetDP45">#REF!</definedName>
    <definedName name="_pcSlicerSheet10_Slicer1">#REF!</definedName>
    <definedName name="_KEY2">#REF!</definedName>
    <definedName name="FDP_141_1_aSrv">#REF!</definedName>
    <definedName name="_bdm.1742263542124AF3BCE865208D9E404D.edm">#REF!</definedName>
    <definedName name="FDP_22_1_aDrv">#REF!</definedName>
    <definedName name="_bdm.299631BC05434255B1B1439A5691B58B.edm">#REF!</definedName>
    <definedName localSheetId="3" name="NewRange">#REF!</definedName>
    <definedName name="_bdm.D6F5CF6F8045429480DDCE6E0FB4CF8A.edm">#REF!</definedName>
    <definedName name="qwhrqh">#REF!</definedName>
    <definedName name="DFDHTRH">#REF!</definedName>
    <definedName name="_bdm.03512DDF7D9545B88E1362BB5F641FCD.edm">#REF!</definedName>
    <definedName name="_bdm.3170F7822924496192BF962F2333AB2A.edm">#REF!</definedName>
    <definedName name="_bdm.FBA756927C054543A09A37AE733D8BC7.edm">#REF!</definedName>
    <definedName name="_bdm.A5ACD67A37814D1AB59C856D8B6F2DF0.edm">#REF!</definedName>
    <definedName name="_bdm.8C3F0375701C46E09FE4C0662E62C932.edm">#REF!</definedName>
    <definedName name="c.LTMYear">#REF!</definedName>
    <definedName name="CompanyName2">#REF!</definedName>
    <definedName name="_bdm.8372421BE5D44EDF89E2D3D330DBFA5B.edm">#REF!</definedName>
    <definedName name="_P00comps1">#REF!</definedName>
    <definedName name="_bdm.FC1BDFB5C74647FEA4E73F6AB0F2EFC3.edm">#REF!</definedName>
    <definedName name="BLPB33">#REF!</definedName>
    <definedName name="_bdm.26DAD82321CB429EAC5929040FC84481.edm">#REF!</definedName>
    <definedName name="BLPB64">#REF!</definedName>
    <definedName name="_bdm.DEA02B8DB9594F51BA561009BFB2731A.edm">#REF!</definedName>
    <definedName localSheetId="8" name="DeleteRange">#REF!</definedName>
    <definedName name="TT">#REF!</definedName>
    <definedName name="_bdm.9DFC858430DE44A69F8B0F8CFB53FFA6.edm">#REF!</definedName>
    <definedName name="BLPB82">#REF!</definedName>
    <definedName name="solver_rhs2">#REF!</definedName>
    <definedName name="_63__123Graph_XCHART_4">#REF!</definedName>
    <definedName name="_40__123Graph_XCHART_3">#REF!</definedName>
    <definedName name="_bdm.00EC971BF37311D6B67A0010A48BFF38.edm">#REF!</definedName>
    <definedName name="solver_rhs9">#REF!</definedName>
    <definedName name="tmp_333">#REF!</definedName>
    <definedName name="__123Graph_BCANPIP">#REF!</definedName>
    <definedName name="IQRCapIQIDPullH55">#REF!</definedName>
    <definedName name="_60__123Graph_XCHART_3">#REF!</definedName>
    <definedName name="qjwieji">#REF!</definedName>
    <definedName name="_bdm.93DB1232D03B485288E2DB96D9E2415C.edm">#REF!</definedName>
    <definedName name="BLPB35">#REF!</definedName>
    <definedName name="tmp_839">#REF!</definedName>
    <definedName name="BLPB15">#REF!</definedName>
    <definedName name="_bdm.DA40FBE9A21F45CAAF44C89D86D767E0.edm">#REF!</definedName>
    <definedName name="_bdm.DB90E7AC81D6440C96E6B64E1FCB702B.edm">#REF!</definedName>
    <definedName name="WERH">#REF!</definedName>
    <definedName name="rngRangeName">#REF!</definedName>
    <definedName name="__123Graph_ECHART1">#REF!</definedName>
    <definedName name="_bdm.F7DFEF6A74EF48F9A2BD2BF13D4EB88A.edm">#REF!</definedName>
    <definedName name="BLPH9">#REF!</definedName>
    <definedName name="_bdm.F2A1379877E24CFF91D1CD99B8A8D650.edm">#REF!</definedName>
    <definedName name="r.Liquidity">#REF!</definedName>
    <definedName name="plywood">#REF!</definedName>
    <definedName name="IQRCapIQIDPullH78">#REF!</definedName>
    <definedName name="_bdm.BFB0D280F20243D29535A15437E540DE.edm">#REF!</definedName>
    <definedName name="_bdm.61B73ABCE71B4C0DB8886E2091A98C0A.edm">#REF!</definedName>
    <definedName name="BLPB57">#REF!</definedName>
    <definedName name="_bdm.C9AFE5FFD654455C92E8D7279C9DF168.edm">#REF!</definedName>
    <definedName name="IQRCapIQIDPullN37">#REF!</definedName>
    <definedName name="_bdm.B51D83D636944025A1996FE016F852F1.edm">#REF!</definedName>
    <definedName name="FDP_175_1_aDrv">#REF!</definedName>
    <definedName name="_bdm.59D975383E594618A5E9AF0F1E5CCDB2.edm">#REF!</definedName>
    <definedName name="qegeg">#REF!</definedName>
    <definedName name="_bdm.22D2B1D63236438CAB453A225EA58963.edm">#REF!</definedName>
    <definedName name="solver_rhs7">#REF!</definedName>
    <definedName name="_bdm.C536029E1F6240C5A53D97FB597D2083.edm">#REF!</definedName>
    <definedName name="IQRDataSheetDP28">#REF!</definedName>
    <definedName name="FDP_140_1_aUrv">#REF!</definedName>
    <definedName localSheetId="12" name="CreateTable">#REF!</definedName>
    <definedName name="BLPH63">#REF!</definedName>
    <definedName name="IsSecureSenior6">#REF!</definedName>
    <definedName name="ACwvu.PRT.">#REF!</definedName>
    <definedName name="tepm">#REF!</definedName>
    <definedName name="_pcSlicerSheet6_Slicer2">#REF!</definedName>
    <definedName name="IQRPeerGroupMAF61">#REF!</definedName>
    <definedName localSheetId="3" name="DeleteTable">#REF!</definedName>
    <definedName name="Footnote8">#REF!</definedName>
    <definedName name="BLPH6">#REF!</definedName>
    <definedName name="FDP_113_1_aUrv">#REF!</definedName>
    <definedName name="ltm_BalanceSheet">#REF!</definedName>
    <definedName name="_bdm.A8A818CA55D4428CA7651D1B1A0C717C.edm">#REF!</definedName>
    <definedName name="_bdm.D174AC55E4F14A4BBA682A81C2CBB872.edm">#REF!</definedName>
    <definedName name="_bdm.BDB9018F394B4D619CA288E2B170F24A.edm">#REF!</definedName>
    <definedName name="_19__123Graph_AChart_2">#REF!</definedName>
    <definedName name="FDP_109_1_aUrv">#REF!</definedName>
    <definedName name="FDP_9_1_aSrv">#REF!</definedName>
    <definedName name="_bdm.A77C880E8FBE441C95CE3F92DFDF6336.edm">#REF!</definedName>
    <definedName name="_bdm.81FB209497BA45E7AB24CCFA0C852650.edm">#REF!</definedName>
    <definedName name="RedefinePrintTableRange">#REF!</definedName>
    <definedName name="XRefCopy7">#REF!</definedName>
    <definedName name="_pcSlicerSheet11_Slicer2">#REF!</definedName>
    <definedName name="_bdm.17F83D2EBED44DFE9C2776DB6CA978E9.edm">#REF!</definedName>
    <definedName name="_bdm.9BADCEA73A6E48AEB91538861763BC47.edm">#REF!</definedName>
    <definedName name="_31__123Graph_XChart_2">#REF!</definedName>
    <definedName name="BLPB52">#REF!</definedName>
    <definedName name="RR">#REF!</definedName>
    <definedName name="_bdm.65E9893C9AEA48F0901FED60F2EBCD47.edm">#REF!</definedName>
    <definedName name="IQRCapIQIDPullN53">#REF!</definedName>
    <definedName name="_bdm.ED385D59E6E5452190C5F9387E62BD69.edm">#REF!</definedName>
    <definedName name="BLPB53">#REF!</definedName>
    <definedName name="fsda">#REF!</definedName>
    <definedName name="FDP_92_1_aSrv">#REF!</definedName>
    <definedName name="_bdm.6F293C089D8142B884F0CD85FDA52A46.edm">#REF!</definedName>
    <definedName name="__18__123Graph_LBL_CCHART_3">#REF!</definedName>
    <definedName name="zz">#REF!</definedName>
    <definedName name="CIQANR_da0220a7beac468d97f672cbb23de15e">#REF!</definedName>
    <definedName name="_bdm.C538B819D8E7427D832EE9C7BFE7983A.edm">#REF!</definedName>
    <definedName name="IQRCapIQIDPullN66">#REF!</definedName>
    <definedName name="_bdm.DBDDCE6D291340DFA73C1EAB7ABAD6AE.edm">#REF!</definedName>
    <definedName name="_bdm.1DF82C96AF3C40C79BA8BD6CB43CADCF.edm">#REF!</definedName>
    <definedName name="FDP_189_1_aUdv">#REF!</definedName>
    <definedName name="IsSecureSenior3">#REF!</definedName>
    <definedName localSheetId="10" name="CreateTable">#REF!</definedName>
    <definedName name="sub">#REF!</definedName>
    <definedName name="Slicer_Client_Name1">#REF!</definedName>
    <definedName name="_18__123Graph_LBL_CCHART_3">#REF!</definedName>
    <definedName name="FDP_6_1_aSrv">#REF!</definedName>
    <definedName name="_pcSlicerSheet9_Slicer1">#REF!</definedName>
    <definedName name="_34__123Graph_XChart_5">#REF!</definedName>
    <definedName name="DSIndHiddenYear1">#REF!</definedName>
    <definedName name="_29__123Graph_X_Chart_1A">#REF!</definedName>
    <definedName name="EJETJS">#REF!</definedName>
    <definedName name="_bdm.F8C31FE1A018452E9E1C4EDDE8BA4522.edm">#REF!</definedName>
    <definedName name="FDP_148_1_aUrv">#REF!</definedName>
    <definedName name="_bdm.27E55B0472CF462F90AE82C7B5B2E625.edm">#REF!</definedName>
    <definedName name="IQRDataSheetDP24">#REF!</definedName>
    <definedName name="EJTRJ">#REF!</definedName>
    <definedName name="Rwvu.Japan_Capers_Ed_Pub.">#REF!</definedName>
    <definedName name="Stub_Header1">#REF!</definedName>
    <definedName name="_bdm.4A451AF6C4DE40BE8149D5C59061D1CA.edm">#REF!</definedName>
    <definedName localSheetId="3" name="ChangeRange">#REF!</definedName>
    <definedName name="BLPB105">#REF!</definedName>
    <definedName name="DATA_01">#REF!</definedName>
    <definedName name="YTRE">#REF!</definedName>
    <definedName name="MerrillPrintIt">#REF!</definedName>
    <definedName name="BLPB49">#REF!</definedName>
    <definedName name="IQRDataSheetDP35">#REF!</definedName>
    <definedName name="FDP_197_1_aUdv">#REF!</definedName>
    <definedName name="Footnote7">#REF!</definedName>
    <definedName name="ER">#REF!</definedName>
    <definedName name="FDP_8_1_aUrv">#REF!</definedName>
    <definedName name="_bdm.9787714A260E4A78812ECC5CE83E4B9D.edm">#REF!</definedName>
    <definedName localSheetId="6" name="ChangeRange">#REF!</definedName>
    <definedName name="_s3">#REF!</definedName>
    <definedName name="_24__123Graph_CCHART_3">#REF!</definedName>
    <definedName name="_bdm.F393607449154A17B1B56CD56047792B.edm">#REF!</definedName>
    <definedName name="DSHiddenYear3">#REF!</definedName>
    <definedName name="XRefPaste14Row">#REF!</definedName>
    <definedName localSheetId="3" name="DeleteRange">#REF!</definedName>
    <definedName name="_12__123Graph_ACHART_8">#REF!</definedName>
    <definedName name="_bdm.300AD74A4CB340EC819E80CB01F466A0.edm">#REF!</definedName>
    <definedName name="_bdm.25A9C63C58E0417DB5AA529D4513182D.edm">#REF!</definedName>
    <definedName name="_bdm.C2D0D9ED5C0A4CAE96086187CE10C601.edm">#REF!</definedName>
    <definedName name="_bdm.0E5FF099372F488FABB566A12BE994E6.edm">#REF!</definedName>
    <definedName name="FDP_88_1_aSrv">#REF!</definedName>
    <definedName name="BLPB98">#REF!</definedName>
    <definedName name="IQRCapIQIDPullH60">#REF!</definedName>
    <definedName name="BLPB80">#REF!</definedName>
    <definedName name="_bdm.80340559CE674F58943D8E7EC86DBA4F.edm">#REF!</definedName>
    <definedName name="zzzzzzzzz">#REF!</definedName>
    <definedName name="FDP_134_1_aUrv">#REF!</definedName>
    <definedName name="_bdm.808A054521A449C8A9C65357D3517844.edm">#REF!</definedName>
    <definedName name="_pcSlicerSheet18_Slicer1">#REF!</definedName>
    <definedName name="IQRSheet1E7">#REF!</definedName>
    <definedName name="XRefPaste32Row">#REF!</definedName>
    <definedName name="_22__123Graph_CCHART_8">#REF!</definedName>
    <definedName name="IQRCapIQIDPullH26">#REF!</definedName>
    <definedName name="__123Graph_XUSDSO">#REF!</definedName>
    <definedName name="IQRCapIQIDPullH53">#REF!</definedName>
    <definedName name="IQRCapIQIDPullN77">#REF!</definedName>
    <definedName name="FDP_176_1_aDrv">#REF!</definedName>
    <definedName name="IQRDataSheetDP30">#REF!</definedName>
    <definedName name="__123Graph_XDONATMO">#REF!</definedName>
    <definedName name="_bdm.1E72DE99838E4622BDFE9E5ECFFEA574.edm">#REF!</definedName>
    <definedName name="_bdm.700D6C18EBFE42EEBB78792BB32CADED.edm">#REF!</definedName>
    <definedName name="_bdm.E49742B4FAAC4A0191EBC45ABA8E4D9F.edm">#REF!</definedName>
    <definedName name="_bdm.76277BC5D83F4188A178A6A54D358AF1.edm">#REF!</definedName>
    <definedName localSheetId="6" name="NewRange">#REF!</definedName>
    <definedName name="_pcSlicerSheet15_Slicer2">#REF!</definedName>
    <definedName name="_bdm.CAAD75B892744DA7A396804116BF19C2.edm">#REF!</definedName>
    <definedName name="FDP_45_1_aSrv">#REF!</definedName>
    <definedName name="_bdm.33E8C6A0FC2A41F28F36EFE0C451D1C8.edm">#REF!</definedName>
    <definedName name="_bdm.D5FAA374367241959C322560ED7F8A37.edm">#REF!</definedName>
    <definedName name="DeleteTable">#REF!</definedName>
    <definedName name="BLPH76">#REF!</definedName>
    <definedName name="hn.FromMain5">#REF!</definedName>
    <definedName name="_pcSlicerSheet_Slicer1">#REF!</definedName>
    <definedName name="IndType">#REF!</definedName>
    <definedName name="_4__123Graph_CCHART_8">#REF!</definedName>
    <definedName name="rngStartDate">#REF!</definedName>
    <definedName name="_bdm.1C05406114C049789668F1CBA1E5B184.edm">#REF!</definedName>
    <definedName name="_bdm.2DDB2874CD704CF392A4CF5A1899B788.edm">#REF!</definedName>
    <definedName name="_bdm.A314FCD00A0641C9BFAF4DC35D124EA9.edm">#REF!</definedName>
    <definedName name="YTRED">#REF!</definedName>
    <definedName name="FDP_39_1_aSrv">#REF!</definedName>
    <definedName name="IQRCapIQIDPullN25">#REF!</definedName>
    <definedName name="_bdm.EAAACECA5CB840C9927D6BBF36015FB7.edm">#REF!</definedName>
    <definedName name="qwdsads">#REF!</definedName>
    <definedName name="_bdm.39BCD9D772784EB5A686A1A898C93BCF.edm">#REF!</definedName>
    <definedName name="_bdm.9AA6758088BE4FE2B40ED5340E3EC9C2.edm">#REF!</definedName>
    <definedName name="_bdm.825A168FEFD04A8F8A006E8776F72876.edm">#REF!</definedName>
    <definedName name="rngQueryType">#REF!</definedName>
    <definedName name="_bdm.D6667D3414094EF49E6E129FEA8586E5.edm">#REF!</definedName>
    <definedName name="IsSecureSenior5">#REF!</definedName>
    <definedName name="BLPH90">#REF!</definedName>
    <definedName name="IQRCapIQIDPullH77">#REF!</definedName>
    <definedName name="ONYX19970501222155">#REF!</definedName>
    <definedName name="IQRCapIQIDPullN81">#REF!</definedName>
    <definedName name="ply">#REF!</definedName>
    <definedName name="_bdm.2074B1533A7E4E9FA3226A657161A26F.edm">#REF!</definedName>
    <definedName name="_bdm.76CB26C38BD6425B8EF13D4F9F050D8C.edm">#REF!</definedName>
    <definedName name="__123Graph_XHOTBUTTONS">#REF!</definedName>
    <definedName name="_bdm.1F17038ACB874987826F696C915A8236.edm">#REF!</definedName>
    <definedName name="_bdm.9E97F54CA7D445A8B37B4C103D293537.edm">#REF!</definedName>
    <definedName name="_bdm.A3223C89CB2D4AEFBFB65F1BC98EDEF0.edm">#REF!</definedName>
    <definedName name="IQRDataSheetDP46">#REF!</definedName>
    <definedName name="_bdm.A0B6C061B6A84636A94A364A84319E9E.edm">#REF!</definedName>
    <definedName name="hn._P002">#REF!</definedName>
    <definedName name="_bdm.5CFF27454F87470DAE0C1E4000FB1D25.edm">#REF!</definedName>
    <definedName localSheetId="6" name="RedefinePrintTableRange">#REF!</definedName>
    <definedName name="FDP_104_1_aUrv">#REF!</definedName>
    <definedName name="_bdm.86667C793907441EB8B9B5BC538530F8.edm">#REF!</definedName>
    <definedName name="IQRCapIQIDPullH48">#REF!</definedName>
    <definedName name="BLPB7">#REF!</definedName>
    <definedName name="BLPB96">#REF!</definedName>
    <definedName name="BLPB103">#REF!</definedName>
    <definedName name="IQRCapIQIDPullH27">#REF!</definedName>
    <definedName name="_key10">#REF!</definedName>
    <definedName name="_Table1_Out">#REF!</definedName>
    <definedName name="__123Graph_CEXPDSO">#REF!</definedName>
    <definedName name="YYYYYYYYY">#REF!</definedName>
    <definedName name="WERZ">#REF!</definedName>
    <definedName name="_bdm.4F795DE46EA8420FB3575ADCBB5D81D0.edm">#REF!</definedName>
    <definedName name="__123Graph_AB06">#REF!</definedName>
    <definedName name="_7__123Graph_ACHART_2">#REF!</definedName>
    <definedName name="FDP_152_1_aUrv">#REF!</definedName>
    <definedName name="_bdm.3C9AFD24E8AC465B93FDC234769BA453.edm">#REF!</definedName>
    <definedName name="_bdm.1BDFD2474F6E47088264802C781AA678.edm">#REF!</definedName>
    <definedName name="_bdm.8BE8657FD1664D5BAF4626DEDB21FCFB.edm">#REF!</definedName>
    <definedName name="__123Graph_D">#REF!</definedName>
    <definedName name="_bdm.B05D128810904C918C8D565042356000.edm">#REF!</definedName>
    <definedName name="_bdm.3EE642D27E7B4720ADB88F31A16CB458.edm">#REF!</definedName>
    <definedName name="ver1.1">#REF!</definedName>
    <definedName localSheetId="8" name="MerrillPrintIt">#REF!</definedName>
    <definedName name="_bdm.2A30F47081D4412CB404B99657EF074B.edm">#REF!</definedName>
    <definedName name="_bdm.8554FA1A9E944FBFA056947C73EE3839.edm">#REF!</definedName>
    <definedName name="_bdm.81B98AF251F547F2913ED60757F76F6A.edm">#REF!</definedName>
    <definedName localSheetId="8" name="ContentsHelp">#REF!</definedName>
    <definedName name="_25__123Graph_C_Chart_1A">#REF!</definedName>
    <definedName localSheetId="3" name="RedefinePrintTableRange">#REF!</definedName>
    <definedName name="FDP_2_1_aUrv">#REF!</definedName>
    <definedName name="__123Graph_CNTINCMO">#REF!</definedName>
    <definedName name="CreateTable">#REF!</definedName>
    <definedName name="_bdm.B0E1F73202C9448BAE57B95C00D10932.edm">#REF!</definedName>
    <definedName name="FDP_28_1_aUrv">#REF!</definedName>
    <definedName name="IQRDataSheetDP51">#REF!</definedName>
    <definedName name="XRefActiveRow">#REF!</definedName>
    <definedName name="_14__123Graph_BCHART_4">#REF!</definedName>
    <definedName name="_bdm.06C9E2D981FC4096A57FC227D8B43D35.edm">#REF!</definedName>
    <definedName name="IQRSheet1B9">#REF!</definedName>
    <definedName name="_bdm.0D36997B78AB466394832F21270DBFC5.edm">#REF!</definedName>
    <definedName name="_bdm.76EF9D4CBEBF4857A0B790A18E2BDF53.edm">#REF!</definedName>
    <definedName name="wef">#REF!</definedName>
    <definedName name="FDP_74_1_aDrv">#REF!</definedName>
    <definedName name="_bdm.B2D510CA9F4046BBB4A7D628DEB06DE9.edm">#REF!</definedName>
    <definedName name="_13__123Graph_DCHART_8">#REF!</definedName>
    <definedName name="_48__123Graph_XCHART_6">#REF!</definedName>
    <definedName name="FDP_157_1_aSrv">#REF!</definedName>
    <definedName name="_bdm.256BAC9DAB8C419096317D56A886EE92.edm">#REF!</definedName>
    <definedName name="FDP_41_1_aUrv">#REF!</definedName>
    <definedName name="_bdm.FB18DEB01EA64EDDBA945360BC456BA7.edm">#REF!</definedName>
    <definedName name="Swvu.KJP_CC.">#REF!</definedName>
    <definedName name="_bdm.33B528A62D9E47499B598E464569FE79.edm">#REF!</definedName>
    <definedName name="_bdm.DE76277649FA406487968D4C9669121D.edm">#REF!</definedName>
    <definedName name="BLPH81">#REF!</definedName>
    <definedName name="ver1.01">#REF!</definedName>
    <definedName name="_bdm.CEC0F940E8D4451E98704F56CE36EA9A.edm">#REF!</definedName>
    <definedName name="__123Graph_ACANPIP">#REF!</definedName>
    <definedName name="IQRCapIQIDPullH18">#REF!</definedName>
    <definedName name="IQRCapIQIDPullH79">#REF!</definedName>
    <definedName name="_bdm.9D4AB493B9BB46D6B67B0933691CC39D.edm">#REF!</definedName>
  </definedNames>
  <calcPr/>
  <extLst>
    <ext uri="GoogleSheetsCustomDataVersion2">
      <go:sheetsCustomData xmlns:go="http://customooxmlschemas.google.com/" r:id="rId18" roundtripDataChecksum="hoMb5jS54fqqcLGnNmJu6ReLyBzjmLWlQeXKbL2PCDs="/>
    </ext>
  </extLst>
</workbook>
</file>

<file path=xl/sharedStrings.xml><?xml version="1.0" encoding="utf-8"?>
<sst xmlns="http://schemas.openxmlformats.org/spreadsheetml/2006/main" count="1647" uniqueCount="200">
  <si>
    <t>Financial Databook</t>
  </si>
  <si>
    <t>Table of Contents:</t>
  </si>
  <si>
    <t>Summary</t>
  </si>
  <si>
    <t>Income Statement</t>
  </si>
  <si>
    <t>Calculations</t>
  </si>
  <si>
    <t>Revenue_Calcs</t>
  </si>
  <si>
    <t>COGS_Calcs</t>
  </si>
  <si>
    <t>Opex_Calcs</t>
  </si>
  <si>
    <t>Bookings to Revenue_Calcs</t>
  </si>
  <si>
    <t>Assumptions</t>
  </si>
  <si>
    <t>Revenue_Assumptions</t>
  </si>
  <si>
    <t>COGS_Assumptions</t>
  </si>
  <si>
    <t>Opex_Assumptions</t>
  </si>
  <si>
    <t>As of:</t>
  </si>
  <si>
    <t>Summary Income Statement</t>
  </si>
  <si>
    <t>2022
Run-Rate</t>
  </si>
  <si>
    <t>($ in millions)</t>
  </si>
  <si>
    <t>Run-Rate</t>
  </si>
  <si>
    <t>% Growth</t>
  </si>
  <si>
    <t>Cost of Sales</t>
  </si>
  <si>
    <t>Gross Profit</t>
  </si>
  <si>
    <t>% Gross Margin</t>
  </si>
  <si>
    <t>Rent</t>
  </si>
  <si>
    <t>Sales &amp; Marketing</t>
  </si>
  <si>
    <t>Other Opex</t>
  </si>
  <si>
    <t>Other I/E</t>
  </si>
  <si>
    <t>Reported EBITDA</t>
  </si>
  <si>
    <t>% Margin</t>
  </si>
  <si>
    <t>Adjustments</t>
  </si>
  <si>
    <t>Adjusted EBITDA</t>
  </si>
  <si>
    <t>Check</t>
  </si>
  <si>
    <t>Project Shasta</t>
  </si>
  <si>
    <t>Spring 2022</t>
  </si>
  <si>
    <t>CONFIDENTIAL</t>
  </si>
  <si>
    <t>Growth / Margin Analysis</t>
  </si>
  <si>
    <t>$ in thousands</t>
  </si>
  <si>
    <t>Actual</t>
  </si>
  <si>
    <t>Budget</t>
  </si>
  <si>
    <t>Projection</t>
  </si>
  <si>
    <t>Run Rate</t>
  </si>
  <si>
    <t>Revenue</t>
  </si>
  <si>
    <t>Growth Analysis</t>
  </si>
  <si>
    <t>Licensing</t>
  </si>
  <si>
    <t>Managed Services</t>
  </si>
  <si>
    <t>Implementation</t>
  </si>
  <si>
    <t>Other Revenue</t>
  </si>
  <si>
    <t>Total Revenue</t>
  </si>
  <si>
    <t>Margin Analysis</t>
  </si>
  <si>
    <t>Total Cost of Sales</t>
  </si>
  <si>
    <t>Operating Expenses</t>
  </si>
  <si>
    <t>Payroll &amp; Benefits</t>
  </si>
  <si>
    <t>Office and Occupancy</t>
  </si>
  <si>
    <t>HR Other</t>
  </si>
  <si>
    <t>Sales and Marketing</t>
  </si>
  <si>
    <t>Other G&amp;A</t>
  </si>
  <si>
    <t>Professional Fees</t>
  </si>
  <si>
    <t>Service Costs</t>
  </si>
  <si>
    <t>Total Operating Expenses</t>
  </si>
  <si>
    <t>Other Income / Expenses</t>
  </si>
  <si>
    <t>Non-cash Stock-based Compensation</t>
  </si>
  <si>
    <t>Other Miscellaneous Items</t>
  </si>
  <si>
    <t>Employee Related Expenses</t>
  </si>
  <si>
    <t>Non-recurring Build Subsidies</t>
  </si>
  <si>
    <t>Duplicative Hosting Costs</t>
  </si>
  <si>
    <t>COVID-19 Marketing Cost Savings</t>
  </si>
  <si>
    <t>Normalized Legal Fees</t>
  </si>
  <si>
    <t>Eligible Costs for Capitalization</t>
  </si>
  <si>
    <t>Total Adjustments</t>
  </si>
  <si>
    <t>Upsell / Downsell</t>
  </si>
  <si>
    <t>AACN</t>
  </si>
  <si>
    <t>Lower Middle Market</t>
  </si>
  <si>
    <t>AACR</t>
  </si>
  <si>
    <t>AAI</t>
  </si>
  <si>
    <t>AAOS</t>
  </si>
  <si>
    <t>Upper Middle Market</t>
  </si>
  <si>
    <t>AAP</t>
  </si>
  <si>
    <t>Major</t>
  </si>
  <si>
    <t>ADA</t>
  </si>
  <si>
    <t>AHRQ</t>
  </si>
  <si>
    <t>AIPP</t>
  </si>
  <si>
    <t>ALLEN</t>
  </si>
  <si>
    <t>AMA</t>
  </si>
  <si>
    <t>Mega</t>
  </si>
  <si>
    <t>AORN</t>
  </si>
  <si>
    <t>AOTA</t>
  </si>
  <si>
    <t>ARP</t>
  </si>
  <si>
    <t>ARVO</t>
  </si>
  <si>
    <t>ASA</t>
  </si>
  <si>
    <t>ASM</t>
  </si>
  <si>
    <t>ASME</t>
  </si>
  <si>
    <t>COB</t>
  </si>
  <si>
    <t>DUP</t>
  </si>
  <si>
    <t>GSW</t>
  </si>
  <si>
    <t>HEM</t>
  </si>
  <si>
    <t>IFIS</t>
  </si>
  <si>
    <t>IWA</t>
  </si>
  <si>
    <t>KARGER</t>
  </si>
  <si>
    <t>MGH</t>
  </si>
  <si>
    <t>MIT</t>
  </si>
  <si>
    <t>MLA</t>
  </si>
  <si>
    <t>OUP</t>
  </si>
  <si>
    <t>PORT</t>
  </si>
  <si>
    <t>RSC</t>
  </si>
  <si>
    <t>RUP</t>
  </si>
  <si>
    <t>SCORE</t>
  </si>
  <si>
    <t>SPE</t>
  </si>
  <si>
    <t>UCP</t>
  </si>
  <si>
    <t>WK</t>
  </si>
  <si>
    <t>AAD</t>
  </si>
  <si>
    <t>ACP</t>
  </si>
  <si>
    <t>AOA</t>
  </si>
  <si>
    <t>ASHA</t>
  </si>
  <si>
    <t>ECRI</t>
  </si>
  <si>
    <t>PCOUK</t>
  </si>
  <si>
    <t>TISTA</t>
  </si>
  <si>
    <t>UCSF</t>
  </si>
  <si>
    <t>OTHER</t>
  </si>
  <si>
    <t>AAAS</t>
  </si>
  <si>
    <t>EL</t>
  </si>
  <si>
    <r>
      <rPr>
        <rFont val="Calibri"/>
        <b/>
        <color theme="1"/>
        <sz val="11.0"/>
      </rPr>
      <t>Total Revenue</t>
    </r>
    <r>
      <rPr>
        <rFont val="Calibri"/>
        <b/>
        <color theme="1"/>
        <sz val="11.0"/>
        <vertAlign val="superscript"/>
      </rPr>
      <t>1</t>
    </r>
  </si>
  <si>
    <t>Revenue, Beginning</t>
  </si>
  <si>
    <t>Churn</t>
  </si>
  <si>
    <t>Gross Retention</t>
  </si>
  <si>
    <t>Upsell</t>
  </si>
  <si>
    <t>Net Retention</t>
  </si>
  <si>
    <t>New</t>
  </si>
  <si>
    <t>Revenue, Ending</t>
  </si>
  <si>
    <t>Expansion</t>
  </si>
  <si>
    <t>YTD New Clients</t>
  </si>
  <si>
    <t>Avg Revenue per New Client</t>
  </si>
  <si>
    <t>New Revenue</t>
  </si>
  <si>
    <t>Total Licensing Revenue</t>
  </si>
  <si>
    <t>% Seasonality</t>
  </si>
  <si>
    <t>% Contracted</t>
  </si>
  <si>
    <t>Forecast Revenue</t>
  </si>
  <si>
    <t>Licensing Revenue</t>
  </si>
  <si>
    <t>Percentage of Licensing</t>
  </si>
  <si>
    <t>Managed Services Revenue</t>
  </si>
  <si>
    <t>Total Managed Services Revenue</t>
  </si>
  <si>
    <t>Active Bookings</t>
  </si>
  <si>
    <t>Average Implementation Spend</t>
  </si>
  <si>
    <t>Implementation Reveue</t>
  </si>
  <si>
    <t>Total implementation Revenue</t>
  </si>
  <si>
    <t>Total Other Revenue</t>
  </si>
  <si>
    <t>Note: (1) Shows forecasted licensing revenue in 2022, and contracted licensing revenue for remainer of projection period</t>
  </si>
  <si>
    <t>Total</t>
  </si>
  <si>
    <t>Gross Margin</t>
  </si>
  <si>
    <t>Hosting</t>
  </si>
  <si>
    <t>% of Revenue</t>
  </si>
  <si>
    <t>Contractors</t>
  </si>
  <si>
    <t>Total Licensing</t>
  </si>
  <si>
    <t>Total Managed Services</t>
  </si>
  <si>
    <t>Total Implementation</t>
  </si>
  <si>
    <t>Gross Margin Summary</t>
  </si>
  <si>
    <r>
      <rPr>
        <rFont val="Calibri"/>
        <b/>
        <i/>
        <color theme="1"/>
        <sz val="11.0"/>
      </rPr>
      <t>Headcount</t>
    </r>
    <r>
      <rPr>
        <rFont val="Calibri"/>
        <b/>
        <i/>
        <color theme="1"/>
        <sz val="11.0"/>
        <vertAlign val="superscript"/>
      </rPr>
      <t>(1)</t>
    </r>
  </si>
  <si>
    <t>Delivery</t>
  </si>
  <si>
    <t>Sales &amp; CS</t>
  </si>
  <si>
    <t>Executive</t>
  </si>
  <si>
    <t>Admin</t>
  </si>
  <si>
    <t>Memo: Revenue / Delivery Headcount</t>
  </si>
  <si>
    <t>Memo: Revenue / Sales &amp; CS Headcount</t>
  </si>
  <si>
    <r>
      <rPr>
        <rFont val="Calibri"/>
        <b/>
        <i/>
        <color theme="1"/>
        <sz val="11.0"/>
      </rPr>
      <t>Average Salary</t>
    </r>
    <r>
      <rPr>
        <rFont val="Calibri"/>
        <b/>
        <i/>
        <color theme="1"/>
        <sz val="11.0"/>
        <vertAlign val="superscript"/>
      </rPr>
      <t>(1)</t>
    </r>
  </si>
  <si>
    <r>
      <rPr>
        <rFont val="Calibri"/>
        <b/>
        <i/>
        <color theme="1"/>
        <sz val="11.0"/>
      </rPr>
      <t>Total Salary</t>
    </r>
    <r>
      <rPr>
        <rFont val="Calibri"/>
        <b/>
        <i/>
        <color theme="1"/>
        <sz val="11.0"/>
        <vertAlign val="superscript"/>
      </rPr>
      <t>(1)</t>
    </r>
  </si>
  <si>
    <t>Total Salary</t>
  </si>
  <si>
    <t>Direct Labor</t>
  </si>
  <si>
    <t>Memo: Direct Labor Allocation</t>
  </si>
  <si>
    <t>Overhead Salary</t>
  </si>
  <si>
    <t>Bonus</t>
  </si>
  <si>
    <t>Payroll Taxes</t>
  </si>
  <si>
    <t>Commission</t>
  </si>
  <si>
    <t>Severance</t>
  </si>
  <si>
    <t>Benefits</t>
  </si>
  <si>
    <t>Payroll Processing Costs</t>
  </si>
  <si>
    <t>Other Expenses</t>
  </si>
  <si>
    <t>Note: (1) Includes Full Time Contractors</t>
  </si>
  <si>
    <t>Mega Implementation Duration</t>
  </si>
  <si>
    <t>Major Implementation Duration</t>
  </si>
  <si>
    <t>Upper Middle Market Implementation Duration</t>
  </si>
  <si>
    <t>Lower Middle Market Implementation Duration</t>
  </si>
  <si>
    <t>Mega Implementation End Month</t>
  </si>
  <si>
    <t>Major Implementation End Month</t>
  </si>
  <si>
    <t>Upper Middle Market Implementation End Month</t>
  </si>
  <si>
    <t>Lower Middle Market Implementation End Month</t>
  </si>
  <si>
    <t>New Bookings</t>
  </si>
  <si>
    <t>[%]</t>
  </si>
  <si>
    <t>[#]</t>
  </si>
  <si>
    <t>Average New Client Revenue</t>
  </si>
  <si>
    <t>[$]</t>
  </si>
  <si>
    <t>[% of Licensing]</t>
  </si>
  <si>
    <t>[% Gross Margin]</t>
  </si>
  <si>
    <t>[% of Licensing Revenue]</t>
  </si>
  <si>
    <t>[% of Revenue]</t>
  </si>
  <si>
    <r>
      <rPr>
        <rFont val="Calibri"/>
        <b/>
        <i/>
        <color theme="1"/>
        <sz val="11.0"/>
      </rPr>
      <t>Net New Hires</t>
    </r>
    <r>
      <rPr>
        <rFont val="Calibri"/>
        <b/>
        <i/>
        <color theme="1"/>
        <sz val="11.0"/>
        <vertAlign val="superscript"/>
      </rPr>
      <t>1</t>
    </r>
  </si>
  <si>
    <r>
      <rPr>
        <rFont val="Calibri"/>
        <b/>
        <i/>
        <color theme="1"/>
        <sz val="11.0"/>
      </rPr>
      <t>Average Salary</t>
    </r>
    <r>
      <rPr>
        <rFont val="Calibri"/>
        <b/>
        <i/>
        <color theme="1"/>
        <sz val="11.0"/>
        <vertAlign val="superscript"/>
      </rPr>
      <t>1</t>
    </r>
  </si>
  <si>
    <t>Other Personnel Assmptions</t>
  </si>
  <si>
    <t>[% of Salary]</t>
  </si>
  <si>
    <t>Other Operating Expenses</t>
  </si>
  <si>
    <t>[% Growth]</t>
  </si>
  <si>
    <t>Other Expenses Expenses</t>
  </si>
  <si>
    <t>Notes: (1) Includes Full-Time Contractors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</si>
</sst>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m/d/yyyy"/>
    <numFmt numFmtId="165" formatCode="[$-409]mmm\-yy"/>
    <numFmt numFmtId="166" formatCode="_(#,##0.0_)_%;\(#,##0.0\)_%;_(&quot;–&quot;_)_%;_(@_)_%"/>
    <numFmt numFmtId="167" formatCode="_([$$]#,##0.0_)_%;\([$$]#,##0.0\)_%;_(&quot;–&quot;_)_%;_(@_)_%"/>
    <numFmt numFmtId="168" formatCode="_(#,##0%_);\(#,##0%\);_(&quot;–&quot;_)_%;_(@_)_%"/>
    <numFmt numFmtId="169" formatCode="_(#,##0_)_%;\(#,##0\)_%;_(&quot;–&quot;_)_%;_(@_)_%"/>
    <numFmt numFmtId="170" formatCode="_(#,##0.0%_);\(#,##0.0%\);_(&quot;–&quot;_)_%;_(@_)_%"/>
    <numFmt numFmtId="171" formatCode="_([$$]#,##0_)_%;\([$$]#,##0\)_%;_(&quot;–&quot;_)_%;_(@_)_%"/>
    <numFmt numFmtId="172" formatCode="[$$-380A]\ #,##0.00;\-[$$-380A]\ #,##0.00"/>
    <numFmt numFmtId="173" formatCode="_(#,##0.000%_);\(#,##0.000%\);_(&quot;–&quot;_)_%;_(@_)_%"/>
    <numFmt numFmtId="174" formatCode="0.0%"/>
    <numFmt numFmtId="175" formatCode="0&quot; months&quot;"/>
    <numFmt numFmtId="176" formatCode="[$$-380A]\ #,##0.0;\-[$$-380A]\ #,##0.0"/>
  </numFmts>
  <fonts count="31">
    <font>
      <sz val="11.0"/>
      <color theme="1"/>
      <name val="Calibri"/>
      <scheme val="minor"/>
    </font>
    <font>
      <b/>
      <sz val="18.0"/>
      <color theme="1"/>
      <name val="Calibri"/>
    </font>
    <font>
      <sz val="14.0"/>
      <color theme="1"/>
      <name val="Calibri"/>
    </font>
    <font>
      <u/>
      <sz val="11.0"/>
      <color theme="10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FF"/>
      <name val="Calibri"/>
    </font>
    <font>
      <sz val="11.0"/>
      <color theme="1"/>
      <name val="Arial"/>
    </font>
    <font>
      <b/>
      <sz val="11.0"/>
      <color theme="0"/>
      <name val="Arial"/>
    </font>
    <font>
      <b/>
      <sz val="11.0"/>
      <color theme="1"/>
      <name val="Arial"/>
    </font>
    <font>
      <i/>
      <sz val="11.0"/>
      <color theme="0"/>
      <name val="Arial"/>
    </font>
    <font>
      <b/>
      <sz val="11.0"/>
      <color rgb="FF2683C6"/>
      <name val="Arial"/>
    </font>
    <font>
      <i/>
      <sz val="11.0"/>
      <color theme="1"/>
      <name val="Arial"/>
    </font>
    <font>
      <i/>
      <sz val="11.0"/>
      <color rgb="FFFF0000"/>
      <name val="Arial"/>
    </font>
    <font>
      <b/>
      <sz val="14.0"/>
      <color theme="0"/>
      <name val="Calibri"/>
    </font>
    <font>
      <sz val="11.0"/>
      <color theme="0"/>
      <name val="Calibri"/>
    </font>
    <font>
      <i/>
      <sz val="11.0"/>
      <color theme="0"/>
      <name val="Calibri"/>
    </font>
    <font>
      <i/>
      <sz val="11.0"/>
      <color theme="1"/>
      <name val="Calibri"/>
    </font>
    <font>
      <b/>
      <sz val="11.0"/>
      <color theme="0"/>
      <name val="Calibri"/>
    </font>
    <font/>
    <font>
      <b/>
      <i/>
      <sz val="11.0"/>
      <color theme="1"/>
      <name val="Calibri"/>
    </font>
    <font>
      <sz val="11.0"/>
      <color theme="1"/>
      <name val="Calibri"/>
    </font>
    <font>
      <sz val="11.0"/>
      <color rgb="FF008000"/>
      <name val="Calibri"/>
    </font>
    <font>
      <i/>
      <sz val="11.0"/>
      <color rgb="FF00B050"/>
      <name val="Calibri"/>
    </font>
    <font>
      <sz val="11.0"/>
      <color rgb="FFD8D8D8"/>
      <name val="Calibri"/>
    </font>
    <font>
      <sz val="11.0"/>
      <color rgb="FFFF0000"/>
      <name val="Calibri"/>
    </font>
    <font>
      <i/>
      <sz val="11.0"/>
      <color rgb="FFFF0000"/>
      <name val="Calibri"/>
    </font>
    <font>
      <sz val="11.0"/>
      <color rgb="FF800080"/>
      <name val="Calibri"/>
    </font>
    <font>
      <i/>
      <sz val="11.0"/>
      <color rgb="FF0000FF"/>
      <name val="Calibri"/>
    </font>
    <font>
      <b/>
      <sz val="11.0"/>
      <color rgb="FFFF0000"/>
      <name val="Calibri"/>
    </font>
    <font>
      <b/>
      <u/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2683C6"/>
        <bgColor rgb="FF2683C6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D6DCE4"/>
        <bgColor rgb="FFD6DCE4"/>
      </patternFill>
    </fill>
    <fill>
      <patternFill patternType="solid">
        <fgColor rgb="FF44546A"/>
        <bgColor rgb="FF44546A"/>
      </patternFill>
    </fill>
    <fill>
      <patternFill patternType="solid">
        <fgColor rgb="FFADB9CA"/>
        <bgColor rgb="FFADB9CA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7F7F7F"/>
        <bgColor rgb="FF7F7F7F"/>
      </patternFill>
    </fill>
    <fill>
      <patternFill patternType="solid">
        <fgColor rgb="FFDEEAF6"/>
        <bgColor rgb="FFDEEAF6"/>
      </patternFill>
    </fill>
    <fill>
      <patternFill patternType="solid">
        <fgColor rgb="FFFFFFCC"/>
        <bgColor rgb="FFFFFFCC"/>
      </patternFill>
    </fill>
  </fills>
  <borders count="31">
    <border/>
    <border>
      <left/>
      <right/>
      <top/>
      <bottom/>
    </border>
    <border>
      <left style="dotted">
        <color rgb="FF2683C6"/>
      </left>
      <right style="dotted">
        <color rgb="FF2683C6"/>
      </right>
      <top style="dotted">
        <color rgb="FF2683C6"/>
      </top>
      <bottom/>
    </border>
    <border>
      <left style="dotted">
        <color rgb="FF2683C6"/>
      </left>
      <right style="dotted">
        <color rgb="FF2683C6"/>
      </right>
      <top/>
      <bottom/>
    </border>
    <border>
      <left style="dotted">
        <color rgb="FF2683C6"/>
      </left>
      <right style="dotted">
        <color rgb="FF2683C6"/>
      </right>
    </border>
    <border>
      <left style="thin">
        <color rgb="FF2683C6"/>
      </left>
      <top style="thin">
        <color rgb="FF2683C6"/>
      </top>
      <bottom style="thin">
        <color rgb="FF2683C6"/>
      </bottom>
    </border>
    <border>
      <top style="thin">
        <color rgb="FF2683C6"/>
      </top>
      <bottom style="thin">
        <color rgb="FF2683C6"/>
      </bottom>
    </border>
    <border>
      <left style="dotted">
        <color rgb="FF2683C6"/>
      </left>
      <right style="dotted">
        <color rgb="FF2683C6"/>
      </right>
      <top style="thin">
        <color rgb="FF2683C6"/>
      </top>
      <bottom style="thin">
        <color rgb="FF2683C6"/>
      </bottom>
    </border>
    <border>
      <right style="thin">
        <color rgb="FF2683C6"/>
      </right>
      <top style="thin">
        <color rgb="FF2683C6"/>
      </top>
      <bottom style="thin">
        <color rgb="FF2683C6"/>
      </bottom>
    </border>
    <border>
      <left style="dotted">
        <color rgb="FF2683C6"/>
      </left>
      <right style="dotted">
        <color rgb="FF2683C6"/>
      </right>
      <top style="thin">
        <color rgb="FF2683C6"/>
      </top>
      <bottom style="dotted">
        <color rgb="FF2683C6"/>
      </bottom>
    </border>
    <border>
      <left/>
      <top/>
      <bottom/>
    </border>
    <border>
      <top/>
      <bottom/>
    </border>
    <border>
      <right/>
      <top/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dotted">
        <color rgb="FF7F7F7F"/>
      </left>
      <right style="dotted">
        <color rgb="FF7F7F7F"/>
      </right>
      <top style="dotted">
        <color rgb="FF7F7F7F"/>
      </top>
      <bottom style="dotted">
        <color rgb="FF7F7F7F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/>
    </xf>
    <xf borderId="0" fillId="0" fontId="4" numFmtId="0" xfId="0" applyFont="1"/>
    <xf borderId="0" fillId="0" fontId="5" numFmtId="0" xfId="0" applyFont="1"/>
    <xf borderId="0" fillId="0" fontId="6" numFmtId="164" xfId="0" applyAlignment="1" applyFont="1" applyNumberFormat="1">
      <alignment horizontal="center"/>
    </xf>
    <xf borderId="0" fillId="0" fontId="7" numFmtId="0" xfId="0" applyFont="1"/>
    <xf borderId="1" fillId="2" fontId="8" numFmtId="0" xfId="0" applyBorder="1" applyFill="1" applyFont="1"/>
    <xf borderId="1" fillId="2" fontId="8" numFmtId="165" xfId="0" applyAlignment="1" applyBorder="1" applyFont="1" applyNumberFormat="1">
      <alignment horizontal="center"/>
    </xf>
    <xf borderId="2" fillId="3" fontId="9" numFmtId="0" xfId="0" applyAlignment="1" applyBorder="1" applyFill="1" applyFont="1">
      <alignment horizontal="center" shrinkToFit="0" wrapText="1"/>
    </xf>
    <xf borderId="1" fillId="2" fontId="10" numFmtId="0" xfId="0" applyBorder="1" applyFont="1"/>
    <xf borderId="1" fillId="2" fontId="8" numFmtId="0" xfId="0" applyAlignment="1" applyBorder="1" applyFont="1">
      <alignment horizontal="center"/>
    </xf>
    <xf borderId="3" fillId="3" fontId="9" numFmtId="0" xfId="0" applyAlignment="1" applyBorder="1" applyFont="1">
      <alignment horizontal="center"/>
    </xf>
    <xf borderId="0" fillId="0" fontId="7" numFmtId="0" xfId="0" applyAlignment="1" applyFont="1">
      <alignment vertical="center"/>
    </xf>
    <xf borderId="4" fillId="0" fontId="7" numFmtId="0" xfId="0" applyBorder="1" applyFont="1"/>
    <xf borderId="0" fillId="0" fontId="7" numFmtId="166" xfId="0" applyAlignment="1" applyFont="1" applyNumberFormat="1">
      <alignment vertical="center"/>
    </xf>
    <xf borderId="4" fillId="0" fontId="7" numFmtId="166" xfId="0" applyBorder="1" applyFont="1" applyNumberFormat="1"/>
    <xf borderId="5" fillId="0" fontId="11" numFmtId="0" xfId="0" applyAlignment="1" applyBorder="1" applyFont="1">
      <alignment vertical="center"/>
    </xf>
    <xf borderId="6" fillId="0" fontId="11" numFmtId="0" xfId="0" applyAlignment="1" applyBorder="1" applyFont="1">
      <alignment vertical="center"/>
    </xf>
    <xf borderId="6" fillId="0" fontId="11" numFmtId="167" xfId="0" applyAlignment="1" applyBorder="1" applyFont="1" applyNumberFormat="1">
      <alignment vertical="center"/>
    </xf>
    <xf borderId="7" fillId="0" fontId="11" numFmtId="167" xfId="0" applyAlignment="1" applyBorder="1" applyFont="1" applyNumberFormat="1">
      <alignment vertical="center"/>
    </xf>
    <xf borderId="8" fillId="0" fontId="11" numFmtId="167" xfId="0" applyAlignment="1" applyBorder="1" applyFont="1" applyNumberFormat="1">
      <alignment vertical="center"/>
    </xf>
    <xf borderId="0" fillId="0" fontId="11" numFmtId="167" xfId="0" applyAlignment="1" applyFont="1" applyNumberFormat="1">
      <alignment vertical="center"/>
    </xf>
    <xf borderId="0" fillId="0" fontId="12" numFmtId="0" xfId="0" applyAlignment="1" applyFont="1">
      <alignment vertical="center"/>
    </xf>
    <xf borderId="0" fillId="0" fontId="12" numFmtId="168" xfId="0" applyAlignment="1" applyFont="1" applyNumberFormat="1">
      <alignment vertical="center"/>
    </xf>
    <xf borderId="4" fillId="0" fontId="7" numFmtId="166" xfId="0" applyAlignment="1" applyBorder="1" applyFont="1" applyNumberFormat="1">
      <alignment vertical="center"/>
    </xf>
    <xf borderId="4" fillId="0" fontId="12" numFmtId="168" xfId="0" applyAlignment="1" applyBorder="1" applyFont="1" applyNumberFormat="1">
      <alignment vertical="center"/>
    </xf>
    <xf borderId="9" fillId="0" fontId="12" numFmtId="168" xfId="0" applyAlignment="1" applyBorder="1" applyFont="1" applyNumberFormat="1">
      <alignment vertical="center"/>
    </xf>
    <xf borderId="0" fillId="0" fontId="13" numFmtId="0" xfId="0" applyFont="1"/>
    <xf borderId="0" fillId="0" fontId="13" numFmtId="169" xfId="0" applyFont="1" applyNumberFormat="1"/>
    <xf borderId="1" fillId="4" fontId="14" numFmtId="0" xfId="0" applyBorder="1" applyFill="1" applyFont="1"/>
    <xf borderId="1" fillId="4" fontId="15" numFmtId="0" xfId="0" applyBorder="1" applyFont="1"/>
    <xf borderId="1" fillId="4" fontId="16" numFmtId="0" xfId="0" applyBorder="1" applyFont="1"/>
    <xf borderId="1" fillId="3" fontId="17" numFmtId="0" xfId="0" applyBorder="1" applyFont="1"/>
    <xf borderId="0" fillId="0" fontId="4" numFmtId="0" xfId="0" applyAlignment="1" applyFont="1">
      <alignment horizontal="center"/>
    </xf>
    <xf borderId="1" fillId="3" fontId="4" numFmtId="0" xfId="0" applyAlignment="1" applyBorder="1" applyFont="1">
      <alignment horizontal="center"/>
    </xf>
    <xf borderId="1" fillId="5" fontId="4" numFmtId="0" xfId="0" applyAlignment="1" applyBorder="1" applyFill="1" applyFont="1">
      <alignment horizontal="center"/>
    </xf>
    <xf borderId="10" fillId="6" fontId="18" numFmtId="0" xfId="0" applyAlignment="1" applyBorder="1" applyFill="1" applyFont="1">
      <alignment horizontal="center"/>
    </xf>
    <xf borderId="11" fillId="0" fontId="19" numFmtId="0" xfId="0" applyBorder="1" applyFont="1"/>
    <xf borderId="12" fillId="0" fontId="19" numFmtId="0" xfId="0" applyBorder="1" applyFont="1"/>
    <xf borderId="0" fillId="0" fontId="4" numFmtId="165" xfId="0" applyAlignment="1" applyFont="1" applyNumberFormat="1">
      <alignment horizontal="center"/>
    </xf>
    <xf borderId="1" fillId="3" fontId="4" numFmtId="165" xfId="0" applyAlignment="1" applyBorder="1" applyFont="1" applyNumberFormat="1">
      <alignment horizontal="center"/>
    </xf>
    <xf borderId="1" fillId="5" fontId="4" numFmtId="165" xfId="0" applyAlignment="1" applyBorder="1" applyFont="1" applyNumberFormat="1">
      <alignment horizontal="center"/>
    </xf>
    <xf borderId="0" fillId="0" fontId="20" numFmtId="165" xfId="0" applyAlignment="1" applyFont="1" applyNumberFormat="1">
      <alignment horizontal="center"/>
    </xf>
    <xf borderId="1" fillId="3" fontId="20" numFmtId="165" xfId="0" applyAlignment="1" applyBorder="1" applyFont="1" applyNumberFormat="1">
      <alignment horizontal="center"/>
    </xf>
    <xf borderId="1" fillId="5" fontId="20" numFmtId="165" xfId="0" applyAlignment="1" applyBorder="1" applyFont="1" applyNumberFormat="1">
      <alignment horizontal="center"/>
    </xf>
    <xf borderId="0" fillId="0" fontId="20" numFmtId="0" xfId="0" applyFont="1"/>
    <xf borderId="10" fillId="7" fontId="18" numFmtId="0" xfId="0" applyAlignment="1" applyBorder="1" applyFill="1" applyFont="1">
      <alignment horizontal="center"/>
    </xf>
    <xf borderId="0" fillId="0" fontId="21" numFmtId="170" xfId="0" applyFont="1" applyNumberFormat="1"/>
    <xf borderId="0" fillId="0" fontId="21" numFmtId="171" xfId="0" applyFont="1" applyNumberFormat="1"/>
    <xf borderId="0" fillId="0" fontId="6" numFmtId="171" xfId="0" applyFont="1" applyNumberFormat="1"/>
    <xf borderId="0" fillId="0" fontId="22" numFmtId="171" xfId="0" applyFont="1" applyNumberFormat="1"/>
    <xf borderId="1" fillId="3" fontId="21" numFmtId="171" xfId="0" applyBorder="1" applyFont="1" applyNumberFormat="1"/>
    <xf borderId="13" fillId="0" fontId="21" numFmtId="0" xfId="0" applyBorder="1" applyFont="1"/>
    <xf borderId="13" fillId="0" fontId="21" numFmtId="171" xfId="0" applyBorder="1" applyFont="1" applyNumberFormat="1"/>
    <xf borderId="14" fillId="3" fontId="21" numFmtId="171" xfId="0" applyBorder="1" applyFont="1" applyNumberFormat="1"/>
    <xf borderId="13" fillId="0" fontId="21" numFmtId="170" xfId="0" applyBorder="1" applyFont="1" applyNumberFormat="1"/>
    <xf borderId="0" fillId="0" fontId="21" numFmtId="172" xfId="0" applyFont="1" applyNumberFormat="1"/>
    <xf borderId="0" fillId="0" fontId="23" numFmtId="170" xfId="0" applyFont="1" applyNumberFormat="1"/>
    <xf borderId="15" fillId="0" fontId="21" numFmtId="0" xfId="0" applyBorder="1" applyFont="1"/>
    <xf borderId="15" fillId="0" fontId="21" numFmtId="171" xfId="0" applyBorder="1" applyFont="1" applyNumberFormat="1"/>
    <xf borderId="15" fillId="0" fontId="21" numFmtId="170" xfId="0" applyBorder="1" applyFont="1" applyNumberFormat="1"/>
    <xf borderId="0" fillId="0" fontId="21" numFmtId="173" xfId="0" applyFont="1" applyNumberFormat="1"/>
    <xf borderId="1" fillId="8" fontId="21" numFmtId="0" xfId="0" applyBorder="1" applyFill="1" applyFont="1"/>
    <xf borderId="16" fillId="9" fontId="4" numFmtId="0" xfId="0" applyBorder="1" applyFill="1" applyFont="1"/>
    <xf borderId="16" fillId="9" fontId="4" numFmtId="171" xfId="0" applyBorder="1" applyFont="1" applyNumberFormat="1"/>
    <xf borderId="0" fillId="0" fontId="4" numFmtId="171" xfId="0" applyFont="1" applyNumberFormat="1"/>
    <xf borderId="16" fillId="9" fontId="4" numFmtId="170" xfId="0" applyBorder="1" applyFont="1" applyNumberFormat="1"/>
    <xf borderId="0" fillId="0" fontId="21" numFmtId="174" xfId="0" applyFont="1" applyNumberFormat="1"/>
    <xf borderId="0" fillId="0" fontId="17" numFmtId="0" xfId="0" applyFont="1"/>
    <xf borderId="1" fillId="10" fontId="18" numFmtId="0" xfId="0" applyBorder="1" applyFill="1" applyFont="1"/>
    <xf borderId="0" fillId="0" fontId="24" numFmtId="0" xfId="0" applyFont="1"/>
    <xf borderId="0" fillId="0" fontId="25" numFmtId="171" xfId="0" applyFont="1" applyNumberFormat="1"/>
    <xf borderId="13" fillId="0" fontId="4" numFmtId="0" xfId="0" applyBorder="1" applyFont="1"/>
    <xf borderId="13" fillId="0" fontId="4" numFmtId="171" xfId="0" applyBorder="1" applyFont="1" applyNumberFormat="1"/>
    <xf borderId="0" fillId="0" fontId="26" numFmtId="0" xfId="0" applyFont="1"/>
    <xf borderId="0" fillId="0" fontId="26" numFmtId="171" xfId="0" applyFont="1" applyNumberFormat="1"/>
    <xf borderId="17" fillId="11" fontId="21" numFmtId="0" xfId="0" applyBorder="1" applyFill="1" applyFont="1"/>
    <xf borderId="14" fillId="11" fontId="21" numFmtId="0" xfId="0" applyBorder="1" applyFont="1"/>
    <xf borderId="14" fillId="11" fontId="21" numFmtId="171" xfId="0" applyBorder="1" applyFont="1" applyNumberFormat="1"/>
    <xf borderId="18" fillId="11" fontId="21" numFmtId="171" xfId="0" applyBorder="1" applyFont="1" applyNumberFormat="1"/>
    <xf borderId="19" fillId="11" fontId="21" numFmtId="0" xfId="0" applyBorder="1" applyFont="1"/>
    <xf borderId="1" fillId="11" fontId="21" numFmtId="0" xfId="0" applyBorder="1" applyFont="1"/>
    <xf borderId="1" fillId="11" fontId="21" numFmtId="171" xfId="0" applyBorder="1" applyFont="1" applyNumberFormat="1"/>
    <xf borderId="20" fillId="11" fontId="21" numFmtId="171" xfId="0" applyBorder="1" applyFont="1" applyNumberFormat="1"/>
    <xf borderId="21" fillId="11" fontId="21" numFmtId="0" xfId="0" applyBorder="1" applyFont="1"/>
    <xf borderId="16" fillId="11" fontId="21" numFmtId="0" xfId="0" applyBorder="1" applyFont="1"/>
    <xf borderId="22" fillId="11" fontId="21" numFmtId="0" xfId="0" applyBorder="1" applyFont="1"/>
    <xf borderId="16" fillId="11" fontId="21" numFmtId="171" xfId="0" applyBorder="1" applyFont="1" applyNumberFormat="1"/>
    <xf borderId="23" fillId="11" fontId="21" numFmtId="171" xfId="0" applyBorder="1" applyFont="1" applyNumberFormat="1"/>
    <xf borderId="17" fillId="3" fontId="21" numFmtId="0" xfId="0" applyBorder="1" applyFont="1"/>
    <xf borderId="14" fillId="3" fontId="21" numFmtId="0" xfId="0" applyBorder="1" applyFont="1"/>
    <xf borderId="14" fillId="3" fontId="21" numFmtId="170" xfId="0" applyBorder="1" applyFont="1" applyNumberFormat="1"/>
    <xf borderId="18" fillId="3" fontId="21" numFmtId="170" xfId="0" applyBorder="1" applyFont="1" applyNumberFormat="1"/>
    <xf borderId="24" fillId="3" fontId="21" numFmtId="0" xfId="0" applyBorder="1" applyFont="1"/>
    <xf borderId="22" fillId="3" fontId="21" numFmtId="0" xfId="0" applyBorder="1" applyFont="1"/>
    <xf borderId="22" fillId="3" fontId="21" numFmtId="170" xfId="0" applyBorder="1" applyFont="1" applyNumberFormat="1"/>
    <xf borderId="25" fillId="3" fontId="21" numFmtId="170" xfId="0" applyBorder="1" applyFont="1" applyNumberFormat="1"/>
    <xf borderId="1" fillId="3" fontId="20" numFmtId="0" xfId="0" applyBorder="1" applyFont="1"/>
    <xf borderId="1" fillId="3" fontId="21" numFmtId="0" xfId="0" applyBorder="1" applyFont="1"/>
    <xf borderId="1" fillId="3" fontId="21" numFmtId="169" xfId="0" applyBorder="1" applyFont="1" applyNumberFormat="1"/>
    <xf borderId="0" fillId="0" fontId="22" numFmtId="166" xfId="0" applyFont="1" applyNumberFormat="1"/>
    <xf borderId="15" fillId="0" fontId="27" numFmtId="171" xfId="0" applyBorder="1" applyFont="1" applyNumberFormat="1"/>
    <xf borderId="0" fillId="0" fontId="17" numFmtId="170" xfId="0" applyFont="1" applyNumberFormat="1"/>
    <xf borderId="0" fillId="0" fontId="28" numFmtId="170" xfId="0" applyFont="1" applyNumberFormat="1"/>
    <xf borderId="1" fillId="3" fontId="6" numFmtId="171" xfId="0" applyBorder="1" applyFont="1" applyNumberFormat="1"/>
    <xf borderId="0" fillId="0" fontId="29" numFmtId="0" xfId="0" applyFont="1"/>
    <xf borderId="0" fillId="0" fontId="29" numFmtId="171" xfId="0" applyFont="1" applyNumberFormat="1"/>
    <xf borderId="0" fillId="0" fontId="22" numFmtId="170" xfId="0" applyFont="1" applyNumberFormat="1"/>
    <xf borderId="0" fillId="0" fontId="21" numFmtId="169" xfId="0" applyFont="1" applyNumberFormat="1"/>
    <xf borderId="1" fillId="3" fontId="22" numFmtId="166" xfId="0" applyBorder="1" applyFont="1" applyNumberFormat="1"/>
    <xf borderId="1" fillId="3" fontId="22" numFmtId="171" xfId="0" applyBorder="1" applyFont="1" applyNumberFormat="1"/>
    <xf borderId="13" fillId="0" fontId="27" numFmtId="171" xfId="0" applyBorder="1" applyFont="1" applyNumberFormat="1"/>
    <xf borderId="0" fillId="0" fontId="26" numFmtId="169" xfId="0" applyFont="1" applyNumberFormat="1"/>
    <xf borderId="0" fillId="0" fontId="26" numFmtId="170" xfId="0" applyFont="1" applyNumberFormat="1"/>
    <xf borderId="16" fillId="3" fontId="21" numFmtId="171" xfId="0" applyBorder="1" applyFont="1" applyNumberFormat="1"/>
    <xf borderId="15" fillId="0" fontId="6" numFmtId="171" xfId="0" applyBorder="1" applyFont="1" applyNumberFormat="1"/>
    <xf borderId="15" fillId="0" fontId="22" numFmtId="171" xfId="0" applyBorder="1" applyFont="1" applyNumberFormat="1"/>
    <xf borderId="0" fillId="0" fontId="27" numFmtId="171" xfId="0" applyFont="1" applyNumberFormat="1"/>
    <xf borderId="13" fillId="0" fontId="6" numFmtId="171" xfId="0" applyBorder="1" applyFont="1" applyNumberFormat="1"/>
    <xf borderId="0" fillId="0" fontId="25" numFmtId="170" xfId="0" applyFont="1" applyNumberFormat="1"/>
    <xf borderId="16" fillId="3" fontId="21" numFmtId="0" xfId="0" applyBorder="1" applyFont="1"/>
    <xf borderId="0" fillId="0" fontId="17" numFmtId="171" xfId="0" applyFont="1" applyNumberFormat="1"/>
    <xf borderId="0" fillId="0" fontId="25" numFmtId="169" xfId="0" applyFont="1" applyNumberFormat="1"/>
    <xf borderId="1" fillId="5" fontId="4" numFmtId="0" xfId="0" applyBorder="1" applyFont="1"/>
    <xf borderId="1" fillId="3" fontId="4" numFmtId="0" xfId="0" applyBorder="1" applyFont="1"/>
    <xf borderId="0" fillId="0" fontId="21" numFmtId="0" xfId="0" applyAlignment="1" applyFont="1">
      <alignment horizontal="right"/>
    </xf>
    <xf borderId="0" fillId="0" fontId="25" numFmtId="0" xfId="0" applyAlignment="1" applyFont="1">
      <alignment horizontal="center"/>
    </xf>
    <xf borderId="0" fillId="0" fontId="17" numFmtId="0" xfId="0" applyAlignment="1" applyFont="1">
      <alignment horizontal="right"/>
    </xf>
    <xf borderId="0" fillId="0" fontId="6" numFmtId="169" xfId="0" applyFont="1" applyNumberFormat="1"/>
    <xf borderId="0" fillId="0" fontId="22" numFmtId="169" xfId="0" applyFont="1" applyNumberFormat="1"/>
    <xf borderId="13" fillId="0" fontId="21" numFmtId="169" xfId="0" applyBorder="1" applyFont="1" applyNumberFormat="1"/>
    <xf borderId="26" fillId="0" fontId="6" numFmtId="171" xfId="0" applyBorder="1" applyFont="1" applyNumberFormat="1"/>
    <xf borderId="0" fillId="0" fontId="15" numFmtId="0" xfId="0" applyFont="1"/>
    <xf borderId="27" fillId="0" fontId="21" numFmtId="0" xfId="0" applyBorder="1" applyFont="1"/>
    <xf borderId="18" fillId="12" fontId="6" numFmtId="175" xfId="0" applyAlignment="1" applyBorder="1" applyFill="1" applyFont="1" applyNumberFormat="1">
      <alignment horizontal="center"/>
    </xf>
    <xf borderId="28" fillId="0" fontId="21" numFmtId="0" xfId="0" applyBorder="1" applyFont="1"/>
    <xf borderId="20" fillId="12" fontId="6" numFmtId="175" xfId="0" applyAlignment="1" applyBorder="1" applyFont="1" applyNumberFormat="1">
      <alignment horizontal="center"/>
    </xf>
    <xf borderId="29" fillId="0" fontId="21" numFmtId="0" xfId="0" applyBorder="1" applyFont="1"/>
    <xf borderId="25" fillId="12" fontId="6" numFmtId="175" xfId="0" applyAlignment="1" applyBorder="1" applyFont="1" applyNumberFormat="1">
      <alignment horizontal="center"/>
    </xf>
    <xf borderId="0" fillId="0" fontId="21" numFmtId="165" xfId="0" applyAlignment="1" applyFont="1" applyNumberFormat="1">
      <alignment horizontal="center"/>
    </xf>
    <xf borderId="0" fillId="0" fontId="21" numFmtId="166" xfId="0" applyFont="1" applyNumberFormat="1"/>
    <xf borderId="1" fillId="3" fontId="22" numFmtId="170" xfId="0" applyBorder="1" applyFont="1" applyNumberFormat="1"/>
    <xf borderId="30" fillId="12" fontId="6" numFmtId="170" xfId="0" applyAlignment="1" applyBorder="1" applyFont="1" applyNumberFormat="1">
      <alignment horizontal="right"/>
    </xf>
    <xf borderId="30" fillId="12" fontId="6" numFmtId="169" xfId="0" applyAlignment="1" applyBorder="1" applyFont="1" applyNumberFormat="1">
      <alignment horizontal="right"/>
    </xf>
    <xf borderId="30" fillId="12" fontId="6" numFmtId="171" xfId="0" applyAlignment="1" applyBorder="1" applyFont="1" applyNumberFormat="1">
      <alignment horizontal="right"/>
    </xf>
    <xf borderId="0" fillId="0" fontId="21" numFmtId="176" xfId="0" applyFont="1" applyNumberFormat="1"/>
    <xf borderId="0" fillId="0" fontId="30" numFmtId="0" xfId="0" applyAlignment="1" applyFont="1">
      <alignment horizontal="center"/>
    </xf>
    <xf borderId="0" fillId="0" fontId="6" numFmtId="170" xfId="0" applyFont="1" applyNumberFormat="1"/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</xdr:row>
      <xdr:rowOff>114300</xdr:rowOff>
    </xdr:from>
    <xdr:ext cx="2200275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8.71"/>
    <col customWidth="1" min="3" max="3" width="11.86"/>
    <col customWidth="1" min="4" max="26" width="8.71"/>
  </cols>
  <sheetData>
    <row r="5">
      <c r="B5" s="1" t="s">
        <v>0</v>
      </c>
    </row>
    <row r="7">
      <c r="B7" s="2" t="s">
        <v>1</v>
      </c>
    </row>
    <row r="8">
      <c r="B8" s="3" t="s">
        <v>2</v>
      </c>
    </row>
    <row r="9">
      <c r="B9" s="3" t="s">
        <v>3</v>
      </c>
    </row>
    <row r="10">
      <c r="B10" s="4" t="s">
        <v>4</v>
      </c>
    </row>
    <row r="11">
      <c r="B11" s="3" t="s">
        <v>5</v>
      </c>
    </row>
    <row r="12">
      <c r="B12" s="3" t="s">
        <v>6</v>
      </c>
    </row>
    <row r="13">
      <c r="B13" s="3" t="s">
        <v>7</v>
      </c>
    </row>
    <row r="14">
      <c r="B14" s="3" t="s">
        <v>8</v>
      </c>
    </row>
    <row r="15">
      <c r="B15" s="4" t="s">
        <v>9</v>
      </c>
    </row>
    <row r="16">
      <c r="B16" s="3" t="s">
        <v>10</v>
      </c>
    </row>
    <row r="17">
      <c r="B17" s="3" t="s">
        <v>11</v>
      </c>
    </row>
    <row r="18">
      <c r="B18" s="3" t="s">
        <v>12</v>
      </c>
    </row>
    <row r="20">
      <c r="B20" s="5" t="s">
        <v>13</v>
      </c>
      <c r="C20" s="6">
        <v>44286.0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Summary" location="Summary!A1" ref="B8"/>
    <hyperlink display="Income Statement" location="'Income Statement'!A1" ref="B9"/>
    <hyperlink display="Revenue_Calcs" location="Revenue_Calcs!A1" ref="B11"/>
    <hyperlink display="COGS_Calcs" location="COGS_Calcs!A1" ref="B12"/>
    <hyperlink display="Opex_Calcs" location="Opex_Calcs!A1" ref="B13"/>
    <hyperlink display="Bookings to Revenue_Calcs" location="'Bookings to Revenue_Calcs'!A1" ref="B14"/>
    <hyperlink display="Revenue_Assumptions" location="Revenue_Assumptions!A1" ref="B16"/>
    <hyperlink display="COGS_Assumptions" location="COGS_Calcs!A1" ref="B17"/>
    <hyperlink display="Opex_Assumptions" location="Opex_Assumptions!A1" ref="B18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15.86"/>
    <col customWidth="1" min="3" max="3" width="2.57"/>
    <col customWidth="1" min="4" max="12" width="11.57"/>
    <col customWidth="1" min="13" max="13" width="2.57"/>
    <col customWidth="1" min="14" max="26" width="9.14"/>
  </cols>
  <sheetData>
    <row r="1" ht="14.2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7"/>
      <c r="B2" s="8" t="s">
        <v>14</v>
      </c>
      <c r="C2" s="8"/>
      <c r="D2" s="9"/>
      <c r="E2" s="9"/>
      <c r="F2" s="9"/>
      <c r="G2" s="9"/>
      <c r="H2" s="10" t="s">
        <v>15</v>
      </c>
      <c r="I2" s="9"/>
      <c r="J2" s="9"/>
      <c r="K2" s="9"/>
      <c r="L2" s="9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7"/>
      <c r="B3" s="11" t="s">
        <v>16</v>
      </c>
      <c r="C3" s="8"/>
      <c r="D3" s="12">
        <v>2019.0</v>
      </c>
      <c r="E3" s="12">
        <f t="shared" ref="E3:G3" si="1">+D3+1</f>
        <v>2020</v>
      </c>
      <c r="F3" s="12">
        <f t="shared" si="1"/>
        <v>2021</v>
      </c>
      <c r="G3" s="12">
        <f t="shared" si="1"/>
        <v>2022</v>
      </c>
      <c r="H3" s="13" t="s">
        <v>17</v>
      </c>
      <c r="I3" s="12">
        <f>+G3+1</f>
        <v>2023</v>
      </c>
      <c r="J3" s="12">
        <f t="shared" ref="J3:L3" si="2">+I3+1</f>
        <v>2024</v>
      </c>
      <c r="K3" s="12">
        <f t="shared" si="2"/>
        <v>2025</v>
      </c>
      <c r="L3" s="12">
        <f t="shared" si="2"/>
        <v>2026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4.5" customHeight="1">
      <c r="A4" s="7"/>
      <c r="B4" s="14"/>
      <c r="C4" s="14"/>
      <c r="D4" s="14"/>
      <c r="E4" s="14"/>
      <c r="F4" s="14"/>
      <c r="G4" s="14"/>
      <c r="H4" s="15"/>
      <c r="I4" s="14"/>
      <c r="J4" s="14"/>
      <c r="K4" s="14"/>
      <c r="L4" s="14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9.5" customHeight="1">
      <c r="A5" s="7"/>
      <c r="B5" s="14" t="str">
        <f>+'Income Statement'!B12</f>
        <v>Licensing</v>
      </c>
      <c r="C5" s="14"/>
      <c r="D5" s="16">
        <f>+'Income Statement'!F12/10^3</f>
        <v>0</v>
      </c>
      <c r="E5" s="16">
        <f>+'Income Statement'!G12/10^3</f>
        <v>0</v>
      </c>
      <c r="F5" s="16">
        <f>+'Income Statement'!H12/10^3</f>
        <v>0</v>
      </c>
      <c r="G5" s="16">
        <f>+'Income Statement'!I12/10^3</f>
        <v>0</v>
      </c>
      <c r="H5" s="17">
        <f>+'Income Statement'!O12/10^3</f>
        <v>0.992899</v>
      </c>
      <c r="I5" s="16">
        <f>+'Income Statement'!J12/10^3</f>
        <v>0</v>
      </c>
      <c r="J5" s="16">
        <f>+'Income Statement'!K12/10^3</f>
        <v>0</v>
      </c>
      <c r="K5" s="16">
        <f>+'Income Statement'!L12/10^3</f>
        <v>0</v>
      </c>
      <c r="L5" s="16">
        <f>+'Income Statement'!M12/10^3</f>
        <v>0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9.5" customHeight="1">
      <c r="A6" s="7"/>
      <c r="B6" s="14" t="str">
        <f>+'Income Statement'!B13</f>
        <v>Managed Services</v>
      </c>
      <c r="C6" s="14"/>
      <c r="D6" s="16">
        <f>+'Income Statement'!F13/10^3</f>
        <v>0</v>
      </c>
      <c r="E6" s="16">
        <f>+'Income Statement'!G13/10^3</f>
        <v>0</v>
      </c>
      <c r="F6" s="16">
        <f>+'Income Statement'!H13/10^3</f>
        <v>0</v>
      </c>
      <c r="G6" s="16">
        <f>+'Income Statement'!I13/10^3</f>
        <v>0</v>
      </c>
      <c r="H6" s="17">
        <f>+'Income Statement'!O13/10^3</f>
        <v>0</v>
      </c>
      <c r="I6" s="16">
        <f>+'Income Statement'!J13/10^3</f>
        <v>0</v>
      </c>
      <c r="J6" s="16">
        <f>+'Income Statement'!K13/10^3</f>
        <v>0</v>
      </c>
      <c r="K6" s="16">
        <f>+'Income Statement'!L13/10^3</f>
        <v>0</v>
      </c>
      <c r="L6" s="16">
        <f>+'Income Statement'!M13/10^3</f>
        <v>0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9.5" customHeight="1">
      <c r="A7" s="7"/>
      <c r="B7" s="14" t="str">
        <f>+'Income Statement'!B14</f>
        <v>Implementation</v>
      </c>
      <c r="C7" s="14"/>
      <c r="D7" s="16">
        <f>+'Income Statement'!F14/10^3</f>
        <v>0</v>
      </c>
      <c r="E7" s="16">
        <f>+'Income Statement'!G14/10^3</f>
        <v>0</v>
      </c>
      <c r="F7" s="16">
        <f>+'Income Statement'!H14/10^3</f>
        <v>0</v>
      </c>
      <c r="G7" s="16">
        <f>+'Income Statement'!I14/10^3</f>
        <v>0</v>
      </c>
      <c r="H7" s="17">
        <f>+'Income Statement'!O14/10^3</f>
        <v>0</v>
      </c>
      <c r="I7" s="16">
        <f>+'Income Statement'!J14/10^3</f>
        <v>0</v>
      </c>
      <c r="J7" s="16">
        <f>+'Income Statement'!K14/10^3</f>
        <v>0</v>
      </c>
      <c r="K7" s="16">
        <f>+'Income Statement'!L14/10^3</f>
        <v>0</v>
      </c>
      <c r="L7" s="16">
        <f>+'Income Statement'!M14/10^3</f>
        <v>0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9.5" customHeight="1">
      <c r="A8" s="7"/>
      <c r="B8" s="14" t="str">
        <f>+'Income Statement'!B15</f>
        <v>Other Revenue</v>
      </c>
      <c r="C8" s="14"/>
      <c r="D8" s="16">
        <f>+'Income Statement'!F15/10^3</f>
        <v>0</v>
      </c>
      <c r="E8" s="16">
        <f>+'Income Statement'!G15/10^3</f>
        <v>0</v>
      </c>
      <c r="F8" s="16">
        <f>+'Income Statement'!H15/10^3</f>
        <v>0</v>
      </c>
      <c r="G8" s="16">
        <f>+'Income Statement'!I15/10^3</f>
        <v>0</v>
      </c>
      <c r="H8" s="17">
        <f>+'Income Statement'!O15/10^3</f>
        <v>0</v>
      </c>
      <c r="I8" s="16">
        <f>+'Income Statement'!J15/10^3</f>
        <v>0</v>
      </c>
      <c r="J8" s="16">
        <f>+'Income Statement'!K15/10^3</f>
        <v>0</v>
      </c>
      <c r="K8" s="16">
        <f>+'Income Statement'!L15/10^3</f>
        <v>0</v>
      </c>
      <c r="L8" s="16">
        <f>+'Income Statement'!M15/10^3</f>
        <v>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9.5" customHeight="1">
      <c r="A9" s="7"/>
      <c r="B9" s="18" t="str">
        <f>+'Income Statement'!B16</f>
        <v>Total Revenue</v>
      </c>
      <c r="C9" s="19"/>
      <c r="D9" s="20">
        <f>+'Income Statement'!F16/10^3</f>
        <v>0</v>
      </c>
      <c r="E9" s="20">
        <f>+'Income Statement'!G16/10^3</f>
        <v>0</v>
      </c>
      <c r="F9" s="20">
        <f>+'Income Statement'!H16/10^3</f>
        <v>0</v>
      </c>
      <c r="G9" s="20">
        <f>+'Income Statement'!I16/10^3</f>
        <v>0</v>
      </c>
      <c r="H9" s="21">
        <f>+'Income Statement'!O16/10^3</f>
        <v>0.992899</v>
      </c>
      <c r="I9" s="20">
        <f>+'Income Statement'!J16/10^3</f>
        <v>0</v>
      </c>
      <c r="J9" s="20">
        <f>+'Income Statement'!K16/10^3</f>
        <v>0</v>
      </c>
      <c r="K9" s="20">
        <f>+'Income Statement'!L16/10^3</f>
        <v>0</v>
      </c>
      <c r="L9" s="22">
        <f>+'Income Statement'!M16/10^3</f>
        <v>0</v>
      </c>
      <c r="M9" s="23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9.5" customHeight="1">
      <c r="A10" s="7"/>
      <c r="B10" s="24" t="s">
        <v>18</v>
      </c>
      <c r="C10" s="14"/>
      <c r="D10" s="25"/>
      <c r="E10" s="25" t="str">
        <f t="shared" ref="E10:G10" si="3">+E9/D9-1</f>
        <v>#DIV/0!</v>
      </c>
      <c r="F10" s="25" t="str">
        <f t="shared" si="3"/>
        <v>#DIV/0!</v>
      </c>
      <c r="G10" s="25" t="str">
        <f t="shared" si="3"/>
        <v>#DIV/0!</v>
      </c>
      <c r="H10" s="15"/>
      <c r="I10" s="25" t="str">
        <f>+I9/G9-1</f>
        <v>#DIV/0!</v>
      </c>
      <c r="J10" s="25" t="str">
        <f t="shared" ref="J10:L10" si="4">+J9/I9-1</f>
        <v>#DIV/0!</v>
      </c>
      <c r="K10" s="25" t="str">
        <f t="shared" si="4"/>
        <v>#DIV/0!</v>
      </c>
      <c r="L10" s="25" t="str">
        <f t="shared" si="4"/>
        <v>#DIV/0!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4.5" customHeight="1">
      <c r="A11" s="7"/>
      <c r="B11" s="14"/>
      <c r="C11" s="14"/>
      <c r="D11" s="14"/>
      <c r="E11" s="14"/>
      <c r="F11" s="14"/>
      <c r="G11" s="14"/>
      <c r="H11" s="15"/>
      <c r="I11" s="14"/>
      <c r="J11" s="14"/>
      <c r="K11" s="14"/>
      <c r="L11" s="14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9.5" customHeight="1">
      <c r="A12" s="7"/>
      <c r="B12" s="14" t="s">
        <v>19</v>
      </c>
      <c r="C12" s="14"/>
      <c r="D12" s="16">
        <f>+'Income Statement'!F22/10^3</f>
        <v>0</v>
      </c>
      <c r="E12" s="16">
        <f>+'Income Statement'!G22/10^3</f>
        <v>0</v>
      </c>
      <c r="F12" s="16">
        <f>+'Income Statement'!H22/10^3</f>
        <v>0</v>
      </c>
      <c r="G12" s="16">
        <f>+'Income Statement'!I22/10^3</f>
        <v>0</v>
      </c>
      <c r="H12" s="26">
        <f>+'Income Statement'!O22/10^3</f>
        <v>0.10921889</v>
      </c>
      <c r="I12" s="16">
        <f>+'Income Statement'!J22/10^3</f>
        <v>0</v>
      </c>
      <c r="J12" s="16">
        <f>+'Income Statement'!K22/10^3</f>
        <v>0</v>
      </c>
      <c r="K12" s="16">
        <f>+'Income Statement'!L22/10^3</f>
        <v>0</v>
      </c>
      <c r="L12" s="16">
        <f>+'Income Statement'!M22/10^3</f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9.5" customHeight="1">
      <c r="A13" s="7"/>
      <c r="B13" s="18" t="s">
        <v>20</v>
      </c>
      <c r="C13" s="19"/>
      <c r="D13" s="20">
        <f t="shared" ref="D13:L13" si="5">+D9-D12</f>
        <v>0</v>
      </c>
      <c r="E13" s="20">
        <f t="shared" si="5"/>
        <v>0</v>
      </c>
      <c r="F13" s="20">
        <f t="shared" si="5"/>
        <v>0</v>
      </c>
      <c r="G13" s="20">
        <f t="shared" si="5"/>
        <v>0</v>
      </c>
      <c r="H13" s="21">
        <f t="shared" si="5"/>
        <v>0.88368011</v>
      </c>
      <c r="I13" s="20">
        <f t="shared" si="5"/>
        <v>0</v>
      </c>
      <c r="J13" s="20">
        <f t="shared" si="5"/>
        <v>0</v>
      </c>
      <c r="K13" s="20">
        <f t="shared" si="5"/>
        <v>0</v>
      </c>
      <c r="L13" s="22">
        <f t="shared" si="5"/>
        <v>0</v>
      </c>
      <c r="M13" s="23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9.5" customHeight="1">
      <c r="A14" s="7"/>
      <c r="B14" s="24" t="s">
        <v>21</v>
      </c>
      <c r="C14" s="14"/>
      <c r="D14" s="25" t="str">
        <f t="shared" ref="D14:L14" si="6">+D13/D$9</f>
        <v>#DIV/0!</v>
      </c>
      <c r="E14" s="25" t="str">
        <f t="shared" si="6"/>
        <v>#DIV/0!</v>
      </c>
      <c r="F14" s="25" t="str">
        <f t="shared" si="6"/>
        <v>#DIV/0!</v>
      </c>
      <c r="G14" s="25" t="str">
        <f t="shared" si="6"/>
        <v>#DIV/0!</v>
      </c>
      <c r="H14" s="27">
        <f t="shared" si="6"/>
        <v>0.89</v>
      </c>
      <c r="I14" s="25" t="str">
        <f t="shared" si="6"/>
        <v>#DIV/0!</v>
      </c>
      <c r="J14" s="25" t="str">
        <f t="shared" si="6"/>
        <v>#DIV/0!</v>
      </c>
      <c r="K14" s="25" t="str">
        <f t="shared" si="6"/>
        <v>#DIV/0!</v>
      </c>
      <c r="L14" s="25" t="str">
        <f t="shared" si="6"/>
        <v>#DIV/0!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4.5" customHeight="1">
      <c r="A15" s="7"/>
      <c r="B15" s="14"/>
      <c r="C15" s="14"/>
      <c r="D15" s="14"/>
      <c r="E15" s="14"/>
      <c r="F15" s="14"/>
      <c r="G15" s="14"/>
      <c r="H15" s="15"/>
      <c r="I15" s="14"/>
      <c r="J15" s="14"/>
      <c r="K15" s="14"/>
      <c r="L15" s="14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9.5" customHeight="1">
      <c r="A16" s="7"/>
      <c r="B16" s="14" t="str">
        <f>+'Income Statement'!B27</f>
        <v>Payroll &amp; Benefits</v>
      </c>
      <c r="C16" s="14"/>
      <c r="D16" s="16">
        <f>+'Income Statement'!F27/10^3</f>
        <v>0</v>
      </c>
      <c r="E16" s="16">
        <f>+'Income Statement'!G27/10^3</f>
        <v>0</v>
      </c>
      <c r="F16" s="16">
        <f>+'Income Statement'!H27/10^3</f>
        <v>0</v>
      </c>
      <c r="G16" s="16">
        <f>+'Income Statement'!I27/10^3</f>
        <v>0</v>
      </c>
      <c r="H16" s="26">
        <f>+'Income Statement'!O27/10^3</f>
        <v>0</v>
      </c>
      <c r="I16" s="16">
        <f>+'Income Statement'!J27/10^3</f>
        <v>0</v>
      </c>
      <c r="J16" s="16">
        <f>+'Income Statement'!K27/10^3</f>
        <v>0</v>
      </c>
      <c r="K16" s="16">
        <f>+'Income Statement'!L27/10^3</f>
        <v>0</v>
      </c>
      <c r="L16" s="16">
        <f>+'Income Statement'!M27/10^3</f>
        <v>0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9.5" customHeight="1">
      <c r="A17" s="7"/>
      <c r="B17" s="14" t="s">
        <v>22</v>
      </c>
      <c r="C17" s="14"/>
      <c r="D17" s="16">
        <f>+'Income Statement'!F28/10^3</f>
        <v>0</v>
      </c>
      <c r="E17" s="16">
        <f>+'Income Statement'!G28/10^3</f>
        <v>0</v>
      </c>
      <c r="F17" s="16">
        <f>+'Income Statement'!H28/10^3</f>
        <v>0</v>
      </c>
      <c r="G17" s="16">
        <f>+'Income Statement'!I28/10^3</f>
        <v>0</v>
      </c>
      <c r="H17" s="26">
        <f>+'Income Statement'!O28/10^3</f>
        <v>0</v>
      </c>
      <c r="I17" s="16">
        <f>+'Income Statement'!J28/10^3</f>
        <v>0</v>
      </c>
      <c r="J17" s="16">
        <f>+'Income Statement'!K28/10^3</f>
        <v>0</v>
      </c>
      <c r="K17" s="16">
        <f>+'Income Statement'!L28/10^3</f>
        <v>0</v>
      </c>
      <c r="L17" s="16">
        <f>+'Income Statement'!M28/10^3</f>
        <v>0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9.5" customHeight="1">
      <c r="A18" s="7"/>
      <c r="B18" s="14" t="s">
        <v>23</v>
      </c>
      <c r="C18" s="14"/>
      <c r="D18" s="16">
        <f>+'Income Statement'!F30/10^3</f>
        <v>0</v>
      </c>
      <c r="E18" s="16">
        <f>+'Income Statement'!G30/10^3</f>
        <v>0</v>
      </c>
      <c r="F18" s="16">
        <f>+'Income Statement'!H30/10^3</f>
        <v>0</v>
      </c>
      <c r="G18" s="16">
        <f>+'Income Statement'!I30/10^3</f>
        <v>0</v>
      </c>
      <c r="H18" s="26">
        <f>+'Income Statement'!O30/10^3</f>
        <v>0</v>
      </c>
      <c r="I18" s="16">
        <f>+'Income Statement'!J30/10^3</f>
        <v>0</v>
      </c>
      <c r="J18" s="16">
        <f>+'Income Statement'!K30/10^3</f>
        <v>0</v>
      </c>
      <c r="K18" s="16">
        <f>+'Income Statement'!L30/10^3</f>
        <v>0</v>
      </c>
      <c r="L18" s="16">
        <f>+'Income Statement'!M30/10^3</f>
        <v>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9.5" customHeight="1">
      <c r="A19" s="7"/>
      <c r="B19" s="14" t="s">
        <v>24</v>
      </c>
      <c r="C19" s="14"/>
      <c r="D19" s="16">
        <f>+SUM('Income Statement'!F29,'Income Statement'!F31:F33)/10^3</f>
        <v>0</v>
      </c>
      <c r="E19" s="16">
        <f>+SUM('Income Statement'!G29,'Income Statement'!G31:G33)/10^3</f>
        <v>0</v>
      </c>
      <c r="F19" s="16">
        <f>+SUM('Income Statement'!H29,'Income Statement'!H31:H33)/10^3</f>
        <v>0</v>
      </c>
      <c r="G19" s="16">
        <f>+SUM('Income Statement'!I29,'Income Statement'!I31:I33)/10^3</f>
        <v>0</v>
      </c>
      <c r="H19" s="26">
        <f>+SUM('Income Statement'!O29,'Income Statement'!O31:O33)/10^3</f>
        <v>0</v>
      </c>
      <c r="I19" s="16">
        <f>+SUM('Income Statement'!J29,'Income Statement'!J31:J33)/10^3</f>
        <v>0</v>
      </c>
      <c r="J19" s="16">
        <f>+SUM('Income Statement'!K29,'Income Statement'!K31:K33)/10^3</f>
        <v>0</v>
      </c>
      <c r="K19" s="16">
        <f>+SUM('Income Statement'!L29,'Income Statement'!L31:L33)/10^3</f>
        <v>0</v>
      </c>
      <c r="L19" s="16">
        <f>+SUM('Income Statement'!M29,'Income Statement'!M31:M33)/10^3</f>
        <v>0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9.5" customHeight="1">
      <c r="A20" s="7"/>
      <c r="B20" s="14" t="s">
        <v>25</v>
      </c>
      <c r="C20" s="14"/>
      <c r="D20" s="16">
        <f>+'Income Statement'!F35/10^3</f>
        <v>0</v>
      </c>
      <c r="E20" s="16">
        <f>+'Income Statement'!G35/10^3</f>
        <v>0</v>
      </c>
      <c r="F20" s="16">
        <f>+'Income Statement'!H35/10^3</f>
        <v>0</v>
      </c>
      <c r="G20" s="16">
        <f>+'Income Statement'!I35/10^3</f>
        <v>0</v>
      </c>
      <c r="H20" s="26">
        <f>+'Income Statement'!O35/10^3</f>
        <v>0</v>
      </c>
      <c r="I20" s="16">
        <f>+'Income Statement'!J35/10^3</f>
        <v>0</v>
      </c>
      <c r="J20" s="16">
        <f>+'Income Statement'!K35/10^3</f>
        <v>0</v>
      </c>
      <c r="K20" s="16">
        <f>+'Income Statement'!L35/10^3</f>
        <v>0</v>
      </c>
      <c r="L20" s="16">
        <f>+'Income Statement'!M35/10^3</f>
        <v>0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9.5" customHeight="1">
      <c r="A21" s="7"/>
      <c r="B21" s="18" t="s">
        <v>26</v>
      </c>
      <c r="C21" s="19"/>
      <c r="D21" s="20">
        <f t="shared" ref="D21:L21" si="7">+D13-SUM(D16:D20)</f>
        <v>0</v>
      </c>
      <c r="E21" s="20">
        <f t="shared" si="7"/>
        <v>0</v>
      </c>
      <c r="F21" s="20">
        <f t="shared" si="7"/>
        <v>0</v>
      </c>
      <c r="G21" s="20">
        <f t="shared" si="7"/>
        <v>0</v>
      </c>
      <c r="H21" s="21">
        <f t="shared" si="7"/>
        <v>0.88368011</v>
      </c>
      <c r="I21" s="20">
        <f t="shared" si="7"/>
        <v>0</v>
      </c>
      <c r="J21" s="20">
        <f t="shared" si="7"/>
        <v>0</v>
      </c>
      <c r="K21" s="20">
        <f t="shared" si="7"/>
        <v>0</v>
      </c>
      <c r="L21" s="22">
        <f t="shared" si="7"/>
        <v>0</v>
      </c>
      <c r="M21" s="23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9.5" customHeight="1">
      <c r="A22" s="7"/>
      <c r="B22" s="24" t="s">
        <v>27</v>
      </c>
      <c r="C22" s="14"/>
      <c r="D22" s="25" t="str">
        <f t="shared" ref="D22:L22" si="8">+D21/D$9</f>
        <v>#DIV/0!</v>
      </c>
      <c r="E22" s="25" t="str">
        <f t="shared" si="8"/>
        <v>#DIV/0!</v>
      </c>
      <c r="F22" s="25" t="str">
        <f t="shared" si="8"/>
        <v>#DIV/0!</v>
      </c>
      <c r="G22" s="25" t="str">
        <f t="shared" si="8"/>
        <v>#DIV/0!</v>
      </c>
      <c r="H22" s="27">
        <f t="shared" si="8"/>
        <v>0.89</v>
      </c>
      <c r="I22" s="25" t="str">
        <f t="shared" si="8"/>
        <v>#DIV/0!</v>
      </c>
      <c r="J22" s="25" t="str">
        <f t="shared" si="8"/>
        <v>#DIV/0!</v>
      </c>
      <c r="K22" s="25" t="str">
        <f t="shared" si="8"/>
        <v>#DIV/0!</v>
      </c>
      <c r="L22" s="25" t="str">
        <f t="shared" si="8"/>
        <v>#DIV/0!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4.5" customHeight="1">
      <c r="A23" s="7"/>
      <c r="B23" s="14"/>
      <c r="C23" s="14"/>
      <c r="D23" s="14"/>
      <c r="E23" s="14"/>
      <c r="F23" s="14"/>
      <c r="G23" s="14"/>
      <c r="H23" s="15"/>
      <c r="I23" s="14"/>
      <c r="J23" s="14"/>
      <c r="K23" s="14"/>
      <c r="L23" s="14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9.5" customHeight="1">
      <c r="A24" s="7"/>
      <c r="B24" s="14" t="s">
        <v>28</v>
      </c>
      <c r="C24" s="14"/>
      <c r="D24" s="16">
        <f>+'Income Statement'!F48/10^3</f>
        <v>0</v>
      </c>
      <c r="E24" s="16">
        <f>+'Income Statement'!G48/10^3</f>
        <v>0</v>
      </c>
      <c r="F24" s="16">
        <f>+'Income Statement'!H48/10^3</f>
        <v>0</v>
      </c>
      <c r="G24" s="16">
        <f>+'Income Statement'!I48/10^3</f>
        <v>0</v>
      </c>
      <c r="H24" s="26">
        <f>+'Income Statement'!O48/10^3</f>
        <v>0</v>
      </c>
      <c r="I24" s="16">
        <f>+'Income Statement'!J48/10^3</f>
        <v>0</v>
      </c>
      <c r="J24" s="16">
        <f>+'Income Statement'!K48/10^3</f>
        <v>0</v>
      </c>
      <c r="K24" s="16">
        <f>+'Income Statement'!L48/10^3</f>
        <v>0</v>
      </c>
      <c r="L24" s="16">
        <f>+'Income Statement'!M48/10^3</f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9.5" customHeight="1">
      <c r="A25" s="7"/>
      <c r="B25" s="18" t="s">
        <v>29</v>
      </c>
      <c r="C25" s="19"/>
      <c r="D25" s="20">
        <f t="shared" ref="D25:L25" si="9">+D21+D24</f>
        <v>0</v>
      </c>
      <c r="E25" s="20">
        <f t="shared" si="9"/>
        <v>0</v>
      </c>
      <c r="F25" s="20">
        <f t="shared" si="9"/>
        <v>0</v>
      </c>
      <c r="G25" s="20">
        <f t="shared" si="9"/>
        <v>0</v>
      </c>
      <c r="H25" s="21">
        <f t="shared" si="9"/>
        <v>0.88368011</v>
      </c>
      <c r="I25" s="20">
        <f t="shared" si="9"/>
        <v>0</v>
      </c>
      <c r="J25" s="20">
        <f t="shared" si="9"/>
        <v>0</v>
      </c>
      <c r="K25" s="20">
        <f t="shared" si="9"/>
        <v>0</v>
      </c>
      <c r="L25" s="22">
        <f t="shared" si="9"/>
        <v>0</v>
      </c>
      <c r="M25" s="23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9.5" customHeight="1">
      <c r="A26" s="7"/>
      <c r="B26" s="24" t="s">
        <v>27</v>
      </c>
      <c r="C26" s="14"/>
      <c r="D26" s="25" t="str">
        <f t="shared" ref="D26:L26" si="10">+D25/D$9</f>
        <v>#DIV/0!</v>
      </c>
      <c r="E26" s="25" t="str">
        <f t="shared" si="10"/>
        <v>#DIV/0!</v>
      </c>
      <c r="F26" s="25" t="str">
        <f t="shared" si="10"/>
        <v>#DIV/0!</v>
      </c>
      <c r="G26" s="25" t="str">
        <f t="shared" si="10"/>
        <v>#DIV/0!</v>
      </c>
      <c r="H26" s="28">
        <f t="shared" si="10"/>
        <v>0.89</v>
      </c>
      <c r="I26" s="25" t="str">
        <f t="shared" si="10"/>
        <v>#DIV/0!</v>
      </c>
      <c r="J26" s="25" t="str">
        <f t="shared" si="10"/>
        <v>#DIV/0!</v>
      </c>
      <c r="K26" s="25" t="str">
        <f t="shared" si="10"/>
        <v>#DIV/0!</v>
      </c>
      <c r="L26" s="25" t="str">
        <f t="shared" si="10"/>
        <v>#DIV/0!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9.5" customHeight="1">
      <c r="A27" s="29"/>
      <c r="B27" s="29" t="s">
        <v>30</v>
      </c>
      <c r="C27" s="29"/>
      <c r="D27" s="30">
        <f>+D25-'Income Statement'!F50/10^3</f>
        <v>0</v>
      </c>
      <c r="E27" s="30">
        <f>+E25-'Income Statement'!G50/10^3</f>
        <v>0</v>
      </c>
      <c r="F27" s="30">
        <f>+F25-'Income Statement'!H50/10^3</f>
        <v>0</v>
      </c>
      <c r="G27" s="30">
        <f>+G25-'Income Statement'!I50/10^3</f>
        <v>0</v>
      </c>
      <c r="H27" s="30">
        <f>+H25-'Income Statement'!O50/10^3</f>
        <v>0</v>
      </c>
      <c r="I27" s="30">
        <f>+I25-'Income Statement'!J50/10^3</f>
        <v>0</v>
      </c>
      <c r="J27" s="30">
        <f>+J25-'Income Statement'!K50/10^3</f>
        <v>0</v>
      </c>
      <c r="K27" s="30">
        <f>+K25-'Income Statement'!L50/10^3</f>
        <v>0</v>
      </c>
      <c r="L27" s="30">
        <f>+L25-'Income Statement'!M50/10^3</f>
        <v>0</v>
      </c>
      <c r="M27" s="30">
        <f>+M25-'Income Statement'!N50/10^3</f>
        <v>0</v>
      </c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4.2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 outlineLevelCol="1"/>
  <cols>
    <col customWidth="1" min="1" max="1" width="2.57"/>
    <col customWidth="1" min="2" max="2" width="25.57"/>
    <col customWidth="1" min="3" max="3" width="3.71"/>
    <col customWidth="1" min="4" max="5" width="2.57"/>
    <col customWidth="1" min="6" max="13" width="12.57"/>
    <col customWidth="1" min="14" max="14" width="2.57"/>
    <col customWidth="1" min="15" max="15" width="12.57"/>
    <col customWidth="1" min="16" max="16" width="2.57" outlineLevel="1"/>
    <col customWidth="1" min="17" max="112" width="12.57" outlineLevel="1"/>
    <col customWidth="1" min="113" max="113" width="2.57"/>
    <col customWidth="1" min="114" max="121" width="13.86"/>
    <col customWidth="1" min="122" max="123" width="12.57"/>
  </cols>
  <sheetData>
    <row r="2">
      <c r="B2" s="31" t="s">
        <v>31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</row>
    <row r="3">
      <c r="B3" s="32" t="str">
        <f t="array" ref="B3">MID(CELL("filename",A1),FIND("]",CELL("filename",A1))+1,255)</f>
        <v>#VALUE!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</row>
    <row r="4">
      <c r="B4" s="32" t="s">
        <v>32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</row>
    <row r="5">
      <c r="B5" s="33" t="s">
        <v>33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</row>
    <row r="6" ht="4.5" customHeight="1"/>
    <row r="7">
      <c r="B7" s="34"/>
      <c r="C7" s="34"/>
      <c r="D7" s="34"/>
      <c r="E7" s="35"/>
      <c r="F7" s="36">
        <v>2019.0</v>
      </c>
      <c r="G7" s="36">
        <f t="shared" ref="G7:M7" si="1">+F7+1</f>
        <v>2020</v>
      </c>
      <c r="H7" s="36">
        <f t="shared" si="1"/>
        <v>2021</v>
      </c>
      <c r="I7" s="36">
        <f t="shared" si="1"/>
        <v>2022</v>
      </c>
      <c r="J7" s="36">
        <f t="shared" si="1"/>
        <v>2023</v>
      </c>
      <c r="K7" s="36">
        <f t="shared" si="1"/>
        <v>2024</v>
      </c>
      <c r="L7" s="36">
        <f t="shared" si="1"/>
        <v>2025</v>
      </c>
      <c r="M7" s="36">
        <f t="shared" si="1"/>
        <v>2026</v>
      </c>
      <c r="N7" s="35"/>
      <c r="O7" s="37">
        <f t="shared" ref="O7:O8" si="4">+I7</f>
        <v>2022</v>
      </c>
      <c r="Q7" s="36">
        <f t="shared" ref="Q7:DH7" si="2">+YEAR(Q8)</f>
        <v>2019</v>
      </c>
      <c r="R7" s="36">
        <f t="shared" si="2"/>
        <v>2019</v>
      </c>
      <c r="S7" s="36">
        <f t="shared" si="2"/>
        <v>2019</v>
      </c>
      <c r="T7" s="36">
        <f t="shared" si="2"/>
        <v>2019</v>
      </c>
      <c r="U7" s="36">
        <f t="shared" si="2"/>
        <v>2019</v>
      </c>
      <c r="V7" s="36">
        <f t="shared" si="2"/>
        <v>2019</v>
      </c>
      <c r="W7" s="36">
        <f t="shared" si="2"/>
        <v>2019</v>
      </c>
      <c r="X7" s="36">
        <f t="shared" si="2"/>
        <v>2019</v>
      </c>
      <c r="Y7" s="36">
        <f t="shared" si="2"/>
        <v>2019</v>
      </c>
      <c r="Z7" s="36">
        <f t="shared" si="2"/>
        <v>2019</v>
      </c>
      <c r="AA7" s="36">
        <f t="shared" si="2"/>
        <v>2019</v>
      </c>
      <c r="AB7" s="36">
        <f t="shared" si="2"/>
        <v>2019</v>
      </c>
      <c r="AC7" s="36">
        <f t="shared" si="2"/>
        <v>2020</v>
      </c>
      <c r="AD7" s="36">
        <f t="shared" si="2"/>
        <v>2020</v>
      </c>
      <c r="AE7" s="36">
        <f t="shared" si="2"/>
        <v>2020</v>
      </c>
      <c r="AF7" s="36">
        <f t="shared" si="2"/>
        <v>2020</v>
      </c>
      <c r="AG7" s="36">
        <f t="shared" si="2"/>
        <v>2020</v>
      </c>
      <c r="AH7" s="36">
        <f t="shared" si="2"/>
        <v>2020</v>
      </c>
      <c r="AI7" s="36">
        <f t="shared" si="2"/>
        <v>2020</v>
      </c>
      <c r="AJ7" s="36">
        <f t="shared" si="2"/>
        <v>2020</v>
      </c>
      <c r="AK7" s="36">
        <f t="shared" si="2"/>
        <v>2020</v>
      </c>
      <c r="AL7" s="36">
        <f t="shared" si="2"/>
        <v>2020</v>
      </c>
      <c r="AM7" s="36">
        <f t="shared" si="2"/>
        <v>2020</v>
      </c>
      <c r="AN7" s="36">
        <f t="shared" si="2"/>
        <v>2020</v>
      </c>
      <c r="AO7" s="36">
        <f t="shared" si="2"/>
        <v>2021</v>
      </c>
      <c r="AP7" s="36">
        <f t="shared" si="2"/>
        <v>2021</v>
      </c>
      <c r="AQ7" s="36">
        <f t="shared" si="2"/>
        <v>2021</v>
      </c>
      <c r="AR7" s="36">
        <f t="shared" si="2"/>
        <v>2021</v>
      </c>
      <c r="AS7" s="36">
        <f t="shared" si="2"/>
        <v>2021</v>
      </c>
      <c r="AT7" s="36">
        <f t="shared" si="2"/>
        <v>2021</v>
      </c>
      <c r="AU7" s="36">
        <f t="shared" si="2"/>
        <v>2021</v>
      </c>
      <c r="AV7" s="36">
        <f t="shared" si="2"/>
        <v>2021</v>
      </c>
      <c r="AW7" s="36">
        <f t="shared" si="2"/>
        <v>2021</v>
      </c>
      <c r="AX7" s="36">
        <f t="shared" si="2"/>
        <v>2021</v>
      </c>
      <c r="AY7" s="36">
        <f t="shared" si="2"/>
        <v>2021</v>
      </c>
      <c r="AZ7" s="36">
        <f t="shared" si="2"/>
        <v>2021</v>
      </c>
      <c r="BA7" s="36">
        <f t="shared" si="2"/>
        <v>2022</v>
      </c>
      <c r="BB7" s="36">
        <f t="shared" si="2"/>
        <v>2022</v>
      </c>
      <c r="BC7" s="36">
        <f t="shared" si="2"/>
        <v>2022</v>
      </c>
      <c r="BD7" s="36">
        <f t="shared" si="2"/>
        <v>2022</v>
      </c>
      <c r="BE7" s="36">
        <f t="shared" si="2"/>
        <v>2022</v>
      </c>
      <c r="BF7" s="36">
        <f t="shared" si="2"/>
        <v>2022</v>
      </c>
      <c r="BG7" s="36">
        <f t="shared" si="2"/>
        <v>2022</v>
      </c>
      <c r="BH7" s="36">
        <f t="shared" si="2"/>
        <v>2022</v>
      </c>
      <c r="BI7" s="36">
        <f t="shared" si="2"/>
        <v>2022</v>
      </c>
      <c r="BJ7" s="36">
        <f t="shared" si="2"/>
        <v>2022</v>
      </c>
      <c r="BK7" s="36">
        <f t="shared" si="2"/>
        <v>2022</v>
      </c>
      <c r="BL7" s="36">
        <f t="shared" si="2"/>
        <v>2022</v>
      </c>
      <c r="BM7" s="36">
        <f t="shared" si="2"/>
        <v>2023</v>
      </c>
      <c r="BN7" s="36">
        <f t="shared" si="2"/>
        <v>2023</v>
      </c>
      <c r="BO7" s="36">
        <f t="shared" si="2"/>
        <v>2023</v>
      </c>
      <c r="BP7" s="36">
        <f t="shared" si="2"/>
        <v>2023</v>
      </c>
      <c r="BQ7" s="36">
        <f t="shared" si="2"/>
        <v>2023</v>
      </c>
      <c r="BR7" s="36">
        <f t="shared" si="2"/>
        <v>2023</v>
      </c>
      <c r="BS7" s="36">
        <f t="shared" si="2"/>
        <v>2023</v>
      </c>
      <c r="BT7" s="36">
        <f t="shared" si="2"/>
        <v>2023</v>
      </c>
      <c r="BU7" s="36">
        <f t="shared" si="2"/>
        <v>2023</v>
      </c>
      <c r="BV7" s="36">
        <f t="shared" si="2"/>
        <v>2023</v>
      </c>
      <c r="BW7" s="36">
        <f t="shared" si="2"/>
        <v>2023</v>
      </c>
      <c r="BX7" s="36">
        <f t="shared" si="2"/>
        <v>2023</v>
      </c>
      <c r="BY7" s="36">
        <f t="shared" si="2"/>
        <v>2024</v>
      </c>
      <c r="BZ7" s="36">
        <f t="shared" si="2"/>
        <v>2024</v>
      </c>
      <c r="CA7" s="36">
        <f t="shared" si="2"/>
        <v>2024</v>
      </c>
      <c r="CB7" s="36">
        <f t="shared" si="2"/>
        <v>2024</v>
      </c>
      <c r="CC7" s="36">
        <f t="shared" si="2"/>
        <v>2024</v>
      </c>
      <c r="CD7" s="36">
        <f t="shared" si="2"/>
        <v>2024</v>
      </c>
      <c r="CE7" s="36">
        <f t="shared" si="2"/>
        <v>2024</v>
      </c>
      <c r="CF7" s="36">
        <f t="shared" si="2"/>
        <v>2024</v>
      </c>
      <c r="CG7" s="36">
        <f t="shared" si="2"/>
        <v>2024</v>
      </c>
      <c r="CH7" s="36">
        <f t="shared" si="2"/>
        <v>2024</v>
      </c>
      <c r="CI7" s="36">
        <f t="shared" si="2"/>
        <v>2024</v>
      </c>
      <c r="CJ7" s="36">
        <f t="shared" si="2"/>
        <v>2024</v>
      </c>
      <c r="CK7" s="36">
        <f t="shared" si="2"/>
        <v>2025</v>
      </c>
      <c r="CL7" s="36">
        <f t="shared" si="2"/>
        <v>2025</v>
      </c>
      <c r="CM7" s="36">
        <f t="shared" si="2"/>
        <v>2025</v>
      </c>
      <c r="CN7" s="36">
        <f t="shared" si="2"/>
        <v>2025</v>
      </c>
      <c r="CO7" s="36">
        <f t="shared" si="2"/>
        <v>2025</v>
      </c>
      <c r="CP7" s="36">
        <f t="shared" si="2"/>
        <v>2025</v>
      </c>
      <c r="CQ7" s="36">
        <f t="shared" si="2"/>
        <v>2025</v>
      </c>
      <c r="CR7" s="36">
        <f t="shared" si="2"/>
        <v>2025</v>
      </c>
      <c r="CS7" s="36">
        <f t="shared" si="2"/>
        <v>2025</v>
      </c>
      <c r="CT7" s="36">
        <f t="shared" si="2"/>
        <v>2025</v>
      </c>
      <c r="CU7" s="36">
        <f t="shared" si="2"/>
        <v>2025</v>
      </c>
      <c r="CV7" s="36">
        <f t="shared" si="2"/>
        <v>2025</v>
      </c>
      <c r="CW7" s="36">
        <f t="shared" si="2"/>
        <v>2026</v>
      </c>
      <c r="CX7" s="36">
        <f t="shared" si="2"/>
        <v>2026</v>
      </c>
      <c r="CY7" s="36">
        <f t="shared" si="2"/>
        <v>2026</v>
      </c>
      <c r="CZ7" s="36">
        <f t="shared" si="2"/>
        <v>2026</v>
      </c>
      <c r="DA7" s="36">
        <f t="shared" si="2"/>
        <v>2026</v>
      </c>
      <c r="DB7" s="36">
        <f t="shared" si="2"/>
        <v>2026</v>
      </c>
      <c r="DC7" s="36">
        <f t="shared" si="2"/>
        <v>2026</v>
      </c>
      <c r="DD7" s="36">
        <f t="shared" si="2"/>
        <v>2026</v>
      </c>
      <c r="DE7" s="36">
        <f t="shared" si="2"/>
        <v>2026</v>
      </c>
      <c r="DF7" s="36">
        <f t="shared" si="2"/>
        <v>2026</v>
      </c>
      <c r="DG7" s="36">
        <f t="shared" si="2"/>
        <v>2026</v>
      </c>
      <c r="DH7" s="36">
        <f t="shared" si="2"/>
        <v>2026</v>
      </c>
      <c r="DJ7" s="38" t="s">
        <v>34</v>
      </c>
      <c r="DK7" s="39"/>
      <c r="DL7" s="39"/>
      <c r="DM7" s="39"/>
      <c r="DN7" s="39"/>
      <c r="DO7" s="39"/>
      <c r="DP7" s="39"/>
      <c r="DQ7" s="40"/>
    </row>
    <row r="8">
      <c r="B8" s="34"/>
      <c r="C8" s="34"/>
      <c r="D8" s="34"/>
      <c r="E8" s="41"/>
      <c r="F8" s="42">
        <f t="shared" ref="F8:M8" si="3">+DATE(F7,12,31)</f>
        <v>43830</v>
      </c>
      <c r="G8" s="42">
        <f t="shared" si="3"/>
        <v>44196</v>
      </c>
      <c r="H8" s="42">
        <f t="shared" si="3"/>
        <v>44561</v>
      </c>
      <c r="I8" s="42">
        <f t="shared" si="3"/>
        <v>44926</v>
      </c>
      <c r="J8" s="42">
        <f t="shared" si="3"/>
        <v>45291</v>
      </c>
      <c r="K8" s="42">
        <f t="shared" si="3"/>
        <v>45657</v>
      </c>
      <c r="L8" s="42">
        <f t="shared" si="3"/>
        <v>46022</v>
      </c>
      <c r="M8" s="42">
        <f t="shared" si="3"/>
        <v>46387</v>
      </c>
      <c r="N8" s="41"/>
      <c r="O8" s="43">
        <f t="shared" si="4"/>
        <v>44926</v>
      </c>
      <c r="Q8" s="42">
        <v>43496.0</v>
      </c>
      <c r="R8" s="42">
        <f t="shared" ref="R8:DH8" si="5">+EOMONTH(Q8,1)</f>
        <v>43524</v>
      </c>
      <c r="S8" s="42">
        <f t="shared" si="5"/>
        <v>43555</v>
      </c>
      <c r="T8" s="42">
        <f t="shared" si="5"/>
        <v>43585</v>
      </c>
      <c r="U8" s="42">
        <f t="shared" si="5"/>
        <v>43616</v>
      </c>
      <c r="V8" s="42">
        <f t="shared" si="5"/>
        <v>43646</v>
      </c>
      <c r="W8" s="42">
        <f t="shared" si="5"/>
        <v>43677</v>
      </c>
      <c r="X8" s="42">
        <f t="shared" si="5"/>
        <v>43708</v>
      </c>
      <c r="Y8" s="42">
        <f t="shared" si="5"/>
        <v>43738</v>
      </c>
      <c r="Z8" s="42">
        <f t="shared" si="5"/>
        <v>43769</v>
      </c>
      <c r="AA8" s="42">
        <f t="shared" si="5"/>
        <v>43799</v>
      </c>
      <c r="AB8" s="42">
        <f t="shared" si="5"/>
        <v>43830</v>
      </c>
      <c r="AC8" s="42">
        <f t="shared" si="5"/>
        <v>43861</v>
      </c>
      <c r="AD8" s="42">
        <f t="shared" si="5"/>
        <v>43890</v>
      </c>
      <c r="AE8" s="42">
        <f t="shared" si="5"/>
        <v>43921</v>
      </c>
      <c r="AF8" s="42">
        <f t="shared" si="5"/>
        <v>43951</v>
      </c>
      <c r="AG8" s="42">
        <f t="shared" si="5"/>
        <v>43982</v>
      </c>
      <c r="AH8" s="42">
        <f t="shared" si="5"/>
        <v>44012</v>
      </c>
      <c r="AI8" s="42">
        <f t="shared" si="5"/>
        <v>44043</v>
      </c>
      <c r="AJ8" s="42">
        <f t="shared" si="5"/>
        <v>44074</v>
      </c>
      <c r="AK8" s="42">
        <f t="shared" si="5"/>
        <v>44104</v>
      </c>
      <c r="AL8" s="42">
        <f t="shared" si="5"/>
        <v>44135</v>
      </c>
      <c r="AM8" s="42">
        <f t="shared" si="5"/>
        <v>44165</v>
      </c>
      <c r="AN8" s="42">
        <f t="shared" si="5"/>
        <v>44196</v>
      </c>
      <c r="AO8" s="42">
        <f t="shared" si="5"/>
        <v>44227</v>
      </c>
      <c r="AP8" s="42">
        <f t="shared" si="5"/>
        <v>44255</v>
      </c>
      <c r="AQ8" s="42">
        <f t="shared" si="5"/>
        <v>44286</v>
      </c>
      <c r="AR8" s="42">
        <f t="shared" si="5"/>
        <v>44316</v>
      </c>
      <c r="AS8" s="42">
        <f t="shared" si="5"/>
        <v>44347</v>
      </c>
      <c r="AT8" s="42">
        <f t="shared" si="5"/>
        <v>44377</v>
      </c>
      <c r="AU8" s="42">
        <f t="shared" si="5"/>
        <v>44408</v>
      </c>
      <c r="AV8" s="42">
        <f t="shared" si="5"/>
        <v>44439</v>
      </c>
      <c r="AW8" s="42">
        <f t="shared" si="5"/>
        <v>44469</v>
      </c>
      <c r="AX8" s="42">
        <f t="shared" si="5"/>
        <v>44500</v>
      </c>
      <c r="AY8" s="42">
        <f t="shared" si="5"/>
        <v>44530</v>
      </c>
      <c r="AZ8" s="42">
        <f t="shared" si="5"/>
        <v>44561</v>
      </c>
      <c r="BA8" s="42">
        <f t="shared" si="5"/>
        <v>44592</v>
      </c>
      <c r="BB8" s="42">
        <f t="shared" si="5"/>
        <v>44620</v>
      </c>
      <c r="BC8" s="42">
        <f t="shared" si="5"/>
        <v>44651</v>
      </c>
      <c r="BD8" s="42">
        <f t="shared" si="5"/>
        <v>44681</v>
      </c>
      <c r="BE8" s="42">
        <f t="shared" si="5"/>
        <v>44712</v>
      </c>
      <c r="BF8" s="42">
        <f t="shared" si="5"/>
        <v>44742</v>
      </c>
      <c r="BG8" s="42">
        <f t="shared" si="5"/>
        <v>44773</v>
      </c>
      <c r="BH8" s="42">
        <f t="shared" si="5"/>
        <v>44804</v>
      </c>
      <c r="BI8" s="42">
        <f t="shared" si="5"/>
        <v>44834</v>
      </c>
      <c r="BJ8" s="42">
        <f t="shared" si="5"/>
        <v>44865</v>
      </c>
      <c r="BK8" s="42">
        <f t="shared" si="5"/>
        <v>44895</v>
      </c>
      <c r="BL8" s="42">
        <f t="shared" si="5"/>
        <v>44926</v>
      </c>
      <c r="BM8" s="42">
        <f t="shared" si="5"/>
        <v>44957</v>
      </c>
      <c r="BN8" s="42">
        <f t="shared" si="5"/>
        <v>44985</v>
      </c>
      <c r="BO8" s="42">
        <f t="shared" si="5"/>
        <v>45016</v>
      </c>
      <c r="BP8" s="42">
        <f t="shared" si="5"/>
        <v>45046</v>
      </c>
      <c r="BQ8" s="42">
        <f t="shared" si="5"/>
        <v>45077</v>
      </c>
      <c r="BR8" s="42">
        <f t="shared" si="5"/>
        <v>45107</v>
      </c>
      <c r="BS8" s="42">
        <f t="shared" si="5"/>
        <v>45138</v>
      </c>
      <c r="BT8" s="42">
        <f t="shared" si="5"/>
        <v>45169</v>
      </c>
      <c r="BU8" s="42">
        <f t="shared" si="5"/>
        <v>45199</v>
      </c>
      <c r="BV8" s="42">
        <f t="shared" si="5"/>
        <v>45230</v>
      </c>
      <c r="BW8" s="42">
        <f t="shared" si="5"/>
        <v>45260</v>
      </c>
      <c r="BX8" s="42">
        <f t="shared" si="5"/>
        <v>45291</v>
      </c>
      <c r="BY8" s="42">
        <f t="shared" si="5"/>
        <v>45322</v>
      </c>
      <c r="BZ8" s="42">
        <f t="shared" si="5"/>
        <v>45351</v>
      </c>
      <c r="CA8" s="42">
        <f t="shared" si="5"/>
        <v>45382</v>
      </c>
      <c r="CB8" s="42">
        <f t="shared" si="5"/>
        <v>45412</v>
      </c>
      <c r="CC8" s="42">
        <f t="shared" si="5"/>
        <v>45443</v>
      </c>
      <c r="CD8" s="42">
        <f t="shared" si="5"/>
        <v>45473</v>
      </c>
      <c r="CE8" s="42">
        <f t="shared" si="5"/>
        <v>45504</v>
      </c>
      <c r="CF8" s="42">
        <f t="shared" si="5"/>
        <v>45535</v>
      </c>
      <c r="CG8" s="42">
        <f t="shared" si="5"/>
        <v>45565</v>
      </c>
      <c r="CH8" s="42">
        <f t="shared" si="5"/>
        <v>45596</v>
      </c>
      <c r="CI8" s="42">
        <f t="shared" si="5"/>
        <v>45626</v>
      </c>
      <c r="CJ8" s="42">
        <f t="shared" si="5"/>
        <v>45657</v>
      </c>
      <c r="CK8" s="42">
        <f t="shared" si="5"/>
        <v>45688</v>
      </c>
      <c r="CL8" s="42">
        <f t="shared" si="5"/>
        <v>45716</v>
      </c>
      <c r="CM8" s="42">
        <f t="shared" si="5"/>
        <v>45747</v>
      </c>
      <c r="CN8" s="42">
        <f t="shared" si="5"/>
        <v>45777</v>
      </c>
      <c r="CO8" s="42">
        <f t="shared" si="5"/>
        <v>45808</v>
      </c>
      <c r="CP8" s="42">
        <f t="shared" si="5"/>
        <v>45838</v>
      </c>
      <c r="CQ8" s="42">
        <f t="shared" si="5"/>
        <v>45869</v>
      </c>
      <c r="CR8" s="42">
        <f t="shared" si="5"/>
        <v>45900</v>
      </c>
      <c r="CS8" s="42">
        <f t="shared" si="5"/>
        <v>45930</v>
      </c>
      <c r="CT8" s="42">
        <f t="shared" si="5"/>
        <v>45961</v>
      </c>
      <c r="CU8" s="42">
        <f t="shared" si="5"/>
        <v>45991</v>
      </c>
      <c r="CV8" s="42">
        <f t="shared" si="5"/>
        <v>46022</v>
      </c>
      <c r="CW8" s="42">
        <f t="shared" si="5"/>
        <v>46053</v>
      </c>
      <c r="CX8" s="42">
        <f t="shared" si="5"/>
        <v>46081</v>
      </c>
      <c r="CY8" s="42">
        <f t="shared" si="5"/>
        <v>46112</v>
      </c>
      <c r="CZ8" s="42">
        <f t="shared" si="5"/>
        <v>46142</v>
      </c>
      <c r="DA8" s="42">
        <f t="shared" si="5"/>
        <v>46173</v>
      </c>
      <c r="DB8" s="42">
        <f t="shared" si="5"/>
        <v>46203</v>
      </c>
      <c r="DC8" s="42">
        <f t="shared" si="5"/>
        <v>46234</v>
      </c>
      <c r="DD8" s="42">
        <f t="shared" si="5"/>
        <v>46265</v>
      </c>
      <c r="DE8" s="42">
        <f t="shared" si="5"/>
        <v>46295</v>
      </c>
      <c r="DF8" s="42">
        <f t="shared" si="5"/>
        <v>46326</v>
      </c>
      <c r="DG8" s="42">
        <f t="shared" si="5"/>
        <v>46356</v>
      </c>
      <c r="DH8" s="42">
        <f t="shared" si="5"/>
        <v>46387</v>
      </c>
      <c r="DJ8" s="36">
        <v>2019.0</v>
      </c>
      <c r="DK8" s="36">
        <f t="shared" ref="DK8:DQ8" si="6">+DJ8+1</f>
        <v>2020</v>
      </c>
      <c r="DL8" s="36">
        <f t="shared" si="6"/>
        <v>2021</v>
      </c>
      <c r="DM8" s="36">
        <f t="shared" si="6"/>
        <v>2022</v>
      </c>
      <c r="DN8" s="36">
        <f t="shared" si="6"/>
        <v>2023</v>
      </c>
      <c r="DO8" s="36">
        <f t="shared" si="6"/>
        <v>2024</v>
      </c>
      <c r="DP8" s="36">
        <f t="shared" si="6"/>
        <v>2025</v>
      </c>
      <c r="DQ8" s="36">
        <f t="shared" si="6"/>
        <v>2026</v>
      </c>
    </row>
    <row r="9">
      <c r="B9" s="34" t="s">
        <v>35</v>
      </c>
      <c r="C9" s="34"/>
      <c r="D9" s="34"/>
      <c r="E9" s="44"/>
      <c r="F9" s="45" t="s">
        <v>36</v>
      </c>
      <c r="G9" s="45" t="s">
        <v>36</v>
      </c>
      <c r="H9" s="45" t="s">
        <v>36</v>
      </c>
      <c r="I9" s="45" t="s">
        <v>37</v>
      </c>
      <c r="J9" s="45" t="s">
        <v>38</v>
      </c>
      <c r="K9" s="45" t="s">
        <v>38</v>
      </c>
      <c r="L9" s="45" t="s">
        <v>38</v>
      </c>
      <c r="M9" s="45" t="s">
        <v>38</v>
      </c>
      <c r="N9" s="44"/>
      <c r="O9" s="46" t="s">
        <v>39</v>
      </c>
      <c r="Q9" s="45" t="s">
        <v>36</v>
      </c>
      <c r="R9" s="45" t="s">
        <v>36</v>
      </c>
      <c r="S9" s="45" t="s">
        <v>36</v>
      </c>
      <c r="T9" s="45" t="s">
        <v>36</v>
      </c>
      <c r="U9" s="45" t="s">
        <v>36</v>
      </c>
      <c r="V9" s="45" t="s">
        <v>36</v>
      </c>
      <c r="W9" s="45" t="s">
        <v>36</v>
      </c>
      <c r="X9" s="45" t="s">
        <v>36</v>
      </c>
      <c r="Y9" s="45" t="s">
        <v>36</v>
      </c>
      <c r="Z9" s="45" t="s">
        <v>36</v>
      </c>
      <c r="AA9" s="45" t="s">
        <v>36</v>
      </c>
      <c r="AB9" s="45" t="s">
        <v>36</v>
      </c>
      <c r="AC9" s="45" t="s">
        <v>36</v>
      </c>
      <c r="AD9" s="45" t="s">
        <v>36</v>
      </c>
      <c r="AE9" s="45" t="s">
        <v>36</v>
      </c>
      <c r="AF9" s="45" t="s">
        <v>36</v>
      </c>
      <c r="AG9" s="45" t="s">
        <v>36</v>
      </c>
      <c r="AH9" s="45" t="s">
        <v>36</v>
      </c>
      <c r="AI9" s="45" t="s">
        <v>36</v>
      </c>
      <c r="AJ9" s="45" t="s">
        <v>36</v>
      </c>
      <c r="AK9" s="45" t="s">
        <v>36</v>
      </c>
      <c r="AL9" s="45" t="s">
        <v>36</v>
      </c>
      <c r="AM9" s="45" t="s">
        <v>36</v>
      </c>
      <c r="AN9" s="45" t="s">
        <v>36</v>
      </c>
      <c r="AO9" s="45" t="s">
        <v>36</v>
      </c>
      <c r="AP9" s="45" t="s">
        <v>36</v>
      </c>
      <c r="AQ9" s="45" t="s">
        <v>36</v>
      </c>
      <c r="AR9" s="45" t="s">
        <v>36</v>
      </c>
      <c r="AS9" s="45" t="s">
        <v>36</v>
      </c>
      <c r="AT9" s="45" t="s">
        <v>36</v>
      </c>
      <c r="AU9" s="45" t="s">
        <v>36</v>
      </c>
      <c r="AV9" s="45" t="s">
        <v>36</v>
      </c>
      <c r="AW9" s="45" t="s">
        <v>36</v>
      </c>
      <c r="AX9" s="45" t="s">
        <v>36</v>
      </c>
      <c r="AY9" s="45" t="s">
        <v>36</v>
      </c>
      <c r="AZ9" s="45" t="s">
        <v>36</v>
      </c>
      <c r="BA9" s="45" t="s">
        <v>36</v>
      </c>
      <c r="BB9" s="45" t="s">
        <v>36</v>
      </c>
      <c r="BC9" s="45" t="s">
        <v>36</v>
      </c>
      <c r="BD9" s="45" t="s">
        <v>37</v>
      </c>
      <c r="BE9" s="45" t="s">
        <v>37</v>
      </c>
      <c r="BF9" s="45" t="s">
        <v>37</v>
      </c>
      <c r="BG9" s="45" t="s">
        <v>37</v>
      </c>
      <c r="BH9" s="45" t="s">
        <v>37</v>
      </c>
      <c r="BI9" s="45" t="s">
        <v>37</v>
      </c>
      <c r="BJ9" s="45" t="s">
        <v>37</v>
      </c>
      <c r="BK9" s="45" t="s">
        <v>37</v>
      </c>
      <c r="BL9" s="45" t="s">
        <v>37</v>
      </c>
      <c r="BM9" s="45" t="s">
        <v>38</v>
      </c>
      <c r="BN9" s="45" t="s">
        <v>38</v>
      </c>
      <c r="BO9" s="45" t="s">
        <v>38</v>
      </c>
      <c r="BP9" s="45" t="s">
        <v>38</v>
      </c>
      <c r="BQ9" s="45" t="s">
        <v>38</v>
      </c>
      <c r="BR9" s="45" t="s">
        <v>38</v>
      </c>
      <c r="BS9" s="45" t="s">
        <v>38</v>
      </c>
      <c r="BT9" s="45" t="s">
        <v>38</v>
      </c>
      <c r="BU9" s="45" t="s">
        <v>38</v>
      </c>
      <c r="BV9" s="45" t="s">
        <v>38</v>
      </c>
      <c r="BW9" s="45" t="s">
        <v>38</v>
      </c>
      <c r="BX9" s="45" t="s">
        <v>38</v>
      </c>
      <c r="BY9" s="45" t="s">
        <v>38</v>
      </c>
      <c r="BZ9" s="45" t="s">
        <v>38</v>
      </c>
      <c r="CA9" s="45" t="s">
        <v>38</v>
      </c>
      <c r="CB9" s="45" t="s">
        <v>38</v>
      </c>
      <c r="CC9" s="45" t="s">
        <v>38</v>
      </c>
      <c r="CD9" s="45" t="s">
        <v>38</v>
      </c>
      <c r="CE9" s="45" t="s">
        <v>38</v>
      </c>
      <c r="CF9" s="45" t="s">
        <v>38</v>
      </c>
      <c r="CG9" s="45" t="s">
        <v>38</v>
      </c>
      <c r="CH9" s="45" t="s">
        <v>38</v>
      </c>
      <c r="CI9" s="45" t="s">
        <v>38</v>
      </c>
      <c r="CJ9" s="45" t="s">
        <v>38</v>
      </c>
      <c r="CK9" s="45" t="s">
        <v>38</v>
      </c>
      <c r="CL9" s="45" t="s">
        <v>38</v>
      </c>
      <c r="CM9" s="45" t="s">
        <v>38</v>
      </c>
      <c r="CN9" s="45" t="s">
        <v>38</v>
      </c>
      <c r="CO9" s="45" t="s">
        <v>38</v>
      </c>
      <c r="CP9" s="45" t="s">
        <v>38</v>
      </c>
      <c r="CQ9" s="45" t="s">
        <v>38</v>
      </c>
      <c r="CR9" s="45" t="s">
        <v>38</v>
      </c>
      <c r="CS9" s="45" t="s">
        <v>38</v>
      </c>
      <c r="CT9" s="45" t="s">
        <v>38</v>
      </c>
      <c r="CU9" s="45" t="s">
        <v>38</v>
      </c>
      <c r="CV9" s="45" t="s">
        <v>38</v>
      </c>
      <c r="CW9" s="45" t="s">
        <v>38</v>
      </c>
      <c r="CX9" s="45" t="s">
        <v>38</v>
      </c>
      <c r="CY9" s="45" t="s">
        <v>38</v>
      </c>
      <c r="CZ9" s="45" t="s">
        <v>38</v>
      </c>
      <c r="DA9" s="45" t="s">
        <v>38</v>
      </c>
      <c r="DB9" s="45" t="s">
        <v>38</v>
      </c>
      <c r="DC9" s="45" t="s">
        <v>38</v>
      </c>
      <c r="DD9" s="45" t="s">
        <v>38</v>
      </c>
      <c r="DE9" s="45" t="s">
        <v>38</v>
      </c>
      <c r="DF9" s="45" t="s">
        <v>38</v>
      </c>
      <c r="DG9" s="45" t="s">
        <v>38</v>
      </c>
      <c r="DH9" s="45" t="s">
        <v>38</v>
      </c>
      <c r="DJ9" s="45" t="s">
        <v>36</v>
      </c>
      <c r="DK9" s="45" t="s">
        <v>36</v>
      </c>
      <c r="DL9" s="45" t="s">
        <v>36</v>
      </c>
      <c r="DM9" s="45" t="s">
        <v>37</v>
      </c>
      <c r="DN9" s="45" t="s">
        <v>38</v>
      </c>
      <c r="DO9" s="45" t="s">
        <v>38</v>
      </c>
      <c r="DP9" s="45" t="s">
        <v>38</v>
      </c>
      <c r="DQ9" s="45" t="s">
        <v>38</v>
      </c>
    </row>
    <row r="10" ht="4.5" customHeight="1"/>
    <row r="11">
      <c r="B11" s="47" t="s">
        <v>40</v>
      </c>
      <c r="DJ11" s="48" t="s">
        <v>41</v>
      </c>
      <c r="DK11" s="39"/>
      <c r="DL11" s="39"/>
      <c r="DM11" s="39"/>
      <c r="DN11" s="39"/>
      <c r="DO11" s="39"/>
      <c r="DP11" s="39"/>
      <c r="DQ11" s="40"/>
    </row>
    <row r="12">
      <c r="B12" s="5" t="s">
        <v>42</v>
      </c>
      <c r="C12" s="49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1">
        <f>I12+992.899</f>
        <v>992.899</v>
      </c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J12" s="53"/>
      <c r="DK12" s="49">
        <f t="shared" ref="DK12:DN12" si="7">+IFERROR(G12/F12-1,0)</f>
        <v>0</v>
      </c>
      <c r="DL12" s="49">
        <f t="shared" si="7"/>
        <v>0</v>
      </c>
      <c r="DM12" s="49">
        <f t="shared" si="7"/>
        <v>0</v>
      </c>
      <c r="DN12" s="49">
        <f t="shared" si="7"/>
        <v>0</v>
      </c>
      <c r="DO12" s="49"/>
      <c r="DP12" s="49">
        <f t="shared" ref="DP12:DQ12" si="8">+IFERROR(L12/K12-1,0)</f>
        <v>0</v>
      </c>
      <c r="DQ12" s="49">
        <f t="shared" si="8"/>
        <v>0</v>
      </c>
    </row>
    <row r="13">
      <c r="B13" s="5" t="s">
        <v>43</v>
      </c>
      <c r="C13" s="49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 t="str">
        <f t="shared" ref="O13:O15" si="11">+I13</f>
        <v/>
      </c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  <c r="DA13" s="52"/>
      <c r="DB13" s="52"/>
      <c r="DC13" s="52"/>
      <c r="DD13" s="52"/>
      <c r="DE13" s="52"/>
      <c r="DF13" s="52"/>
      <c r="DG13" s="52"/>
      <c r="DH13" s="52"/>
      <c r="DJ13" s="53"/>
      <c r="DK13" s="49">
        <f t="shared" ref="DK13:DN13" si="9">+IFERROR(G13/F13-1,0)</f>
        <v>0</v>
      </c>
      <c r="DL13" s="49">
        <f t="shared" si="9"/>
        <v>0</v>
      </c>
      <c r="DM13" s="49">
        <f t="shared" si="9"/>
        <v>0</v>
      </c>
      <c r="DN13" s="49">
        <f t="shared" si="9"/>
        <v>0</v>
      </c>
      <c r="DO13" s="49"/>
      <c r="DP13" s="49">
        <f t="shared" ref="DP13:DQ13" si="10">+IFERROR(L13/K13-1,0)</f>
        <v>0</v>
      </c>
      <c r="DQ13" s="49">
        <f t="shared" si="10"/>
        <v>0</v>
      </c>
    </row>
    <row r="14">
      <c r="B14" s="5" t="s">
        <v>44</v>
      </c>
      <c r="C14" s="49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 t="str">
        <f t="shared" si="11"/>
        <v/>
      </c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52"/>
      <c r="CU14" s="52"/>
      <c r="CV14" s="52"/>
      <c r="CW14" s="52"/>
      <c r="CX14" s="52"/>
      <c r="CY14" s="52"/>
      <c r="CZ14" s="52"/>
      <c r="DA14" s="52"/>
      <c r="DB14" s="52"/>
      <c r="DC14" s="52"/>
      <c r="DD14" s="52"/>
      <c r="DE14" s="52"/>
      <c r="DF14" s="52"/>
      <c r="DG14" s="52"/>
      <c r="DH14" s="52"/>
      <c r="DJ14" s="53"/>
      <c r="DK14" s="49">
        <f t="shared" ref="DK14:DN14" si="12">+IFERROR(G14/F14-1,0)</f>
        <v>0</v>
      </c>
      <c r="DL14" s="49">
        <f t="shared" si="12"/>
        <v>0</v>
      </c>
      <c r="DM14" s="49">
        <f t="shared" si="12"/>
        <v>0</v>
      </c>
      <c r="DN14" s="49">
        <f t="shared" si="12"/>
        <v>0</v>
      </c>
      <c r="DO14" s="49"/>
      <c r="DP14" s="49">
        <f t="shared" ref="DP14:DQ14" si="13">+IFERROR(L14/K14-1,0)</f>
        <v>0</v>
      </c>
      <c r="DQ14" s="49">
        <f t="shared" si="13"/>
        <v>0</v>
      </c>
    </row>
    <row r="15">
      <c r="B15" s="5" t="s">
        <v>45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 t="str">
        <f t="shared" si="11"/>
        <v/>
      </c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  <c r="DG15" s="52"/>
      <c r="DH15" s="52"/>
      <c r="DJ15" s="53"/>
      <c r="DK15" s="49">
        <f t="shared" ref="DK15:DN15" si="14">+IFERROR(G15/F15-1,0)</f>
        <v>0</v>
      </c>
      <c r="DL15" s="49">
        <f t="shared" si="14"/>
        <v>0</v>
      </c>
      <c r="DM15" s="49">
        <f t="shared" si="14"/>
        <v>0</v>
      </c>
      <c r="DN15" s="49">
        <f t="shared" si="14"/>
        <v>0</v>
      </c>
      <c r="DO15" s="49"/>
      <c r="DP15" s="49">
        <f t="shared" ref="DP15:DQ15" si="15">+IFERROR(L15/K15-1,0)</f>
        <v>0</v>
      </c>
      <c r="DQ15" s="49">
        <f t="shared" si="15"/>
        <v>0</v>
      </c>
    </row>
    <row r="16">
      <c r="B16" s="54" t="s">
        <v>46</v>
      </c>
      <c r="C16" s="54"/>
      <c r="D16" s="54"/>
      <c r="E16" s="50"/>
      <c r="F16" s="55"/>
      <c r="G16" s="55"/>
      <c r="H16" s="55"/>
      <c r="I16" s="55"/>
      <c r="J16" s="55"/>
      <c r="K16" s="55"/>
      <c r="L16" s="55"/>
      <c r="M16" s="55"/>
      <c r="N16" s="50"/>
      <c r="O16" s="55">
        <f>SUM(O12:O15)</f>
        <v>992.899</v>
      </c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  <c r="CP16" s="55"/>
      <c r="CQ16" s="55"/>
      <c r="CR16" s="55"/>
      <c r="CS16" s="55"/>
      <c r="CT16" s="55"/>
      <c r="CU16" s="55"/>
      <c r="CV16" s="55"/>
      <c r="CW16" s="55"/>
      <c r="CX16" s="55"/>
      <c r="CY16" s="55"/>
      <c r="CZ16" s="55"/>
      <c r="DA16" s="55"/>
      <c r="DB16" s="55"/>
      <c r="DC16" s="55"/>
      <c r="DD16" s="55"/>
      <c r="DE16" s="55"/>
      <c r="DF16" s="55"/>
      <c r="DG16" s="55"/>
      <c r="DH16" s="55"/>
      <c r="DJ16" s="56"/>
      <c r="DK16" s="57" t="str">
        <f t="shared" ref="DK16:DN16" si="16">+G16/F16-1</f>
        <v>#DIV/0!</v>
      </c>
      <c r="DL16" s="57" t="str">
        <f t="shared" si="16"/>
        <v>#DIV/0!</v>
      </c>
      <c r="DM16" s="57" t="str">
        <f t="shared" si="16"/>
        <v>#DIV/0!</v>
      </c>
      <c r="DN16" s="57" t="str">
        <f t="shared" si="16"/>
        <v>#DIV/0!</v>
      </c>
      <c r="DO16" s="57"/>
      <c r="DP16" s="57" t="str">
        <f t="shared" ref="DP16:DQ16" si="17">+L16/K16-1</f>
        <v>#DIV/0!</v>
      </c>
      <c r="DQ16" s="57" t="str">
        <f t="shared" si="17"/>
        <v>#DIV/0!</v>
      </c>
    </row>
    <row r="17" ht="4.5" customHeight="1"/>
    <row r="18">
      <c r="B18" s="47" t="s">
        <v>19</v>
      </c>
      <c r="I18" s="58"/>
      <c r="J18" s="59"/>
      <c r="K18" s="59"/>
      <c r="L18" s="59"/>
      <c r="M18" s="59"/>
      <c r="O18" s="59"/>
      <c r="DJ18" s="48" t="s">
        <v>47</v>
      </c>
      <c r="DK18" s="39"/>
      <c r="DL18" s="39"/>
      <c r="DM18" s="39"/>
      <c r="DN18" s="39"/>
      <c r="DO18" s="39"/>
      <c r="DP18" s="39"/>
      <c r="DQ18" s="40"/>
      <c r="DS18" s="47"/>
    </row>
    <row r="19">
      <c r="B19" s="5" t="s">
        <v>42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1">
        <f>+I19+((O12-I12)*0.11)</f>
        <v>109.21889</v>
      </c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52"/>
      <c r="CT19" s="52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J19" s="49" t="str">
        <f t="shared" ref="DJ19:DN19" si="18">+F19/F$16</f>
        <v>#DIV/0!</v>
      </c>
      <c r="DK19" s="49" t="str">
        <f t="shared" si="18"/>
        <v>#DIV/0!</v>
      </c>
      <c r="DL19" s="49" t="str">
        <f t="shared" si="18"/>
        <v>#DIV/0!</v>
      </c>
      <c r="DM19" s="49" t="str">
        <f t="shared" si="18"/>
        <v>#DIV/0!</v>
      </c>
      <c r="DN19" s="49" t="str">
        <f t="shared" si="18"/>
        <v>#DIV/0!</v>
      </c>
      <c r="DO19" s="49"/>
      <c r="DP19" s="49" t="str">
        <f t="shared" ref="DP19:DQ19" si="19">+L19/L$16</f>
        <v>#DIV/0!</v>
      </c>
      <c r="DQ19" s="49" t="str">
        <f t="shared" si="19"/>
        <v>#DIV/0!</v>
      </c>
    </row>
    <row r="20">
      <c r="B20" s="5" t="s">
        <v>43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 t="str">
        <f t="shared" ref="O20:O21" si="22">+I20</f>
        <v/>
      </c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52"/>
      <c r="DJ20" s="49" t="str">
        <f t="shared" ref="DJ20:DN20" si="20">+F20/F$16</f>
        <v>#DIV/0!</v>
      </c>
      <c r="DK20" s="49" t="str">
        <f t="shared" si="20"/>
        <v>#DIV/0!</v>
      </c>
      <c r="DL20" s="49" t="str">
        <f t="shared" si="20"/>
        <v>#DIV/0!</v>
      </c>
      <c r="DM20" s="49" t="str">
        <f t="shared" si="20"/>
        <v>#DIV/0!</v>
      </c>
      <c r="DN20" s="49" t="str">
        <f t="shared" si="20"/>
        <v>#DIV/0!</v>
      </c>
      <c r="DO20" s="49"/>
      <c r="DP20" s="49" t="str">
        <f t="shared" ref="DP20:DQ20" si="21">+L20/L$16</f>
        <v>#DIV/0!</v>
      </c>
      <c r="DQ20" s="49" t="str">
        <f t="shared" si="21"/>
        <v>#DIV/0!</v>
      </c>
    </row>
    <row r="21" ht="15.75" customHeight="1">
      <c r="B21" s="5" t="s">
        <v>44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 t="str">
        <f t="shared" si="22"/>
        <v/>
      </c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2"/>
      <c r="CQ21" s="52"/>
      <c r="CR21" s="52"/>
      <c r="CS21" s="52"/>
      <c r="CT21" s="52"/>
      <c r="CU21" s="52"/>
      <c r="CV21" s="52"/>
      <c r="CW21" s="52"/>
      <c r="CX21" s="52"/>
      <c r="CY21" s="52"/>
      <c r="CZ21" s="52"/>
      <c r="DA21" s="52"/>
      <c r="DB21" s="52"/>
      <c r="DC21" s="52"/>
      <c r="DD21" s="52"/>
      <c r="DE21" s="52"/>
      <c r="DF21" s="52"/>
      <c r="DG21" s="52"/>
      <c r="DH21" s="52"/>
      <c r="DJ21" s="49" t="str">
        <f t="shared" ref="DJ21:DN21" si="23">+F21/F$16</f>
        <v>#DIV/0!</v>
      </c>
      <c r="DK21" s="49" t="str">
        <f t="shared" si="23"/>
        <v>#DIV/0!</v>
      </c>
      <c r="DL21" s="49" t="str">
        <f t="shared" si="23"/>
        <v>#DIV/0!</v>
      </c>
      <c r="DM21" s="49" t="str">
        <f t="shared" si="23"/>
        <v>#DIV/0!</v>
      </c>
      <c r="DN21" s="49" t="str">
        <f t="shared" si="23"/>
        <v>#DIV/0!</v>
      </c>
      <c r="DO21" s="49"/>
      <c r="DP21" s="49" t="str">
        <f t="shared" ref="DP21:DQ21" si="24">+L21/L$16</f>
        <v>#DIV/0!</v>
      </c>
      <c r="DQ21" s="49" t="str">
        <f t="shared" si="24"/>
        <v>#DIV/0!</v>
      </c>
    </row>
    <row r="22" ht="15.75" customHeight="1">
      <c r="B22" s="54" t="s">
        <v>48</v>
      </c>
      <c r="C22" s="54"/>
      <c r="D22" s="54"/>
      <c r="E22" s="50"/>
      <c r="F22" s="55"/>
      <c r="G22" s="55"/>
      <c r="H22" s="55"/>
      <c r="I22" s="55"/>
      <c r="J22" s="55"/>
      <c r="K22" s="55"/>
      <c r="L22" s="55"/>
      <c r="M22" s="55"/>
      <c r="N22" s="50"/>
      <c r="O22" s="55">
        <f>SUM(O19:O21)</f>
        <v>109.21889</v>
      </c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5"/>
      <c r="DA22" s="55"/>
      <c r="DB22" s="55"/>
      <c r="DC22" s="55"/>
      <c r="DD22" s="55"/>
      <c r="DE22" s="55"/>
      <c r="DF22" s="55"/>
      <c r="DG22" s="55"/>
      <c r="DH22" s="55"/>
      <c r="DJ22" s="57" t="str">
        <f t="shared" ref="DJ22:DN22" si="25">+F22/F$16</f>
        <v>#DIV/0!</v>
      </c>
      <c r="DK22" s="57" t="str">
        <f t="shared" si="25"/>
        <v>#DIV/0!</v>
      </c>
      <c r="DL22" s="57" t="str">
        <f t="shared" si="25"/>
        <v>#DIV/0!</v>
      </c>
      <c r="DM22" s="57" t="str">
        <f t="shared" si="25"/>
        <v>#DIV/0!</v>
      </c>
      <c r="DN22" s="57" t="str">
        <f t="shared" si="25"/>
        <v>#DIV/0!</v>
      </c>
      <c r="DO22" s="57"/>
      <c r="DP22" s="57" t="str">
        <f t="shared" ref="DP22:DQ22" si="26">+L22/L$16</f>
        <v>#DIV/0!</v>
      </c>
      <c r="DQ22" s="57" t="str">
        <f t="shared" si="26"/>
        <v>#DIV/0!</v>
      </c>
    </row>
    <row r="23" ht="4.5" customHeight="1">
      <c r="DJ23" s="49"/>
      <c r="DK23" s="49"/>
      <c r="DL23" s="49"/>
      <c r="DM23" s="49"/>
      <c r="DN23" s="49"/>
      <c r="DO23" s="49"/>
      <c r="DP23" s="49"/>
      <c r="DQ23" s="49"/>
    </row>
    <row r="24" ht="15.75" customHeight="1">
      <c r="B24" s="60" t="s">
        <v>20</v>
      </c>
      <c r="C24" s="60"/>
      <c r="D24" s="60"/>
      <c r="F24" s="61"/>
      <c r="G24" s="61"/>
      <c r="H24" s="61"/>
      <c r="I24" s="61"/>
      <c r="J24" s="61"/>
      <c r="K24" s="61"/>
      <c r="L24" s="61"/>
      <c r="M24" s="61"/>
      <c r="N24" s="50"/>
      <c r="O24" s="61">
        <f>+SUM(O16,-O22)</f>
        <v>883.68011</v>
      </c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J24" s="62" t="str">
        <f t="shared" ref="DJ24:DN24" si="27">+F24/F$16</f>
        <v>#DIV/0!</v>
      </c>
      <c r="DK24" s="62" t="str">
        <f t="shared" si="27"/>
        <v>#DIV/0!</v>
      </c>
      <c r="DL24" s="62" t="str">
        <f t="shared" si="27"/>
        <v>#DIV/0!</v>
      </c>
      <c r="DM24" s="62" t="str">
        <f t="shared" si="27"/>
        <v>#DIV/0!</v>
      </c>
      <c r="DN24" s="62" t="str">
        <f t="shared" si="27"/>
        <v>#DIV/0!</v>
      </c>
      <c r="DO24" s="62"/>
      <c r="DP24" s="62" t="str">
        <f t="shared" ref="DP24:DQ24" si="28">+L24/L$16</f>
        <v>#DIV/0!</v>
      </c>
      <c r="DQ24" s="62" t="str">
        <f t="shared" si="28"/>
        <v>#DIV/0!</v>
      </c>
    </row>
    <row r="25" ht="4.5" customHeight="1">
      <c r="DJ25" s="49"/>
      <c r="DK25" s="49"/>
      <c r="DL25" s="49"/>
      <c r="DM25" s="49"/>
      <c r="DN25" s="49"/>
      <c r="DO25" s="49"/>
      <c r="DP25" s="49"/>
      <c r="DQ25" s="49"/>
    </row>
    <row r="26" ht="15.75" customHeight="1">
      <c r="B26" s="47" t="s">
        <v>49</v>
      </c>
      <c r="I26" s="50"/>
      <c r="DJ26" s="49"/>
      <c r="DK26" s="49"/>
      <c r="DL26" s="63"/>
      <c r="DM26" s="49"/>
      <c r="DN26" s="49"/>
      <c r="DO26" s="49"/>
      <c r="DP26" s="49"/>
      <c r="DQ26" s="49"/>
    </row>
    <row r="27" ht="15.75" customHeight="1">
      <c r="B27" s="5" t="s">
        <v>50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 t="str">
        <f t="shared" ref="O27:O35" si="31">+I27</f>
        <v/>
      </c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52"/>
      <c r="CM27" s="52"/>
      <c r="CN27" s="52"/>
      <c r="CO27" s="52"/>
      <c r="CP27" s="52"/>
      <c r="CQ27" s="52"/>
      <c r="CR27" s="52"/>
      <c r="CS27" s="52"/>
      <c r="CT27" s="52"/>
      <c r="CU27" s="52"/>
      <c r="CV27" s="52"/>
      <c r="CW27" s="52"/>
      <c r="CX27" s="52"/>
      <c r="CY27" s="52"/>
      <c r="CZ27" s="52"/>
      <c r="DA27" s="52"/>
      <c r="DB27" s="52"/>
      <c r="DC27" s="52"/>
      <c r="DD27" s="52"/>
      <c r="DE27" s="52"/>
      <c r="DF27" s="52"/>
      <c r="DG27" s="52"/>
      <c r="DH27" s="52"/>
      <c r="DJ27" s="49" t="str">
        <f t="shared" ref="DJ27:DN27" si="29">+F27/F$16</f>
        <v>#DIV/0!</v>
      </c>
      <c r="DK27" s="49" t="str">
        <f t="shared" si="29"/>
        <v>#DIV/0!</v>
      </c>
      <c r="DL27" s="49" t="str">
        <f t="shared" si="29"/>
        <v>#DIV/0!</v>
      </c>
      <c r="DM27" s="49" t="str">
        <f t="shared" si="29"/>
        <v>#DIV/0!</v>
      </c>
      <c r="DN27" s="49" t="str">
        <f t="shared" si="29"/>
        <v>#DIV/0!</v>
      </c>
      <c r="DO27" s="49"/>
      <c r="DP27" s="49" t="str">
        <f t="shared" ref="DP27:DQ27" si="30">+L27/L$16</f>
        <v>#DIV/0!</v>
      </c>
      <c r="DQ27" s="49" t="str">
        <f t="shared" si="30"/>
        <v>#DIV/0!</v>
      </c>
    </row>
    <row r="28" ht="15.75" customHeight="1">
      <c r="B28" s="5" t="s">
        <v>51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 t="str">
        <f t="shared" si="31"/>
        <v/>
      </c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  <c r="CM28" s="52"/>
      <c r="CN28" s="52"/>
      <c r="CO28" s="52"/>
      <c r="CP28" s="52"/>
      <c r="CQ28" s="52"/>
      <c r="CR28" s="52"/>
      <c r="CS28" s="52"/>
      <c r="CT28" s="52"/>
      <c r="CU28" s="52"/>
      <c r="CV28" s="52"/>
      <c r="CW28" s="52"/>
      <c r="CX28" s="52"/>
      <c r="CY28" s="52"/>
      <c r="CZ28" s="52"/>
      <c r="DA28" s="52"/>
      <c r="DB28" s="52"/>
      <c r="DC28" s="52"/>
      <c r="DD28" s="52"/>
      <c r="DE28" s="52"/>
      <c r="DF28" s="52"/>
      <c r="DG28" s="52"/>
      <c r="DH28" s="52"/>
      <c r="DJ28" s="49" t="str">
        <f t="shared" ref="DJ28:DN28" si="32">+F28/F$16</f>
        <v>#DIV/0!</v>
      </c>
      <c r="DK28" s="49" t="str">
        <f t="shared" si="32"/>
        <v>#DIV/0!</v>
      </c>
      <c r="DL28" s="49" t="str">
        <f t="shared" si="32"/>
        <v>#DIV/0!</v>
      </c>
      <c r="DM28" s="49" t="str">
        <f t="shared" si="32"/>
        <v>#DIV/0!</v>
      </c>
      <c r="DN28" s="49" t="str">
        <f t="shared" si="32"/>
        <v>#DIV/0!</v>
      </c>
      <c r="DO28" s="49"/>
      <c r="DP28" s="49" t="str">
        <f t="shared" ref="DP28:DQ28" si="33">+L28/L$16</f>
        <v>#DIV/0!</v>
      </c>
      <c r="DQ28" s="49" t="str">
        <f t="shared" si="33"/>
        <v>#DIV/0!</v>
      </c>
    </row>
    <row r="29" ht="15.75" customHeight="1">
      <c r="B29" s="5" t="s">
        <v>52</v>
      </c>
      <c r="F29" s="50"/>
      <c r="G29" s="50"/>
      <c r="H29" s="50"/>
      <c r="I29" s="50"/>
      <c r="J29" s="50"/>
      <c r="K29" s="50"/>
      <c r="L29" s="50"/>
      <c r="M29" s="50"/>
      <c r="N29" s="50"/>
      <c r="O29" s="50" t="str">
        <f t="shared" si="31"/>
        <v/>
      </c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  <c r="DJ29" s="49" t="str">
        <f t="shared" ref="DJ29:DN29" si="34">+F29/F$16</f>
        <v>#DIV/0!</v>
      </c>
      <c r="DK29" s="49" t="str">
        <f t="shared" si="34"/>
        <v>#DIV/0!</v>
      </c>
      <c r="DL29" s="49" t="str">
        <f t="shared" si="34"/>
        <v>#DIV/0!</v>
      </c>
      <c r="DM29" s="49" t="str">
        <f t="shared" si="34"/>
        <v>#DIV/0!</v>
      </c>
      <c r="DN29" s="49" t="str">
        <f t="shared" si="34"/>
        <v>#DIV/0!</v>
      </c>
      <c r="DO29" s="49"/>
      <c r="DP29" s="49" t="str">
        <f t="shared" ref="DP29:DQ29" si="35">+L29/L$16</f>
        <v>#DIV/0!</v>
      </c>
      <c r="DQ29" s="49" t="str">
        <f t="shared" si="35"/>
        <v>#DIV/0!</v>
      </c>
    </row>
    <row r="30" ht="15.75" customHeight="1">
      <c r="B30" s="5" t="s">
        <v>53</v>
      </c>
      <c r="F30" s="50"/>
      <c r="G30" s="50"/>
      <c r="H30" s="50"/>
      <c r="I30" s="50"/>
      <c r="J30" s="50"/>
      <c r="K30" s="50"/>
      <c r="L30" s="50"/>
      <c r="M30" s="50"/>
      <c r="N30" s="50"/>
      <c r="O30" s="50" t="str">
        <f t="shared" si="31"/>
        <v/>
      </c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52"/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J30" s="49" t="str">
        <f t="shared" ref="DJ30:DN30" si="36">+F30/F$16</f>
        <v>#DIV/0!</v>
      </c>
      <c r="DK30" s="49" t="str">
        <f t="shared" si="36"/>
        <v>#DIV/0!</v>
      </c>
      <c r="DL30" s="49" t="str">
        <f t="shared" si="36"/>
        <v>#DIV/0!</v>
      </c>
      <c r="DM30" s="49" t="str">
        <f t="shared" si="36"/>
        <v>#DIV/0!</v>
      </c>
      <c r="DN30" s="49" t="str">
        <f t="shared" si="36"/>
        <v>#DIV/0!</v>
      </c>
      <c r="DO30" s="49"/>
      <c r="DP30" s="49" t="str">
        <f t="shared" ref="DP30:DQ30" si="37">+L30/L$16</f>
        <v>#DIV/0!</v>
      </c>
      <c r="DQ30" s="49" t="str">
        <f t="shared" si="37"/>
        <v>#DIV/0!</v>
      </c>
    </row>
    <row r="31" ht="15.75" customHeight="1">
      <c r="B31" s="5" t="s">
        <v>54</v>
      </c>
      <c r="F31" s="50"/>
      <c r="G31" s="50"/>
      <c r="H31" s="50"/>
      <c r="I31" s="50"/>
      <c r="J31" s="50"/>
      <c r="K31" s="50"/>
      <c r="L31" s="50"/>
      <c r="M31" s="50"/>
      <c r="N31" s="50"/>
      <c r="O31" s="50" t="str">
        <f t="shared" si="31"/>
        <v/>
      </c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/>
      <c r="CM31" s="52"/>
      <c r="CN31" s="52"/>
      <c r="CO31" s="52"/>
      <c r="CP31" s="52"/>
      <c r="CQ31" s="52"/>
      <c r="CR31" s="52"/>
      <c r="CS31" s="52"/>
      <c r="CT31" s="52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J31" s="49" t="str">
        <f t="shared" ref="DJ31:DN31" si="38">+F31/F$16</f>
        <v>#DIV/0!</v>
      </c>
      <c r="DK31" s="49" t="str">
        <f t="shared" si="38"/>
        <v>#DIV/0!</v>
      </c>
      <c r="DL31" s="49" t="str">
        <f t="shared" si="38"/>
        <v>#DIV/0!</v>
      </c>
      <c r="DM31" s="49" t="str">
        <f t="shared" si="38"/>
        <v>#DIV/0!</v>
      </c>
      <c r="DN31" s="49" t="str">
        <f t="shared" si="38"/>
        <v>#DIV/0!</v>
      </c>
      <c r="DO31" s="49"/>
      <c r="DP31" s="49" t="str">
        <f t="shared" ref="DP31:DQ31" si="39">+L31/L$16</f>
        <v>#DIV/0!</v>
      </c>
      <c r="DQ31" s="49" t="str">
        <f t="shared" si="39"/>
        <v>#DIV/0!</v>
      </c>
    </row>
    <row r="32" ht="15.75" customHeight="1">
      <c r="B32" s="5" t="s">
        <v>55</v>
      </c>
      <c r="F32" s="50"/>
      <c r="G32" s="50"/>
      <c r="H32" s="50"/>
      <c r="I32" s="50"/>
      <c r="J32" s="50"/>
      <c r="K32" s="50"/>
      <c r="L32" s="50"/>
      <c r="M32" s="50"/>
      <c r="N32" s="50"/>
      <c r="O32" s="50" t="str">
        <f t="shared" si="31"/>
        <v/>
      </c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52"/>
      <c r="CM32" s="52"/>
      <c r="CN32" s="52"/>
      <c r="CO32" s="52"/>
      <c r="CP32" s="52"/>
      <c r="CQ32" s="52"/>
      <c r="CR32" s="52"/>
      <c r="CS32" s="52"/>
      <c r="CT32" s="52"/>
      <c r="CU32" s="52"/>
      <c r="CV32" s="52"/>
      <c r="CW32" s="52"/>
      <c r="CX32" s="52"/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J32" s="49" t="str">
        <f t="shared" ref="DJ32:DN32" si="40">+F32/F$16</f>
        <v>#DIV/0!</v>
      </c>
      <c r="DK32" s="49" t="str">
        <f t="shared" si="40"/>
        <v>#DIV/0!</v>
      </c>
      <c r="DL32" s="49" t="str">
        <f t="shared" si="40"/>
        <v>#DIV/0!</v>
      </c>
      <c r="DM32" s="49" t="str">
        <f t="shared" si="40"/>
        <v>#DIV/0!</v>
      </c>
      <c r="DN32" s="49" t="str">
        <f t="shared" si="40"/>
        <v>#DIV/0!</v>
      </c>
      <c r="DO32" s="49"/>
      <c r="DP32" s="49" t="str">
        <f t="shared" ref="DP32:DQ32" si="41">+L32/L$16</f>
        <v>#DIV/0!</v>
      </c>
      <c r="DQ32" s="49" t="str">
        <f t="shared" si="41"/>
        <v>#DIV/0!</v>
      </c>
    </row>
    <row r="33" ht="15.75" customHeight="1">
      <c r="B33" s="5" t="s">
        <v>56</v>
      </c>
      <c r="F33" s="50"/>
      <c r="G33" s="50"/>
      <c r="H33" s="50"/>
      <c r="I33" s="50"/>
      <c r="J33" s="50"/>
      <c r="K33" s="50"/>
      <c r="L33" s="50"/>
      <c r="M33" s="50"/>
      <c r="N33" s="50"/>
      <c r="O33" s="50" t="str">
        <f t="shared" si="31"/>
        <v/>
      </c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  <c r="CO33" s="52"/>
      <c r="CP33" s="52"/>
      <c r="CQ33" s="52"/>
      <c r="CR33" s="52"/>
      <c r="CS33" s="52"/>
      <c r="CT33" s="52"/>
      <c r="CU33" s="52"/>
      <c r="CV33" s="52"/>
      <c r="CW33" s="52"/>
      <c r="CX33" s="52"/>
      <c r="CY33" s="52"/>
      <c r="CZ33" s="52"/>
      <c r="DA33" s="52"/>
      <c r="DB33" s="52"/>
      <c r="DC33" s="52"/>
      <c r="DD33" s="52"/>
      <c r="DE33" s="52"/>
      <c r="DF33" s="52"/>
      <c r="DG33" s="52"/>
      <c r="DH33" s="52"/>
      <c r="DJ33" s="49" t="str">
        <f t="shared" ref="DJ33:DN33" si="42">+F33/F$16</f>
        <v>#DIV/0!</v>
      </c>
      <c r="DK33" s="49" t="str">
        <f t="shared" si="42"/>
        <v>#DIV/0!</v>
      </c>
      <c r="DL33" s="49" t="str">
        <f t="shared" si="42"/>
        <v>#DIV/0!</v>
      </c>
      <c r="DM33" s="49" t="str">
        <f t="shared" si="42"/>
        <v>#DIV/0!</v>
      </c>
      <c r="DN33" s="49" t="str">
        <f t="shared" si="42"/>
        <v>#DIV/0!</v>
      </c>
      <c r="DO33" s="49"/>
      <c r="DP33" s="49" t="str">
        <f t="shared" ref="DP33:DQ33" si="43">+L33/L$16</f>
        <v>#DIV/0!</v>
      </c>
      <c r="DQ33" s="49" t="str">
        <f t="shared" si="43"/>
        <v>#DIV/0!</v>
      </c>
    </row>
    <row r="34" ht="15.75" customHeight="1">
      <c r="B34" s="54" t="s">
        <v>57</v>
      </c>
      <c r="C34" s="54"/>
      <c r="D34" s="54"/>
      <c r="F34" s="55"/>
      <c r="G34" s="55"/>
      <c r="H34" s="55"/>
      <c r="I34" s="55"/>
      <c r="J34" s="55"/>
      <c r="K34" s="55"/>
      <c r="L34" s="55"/>
      <c r="M34" s="55"/>
      <c r="N34" s="50"/>
      <c r="O34" s="55" t="str">
        <f t="shared" si="31"/>
        <v/>
      </c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55"/>
      <c r="CB34" s="55"/>
      <c r="CC34" s="55"/>
      <c r="CD34" s="55"/>
      <c r="CE34" s="55"/>
      <c r="CF34" s="55"/>
      <c r="CG34" s="55"/>
      <c r="CH34" s="55"/>
      <c r="CI34" s="55"/>
      <c r="CJ34" s="55"/>
      <c r="CK34" s="55"/>
      <c r="CL34" s="55"/>
      <c r="CM34" s="55"/>
      <c r="CN34" s="55"/>
      <c r="CO34" s="55"/>
      <c r="CP34" s="55"/>
      <c r="CQ34" s="55"/>
      <c r="CR34" s="55"/>
      <c r="CS34" s="55"/>
      <c r="CT34" s="55"/>
      <c r="CU34" s="55"/>
      <c r="CV34" s="55"/>
      <c r="CW34" s="55"/>
      <c r="CX34" s="55"/>
      <c r="CY34" s="55"/>
      <c r="CZ34" s="55"/>
      <c r="DA34" s="55"/>
      <c r="DB34" s="55"/>
      <c r="DC34" s="55"/>
      <c r="DD34" s="55"/>
      <c r="DE34" s="55"/>
      <c r="DF34" s="55"/>
      <c r="DG34" s="55"/>
      <c r="DH34" s="55"/>
      <c r="DJ34" s="57" t="str">
        <f t="shared" ref="DJ34:DN34" si="44">+F34/F$16</f>
        <v>#DIV/0!</v>
      </c>
      <c r="DK34" s="57" t="str">
        <f t="shared" si="44"/>
        <v>#DIV/0!</v>
      </c>
      <c r="DL34" s="57" t="str">
        <f t="shared" si="44"/>
        <v>#DIV/0!</v>
      </c>
      <c r="DM34" s="57" t="str">
        <f t="shared" si="44"/>
        <v>#DIV/0!</v>
      </c>
      <c r="DN34" s="57" t="str">
        <f t="shared" si="44"/>
        <v>#DIV/0!</v>
      </c>
      <c r="DO34" s="57"/>
      <c r="DP34" s="57" t="str">
        <f t="shared" ref="DP34:DQ34" si="45">+L34/L$16</f>
        <v>#DIV/0!</v>
      </c>
      <c r="DQ34" s="57" t="str">
        <f t="shared" si="45"/>
        <v>#DIV/0!</v>
      </c>
    </row>
    <row r="35" ht="15.75" customHeight="1">
      <c r="B35" s="5" t="s">
        <v>58</v>
      </c>
      <c r="F35" s="50"/>
      <c r="G35" s="50"/>
      <c r="H35" s="50"/>
      <c r="I35" s="50"/>
      <c r="J35" s="50"/>
      <c r="K35" s="50"/>
      <c r="L35" s="50"/>
      <c r="M35" s="50"/>
      <c r="N35" s="50"/>
      <c r="O35" s="50" t="str">
        <f t="shared" si="31"/>
        <v/>
      </c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/>
      <c r="CO35" s="52"/>
      <c r="CP35" s="52"/>
      <c r="CQ35" s="52"/>
      <c r="CR35" s="52"/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J35" s="49" t="str">
        <f t="shared" ref="DJ35:DN35" si="46">+F35/F$16</f>
        <v>#DIV/0!</v>
      </c>
      <c r="DK35" s="49" t="str">
        <f t="shared" si="46"/>
        <v>#DIV/0!</v>
      </c>
      <c r="DL35" s="49" t="str">
        <f t="shared" si="46"/>
        <v>#DIV/0!</v>
      </c>
      <c r="DM35" s="49" t="str">
        <f t="shared" si="46"/>
        <v>#DIV/0!</v>
      </c>
      <c r="DN35" s="49" t="str">
        <f t="shared" si="46"/>
        <v>#DIV/0!</v>
      </c>
      <c r="DO35" s="49"/>
      <c r="DP35" s="49" t="str">
        <f t="shared" ref="DP35:DQ35" si="47">+L35/L$16</f>
        <v>#DIV/0!</v>
      </c>
      <c r="DQ35" s="49" t="str">
        <f t="shared" si="47"/>
        <v>#DIV/0!</v>
      </c>
    </row>
    <row r="36" ht="4.5" customHeight="1">
      <c r="DJ36" s="49"/>
      <c r="DK36" s="49"/>
      <c r="DL36" s="49"/>
      <c r="DM36" s="49"/>
      <c r="DN36" s="49"/>
      <c r="DO36" s="49"/>
      <c r="DP36" s="49"/>
      <c r="DQ36" s="49"/>
    </row>
    <row r="37" ht="15.75" customHeight="1">
      <c r="B37" s="60" t="s">
        <v>26</v>
      </c>
      <c r="C37" s="60"/>
      <c r="D37" s="60"/>
      <c r="F37" s="61"/>
      <c r="G37" s="61"/>
      <c r="H37" s="61"/>
      <c r="I37" s="61"/>
      <c r="J37" s="61"/>
      <c r="K37" s="61"/>
      <c r="L37" s="61"/>
      <c r="M37" s="61"/>
      <c r="N37" s="50"/>
      <c r="O37" s="61">
        <f>+SUM(O24,-O34,-O35)</f>
        <v>883.68011</v>
      </c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H37" s="61"/>
      <c r="DJ37" s="62" t="str">
        <f t="shared" ref="DJ37:DN37" si="48">+F37/F$16</f>
        <v>#DIV/0!</v>
      </c>
      <c r="DK37" s="62" t="str">
        <f t="shared" si="48"/>
        <v>#DIV/0!</v>
      </c>
      <c r="DL37" s="62" t="str">
        <f t="shared" si="48"/>
        <v>#DIV/0!</v>
      </c>
      <c r="DM37" s="62" t="str">
        <f t="shared" si="48"/>
        <v>#DIV/0!</v>
      </c>
      <c r="DN37" s="62" t="str">
        <f t="shared" si="48"/>
        <v>#DIV/0!</v>
      </c>
      <c r="DO37" s="62"/>
      <c r="DP37" s="62" t="str">
        <f t="shared" ref="DP37:DQ37" si="49">+L37/L$16</f>
        <v>#DIV/0!</v>
      </c>
      <c r="DQ37" s="62" t="str">
        <f t="shared" si="49"/>
        <v>#DIV/0!</v>
      </c>
    </row>
    <row r="38" ht="4.5" customHeight="1">
      <c r="B38" s="64"/>
      <c r="DJ38" s="49"/>
      <c r="DK38" s="49"/>
      <c r="DL38" s="49"/>
      <c r="DM38" s="49"/>
      <c r="DN38" s="49"/>
      <c r="DO38" s="49"/>
      <c r="DP38" s="49"/>
      <c r="DQ38" s="49"/>
    </row>
    <row r="39" ht="15.75" customHeight="1">
      <c r="B39" s="47" t="s">
        <v>28</v>
      </c>
      <c r="DJ39" s="49"/>
      <c r="DK39" s="49"/>
      <c r="DL39" s="49"/>
      <c r="DM39" s="49"/>
      <c r="DN39" s="49"/>
      <c r="DO39" s="49"/>
      <c r="DP39" s="49"/>
      <c r="DQ39" s="49"/>
    </row>
    <row r="40" ht="15.75" customHeight="1">
      <c r="B40" s="5" t="s">
        <v>59</v>
      </c>
      <c r="F40" s="50"/>
      <c r="G40" s="50"/>
      <c r="H40" s="50"/>
      <c r="I40" s="50"/>
      <c r="J40" s="50"/>
      <c r="K40" s="50"/>
      <c r="L40" s="50"/>
      <c r="M40" s="50"/>
      <c r="N40" s="50"/>
      <c r="O40" s="50" t="str">
        <f t="shared" ref="O40:O48" si="52">+I40</f>
        <v/>
      </c>
      <c r="Q40" s="51">
        <v>20.833</v>
      </c>
      <c r="R40" s="51">
        <v>20.833</v>
      </c>
      <c r="S40" s="51">
        <v>20.833</v>
      </c>
      <c r="T40" s="51">
        <v>20.833</v>
      </c>
      <c r="U40" s="51">
        <v>20.833</v>
      </c>
      <c r="V40" s="51">
        <v>20.833</v>
      </c>
      <c r="W40" s="51">
        <v>20.833</v>
      </c>
      <c r="X40" s="51">
        <v>20.833</v>
      </c>
      <c r="Y40" s="51">
        <v>20.833</v>
      </c>
      <c r="Z40" s="51">
        <v>20.833</v>
      </c>
      <c r="AA40" s="51">
        <v>20.833</v>
      </c>
      <c r="AB40" s="51">
        <v>-204.124</v>
      </c>
      <c r="AC40" s="51">
        <v>8.33333</v>
      </c>
      <c r="AD40" s="51">
        <v>8.33333</v>
      </c>
      <c r="AE40" s="51">
        <v>8.33333</v>
      </c>
      <c r="AF40" s="51">
        <v>8.33333</v>
      </c>
      <c r="AG40" s="51">
        <v>8.33333</v>
      </c>
      <c r="AH40" s="51">
        <v>8.33333</v>
      </c>
      <c r="AI40" s="51">
        <v>8.33333</v>
      </c>
      <c r="AJ40" s="51">
        <v>8.33333</v>
      </c>
      <c r="AK40" s="51">
        <v>8.33333</v>
      </c>
      <c r="AL40" s="51">
        <v>8.33333</v>
      </c>
      <c r="AM40" s="51">
        <v>8.33333</v>
      </c>
      <c r="AN40" s="51">
        <v>-27.88063</v>
      </c>
      <c r="AO40" s="51">
        <v>2.08333</v>
      </c>
      <c r="AP40" s="51">
        <v>2.08333</v>
      </c>
      <c r="AQ40" s="51">
        <v>2.08333</v>
      </c>
      <c r="AR40" s="51">
        <v>2.08333</v>
      </c>
      <c r="AS40" s="51">
        <v>2.08333</v>
      </c>
      <c r="AT40" s="51">
        <v>2.08333</v>
      </c>
      <c r="AU40" s="51">
        <v>2.08333</v>
      </c>
      <c r="AV40" s="51">
        <v>2.08333</v>
      </c>
      <c r="AW40" s="51">
        <v>2.08333</v>
      </c>
      <c r="AX40" s="51">
        <v>2.08333</v>
      </c>
      <c r="AY40" s="51">
        <v>2.08333</v>
      </c>
      <c r="AZ40" s="51">
        <v>237.01437</v>
      </c>
      <c r="BA40" s="51">
        <v>0.0</v>
      </c>
      <c r="BB40" s="51">
        <v>0.0</v>
      </c>
      <c r="BC40" s="51">
        <v>0.0</v>
      </c>
      <c r="BD40" s="51">
        <v>0.0</v>
      </c>
      <c r="BE40" s="51">
        <v>0.0</v>
      </c>
      <c r="BF40" s="51">
        <v>0.0</v>
      </c>
      <c r="BG40" s="51">
        <v>0.0</v>
      </c>
      <c r="BH40" s="51">
        <v>0.0</v>
      </c>
      <c r="BI40" s="51">
        <v>0.0</v>
      </c>
      <c r="BJ40" s="51">
        <v>0.0</v>
      </c>
      <c r="BK40" s="51">
        <v>0.0</v>
      </c>
      <c r="BL40" s="51">
        <v>0.0</v>
      </c>
      <c r="BM40" s="51">
        <v>0.0</v>
      </c>
      <c r="BN40" s="51">
        <v>0.0</v>
      </c>
      <c r="BO40" s="51">
        <v>0.0</v>
      </c>
      <c r="BP40" s="51">
        <v>0.0</v>
      </c>
      <c r="BQ40" s="51">
        <v>0.0</v>
      </c>
      <c r="BR40" s="51">
        <v>0.0</v>
      </c>
      <c r="BS40" s="51">
        <v>0.0</v>
      </c>
      <c r="BT40" s="51">
        <v>0.0</v>
      </c>
      <c r="BU40" s="51">
        <v>0.0</v>
      </c>
      <c r="BV40" s="51">
        <v>0.0</v>
      </c>
      <c r="BW40" s="51">
        <v>0.0</v>
      </c>
      <c r="BX40" s="51">
        <v>0.0</v>
      </c>
      <c r="BY40" s="51">
        <v>0.0</v>
      </c>
      <c r="BZ40" s="51">
        <v>0.0</v>
      </c>
      <c r="CA40" s="51">
        <v>0.0</v>
      </c>
      <c r="CB40" s="51">
        <v>0.0</v>
      </c>
      <c r="CC40" s="51">
        <v>0.0</v>
      </c>
      <c r="CD40" s="51">
        <v>0.0</v>
      </c>
      <c r="CE40" s="51">
        <v>0.0</v>
      </c>
      <c r="CF40" s="51">
        <v>0.0</v>
      </c>
      <c r="CG40" s="51">
        <v>0.0</v>
      </c>
      <c r="CH40" s="51">
        <v>0.0</v>
      </c>
      <c r="CI40" s="51">
        <v>0.0</v>
      </c>
      <c r="CJ40" s="51">
        <v>0.0</v>
      </c>
      <c r="CK40" s="51">
        <v>0.0</v>
      </c>
      <c r="CL40" s="51">
        <v>0.0</v>
      </c>
      <c r="CM40" s="51">
        <v>0.0</v>
      </c>
      <c r="CN40" s="51">
        <v>0.0</v>
      </c>
      <c r="CO40" s="51">
        <v>0.0</v>
      </c>
      <c r="CP40" s="51">
        <v>0.0</v>
      </c>
      <c r="CQ40" s="51">
        <v>0.0</v>
      </c>
      <c r="CR40" s="51">
        <v>0.0</v>
      </c>
      <c r="CS40" s="51">
        <v>0.0</v>
      </c>
      <c r="CT40" s="51">
        <v>0.0</v>
      </c>
      <c r="CU40" s="51">
        <v>0.0</v>
      </c>
      <c r="CV40" s="51">
        <v>0.0</v>
      </c>
      <c r="CW40" s="51">
        <v>0.0</v>
      </c>
      <c r="CX40" s="51">
        <v>0.0</v>
      </c>
      <c r="CY40" s="51">
        <v>0.0</v>
      </c>
      <c r="CZ40" s="51">
        <v>0.0</v>
      </c>
      <c r="DA40" s="51">
        <v>0.0</v>
      </c>
      <c r="DB40" s="51">
        <v>0.0</v>
      </c>
      <c r="DC40" s="51">
        <v>0.0</v>
      </c>
      <c r="DD40" s="51">
        <v>0.0</v>
      </c>
      <c r="DE40" s="51">
        <v>0.0</v>
      </c>
      <c r="DF40" s="51">
        <v>0.0</v>
      </c>
      <c r="DG40" s="51">
        <v>0.0</v>
      </c>
      <c r="DH40" s="51">
        <v>0.0</v>
      </c>
      <c r="DJ40" s="49" t="str">
        <f t="shared" ref="DJ40:DN40" si="50">+F40/F$16</f>
        <v>#DIV/0!</v>
      </c>
      <c r="DK40" s="49" t="str">
        <f t="shared" si="50"/>
        <v>#DIV/0!</v>
      </c>
      <c r="DL40" s="49" t="str">
        <f t="shared" si="50"/>
        <v>#DIV/0!</v>
      </c>
      <c r="DM40" s="49" t="str">
        <f t="shared" si="50"/>
        <v>#DIV/0!</v>
      </c>
      <c r="DN40" s="49" t="str">
        <f t="shared" si="50"/>
        <v>#DIV/0!</v>
      </c>
      <c r="DO40" s="49"/>
      <c r="DP40" s="49" t="str">
        <f t="shared" ref="DP40:DQ40" si="51">+L40/L$16</f>
        <v>#DIV/0!</v>
      </c>
      <c r="DQ40" s="49" t="str">
        <f t="shared" si="51"/>
        <v>#DIV/0!</v>
      </c>
    </row>
    <row r="41" ht="15.75" customHeight="1">
      <c r="B41" s="5" t="s">
        <v>60</v>
      </c>
      <c r="F41" s="50"/>
      <c r="G41" s="50"/>
      <c r="H41" s="50"/>
      <c r="I41" s="50"/>
      <c r="J41" s="50"/>
      <c r="K41" s="50"/>
      <c r="L41" s="50"/>
      <c r="M41" s="50"/>
      <c r="N41" s="50"/>
      <c r="O41" s="50" t="str">
        <f t="shared" si="52"/>
        <v/>
      </c>
      <c r="Q41" s="51">
        <v>9.251650000000001</v>
      </c>
      <c r="R41" s="51">
        <v>3.01295</v>
      </c>
      <c r="S41" s="51">
        <v>16.412950000000002</v>
      </c>
      <c r="T41" s="51">
        <v>-4.58705</v>
      </c>
      <c r="U41" s="51">
        <v>4.78698</v>
      </c>
      <c r="V41" s="51">
        <v>3.01295</v>
      </c>
      <c r="W41" s="51">
        <v>13.01295</v>
      </c>
      <c r="X41" s="51">
        <v>20.44512</v>
      </c>
      <c r="Y41" s="51">
        <v>17.51013</v>
      </c>
      <c r="Z41" s="51">
        <v>1.8801700000000001</v>
      </c>
      <c r="AA41" s="51">
        <v>11.52846</v>
      </c>
      <c r="AB41" s="51">
        <v>14.824819999999999</v>
      </c>
      <c r="AC41" s="51">
        <v>12.5</v>
      </c>
      <c r="AD41" s="51">
        <v>13.65994</v>
      </c>
      <c r="AE41" s="51">
        <v>22.392</v>
      </c>
      <c r="AF41" s="51">
        <v>19.868</v>
      </c>
      <c r="AG41" s="51">
        <v>4.9663</v>
      </c>
      <c r="AH41" s="51">
        <v>18.383</v>
      </c>
      <c r="AI41" s="51">
        <v>-69.84</v>
      </c>
      <c r="AJ41" s="51">
        <v>2.502</v>
      </c>
      <c r="AK41" s="51">
        <v>2.549</v>
      </c>
      <c r="AL41" s="51">
        <v>3.9691699999999996</v>
      </c>
      <c r="AM41" s="51">
        <v>3.8983000000000003</v>
      </c>
      <c r="AN41" s="51">
        <v>11.64995</v>
      </c>
      <c r="AO41" s="51">
        <v>0.7696666666666666</v>
      </c>
      <c r="AP41" s="51">
        <v>0.7696666666666666</v>
      </c>
      <c r="AQ41" s="51">
        <v>1.5246666666666666</v>
      </c>
      <c r="AR41" s="51">
        <v>0.7546666666666666</v>
      </c>
      <c r="AS41" s="51">
        <v>2.255446666666667</v>
      </c>
      <c r="AT41" s="51">
        <v>-5.245333333333333</v>
      </c>
      <c r="AU41" s="51">
        <v>-0.29328333333333334</v>
      </c>
      <c r="AV41" s="51">
        <v>3.3546666666666667</v>
      </c>
      <c r="AW41" s="51">
        <v>15.004666666666667</v>
      </c>
      <c r="AX41" s="51">
        <v>14.5</v>
      </c>
      <c r="AY41" s="51">
        <v>1.38931</v>
      </c>
      <c r="AZ41" s="51">
        <v>0.0</v>
      </c>
      <c r="BA41" s="51">
        <v>0.0</v>
      </c>
      <c r="BB41" s="51">
        <v>0.0</v>
      </c>
      <c r="BC41" s="51">
        <v>0.0</v>
      </c>
      <c r="BD41" s="51">
        <v>0.0</v>
      </c>
      <c r="BE41" s="51">
        <v>0.0</v>
      </c>
      <c r="BF41" s="51">
        <v>0.0</v>
      </c>
      <c r="BG41" s="51">
        <v>0.0</v>
      </c>
      <c r="BH41" s="51">
        <v>0.0</v>
      </c>
      <c r="BI41" s="51">
        <v>0.0</v>
      </c>
      <c r="BJ41" s="51">
        <v>0.0</v>
      </c>
      <c r="BK41" s="51">
        <v>0.0</v>
      </c>
      <c r="BL41" s="51">
        <v>0.0</v>
      </c>
      <c r="BM41" s="51">
        <v>0.0</v>
      </c>
      <c r="BN41" s="51">
        <v>0.0</v>
      </c>
      <c r="BO41" s="51">
        <v>0.0</v>
      </c>
      <c r="BP41" s="51">
        <v>0.0</v>
      </c>
      <c r="BQ41" s="51">
        <v>0.0</v>
      </c>
      <c r="BR41" s="51">
        <v>0.0</v>
      </c>
      <c r="BS41" s="51">
        <v>0.0</v>
      </c>
      <c r="BT41" s="51">
        <v>0.0</v>
      </c>
      <c r="BU41" s="51">
        <v>0.0</v>
      </c>
      <c r="BV41" s="51">
        <v>0.0</v>
      </c>
      <c r="BW41" s="51">
        <v>0.0</v>
      </c>
      <c r="BX41" s="51">
        <v>0.0</v>
      </c>
      <c r="BY41" s="51">
        <v>0.0</v>
      </c>
      <c r="BZ41" s="51">
        <v>0.0</v>
      </c>
      <c r="CA41" s="51">
        <v>0.0</v>
      </c>
      <c r="CB41" s="51">
        <v>0.0</v>
      </c>
      <c r="CC41" s="51">
        <v>0.0</v>
      </c>
      <c r="CD41" s="51">
        <v>0.0</v>
      </c>
      <c r="CE41" s="51">
        <v>0.0</v>
      </c>
      <c r="CF41" s="51">
        <v>0.0</v>
      </c>
      <c r="CG41" s="51">
        <v>0.0</v>
      </c>
      <c r="CH41" s="51">
        <v>0.0</v>
      </c>
      <c r="CI41" s="51">
        <v>0.0</v>
      </c>
      <c r="CJ41" s="51">
        <v>0.0</v>
      </c>
      <c r="CK41" s="51">
        <v>0.0</v>
      </c>
      <c r="CL41" s="51">
        <v>0.0</v>
      </c>
      <c r="CM41" s="51">
        <v>0.0</v>
      </c>
      <c r="CN41" s="51">
        <v>0.0</v>
      </c>
      <c r="CO41" s="51">
        <v>0.0</v>
      </c>
      <c r="CP41" s="51">
        <v>0.0</v>
      </c>
      <c r="CQ41" s="51">
        <v>0.0</v>
      </c>
      <c r="CR41" s="51">
        <v>0.0</v>
      </c>
      <c r="CS41" s="51">
        <v>0.0</v>
      </c>
      <c r="CT41" s="51">
        <v>0.0</v>
      </c>
      <c r="CU41" s="51">
        <v>0.0</v>
      </c>
      <c r="CV41" s="51">
        <v>0.0</v>
      </c>
      <c r="CW41" s="51">
        <v>0.0</v>
      </c>
      <c r="CX41" s="51">
        <v>0.0</v>
      </c>
      <c r="CY41" s="51">
        <v>0.0</v>
      </c>
      <c r="CZ41" s="51">
        <v>0.0</v>
      </c>
      <c r="DA41" s="51">
        <v>0.0</v>
      </c>
      <c r="DB41" s="51">
        <v>0.0</v>
      </c>
      <c r="DC41" s="51">
        <v>0.0</v>
      </c>
      <c r="DD41" s="51">
        <v>0.0</v>
      </c>
      <c r="DE41" s="51">
        <v>0.0</v>
      </c>
      <c r="DF41" s="51">
        <v>0.0</v>
      </c>
      <c r="DG41" s="51">
        <v>0.0</v>
      </c>
      <c r="DH41" s="51">
        <v>0.0</v>
      </c>
      <c r="DJ41" s="49" t="str">
        <f t="shared" ref="DJ41:DN41" si="53">+F41/F$16</f>
        <v>#DIV/0!</v>
      </c>
      <c r="DK41" s="49" t="str">
        <f t="shared" si="53"/>
        <v>#DIV/0!</v>
      </c>
      <c r="DL41" s="49" t="str">
        <f t="shared" si="53"/>
        <v>#DIV/0!</v>
      </c>
      <c r="DM41" s="49" t="str">
        <f t="shared" si="53"/>
        <v>#DIV/0!</v>
      </c>
      <c r="DN41" s="49" t="str">
        <f t="shared" si="53"/>
        <v>#DIV/0!</v>
      </c>
      <c r="DO41" s="49"/>
      <c r="DP41" s="49" t="str">
        <f t="shared" ref="DP41:DQ41" si="54">+L41/L$16</f>
        <v>#DIV/0!</v>
      </c>
      <c r="DQ41" s="49" t="str">
        <f t="shared" si="54"/>
        <v>#DIV/0!</v>
      </c>
    </row>
    <row r="42" ht="15.75" customHeight="1">
      <c r="B42" s="5" t="s">
        <v>61</v>
      </c>
      <c r="F42" s="50"/>
      <c r="G42" s="50"/>
      <c r="H42" s="50"/>
      <c r="I42" s="50"/>
      <c r="J42" s="50"/>
      <c r="K42" s="50"/>
      <c r="L42" s="50"/>
      <c r="M42" s="50"/>
      <c r="N42" s="50"/>
      <c r="O42" s="50" t="str">
        <f t="shared" si="52"/>
        <v/>
      </c>
      <c r="Q42" s="51">
        <v>8.486978333333331</v>
      </c>
      <c r="R42" s="51">
        <v>38.35863833333333</v>
      </c>
      <c r="S42" s="51">
        <v>8.358638333333332</v>
      </c>
      <c r="T42" s="51">
        <v>10.358638333333332</v>
      </c>
      <c r="U42" s="51">
        <v>8.358638333333332</v>
      </c>
      <c r="V42" s="51">
        <v>8.358638333333332</v>
      </c>
      <c r="W42" s="51">
        <v>11.358638333333332</v>
      </c>
      <c r="X42" s="51">
        <v>18.85863833333333</v>
      </c>
      <c r="Y42" s="51">
        <v>17.35863833333333</v>
      </c>
      <c r="Z42" s="51">
        <v>13.983638333333332</v>
      </c>
      <c r="AA42" s="51">
        <v>19.01463833333333</v>
      </c>
      <c r="AB42" s="51">
        <v>-79.32336166666667</v>
      </c>
      <c r="AC42" s="51">
        <v>13.517086666666664</v>
      </c>
      <c r="AD42" s="51">
        <v>13.095876666666665</v>
      </c>
      <c r="AE42" s="51">
        <v>18.054666666666662</v>
      </c>
      <c r="AF42" s="51">
        <v>16.147716666666668</v>
      </c>
      <c r="AG42" s="51">
        <v>3.762086666666666</v>
      </c>
      <c r="AH42" s="51">
        <v>-1.2379133333333343</v>
      </c>
      <c r="AI42" s="51">
        <v>-1.2379133333333343</v>
      </c>
      <c r="AJ42" s="51">
        <v>-1.2379133333333343</v>
      </c>
      <c r="AK42" s="51">
        <v>-1.2379233333333344</v>
      </c>
      <c r="AL42" s="51">
        <v>-1.2379233333333344</v>
      </c>
      <c r="AM42" s="51">
        <v>55.25707666666666</v>
      </c>
      <c r="AN42" s="51">
        <v>-9.008923333333334</v>
      </c>
      <c r="AO42" s="51">
        <v>8.04</v>
      </c>
      <c r="AP42" s="51">
        <v>0.5256799999999999</v>
      </c>
      <c r="AQ42" s="51">
        <v>0.0</v>
      </c>
      <c r="AR42" s="51">
        <v>0.0</v>
      </c>
      <c r="AS42" s="51">
        <v>0.0</v>
      </c>
      <c r="AT42" s="51">
        <v>0.28933</v>
      </c>
      <c r="AU42" s="51">
        <v>0.0</v>
      </c>
      <c r="AV42" s="51">
        <v>5.0</v>
      </c>
      <c r="AW42" s="51">
        <v>17.11879</v>
      </c>
      <c r="AX42" s="51">
        <v>0.0</v>
      </c>
      <c r="AY42" s="51">
        <v>0.0</v>
      </c>
      <c r="AZ42" s="51">
        <v>0.0</v>
      </c>
      <c r="BA42" s="51">
        <v>0.0</v>
      </c>
      <c r="BB42" s="51">
        <v>0.0</v>
      </c>
      <c r="BC42" s="51">
        <v>0.0</v>
      </c>
      <c r="BD42" s="51">
        <v>0.0</v>
      </c>
      <c r="BE42" s="51">
        <v>0.0</v>
      </c>
      <c r="BF42" s="51">
        <v>0.0</v>
      </c>
      <c r="BG42" s="51">
        <v>0.0</v>
      </c>
      <c r="BH42" s="51">
        <v>0.0</v>
      </c>
      <c r="BI42" s="51">
        <v>0.0</v>
      </c>
      <c r="BJ42" s="51">
        <v>0.0</v>
      </c>
      <c r="BK42" s="51">
        <v>0.0</v>
      </c>
      <c r="BL42" s="51">
        <v>0.0</v>
      </c>
      <c r="BM42" s="51">
        <v>0.0</v>
      </c>
      <c r="BN42" s="51">
        <v>0.0</v>
      </c>
      <c r="BO42" s="51">
        <v>0.0</v>
      </c>
      <c r="BP42" s="51">
        <v>0.0</v>
      </c>
      <c r="BQ42" s="51">
        <v>0.0</v>
      </c>
      <c r="BR42" s="51">
        <v>0.0</v>
      </c>
      <c r="BS42" s="51">
        <v>0.0</v>
      </c>
      <c r="BT42" s="51">
        <v>0.0</v>
      </c>
      <c r="BU42" s="51">
        <v>0.0</v>
      </c>
      <c r="BV42" s="51">
        <v>0.0</v>
      </c>
      <c r="BW42" s="51">
        <v>0.0</v>
      </c>
      <c r="BX42" s="51">
        <v>0.0</v>
      </c>
      <c r="BY42" s="51">
        <v>0.0</v>
      </c>
      <c r="BZ42" s="51">
        <v>0.0</v>
      </c>
      <c r="CA42" s="51">
        <v>0.0</v>
      </c>
      <c r="CB42" s="51">
        <v>0.0</v>
      </c>
      <c r="CC42" s="51">
        <v>0.0</v>
      </c>
      <c r="CD42" s="51">
        <v>0.0</v>
      </c>
      <c r="CE42" s="51">
        <v>0.0</v>
      </c>
      <c r="CF42" s="51">
        <v>0.0</v>
      </c>
      <c r="CG42" s="51">
        <v>0.0</v>
      </c>
      <c r="CH42" s="51">
        <v>0.0</v>
      </c>
      <c r="CI42" s="51">
        <v>0.0</v>
      </c>
      <c r="CJ42" s="51">
        <v>0.0</v>
      </c>
      <c r="CK42" s="51">
        <v>0.0</v>
      </c>
      <c r="CL42" s="51">
        <v>0.0</v>
      </c>
      <c r="CM42" s="51">
        <v>0.0</v>
      </c>
      <c r="CN42" s="51">
        <v>0.0</v>
      </c>
      <c r="CO42" s="51">
        <v>0.0</v>
      </c>
      <c r="CP42" s="51">
        <v>0.0</v>
      </c>
      <c r="CQ42" s="51">
        <v>0.0</v>
      </c>
      <c r="CR42" s="51">
        <v>0.0</v>
      </c>
      <c r="CS42" s="51">
        <v>0.0</v>
      </c>
      <c r="CT42" s="51">
        <v>0.0</v>
      </c>
      <c r="CU42" s="51">
        <v>0.0</v>
      </c>
      <c r="CV42" s="51">
        <v>0.0</v>
      </c>
      <c r="CW42" s="51">
        <v>0.0</v>
      </c>
      <c r="CX42" s="51">
        <v>0.0</v>
      </c>
      <c r="CY42" s="51">
        <v>0.0</v>
      </c>
      <c r="CZ42" s="51">
        <v>0.0</v>
      </c>
      <c r="DA42" s="51">
        <v>0.0</v>
      </c>
      <c r="DB42" s="51">
        <v>0.0</v>
      </c>
      <c r="DC42" s="51">
        <v>0.0</v>
      </c>
      <c r="DD42" s="51">
        <v>0.0</v>
      </c>
      <c r="DE42" s="51">
        <v>0.0</v>
      </c>
      <c r="DF42" s="51">
        <v>0.0</v>
      </c>
      <c r="DG42" s="51">
        <v>0.0</v>
      </c>
      <c r="DH42" s="51">
        <v>0.0</v>
      </c>
      <c r="DJ42" s="49" t="str">
        <f t="shared" ref="DJ42:DN42" si="55">+F42/F$16</f>
        <v>#DIV/0!</v>
      </c>
      <c r="DK42" s="49" t="str">
        <f t="shared" si="55"/>
        <v>#DIV/0!</v>
      </c>
      <c r="DL42" s="49" t="str">
        <f t="shared" si="55"/>
        <v>#DIV/0!</v>
      </c>
      <c r="DM42" s="49" t="str">
        <f t="shared" si="55"/>
        <v>#DIV/0!</v>
      </c>
      <c r="DN42" s="49" t="str">
        <f t="shared" si="55"/>
        <v>#DIV/0!</v>
      </c>
      <c r="DO42" s="49"/>
      <c r="DP42" s="49" t="str">
        <f t="shared" ref="DP42:DQ42" si="56">+L42/L$16</f>
        <v>#DIV/0!</v>
      </c>
      <c r="DQ42" s="49" t="str">
        <f t="shared" si="56"/>
        <v>#DIV/0!</v>
      </c>
    </row>
    <row r="43" ht="15.75" customHeight="1">
      <c r="B43" s="5" t="s">
        <v>62</v>
      </c>
      <c r="F43" s="50"/>
      <c r="G43" s="50"/>
      <c r="H43" s="50"/>
      <c r="I43" s="50"/>
      <c r="J43" s="50"/>
      <c r="K43" s="50"/>
      <c r="L43" s="50"/>
      <c r="M43" s="50"/>
      <c r="N43" s="50"/>
      <c r="O43" s="50" t="str">
        <f t="shared" si="52"/>
        <v/>
      </c>
      <c r="Q43" s="51">
        <v>135.8491348899999</v>
      </c>
      <c r="R43" s="51">
        <v>219.74271096999973</v>
      </c>
      <c r="S43" s="51">
        <v>294.6157823749994</v>
      </c>
      <c r="T43" s="51">
        <v>237.61968671999992</v>
      </c>
      <c r="U43" s="51">
        <v>282.9635049999995</v>
      </c>
      <c r="V43" s="51">
        <v>333.30397553</v>
      </c>
      <c r="W43" s="51">
        <v>341.19059205499974</v>
      </c>
      <c r="X43" s="51">
        <v>405.0227117200001</v>
      </c>
      <c r="Y43" s="51">
        <v>323.66688</v>
      </c>
      <c r="Z43" s="51">
        <v>428.12455</v>
      </c>
      <c r="AA43" s="51">
        <v>312.23942999999997</v>
      </c>
      <c r="AB43" s="51">
        <v>277.35695999999996</v>
      </c>
      <c r="AC43" s="51">
        <v>290.11100999999996</v>
      </c>
      <c r="AD43" s="51">
        <v>288.4153799999999</v>
      </c>
      <c r="AE43" s="51">
        <v>370.12266</v>
      </c>
      <c r="AF43" s="51">
        <v>315.70853000000005</v>
      </c>
      <c r="AG43" s="51">
        <v>291.44613</v>
      </c>
      <c r="AH43" s="51">
        <v>213.13591</v>
      </c>
      <c r="AI43" s="51">
        <v>169.27226629833334</v>
      </c>
      <c r="AJ43" s="51">
        <v>137.43883248333336</v>
      </c>
      <c r="AK43" s="51">
        <v>120.37583290833332</v>
      </c>
      <c r="AL43" s="51">
        <v>83.63654333333334</v>
      </c>
      <c r="AM43" s="51">
        <v>-6.838666666666661</v>
      </c>
      <c r="AN43" s="51">
        <v>-3.9174700000000033</v>
      </c>
      <c r="AO43" s="51">
        <v>61.8405</v>
      </c>
      <c r="AP43" s="51">
        <v>37.405</v>
      </c>
      <c r="AQ43" s="51">
        <v>51.271</v>
      </c>
      <c r="AR43" s="51">
        <v>47.215</v>
      </c>
      <c r="AS43" s="51">
        <v>48.908</v>
      </c>
      <c r="AT43" s="51">
        <v>-15.649999999999995</v>
      </c>
      <c r="AU43" s="51">
        <v>-14.850999999999999</v>
      </c>
      <c r="AV43" s="51">
        <v>61.208</v>
      </c>
      <c r="AW43" s="51">
        <v>-0.16900000000000048</v>
      </c>
      <c r="AX43" s="51">
        <v>30.794</v>
      </c>
      <c r="AY43" s="51">
        <v>26.507</v>
      </c>
      <c r="AZ43" s="51">
        <v>23.922</v>
      </c>
      <c r="BA43" s="51">
        <v>12.1</v>
      </c>
      <c r="BB43" s="51">
        <v>13.695</v>
      </c>
      <c r="BC43" s="51">
        <v>52.25</v>
      </c>
      <c r="BD43" s="51">
        <v>34.241181818181815</v>
      </c>
      <c r="BE43" s="51">
        <v>13.521848484848483</v>
      </c>
      <c r="BF43" s="51">
        <v>24.521848484848483</v>
      </c>
      <c r="BG43" s="51">
        <v>27.27184848484848</v>
      </c>
      <c r="BH43" s="51">
        <v>39.741181818181815</v>
      </c>
      <c r="BI43" s="51">
        <v>36.991181818181815</v>
      </c>
      <c r="BJ43" s="51">
        <v>23.241181818181815</v>
      </c>
      <c r="BK43" s="51">
        <v>19.721181818181815</v>
      </c>
      <c r="BL43" s="51">
        <v>12.241181818181818</v>
      </c>
      <c r="BM43" s="51">
        <v>13.441181818181818</v>
      </c>
      <c r="BN43" s="51">
        <v>7.641181818181818</v>
      </c>
      <c r="BO43" s="51">
        <v>8.7</v>
      </c>
      <c r="BP43" s="51">
        <v>5.8</v>
      </c>
      <c r="BQ43" s="51">
        <v>2.9</v>
      </c>
      <c r="BR43" s="51">
        <v>0.0</v>
      </c>
      <c r="BS43" s="51">
        <v>0.0</v>
      </c>
      <c r="BT43" s="51">
        <v>0.0</v>
      </c>
      <c r="BU43" s="51">
        <v>0.0</v>
      </c>
      <c r="BV43" s="51">
        <v>0.0</v>
      </c>
      <c r="BW43" s="51">
        <v>0.0</v>
      </c>
      <c r="BX43" s="51">
        <v>0.0</v>
      </c>
      <c r="BY43" s="51">
        <v>0.0</v>
      </c>
      <c r="BZ43" s="51">
        <v>0.0</v>
      </c>
      <c r="CA43" s="51">
        <v>0.0</v>
      </c>
      <c r="CB43" s="51">
        <v>0.0</v>
      </c>
      <c r="CC43" s="51">
        <v>0.0</v>
      </c>
      <c r="CD43" s="51">
        <v>0.0</v>
      </c>
      <c r="CE43" s="51">
        <v>0.0</v>
      </c>
      <c r="CF43" s="51">
        <v>0.0</v>
      </c>
      <c r="CG43" s="51">
        <v>0.0</v>
      </c>
      <c r="CH43" s="51">
        <v>0.0</v>
      </c>
      <c r="CI43" s="51">
        <v>0.0</v>
      </c>
      <c r="CJ43" s="51">
        <v>0.0</v>
      </c>
      <c r="CK43" s="51">
        <v>0.0</v>
      </c>
      <c r="CL43" s="51">
        <v>0.0</v>
      </c>
      <c r="CM43" s="51">
        <v>0.0</v>
      </c>
      <c r="CN43" s="51">
        <v>0.0</v>
      </c>
      <c r="CO43" s="51">
        <v>0.0</v>
      </c>
      <c r="CP43" s="51">
        <v>0.0</v>
      </c>
      <c r="CQ43" s="51">
        <v>0.0</v>
      </c>
      <c r="CR43" s="51">
        <v>0.0</v>
      </c>
      <c r="CS43" s="51">
        <v>0.0</v>
      </c>
      <c r="CT43" s="51">
        <v>0.0</v>
      </c>
      <c r="CU43" s="51">
        <v>0.0</v>
      </c>
      <c r="CV43" s="51">
        <v>0.0</v>
      </c>
      <c r="CW43" s="51">
        <v>0.0</v>
      </c>
      <c r="CX43" s="51">
        <v>0.0</v>
      </c>
      <c r="CY43" s="51">
        <v>0.0</v>
      </c>
      <c r="CZ43" s="51">
        <v>0.0</v>
      </c>
      <c r="DA43" s="51">
        <v>0.0</v>
      </c>
      <c r="DB43" s="51">
        <v>0.0</v>
      </c>
      <c r="DC43" s="51">
        <v>0.0</v>
      </c>
      <c r="DD43" s="51">
        <v>0.0</v>
      </c>
      <c r="DE43" s="51">
        <v>0.0</v>
      </c>
      <c r="DF43" s="51">
        <v>0.0</v>
      </c>
      <c r="DG43" s="51">
        <v>0.0</v>
      </c>
      <c r="DH43" s="51">
        <v>0.0</v>
      </c>
      <c r="DJ43" s="49" t="str">
        <f t="shared" ref="DJ43:DN43" si="57">+F43/F$16</f>
        <v>#DIV/0!</v>
      </c>
      <c r="DK43" s="49" t="str">
        <f t="shared" si="57"/>
        <v>#DIV/0!</v>
      </c>
      <c r="DL43" s="49" t="str">
        <f t="shared" si="57"/>
        <v>#DIV/0!</v>
      </c>
      <c r="DM43" s="49" t="str">
        <f t="shared" si="57"/>
        <v>#DIV/0!</v>
      </c>
      <c r="DN43" s="49" t="str">
        <f t="shared" si="57"/>
        <v>#DIV/0!</v>
      </c>
      <c r="DO43" s="49"/>
      <c r="DP43" s="49" t="str">
        <f t="shared" ref="DP43:DQ43" si="58">+L43/L$16</f>
        <v>#DIV/0!</v>
      </c>
      <c r="DQ43" s="49" t="str">
        <f t="shared" si="58"/>
        <v>#DIV/0!</v>
      </c>
    </row>
    <row r="44" ht="15.75" customHeight="1">
      <c r="B44" s="5" t="s">
        <v>63</v>
      </c>
      <c r="F44" s="50"/>
      <c r="G44" s="50"/>
      <c r="H44" s="50"/>
      <c r="I44" s="50"/>
      <c r="J44" s="50"/>
      <c r="K44" s="50"/>
      <c r="L44" s="50"/>
      <c r="M44" s="50"/>
      <c r="N44" s="50"/>
      <c r="O44" s="50" t="str">
        <f t="shared" si="52"/>
        <v/>
      </c>
      <c r="Q44" s="51">
        <v>0.0</v>
      </c>
      <c r="R44" s="51">
        <v>0.0</v>
      </c>
      <c r="S44" s="51">
        <v>0.0</v>
      </c>
      <c r="T44" s="51">
        <v>0.0</v>
      </c>
      <c r="U44" s="51">
        <v>0.0</v>
      </c>
      <c r="V44" s="51">
        <v>0.0</v>
      </c>
      <c r="W44" s="51">
        <v>0.0</v>
      </c>
      <c r="X44" s="51">
        <v>0.0</v>
      </c>
      <c r="Y44" s="51">
        <v>0.0</v>
      </c>
      <c r="Z44" s="51">
        <v>0.0</v>
      </c>
      <c r="AA44" s="51">
        <v>0.0</v>
      </c>
      <c r="AB44" s="51">
        <v>0.0</v>
      </c>
      <c r="AC44" s="51">
        <v>0.0</v>
      </c>
      <c r="AD44" s="51">
        <v>0.0</v>
      </c>
      <c r="AE44" s="51">
        <v>3.5122499999999994</v>
      </c>
      <c r="AF44" s="51">
        <v>3.5122499999999994</v>
      </c>
      <c r="AG44" s="51">
        <v>3.5122499999999994</v>
      </c>
      <c r="AH44" s="51">
        <v>29.2315</v>
      </c>
      <c r="AI44" s="51">
        <v>1.6034413483869365</v>
      </c>
      <c r="AJ44" s="51">
        <v>1.6034413483869365</v>
      </c>
      <c r="AK44" s="51">
        <v>3.9133878966284934</v>
      </c>
      <c r="AL44" s="51">
        <v>5.276167625008545</v>
      </c>
      <c r="AM44" s="51">
        <v>5.135264510438714</v>
      </c>
      <c r="AN44" s="51">
        <v>7.4517559405808615</v>
      </c>
      <c r="AO44" s="51">
        <v>14.374711891505047</v>
      </c>
      <c r="AP44" s="51">
        <v>11.373586911290904</v>
      </c>
      <c r="AQ44" s="51">
        <v>23.293</v>
      </c>
      <c r="AR44" s="51">
        <v>22.4</v>
      </c>
      <c r="AS44" s="51">
        <v>9.028</v>
      </c>
      <c r="AT44" s="51">
        <v>6.8770500000000006</v>
      </c>
      <c r="AU44" s="51">
        <v>6.44708</v>
      </c>
      <c r="AV44" s="51">
        <v>6.44708</v>
      </c>
      <c r="AW44" s="51">
        <v>6.44708</v>
      </c>
      <c r="AX44" s="51">
        <v>6.44708</v>
      </c>
      <c r="AY44" s="51">
        <v>6.44708</v>
      </c>
      <c r="AZ44" s="51">
        <v>6.44708</v>
      </c>
      <c r="BA44" s="51">
        <v>0.0</v>
      </c>
      <c r="BB44" s="51">
        <v>0.0</v>
      </c>
      <c r="BC44" s="51">
        <v>0.0</v>
      </c>
      <c r="BD44" s="51">
        <v>0.0</v>
      </c>
      <c r="BE44" s="51">
        <v>0.0</v>
      </c>
      <c r="BF44" s="51">
        <v>0.0</v>
      </c>
      <c r="BG44" s="51">
        <v>0.0</v>
      </c>
      <c r="BH44" s="51">
        <v>0.0</v>
      </c>
      <c r="BI44" s="51">
        <v>0.0</v>
      </c>
      <c r="BJ44" s="51">
        <v>0.0</v>
      </c>
      <c r="BK44" s="51">
        <v>0.0</v>
      </c>
      <c r="BL44" s="51">
        <v>0.0</v>
      </c>
      <c r="BM44" s="51">
        <v>0.0</v>
      </c>
      <c r="BN44" s="51">
        <v>0.0</v>
      </c>
      <c r="BO44" s="51">
        <v>0.0</v>
      </c>
      <c r="BP44" s="51">
        <v>0.0</v>
      </c>
      <c r="BQ44" s="51">
        <v>0.0</v>
      </c>
      <c r="BR44" s="51">
        <v>0.0</v>
      </c>
      <c r="BS44" s="51">
        <v>0.0</v>
      </c>
      <c r="BT44" s="51">
        <v>0.0</v>
      </c>
      <c r="BU44" s="51">
        <v>0.0</v>
      </c>
      <c r="BV44" s="51">
        <v>0.0</v>
      </c>
      <c r="BW44" s="51">
        <v>0.0</v>
      </c>
      <c r="BX44" s="51">
        <v>0.0</v>
      </c>
      <c r="BY44" s="51">
        <v>0.0</v>
      </c>
      <c r="BZ44" s="51">
        <v>0.0</v>
      </c>
      <c r="CA44" s="51">
        <v>0.0</v>
      </c>
      <c r="CB44" s="51">
        <v>0.0</v>
      </c>
      <c r="CC44" s="51">
        <v>0.0</v>
      </c>
      <c r="CD44" s="51">
        <v>0.0</v>
      </c>
      <c r="CE44" s="51">
        <v>0.0</v>
      </c>
      <c r="CF44" s="51">
        <v>0.0</v>
      </c>
      <c r="CG44" s="51">
        <v>0.0</v>
      </c>
      <c r="CH44" s="51">
        <v>0.0</v>
      </c>
      <c r="CI44" s="51">
        <v>0.0</v>
      </c>
      <c r="CJ44" s="51">
        <v>0.0</v>
      </c>
      <c r="CK44" s="51">
        <v>0.0</v>
      </c>
      <c r="CL44" s="51">
        <v>0.0</v>
      </c>
      <c r="CM44" s="51">
        <v>0.0</v>
      </c>
      <c r="CN44" s="51">
        <v>0.0</v>
      </c>
      <c r="CO44" s="51">
        <v>0.0</v>
      </c>
      <c r="CP44" s="51">
        <v>0.0</v>
      </c>
      <c r="CQ44" s="51">
        <v>0.0</v>
      </c>
      <c r="CR44" s="51">
        <v>0.0</v>
      </c>
      <c r="CS44" s="51">
        <v>0.0</v>
      </c>
      <c r="CT44" s="51">
        <v>0.0</v>
      </c>
      <c r="CU44" s="51">
        <v>0.0</v>
      </c>
      <c r="CV44" s="51">
        <v>0.0</v>
      </c>
      <c r="CW44" s="51">
        <v>0.0</v>
      </c>
      <c r="CX44" s="51">
        <v>0.0</v>
      </c>
      <c r="CY44" s="51">
        <v>0.0</v>
      </c>
      <c r="CZ44" s="51">
        <v>0.0</v>
      </c>
      <c r="DA44" s="51">
        <v>0.0</v>
      </c>
      <c r="DB44" s="51">
        <v>0.0</v>
      </c>
      <c r="DC44" s="51">
        <v>0.0</v>
      </c>
      <c r="DD44" s="51">
        <v>0.0</v>
      </c>
      <c r="DE44" s="51">
        <v>0.0</v>
      </c>
      <c r="DF44" s="51">
        <v>0.0</v>
      </c>
      <c r="DG44" s="51">
        <v>0.0</v>
      </c>
      <c r="DH44" s="51">
        <v>0.0</v>
      </c>
      <c r="DJ44" s="49" t="str">
        <f t="shared" ref="DJ44:DN44" si="59">+F44/F$16</f>
        <v>#DIV/0!</v>
      </c>
      <c r="DK44" s="49" t="str">
        <f t="shared" si="59"/>
        <v>#DIV/0!</v>
      </c>
      <c r="DL44" s="49" t="str">
        <f t="shared" si="59"/>
        <v>#DIV/0!</v>
      </c>
      <c r="DM44" s="49" t="str">
        <f t="shared" si="59"/>
        <v>#DIV/0!</v>
      </c>
      <c r="DN44" s="49" t="str">
        <f t="shared" si="59"/>
        <v>#DIV/0!</v>
      </c>
      <c r="DO44" s="49"/>
      <c r="DP44" s="49" t="str">
        <f t="shared" ref="DP44:DQ44" si="60">+L44/L$16</f>
        <v>#DIV/0!</v>
      </c>
      <c r="DQ44" s="49" t="str">
        <f t="shared" si="60"/>
        <v>#DIV/0!</v>
      </c>
    </row>
    <row r="45" ht="15.75" customHeight="1">
      <c r="B45" s="5" t="s">
        <v>64</v>
      </c>
      <c r="F45" s="50"/>
      <c r="G45" s="50"/>
      <c r="H45" s="50"/>
      <c r="I45" s="50"/>
      <c r="J45" s="50"/>
      <c r="K45" s="50"/>
      <c r="L45" s="50"/>
      <c r="M45" s="50"/>
      <c r="N45" s="50"/>
      <c r="O45" s="50" t="str">
        <f t="shared" si="52"/>
        <v/>
      </c>
      <c r="Q45" s="51">
        <v>0.0</v>
      </c>
      <c r="R45" s="51">
        <v>0.0</v>
      </c>
      <c r="S45" s="51">
        <v>0.0</v>
      </c>
      <c r="T45" s="51">
        <v>0.0</v>
      </c>
      <c r="U45" s="51">
        <v>0.0</v>
      </c>
      <c r="V45" s="51">
        <v>0.0</v>
      </c>
      <c r="W45" s="51">
        <v>0.0</v>
      </c>
      <c r="X45" s="51">
        <v>0.0</v>
      </c>
      <c r="Y45" s="51">
        <v>147.40685000000002</v>
      </c>
      <c r="Z45" s="51">
        <v>63.98637</v>
      </c>
      <c r="AA45" s="51">
        <v>0.0</v>
      </c>
      <c r="AB45" s="51">
        <v>0.0</v>
      </c>
      <c r="AC45" s="51">
        <v>0.0</v>
      </c>
      <c r="AD45" s="51">
        <v>0.0</v>
      </c>
      <c r="AE45" s="51">
        <v>0.0</v>
      </c>
      <c r="AF45" s="51">
        <v>0.0</v>
      </c>
      <c r="AG45" s="51">
        <v>0.0</v>
      </c>
      <c r="AH45" s="51">
        <v>0.0</v>
      </c>
      <c r="AI45" s="51">
        <v>0.0</v>
      </c>
      <c r="AJ45" s="51">
        <v>0.0</v>
      </c>
      <c r="AK45" s="51">
        <v>0.0</v>
      </c>
      <c r="AL45" s="51">
        <v>0.0</v>
      </c>
      <c r="AM45" s="51">
        <v>0.0</v>
      </c>
      <c r="AN45" s="51">
        <v>0.0</v>
      </c>
      <c r="AO45" s="51">
        <v>0.0</v>
      </c>
      <c r="AP45" s="51">
        <v>0.0</v>
      </c>
      <c r="AQ45" s="51">
        <v>11.452</v>
      </c>
      <c r="AR45" s="51">
        <v>0.0</v>
      </c>
      <c r="AS45" s="51">
        <v>0.0</v>
      </c>
      <c r="AT45" s="51">
        <v>0.0</v>
      </c>
      <c r="AU45" s="51">
        <v>0.0</v>
      </c>
      <c r="AV45" s="51">
        <v>0.0</v>
      </c>
      <c r="AW45" s="51">
        <v>0.0</v>
      </c>
      <c r="AX45" s="51">
        <v>0.0</v>
      </c>
      <c r="AY45" s="51">
        <v>0.0</v>
      </c>
      <c r="AZ45" s="51">
        <v>0.0</v>
      </c>
      <c r="BA45" s="51">
        <v>0.0</v>
      </c>
      <c r="BB45" s="51">
        <v>0.0</v>
      </c>
      <c r="BC45" s="51">
        <v>0.0</v>
      </c>
      <c r="BD45" s="51">
        <v>0.0</v>
      </c>
      <c r="BE45" s="51">
        <v>0.0</v>
      </c>
      <c r="BF45" s="51">
        <v>0.0</v>
      </c>
      <c r="BG45" s="51">
        <v>0.0</v>
      </c>
      <c r="BH45" s="51">
        <v>0.0</v>
      </c>
      <c r="BI45" s="51">
        <v>0.0</v>
      </c>
      <c r="BJ45" s="51">
        <v>0.0</v>
      </c>
      <c r="BK45" s="51">
        <v>0.0</v>
      </c>
      <c r="BL45" s="51">
        <v>0.0</v>
      </c>
      <c r="BM45" s="51">
        <v>0.0</v>
      </c>
      <c r="BN45" s="51">
        <v>0.0</v>
      </c>
      <c r="BO45" s="51">
        <v>0.0</v>
      </c>
      <c r="BP45" s="51">
        <v>0.0</v>
      </c>
      <c r="BQ45" s="51">
        <v>0.0</v>
      </c>
      <c r="BR45" s="51">
        <v>0.0</v>
      </c>
      <c r="BS45" s="51">
        <v>0.0</v>
      </c>
      <c r="BT45" s="51">
        <v>0.0</v>
      </c>
      <c r="BU45" s="51">
        <v>0.0</v>
      </c>
      <c r="BV45" s="51">
        <v>0.0</v>
      </c>
      <c r="BW45" s="51">
        <v>0.0</v>
      </c>
      <c r="BX45" s="51">
        <v>0.0</v>
      </c>
      <c r="BY45" s="51">
        <v>0.0</v>
      </c>
      <c r="BZ45" s="51">
        <v>0.0</v>
      </c>
      <c r="CA45" s="51">
        <v>0.0</v>
      </c>
      <c r="CB45" s="51">
        <v>0.0</v>
      </c>
      <c r="CC45" s="51">
        <v>0.0</v>
      </c>
      <c r="CD45" s="51">
        <v>0.0</v>
      </c>
      <c r="CE45" s="51">
        <v>0.0</v>
      </c>
      <c r="CF45" s="51">
        <v>0.0</v>
      </c>
      <c r="CG45" s="51">
        <v>0.0</v>
      </c>
      <c r="CH45" s="51">
        <v>0.0</v>
      </c>
      <c r="CI45" s="51">
        <v>0.0</v>
      </c>
      <c r="CJ45" s="51">
        <v>0.0</v>
      </c>
      <c r="CK45" s="51">
        <v>0.0</v>
      </c>
      <c r="CL45" s="51">
        <v>0.0</v>
      </c>
      <c r="CM45" s="51">
        <v>0.0</v>
      </c>
      <c r="CN45" s="51">
        <v>0.0</v>
      </c>
      <c r="CO45" s="51">
        <v>0.0</v>
      </c>
      <c r="CP45" s="51">
        <v>0.0</v>
      </c>
      <c r="CQ45" s="51">
        <v>0.0</v>
      </c>
      <c r="CR45" s="51">
        <v>0.0</v>
      </c>
      <c r="CS45" s="51">
        <v>0.0</v>
      </c>
      <c r="CT45" s="51">
        <v>0.0</v>
      </c>
      <c r="CU45" s="51">
        <v>0.0</v>
      </c>
      <c r="CV45" s="51">
        <v>0.0</v>
      </c>
      <c r="CW45" s="51">
        <v>0.0</v>
      </c>
      <c r="CX45" s="51">
        <v>0.0</v>
      </c>
      <c r="CY45" s="51">
        <v>0.0</v>
      </c>
      <c r="CZ45" s="51">
        <v>0.0</v>
      </c>
      <c r="DA45" s="51">
        <v>0.0</v>
      </c>
      <c r="DB45" s="51">
        <v>0.0</v>
      </c>
      <c r="DC45" s="51">
        <v>0.0</v>
      </c>
      <c r="DD45" s="51">
        <v>0.0</v>
      </c>
      <c r="DE45" s="51">
        <v>0.0</v>
      </c>
      <c r="DF45" s="51">
        <v>0.0</v>
      </c>
      <c r="DG45" s="51">
        <v>0.0</v>
      </c>
      <c r="DH45" s="51">
        <v>0.0</v>
      </c>
      <c r="DJ45" s="49" t="str">
        <f t="shared" ref="DJ45:DN45" si="61">+F45/F$16</f>
        <v>#DIV/0!</v>
      </c>
      <c r="DK45" s="49" t="str">
        <f t="shared" si="61"/>
        <v>#DIV/0!</v>
      </c>
      <c r="DL45" s="49" t="str">
        <f t="shared" si="61"/>
        <v>#DIV/0!</v>
      </c>
      <c r="DM45" s="49" t="str">
        <f t="shared" si="61"/>
        <v>#DIV/0!</v>
      </c>
      <c r="DN45" s="49" t="str">
        <f t="shared" si="61"/>
        <v>#DIV/0!</v>
      </c>
      <c r="DO45" s="49"/>
      <c r="DP45" s="49" t="str">
        <f t="shared" ref="DP45:DQ45" si="62">+L45/L$16</f>
        <v>#DIV/0!</v>
      </c>
      <c r="DQ45" s="49" t="str">
        <f t="shared" si="62"/>
        <v>#DIV/0!</v>
      </c>
    </row>
    <row r="46" ht="15.75" customHeight="1">
      <c r="B46" s="5" t="s">
        <v>65</v>
      </c>
      <c r="F46" s="50"/>
      <c r="G46" s="50"/>
      <c r="H46" s="50"/>
      <c r="I46" s="50"/>
      <c r="J46" s="50"/>
      <c r="K46" s="50"/>
      <c r="L46" s="50"/>
      <c r="M46" s="50"/>
      <c r="N46" s="50"/>
      <c r="O46" s="50" t="str">
        <f t="shared" si="52"/>
        <v/>
      </c>
      <c r="Q46" s="51">
        <v>14.423126666666668</v>
      </c>
      <c r="R46" s="51">
        <v>14.423126666666668</v>
      </c>
      <c r="S46" s="51">
        <v>39.42312666666667</v>
      </c>
      <c r="T46" s="51">
        <v>17.42312666666667</v>
      </c>
      <c r="U46" s="51">
        <v>17.42312666666667</v>
      </c>
      <c r="V46" s="51">
        <v>-2.5768733333333333</v>
      </c>
      <c r="W46" s="51">
        <v>-2.5768733333333333</v>
      </c>
      <c r="X46" s="51">
        <v>-40.01237333333333</v>
      </c>
      <c r="Y46" s="51">
        <v>4.013736666666667</v>
      </c>
      <c r="Z46" s="51">
        <v>-2.7363733333333333</v>
      </c>
      <c r="AA46" s="51">
        <v>-1.460373333333333</v>
      </c>
      <c r="AB46" s="51">
        <v>-7.224523333333334</v>
      </c>
      <c r="AC46" s="51">
        <v>18.25645666666667</v>
      </c>
      <c r="AD46" s="51">
        <v>18.25645666666667</v>
      </c>
      <c r="AE46" s="51">
        <v>16.441456666666667</v>
      </c>
      <c r="AF46" s="51">
        <v>8.292946666666666</v>
      </c>
      <c r="AG46" s="51">
        <v>16.230576666666668</v>
      </c>
      <c r="AH46" s="51">
        <v>13.560576666666666</v>
      </c>
      <c r="AI46" s="51">
        <v>16.230576666666668</v>
      </c>
      <c r="AJ46" s="51">
        <v>15.223576666666666</v>
      </c>
      <c r="AK46" s="51">
        <v>11.818586666666668</v>
      </c>
      <c r="AL46" s="51">
        <v>-128.77147333333332</v>
      </c>
      <c r="AM46" s="51">
        <v>-2.2628733333333333</v>
      </c>
      <c r="AN46" s="51">
        <v>-2.5768733333333333</v>
      </c>
      <c r="AO46" s="51">
        <v>0.0</v>
      </c>
      <c r="AP46" s="51">
        <v>0.0</v>
      </c>
      <c r="AQ46" s="51">
        <v>0.0</v>
      </c>
      <c r="AR46" s="51">
        <v>0.0</v>
      </c>
      <c r="AS46" s="51">
        <v>0.0</v>
      </c>
      <c r="AT46" s="51">
        <v>0.0</v>
      </c>
      <c r="AU46" s="51">
        <v>0.0</v>
      </c>
      <c r="AV46" s="51">
        <v>0.0</v>
      </c>
      <c r="AW46" s="51">
        <v>0.0</v>
      </c>
      <c r="AX46" s="51">
        <v>0.0</v>
      </c>
      <c r="AY46" s="51">
        <v>0.0</v>
      </c>
      <c r="AZ46" s="51">
        <v>0.0</v>
      </c>
      <c r="BA46" s="51">
        <v>0.0</v>
      </c>
      <c r="BB46" s="51">
        <v>0.0</v>
      </c>
      <c r="BC46" s="51">
        <v>0.0</v>
      </c>
      <c r="BD46" s="51">
        <v>0.0</v>
      </c>
      <c r="BE46" s="51">
        <v>0.0</v>
      </c>
      <c r="BF46" s="51">
        <v>0.0</v>
      </c>
      <c r="BG46" s="51">
        <v>0.0</v>
      </c>
      <c r="BH46" s="51">
        <v>0.0</v>
      </c>
      <c r="BI46" s="51">
        <v>0.0</v>
      </c>
      <c r="BJ46" s="51">
        <v>0.0</v>
      </c>
      <c r="BK46" s="51">
        <v>0.0</v>
      </c>
      <c r="BL46" s="51">
        <v>0.0</v>
      </c>
      <c r="BM46" s="51">
        <v>0.0</v>
      </c>
      <c r="BN46" s="51">
        <v>0.0</v>
      </c>
      <c r="BO46" s="51">
        <v>0.0</v>
      </c>
      <c r="BP46" s="51">
        <v>0.0</v>
      </c>
      <c r="BQ46" s="51">
        <v>0.0</v>
      </c>
      <c r="BR46" s="51">
        <v>0.0</v>
      </c>
      <c r="BS46" s="51">
        <v>0.0</v>
      </c>
      <c r="BT46" s="51">
        <v>0.0</v>
      </c>
      <c r="BU46" s="51">
        <v>0.0</v>
      </c>
      <c r="BV46" s="51">
        <v>0.0</v>
      </c>
      <c r="BW46" s="51">
        <v>0.0</v>
      </c>
      <c r="BX46" s="51">
        <v>0.0</v>
      </c>
      <c r="BY46" s="51">
        <v>0.0</v>
      </c>
      <c r="BZ46" s="51">
        <v>0.0</v>
      </c>
      <c r="CA46" s="51">
        <v>0.0</v>
      </c>
      <c r="CB46" s="51">
        <v>0.0</v>
      </c>
      <c r="CC46" s="51">
        <v>0.0</v>
      </c>
      <c r="CD46" s="51">
        <v>0.0</v>
      </c>
      <c r="CE46" s="51">
        <v>0.0</v>
      </c>
      <c r="CF46" s="51">
        <v>0.0</v>
      </c>
      <c r="CG46" s="51">
        <v>0.0</v>
      </c>
      <c r="CH46" s="51">
        <v>0.0</v>
      </c>
      <c r="CI46" s="51">
        <v>0.0</v>
      </c>
      <c r="CJ46" s="51">
        <v>0.0</v>
      </c>
      <c r="CK46" s="51">
        <v>0.0</v>
      </c>
      <c r="CL46" s="51">
        <v>0.0</v>
      </c>
      <c r="CM46" s="51">
        <v>0.0</v>
      </c>
      <c r="CN46" s="51">
        <v>0.0</v>
      </c>
      <c r="CO46" s="51">
        <v>0.0</v>
      </c>
      <c r="CP46" s="51">
        <v>0.0</v>
      </c>
      <c r="CQ46" s="51">
        <v>0.0</v>
      </c>
      <c r="CR46" s="51">
        <v>0.0</v>
      </c>
      <c r="CS46" s="51">
        <v>0.0</v>
      </c>
      <c r="CT46" s="51">
        <v>0.0</v>
      </c>
      <c r="CU46" s="51">
        <v>0.0</v>
      </c>
      <c r="CV46" s="51">
        <v>0.0</v>
      </c>
      <c r="CW46" s="51">
        <v>0.0</v>
      </c>
      <c r="CX46" s="51">
        <v>0.0</v>
      </c>
      <c r="CY46" s="51">
        <v>0.0</v>
      </c>
      <c r="CZ46" s="51">
        <v>0.0</v>
      </c>
      <c r="DA46" s="51">
        <v>0.0</v>
      </c>
      <c r="DB46" s="51">
        <v>0.0</v>
      </c>
      <c r="DC46" s="51">
        <v>0.0</v>
      </c>
      <c r="DD46" s="51">
        <v>0.0</v>
      </c>
      <c r="DE46" s="51">
        <v>0.0</v>
      </c>
      <c r="DF46" s="51">
        <v>0.0</v>
      </c>
      <c r="DG46" s="51">
        <v>0.0</v>
      </c>
      <c r="DH46" s="51">
        <v>0.0</v>
      </c>
      <c r="DJ46" s="49" t="str">
        <f t="shared" ref="DJ46:DN46" si="63">+F46/F$16</f>
        <v>#DIV/0!</v>
      </c>
      <c r="DK46" s="49" t="str">
        <f t="shared" si="63"/>
        <v>#DIV/0!</v>
      </c>
      <c r="DL46" s="49" t="str">
        <f t="shared" si="63"/>
        <v>#DIV/0!</v>
      </c>
      <c r="DM46" s="49" t="str">
        <f t="shared" si="63"/>
        <v>#DIV/0!</v>
      </c>
      <c r="DN46" s="49" t="str">
        <f t="shared" si="63"/>
        <v>#DIV/0!</v>
      </c>
      <c r="DO46" s="49"/>
      <c r="DP46" s="49" t="str">
        <f t="shared" ref="DP46:DQ46" si="64">+L46/L$16</f>
        <v>#DIV/0!</v>
      </c>
      <c r="DQ46" s="49" t="str">
        <f t="shared" si="64"/>
        <v>#DIV/0!</v>
      </c>
    </row>
    <row r="47" ht="15.75" customHeight="1">
      <c r="B47" s="5" t="s">
        <v>66</v>
      </c>
      <c r="F47" s="50"/>
      <c r="G47" s="50"/>
      <c r="H47" s="50"/>
      <c r="I47" s="50"/>
      <c r="J47" s="50"/>
      <c r="K47" s="50"/>
      <c r="L47" s="50"/>
      <c r="M47" s="50"/>
      <c r="N47" s="50"/>
      <c r="O47" s="50" t="str">
        <f t="shared" si="52"/>
        <v/>
      </c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  <c r="CK47" s="52"/>
      <c r="CL47" s="52"/>
      <c r="CM47" s="52"/>
      <c r="CN47" s="52"/>
      <c r="CO47" s="52"/>
      <c r="CP47" s="52"/>
      <c r="CQ47" s="52"/>
      <c r="CR47" s="52"/>
      <c r="CS47" s="52"/>
      <c r="CT47" s="52"/>
      <c r="CU47" s="52"/>
      <c r="CV47" s="52"/>
      <c r="CW47" s="52"/>
      <c r="CX47" s="52"/>
      <c r="CY47" s="52"/>
      <c r="CZ47" s="52"/>
      <c r="DA47" s="52"/>
      <c r="DB47" s="52"/>
      <c r="DC47" s="52"/>
      <c r="DD47" s="52"/>
      <c r="DE47" s="52"/>
      <c r="DF47" s="52"/>
      <c r="DG47" s="52"/>
      <c r="DH47" s="52"/>
      <c r="DJ47" s="49" t="str">
        <f t="shared" ref="DJ47:DN47" si="65">+F47/F$16</f>
        <v>#DIV/0!</v>
      </c>
      <c r="DK47" s="49" t="str">
        <f t="shared" si="65"/>
        <v>#DIV/0!</v>
      </c>
      <c r="DL47" s="49" t="str">
        <f t="shared" si="65"/>
        <v>#DIV/0!</v>
      </c>
      <c r="DM47" s="49" t="str">
        <f t="shared" si="65"/>
        <v>#DIV/0!</v>
      </c>
      <c r="DN47" s="49" t="str">
        <f t="shared" si="65"/>
        <v>#DIV/0!</v>
      </c>
      <c r="DO47" s="49"/>
      <c r="DP47" s="49" t="str">
        <f t="shared" ref="DP47:DQ47" si="66">+L47/L$16</f>
        <v>#DIV/0!</v>
      </c>
      <c r="DQ47" s="49" t="str">
        <f t="shared" si="66"/>
        <v>#DIV/0!</v>
      </c>
    </row>
    <row r="48" ht="15.75" customHeight="1">
      <c r="B48" s="54" t="s">
        <v>67</v>
      </c>
      <c r="C48" s="54"/>
      <c r="D48" s="54"/>
      <c r="F48" s="55"/>
      <c r="G48" s="55"/>
      <c r="H48" s="55"/>
      <c r="I48" s="55"/>
      <c r="J48" s="55"/>
      <c r="K48" s="55"/>
      <c r="L48" s="55"/>
      <c r="M48" s="55"/>
      <c r="N48" s="50"/>
      <c r="O48" s="55" t="str">
        <f t="shared" si="52"/>
        <v/>
      </c>
      <c r="Q48" s="55">
        <f>SUM(Q40:Q46)</f>
        <v>188.8438899</v>
      </c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5"/>
      <c r="BY48" s="55"/>
      <c r="BZ48" s="55"/>
      <c r="CA48" s="55"/>
      <c r="CB48" s="55"/>
      <c r="CC48" s="55"/>
      <c r="CD48" s="55"/>
      <c r="CE48" s="55"/>
      <c r="CF48" s="55"/>
      <c r="CG48" s="55"/>
      <c r="CH48" s="55"/>
      <c r="CI48" s="55"/>
      <c r="CJ48" s="55"/>
      <c r="CK48" s="55"/>
      <c r="CL48" s="55"/>
      <c r="CM48" s="55"/>
      <c r="CN48" s="55"/>
      <c r="CO48" s="55"/>
      <c r="CP48" s="55"/>
      <c r="CQ48" s="55"/>
      <c r="CR48" s="55"/>
      <c r="CS48" s="55"/>
      <c r="CT48" s="55"/>
      <c r="CU48" s="55"/>
      <c r="CV48" s="55"/>
      <c r="CW48" s="55"/>
      <c r="CX48" s="55"/>
      <c r="CY48" s="55"/>
      <c r="CZ48" s="55"/>
      <c r="DA48" s="55"/>
      <c r="DB48" s="55"/>
      <c r="DC48" s="55"/>
      <c r="DD48" s="55"/>
      <c r="DE48" s="55"/>
      <c r="DF48" s="55"/>
      <c r="DG48" s="55"/>
      <c r="DH48" s="55"/>
      <c r="DJ48" s="57" t="str">
        <f t="shared" ref="DJ48:DN48" si="67">+F48/F$16</f>
        <v>#DIV/0!</v>
      </c>
      <c r="DK48" s="57" t="str">
        <f t="shared" si="67"/>
        <v>#DIV/0!</v>
      </c>
      <c r="DL48" s="57" t="str">
        <f t="shared" si="67"/>
        <v>#DIV/0!</v>
      </c>
      <c r="DM48" s="57" t="str">
        <f t="shared" si="67"/>
        <v>#DIV/0!</v>
      </c>
      <c r="DN48" s="57" t="str">
        <f t="shared" si="67"/>
        <v>#DIV/0!</v>
      </c>
      <c r="DO48" s="57"/>
      <c r="DP48" s="57" t="str">
        <f t="shared" ref="DP48:DQ48" si="68">+L48/L$16</f>
        <v>#DIV/0!</v>
      </c>
      <c r="DQ48" s="57" t="str">
        <f t="shared" si="68"/>
        <v>#DIV/0!</v>
      </c>
    </row>
    <row r="49" ht="4.5" customHeight="1">
      <c r="DJ49" s="49"/>
      <c r="DK49" s="49"/>
      <c r="DL49" s="49"/>
      <c r="DM49" s="49"/>
      <c r="DN49" s="49"/>
      <c r="DO49" s="49"/>
      <c r="DP49" s="49"/>
      <c r="DQ49" s="49"/>
    </row>
    <row r="50" ht="15.75" customHeight="1">
      <c r="A50" s="4"/>
      <c r="B50" s="65" t="s">
        <v>29</v>
      </c>
      <c r="C50" s="65"/>
      <c r="D50" s="65"/>
      <c r="E50" s="4"/>
      <c r="F50" s="66"/>
      <c r="G50" s="66"/>
      <c r="H50" s="66"/>
      <c r="I50" s="66"/>
      <c r="J50" s="66"/>
      <c r="K50" s="66"/>
      <c r="L50" s="66"/>
      <c r="M50" s="66"/>
      <c r="N50" s="67"/>
      <c r="O50" s="66">
        <f>+SUM(O37,O48)</f>
        <v>883.68011</v>
      </c>
      <c r="P50" s="4"/>
      <c r="Q50" s="66">
        <f t="shared" ref="Q50:DH50" si="69">+SUM(Q37,Q48)</f>
        <v>188.8438899</v>
      </c>
      <c r="R50" s="66">
        <f t="shared" si="69"/>
        <v>0</v>
      </c>
      <c r="S50" s="66">
        <f t="shared" si="69"/>
        <v>0</v>
      </c>
      <c r="T50" s="66">
        <f t="shared" si="69"/>
        <v>0</v>
      </c>
      <c r="U50" s="66">
        <f t="shared" si="69"/>
        <v>0</v>
      </c>
      <c r="V50" s="66">
        <f t="shared" si="69"/>
        <v>0</v>
      </c>
      <c r="W50" s="66">
        <f t="shared" si="69"/>
        <v>0</v>
      </c>
      <c r="X50" s="66">
        <f t="shared" si="69"/>
        <v>0</v>
      </c>
      <c r="Y50" s="66">
        <f t="shared" si="69"/>
        <v>0</v>
      </c>
      <c r="Z50" s="66">
        <f t="shared" si="69"/>
        <v>0</v>
      </c>
      <c r="AA50" s="66">
        <f t="shared" si="69"/>
        <v>0</v>
      </c>
      <c r="AB50" s="66">
        <f t="shared" si="69"/>
        <v>0</v>
      </c>
      <c r="AC50" s="66">
        <f t="shared" si="69"/>
        <v>0</v>
      </c>
      <c r="AD50" s="66">
        <f t="shared" si="69"/>
        <v>0</v>
      </c>
      <c r="AE50" s="66">
        <f t="shared" si="69"/>
        <v>0</v>
      </c>
      <c r="AF50" s="66">
        <f t="shared" si="69"/>
        <v>0</v>
      </c>
      <c r="AG50" s="66">
        <f t="shared" si="69"/>
        <v>0</v>
      </c>
      <c r="AH50" s="66">
        <f t="shared" si="69"/>
        <v>0</v>
      </c>
      <c r="AI50" s="66">
        <f t="shared" si="69"/>
        <v>0</v>
      </c>
      <c r="AJ50" s="66">
        <f t="shared" si="69"/>
        <v>0</v>
      </c>
      <c r="AK50" s="66">
        <f t="shared" si="69"/>
        <v>0</v>
      </c>
      <c r="AL50" s="66">
        <f t="shared" si="69"/>
        <v>0</v>
      </c>
      <c r="AM50" s="66">
        <f t="shared" si="69"/>
        <v>0</v>
      </c>
      <c r="AN50" s="66">
        <f t="shared" si="69"/>
        <v>0</v>
      </c>
      <c r="AO50" s="66">
        <f t="shared" si="69"/>
        <v>0</v>
      </c>
      <c r="AP50" s="66">
        <f t="shared" si="69"/>
        <v>0</v>
      </c>
      <c r="AQ50" s="66">
        <f t="shared" si="69"/>
        <v>0</v>
      </c>
      <c r="AR50" s="66">
        <f t="shared" si="69"/>
        <v>0</v>
      </c>
      <c r="AS50" s="66">
        <f t="shared" si="69"/>
        <v>0</v>
      </c>
      <c r="AT50" s="66">
        <f t="shared" si="69"/>
        <v>0</v>
      </c>
      <c r="AU50" s="66">
        <f t="shared" si="69"/>
        <v>0</v>
      </c>
      <c r="AV50" s="66">
        <f t="shared" si="69"/>
        <v>0</v>
      </c>
      <c r="AW50" s="66">
        <f t="shared" si="69"/>
        <v>0</v>
      </c>
      <c r="AX50" s="66">
        <f t="shared" si="69"/>
        <v>0</v>
      </c>
      <c r="AY50" s="66">
        <f t="shared" si="69"/>
        <v>0</v>
      </c>
      <c r="AZ50" s="66">
        <f t="shared" si="69"/>
        <v>0</v>
      </c>
      <c r="BA50" s="66">
        <f t="shared" si="69"/>
        <v>0</v>
      </c>
      <c r="BB50" s="66">
        <f t="shared" si="69"/>
        <v>0</v>
      </c>
      <c r="BC50" s="66">
        <f t="shared" si="69"/>
        <v>0</v>
      </c>
      <c r="BD50" s="66">
        <f t="shared" si="69"/>
        <v>0</v>
      </c>
      <c r="BE50" s="66">
        <f t="shared" si="69"/>
        <v>0</v>
      </c>
      <c r="BF50" s="66">
        <f t="shared" si="69"/>
        <v>0</v>
      </c>
      <c r="BG50" s="66">
        <f t="shared" si="69"/>
        <v>0</v>
      </c>
      <c r="BH50" s="66">
        <f t="shared" si="69"/>
        <v>0</v>
      </c>
      <c r="BI50" s="66">
        <f t="shared" si="69"/>
        <v>0</v>
      </c>
      <c r="BJ50" s="66">
        <f t="shared" si="69"/>
        <v>0</v>
      </c>
      <c r="BK50" s="66">
        <f t="shared" si="69"/>
        <v>0</v>
      </c>
      <c r="BL50" s="66">
        <f t="shared" si="69"/>
        <v>0</v>
      </c>
      <c r="BM50" s="66">
        <f t="shared" si="69"/>
        <v>0</v>
      </c>
      <c r="BN50" s="66">
        <f t="shared" si="69"/>
        <v>0</v>
      </c>
      <c r="BO50" s="66">
        <f t="shared" si="69"/>
        <v>0</v>
      </c>
      <c r="BP50" s="66">
        <f t="shared" si="69"/>
        <v>0</v>
      </c>
      <c r="BQ50" s="66">
        <f t="shared" si="69"/>
        <v>0</v>
      </c>
      <c r="BR50" s="66">
        <f t="shared" si="69"/>
        <v>0</v>
      </c>
      <c r="BS50" s="66">
        <f t="shared" si="69"/>
        <v>0</v>
      </c>
      <c r="BT50" s="66">
        <f t="shared" si="69"/>
        <v>0</v>
      </c>
      <c r="BU50" s="66">
        <f t="shared" si="69"/>
        <v>0</v>
      </c>
      <c r="BV50" s="66">
        <f t="shared" si="69"/>
        <v>0</v>
      </c>
      <c r="BW50" s="66">
        <f t="shared" si="69"/>
        <v>0</v>
      </c>
      <c r="BX50" s="66">
        <f t="shared" si="69"/>
        <v>0</v>
      </c>
      <c r="BY50" s="66">
        <f t="shared" si="69"/>
        <v>0</v>
      </c>
      <c r="BZ50" s="66">
        <f t="shared" si="69"/>
        <v>0</v>
      </c>
      <c r="CA50" s="66">
        <f t="shared" si="69"/>
        <v>0</v>
      </c>
      <c r="CB50" s="66">
        <f t="shared" si="69"/>
        <v>0</v>
      </c>
      <c r="CC50" s="66">
        <f t="shared" si="69"/>
        <v>0</v>
      </c>
      <c r="CD50" s="66">
        <f t="shared" si="69"/>
        <v>0</v>
      </c>
      <c r="CE50" s="66">
        <f t="shared" si="69"/>
        <v>0</v>
      </c>
      <c r="CF50" s="66">
        <f t="shared" si="69"/>
        <v>0</v>
      </c>
      <c r="CG50" s="66">
        <f t="shared" si="69"/>
        <v>0</v>
      </c>
      <c r="CH50" s="66">
        <f t="shared" si="69"/>
        <v>0</v>
      </c>
      <c r="CI50" s="66">
        <f t="shared" si="69"/>
        <v>0</v>
      </c>
      <c r="CJ50" s="66">
        <f t="shared" si="69"/>
        <v>0</v>
      </c>
      <c r="CK50" s="66">
        <f t="shared" si="69"/>
        <v>0</v>
      </c>
      <c r="CL50" s="66">
        <f t="shared" si="69"/>
        <v>0</v>
      </c>
      <c r="CM50" s="66">
        <f t="shared" si="69"/>
        <v>0</v>
      </c>
      <c r="CN50" s="66">
        <f t="shared" si="69"/>
        <v>0</v>
      </c>
      <c r="CO50" s="66">
        <f t="shared" si="69"/>
        <v>0</v>
      </c>
      <c r="CP50" s="66">
        <f t="shared" si="69"/>
        <v>0</v>
      </c>
      <c r="CQ50" s="66">
        <f t="shared" si="69"/>
        <v>0</v>
      </c>
      <c r="CR50" s="66">
        <f t="shared" si="69"/>
        <v>0</v>
      </c>
      <c r="CS50" s="66">
        <f t="shared" si="69"/>
        <v>0</v>
      </c>
      <c r="CT50" s="66">
        <f t="shared" si="69"/>
        <v>0</v>
      </c>
      <c r="CU50" s="66">
        <f t="shared" si="69"/>
        <v>0</v>
      </c>
      <c r="CV50" s="66">
        <f t="shared" si="69"/>
        <v>0</v>
      </c>
      <c r="CW50" s="66">
        <f t="shared" si="69"/>
        <v>0</v>
      </c>
      <c r="CX50" s="66">
        <f t="shared" si="69"/>
        <v>0</v>
      </c>
      <c r="CY50" s="66">
        <f t="shared" si="69"/>
        <v>0</v>
      </c>
      <c r="CZ50" s="66">
        <f t="shared" si="69"/>
        <v>0</v>
      </c>
      <c r="DA50" s="66">
        <f t="shared" si="69"/>
        <v>0</v>
      </c>
      <c r="DB50" s="66">
        <f t="shared" si="69"/>
        <v>0</v>
      </c>
      <c r="DC50" s="66">
        <f t="shared" si="69"/>
        <v>0</v>
      </c>
      <c r="DD50" s="66">
        <f t="shared" si="69"/>
        <v>0</v>
      </c>
      <c r="DE50" s="66">
        <f t="shared" si="69"/>
        <v>0</v>
      </c>
      <c r="DF50" s="66">
        <f t="shared" si="69"/>
        <v>0</v>
      </c>
      <c r="DG50" s="66">
        <f t="shared" si="69"/>
        <v>0</v>
      </c>
      <c r="DH50" s="66">
        <f t="shared" si="69"/>
        <v>0</v>
      </c>
      <c r="DI50" s="4"/>
      <c r="DJ50" s="68" t="str">
        <f t="shared" ref="DJ50:DN50" si="70">+F50/F$16</f>
        <v>#DIV/0!</v>
      </c>
      <c r="DK50" s="68" t="str">
        <f t="shared" si="70"/>
        <v>#DIV/0!</v>
      </c>
      <c r="DL50" s="68" t="str">
        <f t="shared" si="70"/>
        <v>#DIV/0!</v>
      </c>
      <c r="DM50" s="68" t="str">
        <f t="shared" si="70"/>
        <v>#DIV/0!</v>
      </c>
      <c r="DN50" s="68" t="str">
        <f t="shared" si="70"/>
        <v>#DIV/0!</v>
      </c>
      <c r="DO50" s="68"/>
      <c r="DP50" s="68" t="str">
        <f t="shared" ref="DP50:DQ50" si="71">+L50/L$16</f>
        <v>#DIV/0!</v>
      </c>
      <c r="DQ50" s="68" t="str">
        <f t="shared" si="71"/>
        <v>#DIV/0!</v>
      </c>
      <c r="DR50" s="4"/>
      <c r="DS50" s="4"/>
    </row>
    <row r="51" ht="15.75" customHeight="1">
      <c r="F51" s="69"/>
      <c r="G51" s="69"/>
      <c r="H51" s="69"/>
      <c r="I51" s="50"/>
      <c r="J51" s="69"/>
      <c r="K51" s="69"/>
      <c r="L51" s="69"/>
      <c r="M51" s="69"/>
      <c r="N51" s="69"/>
      <c r="O51" s="69"/>
    </row>
    <row r="52" ht="15.75" customHeight="1">
      <c r="F52" s="50"/>
      <c r="G52" s="50"/>
      <c r="H52" s="50"/>
      <c r="I52" s="50"/>
      <c r="J52" s="50"/>
      <c r="K52" s="50"/>
      <c r="L52" s="50"/>
      <c r="M52" s="50"/>
    </row>
    <row r="53" ht="15.75" customHeight="1">
      <c r="F53" s="50"/>
      <c r="G53" s="50"/>
      <c r="H53" s="50"/>
      <c r="I53" s="50"/>
      <c r="J53" s="50"/>
      <c r="K53" s="50"/>
      <c r="L53" s="50"/>
      <c r="M53" s="50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J7:DQ7"/>
    <mergeCell ref="DJ11:DQ11"/>
    <mergeCell ref="DJ18:DQ18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546A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4.43" defaultRowHeight="15.0" outlineLevelCol="1" outlineLevelRow="1"/>
  <cols>
    <col customWidth="1" min="1" max="1" width="2.57"/>
    <col customWidth="1" min="2" max="2" width="25.57"/>
    <col customWidth="1" min="3" max="3" width="10.57"/>
    <col customWidth="1" min="4" max="4" width="2.57"/>
    <col customWidth="1" min="5" max="13" width="12.57"/>
    <col customWidth="1" min="14" max="14" width="2.57"/>
    <col customWidth="1" hidden="1" min="15" max="122" width="12.57" outlineLevel="1"/>
    <col collapsed="1" customWidth="1" min="123" max="123" width="2.57"/>
    <col customWidth="1" hidden="1" min="124" max="127" width="12.57" outlineLevel="1"/>
    <col collapsed="1" customWidth="1" min="128" max="128" width="2.57"/>
  </cols>
  <sheetData>
    <row r="2">
      <c r="B2" s="31" t="s">
        <v>31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</row>
    <row r="3">
      <c r="B3" s="32" t="str">
        <f t="array" ref="B3">MID(CELL("filename",A1),FIND("]",CELL("filename",A1))+1,255)</f>
        <v>#VALUE!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</row>
    <row r="4">
      <c r="B4" s="32" t="s">
        <v>32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</row>
    <row r="5">
      <c r="B5" s="33" t="s">
        <v>33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</row>
    <row r="6" ht="4.5" customHeight="1"/>
    <row r="7">
      <c r="B7" s="34"/>
      <c r="C7" s="34"/>
      <c r="D7" s="70"/>
      <c r="E7" s="36">
        <v>2018.0</v>
      </c>
      <c r="F7" s="36">
        <f t="shared" ref="F7:M7" si="1">+E7+1</f>
        <v>2019</v>
      </c>
      <c r="G7" s="36">
        <f t="shared" si="1"/>
        <v>2020</v>
      </c>
      <c r="H7" s="36">
        <f t="shared" si="1"/>
        <v>2021</v>
      </c>
      <c r="I7" s="36">
        <f t="shared" si="1"/>
        <v>2022</v>
      </c>
      <c r="J7" s="36">
        <f t="shared" si="1"/>
        <v>2023</v>
      </c>
      <c r="K7" s="36">
        <f t="shared" si="1"/>
        <v>2024</v>
      </c>
      <c r="L7" s="36">
        <f t="shared" si="1"/>
        <v>2025</v>
      </c>
      <c r="M7" s="36">
        <f t="shared" si="1"/>
        <v>2026</v>
      </c>
      <c r="O7" s="36">
        <f t="shared" ref="O7:DR7" si="2">+YEAR(O8)</f>
        <v>2018</v>
      </c>
      <c r="P7" s="36">
        <f t="shared" si="2"/>
        <v>2018</v>
      </c>
      <c r="Q7" s="36">
        <f t="shared" si="2"/>
        <v>2018</v>
      </c>
      <c r="R7" s="36">
        <f t="shared" si="2"/>
        <v>2018</v>
      </c>
      <c r="S7" s="36">
        <f t="shared" si="2"/>
        <v>2018</v>
      </c>
      <c r="T7" s="36">
        <f t="shared" si="2"/>
        <v>2018</v>
      </c>
      <c r="U7" s="36">
        <f t="shared" si="2"/>
        <v>2018</v>
      </c>
      <c r="V7" s="36">
        <f t="shared" si="2"/>
        <v>2018</v>
      </c>
      <c r="W7" s="36">
        <f t="shared" si="2"/>
        <v>2018</v>
      </c>
      <c r="X7" s="36">
        <f t="shared" si="2"/>
        <v>2018</v>
      </c>
      <c r="Y7" s="36">
        <f t="shared" si="2"/>
        <v>2018</v>
      </c>
      <c r="Z7" s="36">
        <f t="shared" si="2"/>
        <v>2018</v>
      </c>
      <c r="AA7" s="36">
        <f t="shared" si="2"/>
        <v>2019</v>
      </c>
      <c r="AB7" s="36">
        <f t="shared" si="2"/>
        <v>2019</v>
      </c>
      <c r="AC7" s="36">
        <f t="shared" si="2"/>
        <v>2019</v>
      </c>
      <c r="AD7" s="36">
        <f t="shared" si="2"/>
        <v>2019</v>
      </c>
      <c r="AE7" s="36">
        <f t="shared" si="2"/>
        <v>2019</v>
      </c>
      <c r="AF7" s="36">
        <f t="shared" si="2"/>
        <v>2019</v>
      </c>
      <c r="AG7" s="36">
        <f t="shared" si="2"/>
        <v>2019</v>
      </c>
      <c r="AH7" s="36">
        <f t="shared" si="2"/>
        <v>2019</v>
      </c>
      <c r="AI7" s="36">
        <f t="shared" si="2"/>
        <v>2019</v>
      </c>
      <c r="AJ7" s="36">
        <f t="shared" si="2"/>
        <v>2019</v>
      </c>
      <c r="AK7" s="36">
        <f t="shared" si="2"/>
        <v>2019</v>
      </c>
      <c r="AL7" s="36">
        <f t="shared" si="2"/>
        <v>2019</v>
      </c>
      <c r="AM7" s="36">
        <f t="shared" si="2"/>
        <v>2020</v>
      </c>
      <c r="AN7" s="36">
        <f t="shared" si="2"/>
        <v>2020</v>
      </c>
      <c r="AO7" s="36">
        <f t="shared" si="2"/>
        <v>2020</v>
      </c>
      <c r="AP7" s="36">
        <f t="shared" si="2"/>
        <v>2020</v>
      </c>
      <c r="AQ7" s="36">
        <f t="shared" si="2"/>
        <v>2020</v>
      </c>
      <c r="AR7" s="36">
        <f t="shared" si="2"/>
        <v>2020</v>
      </c>
      <c r="AS7" s="36">
        <f t="shared" si="2"/>
        <v>2020</v>
      </c>
      <c r="AT7" s="36">
        <f t="shared" si="2"/>
        <v>2020</v>
      </c>
      <c r="AU7" s="36">
        <f t="shared" si="2"/>
        <v>2020</v>
      </c>
      <c r="AV7" s="36">
        <f t="shared" si="2"/>
        <v>2020</v>
      </c>
      <c r="AW7" s="36">
        <f t="shared" si="2"/>
        <v>2020</v>
      </c>
      <c r="AX7" s="36">
        <f t="shared" si="2"/>
        <v>2020</v>
      </c>
      <c r="AY7" s="36">
        <f t="shared" si="2"/>
        <v>2021</v>
      </c>
      <c r="AZ7" s="36">
        <f t="shared" si="2"/>
        <v>2021</v>
      </c>
      <c r="BA7" s="36">
        <f t="shared" si="2"/>
        <v>2021</v>
      </c>
      <c r="BB7" s="36">
        <f t="shared" si="2"/>
        <v>2021</v>
      </c>
      <c r="BC7" s="36">
        <f t="shared" si="2"/>
        <v>2021</v>
      </c>
      <c r="BD7" s="36">
        <f t="shared" si="2"/>
        <v>2021</v>
      </c>
      <c r="BE7" s="36">
        <f t="shared" si="2"/>
        <v>2021</v>
      </c>
      <c r="BF7" s="36">
        <f t="shared" si="2"/>
        <v>2021</v>
      </c>
      <c r="BG7" s="36">
        <f t="shared" si="2"/>
        <v>2021</v>
      </c>
      <c r="BH7" s="36">
        <f t="shared" si="2"/>
        <v>2021</v>
      </c>
      <c r="BI7" s="36">
        <f t="shared" si="2"/>
        <v>2021</v>
      </c>
      <c r="BJ7" s="36">
        <f t="shared" si="2"/>
        <v>2021</v>
      </c>
      <c r="BK7" s="36">
        <f t="shared" si="2"/>
        <v>2022</v>
      </c>
      <c r="BL7" s="36">
        <f t="shared" si="2"/>
        <v>2022</v>
      </c>
      <c r="BM7" s="36">
        <f t="shared" si="2"/>
        <v>2022</v>
      </c>
      <c r="BN7" s="36">
        <f t="shared" si="2"/>
        <v>2022</v>
      </c>
      <c r="BO7" s="36">
        <f t="shared" si="2"/>
        <v>2022</v>
      </c>
      <c r="BP7" s="36">
        <f t="shared" si="2"/>
        <v>2022</v>
      </c>
      <c r="BQ7" s="36">
        <f t="shared" si="2"/>
        <v>2022</v>
      </c>
      <c r="BR7" s="36">
        <f t="shared" si="2"/>
        <v>2022</v>
      </c>
      <c r="BS7" s="36">
        <f t="shared" si="2"/>
        <v>2022</v>
      </c>
      <c r="BT7" s="36">
        <f t="shared" si="2"/>
        <v>2022</v>
      </c>
      <c r="BU7" s="36">
        <f t="shared" si="2"/>
        <v>2022</v>
      </c>
      <c r="BV7" s="36">
        <f t="shared" si="2"/>
        <v>2022</v>
      </c>
      <c r="BW7" s="36">
        <f t="shared" si="2"/>
        <v>2023</v>
      </c>
      <c r="BX7" s="36">
        <f t="shared" si="2"/>
        <v>2023</v>
      </c>
      <c r="BY7" s="36">
        <f t="shared" si="2"/>
        <v>2023</v>
      </c>
      <c r="BZ7" s="36">
        <f t="shared" si="2"/>
        <v>2023</v>
      </c>
      <c r="CA7" s="36">
        <f t="shared" si="2"/>
        <v>2023</v>
      </c>
      <c r="CB7" s="36">
        <f t="shared" si="2"/>
        <v>2023</v>
      </c>
      <c r="CC7" s="36">
        <f t="shared" si="2"/>
        <v>2023</v>
      </c>
      <c r="CD7" s="36">
        <f t="shared" si="2"/>
        <v>2023</v>
      </c>
      <c r="CE7" s="36">
        <f t="shared" si="2"/>
        <v>2023</v>
      </c>
      <c r="CF7" s="36">
        <f t="shared" si="2"/>
        <v>2023</v>
      </c>
      <c r="CG7" s="36">
        <f t="shared" si="2"/>
        <v>2023</v>
      </c>
      <c r="CH7" s="36">
        <f t="shared" si="2"/>
        <v>2023</v>
      </c>
      <c r="CI7" s="36">
        <f t="shared" si="2"/>
        <v>2024</v>
      </c>
      <c r="CJ7" s="36">
        <f t="shared" si="2"/>
        <v>2024</v>
      </c>
      <c r="CK7" s="36">
        <f t="shared" si="2"/>
        <v>2024</v>
      </c>
      <c r="CL7" s="36">
        <f t="shared" si="2"/>
        <v>2024</v>
      </c>
      <c r="CM7" s="36">
        <f t="shared" si="2"/>
        <v>2024</v>
      </c>
      <c r="CN7" s="36">
        <f t="shared" si="2"/>
        <v>2024</v>
      </c>
      <c r="CO7" s="36">
        <f t="shared" si="2"/>
        <v>2024</v>
      </c>
      <c r="CP7" s="36">
        <f t="shared" si="2"/>
        <v>2024</v>
      </c>
      <c r="CQ7" s="36">
        <f t="shared" si="2"/>
        <v>2024</v>
      </c>
      <c r="CR7" s="36">
        <f t="shared" si="2"/>
        <v>2024</v>
      </c>
      <c r="CS7" s="36">
        <f t="shared" si="2"/>
        <v>2024</v>
      </c>
      <c r="CT7" s="36">
        <f t="shared" si="2"/>
        <v>2024</v>
      </c>
      <c r="CU7" s="36">
        <f t="shared" si="2"/>
        <v>2025</v>
      </c>
      <c r="CV7" s="36">
        <f t="shared" si="2"/>
        <v>2025</v>
      </c>
      <c r="CW7" s="36">
        <f t="shared" si="2"/>
        <v>2025</v>
      </c>
      <c r="CX7" s="36">
        <f t="shared" si="2"/>
        <v>2025</v>
      </c>
      <c r="CY7" s="36">
        <f t="shared" si="2"/>
        <v>2025</v>
      </c>
      <c r="CZ7" s="36">
        <f t="shared" si="2"/>
        <v>2025</v>
      </c>
      <c r="DA7" s="36">
        <f t="shared" si="2"/>
        <v>2025</v>
      </c>
      <c r="DB7" s="36">
        <f t="shared" si="2"/>
        <v>2025</v>
      </c>
      <c r="DC7" s="36">
        <f t="shared" si="2"/>
        <v>2025</v>
      </c>
      <c r="DD7" s="36">
        <f t="shared" si="2"/>
        <v>2025</v>
      </c>
      <c r="DE7" s="36">
        <f t="shared" si="2"/>
        <v>2025</v>
      </c>
      <c r="DF7" s="36">
        <f t="shared" si="2"/>
        <v>2025</v>
      </c>
      <c r="DG7" s="36">
        <f t="shared" si="2"/>
        <v>2026</v>
      </c>
      <c r="DH7" s="36">
        <f t="shared" si="2"/>
        <v>2026</v>
      </c>
      <c r="DI7" s="36">
        <f t="shared" si="2"/>
        <v>2026</v>
      </c>
      <c r="DJ7" s="36">
        <f t="shared" si="2"/>
        <v>2026</v>
      </c>
      <c r="DK7" s="36">
        <f t="shared" si="2"/>
        <v>2026</v>
      </c>
      <c r="DL7" s="36">
        <f t="shared" si="2"/>
        <v>2026</v>
      </c>
      <c r="DM7" s="36">
        <f t="shared" si="2"/>
        <v>2026</v>
      </c>
      <c r="DN7" s="36">
        <f t="shared" si="2"/>
        <v>2026</v>
      </c>
      <c r="DO7" s="36">
        <f t="shared" si="2"/>
        <v>2026</v>
      </c>
      <c r="DP7" s="36">
        <f t="shared" si="2"/>
        <v>2026</v>
      </c>
      <c r="DQ7" s="36">
        <f t="shared" si="2"/>
        <v>2026</v>
      </c>
      <c r="DR7" s="36">
        <f t="shared" si="2"/>
        <v>2026</v>
      </c>
    </row>
    <row r="8">
      <c r="B8" s="34"/>
      <c r="C8" s="34"/>
      <c r="D8" s="70"/>
      <c r="E8" s="42">
        <f t="shared" ref="E8:M8" si="3">+DATE(E7,12,31)</f>
        <v>43465</v>
      </c>
      <c r="F8" s="42">
        <f t="shared" si="3"/>
        <v>43830</v>
      </c>
      <c r="G8" s="42">
        <f t="shared" si="3"/>
        <v>44196</v>
      </c>
      <c r="H8" s="42">
        <f t="shared" si="3"/>
        <v>44561</v>
      </c>
      <c r="I8" s="42">
        <f t="shared" si="3"/>
        <v>44926</v>
      </c>
      <c r="J8" s="42">
        <f t="shared" si="3"/>
        <v>45291</v>
      </c>
      <c r="K8" s="42">
        <f t="shared" si="3"/>
        <v>45657</v>
      </c>
      <c r="L8" s="42">
        <f t="shared" si="3"/>
        <v>46022</v>
      </c>
      <c r="M8" s="42">
        <f t="shared" si="3"/>
        <v>46387</v>
      </c>
      <c r="O8" s="42">
        <v>43131.0</v>
      </c>
      <c r="P8" s="42">
        <f t="shared" ref="P8:DR8" si="4">+EOMONTH(O8,1)</f>
        <v>43159</v>
      </c>
      <c r="Q8" s="42">
        <f t="shared" si="4"/>
        <v>43190</v>
      </c>
      <c r="R8" s="42">
        <f t="shared" si="4"/>
        <v>43220</v>
      </c>
      <c r="S8" s="42">
        <f t="shared" si="4"/>
        <v>43251</v>
      </c>
      <c r="T8" s="42">
        <f t="shared" si="4"/>
        <v>43281</v>
      </c>
      <c r="U8" s="42">
        <f t="shared" si="4"/>
        <v>43312</v>
      </c>
      <c r="V8" s="42">
        <f t="shared" si="4"/>
        <v>43343</v>
      </c>
      <c r="W8" s="42">
        <f t="shared" si="4"/>
        <v>43373</v>
      </c>
      <c r="X8" s="42">
        <f t="shared" si="4"/>
        <v>43404</v>
      </c>
      <c r="Y8" s="42">
        <f t="shared" si="4"/>
        <v>43434</v>
      </c>
      <c r="Z8" s="42">
        <f t="shared" si="4"/>
        <v>43465</v>
      </c>
      <c r="AA8" s="42">
        <f t="shared" si="4"/>
        <v>43496</v>
      </c>
      <c r="AB8" s="42">
        <f t="shared" si="4"/>
        <v>43524</v>
      </c>
      <c r="AC8" s="42">
        <f t="shared" si="4"/>
        <v>43555</v>
      </c>
      <c r="AD8" s="42">
        <f t="shared" si="4"/>
        <v>43585</v>
      </c>
      <c r="AE8" s="42">
        <f t="shared" si="4"/>
        <v>43616</v>
      </c>
      <c r="AF8" s="42">
        <f t="shared" si="4"/>
        <v>43646</v>
      </c>
      <c r="AG8" s="42">
        <f t="shared" si="4"/>
        <v>43677</v>
      </c>
      <c r="AH8" s="42">
        <f t="shared" si="4"/>
        <v>43708</v>
      </c>
      <c r="AI8" s="42">
        <f t="shared" si="4"/>
        <v>43738</v>
      </c>
      <c r="AJ8" s="42">
        <f t="shared" si="4"/>
        <v>43769</v>
      </c>
      <c r="AK8" s="42">
        <f t="shared" si="4"/>
        <v>43799</v>
      </c>
      <c r="AL8" s="42">
        <f t="shared" si="4"/>
        <v>43830</v>
      </c>
      <c r="AM8" s="42">
        <f t="shared" si="4"/>
        <v>43861</v>
      </c>
      <c r="AN8" s="42">
        <f t="shared" si="4"/>
        <v>43890</v>
      </c>
      <c r="AO8" s="42">
        <f t="shared" si="4"/>
        <v>43921</v>
      </c>
      <c r="AP8" s="42">
        <f t="shared" si="4"/>
        <v>43951</v>
      </c>
      <c r="AQ8" s="42">
        <f t="shared" si="4"/>
        <v>43982</v>
      </c>
      <c r="AR8" s="42">
        <f t="shared" si="4"/>
        <v>44012</v>
      </c>
      <c r="AS8" s="42">
        <f t="shared" si="4"/>
        <v>44043</v>
      </c>
      <c r="AT8" s="42">
        <f t="shared" si="4"/>
        <v>44074</v>
      </c>
      <c r="AU8" s="42">
        <f t="shared" si="4"/>
        <v>44104</v>
      </c>
      <c r="AV8" s="42">
        <f t="shared" si="4"/>
        <v>44135</v>
      </c>
      <c r="AW8" s="42">
        <f t="shared" si="4"/>
        <v>44165</v>
      </c>
      <c r="AX8" s="42">
        <f t="shared" si="4"/>
        <v>44196</v>
      </c>
      <c r="AY8" s="42">
        <f t="shared" si="4"/>
        <v>44227</v>
      </c>
      <c r="AZ8" s="42">
        <f t="shared" si="4"/>
        <v>44255</v>
      </c>
      <c r="BA8" s="42">
        <f t="shared" si="4"/>
        <v>44286</v>
      </c>
      <c r="BB8" s="42">
        <f t="shared" si="4"/>
        <v>44316</v>
      </c>
      <c r="BC8" s="42">
        <f t="shared" si="4"/>
        <v>44347</v>
      </c>
      <c r="BD8" s="42">
        <f t="shared" si="4"/>
        <v>44377</v>
      </c>
      <c r="BE8" s="42">
        <f t="shared" si="4"/>
        <v>44408</v>
      </c>
      <c r="BF8" s="42">
        <f t="shared" si="4"/>
        <v>44439</v>
      </c>
      <c r="BG8" s="42">
        <f t="shared" si="4"/>
        <v>44469</v>
      </c>
      <c r="BH8" s="42">
        <f t="shared" si="4"/>
        <v>44500</v>
      </c>
      <c r="BI8" s="42">
        <f t="shared" si="4"/>
        <v>44530</v>
      </c>
      <c r="BJ8" s="42">
        <f t="shared" si="4"/>
        <v>44561</v>
      </c>
      <c r="BK8" s="42">
        <f t="shared" si="4"/>
        <v>44592</v>
      </c>
      <c r="BL8" s="42">
        <f t="shared" si="4"/>
        <v>44620</v>
      </c>
      <c r="BM8" s="42">
        <f t="shared" si="4"/>
        <v>44651</v>
      </c>
      <c r="BN8" s="42">
        <f t="shared" si="4"/>
        <v>44681</v>
      </c>
      <c r="BO8" s="42">
        <f t="shared" si="4"/>
        <v>44712</v>
      </c>
      <c r="BP8" s="42">
        <f t="shared" si="4"/>
        <v>44742</v>
      </c>
      <c r="BQ8" s="42">
        <f t="shared" si="4"/>
        <v>44773</v>
      </c>
      <c r="BR8" s="42">
        <f t="shared" si="4"/>
        <v>44804</v>
      </c>
      <c r="BS8" s="42">
        <f t="shared" si="4"/>
        <v>44834</v>
      </c>
      <c r="BT8" s="42">
        <f t="shared" si="4"/>
        <v>44865</v>
      </c>
      <c r="BU8" s="42">
        <f t="shared" si="4"/>
        <v>44895</v>
      </c>
      <c r="BV8" s="42">
        <f t="shared" si="4"/>
        <v>44926</v>
      </c>
      <c r="BW8" s="42">
        <f t="shared" si="4"/>
        <v>44957</v>
      </c>
      <c r="BX8" s="42">
        <f t="shared" si="4"/>
        <v>44985</v>
      </c>
      <c r="BY8" s="42">
        <f t="shared" si="4"/>
        <v>45016</v>
      </c>
      <c r="BZ8" s="42">
        <f t="shared" si="4"/>
        <v>45046</v>
      </c>
      <c r="CA8" s="42">
        <f t="shared" si="4"/>
        <v>45077</v>
      </c>
      <c r="CB8" s="42">
        <f t="shared" si="4"/>
        <v>45107</v>
      </c>
      <c r="CC8" s="42">
        <f t="shared" si="4"/>
        <v>45138</v>
      </c>
      <c r="CD8" s="42">
        <f t="shared" si="4"/>
        <v>45169</v>
      </c>
      <c r="CE8" s="42">
        <f t="shared" si="4"/>
        <v>45199</v>
      </c>
      <c r="CF8" s="42">
        <f t="shared" si="4"/>
        <v>45230</v>
      </c>
      <c r="CG8" s="42">
        <f t="shared" si="4"/>
        <v>45260</v>
      </c>
      <c r="CH8" s="42">
        <f t="shared" si="4"/>
        <v>45291</v>
      </c>
      <c r="CI8" s="42">
        <f t="shared" si="4"/>
        <v>45322</v>
      </c>
      <c r="CJ8" s="42">
        <f t="shared" si="4"/>
        <v>45351</v>
      </c>
      <c r="CK8" s="42">
        <f t="shared" si="4"/>
        <v>45382</v>
      </c>
      <c r="CL8" s="42">
        <f t="shared" si="4"/>
        <v>45412</v>
      </c>
      <c r="CM8" s="42">
        <f t="shared" si="4"/>
        <v>45443</v>
      </c>
      <c r="CN8" s="42">
        <f t="shared" si="4"/>
        <v>45473</v>
      </c>
      <c r="CO8" s="42">
        <f t="shared" si="4"/>
        <v>45504</v>
      </c>
      <c r="CP8" s="42">
        <f t="shared" si="4"/>
        <v>45535</v>
      </c>
      <c r="CQ8" s="42">
        <f t="shared" si="4"/>
        <v>45565</v>
      </c>
      <c r="CR8" s="42">
        <f t="shared" si="4"/>
        <v>45596</v>
      </c>
      <c r="CS8" s="42">
        <f t="shared" si="4"/>
        <v>45626</v>
      </c>
      <c r="CT8" s="42">
        <f t="shared" si="4"/>
        <v>45657</v>
      </c>
      <c r="CU8" s="42">
        <f t="shared" si="4"/>
        <v>45688</v>
      </c>
      <c r="CV8" s="42">
        <f t="shared" si="4"/>
        <v>45716</v>
      </c>
      <c r="CW8" s="42">
        <f t="shared" si="4"/>
        <v>45747</v>
      </c>
      <c r="CX8" s="42">
        <f t="shared" si="4"/>
        <v>45777</v>
      </c>
      <c r="CY8" s="42">
        <f t="shared" si="4"/>
        <v>45808</v>
      </c>
      <c r="CZ8" s="42">
        <f t="shared" si="4"/>
        <v>45838</v>
      </c>
      <c r="DA8" s="42">
        <f t="shared" si="4"/>
        <v>45869</v>
      </c>
      <c r="DB8" s="42">
        <f t="shared" si="4"/>
        <v>45900</v>
      </c>
      <c r="DC8" s="42">
        <f t="shared" si="4"/>
        <v>45930</v>
      </c>
      <c r="DD8" s="42">
        <f t="shared" si="4"/>
        <v>45961</v>
      </c>
      <c r="DE8" s="42">
        <f t="shared" si="4"/>
        <v>45991</v>
      </c>
      <c r="DF8" s="42">
        <f t="shared" si="4"/>
        <v>46022</v>
      </c>
      <c r="DG8" s="42">
        <f t="shared" si="4"/>
        <v>46053</v>
      </c>
      <c r="DH8" s="42">
        <f t="shared" si="4"/>
        <v>46081</v>
      </c>
      <c r="DI8" s="42">
        <f t="shared" si="4"/>
        <v>46112</v>
      </c>
      <c r="DJ8" s="42">
        <f t="shared" si="4"/>
        <v>46142</v>
      </c>
      <c r="DK8" s="42">
        <f t="shared" si="4"/>
        <v>46173</v>
      </c>
      <c r="DL8" s="42">
        <f t="shared" si="4"/>
        <v>46203</v>
      </c>
      <c r="DM8" s="42">
        <f t="shared" si="4"/>
        <v>46234</v>
      </c>
      <c r="DN8" s="42">
        <f t="shared" si="4"/>
        <v>46265</v>
      </c>
      <c r="DO8" s="42">
        <f t="shared" si="4"/>
        <v>46295</v>
      </c>
      <c r="DP8" s="42">
        <f t="shared" si="4"/>
        <v>46326</v>
      </c>
      <c r="DQ8" s="42">
        <f t="shared" si="4"/>
        <v>46356</v>
      </c>
      <c r="DR8" s="42">
        <f t="shared" si="4"/>
        <v>46387</v>
      </c>
      <c r="DT8" s="38" t="s">
        <v>68</v>
      </c>
      <c r="DU8" s="39"/>
      <c r="DV8" s="39"/>
      <c r="DW8" s="40"/>
    </row>
    <row r="9">
      <c r="B9" s="34" t="s">
        <v>35</v>
      </c>
      <c r="C9" s="34"/>
      <c r="D9" s="70"/>
      <c r="E9" s="45" t="s">
        <v>36</v>
      </c>
      <c r="F9" s="45" t="s">
        <v>36</v>
      </c>
      <c r="G9" s="45" t="s">
        <v>36</v>
      </c>
      <c r="H9" s="45" t="s">
        <v>36</v>
      </c>
      <c r="I9" s="45" t="s">
        <v>37</v>
      </c>
      <c r="J9" s="45" t="s">
        <v>38</v>
      </c>
      <c r="K9" s="45" t="s">
        <v>38</v>
      </c>
      <c r="L9" s="45" t="s">
        <v>38</v>
      </c>
      <c r="M9" s="45" t="s">
        <v>38</v>
      </c>
      <c r="O9" s="45" t="s">
        <v>36</v>
      </c>
      <c r="P9" s="45" t="s">
        <v>36</v>
      </c>
      <c r="Q9" s="45" t="s">
        <v>36</v>
      </c>
      <c r="R9" s="45" t="s">
        <v>36</v>
      </c>
      <c r="S9" s="45" t="s">
        <v>36</v>
      </c>
      <c r="T9" s="45" t="s">
        <v>36</v>
      </c>
      <c r="U9" s="45" t="s">
        <v>36</v>
      </c>
      <c r="V9" s="45" t="s">
        <v>36</v>
      </c>
      <c r="W9" s="45" t="s">
        <v>36</v>
      </c>
      <c r="X9" s="45" t="s">
        <v>36</v>
      </c>
      <c r="Y9" s="45" t="s">
        <v>36</v>
      </c>
      <c r="Z9" s="45" t="s">
        <v>36</v>
      </c>
      <c r="AA9" s="45" t="s">
        <v>36</v>
      </c>
      <c r="AB9" s="45" t="s">
        <v>36</v>
      </c>
      <c r="AC9" s="45" t="s">
        <v>36</v>
      </c>
      <c r="AD9" s="45" t="s">
        <v>36</v>
      </c>
      <c r="AE9" s="45" t="s">
        <v>36</v>
      </c>
      <c r="AF9" s="45" t="s">
        <v>36</v>
      </c>
      <c r="AG9" s="45" t="s">
        <v>36</v>
      </c>
      <c r="AH9" s="45" t="s">
        <v>36</v>
      </c>
      <c r="AI9" s="45" t="s">
        <v>36</v>
      </c>
      <c r="AJ9" s="45" t="s">
        <v>36</v>
      </c>
      <c r="AK9" s="45" t="s">
        <v>36</v>
      </c>
      <c r="AL9" s="45" t="s">
        <v>36</v>
      </c>
      <c r="AM9" s="45" t="s">
        <v>36</v>
      </c>
      <c r="AN9" s="45" t="s">
        <v>36</v>
      </c>
      <c r="AO9" s="45" t="s">
        <v>36</v>
      </c>
      <c r="AP9" s="45" t="s">
        <v>36</v>
      </c>
      <c r="AQ9" s="45" t="s">
        <v>36</v>
      </c>
      <c r="AR9" s="45" t="s">
        <v>36</v>
      </c>
      <c r="AS9" s="45" t="s">
        <v>36</v>
      </c>
      <c r="AT9" s="45" t="s">
        <v>36</v>
      </c>
      <c r="AU9" s="45" t="s">
        <v>36</v>
      </c>
      <c r="AV9" s="45" t="s">
        <v>36</v>
      </c>
      <c r="AW9" s="45" t="s">
        <v>36</v>
      </c>
      <c r="AX9" s="45" t="s">
        <v>36</v>
      </c>
      <c r="AY9" s="45" t="s">
        <v>36</v>
      </c>
      <c r="AZ9" s="45" t="s">
        <v>36</v>
      </c>
      <c r="BA9" s="45" t="s">
        <v>36</v>
      </c>
      <c r="BB9" s="45" t="s">
        <v>36</v>
      </c>
      <c r="BC9" s="45" t="s">
        <v>36</v>
      </c>
      <c r="BD9" s="45" t="s">
        <v>36</v>
      </c>
      <c r="BE9" s="45" t="s">
        <v>36</v>
      </c>
      <c r="BF9" s="45" t="s">
        <v>36</v>
      </c>
      <c r="BG9" s="45" t="s">
        <v>36</v>
      </c>
      <c r="BH9" s="45" t="s">
        <v>36</v>
      </c>
      <c r="BI9" s="45" t="s">
        <v>36</v>
      </c>
      <c r="BJ9" s="45" t="s">
        <v>36</v>
      </c>
      <c r="BK9" s="45" t="s">
        <v>36</v>
      </c>
      <c r="BL9" s="45" t="s">
        <v>36</v>
      </c>
      <c r="BM9" s="45" t="s">
        <v>36</v>
      </c>
      <c r="BN9" s="45" t="s">
        <v>38</v>
      </c>
      <c r="BO9" s="45" t="s">
        <v>38</v>
      </c>
      <c r="BP9" s="45" t="s">
        <v>38</v>
      </c>
      <c r="BQ9" s="45" t="s">
        <v>38</v>
      </c>
      <c r="BR9" s="45" t="s">
        <v>38</v>
      </c>
      <c r="BS9" s="45" t="s">
        <v>38</v>
      </c>
      <c r="BT9" s="45" t="s">
        <v>38</v>
      </c>
      <c r="BU9" s="45" t="s">
        <v>38</v>
      </c>
      <c r="BV9" s="45" t="s">
        <v>38</v>
      </c>
      <c r="BW9" s="45" t="s">
        <v>38</v>
      </c>
      <c r="BX9" s="45" t="s">
        <v>38</v>
      </c>
      <c r="BY9" s="45" t="s">
        <v>38</v>
      </c>
      <c r="BZ9" s="45" t="s">
        <v>38</v>
      </c>
      <c r="CA9" s="45" t="s">
        <v>38</v>
      </c>
      <c r="CB9" s="45" t="s">
        <v>38</v>
      </c>
      <c r="CC9" s="45" t="s">
        <v>38</v>
      </c>
      <c r="CD9" s="45" t="s">
        <v>38</v>
      </c>
      <c r="CE9" s="45" t="s">
        <v>38</v>
      </c>
      <c r="CF9" s="45" t="s">
        <v>38</v>
      </c>
      <c r="CG9" s="45" t="s">
        <v>38</v>
      </c>
      <c r="CH9" s="45" t="s">
        <v>38</v>
      </c>
      <c r="CI9" s="45" t="s">
        <v>38</v>
      </c>
      <c r="CJ9" s="45" t="s">
        <v>38</v>
      </c>
      <c r="CK9" s="45" t="s">
        <v>38</v>
      </c>
      <c r="CL9" s="45" t="s">
        <v>38</v>
      </c>
      <c r="CM9" s="45" t="s">
        <v>38</v>
      </c>
      <c r="CN9" s="45" t="s">
        <v>38</v>
      </c>
      <c r="CO9" s="45" t="s">
        <v>38</v>
      </c>
      <c r="CP9" s="45" t="s">
        <v>38</v>
      </c>
      <c r="CQ9" s="45" t="s">
        <v>38</v>
      </c>
      <c r="CR9" s="45" t="s">
        <v>38</v>
      </c>
      <c r="CS9" s="45" t="s">
        <v>38</v>
      </c>
      <c r="CT9" s="45" t="s">
        <v>38</v>
      </c>
      <c r="CU9" s="45" t="s">
        <v>38</v>
      </c>
      <c r="CV9" s="45" t="s">
        <v>38</v>
      </c>
      <c r="CW9" s="45" t="s">
        <v>38</v>
      </c>
      <c r="CX9" s="45" t="s">
        <v>38</v>
      </c>
      <c r="CY9" s="45" t="s">
        <v>38</v>
      </c>
      <c r="CZ9" s="45" t="s">
        <v>38</v>
      </c>
      <c r="DA9" s="45" t="s">
        <v>38</v>
      </c>
      <c r="DB9" s="45" t="s">
        <v>38</v>
      </c>
      <c r="DC9" s="45" t="s">
        <v>38</v>
      </c>
      <c r="DD9" s="45" t="s">
        <v>38</v>
      </c>
      <c r="DE9" s="45" t="s">
        <v>38</v>
      </c>
      <c r="DF9" s="45" t="s">
        <v>38</v>
      </c>
      <c r="DG9" s="45" t="s">
        <v>38</v>
      </c>
      <c r="DH9" s="45" t="s">
        <v>38</v>
      </c>
      <c r="DI9" s="45" t="s">
        <v>38</v>
      </c>
      <c r="DJ9" s="45" t="s">
        <v>38</v>
      </c>
      <c r="DK9" s="45" t="s">
        <v>38</v>
      </c>
      <c r="DL9" s="45" t="s">
        <v>38</v>
      </c>
      <c r="DM9" s="45" t="s">
        <v>38</v>
      </c>
      <c r="DN9" s="45" t="s">
        <v>38</v>
      </c>
      <c r="DO9" s="45" t="s">
        <v>38</v>
      </c>
      <c r="DP9" s="45" t="s">
        <v>38</v>
      </c>
      <c r="DQ9" s="45" t="s">
        <v>38</v>
      </c>
      <c r="DR9" s="45" t="s">
        <v>38</v>
      </c>
      <c r="DT9" s="36">
        <v>2019.0</v>
      </c>
      <c r="DU9" s="36">
        <v>2020.0</v>
      </c>
      <c r="DV9" s="36">
        <v>2021.0</v>
      </c>
      <c r="DW9" s="36">
        <v>2022.0</v>
      </c>
    </row>
    <row r="10" ht="4.5" customHeight="1"/>
    <row r="11">
      <c r="B11" s="71" t="s">
        <v>42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1"/>
      <c r="DA11" s="71"/>
      <c r="DB11" s="71"/>
      <c r="DC11" s="71"/>
      <c r="DD11" s="71"/>
      <c r="DE11" s="71"/>
      <c r="DF11" s="71"/>
      <c r="DG11" s="71"/>
      <c r="DH11" s="71"/>
      <c r="DI11" s="71"/>
      <c r="DJ11" s="71"/>
      <c r="DK11" s="71"/>
      <c r="DL11" s="71"/>
      <c r="DM11" s="71"/>
      <c r="DN11" s="71"/>
      <c r="DO11" s="71"/>
      <c r="DP11" s="71"/>
      <c r="DQ11" s="71"/>
      <c r="DR11" s="71"/>
      <c r="DS11" s="71"/>
      <c r="DT11" s="71"/>
      <c r="DU11" s="71"/>
      <c r="DV11" s="71"/>
      <c r="DW11" s="71"/>
      <c r="DX11" s="71"/>
    </row>
    <row r="12" ht="4.5" customHeight="1"/>
    <row r="13" hidden="1" outlineLevel="1">
      <c r="B13" s="5" t="s">
        <v>69</v>
      </c>
      <c r="C13" s="72" t="s">
        <v>70</v>
      </c>
      <c r="E13" s="50">
        <f t="shared" ref="E13:M13" si="5">+SUMIFS($O13:$DR13,$O$7:$DR$7,E$7)</f>
        <v>0</v>
      </c>
      <c r="F13" s="50">
        <f t="shared" si="5"/>
        <v>13.416</v>
      </c>
      <c r="G13" s="50">
        <f t="shared" si="5"/>
        <v>113.936</v>
      </c>
      <c r="H13" s="50">
        <f t="shared" si="5"/>
        <v>118.746125</v>
      </c>
      <c r="I13" s="50">
        <f t="shared" si="5"/>
        <v>122.3085088</v>
      </c>
      <c r="J13" s="50">
        <f t="shared" si="5"/>
        <v>125.977764</v>
      </c>
      <c r="K13" s="50">
        <f t="shared" si="5"/>
        <v>118.6473871</v>
      </c>
      <c r="L13" s="50">
        <f t="shared" si="5"/>
        <v>0</v>
      </c>
      <c r="M13" s="50">
        <f t="shared" si="5"/>
        <v>0</v>
      </c>
      <c r="O13" s="51">
        <v>0.0</v>
      </c>
      <c r="P13" s="51">
        <v>0.0</v>
      </c>
      <c r="Q13" s="51">
        <v>0.0</v>
      </c>
      <c r="R13" s="51">
        <v>0.0</v>
      </c>
      <c r="S13" s="51">
        <v>0.0</v>
      </c>
      <c r="T13" s="51">
        <v>0.0</v>
      </c>
      <c r="U13" s="51">
        <v>0.0</v>
      </c>
      <c r="V13" s="51">
        <v>0.0</v>
      </c>
      <c r="W13" s="51">
        <v>0.0</v>
      </c>
      <c r="X13" s="51">
        <v>0.0</v>
      </c>
      <c r="Y13" s="51">
        <v>0.0</v>
      </c>
      <c r="Z13" s="51">
        <v>0.0</v>
      </c>
      <c r="AA13" s="51">
        <v>0.0</v>
      </c>
      <c r="AB13" s="51">
        <v>0.0</v>
      </c>
      <c r="AC13" s="51">
        <v>0.0</v>
      </c>
      <c r="AD13" s="51">
        <v>0.0</v>
      </c>
      <c r="AE13" s="51">
        <v>0.0</v>
      </c>
      <c r="AF13" s="51">
        <v>0.0</v>
      </c>
      <c r="AG13" s="51">
        <v>0.0</v>
      </c>
      <c r="AH13" s="51">
        <v>0.0</v>
      </c>
      <c r="AI13" s="51">
        <v>0.0</v>
      </c>
      <c r="AJ13" s="51">
        <v>0.0</v>
      </c>
      <c r="AK13" s="51">
        <v>0.0</v>
      </c>
      <c r="AL13" s="51">
        <v>13.416</v>
      </c>
      <c r="AM13" s="51">
        <v>9.584</v>
      </c>
      <c r="AN13" s="51">
        <v>9.583</v>
      </c>
      <c r="AO13" s="51">
        <v>9.583</v>
      </c>
      <c r="AP13" s="51">
        <v>9.583</v>
      </c>
      <c r="AQ13" s="51">
        <v>9.583</v>
      </c>
      <c r="AR13" s="51">
        <v>9.584</v>
      </c>
      <c r="AS13" s="51">
        <v>9.584</v>
      </c>
      <c r="AT13" s="51">
        <v>9.584</v>
      </c>
      <c r="AU13" s="51">
        <v>8.23</v>
      </c>
      <c r="AV13" s="51">
        <v>9.583</v>
      </c>
      <c r="AW13" s="51">
        <v>9.584</v>
      </c>
      <c r="AX13" s="51">
        <v>9.871</v>
      </c>
      <c r="AY13" s="51">
        <v>9.870833333333334</v>
      </c>
      <c r="AZ13" s="51">
        <v>9.870833333333334</v>
      </c>
      <c r="BA13" s="51">
        <v>9.870833333333334</v>
      </c>
      <c r="BB13" s="51">
        <v>9.870833333333334</v>
      </c>
      <c r="BC13" s="51">
        <v>9.870833333333334</v>
      </c>
      <c r="BD13" s="51">
        <v>9.870833333333334</v>
      </c>
      <c r="BE13" s="51">
        <v>9.870833333333334</v>
      </c>
      <c r="BF13" s="51">
        <v>9.870833333333334</v>
      </c>
      <c r="BG13" s="51">
        <v>9.870833333333334</v>
      </c>
      <c r="BH13" s="51">
        <v>9.870833333333334</v>
      </c>
      <c r="BI13" s="51">
        <v>9.870833333333334</v>
      </c>
      <c r="BJ13" s="51">
        <v>10.166958333333334</v>
      </c>
      <c r="BK13" s="51">
        <v>10.166958333333334</v>
      </c>
      <c r="BL13" s="51">
        <v>10.166958333333334</v>
      </c>
      <c r="BM13" s="51">
        <v>10.166958333333334</v>
      </c>
      <c r="BN13" s="51">
        <v>10.166958333333334</v>
      </c>
      <c r="BO13" s="51">
        <v>10.166958333333334</v>
      </c>
      <c r="BP13" s="51">
        <v>10.166958333333334</v>
      </c>
      <c r="BQ13" s="51">
        <v>10.166958333333334</v>
      </c>
      <c r="BR13" s="51">
        <v>10.166958333333334</v>
      </c>
      <c r="BS13" s="51">
        <v>10.166958333333334</v>
      </c>
      <c r="BT13" s="51">
        <v>10.166958333333334</v>
      </c>
      <c r="BU13" s="51">
        <v>10.166958333333334</v>
      </c>
      <c r="BV13" s="51">
        <v>10.471967083333334</v>
      </c>
      <c r="BW13" s="51">
        <v>10.471967083333334</v>
      </c>
      <c r="BX13" s="51">
        <v>10.471967083333334</v>
      </c>
      <c r="BY13" s="51">
        <v>10.471967083333334</v>
      </c>
      <c r="BZ13" s="51">
        <v>10.471967083333334</v>
      </c>
      <c r="CA13" s="51">
        <v>10.471967083333334</v>
      </c>
      <c r="CB13" s="51">
        <v>10.471967083333334</v>
      </c>
      <c r="CC13" s="51">
        <v>10.471967083333334</v>
      </c>
      <c r="CD13" s="51">
        <v>10.471967083333334</v>
      </c>
      <c r="CE13" s="51">
        <v>10.471967083333334</v>
      </c>
      <c r="CF13" s="51">
        <v>10.471967083333334</v>
      </c>
      <c r="CG13" s="51">
        <v>10.471967083333334</v>
      </c>
      <c r="CH13" s="51">
        <v>10.786126095833335</v>
      </c>
      <c r="CI13" s="51">
        <v>10.786126095833335</v>
      </c>
      <c r="CJ13" s="51">
        <v>10.786126095833335</v>
      </c>
      <c r="CK13" s="51">
        <v>10.786126095833335</v>
      </c>
      <c r="CL13" s="51">
        <v>10.786126095833335</v>
      </c>
      <c r="CM13" s="51">
        <v>10.786126095833335</v>
      </c>
      <c r="CN13" s="51">
        <v>10.786126095833335</v>
      </c>
      <c r="CO13" s="51">
        <v>10.786126095833335</v>
      </c>
      <c r="CP13" s="51">
        <v>10.786126095833335</v>
      </c>
      <c r="CQ13" s="51">
        <v>10.786126095833335</v>
      </c>
      <c r="CR13" s="51">
        <v>10.786126095833335</v>
      </c>
      <c r="CS13" s="51">
        <v>10.786126095833335</v>
      </c>
      <c r="CT13" s="51">
        <v>0.0</v>
      </c>
      <c r="CU13" s="51">
        <v>0.0</v>
      </c>
      <c r="CV13" s="51">
        <v>0.0</v>
      </c>
      <c r="CW13" s="51">
        <v>0.0</v>
      </c>
      <c r="CX13" s="51">
        <v>0.0</v>
      </c>
      <c r="CY13" s="51">
        <v>0.0</v>
      </c>
      <c r="CZ13" s="51">
        <v>0.0</v>
      </c>
      <c r="DA13" s="51">
        <v>0.0</v>
      </c>
      <c r="DB13" s="51">
        <v>0.0</v>
      </c>
      <c r="DC13" s="51">
        <v>0.0</v>
      </c>
      <c r="DD13" s="51">
        <v>0.0</v>
      </c>
      <c r="DE13" s="51">
        <v>0.0</v>
      </c>
      <c r="DF13" s="51">
        <v>0.0</v>
      </c>
      <c r="DG13" s="51">
        <v>0.0</v>
      </c>
      <c r="DH13" s="51">
        <v>0.0</v>
      </c>
      <c r="DI13" s="51">
        <v>0.0</v>
      </c>
      <c r="DJ13" s="51">
        <v>0.0</v>
      </c>
      <c r="DK13" s="51">
        <v>0.0</v>
      </c>
      <c r="DL13" s="51">
        <v>0.0</v>
      </c>
      <c r="DM13" s="51">
        <v>0.0</v>
      </c>
      <c r="DN13" s="51">
        <v>0.0</v>
      </c>
      <c r="DO13" s="51">
        <v>0.0</v>
      </c>
      <c r="DP13" s="51">
        <v>0.0</v>
      </c>
      <c r="DQ13" s="51">
        <v>0.0</v>
      </c>
      <c r="DR13" s="51">
        <v>0.0</v>
      </c>
      <c r="DT13" s="50">
        <f t="shared" ref="DT13:DW13" si="6">+F13-E13</f>
        <v>13.416</v>
      </c>
      <c r="DU13" s="50">
        <f t="shared" si="6"/>
        <v>100.52</v>
      </c>
      <c r="DV13" s="50">
        <f t="shared" si="6"/>
        <v>4.810125</v>
      </c>
      <c r="DW13" s="50">
        <f t="shared" si="6"/>
        <v>3.56238375</v>
      </c>
    </row>
    <row r="14" hidden="1" outlineLevel="1">
      <c r="B14" s="5" t="s">
        <v>71</v>
      </c>
      <c r="C14" s="72" t="s">
        <v>70</v>
      </c>
      <c r="E14" s="50">
        <f t="shared" ref="E14:M14" si="7">+SUMIFS($O14:$DR14,$O$7:$DR$7,E$7)</f>
        <v>0</v>
      </c>
      <c r="F14" s="50">
        <f t="shared" si="7"/>
        <v>0</v>
      </c>
      <c r="G14" s="50">
        <f t="shared" si="7"/>
        <v>0</v>
      </c>
      <c r="H14" s="50">
        <f t="shared" si="7"/>
        <v>20.415</v>
      </c>
      <c r="I14" s="50">
        <f t="shared" si="7"/>
        <v>175.7291667</v>
      </c>
      <c r="J14" s="50">
        <f t="shared" si="7"/>
        <v>184.5155</v>
      </c>
      <c r="K14" s="50">
        <f t="shared" si="7"/>
        <v>193.74</v>
      </c>
      <c r="L14" s="50">
        <f t="shared" si="7"/>
        <v>203.4281</v>
      </c>
      <c r="M14" s="50">
        <f t="shared" si="7"/>
        <v>194.9871</v>
      </c>
      <c r="O14" s="51">
        <v>0.0</v>
      </c>
      <c r="P14" s="51">
        <v>0.0</v>
      </c>
      <c r="Q14" s="51">
        <v>0.0</v>
      </c>
      <c r="R14" s="51">
        <v>0.0</v>
      </c>
      <c r="S14" s="51">
        <v>0.0</v>
      </c>
      <c r="T14" s="51">
        <v>0.0</v>
      </c>
      <c r="U14" s="51">
        <v>0.0</v>
      </c>
      <c r="V14" s="51">
        <v>0.0</v>
      </c>
      <c r="W14" s="51">
        <v>0.0</v>
      </c>
      <c r="X14" s="51">
        <v>0.0</v>
      </c>
      <c r="Y14" s="51">
        <v>0.0</v>
      </c>
      <c r="Z14" s="51">
        <v>0.0</v>
      </c>
      <c r="AA14" s="51">
        <v>0.0</v>
      </c>
      <c r="AB14" s="51">
        <v>0.0</v>
      </c>
      <c r="AC14" s="51">
        <v>0.0</v>
      </c>
      <c r="AD14" s="51">
        <v>0.0</v>
      </c>
      <c r="AE14" s="51">
        <v>0.0</v>
      </c>
      <c r="AF14" s="51">
        <v>0.0</v>
      </c>
      <c r="AG14" s="51">
        <v>0.0</v>
      </c>
      <c r="AH14" s="51">
        <v>0.0</v>
      </c>
      <c r="AI14" s="51">
        <v>0.0</v>
      </c>
      <c r="AJ14" s="51">
        <v>0.0</v>
      </c>
      <c r="AK14" s="51">
        <v>0.0</v>
      </c>
      <c r="AL14" s="51">
        <v>0.0</v>
      </c>
      <c r="AM14" s="51">
        <v>0.0</v>
      </c>
      <c r="AN14" s="51">
        <v>0.0</v>
      </c>
      <c r="AO14" s="51">
        <v>0.0</v>
      </c>
      <c r="AP14" s="51">
        <v>0.0</v>
      </c>
      <c r="AQ14" s="51">
        <v>0.0</v>
      </c>
      <c r="AR14" s="51">
        <v>0.0</v>
      </c>
      <c r="AS14" s="51">
        <v>0.0</v>
      </c>
      <c r="AT14" s="51">
        <v>0.0</v>
      </c>
      <c r="AU14" s="51">
        <v>0.0</v>
      </c>
      <c r="AV14" s="51">
        <v>0.0</v>
      </c>
      <c r="AW14" s="51">
        <v>0.0</v>
      </c>
      <c r="AX14" s="51">
        <v>0.0</v>
      </c>
      <c r="AY14" s="51">
        <v>0.0</v>
      </c>
      <c r="AZ14" s="51">
        <v>0.0</v>
      </c>
      <c r="BA14" s="51">
        <v>0.0</v>
      </c>
      <c r="BB14" s="51">
        <v>0.0</v>
      </c>
      <c r="BC14" s="51">
        <v>0.0</v>
      </c>
      <c r="BD14" s="51">
        <v>0.0</v>
      </c>
      <c r="BE14" s="51">
        <v>0.0</v>
      </c>
      <c r="BF14" s="51">
        <v>0.0</v>
      </c>
      <c r="BG14" s="51">
        <v>0.0</v>
      </c>
      <c r="BH14" s="51">
        <v>2.916</v>
      </c>
      <c r="BI14" s="51">
        <v>2.916</v>
      </c>
      <c r="BJ14" s="51">
        <v>14.583</v>
      </c>
      <c r="BK14" s="51">
        <v>14.583333333333334</v>
      </c>
      <c r="BL14" s="51">
        <v>14.583333333333334</v>
      </c>
      <c r="BM14" s="51">
        <v>14.583333333333334</v>
      </c>
      <c r="BN14" s="51">
        <v>14.583333333333334</v>
      </c>
      <c r="BO14" s="51">
        <v>14.583333333333334</v>
      </c>
      <c r="BP14" s="51">
        <v>14.583333333333334</v>
      </c>
      <c r="BQ14" s="51">
        <v>14.583333333333334</v>
      </c>
      <c r="BR14" s="51">
        <v>14.583333333333334</v>
      </c>
      <c r="BS14" s="51">
        <v>14.583333333333334</v>
      </c>
      <c r="BT14" s="51">
        <v>14.583333333333334</v>
      </c>
      <c r="BU14" s="51">
        <v>14.583333333333334</v>
      </c>
      <c r="BV14" s="51">
        <v>15.312500000000002</v>
      </c>
      <c r="BW14" s="51">
        <v>15.312500000000002</v>
      </c>
      <c r="BX14" s="51">
        <v>15.312500000000002</v>
      </c>
      <c r="BY14" s="51">
        <v>15.312500000000002</v>
      </c>
      <c r="BZ14" s="51">
        <v>15.312500000000002</v>
      </c>
      <c r="CA14" s="51">
        <v>15.312500000000002</v>
      </c>
      <c r="CB14" s="51">
        <v>15.312500000000002</v>
      </c>
      <c r="CC14" s="51">
        <v>15.312500000000002</v>
      </c>
      <c r="CD14" s="51">
        <v>15.312500000000002</v>
      </c>
      <c r="CE14" s="51">
        <v>15.312500000000002</v>
      </c>
      <c r="CF14" s="51">
        <v>15.312500000000002</v>
      </c>
      <c r="CG14" s="51">
        <v>15.312500000000002</v>
      </c>
      <c r="CH14" s="51">
        <v>16.078</v>
      </c>
      <c r="CI14" s="51">
        <v>16.078</v>
      </c>
      <c r="CJ14" s="51">
        <v>16.078</v>
      </c>
      <c r="CK14" s="51">
        <v>16.078</v>
      </c>
      <c r="CL14" s="51">
        <v>16.078</v>
      </c>
      <c r="CM14" s="51">
        <v>16.078</v>
      </c>
      <c r="CN14" s="51">
        <v>16.078</v>
      </c>
      <c r="CO14" s="51">
        <v>16.078</v>
      </c>
      <c r="CP14" s="51">
        <v>16.078</v>
      </c>
      <c r="CQ14" s="51">
        <v>16.078</v>
      </c>
      <c r="CR14" s="51">
        <v>16.078</v>
      </c>
      <c r="CS14" s="51">
        <v>16.078</v>
      </c>
      <c r="CT14" s="51">
        <v>16.882</v>
      </c>
      <c r="CU14" s="51">
        <v>16.882</v>
      </c>
      <c r="CV14" s="51">
        <v>16.882</v>
      </c>
      <c r="CW14" s="51">
        <v>16.882</v>
      </c>
      <c r="CX14" s="51">
        <v>16.882</v>
      </c>
      <c r="CY14" s="51">
        <v>16.882</v>
      </c>
      <c r="CZ14" s="51">
        <v>16.882</v>
      </c>
      <c r="DA14" s="51">
        <v>16.882</v>
      </c>
      <c r="DB14" s="51">
        <v>16.882</v>
      </c>
      <c r="DC14" s="51">
        <v>16.882</v>
      </c>
      <c r="DD14" s="51">
        <v>16.882</v>
      </c>
      <c r="DE14" s="51">
        <v>16.882</v>
      </c>
      <c r="DF14" s="51">
        <v>17.726100000000002</v>
      </c>
      <c r="DG14" s="51">
        <v>17.726100000000002</v>
      </c>
      <c r="DH14" s="51">
        <v>17.726100000000002</v>
      </c>
      <c r="DI14" s="51">
        <v>17.726100000000002</v>
      </c>
      <c r="DJ14" s="51">
        <v>17.726100000000002</v>
      </c>
      <c r="DK14" s="51">
        <v>17.726100000000002</v>
      </c>
      <c r="DL14" s="51">
        <v>17.726100000000002</v>
      </c>
      <c r="DM14" s="51">
        <v>17.726100000000002</v>
      </c>
      <c r="DN14" s="51">
        <v>17.726100000000002</v>
      </c>
      <c r="DO14" s="51">
        <v>17.726100000000002</v>
      </c>
      <c r="DP14" s="51">
        <v>17.726100000000002</v>
      </c>
      <c r="DQ14" s="51">
        <v>17.726100000000002</v>
      </c>
      <c r="DR14" s="51">
        <v>0.0</v>
      </c>
      <c r="DT14" s="50">
        <f t="shared" ref="DT14:DW14" si="8">+F14-E14</f>
        <v>0</v>
      </c>
      <c r="DU14" s="50">
        <f t="shared" si="8"/>
        <v>0</v>
      </c>
      <c r="DV14" s="50">
        <f t="shared" si="8"/>
        <v>20.415</v>
      </c>
      <c r="DW14" s="50">
        <f t="shared" si="8"/>
        <v>155.3141667</v>
      </c>
    </row>
    <row r="15" hidden="1" outlineLevel="1">
      <c r="B15" s="5" t="s">
        <v>72</v>
      </c>
      <c r="C15" s="72" t="s">
        <v>70</v>
      </c>
      <c r="E15" s="50">
        <f t="shared" ref="E15:M15" si="9">+SUMIFS($O15:$DR15,$O$7:$DR$7,E$7)</f>
        <v>0</v>
      </c>
      <c r="F15" s="50">
        <f t="shared" si="9"/>
        <v>0</v>
      </c>
      <c r="G15" s="50">
        <f t="shared" si="9"/>
        <v>0</v>
      </c>
      <c r="H15" s="50">
        <f t="shared" si="9"/>
        <v>0</v>
      </c>
      <c r="I15" s="50">
        <f t="shared" si="9"/>
        <v>40.91666667</v>
      </c>
      <c r="J15" s="50">
        <f t="shared" si="9"/>
        <v>150.2475</v>
      </c>
      <c r="K15" s="50">
        <f t="shared" si="9"/>
        <v>154.754925</v>
      </c>
      <c r="L15" s="50">
        <f t="shared" si="9"/>
        <v>159.3975728</v>
      </c>
      <c r="M15" s="50">
        <f t="shared" si="9"/>
        <v>164.1794999</v>
      </c>
      <c r="O15" s="51">
        <v>0.0</v>
      </c>
      <c r="P15" s="51">
        <v>0.0</v>
      </c>
      <c r="Q15" s="51">
        <v>0.0</v>
      </c>
      <c r="R15" s="51">
        <v>0.0</v>
      </c>
      <c r="S15" s="51">
        <v>0.0</v>
      </c>
      <c r="T15" s="51">
        <v>0.0</v>
      </c>
      <c r="U15" s="51">
        <v>0.0</v>
      </c>
      <c r="V15" s="51">
        <v>0.0</v>
      </c>
      <c r="W15" s="51">
        <v>0.0</v>
      </c>
      <c r="X15" s="51">
        <v>0.0</v>
      </c>
      <c r="Y15" s="51">
        <v>0.0</v>
      </c>
      <c r="Z15" s="51">
        <v>0.0</v>
      </c>
      <c r="AA15" s="51">
        <v>0.0</v>
      </c>
      <c r="AB15" s="51">
        <v>0.0</v>
      </c>
      <c r="AC15" s="51">
        <v>0.0</v>
      </c>
      <c r="AD15" s="51">
        <v>0.0</v>
      </c>
      <c r="AE15" s="51">
        <v>0.0</v>
      </c>
      <c r="AF15" s="51">
        <v>0.0</v>
      </c>
      <c r="AG15" s="51">
        <v>0.0</v>
      </c>
      <c r="AH15" s="51">
        <v>0.0</v>
      </c>
      <c r="AI15" s="51">
        <v>0.0</v>
      </c>
      <c r="AJ15" s="51">
        <v>0.0</v>
      </c>
      <c r="AK15" s="51">
        <v>0.0</v>
      </c>
      <c r="AL15" s="51">
        <v>0.0</v>
      </c>
      <c r="AM15" s="51">
        <v>0.0</v>
      </c>
      <c r="AN15" s="51">
        <v>0.0</v>
      </c>
      <c r="AO15" s="51">
        <v>0.0</v>
      </c>
      <c r="AP15" s="51">
        <v>0.0</v>
      </c>
      <c r="AQ15" s="51">
        <v>0.0</v>
      </c>
      <c r="AR15" s="51">
        <v>0.0</v>
      </c>
      <c r="AS15" s="51">
        <v>0.0</v>
      </c>
      <c r="AT15" s="51">
        <v>0.0</v>
      </c>
      <c r="AU15" s="51">
        <v>0.0</v>
      </c>
      <c r="AV15" s="51">
        <v>0.0</v>
      </c>
      <c r="AW15" s="51">
        <v>0.0</v>
      </c>
      <c r="AX15" s="51">
        <v>0.0</v>
      </c>
      <c r="AY15" s="51">
        <v>0.0</v>
      </c>
      <c r="AZ15" s="51">
        <v>0.0</v>
      </c>
      <c r="BA15" s="51">
        <v>0.0</v>
      </c>
      <c r="BB15" s="51">
        <v>0.0</v>
      </c>
      <c r="BC15" s="51">
        <v>0.0</v>
      </c>
      <c r="BD15" s="51">
        <v>0.0</v>
      </c>
      <c r="BE15" s="51">
        <v>0.0</v>
      </c>
      <c r="BF15" s="51">
        <v>0.0</v>
      </c>
      <c r="BG15" s="51">
        <v>0.0</v>
      </c>
      <c r="BH15" s="51">
        <v>0.0</v>
      </c>
      <c r="BI15" s="51">
        <v>0.0</v>
      </c>
      <c r="BJ15" s="51">
        <v>0.0</v>
      </c>
      <c r="BK15" s="51">
        <v>0.0</v>
      </c>
      <c r="BL15" s="51">
        <v>0.0</v>
      </c>
      <c r="BM15" s="51">
        <v>2.0</v>
      </c>
      <c r="BN15" s="51">
        <v>2.0</v>
      </c>
      <c r="BO15" s="51">
        <v>2.0</v>
      </c>
      <c r="BP15" s="51">
        <v>2.0</v>
      </c>
      <c r="BQ15" s="51">
        <v>2.0</v>
      </c>
      <c r="BR15" s="51">
        <v>2.0</v>
      </c>
      <c r="BS15" s="51">
        <v>2.0</v>
      </c>
      <c r="BT15" s="51">
        <v>2.0</v>
      </c>
      <c r="BU15" s="51">
        <v>12.458333333333334</v>
      </c>
      <c r="BV15" s="51">
        <v>12.458333333333334</v>
      </c>
      <c r="BW15" s="51">
        <v>12.458333333333334</v>
      </c>
      <c r="BX15" s="51">
        <v>12.458333333333334</v>
      </c>
      <c r="BY15" s="51">
        <v>12.458333333333334</v>
      </c>
      <c r="BZ15" s="51">
        <v>12.458333333333334</v>
      </c>
      <c r="CA15" s="51">
        <v>12.458333333333334</v>
      </c>
      <c r="CB15" s="51">
        <v>12.458333333333334</v>
      </c>
      <c r="CC15" s="51">
        <v>12.458333333333334</v>
      </c>
      <c r="CD15" s="51">
        <v>12.458333333333334</v>
      </c>
      <c r="CE15" s="51">
        <v>12.458333333333334</v>
      </c>
      <c r="CF15" s="51">
        <v>12.458333333333334</v>
      </c>
      <c r="CG15" s="51">
        <v>12.832083333333333</v>
      </c>
      <c r="CH15" s="51">
        <v>12.832083333333333</v>
      </c>
      <c r="CI15" s="51">
        <v>12.832083333333333</v>
      </c>
      <c r="CJ15" s="51">
        <v>12.832083333333333</v>
      </c>
      <c r="CK15" s="51">
        <v>12.832083333333333</v>
      </c>
      <c r="CL15" s="51">
        <v>12.832083333333333</v>
      </c>
      <c r="CM15" s="51">
        <v>12.832083333333333</v>
      </c>
      <c r="CN15" s="51">
        <v>12.832083333333333</v>
      </c>
      <c r="CO15" s="51">
        <v>12.832083333333333</v>
      </c>
      <c r="CP15" s="51">
        <v>12.832083333333333</v>
      </c>
      <c r="CQ15" s="51">
        <v>12.832083333333333</v>
      </c>
      <c r="CR15" s="51">
        <v>12.832083333333333</v>
      </c>
      <c r="CS15" s="51">
        <v>13.217045833333334</v>
      </c>
      <c r="CT15" s="51">
        <v>13.217045833333334</v>
      </c>
      <c r="CU15" s="51">
        <v>13.217045833333334</v>
      </c>
      <c r="CV15" s="51">
        <v>13.217045833333334</v>
      </c>
      <c r="CW15" s="51">
        <v>13.217045833333334</v>
      </c>
      <c r="CX15" s="51">
        <v>13.217045833333334</v>
      </c>
      <c r="CY15" s="51">
        <v>13.217045833333334</v>
      </c>
      <c r="CZ15" s="51">
        <v>13.217045833333334</v>
      </c>
      <c r="DA15" s="51">
        <v>13.217045833333334</v>
      </c>
      <c r="DB15" s="51">
        <v>13.217045833333334</v>
      </c>
      <c r="DC15" s="51">
        <v>13.217045833333334</v>
      </c>
      <c r="DD15" s="51">
        <v>13.217045833333334</v>
      </c>
      <c r="DE15" s="51">
        <v>13.613557208333333</v>
      </c>
      <c r="DF15" s="51">
        <v>13.613557208333333</v>
      </c>
      <c r="DG15" s="51">
        <v>13.613557208333333</v>
      </c>
      <c r="DH15" s="51">
        <v>13.613557208333333</v>
      </c>
      <c r="DI15" s="51">
        <v>13.613557208333333</v>
      </c>
      <c r="DJ15" s="51">
        <v>13.613557208333333</v>
      </c>
      <c r="DK15" s="51">
        <v>13.613557208333333</v>
      </c>
      <c r="DL15" s="51">
        <v>13.613557208333333</v>
      </c>
      <c r="DM15" s="51">
        <v>13.613557208333333</v>
      </c>
      <c r="DN15" s="51">
        <v>13.613557208333333</v>
      </c>
      <c r="DO15" s="51">
        <v>13.613557208333333</v>
      </c>
      <c r="DP15" s="51">
        <v>13.613557208333333</v>
      </c>
      <c r="DQ15" s="51">
        <v>14.021963924583334</v>
      </c>
      <c r="DR15" s="51">
        <v>14.021963924583334</v>
      </c>
      <c r="DT15" s="50">
        <f t="shared" ref="DT15:DW15" si="10">+F15-E15</f>
        <v>0</v>
      </c>
      <c r="DU15" s="50">
        <f t="shared" si="10"/>
        <v>0</v>
      </c>
      <c r="DV15" s="50">
        <f t="shared" si="10"/>
        <v>0</v>
      </c>
      <c r="DW15" s="50">
        <f t="shared" si="10"/>
        <v>40.91666667</v>
      </c>
    </row>
    <row r="16" hidden="1" outlineLevel="1">
      <c r="B16" s="5" t="s">
        <v>73</v>
      </c>
      <c r="C16" s="72" t="s">
        <v>74</v>
      </c>
      <c r="E16" s="50">
        <f t="shared" ref="E16:M16" si="11">+SUMIFS($O16:$DR16,$O$7:$DR$7,E$7)</f>
        <v>0</v>
      </c>
      <c r="F16" s="50">
        <f t="shared" si="11"/>
        <v>0</v>
      </c>
      <c r="G16" s="50">
        <f t="shared" si="11"/>
        <v>17.5</v>
      </c>
      <c r="H16" s="50">
        <f t="shared" si="11"/>
        <v>106.3051</v>
      </c>
      <c r="I16" s="50">
        <f t="shared" si="11"/>
        <v>133.382655</v>
      </c>
      <c r="J16" s="50">
        <f t="shared" si="11"/>
        <v>140.0517878</v>
      </c>
      <c r="K16" s="50">
        <f t="shared" si="11"/>
        <v>147.0543771</v>
      </c>
      <c r="L16" s="50">
        <f t="shared" si="11"/>
        <v>140.9525358</v>
      </c>
      <c r="M16" s="50">
        <f t="shared" si="11"/>
        <v>0</v>
      </c>
      <c r="O16" s="51">
        <v>0.0</v>
      </c>
      <c r="P16" s="51">
        <v>0.0</v>
      </c>
      <c r="Q16" s="51">
        <v>0.0</v>
      </c>
      <c r="R16" s="51">
        <v>0.0</v>
      </c>
      <c r="S16" s="51">
        <v>0.0</v>
      </c>
      <c r="T16" s="51">
        <v>0.0</v>
      </c>
      <c r="U16" s="51">
        <v>0.0</v>
      </c>
      <c r="V16" s="51">
        <v>0.0</v>
      </c>
      <c r="W16" s="51">
        <v>0.0</v>
      </c>
      <c r="X16" s="51">
        <v>0.0</v>
      </c>
      <c r="Y16" s="51">
        <v>0.0</v>
      </c>
      <c r="Z16" s="51">
        <v>0.0</v>
      </c>
      <c r="AA16" s="51">
        <v>0.0</v>
      </c>
      <c r="AB16" s="51">
        <v>0.0</v>
      </c>
      <c r="AC16" s="51">
        <v>0.0</v>
      </c>
      <c r="AD16" s="51">
        <v>0.0</v>
      </c>
      <c r="AE16" s="51">
        <v>0.0</v>
      </c>
      <c r="AF16" s="51">
        <v>0.0</v>
      </c>
      <c r="AG16" s="51">
        <v>0.0</v>
      </c>
      <c r="AH16" s="51">
        <v>0.0</v>
      </c>
      <c r="AI16" s="51">
        <v>0.0</v>
      </c>
      <c r="AJ16" s="51">
        <v>0.0</v>
      </c>
      <c r="AK16" s="51">
        <v>0.0</v>
      </c>
      <c r="AL16" s="51">
        <v>0.0</v>
      </c>
      <c r="AM16" s="51">
        <v>0.0</v>
      </c>
      <c r="AN16" s="51">
        <v>0.0</v>
      </c>
      <c r="AO16" s="51">
        <v>0.0</v>
      </c>
      <c r="AP16" s="51">
        <v>0.0</v>
      </c>
      <c r="AQ16" s="51">
        <v>0.0</v>
      </c>
      <c r="AR16" s="51">
        <v>2.5</v>
      </c>
      <c r="AS16" s="51">
        <v>2.5</v>
      </c>
      <c r="AT16" s="51">
        <v>2.5</v>
      </c>
      <c r="AU16" s="51">
        <v>2.5</v>
      </c>
      <c r="AV16" s="51">
        <v>2.5</v>
      </c>
      <c r="AW16" s="51">
        <v>2.5</v>
      </c>
      <c r="AX16" s="51">
        <v>2.5</v>
      </c>
      <c r="AY16" s="51">
        <v>2.5</v>
      </c>
      <c r="AZ16" s="51">
        <v>2.5</v>
      </c>
      <c r="BA16" s="51">
        <v>5.9</v>
      </c>
      <c r="BB16" s="51">
        <v>10.542</v>
      </c>
      <c r="BC16" s="51">
        <v>10.542</v>
      </c>
      <c r="BD16" s="51">
        <v>10.542</v>
      </c>
      <c r="BE16" s="51">
        <v>10.542</v>
      </c>
      <c r="BF16" s="51">
        <v>10.542</v>
      </c>
      <c r="BG16" s="51">
        <v>10.542</v>
      </c>
      <c r="BH16" s="51">
        <v>10.542</v>
      </c>
      <c r="BI16" s="51">
        <v>10.542</v>
      </c>
      <c r="BJ16" s="51">
        <v>11.0691</v>
      </c>
      <c r="BK16" s="51">
        <v>11.0691</v>
      </c>
      <c r="BL16" s="51">
        <v>11.0691</v>
      </c>
      <c r="BM16" s="51">
        <v>11.0691</v>
      </c>
      <c r="BN16" s="51">
        <v>11.0691</v>
      </c>
      <c r="BO16" s="51">
        <v>11.0691</v>
      </c>
      <c r="BP16" s="51">
        <v>11.0691</v>
      </c>
      <c r="BQ16" s="51">
        <v>11.0691</v>
      </c>
      <c r="BR16" s="51">
        <v>11.0691</v>
      </c>
      <c r="BS16" s="51">
        <v>11.0691</v>
      </c>
      <c r="BT16" s="51">
        <v>11.0691</v>
      </c>
      <c r="BU16" s="51">
        <v>11.0691</v>
      </c>
      <c r="BV16" s="51">
        <v>11.622555</v>
      </c>
      <c r="BW16" s="51">
        <v>11.622555</v>
      </c>
      <c r="BX16" s="51">
        <v>11.622555</v>
      </c>
      <c r="BY16" s="51">
        <v>11.622555</v>
      </c>
      <c r="BZ16" s="51">
        <v>11.622555</v>
      </c>
      <c r="CA16" s="51">
        <v>11.622555</v>
      </c>
      <c r="CB16" s="51">
        <v>11.622555</v>
      </c>
      <c r="CC16" s="51">
        <v>11.622555</v>
      </c>
      <c r="CD16" s="51">
        <v>11.622555</v>
      </c>
      <c r="CE16" s="51">
        <v>11.622555</v>
      </c>
      <c r="CF16" s="51">
        <v>11.622555</v>
      </c>
      <c r="CG16" s="51">
        <v>11.622555</v>
      </c>
      <c r="CH16" s="51">
        <v>12.20368275</v>
      </c>
      <c r="CI16" s="51">
        <v>12.20368275</v>
      </c>
      <c r="CJ16" s="51">
        <v>12.20368275</v>
      </c>
      <c r="CK16" s="51">
        <v>12.20368275</v>
      </c>
      <c r="CL16" s="51">
        <v>12.20368275</v>
      </c>
      <c r="CM16" s="51">
        <v>12.20368275</v>
      </c>
      <c r="CN16" s="51">
        <v>12.20368275</v>
      </c>
      <c r="CO16" s="51">
        <v>12.20368275</v>
      </c>
      <c r="CP16" s="51">
        <v>12.20368275</v>
      </c>
      <c r="CQ16" s="51">
        <v>12.20368275</v>
      </c>
      <c r="CR16" s="51">
        <v>12.20368275</v>
      </c>
      <c r="CS16" s="51">
        <v>12.20368275</v>
      </c>
      <c r="CT16" s="51">
        <v>12.8138668875</v>
      </c>
      <c r="CU16" s="51">
        <v>12.8138668875</v>
      </c>
      <c r="CV16" s="51">
        <v>12.8138668875</v>
      </c>
      <c r="CW16" s="51">
        <v>12.8138668875</v>
      </c>
      <c r="CX16" s="51">
        <v>12.8138668875</v>
      </c>
      <c r="CY16" s="51">
        <v>12.8138668875</v>
      </c>
      <c r="CZ16" s="51">
        <v>12.8138668875</v>
      </c>
      <c r="DA16" s="51">
        <v>12.8138668875</v>
      </c>
      <c r="DB16" s="51">
        <v>12.8138668875</v>
      </c>
      <c r="DC16" s="51">
        <v>12.8138668875</v>
      </c>
      <c r="DD16" s="51">
        <v>12.8138668875</v>
      </c>
      <c r="DE16" s="51">
        <v>12.8138668875</v>
      </c>
      <c r="DF16" s="51">
        <v>0.0</v>
      </c>
      <c r="DG16" s="51">
        <v>0.0</v>
      </c>
      <c r="DH16" s="51">
        <v>0.0</v>
      </c>
      <c r="DI16" s="51">
        <v>0.0</v>
      </c>
      <c r="DJ16" s="51">
        <v>0.0</v>
      </c>
      <c r="DK16" s="51">
        <v>0.0</v>
      </c>
      <c r="DL16" s="51">
        <v>0.0</v>
      </c>
      <c r="DM16" s="51">
        <v>0.0</v>
      </c>
      <c r="DN16" s="51">
        <v>0.0</v>
      </c>
      <c r="DO16" s="51">
        <v>0.0</v>
      </c>
      <c r="DP16" s="51">
        <v>0.0</v>
      </c>
      <c r="DQ16" s="51">
        <v>0.0</v>
      </c>
      <c r="DR16" s="51">
        <v>0.0</v>
      </c>
      <c r="DT16" s="50">
        <f t="shared" ref="DT16:DW16" si="12">+F16-E16</f>
        <v>0</v>
      </c>
      <c r="DU16" s="50">
        <f t="shared" si="12"/>
        <v>17.5</v>
      </c>
      <c r="DV16" s="50">
        <f t="shared" si="12"/>
        <v>88.8051</v>
      </c>
      <c r="DW16" s="50">
        <f t="shared" si="12"/>
        <v>27.077555</v>
      </c>
    </row>
    <row r="17" hidden="1" outlineLevel="1">
      <c r="B17" s="5" t="s">
        <v>75</v>
      </c>
      <c r="C17" s="72" t="s">
        <v>76</v>
      </c>
      <c r="E17" s="50">
        <f t="shared" ref="E17:M17" si="13">+SUMIFS($O17:$DR17,$O$7:$DR$7,E$7)</f>
        <v>225.499</v>
      </c>
      <c r="F17" s="50">
        <f t="shared" si="13"/>
        <v>264.41</v>
      </c>
      <c r="G17" s="50">
        <f t="shared" si="13"/>
        <v>276.41</v>
      </c>
      <c r="H17" s="50">
        <f t="shared" si="13"/>
        <v>285.156</v>
      </c>
      <c r="I17" s="50">
        <f t="shared" si="13"/>
        <v>399</v>
      </c>
      <c r="J17" s="50">
        <f t="shared" si="13"/>
        <v>410.97</v>
      </c>
      <c r="K17" s="50">
        <f t="shared" si="13"/>
        <v>423.2991</v>
      </c>
      <c r="L17" s="50">
        <f t="shared" si="13"/>
        <v>435.998073</v>
      </c>
      <c r="M17" s="50">
        <f t="shared" si="13"/>
        <v>449.0780152</v>
      </c>
      <c r="O17" s="51">
        <v>18.212</v>
      </c>
      <c r="P17" s="51">
        <v>18.212</v>
      </c>
      <c r="Q17" s="51">
        <v>18.212</v>
      </c>
      <c r="R17" s="51">
        <v>18.212</v>
      </c>
      <c r="S17" s="51">
        <v>18.212</v>
      </c>
      <c r="T17" s="51">
        <v>18.212</v>
      </c>
      <c r="U17" s="51">
        <v>18.212</v>
      </c>
      <c r="V17" s="51">
        <v>18.212</v>
      </c>
      <c r="W17" s="51">
        <v>18.212</v>
      </c>
      <c r="X17" s="51">
        <v>18.917</v>
      </c>
      <c r="Y17" s="51">
        <v>21.337</v>
      </c>
      <c r="Z17" s="51">
        <v>21.337</v>
      </c>
      <c r="AA17" s="51">
        <v>21.883</v>
      </c>
      <c r="AB17" s="51">
        <v>21.883</v>
      </c>
      <c r="AC17" s="51">
        <v>21.883</v>
      </c>
      <c r="AD17" s="51">
        <v>21.883</v>
      </c>
      <c r="AE17" s="51">
        <v>21.883</v>
      </c>
      <c r="AF17" s="51">
        <v>21.883</v>
      </c>
      <c r="AG17" s="51">
        <v>21.883</v>
      </c>
      <c r="AH17" s="51">
        <v>21.883</v>
      </c>
      <c r="AI17" s="51">
        <v>21.883</v>
      </c>
      <c r="AJ17" s="51">
        <v>21.883</v>
      </c>
      <c r="AK17" s="51">
        <v>23.072</v>
      </c>
      <c r="AL17" s="51">
        <v>22.508</v>
      </c>
      <c r="AM17" s="51">
        <v>23.071</v>
      </c>
      <c r="AN17" s="51">
        <v>23.071</v>
      </c>
      <c r="AO17" s="51">
        <v>23.071</v>
      </c>
      <c r="AP17" s="51">
        <v>23.071</v>
      </c>
      <c r="AQ17" s="51">
        <v>23.071</v>
      </c>
      <c r="AR17" s="51">
        <v>23.071</v>
      </c>
      <c r="AS17" s="51">
        <v>23.071</v>
      </c>
      <c r="AT17" s="51">
        <v>22.629</v>
      </c>
      <c r="AU17" s="51">
        <v>23.071</v>
      </c>
      <c r="AV17" s="51">
        <v>23.071</v>
      </c>
      <c r="AW17" s="51">
        <v>23.071</v>
      </c>
      <c r="AX17" s="51">
        <v>23.071</v>
      </c>
      <c r="AY17" s="51">
        <v>23.763</v>
      </c>
      <c r="AZ17" s="51">
        <v>23.763</v>
      </c>
      <c r="BA17" s="51">
        <v>23.763</v>
      </c>
      <c r="BB17" s="51">
        <v>23.763</v>
      </c>
      <c r="BC17" s="51">
        <v>23.763</v>
      </c>
      <c r="BD17" s="51">
        <v>23.763</v>
      </c>
      <c r="BE17" s="51">
        <v>23.763</v>
      </c>
      <c r="BF17" s="51">
        <v>23.763</v>
      </c>
      <c r="BG17" s="51">
        <v>23.763</v>
      </c>
      <c r="BH17" s="51">
        <v>23.763</v>
      </c>
      <c r="BI17" s="51">
        <v>23.763</v>
      </c>
      <c r="BJ17" s="51">
        <v>23.763</v>
      </c>
      <c r="BK17" s="51">
        <v>33.25</v>
      </c>
      <c r="BL17" s="51">
        <v>33.25</v>
      </c>
      <c r="BM17" s="51">
        <v>33.25</v>
      </c>
      <c r="BN17" s="51">
        <v>33.25</v>
      </c>
      <c r="BO17" s="51">
        <v>33.25</v>
      </c>
      <c r="BP17" s="51">
        <v>33.25</v>
      </c>
      <c r="BQ17" s="51">
        <v>33.25</v>
      </c>
      <c r="BR17" s="51">
        <v>33.25</v>
      </c>
      <c r="BS17" s="51">
        <v>33.25</v>
      </c>
      <c r="BT17" s="51">
        <v>33.25</v>
      </c>
      <c r="BU17" s="51">
        <v>33.25</v>
      </c>
      <c r="BV17" s="51">
        <v>33.25</v>
      </c>
      <c r="BW17" s="51">
        <v>34.2475</v>
      </c>
      <c r="BX17" s="51">
        <v>34.2475</v>
      </c>
      <c r="BY17" s="51">
        <v>34.2475</v>
      </c>
      <c r="BZ17" s="51">
        <v>34.2475</v>
      </c>
      <c r="CA17" s="51">
        <v>34.2475</v>
      </c>
      <c r="CB17" s="51">
        <v>34.2475</v>
      </c>
      <c r="CC17" s="51">
        <v>34.2475</v>
      </c>
      <c r="CD17" s="51">
        <v>34.2475</v>
      </c>
      <c r="CE17" s="51">
        <v>34.2475</v>
      </c>
      <c r="CF17" s="51">
        <v>34.2475</v>
      </c>
      <c r="CG17" s="51">
        <v>34.2475</v>
      </c>
      <c r="CH17" s="51">
        <v>34.2475</v>
      </c>
      <c r="CI17" s="51">
        <v>35.274925</v>
      </c>
      <c r="CJ17" s="51">
        <v>35.274925</v>
      </c>
      <c r="CK17" s="51">
        <v>35.274925</v>
      </c>
      <c r="CL17" s="51">
        <v>35.274925</v>
      </c>
      <c r="CM17" s="51">
        <v>35.274925</v>
      </c>
      <c r="CN17" s="51">
        <v>35.274925</v>
      </c>
      <c r="CO17" s="51">
        <v>35.274925</v>
      </c>
      <c r="CP17" s="51">
        <v>35.274925</v>
      </c>
      <c r="CQ17" s="51">
        <v>35.274925</v>
      </c>
      <c r="CR17" s="51">
        <v>35.274925</v>
      </c>
      <c r="CS17" s="51">
        <v>35.274925</v>
      </c>
      <c r="CT17" s="51">
        <v>35.274925</v>
      </c>
      <c r="CU17" s="51">
        <v>36.33317275</v>
      </c>
      <c r="CV17" s="51">
        <v>36.33317275</v>
      </c>
      <c r="CW17" s="51">
        <v>36.33317275</v>
      </c>
      <c r="CX17" s="51">
        <v>36.33317275</v>
      </c>
      <c r="CY17" s="51">
        <v>36.33317275</v>
      </c>
      <c r="CZ17" s="51">
        <v>36.33317275</v>
      </c>
      <c r="DA17" s="51">
        <v>36.33317275</v>
      </c>
      <c r="DB17" s="51">
        <v>36.33317275</v>
      </c>
      <c r="DC17" s="51">
        <v>36.33317275</v>
      </c>
      <c r="DD17" s="51">
        <v>36.33317275</v>
      </c>
      <c r="DE17" s="51">
        <v>36.33317275</v>
      </c>
      <c r="DF17" s="51">
        <v>36.33317275</v>
      </c>
      <c r="DG17" s="51">
        <v>37.42316793250001</v>
      </c>
      <c r="DH17" s="51">
        <v>37.42316793250001</v>
      </c>
      <c r="DI17" s="51">
        <v>37.42316793250001</v>
      </c>
      <c r="DJ17" s="51">
        <v>37.42316793250001</v>
      </c>
      <c r="DK17" s="51">
        <v>37.42316793250001</v>
      </c>
      <c r="DL17" s="51">
        <v>37.42316793250001</v>
      </c>
      <c r="DM17" s="51">
        <v>37.42316793250001</v>
      </c>
      <c r="DN17" s="51">
        <v>37.42316793250001</v>
      </c>
      <c r="DO17" s="51">
        <v>37.42316793250001</v>
      </c>
      <c r="DP17" s="51">
        <v>37.42316793250001</v>
      </c>
      <c r="DQ17" s="51">
        <v>37.42316793250001</v>
      </c>
      <c r="DR17" s="51">
        <v>37.42316793250001</v>
      </c>
      <c r="DT17" s="50">
        <f t="shared" ref="DT17:DW17" si="14">+F17-E17</f>
        <v>38.911</v>
      </c>
      <c r="DU17" s="50">
        <f t="shared" si="14"/>
        <v>12</v>
      </c>
      <c r="DV17" s="50">
        <f t="shared" si="14"/>
        <v>8.746</v>
      </c>
      <c r="DW17" s="50">
        <f t="shared" si="14"/>
        <v>113.844</v>
      </c>
    </row>
    <row r="18" hidden="1" outlineLevel="1">
      <c r="B18" s="5" t="s">
        <v>77</v>
      </c>
      <c r="C18" s="72" t="s">
        <v>70</v>
      </c>
      <c r="E18" s="50">
        <f t="shared" ref="E18:M18" si="15">+SUMIFS($O18:$DR18,$O$7:$DR$7,E$7)</f>
        <v>0</v>
      </c>
      <c r="F18" s="50">
        <f t="shared" si="15"/>
        <v>0</v>
      </c>
      <c r="G18" s="50">
        <f t="shared" si="15"/>
        <v>0</v>
      </c>
      <c r="H18" s="50">
        <f t="shared" si="15"/>
        <v>38.44</v>
      </c>
      <c r="I18" s="50">
        <f t="shared" si="15"/>
        <v>178.5</v>
      </c>
      <c r="J18" s="50">
        <f t="shared" si="15"/>
        <v>183.855</v>
      </c>
      <c r="K18" s="50">
        <f t="shared" si="15"/>
        <v>189.37065</v>
      </c>
      <c r="L18" s="50">
        <f t="shared" si="15"/>
        <v>195.0517695</v>
      </c>
      <c r="M18" s="50">
        <f t="shared" si="15"/>
        <v>200.9033226</v>
      </c>
      <c r="O18" s="51">
        <v>0.0</v>
      </c>
      <c r="P18" s="51">
        <v>0.0</v>
      </c>
      <c r="Q18" s="51">
        <v>0.0</v>
      </c>
      <c r="R18" s="51">
        <v>0.0</v>
      </c>
      <c r="S18" s="51">
        <v>0.0</v>
      </c>
      <c r="T18" s="51">
        <v>0.0</v>
      </c>
      <c r="U18" s="51">
        <v>0.0</v>
      </c>
      <c r="V18" s="51">
        <v>0.0</v>
      </c>
      <c r="W18" s="51">
        <v>0.0</v>
      </c>
      <c r="X18" s="51">
        <v>0.0</v>
      </c>
      <c r="Y18" s="51">
        <v>0.0</v>
      </c>
      <c r="Z18" s="51">
        <v>0.0</v>
      </c>
      <c r="AA18" s="51">
        <v>0.0</v>
      </c>
      <c r="AB18" s="51">
        <v>0.0</v>
      </c>
      <c r="AC18" s="51">
        <v>0.0</v>
      </c>
      <c r="AD18" s="51">
        <v>0.0</v>
      </c>
      <c r="AE18" s="51">
        <v>0.0</v>
      </c>
      <c r="AF18" s="51">
        <v>0.0</v>
      </c>
      <c r="AG18" s="51">
        <v>0.0</v>
      </c>
      <c r="AH18" s="51">
        <v>0.0</v>
      </c>
      <c r="AI18" s="51">
        <v>0.0</v>
      </c>
      <c r="AJ18" s="51">
        <v>0.0</v>
      </c>
      <c r="AK18" s="51">
        <v>0.0</v>
      </c>
      <c r="AL18" s="51">
        <v>0.0</v>
      </c>
      <c r="AM18" s="51">
        <v>0.0</v>
      </c>
      <c r="AN18" s="51">
        <v>0.0</v>
      </c>
      <c r="AO18" s="51">
        <v>0.0</v>
      </c>
      <c r="AP18" s="51">
        <v>0.0</v>
      </c>
      <c r="AQ18" s="51">
        <v>0.0</v>
      </c>
      <c r="AR18" s="51">
        <v>0.0</v>
      </c>
      <c r="AS18" s="51">
        <v>0.0</v>
      </c>
      <c r="AT18" s="51">
        <v>0.0</v>
      </c>
      <c r="AU18" s="51">
        <v>0.0</v>
      </c>
      <c r="AV18" s="51">
        <v>0.0</v>
      </c>
      <c r="AW18" s="51">
        <v>0.0</v>
      </c>
      <c r="AX18" s="51">
        <v>0.0</v>
      </c>
      <c r="AY18" s="51">
        <v>0.0</v>
      </c>
      <c r="AZ18" s="51">
        <v>0.0</v>
      </c>
      <c r="BA18" s="51">
        <v>0.0</v>
      </c>
      <c r="BB18" s="51">
        <v>0.0</v>
      </c>
      <c r="BC18" s="51">
        <v>4.805</v>
      </c>
      <c r="BD18" s="51">
        <v>4.805</v>
      </c>
      <c r="BE18" s="51">
        <v>4.805</v>
      </c>
      <c r="BF18" s="51">
        <v>4.805</v>
      </c>
      <c r="BG18" s="51">
        <v>4.805</v>
      </c>
      <c r="BH18" s="51">
        <v>4.805</v>
      </c>
      <c r="BI18" s="51">
        <v>4.805</v>
      </c>
      <c r="BJ18" s="51">
        <v>4.805</v>
      </c>
      <c r="BK18" s="51">
        <v>14.875</v>
      </c>
      <c r="BL18" s="51">
        <v>14.875</v>
      </c>
      <c r="BM18" s="51">
        <v>14.875</v>
      </c>
      <c r="BN18" s="51">
        <v>14.875</v>
      </c>
      <c r="BO18" s="51">
        <v>14.875</v>
      </c>
      <c r="BP18" s="51">
        <v>14.875</v>
      </c>
      <c r="BQ18" s="51">
        <v>14.875</v>
      </c>
      <c r="BR18" s="51">
        <v>14.875</v>
      </c>
      <c r="BS18" s="51">
        <v>14.875</v>
      </c>
      <c r="BT18" s="51">
        <v>14.875</v>
      </c>
      <c r="BU18" s="51">
        <v>14.875</v>
      </c>
      <c r="BV18" s="51">
        <v>14.875</v>
      </c>
      <c r="BW18" s="51">
        <v>15.32125</v>
      </c>
      <c r="BX18" s="51">
        <v>15.32125</v>
      </c>
      <c r="BY18" s="51">
        <v>15.32125</v>
      </c>
      <c r="BZ18" s="51">
        <v>15.32125</v>
      </c>
      <c r="CA18" s="51">
        <v>15.32125</v>
      </c>
      <c r="CB18" s="51">
        <v>15.32125</v>
      </c>
      <c r="CC18" s="51">
        <v>15.32125</v>
      </c>
      <c r="CD18" s="51">
        <v>15.32125</v>
      </c>
      <c r="CE18" s="51">
        <v>15.32125</v>
      </c>
      <c r="CF18" s="51">
        <v>15.32125</v>
      </c>
      <c r="CG18" s="51">
        <v>15.32125</v>
      </c>
      <c r="CH18" s="51">
        <v>15.32125</v>
      </c>
      <c r="CI18" s="51">
        <v>15.7808875</v>
      </c>
      <c r="CJ18" s="51">
        <v>15.7808875</v>
      </c>
      <c r="CK18" s="51">
        <v>15.7808875</v>
      </c>
      <c r="CL18" s="51">
        <v>15.7808875</v>
      </c>
      <c r="CM18" s="51">
        <v>15.7808875</v>
      </c>
      <c r="CN18" s="51">
        <v>15.7808875</v>
      </c>
      <c r="CO18" s="51">
        <v>15.7808875</v>
      </c>
      <c r="CP18" s="51">
        <v>15.7808875</v>
      </c>
      <c r="CQ18" s="51">
        <v>15.7808875</v>
      </c>
      <c r="CR18" s="51">
        <v>15.7808875</v>
      </c>
      <c r="CS18" s="51">
        <v>15.7808875</v>
      </c>
      <c r="CT18" s="51">
        <v>15.7808875</v>
      </c>
      <c r="CU18" s="51">
        <v>16.254314125</v>
      </c>
      <c r="CV18" s="51">
        <v>16.254314125</v>
      </c>
      <c r="CW18" s="51">
        <v>16.254314125</v>
      </c>
      <c r="CX18" s="51">
        <v>16.254314125</v>
      </c>
      <c r="CY18" s="51">
        <v>16.254314125</v>
      </c>
      <c r="CZ18" s="51">
        <v>16.254314125</v>
      </c>
      <c r="DA18" s="51">
        <v>16.254314125</v>
      </c>
      <c r="DB18" s="51">
        <v>16.254314125</v>
      </c>
      <c r="DC18" s="51">
        <v>16.254314125</v>
      </c>
      <c r="DD18" s="51">
        <v>16.254314125</v>
      </c>
      <c r="DE18" s="51">
        <v>16.254314125</v>
      </c>
      <c r="DF18" s="51">
        <v>16.254314125</v>
      </c>
      <c r="DG18" s="51">
        <v>16.74194354875</v>
      </c>
      <c r="DH18" s="51">
        <v>16.74194354875</v>
      </c>
      <c r="DI18" s="51">
        <v>16.74194354875</v>
      </c>
      <c r="DJ18" s="51">
        <v>16.74194354875</v>
      </c>
      <c r="DK18" s="51">
        <v>16.74194354875</v>
      </c>
      <c r="DL18" s="51">
        <v>16.74194354875</v>
      </c>
      <c r="DM18" s="51">
        <v>16.74194354875</v>
      </c>
      <c r="DN18" s="51">
        <v>16.74194354875</v>
      </c>
      <c r="DO18" s="51">
        <v>16.74194354875</v>
      </c>
      <c r="DP18" s="51">
        <v>16.74194354875</v>
      </c>
      <c r="DQ18" s="51">
        <v>16.74194354875</v>
      </c>
      <c r="DR18" s="51">
        <v>16.74194354875</v>
      </c>
      <c r="DT18" s="50">
        <f t="shared" ref="DT18:DW18" si="16">+F18-E18</f>
        <v>0</v>
      </c>
      <c r="DU18" s="50">
        <f t="shared" si="16"/>
        <v>0</v>
      </c>
      <c r="DV18" s="50">
        <f t="shared" si="16"/>
        <v>38.44</v>
      </c>
      <c r="DW18" s="50">
        <f t="shared" si="16"/>
        <v>140.06</v>
      </c>
    </row>
    <row r="19" hidden="1" outlineLevel="1">
      <c r="B19" s="5" t="s">
        <v>78</v>
      </c>
      <c r="C19" s="72" t="s">
        <v>70</v>
      </c>
      <c r="E19" s="50">
        <f t="shared" ref="E19:M19" si="17">+SUMIFS($O19:$DR19,$O$7:$DR$7,E$7)</f>
        <v>0</v>
      </c>
      <c r="F19" s="50">
        <f t="shared" si="17"/>
        <v>0</v>
      </c>
      <c r="G19" s="50">
        <f t="shared" si="17"/>
        <v>0</v>
      </c>
      <c r="H19" s="50">
        <f t="shared" si="17"/>
        <v>0</v>
      </c>
      <c r="I19" s="50">
        <f t="shared" si="17"/>
        <v>37.5</v>
      </c>
      <c r="J19" s="50">
        <f t="shared" si="17"/>
        <v>50</v>
      </c>
      <c r="K19" s="50">
        <f t="shared" si="17"/>
        <v>12.5</v>
      </c>
      <c r="L19" s="50">
        <f t="shared" si="17"/>
        <v>0</v>
      </c>
      <c r="M19" s="50">
        <f t="shared" si="17"/>
        <v>0</v>
      </c>
      <c r="O19" s="51">
        <v>0.0</v>
      </c>
      <c r="P19" s="51">
        <v>0.0</v>
      </c>
      <c r="Q19" s="51">
        <v>0.0</v>
      </c>
      <c r="R19" s="51">
        <v>0.0</v>
      </c>
      <c r="S19" s="51">
        <v>0.0</v>
      </c>
      <c r="T19" s="51">
        <v>0.0</v>
      </c>
      <c r="U19" s="51">
        <v>0.0</v>
      </c>
      <c r="V19" s="51">
        <v>0.0</v>
      </c>
      <c r="W19" s="51">
        <v>0.0</v>
      </c>
      <c r="X19" s="51">
        <v>0.0</v>
      </c>
      <c r="Y19" s="51">
        <v>0.0</v>
      </c>
      <c r="Z19" s="51">
        <v>0.0</v>
      </c>
      <c r="AA19" s="51">
        <v>0.0</v>
      </c>
      <c r="AB19" s="51">
        <v>0.0</v>
      </c>
      <c r="AC19" s="51">
        <v>0.0</v>
      </c>
      <c r="AD19" s="51">
        <v>0.0</v>
      </c>
      <c r="AE19" s="51">
        <v>0.0</v>
      </c>
      <c r="AF19" s="51">
        <v>0.0</v>
      </c>
      <c r="AG19" s="51">
        <v>0.0</v>
      </c>
      <c r="AH19" s="51">
        <v>0.0</v>
      </c>
      <c r="AI19" s="51">
        <v>0.0</v>
      </c>
      <c r="AJ19" s="51">
        <v>0.0</v>
      </c>
      <c r="AK19" s="51">
        <v>0.0</v>
      </c>
      <c r="AL19" s="51">
        <v>0.0</v>
      </c>
      <c r="AM19" s="51">
        <v>0.0</v>
      </c>
      <c r="AN19" s="51">
        <v>0.0</v>
      </c>
      <c r="AO19" s="51">
        <v>0.0</v>
      </c>
      <c r="AP19" s="51">
        <v>0.0</v>
      </c>
      <c r="AQ19" s="51">
        <v>0.0</v>
      </c>
      <c r="AR19" s="51">
        <v>0.0</v>
      </c>
      <c r="AS19" s="51">
        <v>0.0</v>
      </c>
      <c r="AT19" s="51">
        <v>0.0</v>
      </c>
      <c r="AU19" s="51">
        <v>0.0</v>
      </c>
      <c r="AV19" s="51">
        <v>0.0</v>
      </c>
      <c r="AW19" s="51">
        <v>0.0</v>
      </c>
      <c r="AX19" s="51">
        <v>0.0</v>
      </c>
      <c r="AY19" s="51">
        <v>0.0</v>
      </c>
      <c r="AZ19" s="51">
        <v>0.0</v>
      </c>
      <c r="BA19" s="51">
        <v>0.0</v>
      </c>
      <c r="BB19" s="51">
        <v>0.0</v>
      </c>
      <c r="BC19" s="51">
        <v>0.0</v>
      </c>
      <c r="BD19" s="51">
        <v>0.0</v>
      </c>
      <c r="BE19" s="51">
        <v>0.0</v>
      </c>
      <c r="BF19" s="51">
        <v>0.0</v>
      </c>
      <c r="BG19" s="51">
        <v>0.0</v>
      </c>
      <c r="BH19" s="51">
        <v>0.0</v>
      </c>
      <c r="BI19" s="51">
        <v>0.0</v>
      </c>
      <c r="BJ19" s="51">
        <v>0.0</v>
      </c>
      <c r="BK19" s="51">
        <v>0.0</v>
      </c>
      <c r="BL19" s="51">
        <v>0.0</v>
      </c>
      <c r="BM19" s="51">
        <v>0.0</v>
      </c>
      <c r="BN19" s="51">
        <v>4.166666666666667</v>
      </c>
      <c r="BO19" s="51">
        <v>4.166666666666667</v>
      </c>
      <c r="BP19" s="51">
        <v>4.166666666666667</v>
      </c>
      <c r="BQ19" s="51">
        <v>4.166666666666667</v>
      </c>
      <c r="BR19" s="51">
        <v>4.166666666666667</v>
      </c>
      <c r="BS19" s="51">
        <v>4.166666666666667</v>
      </c>
      <c r="BT19" s="51">
        <v>4.166666666666667</v>
      </c>
      <c r="BU19" s="51">
        <v>4.166666666666667</v>
      </c>
      <c r="BV19" s="51">
        <v>4.166666666666667</v>
      </c>
      <c r="BW19" s="51">
        <v>4.166666666666667</v>
      </c>
      <c r="BX19" s="51">
        <v>4.166666666666667</v>
      </c>
      <c r="BY19" s="51">
        <v>4.166666666666667</v>
      </c>
      <c r="BZ19" s="51">
        <v>4.166666666666667</v>
      </c>
      <c r="CA19" s="51">
        <v>4.166666666666667</v>
      </c>
      <c r="CB19" s="51">
        <v>4.166666666666667</v>
      </c>
      <c r="CC19" s="51">
        <v>4.166666666666667</v>
      </c>
      <c r="CD19" s="51">
        <v>4.166666666666667</v>
      </c>
      <c r="CE19" s="51">
        <v>4.166666666666667</v>
      </c>
      <c r="CF19" s="51">
        <v>4.166666666666667</v>
      </c>
      <c r="CG19" s="51">
        <v>4.166666666666667</v>
      </c>
      <c r="CH19" s="51">
        <v>4.166666666666667</v>
      </c>
      <c r="CI19" s="51">
        <v>4.166666666666667</v>
      </c>
      <c r="CJ19" s="51">
        <v>4.166666666666667</v>
      </c>
      <c r="CK19" s="51">
        <v>4.166666666666667</v>
      </c>
      <c r="CL19" s="51">
        <v>0.0</v>
      </c>
      <c r="CM19" s="51">
        <v>0.0</v>
      </c>
      <c r="CN19" s="51">
        <v>0.0</v>
      </c>
      <c r="CO19" s="51">
        <v>0.0</v>
      </c>
      <c r="CP19" s="51">
        <v>0.0</v>
      </c>
      <c r="CQ19" s="51">
        <v>0.0</v>
      </c>
      <c r="CR19" s="51">
        <v>0.0</v>
      </c>
      <c r="CS19" s="51">
        <v>0.0</v>
      </c>
      <c r="CT19" s="51">
        <v>0.0</v>
      </c>
      <c r="CU19" s="51">
        <v>0.0</v>
      </c>
      <c r="CV19" s="51">
        <v>0.0</v>
      </c>
      <c r="CW19" s="51">
        <v>0.0</v>
      </c>
      <c r="CX19" s="51">
        <v>0.0</v>
      </c>
      <c r="CY19" s="51">
        <v>0.0</v>
      </c>
      <c r="CZ19" s="51">
        <v>0.0</v>
      </c>
      <c r="DA19" s="51">
        <v>0.0</v>
      </c>
      <c r="DB19" s="51">
        <v>0.0</v>
      </c>
      <c r="DC19" s="51">
        <v>0.0</v>
      </c>
      <c r="DD19" s="51">
        <v>0.0</v>
      </c>
      <c r="DE19" s="51">
        <v>0.0</v>
      </c>
      <c r="DF19" s="51">
        <v>0.0</v>
      </c>
      <c r="DG19" s="51">
        <v>0.0</v>
      </c>
      <c r="DH19" s="51">
        <v>0.0</v>
      </c>
      <c r="DI19" s="51">
        <v>0.0</v>
      </c>
      <c r="DJ19" s="51">
        <v>0.0</v>
      </c>
      <c r="DK19" s="51">
        <v>0.0</v>
      </c>
      <c r="DL19" s="51">
        <v>0.0</v>
      </c>
      <c r="DM19" s="51">
        <v>0.0</v>
      </c>
      <c r="DN19" s="51">
        <v>0.0</v>
      </c>
      <c r="DO19" s="51">
        <v>0.0</v>
      </c>
      <c r="DP19" s="51">
        <v>0.0</v>
      </c>
      <c r="DQ19" s="51">
        <v>0.0</v>
      </c>
      <c r="DR19" s="51">
        <v>0.0</v>
      </c>
      <c r="DT19" s="50">
        <f t="shared" ref="DT19:DW19" si="18">+F19-E19</f>
        <v>0</v>
      </c>
      <c r="DU19" s="50">
        <f t="shared" si="18"/>
        <v>0</v>
      </c>
      <c r="DV19" s="50">
        <f t="shared" si="18"/>
        <v>0</v>
      </c>
      <c r="DW19" s="50">
        <f t="shared" si="18"/>
        <v>37.5</v>
      </c>
    </row>
    <row r="20" hidden="1" outlineLevel="1">
      <c r="B20" s="5" t="s">
        <v>79</v>
      </c>
      <c r="C20" s="72" t="s">
        <v>76</v>
      </c>
      <c r="E20" s="50">
        <f t="shared" ref="E20:M20" si="19">+SUMIFS($O20:$DR20,$O$7:$DR$7,E$7)</f>
        <v>0</v>
      </c>
      <c r="F20" s="50">
        <f t="shared" si="19"/>
        <v>0</v>
      </c>
      <c r="G20" s="50">
        <f t="shared" si="19"/>
        <v>0</v>
      </c>
      <c r="H20" s="50">
        <f t="shared" si="19"/>
        <v>0</v>
      </c>
      <c r="I20" s="50">
        <f t="shared" si="19"/>
        <v>58.05</v>
      </c>
      <c r="J20" s="50">
        <f t="shared" si="19"/>
        <v>491.36</v>
      </c>
      <c r="K20" s="50">
        <f t="shared" si="19"/>
        <v>590.0925</v>
      </c>
      <c r="L20" s="50">
        <f t="shared" si="19"/>
        <v>607.795275</v>
      </c>
      <c r="M20" s="50">
        <f t="shared" si="19"/>
        <v>626.0291333</v>
      </c>
      <c r="O20" s="51">
        <v>0.0</v>
      </c>
      <c r="P20" s="51">
        <v>0.0</v>
      </c>
      <c r="Q20" s="51">
        <v>0.0</v>
      </c>
      <c r="R20" s="51">
        <v>0.0</v>
      </c>
      <c r="S20" s="51">
        <v>0.0</v>
      </c>
      <c r="T20" s="51">
        <v>0.0</v>
      </c>
      <c r="U20" s="51">
        <v>0.0</v>
      </c>
      <c r="V20" s="51">
        <v>0.0</v>
      </c>
      <c r="W20" s="51">
        <v>0.0</v>
      </c>
      <c r="X20" s="51">
        <v>0.0</v>
      </c>
      <c r="Y20" s="51">
        <v>0.0</v>
      </c>
      <c r="Z20" s="51">
        <v>0.0</v>
      </c>
      <c r="AA20" s="51">
        <v>0.0</v>
      </c>
      <c r="AB20" s="51">
        <v>0.0</v>
      </c>
      <c r="AC20" s="51">
        <v>0.0</v>
      </c>
      <c r="AD20" s="51">
        <v>0.0</v>
      </c>
      <c r="AE20" s="51">
        <v>0.0</v>
      </c>
      <c r="AF20" s="51">
        <v>0.0</v>
      </c>
      <c r="AG20" s="51">
        <v>0.0</v>
      </c>
      <c r="AH20" s="51">
        <v>0.0</v>
      </c>
      <c r="AI20" s="51">
        <v>0.0</v>
      </c>
      <c r="AJ20" s="51">
        <v>0.0</v>
      </c>
      <c r="AK20" s="51">
        <v>0.0</v>
      </c>
      <c r="AL20" s="51">
        <v>0.0</v>
      </c>
      <c r="AM20" s="51">
        <v>0.0</v>
      </c>
      <c r="AN20" s="51">
        <v>0.0</v>
      </c>
      <c r="AO20" s="51">
        <v>0.0</v>
      </c>
      <c r="AP20" s="51">
        <v>0.0</v>
      </c>
      <c r="AQ20" s="51">
        <v>0.0</v>
      </c>
      <c r="AR20" s="51">
        <v>0.0</v>
      </c>
      <c r="AS20" s="51">
        <v>0.0</v>
      </c>
      <c r="AT20" s="51">
        <v>0.0</v>
      </c>
      <c r="AU20" s="51">
        <v>0.0</v>
      </c>
      <c r="AV20" s="51">
        <v>0.0</v>
      </c>
      <c r="AW20" s="51">
        <v>0.0</v>
      </c>
      <c r="AX20" s="51">
        <v>0.0</v>
      </c>
      <c r="AY20" s="51">
        <v>0.0</v>
      </c>
      <c r="AZ20" s="51">
        <v>0.0</v>
      </c>
      <c r="BA20" s="51">
        <v>0.0</v>
      </c>
      <c r="BB20" s="51">
        <v>0.0</v>
      </c>
      <c r="BC20" s="51">
        <v>0.0</v>
      </c>
      <c r="BD20" s="51">
        <v>0.0</v>
      </c>
      <c r="BE20" s="51">
        <v>0.0</v>
      </c>
      <c r="BF20" s="51">
        <v>0.0</v>
      </c>
      <c r="BG20" s="51">
        <v>0.0</v>
      </c>
      <c r="BH20" s="51">
        <v>0.0</v>
      </c>
      <c r="BI20" s="51">
        <v>0.0</v>
      </c>
      <c r="BJ20" s="51">
        <v>0.0</v>
      </c>
      <c r="BK20" s="51">
        <v>0.0</v>
      </c>
      <c r="BL20" s="51">
        <v>0.0</v>
      </c>
      <c r="BM20" s="51">
        <v>5.805</v>
      </c>
      <c r="BN20" s="51">
        <v>5.805</v>
      </c>
      <c r="BO20" s="51">
        <v>5.805</v>
      </c>
      <c r="BP20" s="51">
        <v>5.805</v>
      </c>
      <c r="BQ20" s="51">
        <v>5.805</v>
      </c>
      <c r="BR20" s="51">
        <v>5.805</v>
      </c>
      <c r="BS20" s="51">
        <v>5.805</v>
      </c>
      <c r="BT20" s="51">
        <v>5.805</v>
      </c>
      <c r="BU20" s="51">
        <v>5.805</v>
      </c>
      <c r="BV20" s="51">
        <v>5.805</v>
      </c>
      <c r="BW20" s="51">
        <v>5.805</v>
      </c>
      <c r="BX20" s="51">
        <v>5.805</v>
      </c>
      <c r="BY20" s="51">
        <v>47.975</v>
      </c>
      <c r="BZ20" s="51">
        <v>47.975</v>
      </c>
      <c r="CA20" s="51">
        <v>47.975</v>
      </c>
      <c r="CB20" s="51">
        <v>47.975</v>
      </c>
      <c r="CC20" s="51">
        <v>47.975</v>
      </c>
      <c r="CD20" s="51">
        <v>47.975</v>
      </c>
      <c r="CE20" s="51">
        <v>47.975</v>
      </c>
      <c r="CF20" s="51">
        <v>47.975</v>
      </c>
      <c r="CG20" s="51">
        <v>47.975</v>
      </c>
      <c r="CH20" s="51">
        <v>47.975</v>
      </c>
      <c r="CI20" s="51">
        <v>47.975</v>
      </c>
      <c r="CJ20" s="51">
        <v>47.975</v>
      </c>
      <c r="CK20" s="51">
        <v>49.41425</v>
      </c>
      <c r="CL20" s="51">
        <v>49.41425</v>
      </c>
      <c r="CM20" s="51">
        <v>49.41425</v>
      </c>
      <c r="CN20" s="51">
        <v>49.41425</v>
      </c>
      <c r="CO20" s="51">
        <v>49.41425</v>
      </c>
      <c r="CP20" s="51">
        <v>49.41425</v>
      </c>
      <c r="CQ20" s="51">
        <v>49.41425</v>
      </c>
      <c r="CR20" s="51">
        <v>49.41425</v>
      </c>
      <c r="CS20" s="51">
        <v>49.41425</v>
      </c>
      <c r="CT20" s="51">
        <v>49.41425</v>
      </c>
      <c r="CU20" s="51">
        <v>49.41425</v>
      </c>
      <c r="CV20" s="51">
        <v>49.41425</v>
      </c>
      <c r="CW20" s="51">
        <v>50.896677499999996</v>
      </c>
      <c r="CX20" s="51">
        <v>50.896677499999996</v>
      </c>
      <c r="CY20" s="51">
        <v>50.896677499999996</v>
      </c>
      <c r="CZ20" s="51">
        <v>50.896677499999996</v>
      </c>
      <c r="DA20" s="51">
        <v>50.896677499999996</v>
      </c>
      <c r="DB20" s="51">
        <v>50.896677499999996</v>
      </c>
      <c r="DC20" s="51">
        <v>50.896677499999996</v>
      </c>
      <c r="DD20" s="51">
        <v>50.896677499999996</v>
      </c>
      <c r="DE20" s="51">
        <v>50.896677499999996</v>
      </c>
      <c r="DF20" s="51">
        <v>50.896677499999996</v>
      </c>
      <c r="DG20" s="51">
        <v>50.896677499999996</v>
      </c>
      <c r="DH20" s="51">
        <v>50.896677499999996</v>
      </c>
      <c r="DI20" s="51">
        <v>52.423577825</v>
      </c>
      <c r="DJ20" s="51">
        <v>52.423577825</v>
      </c>
      <c r="DK20" s="51">
        <v>52.423577825</v>
      </c>
      <c r="DL20" s="51">
        <v>52.423577825</v>
      </c>
      <c r="DM20" s="51">
        <v>52.423577825</v>
      </c>
      <c r="DN20" s="51">
        <v>52.423577825</v>
      </c>
      <c r="DO20" s="51">
        <v>52.423577825</v>
      </c>
      <c r="DP20" s="51">
        <v>52.423577825</v>
      </c>
      <c r="DQ20" s="51">
        <v>52.423577825</v>
      </c>
      <c r="DR20" s="51">
        <v>52.423577825</v>
      </c>
      <c r="DT20" s="50">
        <f t="shared" ref="DT20:DW20" si="20">+F20-E20</f>
        <v>0</v>
      </c>
      <c r="DU20" s="50">
        <f t="shared" si="20"/>
        <v>0</v>
      </c>
      <c r="DV20" s="50">
        <f t="shared" si="20"/>
        <v>0</v>
      </c>
      <c r="DW20" s="50">
        <f t="shared" si="20"/>
        <v>58.05</v>
      </c>
    </row>
    <row r="21" ht="15.75" hidden="1" customHeight="1" outlineLevel="1">
      <c r="B21" s="5" t="s">
        <v>80</v>
      </c>
      <c r="C21" s="72" t="s">
        <v>74</v>
      </c>
      <c r="E21" s="50">
        <f t="shared" ref="E21:M21" si="21">+SUMIFS($O21:$DR21,$O$7:$DR$7,E$7)</f>
        <v>0</v>
      </c>
      <c r="F21" s="50">
        <f t="shared" si="21"/>
        <v>0</v>
      </c>
      <c r="G21" s="50">
        <f t="shared" si="21"/>
        <v>257.041</v>
      </c>
      <c r="H21" s="50">
        <f t="shared" si="21"/>
        <v>257.30004</v>
      </c>
      <c r="I21" s="50">
        <f t="shared" si="21"/>
        <v>259.02504</v>
      </c>
      <c r="J21" s="50">
        <f t="shared" si="21"/>
        <v>260.79579</v>
      </c>
      <c r="K21" s="50">
        <f t="shared" si="21"/>
        <v>262.6196625</v>
      </c>
      <c r="L21" s="50">
        <f t="shared" si="21"/>
        <v>264.4982512</v>
      </c>
      <c r="M21" s="50">
        <f t="shared" si="21"/>
        <v>266.4331975</v>
      </c>
      <c r="O21" s="51">
        <v>0.0</v>
      </c>
      <c r="P21" s="51">
        <v>0.0</v>
      </c>
      <c r="Q21" s="51">
        <v>0.0</v>
      </c>
      <c r="R21" s="51">
        <v>0.0</v>
      </c>
      <c r="S21" s="51">
        <v>0.0</v>
      </c>
      <c r="T21" s="51">
        <v>0.0</v>
      </c>
      <c r="U21" s="51">
        <v>0.0</v>
      </c>
      <c r="V21" s="51">
        <v>0.0</v>
      </c>
      <c r="W21" s="51">
        <v>0.0</v>
      </c>
      <c r="X21" s="51">
        <v>0.0</v>
      </c>
      <c r="Y21" s="51">
        <v>0.0</v>
      </c>
      <c r="Z21" s="51">
        <v>0.0</v>
      </c>
      <c r="AA21" s="51">
        <v>0.0</v>
      </c>
      <c r="AB21" s="51">
        <v>0.0</v>
      </c>
      <c r="AC21" s="51">
        <v>0.0</v>
      </c>
      <c r="AD21" s="51">
        <v>0.0</v>
      </c>
      <c r="AE21" s="51">
        <v>0.0</v>
      </c>
      <c r="AF21" s="51">
        <v>0.0</v>
      </c>
      <c r="AG21" s="51">
        <v>0.0</v>
      </c>
      <c r="AH21" s="51">
        <v>0.0</v>
      </c>
      <c r="AI21" s="51">
        <v>0.0</v>
      </c>
      <c r="AJ21" s="51">
        <v>0.0</v>
      </c>
      <c r="AK21" s="51">
        <v>0.0</v>
      </c>
      <c r="AL21" s="51">
        <v>0.0</v>
      </c>
      <c r="AM21" s="51">
        <v>0.0</v>
      </c>
      <c r="AN21" s="51">
        <v>8.334</v>
      </c>
      <c r="AO21" s="51">
        <v>10.417</v>
      </c>
      <c r="AP21" s="51">
        <v>12.5</v>
      </c>
      <c r="AQ21" s="51">
        <v>14.584</v>
      </c>
      <c r="AR21" s="51">
        <v>16.666</v>
      </c>
      <c r="AS21" s="51">
        <v>16.666</v>
      </c>
      <c r="AT21" s="51">
        <v>16.666</v>
      </c>
      <c r="AU21" s="51">
        <v>13.963000000000001</v>
      </c>
      <c r="AV21" s="51">
        <v>16.667</v>
      </c>
      <c r="AW21" s="51">
        <v>16.666</v>
      </c>
      <c r="AX21" s="51">
        <v>113.912</v>
      </c>
      <c r="AY21" s="51">
        <v>16.66667</v>
      </c>
      <c r="AZ21" s="51">
        <v>16.66667</v>
      </c>
      <c r="BA21" s="51">
        <v>25.95967</v>
      </c>
      <c r="BB21" s="51">
        <v>16.66667</v>
      </c>
      <c r="BC21" s="51">
        <v>16.66667</v>
      </c>
      <c r="BD21" s="51">
        <v>33.828669999999995</v>
      </c>
      <c r="BE21" s="51">
        <v>16.66667</v>
      </c>
      <c r="BF21" s="51">
        <v>16.66667</v>
      </c>
      <c r="BG21" s="51">
        <v>23.81767</v>
      </c>
      <c r="BH21" s="51">
        <v>16.66667</v>
      </c>
      <c r="BI21" s="51">
        <v>16.66667</v>
      </c>
      <c r="BJ21" s="51">
        <v>40.36067</v>
      </c>
      <c r="BK21" s="51">
        <v>16.66667</v>
      </c>
      <c r="BL21" s="51">
        <v>16.66667</v>
      </c>
      <c r="BM21" s="51">
        <v>30.69167</v>
      </c>
      <c r="BN21" s="51">
        <v>16.66667</v>
      </c>
      <c r="BO21" s="51">
        <v>16.66667</v>
      </c>
      <c r="BP21" s="51">
        <v>31.66667</v>
      </c>
      <c r="BQ21" s="51">
        <v>16.66667</v>
      </c>
      <c r="BR21" s="51">
        <v>16.66667</v>
      </c>
      <c r="BS21" s="51">
        <v>31.66667</v>
      </c>
      <c r="BT21" s="51">
        <v>16.66667</v>
      </c>
      <c r="BU21" s="51">
        <v>16.66667</v>
      </c>
      <c r="BV21" s="51">
        <v>31.66667</v>
      </c>
      <c r="BW21" s="51">
        <v>16.66667</v>
      </c>
      <c r="BX21" s="51">
        <v>16.66667</v>
      </c>
      <c r="BY21" s="51">
        <v>31.112419999999997</v>
      </c>
      <c r="BZ21" s="51">
        <v>16.66667</v>
      </c>
      <c r="CA21" s="51">
        <v>16.66667</v>
      </c>
      <c r="CB21" s="51">
        <v>32.11667</v>
      </c>
      <c r="CC21" s="51">
        <v>16.66667</v>
      </c>
      <c r="CD21" s="51">
        <v>16.66667</v>
      </c>
      <c r="CE21" s="51">
        <v>32.11667</v>
      </c>
      <c r="CF21" s="51">
        <v>16.66667</v>
      </c>
      <c r="CG21" s="51">
        <v>16.66667</v>
      </c>
      <c r="CH21" s="51">
        <v>32.11667</v>
      </c>
      <c r="CI21" s="51">
        <v>16.66667</v>
      </c>
      <c r="CJ21" s="51">
        <v>16.66667</v>
      </c>
      <c r="CK21" s="51">
        <v>31.545792499999997</v>
      </c>
      <c r="CL21" s="51">
        <v>16.66667</v>
      </c>
      <c r="CM21" s="51">
        <v>16.66667</v>
      </c>
      <c r="CN21" s="51">
        <v>32.580169999999995</v>
      </c>
      <c r="CO21" s="51">
        <v>16.66667</v>
      </c>
      <c r="CP21" s="51">
        <v>16.66667</v>
      </c>
      <c r="CQ21" s="51">
        <v>32.580169999999995</v>
      </c>
      <c r="CR21" s="51">
        <v>16.66667</v>
      </c>
      <c r="CS21" s="51">
        <v>16.66667</v>
      </c>
      <c r="CT21" s="51">
        <v>32.580169999999995</v>
      </c>
      <c r="CU21" s="51">
        <v>16.66667</v>
      </c>
      <c r="CV21" s="51">
        <v>16.66667</v>
      </c>
      <c r="CW21" s="51">
        <v>31.992166174999998</v>
      </c>
      <c r="CX21" s="51">
        <v>16.66667</v>
      </c>
      <c r="CY21" s="51">
        <v>16.66667</v>
      </c>
      <c r="CZ21" s="51">
        <v>33.057575</v>
      </c>
      <c r="DA21" s="51">
        <v>16.66667</v>
      </c>
      <c r="DB21" s="51">
        <v>16.66667</v>
      </c>
      <c r="DC21" s="51">
        <v>33.057575</v>
      </c>
      <c r="DD21" s="51">
        <v>16.66667</v>
      </c>
      <c r="DE21" s="51">
        <v>16.66667</v>
      </c>
      <c r="DF21" s="51">
        <v>33.057575</v>
      </c>
      <c r="DG21" s="51">
        <v>16.66667</v>
      </c>
      <c r="DH21" s="51">
        <v>16.66667</v>
      </c>
      <c r="DI21" s="51">
        <v>32.45193106025</v>
      </c>
      <c r="DJ21" s="51">
        <v>16.66667</v>
      </c>
      <c r="DK21" s="51">
        <v>16.66667</v>
      </c>
      <c r="DL21" s="51">
        <v>33.549302149999995</v>
      </c>
      <c r="DM21" s="51">
        <v>16.66667</v>
      </c>
      <c r="DN21" s="51">
        <v>16.66667</v>
      </c>
      <c r="DO21" s="51">
        <v>33.549302149999995</v>
      </c>
      <c r="DP21" s="51">
        <v>16.66667</v>
      </c>
      <c r="DQ21" s="51">
        <v>16.66667</v>
      </c>
      <c r="DR21" s="51">
        <v>33.549302149999995</v>
      </c>
      <c r="DT21" s="50">
        <f t="shared" ref="DT21:DW21" si="22">+F21-E21</f>
        <v>0</v>
      </c>
      <c r="DU21" s="50">
        <f t="shared" si="22"/>
        <v>257.041</v>
      </c>
      <c r="DV21" s="50">
        <f t="shared" si="22"/>
        <v>0.25904</v>
      </c>
      <c r="DW21" s="50">
        <f t="shared" si="22"/>
        <v>1.725</v>
      </c>
    </row>
    <row r="22" ht="15.75" hidden="1" customHeight="1" outlineLevel="1">
      <c r="B22" s="5" t="s">
        <v>81</v>
      </c>
      <c r="C22" s="72" t="s">
        <v>82</v>
      </c>
      <c r="E22" s="50">
        <f t="shared" ref="E22:M22" si="23">+SUMIFS($O22:$DR22,$O$7:$DR$7,E$7)</f>
        <v>1334.569</v>
      </c>
      <c r="F22" s="50">
        <f t="shared" si="23"/>
        <v>1606.576</v>
      </c>
      <c r="G22" s="50">
        <f t="shared" si="23"/>
        <v>1662.549</v>
      </c>
      <c r="H22" s="50">
        <f t="shared" si="23"/>
        <v>1841.81751</v>
      </c>
      <c r="I22" s="50">
        <f t="shared" si="23"/>
        <v>1882.74058</v>
      </c>
      <c r="J22" s="50">
        <f t="shared" si="23"/>
        <v>1935.113235</v>
      </c>
      <c r="K22" s="50">
        <f t="shared" si="23"/>
        <v>164.7285953</v>
      </c>
      <c r="L22" s="50">
        <f t="shared" si="23"/>
        <v>169.6704531</v>
      </c>
      <c r="M22" s="50">
        <f t="shared" si="23"/>
        <v>0</v>
      </c>
      <c r="O22" s="51">
        <v>104.247</v>
      </c>
      <c r="P22" s="51">
        <v>104.247</v>
      </c>
      <c r="Q22" s="51">
        <v>104.247</v>
      </c>
      <c r="R22" s="51">
        <v>104.247</v>
      </c>
      <c r="S22" s="51">
        <v>107.22</v>
      </c>
      <c r="T22" s="51">
        <v>110.647</v>
      </c>
      <c r="U22" s="51">
        <v>110.647</v>
      </c>
      <c r="V22" s="51">
        <v>100.647</v>
      </c>
      <c r="W22" s="51">
        <v>110.647</v>
      </c>
      <c r="X22" s="51">
        <v>110.646</v>
      </c>
      <c r="Y22" s="51">
        <v>110.647</v>
      </c>
      <c r="Z22" s="51">
        <v>156.48</v>
      </c>
      <c r="AA22" s="51">
        <v>137.27</v>
      </c>
      <c r="AB22" s="51">
        <v>137.27</v>
      </c>
      <c r="AC22" s="51">
        <v>133.10399999999998</v>
      </c>
      <c r="AD22" s="51">
        <v>133.103</v>
      </c>
      <c r="AE22" s="51">
        <v>133.10399999999998</v>
      </c>
      <c r="AF22" s="51">
        <v>133.103</v>
      </c>
      <c r="AG22" s="51">
        <v>133.103</v>
      </c>
      <c r="AH22" s="51">
        <v>133.103</v>
      </c>
      <c r="AI22" s="51">
        <v>133.10399999999998</v>
      </c>
      <c r="AJ22" s="51">
        <v>134.10399999999998</v>
      </c>
      <c r="AK22" s="51">
        <v>133.10399999999998</v>
      </c>
      <c r="AL22" s="51">
        <v>133.10399999999998</v>
      </c>
      <c r="AM22" s="51">
        <v>137.208</v>
      </c>
      <c r="AN22" s="51">
        <v>137.208</v>
      </c>
      <c r="AO22" s="51">
        <v>137.208</v>
      </c>
      <c r="AP22" s="51">
        <v>137.208</v>
      </c>
      <c r="AQ22" s="51">
        <v>137.208</v>
      </c>
      <c r="AR22" s="51">
        <v>137.208</v>
      </c>
      <c r="AS22" s="51">
        <v>138.208</v>
      </c>
      <c r="AT22" s="51">
        <v>131.394</v>
      </c>
      <c r="AU22" s="51">
        <v>138.208</v>
      </c>
      <c r="AV22" s="51">
        <v>138.208</v>
      </c>
      <c r="AW22" s="51">
        <v>143.575</v>
      </c>
      <c r="AX22" s="51">
        <v>149.708</v>
      </c>
      <c r="AY22" s="51">
        <v>154.255625</v>
      </c>
      <c r="AZ22" s="51">
        <v>154.255625</v>
      </c>
      <c r="BA22" s="51">
        <v>154.255625</v>
      </c>
      <c r="BB22" s="51">
        <v>154.255625</v>
      </c>
      <c r="BC22" s="51">
        <v>154.255625</v>
      </c>
      <c r="BD22" s="51">
        <v>154.255625</v>
      </c>
      <c r="BE22" s="51">
        <v>154.255625</v>
      </c>
      <c r="BF22" s="51">
        <v>154.255625</v>
      </c>
      <c r="BG22" s="51">
        <v>154.255625</v>
      </c>
      <c r="BH22" s="51">
        <v>150.922295</v>
      </c>
      <c r="BI22" s="51">
        <v>151.297295</v>
      </c>
      <c r="BJ22" s="51">
        <v>151.297295</v>
      </c>
      <c r="BK22" s="51">
        <v>156.83067333333335</v>
      </c>
      <c r="BL22" s="51">
        <v>156.83067333333335</v>
      </c>
      <c r="BM22" s="51">
        <v>156.83067333333335</v>
      </c>
      <c r="BN22" s="51">
        <v>156.83067333333335</v>
      </c>
      <c r="BO22" s="51">
        <v>156.83067333333335</v>
      </c>
      <c r="BP22" s="51">
        <v>156.83067333333335</v>
      </c>
      <c r="BQ22" s="51">
        <v>156.83067333333335</v>
      </c>
      <c r="BR22" s="51">
        <v>156.83067333333335</v>
      </c>
      <c r="BS22" s="51">
        <v>156.83067333333335</v>
      </c>
      <c r="BT22" s="51">
        <v>156.83067333333335</v>
      </c>
      <c r="BU22" s="51">
        <v>157.21692333333334</v>
      </c>
      <c r="BV22" s="51">
        <v>157.21692333333334</v>
      </c>
      <c r="BW22" s="51">
        <v>161.19313</v>
      </c>
      <c r="BX22" s="51">
        <v>161.19313</v>
      </c>
      <c r="BY22" s="51">
        <v>161.19313</v>
      </c>
      <c r="BZ22" s="51">
        <v>161.19313</v>
      </c>
      <c r="CA22" s="51">
        <v>161.19313</v>
      </c>
      <c r="CB22" s="51">
        <v>161.19313</v>
      </c>
      <c r="CC22" s="51">
        <v>161.19313</v>
      </c>
      <c r="CD22" s="51">
        <v>161.19313</v>
      </c>
      <c r="CE22" s="51">
        <v>161.19313</v>
      </c>
      <c r="CF22" s="51">
        <v>161.19313</v>
      </c>
      <c r="CG22" s="51">
        <v>161.5909675</v>
      </c>
      <c r="CH22" s="51">
        <v>161.5909675</v>
      </c>
      <c r="CI22" s="51">
        <v>13.6590875</v>
      </c>
      <c r="CJ22" s="51">
        <v>13.6590875</v>
      </c>
      <c r="CK22" s="51">
        <v>13.6590875</v>
      </c>
      <c r="CL22" s="51">
        <v>13.6590875</v>
      </c>
      <c r="CM22" s="51">
        <v>13.6590875</v>
      </c>
      <c r="CN22" s="51">
        <v>13.6590875</v>
      </c>
      <c r="CO22" s="51">
        <v>13.6590875</v>
      </c>
      <c r="CP22" s="51">
        <v>13.6590875</v>
      </c>
      <c r="CQ22" s="51">
        <v>13.6590875</v>
      </c>
      <c r="CR22" s="51">
        <v>13.6590875</v>
      </c>
      <c r="CS22" s="51">
        <v>14.068860124999999</v>
      </c>
      <c r="CT22" s="51">
        <v>14.068860124999999</v>
      </c>
      <c r="CU22" s="51">
        <v>14.068860124999999</v>
      </c>
      <c r="CV22" s="51">
        <v>14.068860124999999</v>
      </c>
      <c r="CW22" s="51">
        <v>14.068860124999999</v>
      </c>
      <c r="CX22" s="51">
        <v>14.068860124999999</v>
      </c>
      <c r="CY22" s="51">
        <v>14.068860124999999</v>
      </c>
      <c r="CZ22" s="51">
        <v>14.068860124999999</v>
      </c>
      <c r="DA22" s="51">
        <v>14.068860124999999</v>
      </c>
      <c r="DB22" s="51">
        <v>14.068860124999999</v>
      </c>
      <c r="DC22" s="51">
        <v>14.068860124999999</v>
      </c>
      <c r="DD22" s="51">
        <v>14.068860124999999</v>
      </c>
      <c r="DE22" s="51">
        <v>14.490925928749999</v>
      </c>
      <c r="DF22" s="51">
        <v>14.490925928749999</v>
      </c>
      <c r="DG22" s="51">
        <v>0.0</v>
      </c>
      <c r="DH22" s="51">
        <v>0.0</v>
      </c>
      <c r="DI22" s="51">
        <v>0.0</v>
      </c>
      <c r="DJ22" s="51">
        <v>0.0</v>
      </c>
      <c r="DK22" s="51">
        <v>0.0</v>
      </c>
      <c r="DL22" s="51">
        <v>0.0</v>
      </c>
      <c r="DM22" s="51">
        <v>0.0</v>
      </c>
      <c r="DN22" s="51">
        <v>0.0</v>
      </c>
      <c r="DO22" s="51">
        <v>0.0</v>
      </c>
      <c r="DP22" s="51">
        <v>0.0</v>
      </c>
      <c r="DQ22" s="51">
        <v>0.0</v>
      </c>
      <c r="DR22" s="51">
        <v>0.0</v>
      </c>
      <c r="DT22" s="50">
        <f t="shared" ref="DT22:DW22" si="24">+F22-E22</f>
        <v>272.007</v>
      </c>
      <c r="DU22" s="50">
        <f t="shared" si="24"/>
        <v>55.973</v>
      </c>
      <c r="DV22" s="50">
        <f t="shared" si="24"/>
        <v>179.26851</v>
      </c>
      <c r="DW22" s="50">
        <f t="shared" si="24"/>
        <v>40.92307</v>
      </c>
    </row>
    <row r="23" ht="15.75" hidden="1" customHeight="1" outlineLevel="1">
      <c r="B23" s="5" t="s">
        <v>83</v>
      </c>
      <c r="C23" s="72" t="s">
        <v>70</v>
      </c>
      <c r="E23" s="50">
        <f t="shared" ref="E23:M23" si="25">+SUMIFS($O23:$DR23,$O$7:$DR$7,E$7)</f>
        <v>93.752</v>
      </c>
      <c r="F23" s="50">
        <f t="shared" si="25"/>
        <v>128.287</v>
      </c>
      <c r="G23" s="50">
        <f t="shared" si="25"/>
        <v>132.489</v>
      </c>
      <c r="H23" s="50">
        <f t="shared" si="25"/>
        <v>137.418082</v>
      </c>
      <c r="I23" s="50">
        <f t="shared" si="25"/>
        <v>142.2277149</v>
      </c>
      <c r="J23" s="50">
        <f t="shared" si="25"/>
        <v>35.86009377</v>
      </c>
      <c r="K23" s="50">
        <f t="shared" si="25"/>
        <v>0</v>
      </c>
      <c r="L23" s="50">
        <f t="shared" si="25"/>
        <v>0</v>
      </c>
      <c r="M23" s="50">
        <f t="shared" si="25"/>
        <v>0</v>
      </c>
      <c r="O23" s="51">
        <v>0.0</v>
      </c>
      <c r="P23" s="51">
        <v>0.0</v>
      </c>
      <c r="Q23" s="51">
        <v>0.0</v>
      </c>
      <c r="R23" s="51">
        <v>10.417</v>
      </c>
      <c r="S23" s="51">
        <v>10.417</v>
      </c>
      <c r="T23" s="51">
        <v>10.417</v>
      </c>
      <c r="U23" s="51">
        <v>10.417</v>
      </c>
      <c r="V23" s="51">
        <v>10.417</v>
      </c>
      <c r="W23" s="51">
        <v>10.417</v>
      </c>
      <c r="X23" s="51">
        <v>10.417</v>
      </c>
      <c r="Y23" s="51">
        <v>10.417</v>
      </c>
      <c r="Z23" s="51">
        <v>10.416</v>
      </c>
      <c r="AA23" s="51">
        <v>10.417</v>
      </c>
      <c r="AB23" s="51">
        <v>10.417</v>
      </c>
      <c r="AC23" s="51">
        <v>10.417</v>
      </c>
      <c r="AD23" s="51">
        <v>10.782</v>
      </c>
      <c r="AE23" s="51">
        <v>10.781</v>
      </c>
      <c r="AF23" s="51">
        <v>10.782</v>
      </c>
      <c r="AG23" s="51">
        <v>10.782</v>
      </c>
      <c r="AH23" s="51">
        <v>10.782</v>
      </c>
      <c r="AI23" s="51">
        <v>10.782</v>
      </c>
      <c r="AJ23" s="51">
        <v>10.782</v>
      </c>
      <c r="AK23" s="51">
        <v>10.782</v>
      </c>
      <c r="AL23" s="51">
        <v>10.781</v>
      </c>
      <c r="AM23" s="51">
        <v>10.782</v>
      </c>
      <c r="AN23" s="51">
        <v>10.782</v>
      </c>
      <c r="AO23" s="51">
        <v>10.782</v>
      </c>
      <c r="AP23" s="51">
        <v>11.159</v>
      </c>
      <c r="AQ23" s="51">
        <v>11.158</v>
      </c>
      <c r="AR23" s="51">
        <v>11.159</v>
      </c>
      <c r="AS23" s="51">
        <v>11.159</v>
      </c>
      <c r="AT23" s="51">
        <v>10.874</v>
      </c>
      <c r="AU23" s="51">
        <v>11.159</v>
      </c>
      <c r="AV23" s="51">
        <v>11.158</v>
      </c>
      <c r="AW23" s="51">
        <v>11.159</v>
      </c>
      <c r="AX23" s="51">
        <v>11.158</v>
      </c>
      <c r="AY23" s="51">
        <v>11.15859375</v>
      </c>
      <c r="AZ23" s="51">
        <v>11.15859375</v>
      </c>
      <c r="BA23" s="51">
        <v>11.15859375</v>
      </c>
      <c r="BB23" s="51">
        <v>11.54914453125</v>
      </c>
      <c r="BC23" s="51">
        <v>11.54914453125</v>
      </c>
      <c r="BD23" s="51">
        <v>11.54914453125</v>
      </c>
      <c r="BE23" s="51">
        <v>11.54914453125</v>
      </c>
      <c r="BF23" s="51">
        <v>11.54914453125</v>
      </c>
      <c r="BG23" s="51">
        <v>11.54914453125</v>
      </c>
      <c r="BH23" s="51">
        <v>11.54914453125</v>
      </c>
      <c r="BI23" s="51">
        <v>11.54914453125</v>
      </c>
      <c r="BJ23" s="51">
        <v>11.54914453125</v>
      </c>
      <c r="BK23" s="51">
        <v>11.54914453125</v>
      </c>
      <c r="BL23" s="51">
        <v>11.54914453125</v>
      </c>
      <c r="BM23" s="51">
        <v>11.54914453125</v>
      </c>
      <c r="BN23" s="51">
        <v>11.95336458984375</v>
      </c>
      <c r="BO23" s="51">
        <v>11.95336458984375</v>
      </c>
      <c r="BP23" s="51">
        <v>11.95336458984375</v>
      </c>
      <c r="BQ23" s="51">
        <v>11.95336458984375</v>
      </c>
      <c r="BR23" s="51">
        <v>11.95336458984375</v>
      </c>
      <c r="BS23" s="51">
        <v>11.95336458984375</v>
      </c>
      <c r="BT23" s="51">
        <v>11.95336458984375</v>
      </c>
      <c r="BU23" s="51">
        <v>11.95336458984375</v>
      </c>
      <c r="BV23" s="51">
        <v>11.95336458984375</v>
      </c>
      <c r="BW23" s="51">
        <v>11.95336458984375</v>
      </c>
      <c r="BX23" s="51">
        <v>11.95336458984375</v>
      </c>
      <c r="BY23" s="51">
        <v>11.95336458984375</v>
      </c>
      <c r="BZ23" s="51">
        <v>0.0</v>
      </c>
      <c r="CA23" s="51">
        <v>0.0</v>
      </c>
      <c r="CB23" s="51">
        <v>0.0</v>
      </c>
      <c r="CC23" s="51">
        <v>0.0</v>
      </c>
      <c r="CD23" s="51">
        <v>0.0</v>
      </c>
      <c r="CE23" s="51">
        <v>0.0</v>
      </c>
      <c r="CF23" s="51">
        <v>0.0</v>
      </c>
      <c r="CG23" s="51">
        <v>0.0</v>
      </c>
      <c r="CH23" s="51">
        <v>0.0</v>
      </c>
      <c r="CI23" s="51">
        <v>0.0</v>
      </c>
      <c r="CJ23" s="51">
        <v>0.0</v>
      </c>
      <c r="CK23" s="51">
        <v>0.0</v>
      </c>
      <c r="CL23" s="51">
        <v>0.0</v>
      </c>
      <c r="CM23" s="51">
        <v>0.0</v>
      </c>
      <c r="CN23" s="51">
        <v>0.0</v>
      </c>
      <c r="CO23" s="51">
        <v>0.0</v>
      </c>
      <c r="CP23" s="51">
        <v>0.0</v>
      </c>
      <c r="CQ23" s="51">
        <v>0.0</v>
      </c>
      <c r="CR23" s="51">
        <v>0.0</v>
      </c>
      <c r="CS23" s="51">
        <v>0.0</v>
      </c>
      <c r="CT23" s="51">
        <v>0.0</v>
      </c>
      <c r="CU23" s="51">
        <v>0.0</v>
      </c>
      <c r="CV23" s="51">
        <v>0.0</v>
      </c>
      <c r="CW23" s="51">
        <v>0.0</v>
      </c>
      <c r="CX23" s="51">
        <v>0.0</v>
      </c>
      <c r="CY23" s="51">
        <v>0.0</v>
      </c>
      <c r="CZ23" s="51">
        <v>0.0</v>
      </c>
      <c r="DA23" s="51">
        <v>0.0</v>
      </c>
      <c r="DB23" s="51">
        <v>0.0</v>
      </c>
      <c r="DC23" s="51">
        <v>0.0</v>
      </c>
      <c r="DD23" s="51">
        <v>0.0</v>
      </c>
      <c r="DE23" s="51">
        <v>0.0</v>
      </c>
      <c r="DF23" s="51">
        <v>0.0</v>
      </c>
      <c r="DG23" s="51">
        <v>0.0</v>
      </c>
      <c r="DH23" s="51">
        <v>0.0</v>
      </c>
      <c r="DI23" s="51">
        <v>0.0</v>
      </c>
      <c r="DJ23" s="51">
        <v>0.0</v>
      </c>
      <c r="DK23" s="51">
        <v>0.0</v>
      </c>
      <c r="DL23" s="51">
        <v>0.0</v>
      </c>
      <c r="DM23" s="51">
        <v>0.0</v>
      </c>
      <c r="DN23" s="51">
        <v>0.0</v>
      </c>
      <c r="DO23" s="51">
        <v>0.0</v>
      </c>
      <c r="DP23" s="51">
        <v>0.0</v>
      </c>
      <c r="DQ23" s="51">
        <v>0.0</v>
      </c>
      <c r="DR23" s="51">
        <v>0.0</v>
      </c>
      <c r="DT23" s="50">
        <f t="shared" ref="DT23:DW23" si="26">+F23-E23</f>
        <v>34.535</v>
      </c>
      <c r="DU23" s="50">
        <f t="shared" si="26"/>
        <v>4.202</v>
      </c>
      <c r="DV23" s="50">
        <f t="shared" si="26"/>
        <v>4.929082031</v>
      </c>
      <c r="DW23" s="50">
        <f t="shared" si="26"/>
        <v>4.809632871</v>
      </c>
    </row>
    <row r="24" ht="15.75" hidden="1" customHeight="1" outlineLevel="1">
      <c r="B24" s="5" t="s">
        <v>84</v>
      </c>
      <c r="C24" s="72" t="s">
        <v>70</v>
      </c>
      <c r="E24" s="50">
        <f t="shared" ref="E24:M24" si="27">+SUMIFS($O24:$DR24,$O$7:$DR$7,E$7)</f>
        <v>92.25</v>
      </c>
      <c r="F24" s="50">
        <f t="shared" si="27"/>
        <v>95.13</v>
      </c>
      <c r="G24" s="50">
        <f t="shared" si="27"/>
        <v>88.41</v>
      </c>
      <c r="H24" s="50">
        <f t="shared" si="27"/>
        <v>48.90766667</v>
      </c>
      <c r="I24" s="50">
        <f t="shared" si="27"/>
        <v>54.92855667</v>
      </c>
      <c r="J24" s="50">
        <f t="shared" si="27"/>
        <v>56.57641337</v>
      </c>
      <c r="K24" s="50">
        <f t="shared" si="27"/>
        <v>58.27370577</v>
      </c>
      <c r="L24" s="50">
        <f t="shared" si="27"/>
        <v>60.02191694</v>
      </c>
      <c r="M24" s="50">
        <f t="shared" si="27"/>
        <v>30.95149228</v>
      </c>
      <c r="O24" s="51">
        <v>7.5</v>
      </c>
      <c r="P24" s="51">
        <v>7.5</v>
      </c>
      <c r="Q24" s="51">
        <v>7.5</v>
      </c>
      <c r="R24" s="51">
        <v>7.5</v>
      </c>
      <c r="S24" s="51">
        <v>7.5</v>
      </c>
      <c r="T24" s="51">
        <v>7.5</v>
      </c>
      <c r="U24" s="51">
        <v>7.875</v>
      </c>
      <c r="V24" s="51">
        <v>7.875</v>
      </c>
      <c r="W24" s="51">
        <v>7.875</v>
      </c>
      <c r="X24" s="51">
        <v>7.875</v>
      </c>
      <c r="Y24" s="51">
        <v>7.875</v>
      </c>
      <c r="Z24" s="51">
        <v>7.875</v>
      </c>
      <c r="AA24" s="51">
        <v>7.875</v>
      </c>
      <c r="AB24" s="51">
        <v>7.875</v>
      </c>
      <c r="AC24" s="51">
        <v>7.875</v>
      </c>
      <c r="AD24" s="51">
        <v>7.875</v>
      </c>
      <c r="AE24" s="51">
        <v>7.875</v>
      </c>
      <c r="AF24" s="51">
        <v>7.875</v>
      </c>
      <c r="AG24" s="51">
        <v>7.98</v>
      </c>
      <c r="AH24" s="51">
        <v>7.98</v>
      </c>
      <c r="AI24" s="51">
        <v>7.98</v>
      </c>
      <c r="AJ24" s="51">
        <v>7.98</v>
      </c>
      <c r="AK24" s="51">
        <v>7.98</v>
      </c>
      <c r="AL24" s="51">
        <v>7.98</v>
      </c>
      <c r="AM24" s="51">
        <v>8.111</v>
      </c>
      <c r="AN24" s="51">
        <v>8.111</v>
      </c>
      <c r="AO24" s="51">
        <v>8.111</v>
      </c>
      <c r="AP24" s="51">
        <v>8.111</v>
      </c>
      <c r="AQ24" s="51">
        <v>8.111</v>
      </c>
      <c r="AR24" s="51">
        <v>8.22</v>
      </c>
      <c r="AS24" s="51">
        <v>8.22</v>
      </c>
      <c r="AT24" s="51">
        <v>7.549</v>
      </c>
      <c r="AU24" s="51">
        <v>8.22</v>
      </c>
      <c r="AV24" s="51">
        <v>8.22</v>
      </c>
      <c r="AW24" s="51">
        <v>3.713</v>
      </c>
      <c r="AX24" s="51">
        <v>3.713</v>
      </c>
      <c r="AY24" s="51">
        <v>3.713</v>
      </c>
      <c r="AZ24" s="51">
        <v>3.713</v>
      </c>
      <c r="BA24" s="51">
        <v>3.713</v>
      </c>
      <c r="BB24" s="51">
        <v>3.713</v>
      </c>
      <c r="BC24" s="51">
        <v>3.713</v>
      </c>
      <c r="BD24" s="51">
        <v>3.713</v>
      </c>
      <c r="BE24" s="51">
        <v>3.713</v>
      </c>
      <c r="BF24" s="51">
        <v>4.583333333333333</v>
      </c>
      <c r="BG24" s="51">
        <v>4.583333333333333</v>
      </c>
      <c r="BH24" s="51">
        <v>4.583333333333333</v>
      </c>
      <c r="BI24" s="51">
        <v>4.583333333333333</v>
      </c>
      <c r="BJ24" s="51">
        <v>4.583333333333333</v>
      </c>
      <c r="BK24" s="51">
        <v>4.583333333333333</v>
      </c>
      <c r="BL24" s="51">
        <v>4.583333333333333</v>
      </c>
      <c r="BM24" s="51">
        <v>4.583333333333333</v>
      </c>
      <c r="BN24" s="51">
        <v>4.583333333333333</v>
      </c>
      <c r="BO24" s="51">
        <v>4.583333333333333</v>
      </c>
      <c r="BP24" s="51">
        <v>4.583333333333333</v>
      </c>
      <c r="BQ24" s="51">
        <v>3.8243899999999997</v>
      </c>
      <c r="BR24" s="51">
        <v>4.720833333333333</v>
      </c>
      <c r="BS24" s="51">
        <v>4.720833333333333</v>
      </c>
      <c r="BT24" s="51">
        <v>4.720833333333333</v>
      </c>
      <c r="BU24" s="51">
        <v>4.720833333333333</v>
      </c>
      <c r="BV24" s="51">
        <v>4.720833333333333</v>
      </c>
      <c r="BW24" s="51">
        <v>4.720833333333333</v>
      </c>
      <c r="BX24" s="51">
        <v>4.720833333333333</v>
      </c>
      <c r="BY24" s="51">
        <v>4.720833333333333</v>
      </c>
      <c r="BZ24" s="51">
        <v>4.720833333333333</v>
      </c>
      <c r="CA24" s="51">
        <v>4.720833333333333</v>
      </c>
      <c r="CB24" s="51">
        <v>4.720833333333333</v>
      </c>
      <c r="CC24" s="51">
        <v>3.9391217000000003</v>
      </c>
      <c r="CD24" s="51">
        <v>4.862458333333333</v>
      </c>
      <c r="CE24" s="51">
        <v>4.862458333333333</v>
      </c>
      <c r="CF24" s="51">
        <v>4.862458333333333</v>
      </c>
      <c r="CG24" s="51">
        <v>4.862458333333333</v>
      </c>
      <c r="CH24" s="51">
        <v>4.862458333333333</v>
      </c>
      <c r="CI24" s="51">
        <v>4.862458333333333</v>
      </c>
      <c r="CJ24" s="51">
        <v>4.862458333333333</v>
      </c>
      <c r="CK24" s="51">
        <v>4.862458333333333</v>
      </c>
      <c r="CL24" s="51">
        <v>4.862458333333333</v>
      </c>
      <c r="CM24" s="51">
        <v>4.862458333333333</v>
      </c>
      <c r="CN24" s="51">
        <v>4.862458333333333</v>
      </c>
      <c r="CO24" s="51">
        <v>4.0572953510000005</v>
      </c>
      <c r="CP24" s="51">
        <v>5.0083320833333325</v>
      </c>
      <c r="CQ24" s="51">
        <v>5.0083320833333325</v>
      </c>
      <c r="CR24" s="51">
        <v>5.0083320833333325</v>
      </c>
      <c r="CS24" s="51">
        <v>5.0083320833333325</v>
      </c>
      <c r="CT24" s="51">
        <v>5.0083320833333325</v>
      </c>
      <c r="CU24" s="51">
        <v>5.0083320833333325</v>
      </c>
      <c r="CV24" s="51">
        <v>5.0083320833333325</v>
      </c>
      <c r="CW24" s="51">
        <v>5.0083320833333325</v>
      </c>
      <c r="CX24" s="51">
        <v>5.0083320833333325</v>
      </c>
      <c r="CY24" s="51">
        <v>5.0083320833333325</v>
      </c>
      <c r="CZ24" s="51">
        <v>5.0083320833333325</v>
      </c>
      <c r="DA24" s="51">
        <v>4.17901421153</v>
      </c>
      <c r="DB24" s="51">
        <v>5.158582045833333</v>
      </c>
      <c r="DC24" s="51">
        <v>5.158582045833333</v>
      </c>
      <c r="DD24" s="51">
        <v>5.158582045833333</v>
      </c>
      <c r="DE24" s="51">
        <v>5.158582045833333</v>
      </c>
      <c r="DF24" s="51">
        <v>5.158582045833333</v>
      </c>
      <c r="DG24" s="51">
        <v>5.158582045833333</v>
      </c>
      <c r="DH24" s="51">
        <v>5.158582045833333</v>
      </c>
      <c r="DI24" s="51">
        <v>5.158582045833333</v>
      </c>
      <c r="DJ24" s="51">
        <v>5.158582045833333</v>
      </c>
      <c r="DK24" s="51">
        <v>5.158582045833333</v>
      </c>
      <c r="DL24" s="51">
        <v>5.158582045833333</v>
      </c>
      <c r="DM24" s="51">
        <v>0.0</v>
      </c>
      <c r="DN24" s="51">
        <v>0.0</v>
      </c>
      <c r="DO24" s="51">
        <v>0.0</v>
      </c>
      <c r="DP24" s="51">
        <v>0.0</v>
      </c>
      <c r="DQ24" s="51">
        <v>0.0</v>
      </c>
      <c r="DR24" s="51">
        <v>0.0</v>
      </c>
      <c r="DT24" s="50">
        <f t="shared" ref="DT24:DW24" si="28">+F24-E24</f>
        <v>2.88</v>
      </c>
      <c r="DU24" s="50">
        <f t="shared" si="28"/>
        <v>-6.72</v>
      </c>
      <c r="DV24" s="50">
        <f t="shared" si="28"/>
        <v>-39.50233333</v>
      </c>
      <c r="DW24" s="50">
        <f t="shared" si="28"/>
        <v>6.02089</v>
      </c>
    </row>
    <row r="25" ht="15.75" hidden="1" customHeight="1" outlineLevel="1">
      <c r="B25" s="5" t="s">
        <v>85</v>
      </c>
      <c r="C25" s="72" t="s">
        <v>70</v>
      </c>
      <c r="E25" s="50">
        <f t="shared" ref="E25:M25" si="29">+SUMIFS($O25:$DR25,$O$7:$DR$7,E$7)</f>
        <v>0</v>
      </c>
      <c r="F25" s="50">
        <f t="shared" si="29"/>
        <v>0</v>
      </c>
      <c r="G25" s="50">
        <f t="shared" si="29"/>
        <v>0</v>
      </c>
      <c r="H25" s="50">
        <f t="shared" si="29"/>
        <v>5.61</v>
      </c>
      <c r="I25" s="50">
        <f t="shared" si="29"/>
        <v>59.22</v>
      </c>
      <c r="J25" s="50">
        <f t="shared" si="29"/>
        <v>74.4</v>
      </c>
      <c r="K25" s="50">
        <f t="shared" si="29"/>
        <v>78.12</v>
      </c>
      <c r="L25" s="50">
        <f t="shared" si="29"/>
        <v>82.026</v>
      </c>
      <c r="M25" s="50">
        <f t="shared" si="29"/>
        <v>86.1273</v>
      </c>
      <c r="O25" s="51">
        <v>0.0</v>
      </c>
      <c r="P25" s="51">
        <v>0.0</v>
      </c>
      <c r="Q25" s="51">
        <v>0.0</v>
      </c>
      <c r="R25" s="51">
        <v>0.0</v>
      </c>
      <c r="S25" s="51">
        <v>0.0</v>
      </c>
      <c r="T25" s="51">
        <v>0.0</v>
      </c>
      <c r="U25" s="51">
        <v>0.0</v>
      </c>
      <c r="V25" s="51">
        <v>0.0</v>
      </c>
      <c r="W25" s="51">
        <v>0.0</v>
      </c>
      <c r="X25" s="51">
        <v>0.0</v>
      </c>
      <c r="Y25" s="51">
        <v>0.0</v>
      </c>
      <c r="Z25" s="51">
        <v>0.0</v>
      </c>
      <c r="AA25" s="51">
        <v>0.0</v>
      </c>
      <c r="AB25" s="51">
        <v>0.0</v>
      </c>
      <c r="AC25" s="51">
        <v>0.0</v>
      </c>
      <c r="AD25" s="51">
        <v>0.0</v>
      </c>
      <c r="AE25" s="51">
        <v>0.0</v>
      </c>
      <c r="AF25" s="51">
        <v>0.0</v>
      </c>
      <c r="AG25" s="51">
        <v>0.0</v>
      </c>
      <c r="AH25" s="51">
        <v>0.0</v>
      </c>
      <c r="AI25" s="51">
        <v>0.0</v>
      </c>
      <c r="AJ25" s="51">
        <v>0.0</v>
      </c>
      <c r="AK25" s="51">
        <v>0.0</v>
      </c>
      <c r="AL25" s="51">
        <v>0.0</v>
      </c>
      <c r="AM25" s="51">
        <v>0.0</v>
      </c>
      <c r="AN25" s="51">
        <v>0.0</v>
      </c>
      <c r="AO25" s="51">
        <v>0.0</v>
      </c>
      <c r="AP25" s="51">
        <v>0.0</v>
      </c>
      <c r="AQ25" s="51">
        <v>0.0</v>
      </c>
      <c r="AR25" s="51">
        <v>0.0</v>
      </c>
      <c r="AS25" s="51">
        <v>0.0</v>
      </c>
      <c r="AT25" s="51">
        <v>0.0</v>
      </c>
      <c r="AU25" s="51">
        <v>0.0</v>
      </c>
      <c r="AV25" s="51">
        <v>0.0</v>
      </c>
      <c r="AW25" s="51">
        <v>0.0</v>
      </c>
      <c r="AX25" s="51">
        <v>0.0</v>
      </c>
      <c r="AY25" s="51">
        <v>0.0</v>
      </c>
      <c r="AZ25" s="51">
        <v>0.0</v>
      </c>
      <c r="BA25" s="51">
        <v>0.0</v>
      </c>
      <c r="BB25" s="51">
        <v>0.0</v>
      </c>
      <c r="BC25" s="51">
        <v>0.0</v>
      </c>
      <c r="BD25" s="51">
        <v>0.0</v>
      </c>
      <c r="BE25" s="51">
        <v>0.0</v>
      </c>
      <c r="BF25" s="51">
        <v>0.0</v>
      </c>
      <c r="BG25" s="51">
        <v>0.0</v>
      </c>
      <c r="BH25" s="51">
        <v>0.0</v>
      </c>
      <c r="BI25" s="51">
        <v>2.805</v>
      </c>
      <c r="BJ25" s="51">
        <v>2.805</v>
      </c>
      <c r="BK25" s="51">
        <v>2.805</v>
      </c>
      <c r="BL25" s="51">
        <v>2.805</v>
      </c>
      <c r="BM25" s="51">
        <v>2.805</v>
      </c>
      <c r="BN25" s="51">
        <v>2.805</v>
      </c>
      <c r="BO25" s="51">
        <v>6.0</v>
      </c>
      <c r="BP25" s="51">
        <v>6.0</v>
      </c>
      <c r="BQ25" s="51">
        <v>6.0</v>
      </c>
      <c r="BR25" s="51">
        <v>6.0</v>
      </c>
      <c r="BS25" s="51">
        <v>6.0</v>
      </c>
      <c r="BT25" s="51">
        <v>6.0</v>
      </c>
      <c r="BU25" s="51">
        <v>6.0</v>
      </c>
      <c r="BV25" s="51">
        <v>6.0</v>
      </c>
      <c r="BW25" s="51">
        <v>6.0</v>
      </c>
      <c r="BX25" s="51">
        <v>6.0</v>
      </c>
      <c r="BY25" s="51">
        <v>6.0</v>
      </c>
      <c r="BZ25" s="51">
        <v>6.0</v>
      </c>
      <c r="CA25" s="51">
        <v>6.3</v>
      </c>
      <c r="CB25" s="51">
        <v>6.3</v>
      </c>
      <c r="CC25" s="51">
        <v>6.3</v>
      </c>
      <c r="CD25" s="51">
        <v>6.3</v>
      </c>
      <c r="CE25" s="51">
        <v>6.3</v>
      </c>
      <c r="CF25" s="51">
        <v>6.3</v>
      </c>
      <c r="CG25" s="51">
        <v>6.3</v>
      </c>
      <c r="CH25" s="51">
        <v>6.3</v>
      </c>
      <c r="CI25" s="51">
        <v>6.3</v>
      </c>
      <c r="CJ25" s="51">
        <v>6.3</v>
      </c>
      <c r="CK25" s="51">
        <v>6.3</v>
      </c>
      <c r="CL25" s="51">
        <v>6.3</v>
      </c>
      <c r="CM25" s="51">
        <v>6.615</v>
      </c>
      <c r="CN25" s="51">
        <v>6.615</v>
      </c>
      <c r="CO25" s="51">
        <v>6.615</v>
      </c>
      <c r="CP25" s="51">
        <v>6.615</v>
      </c>
      <c r="CQ25" s="51">
        <v>6.615</v>
      </c>
      <c r="CR25" s="51">
        <v>6.615</v>
      </c>
      <c r="CS25" s="51">
        <v>6.615</v>
      </c>
      <c r="CT25" s="51">
        <v>6.615</v>
      </c>
      <c r="CU25" s="51">
        <v>6.615</v>
      </c>
      <c r="CV25" s="51">
        <v>6.615</v>
      </c>
      <c r="CW25" s="51">
        <v>6.615</v>
      </c>
      <c r="CX25" s="51">
        <v>6.615</v>
      </c>
      <c r="CY25" s="51">
        <v>6.94575</v>
      </c>
      <c r="CZ25" s="51">
        <v>6.94575</v>
      </c>
      <c r="DA25" s="51">
        <v>6.94575</v>
      </c>
      <c r="DB25" s="51">
        <v>6.94575</v>
      </c>
      <c r="DC25" s="51">
        <v>6.94575</v>
      </c>
      <c r="DD25" s="51">
        <v>6.94575</v>
      </c>
      <c r="DE25" s="51">
        <v>6.94575</v>
      </c>
      <c r="DF25" s="51">
        <v>6.94575</v>
      </c>
      <c r="DG25" s="51">
        <v>6.94575</v>
      </c>
      <c r="DH25" s="51">
        <v>6.94575</v>
      </c>
      <c r="DI25" s="51">
        <v>6.94575</v>
      </c>
      <c r="DJ25" s="51">
        <v>6.94575</v>
      </c>
      <c r="DK25" s="51">
        <v>7.2930375000000005</v>
      </c>
      <c r="DL25" s="51">
        <v>7.2930375000000005</v>
      </c>
      <c r="DM25" s="51">
        <v>7.2930375000000005</v>
      </c>
      <c r="DN25" s="51">
        <v>7.2930375000000005</v>
      </c>
      <c r="DO25" s="51">
        <v>7.2930375000000005</v>
      </c>
      <c r="DP25" s="51">
        <v>7.2930375000000005</v>
      </c>
      <c r="DQ25" s="51">
        <v>7.2930375000000005</v>
      </c>
      <c r="DR25" s="51">
        <v>7.2930375000000005</v>
      </c>
      <c r="DT25" s="50">
        <f t="shared" ref="DT25:DW25" si="30">+F25-E25</f>
        <v>0</v>
      </c>
      <c r="DU25" s="50">
        <f t="shared" si="30"/>
        <v>0</v>
      </c>
      <c r="DV25" s="50">
        <f t="shared" si="30"/>
        <v>5.61</v>
      </c>
      <c r="DW25" s="50">
        <f t="shared" si="30"/>
        <v>53.61</v>
      </c>
    </row>
    <row r="26" ht="15.75" hidden="1" customHeight="1" outlineLevel="1">
      <c r="B26" s="5" t="s">
        <v>86</v>
      </c>
      <c r="C26" s="72" t="s">
        <v>70</v>
      </c>
      <c r="E26" s="50">
        <f t="shared" ref="E26:M26" si="31">+SUMIFS($O26:$DR26,$O$7:$DR$7,E$7)</f>
        <v>191.232</v>
      </c>
      <c r="F26" s="50">
        <f t="shared" si="31"/>
        <v>196.968</v>
      </c>
      <c r="G26" s="50">
        <f t="shared" si="31"/>
        <v>202.873</v>
      </c>
      <c r="H26" s="50">
        <f t="shared" si="31"/>
        <v>208.9601685</v>
      </c>
      <c r="I26" s="50">
        <f t="shared" si="31"/>
        <v>215.2289736</v>
      </c>
      <c r="J26" s="50">
        <f t="shared" si="31"/>
        <v>221.6858428</v>
      </c>
      <c r="K26" s="50">
        <f t="shared" si="31"/>
        <v>0</v>
      </c>
      <c r="L26" s="50">
        <f t="shared" si="31"/>
        <v>0</v>
      </c>
      <c r="M26" s="50">
        <f t="shared" si="31"/>
        <v>0</v>
      </c>
      <c r="O26" s="51">
        <v>15.936</v>
      </c>
      <c r="P26" s="51">
        <v>15.936</v>
      </c>
      <c r="Q26" s="51">
        <v>15.936</v>
      </c>
      <c r="R26" s="51">
        <v>15.936</v>
      </c>
      <c r="S26" s="51">
        <v>15.936</v>
      </c>
      <c r="T26" s="51">
        <v>15.936</v>
      </c>
      <c r="U26" s="51">
        <v>15.936</v>
      </c>
      <c r="V26" s="51">
        <v>15.936</v>
      </c>
      <c r="W26" s="51">
        <v>15.936</v>
      </c>
      <c r="X26" s="51">
        <v>15.936</v>
      </c>
      <c r="Y26" s="51">
        <v>15.936</v>
      </c>
      <c r="Z26" s="51">
        <v>15.936</v>
      </c>
      <c r="AA26" s="51">
        <v>16.414</v>
      </c>
      <c r="AB26" s="51">
        <v>16.414</v>
      </c>
      <c r="AC26" s="51">
        <v>16.414</v>
      </c>
      <c r="AD26" s="51">
        <v>16.414</v>
      </c>
      <c r="AE26" s="51">
        <v>16.414</v>
      </c>
      <c r="AF26" s="51">
        <v>16.414</v>
      </c>
      <c r="AG26" s="51">
        <v>16.414</v>
      </c>
      <c r="AH26" s="51">
        <v>16.414</v>
      </c>
      <c r="AI26" s="51">
        <v>16.414</v>
      </c>
      <c r="AJ26" s="51">
        <v>16.414</v>
      </c>
      <c r="AK26" s="51">
        <v>16.414</v>
      </c>
      <c r="AL26" s="51">
        <v>16.414</v>
      </c>
      <c r="AM26" s="51">
        <v>16.906</v>
      </c>
      <c r="AN26" s="51">
        <v>16.906</v>
      </c>
      <c r="AO26" s="51">
        <v>16.906</v>
      </c>
      <c r="AP26" s="51">
        <v>16.906</v>
      </c>
      <c r="AQ26" s="51">
        <v>16.906</v>
      </c>
      <c r="AR26" s="51">
        <v>16.906</v>
      </c>
      <c r="AS26" s="51">
        <v>16.906</v>
      </c>
      <c r="AT26" s="51">
        <v>16.906</v>
      </c>
      <c r="AU26" s="51">
        <v>16.906</v>
      </c>
      <c r="AV26" s="51">
        <v>16.906</v>
      </c>
      <c r="AW26" s="51">
        <v>16.906</v>
      </c>
      <c r="AX26" s="51">
        <v>16.907</v>
      </c>
      <c r="AY26" s="51">
        <v>17.413347375</v>
      </c>
      <c r="AZ26" s="51">
        <v>17.413347375</v>
      </c>
      <c r="BA26" s="51">
        <v>17.413347375</v>
      </c>
      <c r="BB26" s="51">
        <v>17.413347375</v>
      </c>
      <c r="BC26" s="51">
        <v>17.413347375</v>
      </c>
      <c r="BD26" s="51">
        <v>17.413347375</v>
      </c>
      <c r="BE26" s="51">
        <v>17.413347375</v>
      </c>
      <c r="BF26" s="51">
        <v>17.413347375</v>
      </c>
      <c r="BG26" s="51">
        <v>17.413347375</v>
      </c>
      <c r="BH26" s="51">
        <v>17.413347375</v>
      </c>
      <c r="BI26" s="51">
        <v>17.413347375</v>
      </c>
      <c r="BJ26" s="51">
        <v>17.413347375</v>
      </c>
      <c r="BK26" s="51">
        <v>17.935747796250002</v>
      </c>
      <c r="BL26" s="51">
        <v>17.935747796250002</v>
      </c>
      <c r="BM26" s="51">
        <v>17.935747796250002</v>
      </c>
      <c r="BN26" s="51">
        <v>17.935747796250002</v>
      </c>
      <c r="BO26" s="51">
        <v>17.935747796250002</v>
      </c>
      <c r="BP26" s="51">
        <v>17.935747796250002</v>
      </c>
      <c r="BQ26" s="51">
        <v>17.935747796250002</v>
      </c>
      <c r="BR26" s="51">
        <v>17.935747796250002</v>
      </c>
      <c r="BS26" s="51">
        <v>17.935747796250002</v>
      </c>
      <c r="BT26" s="51">
        <v>17.935747796250002</v>
      </c>
      <c r="BU26" s="51">
        <v>17.935747796250002</v>
      </c>
      <c r="BV26" s="51">
        <v>17.935747796250002</v>
      </c>
      <c r="BW26" s="51">
        <v>18.473820230137502</v>
      </c>
      <c r="BX26" s="51">
        <v>18.473820230137502</v>
      </c>
      <c r="BY26" s="51">
        <v>18.473820230137502</v>
      </c>
      <c r="BZ26" s="51">
        <v>18.473820230137502</v>
      </c>
      <c r="CA26" s="51">
        <v>18.473820230137502</v>
      </c>
      <c r="CB26" s="51">
        <v>18.473820230137502</v>
      </c>
      <c r="CC26" s="51">
        <v>18.473820230137502</v>
      </c>
      <c r="CD26" s="51">
        <v>18.473820230137502</v>
      </c>
      <c r="CE26" s="51">
        <v>18.473820230137502</v>
      </c>
      <c r="CF26" s="51">
        <v>18.473820230137502</v>
      </c>
      <c r="CG26" s="51">
        <v>18.473820230137502</v>
      </c>
      <c r="CH26" s="51">
        <v>18.473820230137502</v>
      </c>
      <c r="CI26" s="51">
        <v>0.0</v>
      </c>
      <c r="CJ26" s="51">
        <v>0.0</v>
      </c>
      <c r="CK26" s="51">
        <v>0.0</v>
      </c>
      <c r="CL26" s="51">
        <v>0.0</v>
      </c>
      <c r="CM26" s="51">
        <v>0.0</v>
      </c>
      <c r="CN26" s="51">
        <v>0.0</v>
      </c>
      <c r="CO26" s="51">
        <v>0.0</v>
      </c>
      <c r="CP26" s="51">
        <v>0.0</v>
      </c>
      <c r="CQ26" s="51">
        <v>0.0</v>
      </c>
      <c r="CR26" s="51">
        <v>0.0</v>
      </c>
      <c r="CS26" s="51">
        <v>0.0</v>
      </c>
      <c r="CT26" s="51">
        <v>0.0</v>
      </c>
      <c r="CU26" s="51">
        <v>0.0</v>
      </c>
      <c r="CV26" s="51">
        <v>0.0</v>
      </c>
      <c r="CW26" s="51">
        <v>0.0</v>
      </c>
      <c r="CX26" s="51">
        <v>0.0</v>
      </c>
      <c r="CY26" s="51">
        <v>0.0</v>
      </c>
      <c r="CZ26" s="51">
        <v>0.0</v>
      </c>
      <c r="DA26" s="51">
        <v>0.0</v>
      </c>
      <c r="DB26" s="51">
        <v>0.0</v>
      </c>
      <c r="DC26" s="51">
        <v>0.0</v>
      </c>
      <c r="DD26" s="51">
        <v>0.0</v>
      </c>
      <c r="DE26" s="51">
        <v>0.0</v>
      </c>
      <c r="DF26" s="51">
        <v>0.0</v>
      </c>
      <c r="DG26" s="51">
        <v>0.0</v>
      </c>
      <c r="DH26" s="51">
        <v>0.0</v>
      </c>
      <c r="DI26" s="51">
        <v>0.0</v>
      </c>
      <c r="DJ26" s="51">
        <v>0.0</v>
      </c>
      <c r="DK26" s="51">
        <v>0.0</v>
      </c>
      <c r="DL26" s="51">
        <v>0.0</v>
      </c>
      <c r="DM26" s="51">
        <v>0.0</v>
      </c>
      <c r="DN26" s="51">
        <v>0.0</v>
      </c>
      <c r="DO26" s="51">
        <v>0.0</v>
      </c>
      <c r="DP26" s="51">
        <v>0.0</v>
      </c>
      <c r="DQ26" s="51">
        <v>0.0</v>
      </c>
      <c r="DR26" s="51">
        <v>0.0</v>
      </c>
      <c r="DT26" s="50">
        <f t="shared" ref="DT26:DW26" si="32">+F26-E26</f>
        <v>5.736</v>
      </c>
      <c r="DU26" s="50">
        <f t="shared" si="32"/>
        <v>5.905</v>
      </c>
      <c r="DV26" s="50">
        <f t="shared" si="32"/>
        <v>6.0871685</v>
      </c>
      <c r="DW26" s="50">
        <f t="shared" si="32"/>
        <v>6.268805055</v>
      </c>
    </row>
    <row r="27" ht="15.75" hidden="1" customHeight="1" outlineLevel="1">
      <c r="B27" s="5" t="s">
        <v>87</v>
      </c>
      <c r="C27" s="72" t="s">
        <v>74</v>
      </c>
      <c r="E27" s="50">
        <f t="shared" ref="E27:M27" si="33">+SUMIFS($O27:$DR27,$O$7:$DR$7,E$7)</f>
        <v>225</v>
      </c>
      <c r="F27" s="50">
        <f t="shared" si="33"/>
        <v>225</v>
      </c>
      <c r="G27" s="50">
        <f t="shared" si="33"/>
        <v>192.974</v>
      </c>
      <c r="H27" s="50">
        <f t="shared" si="33"/>
        <v>200.85</v>
      </c>
      <c r="I27" s="50">
        <f t="shared" si="33"/>
        <v>206.8755</v>
      </c>
      <c r="J27" s="50">
        <f t="shared" si="33"/>
        <v>213.081765</v>
      </c>
      <c r="K27" s="50">
        <f t="shared" si="33"/>
        <v>219.474218</v>
      </c>
      <c r="L27" s="50">
        <f t="shared" si="33"/>
        <v>0</v>
      </c>
      <c r="M27" s="50">
        <f t="shared" si="33"/>
        <v>0</v>
      </c>
      <c r="O27" s="51">
        <v>18.75</v>
      </c>
      <c r="P27" s="51">
        <v>18.75</v>
      </c>
      <c r="Q27" s="51">
        <v>18.75</v>
      </c>
      <c r="R27" s="51">
        <v>18.75</v>
      </c>
      <c r="S27" s="51">
        <v>18.75</v>
      </c>
      <c r="T27" s="51">
        <v>18.75</v>
      </c>
      <c r="U27" s="51">
        <v>18.75</v>
      </c>
      <c r="V27" s="51">
        <v>18.75</v>
      </c>
      <c r="W27" s="51">
        <v>18.75</v>
      </c>
      <c r="X27" s="51">
        <v>18.75</v>
      </c>
      <c r="Y27" s="51">
        <v>18.75</v>
      </c>
      <c r="Z27" s="51">
        <v>18.75</v>
      </c>
      <c r="AA27" s="51">
        <v>18.75</v>
      </c>
      <c r="AB27" s="51">
        <v>18.75</v>
      </c>
      <c r="AC27" s="51">
        <v>18.75</v>
      </c>
      <c r="AD27" s="51">
        <v>18.75</v>
      </c>
      <c r="AE27" s="51">
        <v>18.75</v>
      </c>
      <c r="AF27" s="51">
        <v>18.75</v>
      </c>
      <c r="AG27" s="51">
        <v>18.75</v>
      </c>
      <c r="AH27" s="51">
        <v>18.75</v>
      </c>
      <c r="AI27" s="51">
        <v>18.75</v>
      </c>
      <c r="AJ27" s="51">
        <v>18.75</v>
      </c>
      <c r="AK27" s="51">
        <v>18.75</v>
      </c>
      <c r="AL27" s="51">
        <v>18.75</v>
      </c>
      <c r="AM27" s="51">
        <v>16.25</v>
      </c>
      <c r="AN27" s="51">
        <v>16.25</v>
      </c>
      <c r="AO27" s="51">
        <v>16.25</v>
      </c>
      <c r="AP27" s="51">
        <v>16.25</v>
      </c>
      <c r="AQ27" s="51">
        <v>16.25</v>
      </c>
      <c r="AR27" s="51">
        <v>16.25</v>
      </c>
      <c r="AS27" s="51">
        <v>16.25</v>
      </c>
      <c r="AT27" s="51">
        <v>14.224</v>
      </c>
      <c r="AU27" s="51">
        <v>16.25</v>
      </c>
      <c r="AV27" s="51">
        <v>16.25</v>
      </c>
      <c r="AW27" s="51">
        <v>16.25</v>
      </c>
      <c r="AX27" s="51">
        <v>16.25</v>
      </c>
      <c r="AY27" s="51">
        <v>16.7375</v>
      </c>
      <c r="AZ27" s="51">
        <v>16.7375</v>
      </c>
      <c r="BA27" s="51">
        <v>16.7375</v>
      </c>
      <c r="BB27" s="51">
        <v>16.7375</v>
      </c>
      <c r="BC27" s="51">
        <v>16.7375</v>
      </c>
      <c r="BD27" s="51">
        <v>16.7375</v>
      </c>
      <c r="BE27" s="51">
        <v>16.7375</v>
      </c>
      <c r="BF27" s="51">
        <v>16.7375</v>
      </c>
      <c r="BG27" s="51">
        <v>16.7375</v>
      </c>
      <c r="BH27" s="51">
        <v>16.7375</v>
      </c>
      <c r="BI27" s="51">
        <v>16.7375</v>
      </c>
      <c r="BJ27" s="51">
        <v>16.7375</v>
      </c>
      <c r="BK27" s="51">
        <v>17.239625</v>
      </c>
      <c r="BL27" s="51">
        <v>17.239625</v>
      </c>
      <c r="BM27" s="51">
        <v>17.239625</v>
      </c>
      <c r="BN27" s="51">
        <v>17.239625</v>
      </c>
      <c r="BO27" s="51">
        <v>17.239625</v>
      </c>
      <c r="BP27" s="51">
        <v>17.239625</v>
      </c>
      <c r="BQ27" s="51">
        <v>17.239625</v>
      </c>
      <c r="BR27" s="51">
        <v>17.239625</v>
      </c>
      <c r="BS27" s="51">
        <v>17.239625</v>
      </c>
      <c r="BT27" s="51">
        <v>17.239625</v>
      </c>
      <c r="BU27" s="51">
        <v>17.239625</v>
      </c>
      <c r="BV27" s="51">
        <v>17.239625</v>
      </c>
      <c r="BW27" s="51">
        <v>17.756813750000003</v>
      </c>
      <c r="BX27" s="51">
        <v>17.756813750000003</v>
      </c>
      <c r="BY27" s="51">
        <v>17.756813750000003</v>
      </c>
      <c r="BZ27" s="51">
        <v>17.756813750000003</v>
      </c>
      <c r="CA27" s="51">
        <v>17.756813750000003</v>
      </c>
      <c r="CB27" s="51">
        <v>17.756813750000003</v>
      </c>
      <c r="CC27" s="51">
        <v>17.756813750000003</v>
      </c>
      <c r="CD27" s="51">
        <v>17.756813750000003</v>
      </c>
      <c r="CE27" s="51">
        <v>17.756813750000003</v>
      </c>
      <c r="CF27" s="51">
        <v>17.756813750000003</v>
      </c>
      <c r="CG27" s="51">
        <v>17.756813750000003</v>
      </c>
      <c r="CH27" s="51">
        <v>17.756813750000003</v>
      </c>
      <c r="CI27" s="51">
        <v>18.289518162500002</v>
      </c>
      <c r="CJ27" s="51">
        <v>18.289518162500002</v>
      </c>
      <c r="CK27" s="51">
        <v>18.289518162500002</v>
      </c>
      <c r="CL27" s="51">
        <v>18.289518162500002</v>
      </c>
      <c r="CM27" s="51">
        <v>18.289518162500002</v>
      </c>
      <c r="CN27" s="51">
        <v>18.289518162500002</v>
      </c>
      <c r="CO27" s="51">
        <v>18.289518162500002</v>
      </c>
      <c r="CP27" s="51">
        <v>18.289518162500002</v>
      </c>
      <c r="CQ27" s="51">
        <v>18.289518162500002</v>
      </c>
      <c r="CR27" s="51">
        <v>18.289518162500002</v>
      </c>
      <c r="CS27" s="51">
        <v>18.289518162500002</v>
      </c>
      <c r="CT27" s="51">
        <v>18.289518162500002</v>
      </c>
      <c r="CU27" s="51">
        <v>0.0</v>
      </c>
      <c r="CV27" s="51">
        <v>0.0</v>
      </c>
      <c r="CW27" s="51">
        <v>0.0</v>
      </c>
      <c r="CX27" s="51">
        <v>0.0</v>
      </c>
      <c r="CY27" s="51">
        <v>0.0</v>
      </c>
      <c r="CZ27" s="51">
        <v>0.0</v>
      </c>
      <c r="DA27" s="51">
        <v>0.0</v>
      </c>
      <c r="DB27" s="51">
        <v>0.0</v>
      </c>
      <c r="DC27" s="51">
        <v>0.0</v>
      </c>
      <c r="DD27" s="51">
        <v>0.0</v>
      </c>
      <c r="DE27" s="51">
        <v>0.0</v>
      </c>
      <c r="DF27" s="51">
        <v>0.0</v>
      </c>
      <c r="DG27" s="51">
        <v>0.0</v>
      </c>
      <c r="DH27" s="51">
        <v>0.0</v>
      </c>
      <c r="DI27" s="51">
        <v>0.0</v>
      </c>
      <c r="DJ27" s="51">
        <v>0.0</v>
      </c>
      <c r="DK27" s="51">
        <v>0.0</v>
      </c>
      <c r="DL27" s="51">
        <v>0.0</v>
      </c>
      <c r="DM27" s="51">
        <v>0.0</v>
      </c>
      <c r="DN27" s="51">
        <v>0.0</v>
      </c>
      <c r="DO27" s="51">
        <v>0.0</v>
      </c>
      <c r="DP27" s="51">
        <v>0.0</v>
      </c>
      <c r="DQ27" s="51">
        <v>0.0</v>
      </c>
      <c r="DR27" s="51">
        <v>0.0</v>
      </c>
      <c r="DT27" s="50">
        <f t="shared" ref="DT27:DW27" si="34">+F27-E27</f>
        <v>0</v>
      </c>
      <c r="DU27" s="50">
        <f t="shared" si="34"/>
        <v>-32.026</v>
      </c>
      <c r="DV27" s="50">
        <f t="shared" si="34"/>
        <v>7.876</v>
      </c>
      <c r="DW27" s="50">
        <f t="shared" si="34"/>
        <v>6.0255</v>
      </c>
    </row>
    <row r="28" ht="15.75" hidden="1" customHeight="1" outlineLevel="1">
      <c r="B28" s="5" t="s">
        <v>88</v>
      </c>
      <c r="C28" s="72" t="s">
        <v>74</v>
      </c>
      <c r="E28" s="50">
        <f t="shared" ref="E28:M28" si="35">+SUMIFS($O28:$DR28,$O$7:$DR$7,E$7)</f>
        <v>0</v>
      </c>
      <c r="F28" s="50">
        <f t="shared" si="35"/>
        <v>132.384</v>
      </c>
      <c r="G28" s="50">
        <f t="shared" si="35"/>
        <v>221.112</v>
      </c>
      <c r="H28" s="50">
        <f t="shared" si="35"/>
        <v>230.926</v>
      </c>
      <c r="I28" s="50">
        <f t="shared" si="35"/>
        <v>237.854</v>
      </c>
      <c r="J28" s="50">
        <f t="shared" si="35"/>
        <v>244.989</v>
      </c>
      <c r="K28" s="50">
        <f t="shared" si="35"/>
        <v>252.339</v>
      </c>
      <c r="L28" s="50">
        <f t="shared" si="35"/>
        <v>259.90917</v>
      </c>
      <c r="M28" s="50">
        <f t="shared" si="35"/>
        <v>0</v>
      </c>
      <c r="O28" s="51">
        <v>0.0</v>
      </c>
      <c r="P28" s="51">
        <v>0.0</v>
      </c>
      <c r="Q28" s="51">
        <v>0.0</v>
      </c>
      <c r="R28" s="51">
        <v>0.0</v>
      </c>
      <c r="S28" s="51">
        <v>0.0</v>
      </c>
      <c r="T28" s="51">
        <v>0.0</v>
      </c>
      <c r="U28" s="51">
        <v>0.0</v>
      </c>
      <c r="V28" s="51">
        <v>0.0</v>
      </c>
      <c r="W28" s="51">
        <v>0.0</v>
      </c>
      <c r="X28" s="51">
        <v>0.0</v>
      </c>
      <c r="Y28" s="51">
        <v>0.0</v>
      </c>
      <c r="Z28" s="51">
        <v>0.0</v>
      </c>
      <c r="AA28" s="51">
        <v>11.667</v>
      </c>
      <c r="AB28" s="51">
        <v>11.667</v>
      </c>
      <c r="AC28" s="51">
        <v>11.666</v>
      </c>
      <c r="AD28" s="51">
        <v>11.667</v>
      </c>
      <c r="AE28" s="51">
        <v>11.667</v>
      </c>
      <c r="AF28" s="51">
        <v>4.0489999999999995</v>
      </c>
      <c r="AG28" s="51">
        <v>11.667</v>
      </c>
      <c r="AH28" s="51">
        <v>11.667</v>
      </c>
      <c r="AI28" s="51">
        <v>11.667</v>
      </c>
      <c r="AJ28" s="51">
        <v>11.667</v>
      </c>
      <c r="AK28" s="51">
        <v>11.667</v>
      </c>
      <c r="AL28" s="51">
        <v>11.666</v>
      </c>
      <c r="AM28" s="51">
        <v>18.684</v>
      </c>
      <c r="AN28" s="51">
        <v>18.684</v>
      </c>
      <c r="AO28" s="51">
        <v>18.684</v>
      </c>
      <c r="AP28" s="51">
        <v>18.683</v>
      </c>
      <c r="AQ28" s="51">
        <v>18.683</v>
      </c>
      <c r="AR28" s="51">
        <v>18.684</v>
      </c>
      <c r="AS28" s="51">
        <v>18.684</v>
      </c>
      <c r="AT28" s="51">
        <v>18.684</v>
      </c>
      <c r="AU28" s="51">
        <v>15.592</v>
      </c>
      <c r="AV28" s="51">
        <v>18.683</v>
      </c>
      <c r="AW28" s="51">
        <v>18.684</v>
      </c>
      <c r="AX28" s="51">
        <v>18.683</v>
      </c>
      <c r="AY28" s="51">
        <v>19.24383333333333</v>
      </c>
      <c r="AZ28" s="51">
        <v>19.24383333333333</v>
      </c>
      <c r="BA28" s="51">
        <v>19.24383333333333</v>
      </c>
      <c r="BB28" s="51">
        <v>19.24383333333333</v>
      </c>
      <c r="BC28" s="51">
        <v>19.24383333333333</v>
      </c>
      <c r="BD28" s="51">
        <v>19.24383333333333</v>
      </c>
      <c r="BE28" s="51">
        <v>19.24383333333333</v>
      </c>
      <c r="BF28" s="51">
        <v>19.24383333333333</v>
      </c>
      <c r="BG28" s="51">
        <v>19.24383333333333</v>
      </c>
      <c r="BH28" s="51">
        <v>19.24383333333333</v>
      </c>
      <c r="BI28" s="51">
        <v>19.24383333333333</v>
      </c>
      <c r="BJ28" s="51">
        <v>19.24383333333333</v>
      </c>
      <c r="BK28" s="51">
        <v>19.821166666666667</v>
      </c>
      <c r="BL28" s="51">
        <v>19.821166666666667</v>
      </c>
      <c r="BM28" s="51">
        <v>19.821166666666667</v>
      </c>
      <c r="BN28" s="51">
        <v>19.821166666666667</v>
      </c>
      <c r="BO28" s="51">
        <v>19.821166666666667</v>
      </c>
      <c r="BP28" s="51">
        <v>19.821166666666667</v>
      </c>
      <c r="BQ28" s="51">
        <v>19.821166666666667</v>
      </c>
      <c r="BR28" s="51">
        <v>19.821166666666667</v>
      </c>
      <c r="BS28" s="51">
        <v>19.821166666666667</v>
      </c>
      <c r="BT28" s="51">
        <v>19.821166666666667</v>
      </c>
      <c r="BU28" s="51">
        <v>19.821166666666667</v>
      </c>
      <c r="BV28" s="51">
        <v>19.821166666666667</v>
      </c>
      <c r="BW28" s="51">
        <v>20.41575</v>
      </c>
      <c r="BX28" s="51">
        <v>20.41575</v>
      </c>
      <c r="BY28" s="51">
        <v>20.41575</v>
      </c>
      <c r="BZ28" s="51">
        <v>20.41575</v>
      </c>
      <c r="CA28" s="51">
        <v>20.41575</v>
      </c>
      <c r="CB28" s="51">
        <v>20.41575</v>
      </c>
      <c r="CC28" s="51">
        <v>20.41575</v>
      </c>
      <c r="CD28" s="51">
        <v>20.41575</v>
      </c>
      <c r="CE28" s="51">
        <v>20.41575</v>
      </c>
      <c r="CF28" s="51">
        <v>20.41575</v>
      </c>
      <c r="CG28" s="51">
        <v>20.41575</v>
      </c>
      <c r="CH28" s="51">
        <v>20.41575</v>
      </c>
      <c r="CI28" s="51">
        <v>21.02825</v>
      </c>
      <c r="CJ28" s="51">
        <v>21.02825</v>
      </c>
      <c r="CK28" s="51">
        <v>21.02825</v>
      </c>
      <c r="CL28" s="51">
        <v>21.02825</v>
      </c>
      <c r="CM28" s="51">
        <v>21.02825</v>
      </c>
      <c r="CN28" s="51">
        <v>21.02825</v>
      </c>
      <c r="CO28" s="51">
        <v>21.02825</v>
      </c>
      <c r="CP28" s="51">
        <v>21.02825</v>
      </c>
      <c r="CQ28" s="51">
        <v>21.02825</v>
      </c>
      <c r="CR28" s="51">
        <v>21.02825</v>
      </c>
      <c r="CS28" s="51">
        <v>21.02825</v>
      </c>
      <c r="CT28" s="51">
        <v>21.02825</v>
      </c>
      <c r="CU28" s="51">
        <v>21.6590975</v>
      </c>
      <c r="CV28" s="51">
        <v>21.6590975</v>
      </c>
      <c r="CW28" s="51">
        <v>21.6590975</v>
      </c>
      <c r="CX28" s="51">
        <v>21.6590975</v>
      </c>
      <c r="CY28" s="51">
        <v>21.6590975</v>
      </c>
      <c r="CZ28" s="51">
        <v>21.6590975</v>
      </c>
      <c r="DA28" s="51">
        <v>21.6590975</v>
      </c>
      <c r="DB28" s="51">
        <v>21.6590975</v>
      </c>
      <c r="DC28" s="51">
        <v>21.6590975</v>
      </c>
      <c r="DD28" s="51">
        <v>21.6590975</v>
      </c>
      <c r="DE28" s="51">
        <v>21.6590975</v>
      </c>
      <c r="DF28" s="51">
        <v>21.6590975</v>
      </c>
      <c r="DG28" s="51">
        <v>0.0</v>
      </c>
      <c r="DH28" s="51">
        <v>0.0</v>
      </c>
      <c r="DI28" s="51">
        <v>0.0</v>
      </c>
      <c r="DJ28" s="51">
        <v>0.0</v>
      </c>
      <c r="DK28" s="51">
        <v>0.0</v>
      </c>
      <c r="DL28" s="51">
        <v>0.0</v>
      </c>
      <c r="DM28" s="51">
        <v>0.0</v>
      </c>
      <c r="DN28" s="51">
        <v>0.0</v>
      </c>
      <c r="DO28" s="51">
        <v>0.0</v>
      </c>
      <c r="DP28" s="51">
        <v>0.0</v>
      </c>
      <c r="DQ28" s="51">
        <v>0.0</v>
      </c>
      <c r="DR28" s="51">
        <v>0.0</v>
      </c>
      <c r="DT28" s="50">
        <f t="shared" ref="DT28:DW28" si="36">+F28-E28</f>
        <v>132.384</v>
      </c>
      <c r="DU28" s="50">
        <f t="shared" si="36"/>
        <v>88.728</v>
      </c>
      <c r="DV28" s="50">
        <f t="shared" si="36"/>
        <v>9.814</v>
      </c>
      <c r="DW28" s="50">
        <f t="shared" si="36"/>
        <v>6.928</v>
      </c>
    </row>
    <row r="29" ht="15.75" hidden="1" customHeight="1" outlineLevel="1">
      <c r="B29" s="5" t="s">
        <v>89</v>
      </c>
      <c r="C29" s="72" t="s">
        <v>76</v>
      </c>
      <c r="E29" s="50">
        <f t="shared" ref="E29:M29" si="37">+SUMIFS($O29:$DR29,$O$7:$DR$7,E$7)</f>
        <v>793.72</v>
      </c>
      <c r="F29" s="50">
        <f t="shared" si="37"/>
        <v>819.675</v>
      </c>
      <c r="G29" s="50">
        <f t="shared" si="37"/>
        <v>844.263</v>
      </c>
      <c r="H29" s="50">
        <f t="shared" si="37"/>
        <v>869.699</v>
      </c>
      <c r="I29" s="50">
        <f t="shared" si="37"/>
        <v>777.456</v>
      </c>
      <c r="J29" s="50">
        <f t="shared" si="37"/>
        <v>184.512</v>
      </c>
      <c r="K29" s="50">
        <f t="shared" si="37"/>
        <v>0</v>
      </c>
      <c r="L29" s="50">
        <f t="shared" si="37"/>
        <v>0</v>
      </c>
      <c r="M29" s="50">
        <f t="shared" si="37"/>
        <v>0</v>
      </c>
      <c r="O29" s="51">
        <v>64.234</v>
      </c>
      <c r="P29" s="51">
        <v>66.317</v>
      </c>
      <c r="Q29" s="51">
        <v>66.317</v>
      </c>
      <c r="R29" s="51">
        <v>66.317</v>
      </c>
      <c r="S29" s="51">
        <v>66.317</v>
      </c>
      <c r="T29" s="51">
        <v>66.317</v>
      </c>
      <c r="U29" s="51">
        <v>66.317</v>
      </c>
      <c r="V29" s="51">
        <v>66.317</v>
      </c>
      <c r="W29" s="51">
        <v>66.316</v>
      </c>
      <c r="X29" s="51">
        <v>66.317</v>
      </c>
      <c r="Y29" s="51">
        <v>66.317</v>
      </c>
      <c r="Z29" s="51">
        <v>66.317</v>
      </c>
      <c r="AA29" s="51">
        <v>68.306</v>
      </c>
      <c r="AB29" s="51">
        <v>68.306</v>
      </c>
      <c r="AC29" s="51">
        <v>68.307</v>
      </c>
      <c r="AD29" s="51">
        <v>68.307</v>
      </c>
      <c r="AE29" s="51">
        <v>68.307</v>
      </c>
      <c r="AF29" s="51">
        <v>68.306</v>
      </c>
      <c r="AG29" s="51">
        <v>68.306</v>
      </c>
      <c r="AH29" s="51">
        <v>68.306</v>
      </c>
      <c r="AI29" s="51">
        <v>68.306</v>
      </c>
      <c r="AJ29" s="51">
        <v>68.306</v>
      </c>
      <c r="AK29" s="51">
        <v>68.306</v>
      </c>
      <c r="AL29" s="51">
        <v>68.306</v>
      </c>
      <c r="AM29" s="51">
        <v>70.355</v>
      </c>
      <c r="AN29" s="51">
        <v>70.355</v>
      </c>
      <c r="AO29" s="51">
        <v>70.355</v>
      </c>
      <c r="AP29" s="51">
        <v>70.355</v>
      </c>
      <c r="AQ29" s="51">
        <v>70.356</v>
      </c>
      <c r="AR29" s="51">
        <v>70.355</v>
      </c>
      <c r="AS29" s="51">
        <v>70.355</v>
      </c>
      <c r="AT29" s="51">
        <v>70.355</v>
      </c>
      <c r="AU29" s="51">
        <v>70.355</v>
      </c>
      <c r="AV29" s="51">
        <v>70.355</v>
      </c>
      <c r="AW29" s="51">
        <v>70.356</v>
      </c>
      <c r="AX29" s="51">
        <v>70.356</v>
      </c>
      <c r="AY29" s="51">
        <v>72.475</v>
      </c>
      <c r="AZ29" s="51">
        <v>72.475</v>
      </c>
      <c r="BA29" s="51">
        <v>72.475</v>
      </c>
      <c r="BB29" s="51">
        <v>72.475</v>
      </c>
      <c r="BC29" s="51">
        <v>72.475</v>
      </c>
      <c r="BD29" s="51">
        <v>72.475</v>
      </c>
      <c r="BE29" s="51">
        <v>72.475</v>
      </c>
      <c r="BF29" s="51">
        <v>72.474</v>
      </c>
      <c r="BG29" s="51">
        <v>72.475</v>
      </c>
      <c r="BH29" s="51">
        <v>72.475</v>
      </c>
      <c r="BI29" s="51">
        <v>72.475</v>
      </c>
      <c r="BJ29" s="51">
        <v>72.475</v>
      </c>
      <c r="BK29" s="51">
        <v>74.64</v>
      </c>
      <c r="BL29" s="51">
        <v>74.64</v>
      </c>
      <c r="BM29" s="51">
        <v>74.64</v>
      </c>
      <c r="BN29" s="51">
        <v>61.504</v>
      </c>
      <c r="BO29" s="51">
        <v>61.504</v>
      </c>
      <c r="BP29" s="51">
        <v>61.504</v>
      </c>
      <c r="BQ29" s="51">
        <v>61.504</v>
      </c>
      <c r="BR29" s="51">
        <v>61.504</v>
      </c>
      <c r="BS29" s="51">
        <v>61.504</v>
      </c>
      <c r="BT29" s="51">
        <v>61.504</v>
      </c>
      <c r="BU29" s="51">
        <v>61.504</v>
      </c>
      <c r="BV29" s="51">
        <v>61.504</v>
      </c>
      <c r="BW29" s="51">
        <v>61.504</v>
      </c>
      <c r="BX29" s="51">
        <v>61.504</v>
      </c>
      <c r="BY29" s="51">
        <v>61.504</v>
      </c>
      <c r="BZ29" s="51">
        <v>0.0</v>
      </c>
      <c r="CA29" s="51">
        <v>0.0</v>
      </c>
      <c r="CB29" s="51">
        <v>0.0</v>
      </c>
      <c r="CC29" s="51">
        <v>0.0</v>
      </c>
      <c r="CD29" s="51">
        <v>0.0</v>
      </c>
      <c r="CE29" s="51">
        <v>0.0</v>
      </c>
      <c r="CF29" s="51">
        <v>0.0</v>
      </c>
      <c r="CG29" s="51">
        <v>0.0</v>
      </c>
      <c r="CH29" s="51">
        <v>0.0</v>
      </c>
      <c r="CI29" s="51">
        <v>0.0</v>
      </c>
      <c r="CJ29" s="51">
        <v>0.0</v>
      </c>
      <c r="CK29" s="51">
        <v>0.0</v>
      </c>
      <c r="CL29" s="51">
        <v>0.0</v>
      </c>
      <c r="CM29" s="51">
        <v>0.0</v>
      </c>
      <c r="CN29" s="51">
        <v>0.0</v>
      </c>
      <c r="CO29" s="51">
        <v>0.0</v>
      </c>
      <c r="CP29" s="51">
        <v>0.0</v>
      </c>
      <c r="CQ29" s="51">
        <v>0.0</v>
      </c>
      <c r="CR29" s="51">
        <v>0.0</v>
      </c>
      <c r="CS29" s="51">
        <v>0.0</v>
      </c>
      <c r="CT29" s="51">
        <v>0.0</v>
      </c>
      <c r="CU29" s="51">
        <v>0.0</v>
      </c>
      <c r="CV29" s="51">
        <v>0.0</v>
      </c>
      <c r="CW29" s="51">
        <v>0.0</v>
      </c>
      <c r="CX29" s="51">
        <v>0.0</v>
      </c>
      <c r="CY29" s="51">
        <v>0.0</v>
      </c>
      <c r="CZ29" s="51">
        <v>0.0</v>
      </c>
      <c r="DA29" s="51">
        <v>0.0</v>
      </c>
      <c r="DB29" s="51">
        <v>0.0</v>
      </c>
      <c r="DC29" s="51">
        <v>0.0</v>
      </c>
      <c r="DD29" s="51">
        <v>0.0</v>
      </c>
      <c r="DE29" s="51">
        <v>0.0</v>
      </c>
      <c r="DF29" s="51">
        <v>0.0</v>
      </c>
      <c r="DG29" s="51">
        <v>0.0</v>
      </c>
      <c r="DH29" s="51">
        <v>0.0</v>
      </c>
      <c r="DI29" s="51">
        <v>0.0</v>
      </c>
      <c r="DJ29" s="51">
        <v>0.0</v>
      </c>
      <c r="DK29" s="51">
        <v>0.0</v>
      </c>
      <c r="DL29" s="51">
        <v>0.0</v>
      </c>
      <c r="DM29" s="51">
        <v>0.0</v>
      </c>
      <c r="DN29" s="51">
        <v>0.0</v>
      </c>
      <c r="DO29" s="51">
        <v>0.0</v>
      </c>
      <c r="DP29" s="51">
        <v>0.0</v>
      </c>
      <c r="DQ29" s="51">
        <v>0.0</v>
      </c>
      <c r="DR29" s="51">
        <v>0.0</v>
      </c>
      <c r="DT29" s="50">
        <f t="shared" ref="DT29:DW29" si="38">+F29-E29</f>
        <v>25.955</v>
      </c>
      <c r="DU29" s="50">
        <f t="shared" si="38"/>
        <v>24.588</v>
      </c>
      <c r="DV29" s="50">
        <f t="shared" si="38"/>
        <v>25.436</v>
      </c>
      <c r="DW29" s="50">
        <f t="shared" si="38"/>
        <v>-92.243</v>
      </c>
    </row>
    <row r="30" ht="15.75" hidden="1" customHeight="1" outlineLevel="1">
      <c r="B30" s="5" t="s">
        <v>90</v>
      </c>
      <c r="C30" s="72" t="s">
        <v>74</v>
      </c>
      <c r="E30" s="50">
        <f t="shared" ref="E30:M30" si="39">+SUMIFS($O30:$DR30,$O$7:$DR$7,E$7)</f>
        <v>0</v>
      </c>
      <c r="F30" s="50">
        <f t="shared" si="39"/>
        <v>0</v>
      </c>
      <c r="G30" s="50">
        <f t="shared" si="39"/>
        <v>0</v>
      </c>
      <c r="H30" s="50">
        <f t="shared" si="39"/>
        <v>174.1935484</v>
      </c>
      <c r="I30" s="50">
        <f t="shared" si="39"/>
        <v>230.62</v>
      </c>
      <c r="J30" s="50">
        <f t="shared" si="39"/>
        <v>237.544</v>
      </c>
      <c r="K30" s="50">
        <f t="shared" si="39"/>
        <v>244.674</v>
      </c>
      <c r="L30" s="50">
        <f t="shared" si="39"/>
        <v>252.008</v>
      </c>
      <c r="M30" s="50">
        <f t="shared" si="39"/>
        <v>42.206</v>
      </c>
      <c r="O30" s="51">
        <v>0.0</v>
      </c>
      <c r="P30" s="51">
        <v>0.0</v>
      </c>
      <c r="Q30" s="51">
        <v>0.0</v>
      </c>
      <c r="R30" s="51">
        <v>0.0</v>
      </c>
      <c r="S30" s="51">
        <v>0.0</v>
      </c>
      <c r="T30" s="51">
        <v>0.0</v>
      </c>
      <c r="U30" s="51">
        <v>0.0</v>
      </c>
      <c r="V30" s="51">
        <v>0.0</v>
      </c>
      <c r="W30" s="51">
        <v>0.0</v>
      </c>
      <c r="X30" s="51">
        <v>0.0</v>
      </c>
      <c r="Y30" s="51">
        <v>0.0</v>
      </c>
      <c r="Z30" s="51">
        <v>0.0</v>
      </c>
      <c r="AA30" s="51">
        <v>0.0</v>
      </c>
      <c r="AB30" s="51">
        <v>0.0</v>
      </c>
      <c r="AC30" s="51">
        <v>0.0</v>
      </c>
      <c r="AD30" s="51">
        <v>0.0</v>
      </c>
      <c r="AE30" s="51">
        <v>0.0</v>
      </c>
      <c r="AF30" s="51">
        <v>0.0</v>
      </c>
      <c r="AG30" s="51">
        <v>0.0</v>
      </c>
      <c r="AH30" s="51">
        <v>0.0</v>
      </c>
      <c r="AI30" s="51">
        <v>0.0</v>
      </c>
      <c r="AJ30" s="51">
        <v>0.0</v>
      </c>
      <c r="AK30" s="51">
        <v>0.0</v>
      </c>
      <c r="AL30" s="51">
        <v>0.0</v>
      </c>
      <c r="AM30" s="51">
        <v>0.0</v>
      </c>
      <c r="AN30" s="51">
        <v>0.0</v>
      </c>
      <c r="AO30" s="51">
        <v>0.0</v>
      </c>
      <c r="AP30" s="51">
        <v>0.0</v>
      </c>
      <c r="AQ30" s="51">
        <v>0.0</v>
      </c>
      <c r="AR30" s="51">
        <v>0.0</v>
      </c>
      <c r="AS30" s="51">
        <v>0.0</v>
      </c>
      <c r="AT30" s="51">
        <v>0.0</v>
      </c>
      <c r="AU30" s="51">
        <v>0.0</v>
      </c>
      <c r="AV30" s="51">
        <v>0.0</v>
      </c>
      <c r="AW30" s="51">
        <v>0.0</v>
      </c>
      <c r="AX30" s="51">
        <v>0.0</v>
      </c>
      <c r="AY30" s="51">
        <v>0.0</v>
      </c>
      <c r="AZ30" s="51">
        <v>0.0</v>
      </c>
      <c r="BA30" s="51">
        <v>5.443548387096775</v>
      </c>
      <c r="BB30" s="51">
        <v>18.75</v>
      </c>
      <c r="BC30" s="51">
        <v>18.75</v>
      </c>
      <c r="BD30" s="51">
        <v>18.75</v>
      </c>
      <c r="BE30" s="51">
        <v>18.75</v>
      </c>
      <c r="BF30" s="51">
        <v>18.75</v>
      </c>
      <c r="BG30" s="51">
        <v>18.75</v>
      </c>
      <c r="BH30" s="51">
        <v>18.75</v>
      </c>
      <c r="BI30" s="51">
        <v>18.75</v>
      </c>
      <c r="BJ30" s="51">
        <v>18.75</v>
      </c>
      <c r="BK30" s="51">
        <v>18.75</v>
      </c>
      <c r="BL30" s="51">
        <v>18.75</v>
      </c>
      <c r="BM30" s="51">
        <v>19.312</v>
      </c>
      <c r="BN30" s="51">
        <v>19.312</v>
      </c>
      <c r="BO30" s="51">
        <v>19.312</v>
      </c>
      <c r="BP30" s="51">
        <v>19.312</v>
      </c>
      <c r="BQ30" s="51">
        <v>19.312</v>
      </c>
      <c r="BR30" s="51">
        <v>19.312</v>
      </c>
      <c r="BS30" s="51">
        <v>19.312</v>
      </c>
      <c r="BT30" s="51">
        <v>19.312</v>
      </c>
      <c r="BU30" s="51">
        <v>19.312</v>
      </c>
      <c r="BV30" s="51">
        <v>19.312</v>
      </c>
      <c r="BW30" s="51">
        <v>19.312</v>
      </c>
      <c r="BX30" s="51">
        <v>19.312</v>
      </c>
      <c r="BY30" s="51">
        <v>19.892</v>
      </c>
      <c r="BZ30" s="51">
        <v>19.892</v>
      </c>
      <c r="CA30" s="51">
        <v>19.892</v>
      </c>
      <c r="CB30" s="51">
        <v>19.892</v>
      </c>
      <c r="CC30" s="51">
        <v>19.892</v>
      </c>
      <c r="CD30" s="51">
        <v>19.892</v>
      </c>
      <c r="CE30" s="51">
        <v>19.892</v>
      </c>
      <c r="CF30" s="51">
        <v>19.892</v>
      </c>
      <c r="CG30" s="51">
        <v>19.892</v>
      </c>
      <c r="CH30" s="51">
        <v>19.892</v>
      </c>
      <c r="CI30" s="51">
        <v>19.892</v>
      </c>
      <c r="CJ30" s="51">
        <v>19.892</v>
      </c>
      <c r="CK30" s="51">
        <v>20.489</v>
      </c>
      <c r="CL30" s="51">
        <v>20.489</v>
      </c>
      <c r="CM30" s="51">
        <v>20.489</v>
      </c>
      <c r="CN30" s="51">
        <v>20.489</v>
      </c>
      <c r="CO30" s="51">
        <v>20.489</v>
      </c>
      <c r="CP30" s="51">
        <v>20.489</v>
      </c>
      <c r="CQ30" s="51">
        <v>20.489</v>
      </c>
      <c r="CR30" s="51">
        <v>20.489</v>
      </c>
      <c r="CS30" s="51">
        <v>20.489</v>
      </c>
      <c r="CT30" s="51">
        <v>20.489</v>
      </c>
      <c r="CU30" s="51">
        <v>20.489</v>
      </c>
      <c r="CV30" s="51">
        <v>20.489</v>
      </c>
      <c r="CW30" s="51">
        <v>21.103</v>
      </c>
      <c r="CX30" s="51">
        <v>21.103</v>
      </c>
      <c r="CY30" s="51">
        <v>21.103</v>
      </c>
      <c r="CZ30" s="51">
        <v>21.103</v>
      </c>
      <c r="DA30" s="51">
        <v>21.103</v>
      </c>
      <c r="DB30" s="51">
        <v>21.103</v>
      </c>
      <c r="DC30" s="51">
        <v>21.103</v>
      </c>
      <c r="DD30" s="51">
        <v>21.103</v>
      </c>
      <c r="DE30" s="51">
        <v>21.103</v>
      </c>
      <c r="DF30" s="51">
        <v>21.103</v>
      </c>
      <c r="DG30" s="51">
        <v>21.103</v>
      </c>
      <c r="DH30" s="51">
        <v>21.103</v>
      </c>
      <c r="DI30" s="51">
        <v>0.0</v>
      </c>
      <c r="DJ30" s="51">
        <v>0.0</v>
      </c>
      <c r="DK30" s="51">
        <v>0.0</v>
      </c>
      <c r="DL30" s="51">
        <v>0.0</v>
      </c>
      <c r="DM30" s="51">
        <v>0.0</v>
      </c>
      <c r="DN30" s="51">
        <v>0.0</v>
      </c>
      <c r="DO30" s="51">
        <v>0.0</v>
      </c>
      <c r="DP30" s="51">
        <v>0.0</v>
      </c>
      <c r="DQ30" s="51">
        <v>0.0</v>
      </c>
      <c r="DR30" s="51">
        <v>0.0</v>
      </c>
      <c r="DT30" s="50">
        <f t="shared" ref="DT30:DW30" si="40">+F30-E30</f>
        <v>0</v>
      </c>
      <c r="DU30" s="50">
        <f t="shared" si="40"/>
        <v>0</v>
      </c>
      <c r="DV30" s="50">
        <f t="shared" si="40"/>
        <v>174.1935484</v>
      </c>
      <c r="DW30" s="50">
        <f t="shared" si="40"/>
        <v>56.42645161</v>
      </c>
    </row>
    <row r="31" ht="15.75" hidden="1" customHeight="1" outlineLevel="1">
      <c r="B31" s="5" t="s">
        <v>91</v>
      </c>
      <c r="C31" s="72" t="s">
        <v>74</v>
      </c>
      <c r="E31" s="50">
        <f t="shared" ref="E31:M31" si="41">+SUMIFS($O31:$DR31,$O$7:$DR$7,E$7)</f>
        <v>296.658</v>
      </c>
      <c r="F31" s="50">
        <f t="shared" si="41"/>
        <v>305.559</v>
      </c>
      <c r="G31" s="50">
        <f t="shared" si="41"/>
        <v>310.341</v>
      </c>
      <c r="H31" s="50">
        <f t="shared" si="41"/>
        <v>324.168</v>
      </c>
      <c r="I31" s="50">
        <f t="shared" si="41"/>
        <v>333.893</v>
      </c>
      <c r="J31" s="50">
        <f t="shared" si="41"/>
        <v>343.90979</v>
      </c>
      <c r="K31" s="50">
        <f t="shared" si="41"/>
        <v>354.2273</v>
      </c>
      <c r="L31" s="50">
        <f t="shared" si="41"/>
        <v>364.854119</v>
      </c>
      <c r="M31" s="50">
        <f t="shared" si="41"/>
        <v>0</v>
      </c>
      <c r="O31" s="51">
        <v>24.722</v>
      </c>
      <c r="P31" s="51">
        <v>24.721</v>
      </c>
      <c r="Q31" s="51">
        <v>24.721</v>
      </c>
      <c r="R31" s="51">
        <v>24.721</v>
      </c>
      <c r="S31" s="51">
        <v>24.721</v>
      </c>
      <c r="T31" s="51">
        <v>24.722</v>
      </c>
      <c r="U31" s="51">
        <v>24.722</v>
      </c>
      <c r="V31" s="51">
        <v>24.722</v>
      </c>
      <c r="W31" s="51">
        <v>24.722</v>
      </c>
      <c r="X31" s="51">
        <v>24.721</v>
      </c>
      <c r="Y31" s="51">
        <v>24.721</v>
      </c>
      <c r="Z31" s="51">
        <v>24.722</v>
      </c>
      <c r="AA31" s="51">
        <v>25.464</v>
      </c>
      <c r="AB31" s="51">
        <v>25.464</v>
      </c>
      <c r="AC31" s="51">
        <v>25.463</v>
      </c>
      <c r="AD31" s="51">
        <v>25.463</v>
      </c>
      <c r="AE31" s="51">
        <v>25.463</v>
      </c>
      <c r="AF31" s="51">
        <v>25.463</v>
      </c>
      <c r="AG31" s="51">
        <v>25.463</v>
      </c>
      <c r="AH31" s="51">
        <v>25.463</v>
      </c>
      <c r="AI31" s="51">
        <v>25.463</v>
      </c>
      <c r="AJ31" s="51">
        <v>25.463</v>
      </c>
      <c r="AK31" s="51">
        <v>25.463</v>
      </c>
      <c r="AL31" s="51">
        <v>25.464</v>
      </c>
      <c r="AM31" s="51">
        <v>26.227</v>
      </c>
      <c r="AN31" s="51">
        <v>26.227</v>
      </c>
      <c r="AO31" s="51">
        <v>26.227</v>
      </c>
      <c r="AP31" s="51">
        <v>26.227</v>
      </c>
      <c r="AQ31" s="51">
        <v>26.227</v>
      </c>
      <c r="AR31" s="51">
        <v>26.227</v>
      </c>
      <c r="AS31" s="51">
        <v>26.227</v>
      </c>
      <c r="AT31" s="51">
        <v>26.227</v>
      </c>
      <c r="AU31" s="51">
        <v>21.843</v>
      </c>
      <c r="AV31" s="51">
        <v>26.228</v>
      </c>
      <c r="AW31" s="51">
        <v>26.227</v>
      </c>
      <c r="AX31" s="51">
        <v>26.227</v>
      </c>
      <c r="AY31" s="51">
        <v>27.014</v>
      </c>
      <c r="AZ31" s="51">
        <v>27.014</v>
      </c>
      <c r="BA31" s="51">
        <v>27.014</v>
      </c>
      <c r="BB31" s="51">
        <v>27.014</v>
      </c>
      <c r="BC31" s="51">
        <v>27.014</v>
      </c>
      <c r="BD31" s="51">
        <v>27.014</v>
      </c>
      <c r="BE31" s="51">
        <v>27.014</v>
      </c>
      <c r="BF31" s="51">
        <v>27.014</v>
      </c>
      <c r="BG31" s="51">
        <v>27.014</v>
      </c>
      <c r="BH31" s="51">
        <v>27.014</v>
      </c>
      <c r="BI31" s="51">
        <v>27.014</v>
      </c>
      <c r="BJ31" s="51">
        <v>27.014</v>
      </c>
      <c r="BK31" s="51">
        <v>27.824416666666668</v>
      </c>
      <c r="BL31" s="51">
        <v>27.824416666666668</v>
      </c>
      <c r="BM31" s="51">
        <v>27.824416666666668</v>
      </c>
      <c r="BN31" s="51">
        <v>27.824416666666668</v>
      </c>
      <c r="BO31" s="51">
        <v>27.824416666666668</v>
      </c>
      <c r="BP31" s="51">
        <v>27.824416666666668</v>
      </c>
      <c r="BQ31" s="51">
        <v>27.824416666666668</v>
      </c>
      <c r="BR31" s="51">
        <v>27.824416666666668</v>
      </c>
      <c r="BS31" s="51">
        <v>27.824416666666668</v>
      </c>
      <c r="BT31" s="51">
        <v>27.824416666666668</v>
      </c>
      <c r="BU31" s="51">
        <v>27.824416666666668</v>
      </c>
      <c r="BV31" s="51">
        <v>27.824416666666668</v>
      </c>
      <c r="BW31" s="51">
        <v>28.65914916666667</v>
      </c>
      <c r="BX31" s="51">
        <v>28.65914916666667</v>
      </c>
      <c r="BY31" s="51">
        <v>28.65914916666667</v>
      </c>
      <c r="BZ31" s="51">
        <v>28.65914916666667</v>
      </c>
      <c r="CA31" s="51">
        <v>28.65914916666667</v>
      </c>
      <c r="CB31" s="51">
        <v>28.65914916666667</v>
      </c>
      <c r="CC31" s="51">
        <v>28.65914916666667</v>
      </c>
      <c r="CD31" s="51">
        <v>28.65914916666667</v>
      </c>
      <c r="CE31" s="51">
        <v>28.65914916666667</v>
      </c>
      <c r="CF31" s="51">
        <v>28.65914916666667</v>
      </c>
      <c r="CG31" s="51">
        <v>28.65914916666667</v>
      </c>
      <c r="CH31" s="51">
        <v>28.65914916666667</v>
      </c>
      <c r="CI31" s="51">
        <v>29.518941666666667</v>
      </c>
      <c r="CJ31" s="51">
        <v>29.518941666666667</v>
      </c>
      <c r="CK31" s="51">
        <v>29.518941666666667</v>
      </c>
      <c r="CL31" s="51">
        <v>29.518941666666667</v>
      </c>
      <c r="CM31" s="51">
        <v>29.518941666666667</v>
      </c>
      <c r="CN31" s="51">
        <v>29.518941666666667</v>
      </c>
      <c r="CO31" s="51">
        <v>29.518941666666667</v>
      </c>
      <c r="CP31" s="51">
        <v>29.518941666666667</v>
      </c>
      <c r="CQ31" s="51">
        <v>29.518941666666667</v>
      </c>
      <c r="CR31" s="51">
        <v>29.518941666666667</v>
      </c>
      <c r="CS31" s="51">
        <v>29.518941666666667</v>
      </c>
      <c r="CT31" s="51">
        <v>29.518941666666667</v>
      </c>
      <c r="CU31" s="51">
        <v>30.404509916666665</v>
      </c>
      <c r="CV31" s="51">
        <v>30.404509916666665</v>
      </c>
      <c r="CW31" s="51">
        <v>30.404509916666665</v>
      </c>
      <c r="CX31" s="51">
        <v>30.404509916666665</v>
      </c>
      <c r="CY31" s="51">
        <v>30.404509916666665</v>
      </c>
      <c r="CZ31" s="51">
        <v>30.404509916666665</v>
      </c>
      <c r="DA31" s="51">
        <v>30.404509916666665</v>
      </c>
      <c r="DB31" s="51">
        <v>30.404509916666665</v>
      </c>
      <c r="DC31" s="51">
        <v>30.404509916666665</v>
      </c>
      <c r="DD31" s="51">
        <v>30.404509916666665</v>
      </c>
      <c r="DE31" s="51">
        <v>30.404509916666665</v>
      </c>
      <c r="DF31" s="51">
        <v>30.404509916666665</v>
      </c>
      <c r="DG31" s="51">
        <v>0.0</v>
      </c>
      <c r="DH31" s="51">
        <v>0.0</v>
      </c>
      <c r="DI31" s="51">
        <v>0.0</v>
      </c>
      <c r="DJ31" s="51">
        <v>0.0</v>
      </c>
      <c r="DK31" s="51">
        <v>0.0</v>
      </c>
      <c r="DL31" s="51">
        <v>0.0</v>
      </c>
      <c r="DM31" s="51">
        <v>0.0</v>
      </c>
      <c r="DN31" s="51">
        <v>0.0</v>
      </c>
      <c r="DO31" s="51">
        <v>0.0</v>
      </c>
      <c r="DP31" s="51">
        <v>0.0</v>
      </c>
      <c r="DQ31" s="51">
        <v>0.0</v>
      </c>
      <c r="DR31" s="51">
        <v>0.0</v>
      </c>
      <c r="DT31" s="50">
        <f t="shared" ref="DT31:DW31" si="42">+F31-E31</f>
        <v>8.901</v>
      </c>
      <c r="DU31" s="50">
        <f t="shared" si="42"/>
        <v>4.782</v>
      </c>
      <c r="DV31" s="50">
        <f t="shared" si="42"/>
        <v>13.827</v>
      </c>
      <c r="DW31" s="50">
        <f t="shared" si="42"/>
        <v>9.725</v>
      </c>
    </row>
    <row r="32" ht="15.75" hidden="1" customHeight="1" outlineLevel="1">
      <c r="B32" s="5" t="s">
        <v>92</v>
      </c>
      <c r="C32" s="72" t="s">
        <v>76</v>
      </c>
      <c r="E32" s="50">
        <f t="shared" ref="E32:M32" si="43">+SUMIFS($O32:$DR32,$O$7:$DR$7,E$7)</f>
        <v>451.09</v>
      </c>
      <c r="F32" s="50">
        <f t="shared" si="43"/>
        <v>401.479</v>
      </c>
      <c r="G32" s="50">
        <f t="shared" si="43"/>
        <v>429.089</v>
      </c>
      <c r="H32" s="50">
        <f t="shared" si="43"/>
        <v>450.103</v>
      </c>
      <c r="I32" s="50">
        <f t="shared" si="43"/>
        <v>525.444</v>
      </c>
      <c r="J32" s="50">
        <f t="shared" si="43"/>
        <v>543.3</v>
      </c>
      <c r="K32" s="50">
        <f t="shared" si="43"/>
        <v>561.78</v>
      </c>
      <c r="L32" s="50">
        <f t="shared" si="43"/>
        <v>580.872</v>
      </c>
      <c r="M32" s="50">
        <f t="shared" si="43"/>
        <v>600.624</v>
      </c>
      <c r="O32" s="51">
        <v>40.402</v>
      </c>
      <c r="P32" s="51">
        <v>40.312</v>
      </c>
      <c r="Q32" s="51">
        <v>40.413000000000004</v>
      </c>
      <c r="R32" s="51">
        <v>40.413000000000004</v>
      </c>
      <c r="S32" s="51">
        <v>40.413000000000004</v>
      </c>
      <c r="T32" s="51">
        <v>40.411</v>
      </c>
      <c r="U32" s="51">
        <v>34.787000000000006</v>
      </c>
      <c r="V32" s="51">
        <v>34.787000000000006</v>
      </c>
      <c r="W32" s="51">
        <v>34.788</v>
      </c>
      <c r="X32" s="51">
        <v>34.788</v>
      </c>
      <c r="Y32" s="51">
        <v>34.788</v>
      </c>
      <c r="Z32" s="51">
        <v>34.788</v>
      </c>
      <c r="AA32" s="51">
        <v>34.988</v>
      </c>
      <c r="AB32" s="51">
        <v>34.988</v>
      </c>
      <c r="AC32" s="51">
        <v>34.987</v>
      </c>
      <c r="AD32" s="51">
        <v>34.988</v>
      </c>
      <c r="AE32" s="51">
        <v>32.691</v>
      </c>
      <c r="AF32" s="51">
        <v>32.691</v>
      </c>
      <c r="AG32" s="51">
        <v>32.691</v>
      </c>
      <c r="AH32" s="51">
        <v>32.691</v>
      </c>
      <c r="AI32" s="51">
        <v>32.691</v>
      </c>
      <c r="AJ32" s="51">
        <v>32.691</v>
      </c>
      <c r="AK32" s="51">
        <v>32.691</v>
      </c>
      <c r="AL32" s="51">
        <v>32.691</v>
      </c>
      <c r="AM32" s="51">
        <v>36.276</v>
      </c>
      <c r="AN32" s="51">
        <v>36.276</v>
      </c>
      <c r="AO32" s="51">
        <v>36.276</v>
      </c>
      <c r="AP32" s="51">
        <v>36.276</v>
      </c>
      <c r="AQ32" s="51">
        <v>36.275</v>
      </c>
      <c r="AR32" s="51">
        <v>36.275</v>
      </c>
      <c r="AS32" s="51">
        <v>36.275</v>
      </c>
      <c r="AT32" s="51">
        <v>30.06</v>
      </c>
      <c r="AU32" s="51">
        <v>36.275</v>
      </c>
      <c r="AV32" s="51">
        <v>36.275</v>
      </c>
      <c r="AW32" s="51">
        <v>36.275</v>
      </c>
      <c r="AX32" s="51">
        <v>36.275</v>
      </c>
      <c r="AY32" s="51">
        <v>37.508583333333334</v>
      </c>
      <c r="AZ32" s="51">
        <v>37.508583333333334</v>
      </c>
      <c r="BA32" s="51">
        <v>37.508583333333334</v>
      </c>
      <c r="BB32" s="51">
        <v>37.508583333333334</v>
      </c>
      <c r="BC32" s="51">
        <v>37.508583333333334</v>
      </c>
      <c r="BD32" s="51">
        <v>37.508583333333334</v>
      </c>
      <c r="BE32" s="51">
        <v>37.508583333333334</v>
      </c>
      <c r="BF32" s="51">
        <v>37.508583333333334</v>
      </c>
      <c r="BG32" s="51">
        <v>37.508583333333334</v>
      </c>
      <c r="BH32" s="51">
        <v>37.508583333333334</v>
      </c>
      <c r="BI32" s="51">
        <v>37.508583333333334</v>
      </c>
      <c r="BJ32" s="51">
        <v>37.508583333333334</v>
      </c>
      <c r="BK32" s="51">
        <v>43.787</v>
      </c>
      <c r="BL32" s="51">
        <v>43.787</v>
      </c>
      <c r="BM32" s="51">
        <v>43.787</v>
      </c>
      <c r="BN32" s="51">
        <v>43.787</v>
      </c>
      <c r="BO32" s="51">
        <v>43.787</v>
      </c>
      <c r="BP32" s="51">
        <v>43.787</v>
      </c>
      <c r="BQ32" s="51">
        <v>43.787</v>
      </c>
      <c r="BR32" s="51">
        <v>43.787</v>
      </c>
      <c r="BS32" s="51">
        <v>43.787</v>
      </c>
      <c r="BT32" s="51">
        <v>43.787</v>
      </c>
      <c r="BU32" s="51">
        <v>43.787</v>
      </c>
      <c r="BV32" s="51">
        <v>43.787</v>
      </c>
      <c r="BW32" s="51">
        <v>45.275</v>
      </c>
      <c r="BX32" s="51">
        <v>45.275</v>
      </c>
      <c r="BY32" s="51">
        <v>45.275</v>
      </c>
      <c r="BZ32" s="51">
        <v>45.275</v>
      </c>
      <c r="CA32" s="51">
        <v>45.275</v>
      </c>
      <c r="CB32" s="51">
        <v>45.275</v>
      </c>
      <c r="CC32" s="51">
        <v>45.275</v>
      </c>
      <c r="CD32" s="51">
        <v>45.275</v>
      </c>
      <c r="CE32" s="51">
        <v>45.275</v>
      </c>
      <c r="CF32" s="51">
        <v>45.275</v>
      </c>
      <c r="CG32" s="51">
        <v>45.275</v>
      </c>
      <c r="CH32" s="51">
        <v>45.275</v>
      </c>
      <c r="CI32" s="51">
        <v>46.815</v>
      </c>
      <c r="CJ32" s="51">
        <v>46.815</v>
      </c>
      <c r="CK32" s="51">
        <v>46.815</v>
      </c>
      <c r="CL32" s="51">
        <v>46.815</v>
      </c>
      <c r="CM32" s="51">
        <v>46.815</v>
      </c>
      <c r="CN32" s="51">
        <v>46.815</v>
      </c>
      <c r="CO32" s="51">
        <v>46.815</v>
      </c>
      <c r="CP32" s="51">
        <v>46.815</v>
      </c>
      <c r="CQ32" s="51">
        <v>46.815</v>
      </c>
      <c r="CR32" s="51">
        <v>46.815</v>
      </c>
      <c r="CS32" s="51">
        <v>46.815</v>
      </c>
      <c r="CT32" s="51">
        <v>46.815</v>
      </c>
      <c r="CU32" s="51">
        <v>48.406</v>
      </c>
      <c r="CV32" s="51">
        <v>48.406</v>
      </c>
      <c r="CW32" s="51">
        <v>48.406</v>
      </c>
      <c r="CX32" s="51">
        <v>48.406</v>
      </c>
      <c r="CY32" s="51">
        <v>48.406</v>
      </c>
      <c r="CZ32" s="51">
        <v>48.406</v>
      </c>
      <c r="DA32" s="51">
        <v>48.406</v>
      </c>
      <c r="DB32" s="51">
        <v>48.406</v>
      </c>
      <c r="DC32" s="51">
        <v>48.406</v>
      </c>
      <c r="DD32" s="51">
        <v>48.406</v>
      </c>
      <c r="DE32" s="51">
        <v>48.406</v>
      </c>
      <c r="DF32" s="51">
        <v>48.406</v>
      </c>
      <c r="DG32" s="51">
        <v>50.052</v>
      </c>
      <c r="DH32" s="51">
        <v>50.052</v>
      </c>
      <c r="DI32" s="51">
        <v>50.052</v>
      </c>
      <c r="DJ32" s="51">
        <v>50.052</v>
      </c>
      <c r="DK32" s="51">
        <v>50.052</v>
      </c>
      <c r="DL32" s="51">
        <v>50.052</v>
      </c>
      <c r="DM32" s="51">
        <v>50.052</v>
      </c>
      <c r="DN32" s="51">
        <v>50.052</v>
      </c>
      <c r="DO32" s="51">
        <v>50.052</v>
      </c>
      <c r="DP32" s="51">
        <v>50.052</v>
      </c>
      <c r="DQ32" s="51">
        <v>50.052</v>
      </c>
      <c r="DR32" s="51">
        <v>50.052</v>
      </c>
      <c r="DT32" s="50">
        <f t="shared" ref="DT32:DW32" si="44">+F32-E32</f>
        <v>-49.611</v>
      </c>
      <c r="DU32" s="50">
        <f t="shared" si="44"/>
        <v>27.61</v>
      </c>
      <c r="DV32" s="50">
        <f t="shared" si="44"/>
        <v>21.014</v>
      </c>
      <c r="DW32" s="50">
        <f t="shared" si="44"/>
        <v>75.341</v>
      </c>
    </row>
    <row r="33" ht="15.75" hidden="1" customHeight="1" outlineLevel="1">
      <c r="B33" s="5" t="s">
        <v>93</v>
      </c>
      <c r="C33" s="72" t="s">
        <v>74</v>
      </c>
      <c r="E33" s="50">
        <f t="shared" ref="E33:M33" si="45">+SUMIFS($O33:$DR33,$O$7:$DR$7,E$7)</f>
        <v>0</v>
      </c>
      <c r="F33" s="50">
        <f t="shared" si="45"/>
        <v>51.411</v>
      </c>
      <c r="G33" s="50">
        <f t="shared" si="45"/>
        <v>225.929</v>
      </c>
      <c r="H33" s="50">
        <f t="shared" si="45"/>
        <v>235.101875</v>
      </c>
      <c r="I33" s="50">
        <f t="shared" si="45"/>
        <v>245.958</v>
      </c>
      <c r="J33" s="50">
        <f t="shared" si="45"/>
        <v>253.338</v>
      </c>
      <c r="K33" s="50">
        <f t="shared" si="45"/>
        <v>260.938</v>
      </c>
      <c r="L33" s="50">
        <f t="shared" si="45"/>
        <v>222.862</v>
      </c>
      <c r="M33" s="50">
        <f t="shared" si="45"/>
        <v>0</v>
      </c>
      <c r="O33" s="51">
        <v>0.0</v>
      </c>
      <c r="P33" s="51">
        <v>0.0</v>
      </c>
      <c r="Q33" s="51">
        <v>0.0</v>
      </c>
      <c r="R33" s="51">
        <v>0.0</v>
      </c>
      <c r="S33" s="51">
        <v>0.0</v>
      </c>
      <c r="T33" s="51">
        <v>0.0</v>
      </c>
      <c r="U33" s="51">
        <v>0.0</v>
      </c>
      <c r="V33" s="51">
        <v>0.0</v>
      </c>
      <c r="W33" s="51">
        <v>0.0</v>
      </c>
      <c r="X33" s="51">
        <v>0.0</v>
      </c>
      <c r="Y33" s="51">
        <v>0.0</v>
      </c>
      <c r="Z33" s="51">
        <v>0.0</v>
      </c>
      <c r="AA33" s="51">
        <v>0.0</v>
      </c>
      <c r="AB33" s="51">
        <v>0.0</v>
      </c>
      <c r="AC33" s="51">
        <v>0.0</v>
      </c>
      <c r="AD33" s="51">
        <v>0.0</v>
      </c>
      <c r="AE33" s="51">
        <v>0.0</v>
      </c>
      <c r="AF33" s="51">
        <v>0.0</v>
      </c>
      <c r="AG33" s="51">
        <v>0.0</v>
      </c>
      <c r="AH33" s="51">
        <v>0.0</v>
      </c>
      <c r="AI33" s="51">
        <v>0.0</v>
      </c>
      <c r="AJ33" s="51">
        <v>13.911</v>
      </c>
      <c r="AK33" s="51">
        <v>18.75</v>
      </c>
      <c r="AL33" s="51">
        <v>18.75</v>
      </c>
      <c r="AM33" s="51">
        <v>18.75</v>
      </c>
      <c r="AN33" s="51">
        <v>18.75</v>
      </c>
      <c r="AO33" s="51">
        <v>18.75</v>
      </c>
      <c r="AP33" s="51">
        <v>18.75</v>
      </c>
      <c r="AQ33" s="51">
        <v>18.75</v>
      </c>
      <c r="AR33" s="51">
        <v>18.75</v>
      </c>
      <c r="AS33" s="51">
        <v>18.75</v>
      </c>
      <c r="AT33" s="51">
        <v>18.553</v>
      </c>
      <c r="AU33" s="51">
        <v>18.75</v>
      </c>
      <c r="AV33" s="51">
        <v>18.75</v>
      </c>
      <c r="AW33" s="51">
        <v>19.313</v>
      </c>
      <c r="AX33" s="51">
        <v>19.313</v>
      </c>
      <c r="AY33" s="51">
        <v>19.3125</v>
      </c>
      <c r="AZ33" s="51">
        <v>19.3125</v>
      </c>
      <c r="BA33" s="51">
        <v>19.3125</v>
      </c>
      <c r="BB33" s="51">
        <v>19.3125</v>
      </c>
      <c r="BC33" s="51">
        <v>19.3125</v>
      </c>
      <c r="BD33" s="51">
        <v>19.3125</v>
      </c>
      <c r="BE33" s="51">
        <v>19.3125</v>
      </c>
      <c r="BF33" s="51">
        <v>19.3125</v>
      </c>
      <c r="BG33" s="51">
        <v>19.3125</v>
      </c>
      <c r="BH33" s="51">
        <v>19.3125</v>
      </c>
      <c r="BI33" s="51">
        <v>19.891875</v>
      </c>
      <c r="BJ33" s="51">
        <v>22.085</v>
      </c>
      <c r="BK33" s="51">
        <v>20.392</v>
      </c>
      <c r="BL33" s="51">
        <v>20.392</v>
      </c>
      <c r="BM33" s="51">
        <v>20.392</v>
      </c>
      <c r="BN33" s="51">
        <v>20.392</v>
      </c>
      <c r="BO33" s="51">
        <v>20.392</v>
      </c>
      <c r="BP33" s="51">
        <v>20.392</v>
      </c>
      <c r="BQ33" s="51">
        <v>20.392</v>
      </c>
      <c r="BR33" s="51">
        <v>20.392</v>
      </c>
      <c r="BS33" s="51">
        <v>20.407</v>
      </c>
      <c r="BT33" s="51">
        <v>20.407</v>
      </c>
      <c r="BU33" s="51">
        <v>21.004</v>
      </c>
      <c r="BV33" s="51">
        <v>21.004</v>
      </c>
      <c r="BW33" s="51">
        <v>21.004</v>
      </c>
      <c r="BX33" s="51">
        <v>21.004</v>
      </c>
      <c r="BY33" s="51">
        <v>21.004</v>
      </c>
      <c r="BZ33" s="51">
        <v>21.004</v>
      </c>
      <c r="CA33" s="51">
        <v>21.004</v>
      </c>
      <c r="CB33" s="51">
        <v>21.004</v>
      </c>
      <c r="CC33" s="51">
        <v>21.004</v>
      </c>
      <c r="CD33" s="51">
        <v>21.004</v>
      </c>
      <c r="CE33" s="51">
        <v>21.019</v>
      </c>
      <c r="CF33" s="51">
        <v>21.019</v>
      </c>
      <c r="CG33" s="51">
        <v>21.634</v>
      </c>
      <c r="CH33" s="51">
        <v>21.634</v>
      </c>
      <c r="CI33" s="51">
        <v>21.634</v>
      </c>
      <c r="CJ33" s="51">
        <v>21.634</v>
      </c>
      <c r="CK33" s="51">
        <v>21.634</v>
      </c>
      <c r="CL33" s="51">
        <v>21.634</v>
      </c>
      <c r="CM33" s="51">
        <v>21.634</v>
      </c>
      <c r="CN33" s="51">
        <v>21.634</v>
      </c>
      <c r="CO33" s="51">
        <v>21.634</v>
      </c>
      <c r="CP33" s="51">
        <v>21.634</v>
      </c>
      <c r="CQ33" s="51">
        <v>21.65</v>
      </c>
      <c r="CR33" s="51">
        <v>21.65</v>
      </c>
      <c r="CS33" s="51">
        <v>22.283</v>
      </c>
      <c r="CT33" s="51">
        <v>22.283</v>
      </c>
      <c r="CU33" s="51">
        <v>22.283</v>
      </c>
      <c r="CV33" s="51">
        <v>22.283</v>
      </c>
      <c r="CW33" s="51">
        <v>22.283</v>
      </c>
      <c r="CX33" s="51">
        <v>22.283</v>
      </c>
      <c r="CY33" s="51">
        <v>22.283</v>
      </c>
      <c r="CZ33" s="51">
        <v>22.283</v>
      </c>
      <c r="DA33" s="51">
        <v>22.283</v>
      </c>
      <c r="DB33" s="51">
        <v>22.283</v>
      </c>
      <c r="DC33" s="51">
        <v>22.299</v>
      </c>
      <c r="DD33" s="51">
        <v>22.299</v>
      </c>
      <c r="DE33" s="51">
        <v>0.0</v>
      </c>
      <c r="DF33" s="51">
        <v>0.0</v>
      </c>
      <c r="DG33" s="51">
        <v>0.0</v>
      </c>
      <c r="DH33" s="51">
        <v>0.0</v>
      </c>
      <c r="DI33" s="51">
        <v>0.0</v>
      </c>
      <c r="DJ33" s="51">
        <v>0.0</v>
      </c>
      <c r="DK33" s="51">
        <v>0.0</v>
      </c>
      <c r="DL33" s="51">
        <v>0.0</v>
      </c>
      <c r="DM33" s="51">
        <v>0.0</v>
      </c>
      <c r="DN33" s="51">
        <v>0.0</v>
      </c>
      <c r="DO33" s="51">
        <v>0.0</v>
      </c>
      <c r="DP33" s="51">
        <v>0.0</v>
      </c>
      <c r="DQ33" s="51">
        <v>0.0</v>
      </c>
      <c r="DR33" s="51">
        <v>0.0</v>
      </c>
      <c r="DT33" s="50">
        <f t="shared" ref="DT33:DW33" si="46">+F33-E33</f>
        <v>51.411</v>
      </c>
      <c r="DU33" s="50">
        <f t="shared" si="46"/>
        <v>174.518</v>
      </c>
      <c r="DV33" s="50">
        <f t="shared" si="46"/>
        <v>9.172875</v>
      </c>
      <c r="DW33" s="50">
        <f t="shared" si="46"/>
        <v>10.856125</v>
      </c>
    </row>
    <row r="34" ht="15.75" hidden="1" customHeight="1" outlineLevel="1">
      <c r="B34" s="5" t="s">
        <v>94</v>
      </c>
      <c r="C34" s="72" t="s">
        <v>70</v>
      </c>
      <c r="E34" s="50">
        <f t="shared" ref="E34:M34" si="47">+SUMIFS($O34:$DR34,$O$7:$DR$7,E$7)</f>
        <v>0</v>
      </c>
      <c r="F34" s="50">
        <f t="shared" si="47"/>
        <v>0</v>
      </c>
      <c r="G34" s="50">
        <f t="shared" si="47"/>
        <v>18</v>
      </c>
      <c r="H34" s="50">
        <f t="shared" si="47"/>
        <v>72.9</v>
      </c>
      <c r="I34" s="50">
        <f t="shared" si="47"/>
        <v>76.545</v>
      </c>
      <c r="J34" s="50">
        <f t="shared" si="47"/>
        <v>80.37225</v>
      </c>
      <c r="K34" s="50">
        <f t="shared" si="47"/>
        <v>84.3908625</v>
      </c>
      <c r="L34" s="50">
        <f t="shared" si="47"/>
        <v>65.6373375</v>
      </c>
      <c r="M34" s="50">
        <f t="shared" si="47"/>
        <v>0</v>
      </c>
      <c r="O34" s="51">
        <v>0.0</v>
      </c>
      <c r="P34" s="51">
        <v>0.0</v>
      </c>
      <c r="Q34" s="51">
        <v>0.0</v>
      </c>
      <c r="R34" s="51">
        <v>0.0</v>
      </c>
      <c r="S34" s="51">
        <v>0.0</v>
      </c>
      <c r="T34" s="51">
        <v>0.0</v>
      </c>
      <c r="U34" s="51">
        <v>0.0</v>
      </c>
      <c r="V34" s="51">
        <v>0.0</v>
      </c>
      <c r="W34" s="51">
        <v>0.0</v>
      </c>
      <c r="X34" s="51">
        <v>0.0</v>
      </c>
      <c r="Y34" s="51">
        <v>0.0</v>
      </c>
      <c r="Z34" s="51">
        <v>0.0</v>
      </c>
      <c r="AA34" s="51">
        <v>0.0</v>
      </c>
      <c r="AB34" s="51">
        <v>0.0</v>
      </c>
      <c r="AC34" s="51">
        <v>0.0</v>
      </c>
      <c r="AD34" s="51">
        <v>0.0</v>
      </c>
      <c r="AE34" s="51">
        <v>0.0</v>
      </c>
      <c r="AF34" s="51">
        <v>0.0</v>
      </c>
      <c r="AG34" s="51">
        <v>0.0</v>
      </c>
      <c r="AH34" s="51">
        <v>0.0</v>
      </c>
      <c r="AI34" s="51">
        <v>0.0</v>
      </c>
      <c r="AJ34" s="51">
        <v>0.0</v>
      </c>
      <c r="AK34" s="51">
        <v>0.0</v>
      </c>
      <c r="AL34" s="51">
        <v>0.0</v>
      </c>
      <c r="AM34" s="51">
        <v>0.0</v>
      </c>
      <c r="AN34" s="51">
        <v>0.0</v>
      </c>
      <c r="AO34" s="51">
        <v>0.0</v>
      </c>
      <c r="AP34" s="51">
        <v>0.0</v>
      </c>
      <c r="AQ34" s="51">
        <v>0.0</v>
      </c>
      <c r="AR34" s="51">
        <v>0.0</v>
      </c>
      <c r="AS34" s="51">
        <v>0.0</v>
      </c>
      <c r="AT34" s="51">
        <v>0.0</v>
      </c>
      <c r="AU34" s="51">
        <v>0.0</v>
      </c>
      <c r="AV34" s="51">
        <v>6.0</v>
      </c>
      <c r="AW34" s="51">
        <v>6.0</v>
      </c>
      <c r="AX34" s="51">
        <v>6.0</v>
      </c>
      <c r="AY34" s="51">
        <v>6.0</v>
      </c>
      <c r="AZ34" s="51">
        <v>6.0</v>
      </c>
      <c r="BA34" s="51">
        <v>6.0</v>
      </c>
      <c r="BB34" s="51">
        <v>6.0</v>
      </c>
      <c r="BC34" s="51">
        <v>6.0</v>
      </c>
      <c r="BD34" s="51">
        <v>6.0</v>
      </c>
      <c r="BE34" s="51">
        <v>6.0</v>
      </c>
      <c r="BF34" s="51">
        <v>6.0</v>
      </c>
      <c r="BG34" s="51">
        <v>6.0</v>
      </c>
      <c r="BH34" s="51">
        <v>6.3</v>
      </c>
      <c r="BI34" s="51">
        <v>6.3</v>
      </c>
      <c r="BJ34" s="51">
        <v>6.3</v>
      </c>
      <c r="BK34" s="51">
        <v>6.3</v>
      </c>
      <c r="BL34" s="51">
        <v>6.3</v>
      </c>
      <c r="BM34" s="51">
        <v>6.3</v>
      </c>
      <c r="BN34" s="51">
        <v>6.3</v>
      </c>
      <c r="BO34" s="51">
        <v>6.3</v>
      </c>
      <c r="BP34" s="51">
        <v>6.3</v>
      </c>
      <c r="BQ34" s="51">
        <v>6.3</v>
      </c>
      <c r="BR34" s="51">
        <v>6.3</v>
      </c>
      <c r="BS34" s="51">
        <v>6.3</v>
      </c>
      <c r="BT34" s="51">
        <v>6.615</v>
      </c>
      <c r="BU34" s="51">
        <v>6.615</v>
      </c>
      <c r="BV34" s="51">
        <v>6.615</v>
      </c>
      <c r="BW34" s="51">
        <v>6.615</v>
      </c>
      <c r="BX34" s="51">
        <v>6.615</v>
      </c>
      <c r="BY34" s="51">
        <v>6.615</v>
      </c>
      <c r="BZ34" s="51">
        <v>6.615</v>
      </c>
      <c r="CA34" s="51">
        <v>6.615</v>
      </c>
      <c r="CB34" s="51">
        <v>6.615</v>
      </c>
      <c r="CC34" s="51">
        <v>6.615</v>
      </c>
      <c r="CD34" s="51">
        <v>6.615</v>
      </c>
      <c r="CE34" s="51">
        <v>6.615</v>
      </c>
      <c r="CF34" s="51">
        <v>6.94575</v>
      </c>
      <c r="CG34" s="51">
        <v>6.94575</v>
      </c>
      <c r="CH34" s="51">
        <v>6.94575</v>
      </c>
      <c r="CI34" s="51">
        <v>6.94575</v>
      </c>
      <c r="CJ34" s="51">
        <v>6.94575</v>
      </c>
      <c r="CK34" s="51">
        <v>6.94575</v>
      </c>
      <c r="CL34" s="51">
        <v>6.94575</v>
      </c>
      <c r="CM34" s="51">
        <v>6.94575</v>
      </c>
      <c r="CN34" s="51">
        <v>6.94575</v>
      </c>
      <c r="CO34" s="51">
        <v>6.94575</v>
      </c>
      <c r="CP34" s="51">
        <v>6.94575</v>
      </c>
      <c r="CQ34" s="51">
        <v>6.94575</v>
      </c>
      <c r="CR34" s="51">
        <v>7.2930375000000005</v>
      </c>
      <c r="CS34" s="51">
        <v>7.2930375000000005</v>
      </c>
      <c r="CT34" s="51">
        <v>7.2930375000000005</v>
      </c>
      <c r="CU34" s="51">
        <v>7.2930375000000005</v>
      </c>
      <c r="CV34" s="51">
        <v>7.2930375000000005</v>
      </c>
      <c r="CW34" s="51">
        <v>7.2930375000000005</v>
      </c>
      <c r="CX34" s="51">
        <v>7.2930375000000005</v>
      </c>
      <c r="CY34" s="51">
        <v>7.2930375000000005</v>
      </c>
      <c r="CZ34" s="51">
        <v>7.2930375000000005</v>
      </c>
      <c r="DA34" s="51">
        <v>7.2930375000000005</v>
      </c>
      <c r="DB34" s="51">
        <v>7.2930375000000005</v>
      </c>
      <c r="DC34" s="51">
        <v>7.2930375000000005</v>
      </c>
      <c r="DD34" s="51">
        <v>0.0</v>
      </c>
      <c r="DE34" s="51">
        <v>0.0</v>
      </c>
      <c r="DF34" s="51">
        <v>0.0</v>
      </c>
      <c r="DG34" s="51">
        <v>0.0</v>
      </c>
      <c r="DH34" s="51">
        <v>0.0</v>
      </c>
      <c r="DI34" s="51">
        <v>0.0</v>
      </c>
      <c r="DJ34" s="51">
        <v>0.0</v>
      </c>
      <c r="DK34" s="51">
        <v>0.0</v>
      </c>
      <c r="DL34" s="51">
        <v>0.0</v>
      </c>
      <c r="DM34" s="51">
        <v>0.0</v>
      </c>
      <c r="DN34" s="51">
        <v>0.0</v>
      </c>
      <c r="DO34" s="51">
        <v>0.0</v>
      </c>
      <c r="DP34" s="51">
        <v>0.0</v>
      </c>
      <c r="DQ34" s="51">
        <v>0.0</v>
      </c>
      <c r="DR34" s="51">
        <v>0.0</v>
      </c>
      <c r="DT34" s="50">
        <f t="shared" ref="DT34:DW34" si="48">+F34-E34</f>
        <v>0</v>
      </c>
      <c r="DU34" s="50">
        <f t="shared" si="48"/>
        <v>18</v>
      </c>
      <c r="DV34" s="50">
        <f t="shared" si="48"/>
        <v>54.9</v>
      </c>
      <c r="DW34" s="50">
        <f t="shared" si="48"/>
        <v>3.645</v>
      </c>
    </row>
    <row r="35" ht="15.75" hidden="1" customHeight="1" outlineLevel="1">
      <c r="B35" s="5" t="s">
        <v>95</v>
      </c>
      <c r="C35" s="72" t="s">
        <v>70</v>
      </c>
      <c r="E35" s="50">
        <f t="shared" ref="E35:M35" si="49">+SUMIFS($O35:$DR35,$O$7:$DR$7,E$7)</f>
        <v>61.067</v>
      </c>
      <c r="F35" s="50">
        <f t="shared" si="49"/>
        <v>128.343</v>
      </c>
      <c r="G35" s="50">
        <f t="shared" si="49"/>
        <v>127.082</v>
      </c>
      <c r="H35" s="50">
        <f t="shared" si="49"/>
        <v>128.347</v>
      </c>
      <c r="I35" s="50">
        <f t="shared" si="49"/>
        <v>128.347</v>
      </c>
      <c r="J35" s="50">
        <f t="shared" si="49"/>
        <v>74.86908333</v>
      </c>
      <c r="K35" s="50">
        <f t="shared" si="49"/>
        <v>0</v>
      </c>
      <c r="L35" s="50">
        <f t="shared" si="49"/>
        <v>0</v>
      </c>
      <c r="M35" s="50">
        <f t="shared" si="49"/>
        <v>0</v>
      </c>
      <c r="O35" s="51">
        <v>0.0</v>
      </c>
      <c r="P35" s="51">
        <v>0.0</v>
      </c>
      <c r="Q35" s="51">
        <v>0.0</v>
      </c>
      <c r="R35" s="51">
        <v>0.0</v>
      </c>
      <c r="S35" s="51">
        <v>0.0</v>
      </c>
      <c r="T35" s="51">
        <v>0.0</v>
      </c>
      <c r="U35" s="51">
        <v>7.59</v>
      </c>
      <c r="V35" s="51">
        <v>10.695</v>
      </c>
      <c r="W35" s="51">
        <v>10.695</v>
      </c>
      <c r="X35" s="51">
        <v>10.696</v>
      </c>
      <c r="Y35" s="51">
        <v>10.695</v>
      </c>
      <c r="Z35" s="51">
        <v>10.696</v>
      </c>
      <c r="AA35" s="51">
        <v>10.695</v>
      </c>
      <c r="AB35" s="51">
        <v>10.695</v>
      </c>
      <c r="AC35" s="51">
        <v>10.696</v>
      </c>
      <c r="AD35" s="51">
        <v>10.695</v>
      </c>
      <c r="AE35" s="51">
        <v>10.696</v>
      </c>
      <c r="AF35" s="51">
        <v>10.695</v>
      </c>
      <c r="AG35" s="51">
        <v>10.695</v>
      </c>
      <c r="AH35" s="51">
        <v>10.695</v>
      </c>
      <c r="AI35" s="51">
        <v>10.695</v>
      </c>
      <c r="AJ35" s="51">
        <v>10.695</v>
      </c>
      <c r="AK35" s="51">
        <v>10.695</v>
      </c>
      <c r="AL35" s="51">
        <v>10.696</v>
      </c>
      <c r="AM35" s="51">
        <v>10.695</v>
      </c>
      <c r="AN35" s="51">
        <v>10.695</v>
      </c>
      <c r="AO35" s="51">
        <v>10.695</v>
      </c>
      <c r="AP35" s="51">
        <v>10.696</v>
      </c>
      <c r="AQ35" s="51">
        <v>10.696</v>
      </c>
      <c r="AR35" s="51">
        <v>10.695</v>
      </c>
      <c r="AS35" s="51">
        <v>10.695</v>
      </c>
      <c r="AT35" s="51">
        <v>9.433</v>
      </c>
      <c r="AU35" s="51">
        <v>10.695</v>
      </c>
      <c r="AV35" s="51">
        <v>10.696</v>
      </c>
      <c r="AW35" s="51">
        <v>10.695</v>
      </c>
      <c r="AX35" s="51">
        <v>10.696</v>
      </c>
      <c r="AY35" s="51">
        <v>10.695583333333333</v>
      </c>
      <c r="AZ35" s="51">
        <v>10.695583333333333</v>
      </c>
      <c r="BA35" s="51">
        <v>10.695583333333333</v>
      </c>
      <c r="BB35" s="51">
        <v>10.695583333333333</v>
      </c>
      <c r="BC35" s="51">
        <v>10.695583333333333</v>
      </c>
      <c r="BD35" s="51">
        <v>10.695583333333333</v>
      </c>
      <c r="BE35" s="51">
        <v>10.695583333333333</v>
      </c>
      <c r="BF35" s="51">
        <v>10.695583333333333</v>
      </c>
      <c r="BG35" s="51">
        <v>10.695583333333333</v>
      </c>
      <c r="BH35" s="51">
        <v>10.695583333333333</v>
      </c>
      <c r="BI35" s="51">
        <v>10.695583333333333</v>
      </c>
      <c r="BJ35" s="51">
        <v>10.695583333333333</v>
      </c>
      <c r="BK35" s="51">
        <v>10.695583333333333</v>
      </c>
      <c r="BL35" s="51">
        <v>10.695583333333333</v>
      </c>
      <c r="BM35" s="51">
        <v>10.695583333333333</v>
      </c>
      <c r="BN35" s="51">
        <v>10.695583333333333</v>
      </c>
      <c r="BO35" s="51">
        <v>10.695583333333333</v>
      </c>
      <c r="BP35" s="51">
        <v>10.695583333333333</v>
      </c>
      <c r="BQ35" s="51">
        <v>10.695583333333333</v>
      </c>
      <c r="BR35" s="51">
        <v>10.695583333333333</v>
      </c>
      <c r="BS35" s="51">
        <v>10.695583333333333</v>
      </c>
      <c r="BT35" s="51">
        <v>10.695583333333333</v>
      </c>
      <c r="BU35" s="51">
        <v>10.695583333333333</v>
      </c>
      <c r="BV35" s="51">
        <v>10.695583333333333</v>
      </c>
      <c r="BW35" s="51">
        <v>10.695583333333333</v>
      </c>
      <c r="BX35" s="51">
        <v>10.695583333333333</v>
      </c>
      <c r="BY35" s="51">
        <v>10.695583333333333</v>
      </c>
      <c r="BZ35" s="51">
        <v>10.695583333333333</v>
      </c>
      <c r="CA35" s="51">
        <v>10.695583333333333</v>
      </c>
      <c r="CB35" s="51">
        <v>10.695583333333333</v>
      </c>
      <c r="CC35" s="51">
        <v>10.695583333333333</v>
      </c>
      <c r="CD35" s="51">
        <v>0.0</v>
      </c>
      <c r="CE35" s="51">
        <v>0.0</v>
      </c>
      <c r="CF35" s="51">
        <v>0.0</v>
      </c>
      <c r="CG35" s="51">
        <v>0.0</v>
      </c>
      <c r="CH35" s="51">
        <v>0.0</v>
      </c>
      <c r="CI35" s="51">
        <v>0.0</v>
      </c>
      <c r="CJ35" s="51">
        <v>0.0</v>
      </c>
      <c r="CK35" s="51">
        <v>0.0</v>
      </c>
      <c r="CL35" s="51">
        <v>0.0</v>
      </c>
      <c r="CM35" s="51">
        <v>0.0</v>
      </c>
      <c r="CN35" s="51">
        <v>0.0</v>
      </c>
      <c r="CO35" s="51">
        <v>0.0</v>
      </c>
      <c r="CP35" s="51">
        <v>0.0</v>
      </c>
      <c r="CQ35" s="51">
        <v>0.0</v>
      </c>
      <c r="CR35" s="51">
        <v>0.0</v>
      </c>
      <c r="CS35" s="51">
        <v>0.0</v>
      </c>
      <c r="CT35" s="51">
        <v>0.0</v>
      </c>
      <c r="CU35" s="51">
        <v>0.0</v>
      </c>
      <c r="CV35" s="51">
        <v>0.0</v>
      </c>
      <c r="CW35" s="51">
        <v>0.0</v>
      </c>
      <c r="CX35" s="51">
        <v>0.0</v>
      </c>
      <c r="CY35" s="51">
        <v>0.0</v>
      </c>
      <c r="CZ35" s="51">
        <v>0.0</v>
      </c>
      <c r="DA35" s="51">
        <v>0.0</v>
      </c>
      <c r="DB35" s="51">
        <v>0.0</v>
      </c>
      <c r="DC35" s="51">
        <v>0.0</v>
      </c>
      <c r="DD35" s="51">
        <v>0.0</v>
      </c>
      <c r="DE35" s="51">
        <v>0.0</v>
      </c>
      <c r="DF35" s="51">
        <v>0.0</v>
      </c>
      <c r="DG35" s="51">
        <v>0.0</v>
      </c>
      <c r="DH35" s="51">
        <v>0.0</v>
      </c>
      <c r="DI35" s="51">
        <v>0.0</v>
      </c>
      <c r="DJ35" s="51">
        <v>0.0</v>
      </c>
      <c r="DK35" s="51">
        <v>0.0</v>
      </c>
      <c r="DL35" s="51">
        <v>0.0</v>
      </c>
      <c r="DM35" s="51">
        <v>0.0</v>
      </c>
      <c r="DN35" s="51">
        <v>0.0</v>
      </c>
      <c r="DO35" s="51">
        <v>0.0</v>
      </c>
      <c r="DP35" s="51">
        <v>0.0</v>
      </c>
      <c r="DQ35" s="51">
        <v>0.0</v>
      </c>
      <c r="DR35" s="51">
        <v>0.0</v>
      </c>
      <c r="DT35" s="50">
        <f t="shared" ref="DT35:DW35" si="50">+F35-E35</f>
        <v>67.276</v>
      </c>
      <c r="DU35" s="50">
        <f t="shared" si="50"/>
        <v>-1.261</v>
      </c>
      <c r="DV35" s="50">
        <f t="shared" si="50"/>
        <v>1.265</v>
      </c>
      <c r="DW35" s="50">
        <f t="shared" si="50"/>
        <v>0</v>
      </c>
    </row>
    <row r="36" ht="15.75" hidden="1" customHeight="1" outlineLevel="1">
      <c r="B36" s="5" t="s">
        <v>96</v>
      </c>
      <c r="C36" s="72" t="s">
        <v>74</v>
      </c>
      <c r="E36" s="50">
        <f t="shared" ref="E36:M36" si="51">+SUMIFS($O36:$DR36,$O$7:$DR$7,E$7)</f>
        <v>0</v>
      </c>
      <c r="F36" s="50">
        <f t="shared" si="51"/>
        <v>0</v>
      </c>
      <c r="G36" s="50">
        <f t="shared" si="51"/>
        <v>0</v>
      </c>
      <c r="H36" s="50">
        <f t="shared" si="51"/>
        <v>12</v>
      </c>
      <c r="I36" s="50">
        <f t="shared" si="51"/>
        <v>24</v>
      </c>
      <c r="J36" s="50">
        <f t="shared" si="51"/>
        <v>252.096</v>
      </c>
      <c r="K36" s="50">
        <f t="shared" si="51"/>
        <v>259.65888</v>
      </c>
      <c r="L36" s="50">
        <f t="shared" si="51"/>
        <v>267.4486464</v>
      </c>
      <c r="M36" s="50">
        <f t="shared" si="51"/>
        <v>275.4721058</v>
      </c>
      <c r="O36" s="51">
        <v>0.0</v>
      </c>
      <c r="P36" s="51">
        <v>0.0</v>
      </c>
      <c r="Q36" s="51">
        <v>0.0</v>
      </c>
      <c r="R36" s="51">
        <v>0.0</v>
      </c>
      <c r="S36" s="51">
        <v>0.0</v>
      </c>
      <c r="T36" s="51">
        <v>0.0</v>
      </c>
      <c r="U36" s="51">
        <v>0.0</v>
      </c>
      <c r="V36" s="51">
        <v>0.0</v>
      </c>
      <c r="W36" s="51">
        <v>0.0</v>
      </c>
      <c r="X36" s="51">
        <v>0.0</v>
      </c>
      <c r="Y36" s="51">
        <v>0.0</v>
      </c>
      <c r="Z36" s="51">
        <v>0.0</v>
      </c>
      <c r="AA36" s="51">
        <v>0.0</v>
      </c>
      <c r="AB36" s="51">
        <v>0.0</v>
      </c>
      <c r="AC36" s="51">
        <v>0.0</v>
      </c>
      <c r="AD36" s="51">
        <v>0.0</v>
      </c>
      <c r="AE36" s="51">
        <v>0.0</v>
      </c>
      <c r="AF36" s="51">
        <v>0.0</v>
      </c>
      <c r="AG36" s="51">
        <v>0.0</v>
      </c>
      <c r="AH36" s="51">
        <v>0.0</v>
      </c>
      <c r="AI36" s="51">
        <v>0.0</v>
      </c>
      <c r="AJ36" s="51">
        <v>0.0</v>
      </c>
      <c r="AK36" s="51">
        <v>0.0</v>
      </c>
      <c r="AL36" s="51">
        <v>0.0</v>
      </c>
      <c r="AM36" s="51">
        <v>0.0</v>
      </c>
      <c r="AN36" s="51">
        <v>0.0</v>
      </c>
      <c r="AO36" s="51">
        <v>0.0</v>
      </c>
      <c r="AP36" s="51">
        <v>0.0</v>
      </c>
      <c r="AQ36" s="51">
        <v>0.0</v>
      </c>
      <c r="AR36" s="51">
        <v>0.0</v>
      </c>
      <c r="AS36" s="51">
        <v>0.0</v>
      </c>
      <c r="AT36" s="51">
        <v>0.0</v>
      </c>
      <c r="AU36" s="51">
        <v>0.0</v>
      </c>
      <c r="AV36" s="51">
        <v>0.0</v>
      </c>
      <c r="AW36" s="51">
        <v>0.0</v>
      </c>
      <c r="AX36" s="51">
        <v>0.0</v>
      </c>
      <c r="AY36" s="51">
        <v>0.0</v>
      </c>
      <c r="AZ36" s="51">
        <v>0.0</v>
      </c>
      <c r="BA36" s="51">
        <v>0.0</v>
      </c>
      <c r="BB36" s="51">
        <v>0.0</v>
      </c>
      <c r="BC36" s="51">
        <v>0.0</v>
      </c>
      <c r="BD36" s="51">
        <v>0.0</v>
      </c>
      <c r="BE36" s="51">
        <v>2.0</v>
      </c>
      <c r="BF36" s="51">
        <v>2.0</v>
      </c>
      <c r="BG36" s="51">
        <v>2.0</v>
      </c>
      <c r="BH36" s="51">
        <v>2.0</v>
      </c>
      <c r="BI36" s="51">
        <v>2.0</v>
      </c>
      <c r="BJ36" s="51">
        <v>2.0</v>
      </c>
      <c r="BK36" s="51">
        <v>2.0</v>
      </c>
      <c r="BL36" s="51">
        <v>2.0</v>
      </c>
      <c r="BM36" s="51">
        <v>2.0</v>
      </c>
      <c r="BN36" s="51">
        <v>2.0</v>
      </c>
      <c r="BO36" s="51">
        <v>2.0</v>
      </c>
      <c r="BP36" s="51">
        <v>2.0</v>
      </c>
      <c r="BQ36" s="51">
        <v>2.0</v>
      </c>
      <c r="BR36" s="51">
        <v>2.0</v>
      </c>
      <c r="BS36" s="51">
        <v>2.0</v>
      </c>
      <c r="BT36" s="51">
        <v>2.0</v>
      </c>
      <c r="BU36" s="51">
        <v>2.0</v>
      </c>
      <c r="BV36" s="51">
        <v>2.0</v>
      </c>
      <c r="BW36" s="51">
        <v>21.008</v>
      </c>
      <c r="BX36" s="51">
        <v>21.008</v>
      </c>
      <c r="BY36" s="51">
        <v>21.008</v>
      </c>
      <c r="BZ36" s="51">
        <v>21.008</v>
      </c>
      <c r="CA36" s="51">
        <v>21.008</v>
      </c>
      <c r="CB36" s="51">
        <v>21.008</v>
      </c>
      <c r="CC36" s="51">
        <v>21.008</v>
      </c>
      <c r="CD36" s="51">
        <v>21.008</v>
      </c>
      <c r="CE36" s="51">
        <v>21.008</v>
      </c>
      <c r="CF36" s="51">
        <v>21.008</v>
      </c>
      <c r="CG36" s="51">
        <v>21.008</v>
      </c>
      <c r="CH36" s="51">
        <v>21.008</v>
      </c>
      <c r="CI36" s="51">
        <v>21.638240000000003</v>
      </c>
      <c r="CJ36" s="51">
        <v>21.638240000000003</v>
      </c>
      <c r="CK36" s="51">
        <v>21.638240000000003</v>
      </c>
      <c r="CL36" s="51">
        <v>21.638240000000003</v>
      </c>
      <c r="CM36" s="51">
        <v>21.638240000000003</v>
      </c>
      <c r="CN36" s="51">
        <v>21.638240000000003</v>
      </c>
      <c r="CO36" s="51">
        <v>21.638240000000003</v>
      </c>
      <c r="CP36" s="51">
        <v>21.638240000000003</v>
      </c>
      <c r="CQ36" s="51">
        <v>21.638240000000003</v>
      </c>
      <c r="CR36" s="51">
        <v>21.638240000000003</v>
      </c>
      <c r="CS36" s="51">
        <v>21.638240000000003</v>
      </c>
      <c r="CT36" s="51">
        <v>21.638240000000003</v>
      </c>
      <c r="CU36" s="51">
        <v>22.2873872</v>
      </c>
      <c r="CV36" s="51">
        <v>22.2873872</v>
      </c>
      <c r="CW36" s="51">
        <v>22.2873872</v>
      </c>
      <c r="CX36" s="51">
        <v>22.2873872</v>
      </c>
      <c r="CY36" s="51">
        <v>22.2873872</v>
      </c>
      <c r="CZ36" s="51">
        <v>22.2873872</v>
      </c>
      <c r="DA36" s="51">
        <v>22.2873872</v>
      </c>
      <c r="DB36" s="51">
        <v>22.2873872</v>
      </c>
      <c r="DC36" s="51">
        <v>22.2873872</v>
      </c>
      <c r="DD36" s="51">
        <v>22.2873872</v>
      </c>
      <c r="DE36" s="51">
        <v>22.2873872</v>
      </c>
      <c r="DF36" s="51">
        <v>22.2873872</v>
      </c>
      <c r="DG36" s="51">
        <v>22.956008816</v>
      </c>
      <c r="DH36" s="51">
        <v>22.956008816</v>
      </c>
      <c r="DI36" s="51">
        <v>22.956008816</v>
      </c>
      <c r="DJ36" s="51">
        <v>22.956008816</v>
      </c>
      <c r="DK36" s="51">
        <v>22.956008816</v>
      </c>
      <c r="DL36" s="51">
        <v>22.956008816</v>
      </c>
      <c r="DM36" s="51">
        <v>22.956008816</v>
      </c>
      <c r="DN36" s="51">
        <v>22.956008816</v>
      </c>
      <c r="DO36" s="51">
        <v>22.956008816</v>
      </c>
      <c r="DP36" s="51">
        <v>22.956008816</v>
      </c>
      <c r="DQ36" s="51">
        <v>22.956008816</v>
      </c>
      <c r="DR36" s="51">
        <v>22.956008816</v>
      </c>
      <c r="DT36" s="50">
        <f t="shared" ref="DT36:DW36" si="52">+F36-E36</f>
        <v>0</v>
      </c>
      <c r="DU36" s="50">
        <f t="shared" si="52"/>
        <v>0</v>
      </c>
      <c r="DV36" s="50">
        <f t="shared" si="52"/>
        <v>12</v>
      </c>
      <c r="DW36" s="50">
        <f t="shared" si="52"/>
        <v>12</v>
      </c>
    </row>
    <row r="37" ht="15.75" hidden="1" customHeight="1" outlineLevel="1">
      <c r="B37" s="5" t="s">
        <v>97</v>
      </c>
      <c r="C37" s="72" t="s">
        <v>82</v>
      </c>
      <c r="E37" s="50">
        <f t="shared" ref="E37:M37" si="53">+SUMIFS($O37:$DR37,$O$7:$DR$7,E$7)</f>
        <v>1701.708</v>
      </c>
      <c r="F37" s="50">
        <f t="shared" si="53"/>
        <v>1831.272</v>
      </c>
      <c r="G37" s="50">
        <f t="shared" si="53"/>
        <v>1881.591</v>
      </c>
      <c r="H37" s="50">
        <f t="shared" si="53"/>
        <v>1886.715</v>
      </c>
      <c r="I37" s="50">
        <f t="shared" si="53"/>
        <v>1952.75</v>
      </c>
      <c r="J37" s="50">
        <f t="shared" si="53"/>
        <v>2021.096</v>
      </c>
      <c r="K37" s="50">
        <f t="shared" si="53"/>
        <v>0</v>
      </c>
      <c r="L37" s="50">
        <f t="shared" si="53"/>
        <v>0</v>
      </c>
      <c r="M37" s="50">
        <f t="shared" si="53"/>
        <v>0</v>
      </c>
      <c r="O37" s="51">
        <v>141.809</v>
      </c>
      <c r="P37" s="51">
        <v>141.809</v>
      </c>
      <c r="Q37" s="51">
        <v>141.809</v>
      </c>
      <c r="R37" s="51">
        <v>141.809</v>
      </c>
      <c r="S37" s="51">
        <v>141.809</v>
      </c>
      <c r="T37" s="51">
        <v>141.809</v>
      </c>
      <c r="U37" s="51">
        <v>141.809</v>
      </c>
      <c r="V37" s="51">
        <v>141.809</v>
      </c>
      <c r="W37" s="51">
        <v>141.809</v>
      </c>
      <c r="X37" s="51">
        <v>141.809</v>
      </c>
      <c r="Y37" s="51">
        <v>141.809</v>
      </c>
      <c r="Z37" s="51">
        <v>141.809</v>
      </c>
      <c r="AA37" s="51">
        <v>152.606</v>
      </c>
      <c r="AB37" s="51">
        <v>152.606</v>
      </c>
      <c r="AC37" s="51">
        <v>152.606</v>
      </c>
      <c r="AD37" s="51">
        <v>152.606</v>
      </c>
      <c r="AE37" s="51">
        <v>152.606</v>
      </c>
      <c r="AF37" s="51">
        <v>152.606</v>
      </c>
      <c r="AG37" s="51">
        <v>152.606</v>
      </c>
      <c r="AH37" s="51">
        <v>152.606</v>
      </c>
      <c r="AI37" s="51">
        <v>152.606</v>
      </c>
      <c r="AJ37" s="51">
        <v>152.606</v>
      </c>
      <c r="AK37" s="51">
        <v>152.606</v>
      </c>
      <c r="AL37" s="51">
        <v>152.606</v>
      </c>
      <c r="AM37" s="51">
        <v>157.947</v>
      </c>
      <c r="AN37" s="51">
        <v>157.947</v>
      </c>
      <c r="AO37" s="51">
        <v>157.947</v>
      </c>
      <c r="AP37" s="51">
        <v>157.947</v>
      </c>
      <c r="AQ37" s="51">
        <v>157.947</v>
      </c>
      <c r="AR37" s="51">
        <v>157.947</v>
      </c>
      <c r="AS37" s="51">
        <v>157.947</v>
      </c>
      <c r="AT37" s="51">
        <v>144.174</v>
      </c>
      <c r="AU37" s="51">
        <v>157.947</v>
      </c>
      <c r="AV37" s="51">
        <v>157.947</v>
      </c>
      <c r="AW37" s="51">
        <v>157.947</v>
      </c>
      <c r="AX37" s="51">
        <v>157.947</v>
      </c>
      <c r="AY37" s="51">
        <v>157.22625</v>
      </c>
      <c r="AZ37" s="51">
        <v>157.22625</v>
      </c>
      <c r="BA37" s="51">
        <v>157.22625</v>
      </c>
      <c r="BB37" s="51">
        <v>157.22625</v>
      </c>
      <c r="BC37" s="51">
        <v>157.22625</v>
      </c>
      <c r="BD37" s="51">
        <v>157.22625</v>
      </c>
      <c r="BE37" s="51">
        <v>157.22625</v>
      </c>
      <c r="BF37" s="51">
        <v>157.22625</v>
      </c>
      <c r="BG37" s="51">
        <v>157.22625</v>
      </c>
      <c r="BH37" s="51">
        <v>157.22625</v>
      </c>
      <c r="BI37" s="51">
        <v>157.22625</v>
      </c>
      <c r="BJ37" s="51">
        <v>157.22625</v>
      </c>
      <c r="BK37" s="51">
        <v>162.72916666666666</v>
      </c>
      <c r="BL37" s="51">
        <v>162.72916666666666</v>
      </c>
      <c r="BM37" s="51">
        <v>162.72916666666666</v>
      </c>
      <c r="BN37" s="51">
        <v>162.72916666666666</v>
      </c>
      <c r="BO37" s="51">
        <v>162.72916666666666</v>
      </c>
      <c r="BP37" s="51">
        <v>162.72916666666666</v>
      </c>
      <c r="BQ37" s="51">
        <v>162.72916666666666</v>
      </c>
      <c r="BR37" s="51">
        <v>162.72916666666666</v>
      </c>
      <c r="BS37" s="51">
        <v>162.72916666666666</v>
      </c>
      <c r="BT37" s="51">
        <v>162.72916666666666</v>
      </c>
      <c r="BU37" s="51">
        <v>162.72916666666666</v>
      </c>
      <c r="BV37" s="51">
        <v>162.72916666666666</v>
      </c>
      <c r="BW37" s="51">
        <v>168.42466666666667</v>
      </c>
      <c r="BX37" s="51">
        <v>168.42466666666667</v>
      </c>
      <c r="BY37" s="51">
        <v>168.42466666666667</v>
      </c>
      <c r="BZ37" s="51">
        <v>168.42466666666667</v>
      </c>
      <c r="CA37" s="51">
        <v>168.42466666666667</v>
      </c>
      <c r="CB37" s="51">
        <v>168.42466666666667</v>
      </c>
      <c r="CC37" s="51">
        <v>168.42466666666667</v>
      </c>
      <c r="CD37" s="51">
        <v>168.42466666666667</v>
      </c>
      <c r="CE37" s="51">
        <v>168.42466666666667</v>
      </c>
      <c r="CF37" s="51">
        <v>168.42466666666667</v>
      </c>
      <c r="CG37" s="51">
        <v>168.42466666666667</v>
      </c>
      <c r="CH37" s="51">
        <v>168.42466666666667</v>
      </c>
      <c r="CI37" s="51">
        <v>0.0</v>
      </c>
      <c r="CJ37" s="51">
        <v>0.0</v>
      </c>
      <c r="CK37" s="51">
        <v>0.0</v>
      </c>
      <c r="CL37" s="51">
        <v>0.0</v>
      </c>
      <c r="CM37" s="51">
        <v>0.0</v>
      </c>
      <c r="CN37" s="51">
        <v>0.0</v>
      </c>
      <c r="CO37" s="51">
        <v>0.0</v>
      </c>
      <c r="CP37" s="51">
        <v>0.0</v>
      </c>
      <c r="CQ37" s="51">
        <v>0.0</v>
      </c>
      <c r="CR37" s="51">
        <v>0.0</v>
      </c>
      <c r="CS37" s="51">
        <v>0.0</v>
      </c>
      <c r="CT37" s="51">
        <v>0.0</v>
      </c>
      <c r="CU37" s="51">
        <v>0.0</v>
      </c>
      <c r="CV37" s="51">
        <v>0.0</v>
      </c>
      <c r="CW37" s="51">
        <v>0.0</v>
      </c>
      <c r="CX37" s="51">
        <v>0.0</v>
      </c>
      <c r="CY37" s="51">
        <v>0.0</v>
      </c>
      <c r="CZ37" s="51">
        <v>0.0</v>
      </c>
      <c r="DA37" s="51">
        <v>0.0</v>
      </c>
      <c r="DB37" s="51">
        <v>0.0</v>
      </c>
      <c r="DC37" s="51">
        <v>0.0</v>
      </c>
      <c r="DD37" s="51">
        <v>0.0</v>
      </c>
      <c r="DE37" s="51">
        <v>0.0</v>
      </c>
      <c r="DF37" s="51">
        <v>0.0</v>
      </c>
      <c r="DG37" s="51">
        <v>0.0</v>
      </c>
      <c r="DH37" s="51">
        <v>0.0</v>
      </c>
      <c r="DI37" s="51">
        <v>0.0</v>
      </c>
      <c r="DJ37" s="51">
        <v>0.0</v>
      </c>
      <c r="DK37" s="51">
        <v>0.0</v>
      </c>
      <c r="DL37" s="51">
        <v>0.0</v>
      </c>
      <c r="DM37" s="51">
        <v>0.0</v>
      </c>
      <c r="DN37" s="51">
        <v>0.0</v>
      </c>
      <c r="DO37" s="51">
        <v>0.0</v>
      </c>
      <c r="DP37" s="51">
        <v>0.0</v>
      </c>
      <c r="DQ37" s="51">
        <v>0.0</v>
      </c>
      <c r="DR37" s="51">
        <v>0.0</v>
      </c>
      <c r="DT37" s="50">
        <f t="shared" ref="DT37:DW37" si="54">+F37-E37</f>
        <v>129.564</v>
      </c>
      <c r="DU37" s="50">
        <f t="shared" si="54"/>
        <v>50.319</v>
      </c>
      <c r="DV37" s="50">
        <f t="shared" si="54"/>
        <v>5.124</v>
      </c>
      <c r="DW37" s="50">
        <f t="shared" si="54"/>
        <v>66.035</v>
      </c>
    </row>
    <row r="38" ht="15.75" hidden="1" customHeight="1" outlineLevel="1">
      <c r="B38" s="5" t="s">
        <v>98</v>
      </c>
      <c r="C38" s="72" t="s">
        <v>74</v>
      </c>
      <c r="E38" s="50">
        <f t="shared" ref="E38:M38" si="55">+SUMIFS($O38:$DR38,$O$7:$DR$7,E$7)</f>
        <v>0</v>
      </c>
      <c r="F38" s="50">
        <f t="shared" si="55"/>
        <v>98</v>
      </c>
      <c r="G38" s="50">
        <f t="shared" si="55"/>
        <v>129.063</v>
      </c>
      <c r="H38" s="50">
        <f t="shared" si="55"/>
        <v>240.21796</v>
      </c>
      <c r="I38" s="50">
        <f t="shared" si="55"/>
        <v>252.687</v>
      </c>
      <c r="J38" s="50">
        <f t="shared" si="55"/>
        <v>257.118</v>
      </c>
      <c r="K38" s="50">
        <f t="shared" si="55"/>
        <v>264.30654</v>
      </c>
      <c r="L38" s="50">
        <f t="shared" si="55"/>
        <v>272.2354662</v>
      </c>
      <c r="M38" s="50">
        <f t="shared" si="55"/>
        <v>0</v>
      </c>
      <c r="O38" s="51">
        <v>0.0</v>
      </c>
      <c r="P38" s="51">
        <v>0.0</v>
      </c>
      <c r="Q38" s="51">
        <v>0.0</v>
      </c>
      <c r="R38" s="51">
        <v>0.0</v>
      </c>
      <c r="S38" s="51">
        <v>0.0</v>
      </c>
      <c r="T38" s="51">
        <v>0.0</v>
      </c>
      <c r="U38" s="51">
        <v>0.0</v>
      </c>
      <c r="V38" s="51">
        <v>0.0</v>
      </c>
      <c r="W38" s="51">
        <v>0.0</v>
      </c>
      <c r="X38" s="51">
        <v>0.0</v>
      </c>
      <c r="Y38" s="51">
        <v>0.0</v>
      </c>
      <c r="Z38" s="51">
        <v>0.0</v>
      </c>
      <c r="AA38" s="51">
        <v>8.167</v>
      </c>
      <c r="AB38" s="51">
        <v>8.167</v>
      </c>
      <c r="AC38" s="51">
        <v>8.167</v>
      </c>
      <c r="AD38" s="51">
        <v>8.167</v>
      </c>
      <c r="AE38" s="51">
        <v>8.166</v>
      </c>
      <c r="AF38" s="51">
        <v>8.167</v>
      </c>
      <c r="AG38" s="51">
        <v>8.167</v>
      </c>
      <c r="AH38" s="51">
        <v>8.167</v>
      </c>
      <c r="AI38" s="51">
        <v>8.166</v>
      </c>
      <c r="AJ38" s="51">
        <v>8.166</v>
      </c>
      <c r="AK38" s="51">
        <v>8.166</v>
      </c>
      <c r="AL38" s="51">
        <v>8.167</v>
      </c>
      <c r="AM38" s="51">
        <v>8.411</v>
      </c>
      <c r="AN38" s="51">
        <v>8.411</v>
      </c>
      <c r="AO38" s="51">
        <v>8.411</v>
      </c>
      <c r="AP38" s="51">
        <v>11.745</v>
      </c>
      <c r="AQ38" s="51">
        <v>11.745</v>
      </c>
      <c r="AR38" s="51">
        <v>11.745</v>
      </c>
      <c r="AS38" s="51">
        <v>11.745</v>
      </c>
      <c r="AT38" s="51">
        <v>11.745</v>
      </c>
      <c r="AU38" s="51">
        <v>9.87</v>
      </c>
      <c r="AV38" s="51">
        <v>11.745</v>
      </c>
      <c r="AW38" s="51">
        <v>11.745</v>
      </c>
      <c r="AX38" s="51">
        <v>11.745</v>
      </c>
      <c r="AY38" s="51">
        <v>11.99733</v>
      </c>
      <c r="AZ38" s="51">
        <v>20.74733</v>
      </c>
      <c r="BA38" s="51">
        <v>20.74733</v>
      </c>
      <c r="BB38" s="51">
        <v>20.74733</v>
      </c>
      <c r="BC38" s="51">
        <v>20.74733</v>
      </c>
      <c r="BD38" s="51">
        <v>20.74733</v>
      </c>
      <c r="BE38" s="51">
        <v>20.74733</v>
      </c>
      <c r="BF38" s="51">
        <v>20.74733</v>
      </c>
      <c r="BG38" s="51">
        <v>20.74733</v>
      </c>
      <c r="BH38" s="51">
        <v>20.74733</v>
      </c>
      <c r="BI38" s="51">
        <v>20.74733</v>
      </c>
      <c r="BJ38" s="51">
        <v>20.74733</v>
      </c>
      <c r="BK38" s="51">
        <v>21.00725</v>
      </c>
      <c r="BL38" s="51">
        <v>21.00725</v>
      </c>
      <c r="BM38" s="51">
        <v>21.00725</v>
      </c>
      <c r="BN38" s="51">
        <v>21.00725</v>
      </c>
      <c r="BO38" s="51">
        <v>21.00725</v>
      </c>
      <c r="BP38" s="51">
        <v>21.00725</v>
      </c>
      <c r="BQ38" s="51">
        <v>21.10725</v>
      </c>
      <c r="BR38" s="51">
        <v>21.10725</v>
      </c>
      <c r="BS38" s="51">
        <v>21.10725</v>
      </c>
      <c r="BT38" s="51">
        <v>21.10725</v>
      </c>
      <c r="BU38" s="51">
        <v>21.10725</v>
      </c>
      <c r="BV38" s="51">
        <v>21.10725</v>
      </c>
      <c r="BW38" s="51">
        <v>21.375</v>
      </c>
      <c r="BX38" s="51">
        <v>21.375</v>
      </c>
      <c r="BY38" s="51">
        <v>21.375</v>
      </c>
      <c r="BZ38" s="51">
        <v>21.375</v>
      </c>
      <c r="CA38" s="51">
        <v>21.375</v>
      </c>
      <c r="CB38" s="51">
        <v>21.375</v>
      </c>
      <c r="CC38" s="51">
        <v>21.478</v>
      </c>
      <c r="CD38" s="51">
        <v>21.478</v>
      </c>
      <c r="CE38" s="51">
        <v>21.478</v>
      </c>
      <c r="CF38" s="51">
        <v>21.478</v>
      </c>
      <c r="CG38" s="51">
        <v>21.478</v>
      </c>
      <c r="CH38" s="51">
        <v>21.478</v>
      </c>
      <c r="CI38" s="51">
        <v>21.75375</v>
      </c>
      <c r="CJ38" s="51">
        <v>21.75375</v>
      </c>
      <c r="CK38" s="51">
        <v>22.01625</v>
      </c>
      <c r="CL38" s="51">
        <v>22.01625</v>
      </c>
      <c r="CM38" s="51">
        <v>22.01625</v>
      </c>
      <c r="CN38" s="51">
        <v>22.01625</v>
      </c>
      <c r="CO38" s="51">
        <v>22.12234</v>
      </c>
      <c r="CP38" s="51">
        <v>22.12234</v>
      </c>
      <c r="CQ38" s="51">
        <v>22.12234</v>
      </c>
      <c r="CR38" s="51">
        <v>22.12234</v>
      </c>
      <c r="CS38" s="51">
        <v>22.12234</v>
      </c>
      <c r="CT38" s="51">
        <v>22.12234</v>
      </c>
      <c r="CU38" s="51">
        <v>22.40634</v>
      </c>
      <c r="CV38" s="51">
        <v>22.40634</v>
      </c>
      <c r="CW38" s="51">
        <v>22.676715</v>
      </c>
      <c r="CX38" s="51">
        <v>22.676715</v>
      </c>
      <c r="CY38" s="51">
        <v>22.676715</v>
      </c>
      <c r="CZ38" s="51">
        <v>22.676715</v>
      </c>
      <c r="DA38" s="51">
        <v>22.785987699999996</v>
      </c>
      <c r="DB38" s="51">
        <v>22.785987699999996</v>
      </c>
      <c r="DC38" s="51">
        <v>22.785987699999996</v>
      </c>
      <c r="DD38" s="51">
        <v>22.785987699999996</v>
      </c>
      <c r="DE38" s="51">
        <v>22.785987699999996</v>
      </c>
      <c r="DF38" s="51">
        <v>22.785987699999996</v>
      </c>
      <c r="DG38" s="51">
        <v>0.0</v>
      </c>
      <c r="DH38" s="51">
        <v>0.0</v>
      </c>
      <c r="DI38" s="51">
        <v>0.0</v>
      </c>
      <c r="DJ38" s="51">
        <v>0.0</v>
      </c>
      <c r="DK38" s="51">
        <v>0.0</v>
      </c>
      <c r="DL38" s="51">
        <v>0.0</v>
      </c>
      <c r="DM38" s="51">
        <v>0.0</v>
      </c>
      <c r="DN38" s="51">
        <v>0.0</v>
      </c>
      <c r="DO38" s="51">
        <v>0.0</v>
      </c>
      <c r="DP38" s="51">
        <v>0.0</v>
      </c>
      <c r="DQ38" s="51">
        <v>0.0</v>
      </c>
      <c r="DR38" s="51">
        <v>0.0</v>
      </c>
      <c r="DT38" s="50">
        <f t="shared" ref="DT38:DW38" si="56">+F38-E38</f>
        <v>98</v>
      </c>
      <c r="DU38" s="50">
        <f t="shared" si="56"/>
        <v>31.063</v>
      </c>
      <c r="DV38" s="50">
        <f t="shared" si="56"/>
        <v>111.15496</v>
      </c>
      <c r="DW38" s="50">
        <f t="shared" si="56"/>
        <v>12.46904</v>
      </c>
    </row>
    <row r="39" ht="15.75" hidden="1" customHeight="1" outlineLevel="1">
      <c r="B39" s="5" t="s">
        <v>99</v>
      </c>
      <c r="C39" s="72" t="s">
        <v>70</v>
      </c>
      <c r="E39" s="50">
        <f t="shared" ref="E39:M39" si="57">+SUMIFS($O39:$DR39,$O$7:$DR$7,E$7)</f>
        <v>0</v>
      </c>
      <c r="F39" s="50">
        <f t="shared" si="57"/>
        <v>0</v>
      </c>
      <c r="G39" s="50">
        <f t="shared" si="57"/>
        <v>0</v>
      </c>
      <c r="H39" s="50">
        <f t="shared" si="57"/>
        <v>24</v>
      </c>
      <c r="I39" s="50">
        <f t="shared" si="57"/>
        <v>81.33333333</v>
      </c>
      <c r="J39" s="50">
        <f t="shared" si="57"/>
        <v>85.4</v>
      </c>
      <c r="K39" s="50">
        <f t="shared" si="57"/>
        <v>89.672</v>
      </c>
      <c r="L39" s="50">
        <f t="shared" si="57"/>
        <v>94.156</v>
      </c>
      <c r="M39" s="50">
        <f t="shared" si="57"/>
        <v>64.824</v>
      </c>
      <c r="O39" s="51">
        <v>0.0</v>
      </c>
      <c r="P39" s="51">
        <v>0.0</v>
      </c>
      <c r="Q39" s="51">
        <v>0.0</v>
      </c>
      <c r="R39" s="51">
        <v>0.0</v>
      </c>
      <c r="S39" s="51">
        <v>0.0</v>
      </c>
      <c r="T39" s="51">
        <v>0.0</v>
      </c>
      <c r="U39" s="51">
        <v>0.0</v>
      </c>
      <c r="V39" s="51">
        <v>0.0</v>
      </c>
      <c r="W39" s="51">
        <v>0.0</v>
      </c>
      <c r="X39" s="51">
        <v>0.0</v>
      </c>
      <c r="Y39" s="51">
        <v>0.0</v>
      </c>
      <c r="Z39" s="51">
        <v>0.0</v>
      </c>
      <c r="AA39" s="51">
        <v>0.0</v>
      </c>
      <c r="AB39" s="51">
        <v>0.0</v>
      </c>
      <c r="AC39" s="51">
        <v>0.0</v>
      </c>
      <c r="AD39" s="51">
        <v>0.0</v>
      </c>
      <c r="AE39" s="51">
        <v>0.0</v>
      </c>
      <c r="AF39" s="51">
        <v>0.0</v>
      </c>
      <c r="AG39" s="51">
        <v>0.0</v>
      </c>
      <c r="AH39" s="51">
        <v>0.0</v>
      </c>
      <c r="AI39" s="51">
        <v>0.0</v>
      </c>
      <c r="AJ39" s="51">
        <v>0.0</v>
      </c>
      <c r="AK39" s="51">
        <v>0.0</v>
      </c>
      <c r="AL39" s="51">
        <v>0.0</v>
      </c>
      <c r="AM39" s="51">
        <v>0.0</v>
      </c>
      <c r="AN39" s="51">
        <v>0.0</v>
      </c>
      <c r="AO39" s="51">
        <v>0.0</v>
      </c>
      <c r="AP39" s="51">
        <v>0.0</v>
      </c>
      <c r="AQ39" s="51">
        <v>0.0</v>
      </c>
      <c r="AR39" s="51">
        <v>0.0</v>
      </c>
      <c r="AS39" s="51">
        <v>0.0</v>
      </c>
      <c r="AT39" s="51">
        <v>0.0</v>
      </c>
      <c r="AU39" s="51">
        <v>0.0</v>
      </c>
      <c r="AV39" s="51">
        <v>0.0</v>
      </c>
      <c r="AW39" s="51">
        <v>0.0</v>
      </c>
      <c r="AX39" s="51">
        <v>0.0</v>
      </c>
      <c r="AY39" s="51">
        <v>0.0</v>
      </c>
      <c r="AZ39" s="51">
        <v>0.0</v>
      </c>
      <c r="BA39" s="51">
        <v>0.0</v>
      </c>
      <c r="BB39" s="51">
        <v>0.0</v>
      </c>
      <c r="BC39" s="51">
        <v>0.0</v>
      </c>
      <c r="BD39" s="51">
        <v>0.0</v>
      </c>
      <c r="BE39" s="51">
        <v>0.0</v>
      </c>
      <c r="BF39" s="51">
        <v>0.0</v>
      </c>
      <c r="BG39" s="51">
        <v>4.0</v>
      </c>
      <c r="BH39" s="51">
        <v>6.666666666666667</v>
      </c>
      <c r="BI39" s="51">
        <v>6.666666666666667</v>
      </c>
      <c r="BJ39" s="51">
        <v>6.666666666666667</v>
      </c>
      <c r="BK39" s="51">
        <v>6.666666666666667</v>
      </c>
      <c r="BL39" s="51">
        <v>6.666666666666667</v>
      </c>
      <c r="BM39" s="51">
        <v>6.666666666666667</v>
      </c>
      <c r="BN39" s="51">
        <v>6.666666666666667</v>
      </c>
      <c r="BO39" s="51">
        <v>6.666666666666667</v>
      </c>
      <c r="BP39" s="51">
        <v>6.666666666666667</v>
      </c>
      <c r="BQ39" s="51">
        <v>6.666666666666667</v>
      </c>
      <c r="BR39" s="51">
        <v>6.666666666666667</v>
      </c>
      <c r="BS39" s="51">
        <v>7.0</v>
      </c>
      <c r="BT39" s="51">
        <v>7.0</v>
      </c>
      <c r="BU39" s="51">
        <v>7.0</v>
      </c>
      <c r="BV39" s="51">
        <v>7.0</v>
      </c>
      <c r="BW39" s="51">
        <v>7.0</v>
      </c>
      <c r="BX39" s="51">
        <v>7.0</v>
      </c>
      <c r="BY39" s="51">
        <v>7.0</v>
      </c>
      <c r="BZ39" s="51">
        <v>7.0</v>
      </c>
      <c r="CA39" s="51">
        <v>7.0</v>
      </c>
      <c r="CB39" s="51">
        <v>7.0</v>
      </c>
      <c r="CC39" s="51">
        <v>7.0</v>
      </c>
      <c r="CD39" s="51">
        <v>7.0</v>
      </c>
      <c r="CE39" s="51">
        <v>7.35</v>
      </c>
      <c r="CF39" s="51">
        <v>7.35</v>
      </c>
      <c r="CG39" s="51">
        <v>7.35</v>
      </c>
      <c r="CH39" s="51">
        <v>7.35</v>
      </c>
      <c r="CI39" s="51">
        <v>7.35</v>
      </c>
      <c r="CJ39" s="51">
        <v>7.35</v>
      </c>
      <c r="CK39" s="51">
        <v>7.35</v>
      </c>
      <c r="CL39" s="51">
        <v>7.35</v>
      </c>
      <c r="CM39" s="51">
        <v>7.35</v>
      </c>
      <c r="CN39" s="51">
        <v>7.35</v>
      </c>
      <c r="CO39" s="51">
        <v>7.35</v>
      </c>
      <c r="CP39" s="51">
        <v>7.35</v>
      </c>
      <c r="CQ39" s="51">
        <v>7.718</v>
      </c>
      <c r="CR39" s="51">
        <v>7.718</v>
      </c>
      <c r="CS39" s="51">
        <v>7.718</v>
      </c>
      <c r="CT39" s="51">
        <v>7.718</v>
      </c>
      <c r="CU39" s="51">
        <v>7.718</v>
      </c>
      <c r="CV39" s="51">
        <v>7.718</v>
      </c>
      <c r="CW39" s="51">
        <v>7.718</v>
      </c>
      <c r="CX39" s="51">
        <v>7.718</v>
      </c>
      <c r="CY39" s="51">
        <v>7.718</v>
      </c>
      <c r="CZ39" s="51">
        <v>7.718</v>
      </c>
      <c r="DA39" s="51">
        <v>7.718</v>
      </c>
      <c r="DB39" s="51">
        <v>7.718</v>
      </c>
      <c r="DC39" s="51">
        <v>8.103</v>
      </c>
      <c r="DD39" s="51">
        <v>8.103</v>
      </c>
      <c r="DE39" s="51">
        <v>8.103</v>
      </c>
      <c r="DF39" s="51">
        <v>8.103</v>
      </c>
      <c r="DG39" s="51">
        <v>8.103</v>
      </c>
      <c r="DH39" s="51">
        <v>8.103</v>
      </c>
      <c r="DI39" s="51">
        <v>8.103</v>
      </c>
      <c r="DJ39" s="51">
        <v>8.103</v>
      </c>
      <c r="DK39" s="51">
        <v>8.103</v>
      </c>
      <c r="DL39" s="51">
        <v>8.103</v>
      </c>
      <c r="DM39" s="51">
        <v>8.103</v>
      </c>
      <c r="DN39" s="51">
        <v>8.103</v>
      </c>
      <c r="DO39" s="51">
        <v>0.0</v>
      </c>
      <c r="DP39" s="51">
        <v>0.0</v>
      </c>
      <c r="DQ39" s="51">
        <v>0.0</v>
      </c>
      <c r="DR39" s="51">
        <v>0.0</v>
      </c>
      <c r="DT39" s="50">
        <f t="shared" ref="DT39:DW39" si="58">+F39-E39</f>
        <v>0</v>
      </c>
      <c r="DU39" s="50">
        <f t="shared" si="58"/>
        <v>0</v>
      </c>
      <c r="DV39" s="50">
        <f t="shared" si="58"/>
        <v>24</v>
      </c>
      <c r="DW39" s="50">
        <f t="shared" si="58"/>
        <v>57.33333333</v>
      </c>
    </row>
    <row r="40" ht="15.75" hidden="1" customHeight="1" outlineLevel="1">
      <c r="B40" s="5" t="s">
        <v>100</v>
      </c>
      <c r="C40" s="72" t="s">
        <v>82</v>
      </c>
      <c r="E40" s="50">
        <f t="shared" ref="E40:M40" si="59">+SUMIFS($O40:$DR40,$O$7:$DR$7,E$7)</f>
        <v>2916.796</v>
      </c>
      <c r="F40" s="50">
        <f t="shared" si="59"/>
        <v>3019.071</v>
      </c>
      <c r="G40" s="50">
        <f t="shared" si="59"/>
        <v>3151.983</v>
      </c>
      <c r="H40" s="50">
        <f t="shared" si="59"/>
        <v>3455.277307</v>
      </c>
      <c r="I40" s="50">
        <f t="shared" si="59"/>
        <v>3602.804288</v>
      </c>
      <c r="J40" s="50">
        <f t="shared" si="59"/>
        <v>3728.902438</v>
      </c>
      <c r="K40" s="50">
        <f t="shared" si="59"/>
        <v>3859.414024</v>
      </c>
      <c r="L40" s="50">
        <f t="shared" si="59"/>
        <v>3994.493514</v>
      </c>
      <c r="M40" s="50">
        <f t="shared" si="59"/>
        <v>4134.300787</v>
      </c>
      <c r="O40" s="51">
        <v>243.407</v>
      </c>
      <c r="P40" s="51">
        <v>243.407</v>
      </c>
      <c r="Q40" s="51">
        <v>243.407</v>
      </c>
      <c r="R40" s="51">
        <v>243.407</v>
      </c>
      <c r="S40" s="51">
        <v>243.407</v>
      </c>
      <c r="T40" s="51">
        <v>243.407</v>
      </c>
      <c r="U40" s="51">
        <v>231.23700000000002</v>
      </c>
      <c r="V40" s="51">
        <v>243.407</v>
      </c>
      <c r="W40" s="51">
        <v>243.407</v>
      </c>
      <c r="X40" s="51">
        <v>243.407</v>
      </c>
      <c r="Y40" s="51">
        <v>243.407</v>
      </c>
      <c r="Z40" s="51">
        <v>251.489</v>
      </c>
      <c r="AA40" s="51">
        <v>251.489</v>
      </c>
      <c r="AB40" s="51">
        <v>251.489</v>
      </c>
      <c r="AC40" s="51">
        <v>251.489</v>
      </c>
      <c r="AD40" s="51">
        <v>251.49</v>
      </c>
      <c r="AE40" s="51">
        <v>251.489</v>
      </c>
      <c r="AF40" s="51">
        <v>249.10000000000002</v>
      </c>
      <c r="AG40" s="51">
        <v>251.49</v>
      </c>
      <c r="AH40" s="51">
        <v>251.49</v>
      </c>
      <c r="AI40" s="51">
        <v>251.49</v>
      </c>
      <c r="AJ40" s="51">
        <v>246.71</v>
      </c>
      <c r="AK40" s="51">
        <v>251.49</v>
      </c>
      <c r="AL40" s="51">
        <v>259.855</v>
      </c>
      <c r="AM40" s="51">
        <v>259.855</v>
      </c>
      <c r="AN40" s="51">
        <v>257.38100000000003</v>
      </c>
      <c r="AO40" s="51">
        <v>259.855</v>
      </c>
      <c r="AP40" s="51">
        <v>259.855</v>
      </c>
      <c r="AQ40" s="51">
        <v>259.856</v>
      </c>
      <c r="AR40" s="51">
        <v>259.855</v>
      </c>
      <c r="AS40" s="51">
        <v>259.855</v>
      </c>
      <c r="AT40" s="51">
        <v>237.87900000000002</v>
      </c>
      <c r="AU40" s="51">
        <v>259.855</v>
      </c>
      <c r="AV40" s="51">
        <v>280.482</v>
      </c>
      <c r="AW40" s="51">
        <v>268.11400000000003</v>
      </c>
      <c r="AX40" s="51">
        <v>289.141</v>
      </c>
      <c r="AY40" s="51">
        <v>276.33899099999996</v>
      </c>
      <c r="AZ40" s="51">
        <v>289.140991</v>
      </c>
      <c r="BA40" s="51">
        <v>278.899991</v>
      </c>
      <c r="BB40" s="51">
        <v>289.140991</v>
      </c>
      <c r="BC40" s="51">
        <v>289.140991</v>
      </c>
      <c r="BD40" s="51">
        <v>289.140991</v>
      </c>
      <c r="BE40" s="51">
        <v>289.140991</v>
      </c>
      <c r="BF40" s="51">
        <v>289.140991</v>
      </c>
      <c r="BG40" s="51">
        <v>289.140991</v>
      </c>
      <c r="BH40" s="51">
        <v>289.140991</v>
      </c>
      <c r="BI40" s="51">
        <v>290.299491</v>
      </c>
      <c r="BJ40" s="51">
        <v>296.610905685</v>
      </c>
      <c r="BK40" s="51">
        <v>299.26092568499996</v>
      </c>
      <c r="BL40" s="51">
        <v>299.26092568499996</v>
      </c>
      <c r="BM40" s="51">
        <v>299.26092568499996</v>
      </c>
      <c r="BN40" s="51">
        <v>299.26092568499996</v>
      </c>
      <c r="BO40" s="51">
        <v>299.26092568499996</v>
      </c>
      <c r="BP40" s="51">
        <v>299.26092568499996</v>
      </c>
      <c r="BQ40" s="51">
        <v>299.26092568499996</v>
      </c>
      <c r="BR40" s="51">
        <v>299.26092568499996</v>
      </c>
      <c r="BS40" s="51">
        <v>299.26092568499996</v>
      </c>
      <c r="BT40" s="51">
        <v>299.26092568499996</v>
      </c>
      <c r="BU40" s="51">
        <v>300.45997318499997</v>
      </c>
      <c r="BV40" s="51">
        <v>309.73505808397493</v>
      </c>
      <c r="BW40" s="51">
        <v>309.73505808397493</v>
      </c>
      <c r="BX40" s="51">
        <v>309.73505808397493</v>
      </c>
      <c r="BY40" s="51">
        <v>309.73505808397493</v>
      </c>
      <c r="BZ40" s="51">
        <v>309.73505808397493</v>
      </c>
      <c r="CA40" s="51">
        <v>309.73505808397493</v>
      </c>
      <c r="CB40" s="51">
        <v>309.73505808397493</v>
      </c>
      <c r="CC40" s="51">
        <v>309.73505808397493</v>
      </c>
      <c r="CD40" s="51">
        <v>309.73505808397493</v>
      </c>
      <c r="CE40" s="51">
        <v>309.73505808397493</v>
      </c>
      <c r="CF40" s="51">
        <v>309.73505808397493</v>
      </c>
      <c r="CG40" s="51">
        <v>310.9760722464749</v>
      </c>
      <c r="CH40" s="51">
        <v>320.57578511691406</v>
      </c>
      <c r="CI40" s="51">
        <v>320.57578511691406</v>
      </c>
      <c r="CJ40" s="51">
        <v>320.57578511691406</v>
      </c>
      <c r="CK40" s="51">
        <v>320.57578511691406</v>
      </c>
      <c r="CL40" s="51">
        <v>320.57578511691406</v>
      </c>
      <c r="CM40" s="51">
        <v>320.57578511691406</v>
      </c>
      <c r="CN40" s="51">
        <v>320.57578511691406</v>
      </c>
      <c r="CO40" s="51">
        <v>320.57578511691406</v>
      </c>
      <c r="CP40" s="51">
        <v>320.57578511691406</v>
      </c>
      <c r="CQ40" s="51">
        <v>320.57578511691406</v>
      </c>
      <c r="CR40" s="51">
        <v>320.57578511691406</v>
      </c>
      <c r="CS40" s="51">
        <v>321.86023477510156</v>
      </c>
      <c r="CT40" s="51">
        <v>331.795937596006</v>
      </c>
      <c r="CU40" s="51">
        <v>331.795937596006</v>
      </c>
      <c r="CV40" s="51">
        <v>331.795937596006</v>
      </c>
      <c r="CW40" s="51">
        <v>331.795937596006</v>
      </c>
      <c r="CX40" s="51">
        <v>331.795937596006</v>
      </c>
      <c r="CY40" s="51">
        <v>331.795937596006</v>
      </c>
      <c r="CZ40" s="51">
        <v>331.795937596006</v>
      </c>
      <c r="DA40" s="51">
        <v>331.795937596006</v>
      </c>
      <c r="DB40" s="51">
        <v>331.795937596006</v>
      </c>
      <c r="DC40" s="51">
        <v>331.795937596006</v>
      </c>
      <c r="DD40" s="51">
        <v>331.795937596006</v>
      </c>
      <c r="DE40" s="51">
        <v>333.12534299223006</v>
      </c>
      <c r="DF40" s="51">
        <v>343.4087954118662</v>
      </c>
      <c r="DG40" s="51">
        <v>343.4087954118662</v>
      </c>
      <c r="DH40" s="51">
        <v>343.4087954118662</v>
      </c>
      <c r="DI40" s="51">
        <v>343.4087954118662</v>
      </c>
      <c r="DJ40" s="51">
        <v>343.4087954118662</v>
      </c>
      <c r="DK40" s="51">
        <v>343.4087954118662</v>
      </c>
      <c r="DL40" s="51">
        <v>343.4087954118662</v>
      </c>
      <c r="DM40" s="51">
        <v>343.4087954118662</v>
      </c>
      <c r="DN40" s="51">
        <v>343.4087954118662</v>
      </c>
      <c r="DO40" s="51">
        <v>343.4087954118662</v>
      </c>
      <c r="DP40" s="51">
        <v>343.4087954118662</v>
      </c>
      <c r="DQ40" s="51">
        <v>344.7847299969581</v>
      </c>
      <c r="DR40" s="51">
        <v>355.42810325128147</v>
      </c>
      <c r="DT40" s="50">
        <f t="shared" ref="DT40:DW40" si="60">+F40-E40</f>
        <v>102.275</v>
      </c>
      <c r="DU40" s="50">
        <f t="shared" si="60"/>
        <v>132.912</v>
      </c>
      <c r="DV40" s="50">
        <f t="shared" si="60"/>
        <v>303.2943067</v>
      </c>
      <c r="DW40" s="50">
        <f t="shared" si="60"/>
        <v>147.5269814</v>
      </c>
    </row>
    <row r="41" ht="15.75" hidden="1" customHeight="1" outlineLevel="1">
      <c r="B41" s="5" t="s">
        <v>101</v>
      </c>
      <c r="C41" s="72" t="s">
        <v>70</v>
      </c>
      <c r="E41" s="50">
        <f t="shared" ref="E41:M41" si="61">+SUMIFS($O41:$DR41,$O$7:$DR$7,E$7)</f>
        <v>0</v>
      </c>
      <c r="F41" s="50">
        <f t="shared" si="61"/>
        <v>15.893</v>
      </c>
      <c r="G41" s="50">
        <f t="shared" si="61"/>
        <v>114.765</v>
      </c>
      <c r="H41" s="50">
        <f t="shared" si="61"/>
        <v>135.46708</v>
      </c>
      <c r="I41" s="50">
        <f t="shared" si="61"/>
        <v>139.5310924</v>
      </c>
      <c r="J41" s="50">
        <f t="shared" si="61"/>
        <v>143.7170252</v>
      </c>
      <c r="K41" s="50">
        <f t="shared" si="61"/>
        <v>148.0285359</v>
      </c>
      <c r="L41" s="50">
        <f t="shared" si="61"/>
        <v>37.28360484</v>
      </c>
      <c r="M41" s="50">
        <f t="shared" si="61"/>
        <v>0</v>
      </c>
      <c r="O41" s="51">
        <v>0.0</v>
      </c>
      <c r="P41" s="51">
        <v>0.0</v>
      </c>
      <c r="Q41" s="51">
        <v>0.0</v>
      </c>
      <c r="R41" s="51">
        <v>0.0</v>
      </c>
      <c r="S41" s="51">
        <v>0.0</v>
      </c>
      <c r="T41" s="51">
        <v>0.0</v>
      </c>
      <c r="U41" s="51">
        <v>0.0</v>
      </c>
      <c r="V41" s="51">
        <v>0.0</v>
      </c>
      <c r="W41" s="51">
        <v>0.0</v>
      </c>
      <c r="X41" s="51">
        <v>0.0</v>
      </c>
      <c r="Y41" s="51">
        <v>0.0</v>
      </c>
      <c r="Z41" s="51">
        <v>0.0</v>
      </c>
      <c r="AA41" s="51">
        <v>0.0</v>
      </c>
      <c r="AB41" s="51">
        <v>0.0</v>
      </c>
      <c r="AC41" s="51">
        <v>0.0</v>
      </c>
      <c r="AD41" s="51">
        <v>0.0</v>
      </c>
      <c r="AE41" s="51">
        <v>0.0</v>
      </c>
      <c r="AF41" s="51">
        <v>0.0</v>
      </c>
      <c r="AG41" s="51">
        <v>0.0</v>
      </c>
      <c r="AH41" s="51">
        <v>0.0</v>
      </c>
      <c r="AI41" s="51">
        <v>0.0</v>
      </c>
      <c r="AJ41" s="51">
        <v>4.435</v>
      </c>
      <c r="AK41" s="51">
        <v>5.729</v>
      </c>
      <c r="AL41" s="51">
        <v>5.729</v>
      </c>
      <c r="AM41" s="51">
        <v>5.729</v>
      </c>
      <c r="AN41" s="51">
        <v>5.729</v>
      </c>
      <c r="AO41" s="51">
        <v>5.729</v>
      </c>
      <c r="AP41" s="51">
        <v>11.042</v>
      </c>
      <c r="AQ41" s="51">
        <v>11.042</v>
      </c>
      <c r="AR41" s="51">
        <v>11.042</v>
      </c>
      <c r="AS41" s="51">
        <v>11.042</v>
      </c>
      <c r="AT41" s="51">
        <v>9.241999999999999</v>
      </c>
      <c r="AU41" s="51">
        <v>11.042</v>
      </c>
      <c r="AV41" s="51">
        <v>11.042</v>
      </c>
      <c r="AW41" s="51">
        <v>11.042</v>
      </c>
      <c r="AX41" s="51">
        <v>11.042</v>
      </c>
      <c r="AY41" s="51">
        <v>11.042</v>
      </c>
      <c r="AZ41" s="51">
        <v>11.042</v>
      </c>
      <c r="BA41" s="51">
        <v>11.042</v>
      </c>
      <c r="BB41" s="51">
        <v>11.37326</v>
      </c>
      <c r="BC41" s="51">
        <v>11.37326</v>
      </c>
      <c r="BD41" s="51">
        <v>11.37326</v>
      </c>
      <c r="BE41" s="51">
        <v>11.37326</v>
      </c>
      <c r="BF41" s="51">
        <v>11.355</v>
      </c>
      <c r="BG41" s="51">
        <v>11.37326</v>
      </c>
      <c r="BH41" s="51">
        <v>11.37326</v>
      </c>
      <c r="BI41" s="51">
        <v>11.37326</v>
      </c>
      <c r="BJ41" s="51">
        <v>11.37326</v>
      </c>
      <c r="BK41" s="51">
        <v>11.37326</v>
      </c>
      <c r="BL41" s="51">
        <v>11.37326</v>
      </c>
      <c r="BM41" s="51">
        <v>11.37326</v>
      </c>
      <c r="BN41" s="51">
        <v>11.7144578</v>
      </c>
      <c r="BO41" s="51">
        <v>11.7144578</v>
      </c>
      <c r="BP41" s="51">
        <v>11.7144578</v>
      </c>
      <c r="BQ41" s="51">
        <v>11.7144578</v>
      </c>
      <c r="BR41" s="51">
        <v>11.695649999999999</v>
      </c>
      <c r="BS41" s="51">
        <v>11.7144578</v>
      </c>
      <c r="BT41" s="51">
        <v>11.7144578</v>
      </c>
      <c r="BU41" s="51">
        <v>11.7144578</v>
      </c>
      <c r="BV41" s="51">
        <v>11.7144578</v>
      </c>
      <c r="BW41" s="51">
        <v>11.7144578</v>
      </c>
      <c r="BX41" s="51">
        <v>11.7144578</v>
      </c>
      <c r="BY41" s="51">
        <v>11.7144578</v>
      </c>
      <c r="BZ41" s="51">
        <v>12.065891534</v>
      </c>
      <c r="CA41" s="51">
        <v>12.065891534</v>
      </c>
      <c r="CB41" s="51">
        <v>12.065891534</v>
      </c>
      <c r="CC41" s="51">
        <v>12.065891534</v>
      </c>
      <c r="CD41" s="51">
        <v>12.0465195</v>
      </c>
      <c r="CE41" s="51">
        <v>12.065891534</v>
      </c>
      <c r="CF41" s="51">
        <v>12.065891534</v>
      </c>
      <c r="CG41" s="51">
        <v>12.065891534</v>
      </c>
      <c r="CH41" s="51">
        <v>12.065891534</v>
      </c>
      <c r="CI41" s="51">
        <v>12.065891534</v>
      </c>
      <c r="CJ41" s="51">
        <v>12.065891534</v>
      </c>
      <c r="CK41" s="51">
        <v>12.065891534</v>
      </c>
      <c r="CL41" s="51">
        <v>12.42786828002</v>
      </c>
      <c r="CM41" s="51">
        <v>12.42786828002</v>
      </c>
      <c r="CN41" s="51">
        <v>12.42786828002</v>
      </c>
      <c r="CO41" s="51">
        <v>12.42786828002</v>
      </c>
      <c r="CP41" s="51">
        <v>12.407915085</v>
      </c>
      <c r="CQ41" s="51">
        <v>12.42786828002</v>
      </c>
      <c r="CR41" s="51">
        <v>12.42786828002</v>
      </c>
      <c r="CS41" s="51">
        <v>12.42786828002</v>
      </c>
      <c r="CT41" s="51">
        <v>12.42786828002</v>
      </c>
      <c r="CU41" s="51">
        <v>12.42786828002</v>
      </c>
      <c r="CV41" s="51">
        <v>12.42786828002</v>
      </c>
      <c r="CW41" s="51">
        <v>12.42786828002</v>
      </c>
      <c r="CX41" s="51">
        <v>0.0</v>
      </c>
      <c r="CY41" s="51">
        <v>0.0</v>
      </c>
      <c r="CZ41" s="51">
        <v>0.0</v>
      </c>
      <c r="DA41" s="51">
        <v>0.0</v>
      </c>
      <c r="DB41" s="51">
        <v>0.0</v>
      </c>
      <c r="DC41" s="51">
        <v>0.0</v>
      </c>
      <c r="DD41" s="51">
        <v>0.0</v>
      </c>
      <c r="DE41" s="51">
        <v>0.0</v>
      </c>
      <c r="DF41" s="51">
        <v>0.0</v>
      </c>
      <c r="DG41" s="51">
        <v>0.0</v>
      </c>
      <c r="DH41" s="51">
        <v>0.0</v>
      </c>
      <c r="DI41" s="51">
        <v>0.0</v>
      </c>
      <c r="DJ41" s="51">
        <v>0.0</v>
      </c>
      <c r="DK41" s="51">
        <v>0.0</v>
      </c>
      <c r="DL41" s="51">
        <v>0.0</v>
      </c>
      <c r="DM41" s="51">
        <v>0.0</v>
      </c>
      <c r="DN41" s="51">
        <v>0.0</v>
      </c>
      <c r="DO41" s="51">
        <v>0.0</v>
      </c>
      <c r="DP41" s="51">
        <v>0.0</v>
      </c>
      <c r="DQ41" s="51">
        <v>0.0</v>
      </c>
      <c r="DR41" s="51">
        <v>0.0</v>
      </c>
      <c r="DT41" s="50">
        <f t="shared" ref="DT41:DW41" si="62">+F41-E41</f>
        <v>15.893</v>
      </c>
      <c r="DU41" s="50">
        <f t="shared" si="62"/>
        <v>98.872</v>
      </c>
      <c r="DV41" s="50">
        <f t="shared" si="62"/>
        <v>20.70208</v>
      </c>
      <c r="DW41" s="50">
        <f t="shared" si="62"/>
        <v>4.0640124</v>
      </c>
    </row>
    <row r="42" ht="15.75" hidden="1" customHeight="1" outlineLevel="1">
      <c r="B42" s="5" t="s">
        <v>102</v>
      </c>
      <c r="C42" s="72" t="s">
        <v>70</v>
      </c>
      <c r="E42" s="50">
        <f t="shared" ref="E42:M42" si="63">+SUMIFS($O42:$DR42,$O$7:$DR$7,E$7)</f>
        <v>0</v>
      </c>
      <c r="F42" s="50">
        <f t="shared" si="63"/>
        <v>0</v>
      </c>
      <c r="G42" s="50">
        <f t="shared" si="63"/>
        <v>0</v>
      </c>
      <c r="H42" s="50">
        <f t="shared" si="63"/>
        <v>0</v>
      </c>
      <c r="I42" s="50">
        <f t="shared" si="63"/>
        <v>18</v>
      </c>
      <c r="J42" s="50">
        <f t="shared" si="63"/>
        <v>177.504</v>
      </c>
      <c r="K42" s="50">
        <f t="shared" si="63"/>
        <v>186.3792</v>
      </c>
      <c r="L42" s="50">
        <f t="shared" si="63"/>
        <v>195.69816</v>
      </c>
      <c r="M42" s="50">
        <f t="shared" si="63"/>
        <v>205.483068</v>
      </c>
      <c r="O42" s="51">
        <v>0.0</v>
      </c>
      <c r="P42" s="51">
        <v>0.0</v>
      </c>
      <c r="Q42" s="51">
        <v>0.0</v>
      </c>
      <c r="R42" s="51">
        <v>0.0</v>
      </c>
      <c r="S42" s="51">
        <v>0.0</v>
      </c>
      <c r="T42" s="51">
        <v>0.0</v>
      </c>
      <c r="U42" s="51">
        <v>0.0</v>
      </c>
      <c r="V42" s="51">
        <v>0.0</v>
      </c>
      <c r="W42" s="51">
        <v>0.0</v>
      </c>
      <c r="X42" s="51">
        <v>0.0</v>
      </c>
      <c r="Y42" s="51">
        <v>0.0</v>
      </c>
      <c r="Z42" s="51">
        <v>0.0</v>
      </c>
      <c r="AA42" s="51">
        <v>0.0</v>
      </c>
      <c r="AB42" s="51">
        <v>0.0</v>
      </c>
      <c r="AC42" s="51">
        <v>0.0</v>
      </c>
      <c r="AD42" s="51">
        <v>0.0</v>
      </c>
      <c r="AE42" s="51">
        <v>0.0</v>
      </c>
      <c r="AF42" s="51">
        <v>0.0</v>
      </c>
      <c r="AG42" s="51">
        <v>0.0</v>
      </c>
      <c r="AH42" s="51">
        <v>0.0</v>
      </c>
      <c r="AI42" s="51">
        <v>0.0</v>
      </c>
      <c r="AJ42" s="51">
        <v>0.0</v>
      </c>
      <c r="AK42" s="51">
        <v>0.0</v>
      </c>
      <c r="AL42" s="51">
        <v>0.0</v>
      </c>
      <c r="AM42" s="51">
        <v>0.0</v>
      </c>
      <c r="AN42" s="51">
        <v>0.0</v>
      </c>
      <c r="AO42" s="51">
        <v>0.0</v>
      </c>
      <c r="AP42" s="51">
        <v>0.0</v>
      </c>
      <c r="AQ42" s="51">
        <v>0.0</v>
      </c>
      <c r="AR42" s="51">
        <v>0.0</v>
      </c>
      <c r="AS42" s="51">
        <v>0.0</v>
      </c>
      <c r="AT42" s="51">
        <v>0.0</v>
      </c>
      <c r="AU42" s="51">
        <v>0.0</v>
      </c>
      <c r="AV42" s="51">
        <v>0.0</v>
      </c>
      <c r="AW42" s="51">
        <v>0.0</v>
      </c>
      <c r="AX42" s="51">
        <v>0.0</v>
      </c>
      <c r="AY42" s="51">
        <v>0.0</v>
      </c>
      <c r="AZ42" s="51">
        <v>0.0</v>
      </c>
      <c r="BA42" s="51">
        <v>0.0</v>
      </c>
      <c r="BB42" s="51">
        <v>0.0</v>
      </c>
      <c r="BC42" s="51">
        <v>0.0</v>
      </c>
      <c r="BD42" s="51">
        <v>0.0</v>
      </c>
      <c r="BE42" s="51">
        <v>0.0</v>
      </c>
      <c r="BF42" s="51">
        <v>0.0</v>
      </c>
      <c r="BG42" s="51">
        <v>0.0</v>
      </c>
      <c r="BH42" s="51">
        <v>0.0</v>
      </c>
      <c r="BI42" s="51">
        <v>0.0</v>
      </c>
      <c r="BJ42" s="51">
        <v>0.0</v>
      </c>
      <c r="BK42" s="51">
        <v>0.0</v>
      </c>
      <c r="BL42" s="51">
        <v>0.0</v>
      </c>
      <c r="BM42" s="51">
        <v>0.0</v>
      </c>
      <c r="BN42" s="51">
        <v>2.0</v>
      </c>
      <c r="BO42" s="51">
        <v>2.0</v>
      </c>
      <c r="BP42" s="51">
        <v>2.0</v>
      </c>
      <c r="BQ42" s="51">
        <v>2.0</v>
      </c>
      <c r="BR42" s="51">
        <v>2.0</v>
      </c>
      <c r="BS42" s="51">
        <v>2.0</v>
      </c>
      <c r="BT42" s="51">
        <v>2.0</v>
      </c>
      <c r="BU42" s="51">
        <v>2.0</v>
      </c>
      <c r="BV42" s="51">
        <v>2.0</v>
      </c>
      <c r="BW42" s="51">
        <v>14.792</v>
      </c>
      <c r="BX42" s="51">
        <v>14.792</v>
      </c>
      <c r="BY42" s="51">
        <v>14.792</v>
      </c>
      <c r="BZ42" s="51">
        <v>14.792</v>
      </c>
      <c r="CA42" s="51">
        <v>14.792</v>
      </c>
      <c r="CB42" s="51">
        <v>14.792</v>
      </c>
      <c r="CC42" s="51">
        <v>14.792</v>
      </c>
      <c r="CD42" s="51">
        <v>14.792</v>
      </c>
      <c r="CE42" s="51">
        <v>14.792</v>
      </c>
      <c r="CF42" s="51">
        <v>14.792</v>
      </c>
      <c r="CG42" s="51">
        <v>14.792</v>
      </c>
      <c r="CH42" s="51">
        <v>14.792</v>
      </c>
      <c r="CI42" s="51">
        <v>15.531600000000001</v>
      </c>
      <c r="CJ42" s="51">
        <v>15.531600000000001</v>
      </c>
      <c r="CK42" s="51">
        <v>15.531600000000001</v>
      </c>
      <c r="CL42" s="51">
        <v>15.531600000000001</v>
      </c>
      <c r="CM42" s="51">
        <v>15.531600000000001</v>
      </c>
      <c r="CN42" s="51">
        <v>15.531600000000001</v>
      </c>
      <c r="CO42" s="51">
        <v>15.531600000000001</v>
      </c>
      <c r="CP42" s="51">
        <v>15.531600000000001</v>
      </c>
      <c r="CQ42" s="51">
        <v>15.531600000000001</v>
      </c>
      <c r="CR42" s="51">
        <v>15.531600000000001</v>
      </c>
      <c r="CS42" s="51">
        <v>15.531600000000001</v>
      </c>
      <c r="CT42" s="51">
        <v>15.531600000000001</v>
      </c>
      <c r="CU42" s="51">
        <v>16.30818</v>
      </c>
      <c r="CV42" s="51">
        <v>16.30818</v>
      </c>
      <c r="CW42" s="51">
        <v>16.30818</v>
      </c>
      <c r="CX42" s="51">
        <v>16.30818</v>
      </c>
      <c r="CY42" s="51">
        <v>16.30818</v>
      </c>
      <c r="CZ42" s="51">
        <v>16.30818</v>
      </c>
      <c r="DA42" s="51">
        <v>16.30818</v>
      </c>
      <c r="DB42" s="51">
        <v>16.30818</v>
      </c>
      <c r="DC42" s="51">
        <v>16.30818</v>
      </c>
      <c r="DD42" s="51">
        <v>16.30818</v>
      </c>
      <c r="DE42" s="51">
        <v>16.30818</v>
      </c>
      <c r="DF42" s="51">
        <v>16.30818</v>
      </c>
      <c r="DG42" s="51">
        <v>17.123589</v>
      </c>
      <c r="DH42" s="51">
        <v>17.123589</v>
      </c>
      <c r="DI42" s="51">
        <v>17.123589</v>
      </c>
      <c r="DJ42" s="51">
        <v>17.123589</v>
      </c>
      <c r="DK42" s="51">
        <v>17.123589</v>
      </c>
      <c r="DL42" s="51">
        <v>17.123589</v>
      </c>
      <c r="DM42" s="51">
        <v>17.123589</v>
      </c>
      <c r="DN42" s="51">
        <v>17.123589</v>
      </c>
      <c r="DO42" s="51">
        <v>17.123589</v>
      </c>
      <c r="DP42" s="51">
        <v>17.123589</v>
      </c>
      <c r="DQ42" s="51">
        <v>17.123589</v>
      </c>
      <c r="DR42" s="51">
        <v>17.123589</v>
      </c>
      <c r="DT42" s="50">
        <f t="shared" ref="DT42:DW42" si="64">+F42-E42</f>
        <v>0</v>
      </c>
      <c r="DU42" s="50">
        <f t="shared" si="64"/>
        <v>0</v>
      </c>
      <c r="DV42" s="50">
        <f t="shared" si="64"/>
        <v>0</v>
      </c>
      <c r="DW42" s="50">
        <f t="shared" si="64"/>
        <v>18</v>
      </c>
    </row>
    <row r="43" ht="15.75" hidden="1" customHeight="1" outlineLevel="1">
      <c r="B43" s="5" t="s">
        <v>103</v>
      </c>
      <c r="C43" s="72" t="s">
        <v>70</v>
      </c>
      <c r="E43" s="50">
        <f t="shared" ref="E43:M43" si="65">+SUMIFS($O43:$DR43,$O$7:$DR$7,E$7)</f>
        <v>0</v>
      </c>
      <c r="F43" s="50">
        <f t="shared" si="65"/>
        <v>11.975</v>
      </c>
      <c r="G43" s="50">
        <f t="shared" si="65"/>
        <v>162.679</v>
      </c>
      <c r="H43" s="50">
        <f t="shared" si="65"/>
        <v>169.95</v>
      </c>
      <c r="I43" s="50">
        <f t="shared" si="65"/>
        <v>175.0485</v>
      </c>
      <c r="J43" s="50">
        <f t="shared" si="65"/>
        <v>180.299955</v>
      </c>
      <c r="K43" s="50">
        <f t="shared" si="65"/>
        <v>185.7089537</v>
      </c>
      <c r="L43" s="50">
        <f t="shared" si="65"/>
        <v>0</v>
      </c>
      <c r="M43" s="50">
        <f t="shared" si="65"/>
        <v>0</v>
      </c>
      <c r="O43" s="51">
        <v>0.0</v>
      </c>
      <c r="P43" s="51">
        <v>0.0</v>
      </c>
      <c r="Q43" s="51">
        <v>0.0</v>
      </c>
      <c r="R43" s="51">
        <v>0.0</v>
      </c>
      <c r="S43" s="51">
        <v>0.0</v>
      </c>
      <c r="T43" s="51">
        <v>0.0</v>
      </c>
      <c r="U43" s="51">
        <v>0.0</v>
      </c>
      <c r="V43" s="51">
        <v>0.0</v>
      </c>
      <c r="W43" s="51">
        <v>0.0</v>
      </c>
      <c r="X43" s="51">
        <v>0.0</v>
      </c>
      <c r="Y43" s="51">
        <v>0.0</v>
      </c>
      <c r="Z43" s="51">
        <v>0.0</v>
      </c>
      <c r="AA43" s="51">
        <v>0.0</v>
      </c>
      <c r="AB43" s="51">
        <v>0.0</v>
      </c>
      <c r="AC43" s="51">
        <v>0.0</v>
      </c>
      <c r="AD43" s="51">
        <v>0.0</v>
      </c>
      <c r="AE43" s="51">
        <v>0.0</v>
      </c>
      <c r="AF43" s="51">
        <v>0.0</v>
      </c>
      <c r="AG43" s="51">
        <v>0.0</v>
      </c>
      <c r="AH43" s="51">
        <v>0.0</v>
      </c>
      <c r="AI43" s="51">
        <v>0.0</v>
      </c>
      <c r="AJ43" s="51">
        <v>0.0</v>
      </c>
      <c r="AK43" s="51">
        <v>0.0</v>
      </c>
      <c r="AL43" s="51">
        <v>11.975</v>
      </c>
      <c r="AM43" s="51">
        <v>13.75</v>
      </c>
      <c r="AN43" s="51">
        <v>13.75</v>
      </c>
      <c r="AO43" s="51">
        <v>13.75</v>
      </c>
      <c r="AP43" s="51">
        <v>13.75</v>
      </c>
      <c r="AQ43" s="51">
        <v>13.75</v>
      </c>
      <c r="AR43" s="51">
        <v>13.75</v>
      </c>
      <c r="AS43" s="51">
        <v>13.75</v>
      </c>
      <c r="AT43" s="51">
        <v>13.75</v>
      </c>
      <c r="AU43" s="51">
        <v>11.429</v>
      </c>
      <c r="AV43" s="51">
        <v>13.75</v>
      </c>
      <c r="AW43" s="51">
        <v>13.75</v>
      </c>
      <c r="AX43" s="51">
        <v>13.75</v>
      </c>
      <c r="AY43" s="51">
        <v>14.1625</v>
      </c>
      <c r="AZ43" s="51">
        <v>14.1625</v>
      </c>
      <c r="BA43" s="51">
        <v>14.1625</v>
      </c>
      <c r="BB43" s="51">
        <v>14.1625</v>
      </c>
      <c r="BC43" s="51">
        <v>14.1625</v>
      </c>
      <c r="BD43" s="51">
        <v>14.1625</v>
      </c>
      <c r="BE43" s="51">
        <v>14.1625</v>
      </c>
      <c r="BF43" s="51">
        <v>14.1625</v>
      </c>
      <c r="BG43" s="51">
        <v>14.1625</v>
      </c>
      <c r="BH43" s="51">
        <v>14.1625</v>
      </c>
      <c r="BI43" s="51">
        <v>14.1625</v>
      </c>
      <c r="BJ43" s="51">
        <v>14.1625</v>
      </c>
      <c r="BK43" s="51">
        <v>14.587375</v>
      </c>
      <c r="BL43" s="51">
        <v>14.587375</v>
      </c>
      <c r="BM43" s="51">
        <v>14.587375</v>
      </c>
      <c r="BN43" s="51">
        <v>14.587375</v>
      </c>
      <c r="BO43" s="51">
        <v>14.587375</v>
      </c>
      <c r="BP43" s="51">
        <v>14.587375</v>
      </c>
      <c r="BQ43" s="51">
        <v>14.587375</v>
      </c>
      <c r="BR43" s="51">
        <v>14.587375</v>
      </c>
      <c r="BS43" s="51">
        <v>14.587375</v>
      </c>
      <c r="BT43" s="51">
        <v>14.587375</v>
      </c>
      <c r="BU43" s="51">
        <v>14.587375</v>
      </c>
      <c r="BV43" s="51">
        <v>14.587375</v>
      </c>
      <c r="BW43" s="51">
        <v>15.024996250000001</v>
      </c>
      <c r="BX43" s="51">
        <v>15.024996250000001</v>
      </c>
      <c r="BY43" s="51">
        <v>15.024996250000001</v>
      </c>
      <c r="BZ43" s="51">
        <v>15.024996250000001</v>
      </c>
      <c r="CA43" s="51">
        <v>15.024996250000001</v>
      </c>
      <c r="CB43" s="51">
        <v>15.024996250000001</v>
      </c>
      <c r="CC43" s="51">
        <v>15.024996250000001</v>
      </c>
      <c r="CD43" s="51">
        <v>15.024996250000001</v>
      </c>
      <c r="CE43" s="51">
        <v>15.024996250000001</v>
      </c>
      <c r="CF43" s="51">
        <v>15.024996250000001</v>
      </c>
      <c r="CG43" s="51">
        <v>15.024996250000001</v>
      </c>
      <c r="CH43" s="51">
        <v>15.024996250000001</v>
      </c>
      <c r="CI43" s="51">
        <v>15.4757461375</v>
      </c>
      <c r="CJ43" s="51">
        <v>15.4757461375</v>
      </c>
      <c r="CK43" s="51">
        <v>15.4757461375</v>
      </c>
      <c r="CL43" s="51">
        <v>15.4757461375</v>
      </c>
      <c r="CM43" s="51">
        <v>15.4757461375</v>
      </c>
      <c r="CN43" s="51">
        <v>15.4757461375</v>
      </c>
      <c r="CO43" s="51">
        <v>15.4757461375</v>
      </c>
      <c r="CP43" s="51">
        <v>15.4757461375</v>
      </c>
      <c r="CQ43" s="51">
        <v>15.4757461375</v>
      </c>
      <c r="CR43" s="51">
        <v>15.4757461375</v>
      </c>
      <c r="CS43" s="51">
        <v>15.4757461375</v>
      </c>
      <c r="CT43" s="51">
        <v>15.4757461375</v>
      </c>
      <c r="CU43" s="51">
        <v>0.0</v>
      </c>
      <c r="CV43" s="51">
        <v>0.0</v>
      </c>
      <c r="CW43" s="51">
        <v>0.0</v>
      </c>
      <c r="CX43" s="51">
        <v>0.0</v>
      </c>
      <c r="CY43" s="51">
        <v>0.0</v>
      </c>
      <c r="CZ43" s="51">
        <v>0.0</v>
      </c>
      <c r="DA43" s="51">
        <v>0.0</v>
      </c>
      <c r="DB43" s="51">
        <v>0.0</v>
      </c>
      <c r="DC43" s="51">
        <v>0.0</v>
      </c>
      <c r="DD43" s="51">
        <v>0.0</v>
      </c>
      <c r="DE43" s="51">
        <v>0.0</v>
      </c>
      <c r="DF43" s="51">
        <v>0.0</v>
      </c>
      <c r="DG43" s="51">
        <v>0.0</v>
      </c>
      <c r="DH43" s="51">
        <v>0.0</v>
      </c>
      <c r="DI43" s="51">
        <v>0.0</v>
      </c>
      <c r="DJ43" s="51">
        <v>0.0</v>
      </c>
      <c r="DK43" s="51">
        <v>0.0</v>
      </c>
      <c r="DL43" s="51">
        <v>0.0</v>
      </c>
      <c r="DM43" s="51">
        <v>0.0</v>
      </c>
      <c r="DN43" s="51">
        <v>0.0</v>
      </c>
      <c r="DO43" s="51">
        <v>0.0</v>
      </c>
      <c r="DP43" s="51">
        <v>0.0</v>
      </c>
      <c r="DQ43" s="51">
        <v>0.0</v>
      </c>
      <c r="DR43" s="51">
        <v>0.0</v>
      </c>
      <c r="DT43" s="50">
        <f t="shared" ref="DT43:DW43" si="66">+F43-E43</f>
        <v>11.975</v>
      </c>
      <c r="DU43" s="50">
        <f t="shared" si="66"/>
        <v>150.704</v>
      </c>
      <c r="DV43" s="50">
        <f t="shared" si="66"/>
        <v>7.271</v>
      </c>
      <c r="DW43" s="50">
        <f t="shared" si="66"/>
        <v>5.0985</v>
      </c>
    </row>
    <row r="44" ht="15.75" hidden="1" customHeight="1" outlineLevel="1">
      <c r="B44" s="5" t="s">
        <v>104</v>
      </c>
      <c r="C44" s="72" t="s">
        <v>76</v>
      </c>
      <c r="E44" s="50">
        <f t="shared" ref="E44:M44" si="67">+SUMIFS($O44:$DR44,$O$7:$DR$7,E$7)</f>
        <v>280.062</v>
      </c>
      <c r="F44" s="50">
        <f t="shared" si="67"/>
        <v>285.648</v>
      </c>
      <c r="G44" s="50">
        <f t="shared" si="67"/>
        <v>292.797</v>
      </c>
      <c r="H44" s="50">
        <f t="shared" si="67"/>
        <v>300.1077</v>
      </c>
      <c r="I44" s="50">
        <f t="shared" si="67"/>
        <v>307.6103925</v>
      </c>
      <c r="J44" s="50">
        <f t="shared" si="67"/>
        <v>315.3006523</v>
      </c>
      <c r="K44" s="50">
        <f t="shared" si="67"/>
        <v>323.1831686</v>
      </c>
      <c r="L44" s="50">
        <f t="shared" si="67"/>
        <v>0</v>
      </c>
      <c r="M44" s="50">
        <f t="shared" si="67"/>
        <v>0</v>
      </c>
      <c r="O44" s="51">
        <v>23.339</v>
      </c>
      <c r="P44" s="51">
        <v>23.339</v>
      </c>
      <c r="Q44" s="51">
        <v>23.339</v>
      </c>
      <c r="R44" s="51">
        <v>23.339</v>
      </c>
      <c r="S44" s="51">
        <v>23.339</v>
      </c>
      <c r="T44" s="51">
        <v>23.338</v>
      </c>
      <c r="U44" s="51">
        <v>23.338</v>
      </c>
      <c r="V44" s="51">
        <v>23.338</v>
      </c>
      <c r="W44" s="51">
        <v>23.338</v>
      </c>
      <c r="X44" s="51">
        <v>23.339</v>
      </c>
      <c r="Y44" s="51">
        <v>23.338</v>
      </c>
      <c r="Z44" s="51">
        <v>23.338</v>
      </c>
      <c r="AA44" s="51">
        <v>23.804</v>
      </c>
      <c r="AB44" s="51">
        <v>23.804</v>
      </c>
      <c r="AC44" s="51">
        <v>23.804</v>
      </c>
      <c r="AD44" s="51">
        <v>23.804</v>
      </c>
      <c r="AE44" s="51">
        <v>23.804</v>
      </c>
      <c r="AF44" s="51">
        <v>23.804</v>
      </c>
      <c r="AG44" s="51">
        <v>23.804</v>
      </c>
      <c r="AH44" s="51">
        <v>23.804</v>
      </c>
      <c r="AI44" s="51">
        <v>23.804</v>
      </c>
      <c r="AJ44" s="51">
        <v>23.804</v>
      </c>
      <c r="AK44" s="51">
        <v>23.804</v>
      </c>
      <c r="AL44" s="51">
        <v>23.804</v>
      </c>
      <c r="AM44" s="51">
        <v>24.4</v>
      </c>
      <c r="AN44" s="51">
        <v>24.4</v>
      </c>
      <c r="AO44" s="51">
        <v>24.4</v>
      </c>
      <c r="AP44" s="51">
        <v>24.4</v>
      </c>
      <c r="AQ44" s="51">
        <v>24.399</v>
      </c>
      <c r="AR44" s="51">
        <v>24.4</v>
      </c>
      <c r="AS44" s="51">
        <v>24.4</v>
      </c>
      <c r="AT44" s="51">
        <v>24.4</v>
      </c>
      <c r="AU44" s="51">
        <v>24.4</v>
      </c>
      <c r="AV44" s="51">
        <v>24.4</v>
      </c>
      <c r="AW44" s="51">
        <v>24.399</v>
      </c>
      <c r="AX44" s="51">
        <v>24.399</v>
      </c>
      <c r="AY44" s="51">
        <v>25.008975</v>
      </c>
      <c r="AZ44" s="51">
        <v>25.008975</v>
      </c>
      <c r="BA44" s="51">
        <v>25.008975</v>
      </c>
      <c r="BB44" s="51">
        <v>25.008975</v>
      </c>
      <c r="BC44" s="51">
        <v>25.008975</v>
      </c>
      <c r="BD44" s="51">
        <v>25.008975</v>
      </c>
      <c r="BE44" s="51">
        <v>25.008975</v>
      </c>
      <c r="BF44" s="51">
        <v>25.008975</v>
      </c>
      <c r="BG44" s="51">
        <v>25.008975</v>
      </c>
      <c r="BH44" s="51">
        <v>25.008975</v>
      </c>
      <c r="BI44" s="51">
        <v>25.008975</v>
      </c>
      <c r="BJ44" s="51">
        <v>25.008975</v>
      </c>
      <c r="BK44" s="51">
        <v>25.634199374999998</v>
      </c>
      <c r="BL44" s="51">
        <v>25.634199374999998</v>
      </c>
      <c r="BM44" s="51">
        <v>25.634199374999998</v>
      </c>
      <c r="BN44" s="51">
        <v>25.634199374999998</v>
      </c>
      <c r="BO44" s="51">
        <v>25.634199374999998</v>
      </c>
      <c r="BP44" s="51">
        <v>25.634199374999998</v>
      </c>
      <c r="BQ44" s="51">
        <v>25.634199374999998</v>
      </c>
      <c r="BR44" s="51">
        <v>25.634199374999998</v>
      </c>
      <c r="BS44" s="51">
        <v>25.634199374999998</v>
      </c>
      <c r="BT44" s="51">
        <v>25.634199374999998</v>
      </c>
      <c r="BU44" s="51">
        <v>25.634199374999998</v>
      </c>
      <c r="BV44" s="51">
        <v>25.634199374999998</v>
      </c>
      <c r="BW44" s="51">
        <v>26.275054359374995</v>
      </c>
      <c r="BX44" s="51">
        <v>26.275054359374995</v>
      </c>
      <c r="BY44" s="51">
        <v>26.275054359374995</v>
      </c>
      <c r="BZ44" s="51">
        <v>26.275054359374995</v>
      </c>
      <c r="CA44" s="51">
        <v>26.275054359374995</v>
      </c>
      <c r="CB44" s="51">
        <v>26.275054359374995</v>
      </c>
      <c r="CC44" s="51">
        <v>26.275054359374995</v>
      </c>
      <c r="CD44" s="51">
        <v>26.275054359374995</v>
      </c>
      <c r="CE44" s="51">
        <v>26.275054359374995</v>
      </c>
      <c r="CF44" s="51">
        <v>26.275054359374995</v>
      </c>
      <c r="CG44" s="51">
        <v>26.275054359374995</v>
      </c>
      <c r="CH44" s="51">
        <v>26.275054359374995</v>
      </c>
      <c r="CI44" s="51">
        <v>26.931930718359368</v>
      </c>
      <c r="CJ44" s="51">
        <v>26.931930718359368</v>
      </c>
      <c r="CK44" s="51">
        <v>26.931930718359368</v>
      </c>
      <c r="CL44" s="51">
        <v>26.931930718359368</v>
      </c>
      <c r="CM44" s="51">
        <v>26.931930718359368</v>
      </c>
      <c r="CN44" s="51">
        <v>26.931930718359368</v>
      </c>
      <c r="CO44" s="51">
        <v>26.931930718359368</v>
      </c>
      <c r="CP44" s="51">
        <v>26.931930718359368</v>
      </c>
      <c r="CQ44" s="51">
        <v>26.931930718359368</v>
      </c>
      <c r="CR44" s="51">
        <v>26.931930718359368</v>
      </c>
      <c r="CS44" s="51">
        <v>26.931930718359368</v>
      </c>
      <c r="CT44" s="51">
        <v>26.931930718359368</v>
      </c>
      <c r="CU44" s="51">
        <v>0.0</v>
      </c>
      <c r="CV44" s="51">
        <v>0.0</v>
      </c>
      <c r="CW44" s="51">
        <v>0.0</v>
      </c>
      <c r="CX44" s="51">
        <v>0.0</v>
      </c>
      <c r="CY44" s="51">
        <v>0.0</v>
      </c>
      <c r="CZ44" s="51">
        <v>0.0</v>
      </c>
      <c r="DA44" s="51">
        <v>0.0</v>
      </c>
      <c r="DB44" s="51">
        <v>0.0</v>
      </c>
      <c r="DC44" s="51">
        <v>0.0</v>
      </c>
      <c r="DD44" s="51">
        <v>0.0</v>
      </c>
      <c r="DE44" s="51">
        <v>0.0</v>
      </c>
      <c r="DF44" s="51">
        <v>0.0</v>
      </c>
      <c r="DG44" s="51">
        <v>0.0</v>
      </c>
      <c r="DH44" s="51">
        <v>0.0</v>
      </c>
      <c r="DI44" s="51">
        <v>0.0</v>
      </c>
      <c r="DJ44" s="51">
        <v>0.0</v>
      </c>
      <c r="DK44" s="51">
        <v>0.0</v>
      </c>
      <c r="DL44" s="51">
        <v>0.0</v>
      </c>
      <c r="DM44" s="51">
        <v>0.0</v>
      </c>
      <c r="DN44" s="51">
        <v>0.0</v>
      </c>
      <c r="DO44" s="51">
        <v>0.0</v>
      </c>
      <c r="DP44" s="51">
        <v>0.0</v>
      </c>
      <c r="DQ44" s="51">
        <v>0.0</v>
      </c>
      <c r="DR44" s="51">
        <v>0.0</v>
      </c>
      <c r="DT44" s="50">
        <f t="shared" ref="DT44:DW44" si="68">+F44-E44</f>
        <v>5.586</v>
      </c>
      <c r="DU44" s="50">
        <f t="shared" si="68"/>
        <v>7.149</v>
      </c>
      <c r="DV44" s="50">
        <f t="shared" si="68"/>
        <v>7.3107</v>
      </c>
      <c r="DW44" s="50">
        <f t="shared" si="68"/>
        <v>7.5026925</v>
      </c>
    </row>
    <row r="45" ht="15.75" hidden="1" customHeight="1" outlineLevel="1">
      <c r="B45" s="5" t="s">
        <v>105</v>
      </c>
      <c r="C45" s="72" t="s">
        <v>74</v>
      </c>
      <c r="E45" s="50">
        <f t="shared" ref="E45:M45" si="69">+SUMIFS($O45:$DR45,$O$7:$DR$7,E$7)</f>
        <v>0</v>
      </c>
      <c r="F45" s="50">
        <f t="shared" si="69"/>
        <v>0</v>
      </c>
      <c r="G45" s="50">
        <f t="shared" si="69"/>
        <v>88.332</v>
      </c>
      <c r="H45" s="50">
        <f t="shared" si="69"/>
        <v>267.65</v>
      </c>
      <c r="I45" s="50">
        <f t="shared" si="69"/>
        <v>275.6795</v>
      </c>
      <c r="J45" s="50">
        <f t="shared" si="69"/>
        <v>283.949885</v>
      </c>
      <c r="K45" s="50">
        <f t="shared" si="69"/>
        <v>292.4683816</v>
      </c>
      <c r="L45" s="50">
        <f t="shared" si="69"/>
        <v>198.8398898</v>
      </c>
      <c r="M45" s="50">
        <f t="shared" si="69"/>
        <v>0</v>
      </c>
      <c r="O45" s="51">
        <v>0.0</v>
      </c>
      <c r="P45" s="51">
        <v>0.0</v>
      </c>
      <c r="Q45" s="51">
        <v>0.0</v>
      </c>
      <c r="R45" s="51">
        <v>0.0</v>
      </c>
      <c r="S45" s="51">
        <v>0.0</v>
      </c>
      <c r="T45" s="51">
        <v>0.0</v>
      </c>
      <c r="U45" s="51">
        <v>0.0</v>
      </c>
      <c r="V45" s="51">
        <v>0.0</v>
      </c>
      <c r="W45" s="51">
        <v>0.0</v>
      </c>
      <c r="X45" s="51">
        <v>0.0</v>
      </c>
      <c r="Y45" s="51">
        <v>0.0</v>
      </c>
      <c r="Z45" s="51">
        <v>0.0</v>
      </c>
      <c r="AA45" s="51">
        <v>0.0</v>
      </c>
      <c r="AB45" s="51">
        <v>0.0</v>
      </c>
      <c r="AC45" s="51">
        <v>0.0</v>
      </c>
      <c r="AD45" s="51">
        <v>0.0</v>
      </c>
      <c r="AE45" s="51">
        <v>0.0</v>
      </c>
      <c r="AF45" s="51">
        <v>0.0</v>
      </c>
      <c r="AG45" s="51">
        <v>0.0</v>
      </c>
      <c r="AH45" s="51">
        <v>0.0</v>
      </c>
      <c r="AI45" s="51">
        <v>0.0</v>
      </c>
      <c r="AJ45" s="51">
        <v>0.0</v>
      </c>
      <c r="AK45" s="51">
        <v>0.0</v>
      </c>
      <c r="AL45" s="51">
        <v>0.0</v>
      </c>
      <c r="AM45" s="51">
        <v>0.0</v>
      </c>
      <c r="AN45" s="51">
        <v>0.0</v>
      </c>
      <c r="AO45" s="51">
        <v>0.0</v>
      </c>
      <c r="AP45" s="51">
        <v>0.0</v>
      </c>
      <c r="AQ45" s="51">
        <v>0.0</v>
      </c>
      <c r="AR45" s="51">
        <v>0.0</v>
      </c>
      <c r="AS45" s="51">
        <v>0.0</v>
      </c>
      <c r="AT45" s="51">
        <v>0.0</v>
      </c>
      <c r="AU45" s="51">
        <v>22.083</v>
      </c>
      <c r="AV45" s="51">
        <v>22.083</v>
      </c>
      <c r="AW45" s="51">
        <v>22.083</v>
      </c>
      <c r="AX45" s="51">
        <v>22.083</v>
      </c>
      <c r="AY45" s="51">
        <v>22.083333333333332</v>
      </c>
      <c r="AZ45" s="51">
        <v>22.083333333333332</v>
      </c>
      <c r="BA45" s="51">
        <v>22.083333333333332</v>
      </c>
      <c r="BB45" s="51">
        <v>22.083333333333332</v>
      </c>
      <c r="BC45" s="51">
        <v>22.083333333333332</v>
      </c>
      <c r="BD45" s="51">
        <v>22.083333333333332</v>
      </c>
      <c r="BE45" s="51">
        <v>22.083333333333332</v>
      </c>
      <c r="BF45" s="51">
        <v>22.083333333333332</v>
      </c>
      <c r="BG45" s="51">
        <v>22.745833333333334</v>
      </c>
      <c r="BH45" s="51">
        <v>22.745833333333334</v>
      </c>
      <c r="BI45" s="51">
        <v>22.745833333333334</v>
      </c>
      <c r="BJ45" s="51">
        <v>22.745833333333334</v>
      </c>
      <c r="BK45" s="51">
        <v>22.745833333333334</v>
      </c>
      <c r="BL45" s="51">
        <v>22.745833333333334</v>
      </c>
      <c r="BM45" s="51">
        <v>22.745833333333334</v>
      </c>
      <c r="BN45" s="51">
        <v>22.745833333333334</v>
      </c>
      <c r="BO45" s="51">
        <v>22.745833333333334</v>
      </c>
      <c r="BP45" s="51">
        <v>22.745833333333334</v>
      </c>
      <c r="BQ45" s="51">
        <v>22.745833333333334</v>
      </c>
      <c r="BR45" s="51">
        <v>22.745833333333334</v>
      </c>
      <c r="BS45" s="51">
        <v>23.42820833333333</v>
      </c>
      <c r="BT45" s="51">
        <v>23.42820833333333</v>
      </c>
      <c r="BU45" s="51">
        <v>23.42820833333333</v>
      </c>
      <c r="BV45" s="51">
        <v>23.42820833333333</v>
      </c>
      <c r="BW45" s="51">
        <v>23.42820833333333</v>
      </c>
      <c r="BX45" s="51">
        <v>23.42820833333333</v>
      </c>
      <c r="BY45" s="51">
        <v>23.42820833333333</v>
      </c>
      <c r="BZ45" s="51">
        <v>23.42820833333333</v>
      </c>
      <c r="CA45" s="51">
        <v>23.42820833333333</v>
      </c>
      <c r="CB45" s="51">
        <v>23.42820833333333</v>
      </c>
      <c r="CC45" s="51">
        <v>23.42820833333333</v>
      </c>
      <c r="CD45" s="51">
        <v>23.42820833333333</v>
      </c>
      <c r="CE45" s="51">
        <v>24.131054583333334</v>
      </c>
      <c r="CF45" s="51">
        <v>24.131054583333334</v>
      </c>
      <c r="CG45" s="51">
        <v>24.131054583333334</v>
      </c>
      <c r="CH45" s="51">
        <v>24.131054583333334</v>
      </c>
      <c r="CI45" s="51">
        <v>24.131054583333334</v>
      </c>
      <c r="CJ45" s="51">
        <v>24.131054583333334</v>
      </c>
      <c r="CK45" s="51">
        <v>24.131054583333334</v>
      </c>
      <c r="CL45" s="51">
        <v>24.131054583333334</v>
      </c>
      <c r="CM45" s="51">
        <v>24.131054583333334</v>
      </c>
      <c r="CN45" s="51">
        <v>24.131054583333334</v>
      </c>
      <c r="CO45" s="51">
        <v>24.131054583333334</v>
      </c>
      <c r="CP45" s="51">
        <v>24.131054583333334</v>
      </c>
      <c r="CQ45" s="51">
        <v>24.854986220833336</v>
      </c>
      <c r="CR45" s="51">
        <v>24.854986220833336</v>
      </c>
      <c r="CS45" s="51">
        <v>24.854986220833336</v>
      </c>
      <c r="CT45" s="51">
        <v>24.854986220833336</v>
      </c>
      <c r="CU45" s="51">
        <v>24.854986220833336</v>
      </c>
      <c r="CV45" s="51">
        <v>24.854986220833336</v>
      </c>
      <c r="CW45" s="51">
        <v>24.854986220833336</v>
      </c>
      <c r="CX45" s="51">
        <v>24.854986220833336</v>
      </c>
      <c r="CY45" s="51">
        <v>24.854986220833336</v>
      </c>
      <c r="CZ45" s="51">
        <v>24.854986220833336</v>
      </c>
      <c r="DA45" s="51">
        <v>24.854986220833336</v>
      </c>
      <c r="DB45" s="51">
        <v>24.854986220833336</v>
      </c>
      <c r="DC45" s="51">
        <v>0.0</v>
      </c>
      <c r="DD45" s="51">
        <v>0.0</v>
      </c>
      <c r="DE45" s="51">
        <v>0.0</v>
      </c>
      <c r="DF45" s="51">
        <v>0.0</v>
      </c>
      <c r="DG45" s="51">
        <v>0.0</v>
      </c>
      <c r="DH45" s="51">
        <v>0.0</v>
      </c>
      <c r="DI45" s="51">
        <v>0.0</v>
      </c>
      <c r="DJ45" s="51">
        <v>0.0</v>
      </c>
      <c r="DK45" s="51">
        <v>0.0</v>
      </c>
      <c r="DL45" s="51">
        <v>0.0</v>
      </c>
      <c r="DM45" s="51">
        <v>0.0</v>
      </c>
      <c r="DN45" s="51">
        <v>0.0</v>
      </c>
      <c r="DO45" s="51">
        <v>0.0</v>
      </c>
      <c r="DP45" s="51">
        <v>0.0</v>
      </c>
      <c r="DQ45" s="51">
        <v>0.0</v>
      </c>
      <c r="DR45" s="51">
        <v>0.0</v>
      </c>
      <c r="DT45" s="50">
        <f t="shared" ref="DT45:DW45" si="70">+F45-E45</f>
        <v>0</v>
      </c>
      <c r="DU45" s="50">
        <f t="shared" si="70"/>
        <v>88.332</v>
      </c>
      <c r="DV45" s="50">
        <f t="shared" si="70"/>
        <v>179.318</v>
      </c>
      <c r="DW45" s="50">
        <f t="shared" si="70"/>
        <v>8.0295</v>
      </c>
    </row>
    <row r="46" ht="15.75" hidden="1" customHeight="1" outlineLevel="1">
      <c r="B46" s="5" t="s">
        <v>106</v>
      </c>
      <c r="C46" s="72" t="s">
        <v>70</v>
      </c>
      <c r="E46" s="50">
        <f t="shared" ref="E46:M46" si="71">+SUMIFS($O46:$DR46,$O$7:$DR$7,E$7)</f>
        <v>0</v>
      </c>
      <c r="F46" s="50">
        <f t="shared" si="71"/>
        <v>9.462</v>
      </c>
      <c r="G46" s="50">
        <f t="shared" si="71"/>
        <v>158.081</v>
      </c>
      <c r="H46" s="50">
        <f t="shared" si="71"/>
        <v>168</v>
      </c>
      <c r="I46" s="50">
        <f t="shared" si="71"/>
        <v>176.4</v>
      </c>
      <c r="J46" s="50">
        <f t="shared" si="71"/>
        <v>185.22</v>
      </c>
      <c r="K46" s="50">
        <f t="shared" si="71"/>
        <v>194.481</v>
      </c>
      <c r="L46" s="50">
        <f t="shared" si="71"/>
        <v>0</v>
      </c>
      <c r="M46" s="50">
        <f t="shared" si="71"/>
        <v>0</v>
      </c>
      <c r="O46" s="51">
        <v>0.0</v>
      </c>
      <c r="P46" s="51">
        <v>0.0</v>
      </c>
      <c r="Q46" s="51">
        <v>0.0</v>
      </c>
      <c r="R46" s="51">
        <v>0.0</v>
      </c>
      <c r="S46" s="51">
        <v>0.0</v>
      </c>
      <c r="T46" s="51">
        <v>0.0</v>
      </c>
      <c r="U46" s="51">
        <v>0.0</v>
      </c>
      <c r="V46" s="51">
        <v>0.0</v>
      </c>
      <c r="W46" s="51">
        <v>0.0</v>
      </c>
      <c r="X46" s="51">
        <v>0.0</v>
      </c>
      <c r="Y46" s="51">
        <v>0.0</v>
      </c>
      <c r="Z46" s="51">
        <v>0.0</v>
      </c>
      <c r="AA46" s="51">
        <v>0.0</v>
      </c>
      <c r="AB46" s="51">
        <v>0.0</v>
      </c>
      <c r="AC46" s="51">
        <v>0.0</v>
      </c>
      <c r="AD46" s="51">
        <v>0.0</v>
      </c>
      <c r="AE46" s="51">
        <v>0.0</v>
      </c>
      <c r="AF46" s="51">
        <v>0.0</v>
      </c>
      <c r="AG46" s="51">
        <v>0.0</v>
      </c>
      <c r="AH46" s="51">
        <v>0.0</v>
      </c>
      <c r="AI46" s="51">
        <v>0.0</v>
      </c>
      <c r="AJ46" s="51">
        <v>0.0</v>
      </c>
      <c r="AK46" s="51">
        <v>0.0</v>
      </c>
      <c r="AL46" s="51">
        <v>9.462</v>
      </c>
      <c r="AM46" s="51">
        <v>13.333</v>
      </c>
      <c r="AN46" s="51">
        <v>13.333</v>
      </c>
      <c r="AO46" s="51">
        <v>13.334</v>
      </c>
      <c r="AP46" s="51">
        <v>13.334</v>
      </c>
      <c r="AQ46" s="51">
        <v>13.333</v>
      </c>
      <c r="AR46" s="51">
        <v>13.333</v>
      </c>
      <c r="AS46" s="51">
        <v>13.333</v>
      </c>
      <c r="AT46" s="51">
        <v>13.333</v>
      </c>
      <c r="AU46" s="51">
        <v>11.415000000000001</v>
      </c>
      <c r="AV46" s="51">
        <v>13.334</v>
      </c>
      <c r="AW46" s="51">
        <v>13.333</v>
      </c>
      <c r="AX46" s="51">
        <v>13.333</v>
      </c>
      <c r="AY46" s="51">
        <v>14.000000000000002</v>
      </c>
      <c r="AZ46" s="51">
        <v>14.000000000000002</v>
      </c>
      <c r="BA46" s="51">
        <v>14.000000000000002</v>
      </c>
      <c r="BB46" s="51">
        <v>14.000000000000002</v>
      </c>
      <c r="BC46" s="51">
        <v>14.000000000000002</v>
      </c>
      <c r="BD46" s="51">
        <v>14.000000000000002</v>
      </c>
      <c r="BE46" s="51">
        <v>14.000000000000002</v>
      </c>
      <c r="BF46" s="51">
        <v>14.000000000000002</v>
      </c>
      <c r="BG46" s="51">
        <v>14.000000000000002</v>
      </c>
      <c r="BH46" s="51">
        <v>14.000000000000002</v>
      </c>
      <c r="BI46" s="51">
        <v>14.000000000000002</v>
      </c>
      <c r="BJ46" s="51">
        <v>14.000000000000002</v>
      </c>
      <c r="BK46" s="51">
        <v>14.700000000000001</v>
      </c>
      <c r="BL46" s="51">
        <v>14.700000000000001</v>
      </c>
      <c r="BM46" s="51">
        <v>14.700000000000001</v>
      </c>
      <c r="BN46" s="51">
        <v>14.700000000000001</v>
      </c>
      <c r="BO46" s="51">
        <v>14.700000000000001</v>
      </c>
      <c r="BP46" s="51">
        <v>14.700000000000001</v>
      </c>
      <c r="BQ46" s="51">
        <v>14.700000000000001</v>
      </c>
      <c r="BR46" s="51">
        <v>14.700000000000001</v>
      </c>
      <c r="BS46" s="51">
        <v>14.700000000000001</v>
      </c>
      <c r="BT46" s="51">
        <v>14.700000000000001</v>
      </c>
      <c r="BU46" s="51">
        <v>14.700000000000001</v>
      </c>
      <c r="BV46" s="51">
        <v>14.700000000000001</v>
      </c>
      <c r="BW46" s="51">
        <v>15.435000000000002</v>
      </c>
      <c r="BX46" s="51">
        <v>15.435000000000002</v>
      </c>
      <c r="BY46" s="51">
        <v>15.435000000000002</v>
      </c>
      <c r="BZ46" s="51">
        <v>15.435000000000002</v>
      </c>
      <c r="CA46" s="51">
        <v>15.435000000000002</v>
      </c>
      <c r="CB46" s="51">
        <v>15.435000000000002</v>
      </c>
      <c r="CC46" s="51">
        <v>15.435000000000002</v>
      </c>
      <c r="CD46" s="51">
        <v>15.435000000000002</v>
      </c>
      <c r="CE46" s="51">
        <v>15.435000000000002</v>
      </c>
      <c r="CF46" s="51">
        <v>15.435000000000002</v>
      </c>
      <c r="CG46" s="51">
        <v>15.435000000000002</v>
      </c>
      <c r="CH46" s="51">
        <v>15.435000000000002</v>
      </c>
      <c r="CI46" s="51">
        <v>16.206750000000003</v>
      </c>
      <c r="CJ46" s="51">
        <v>16.206750000000003</v>
      </c>
      <c r="CK46" s="51">
        <v>16.206750000000003</v>
      </c>
      <c r="CL46" s="51">
        <v>16.206750000000003</v>
      </c>
      <c r="CM46" s="51">
        <v>16.206750000000003</v>
      </c>
      <c r="CN46" s="51">
        <v>16.206750000000003</v>
      </c>
      <c r="CO46" s="51">
        <v>16.206750000000003</v>
      </c>
      <c r="CP46" s="51">
        <v>16.206750000000003</v>
      </c>
      <c r="CQ46" s="51">
        <v>16.206750000000003</v>
      </c>
      <c r="CR46" s="51">
        <v>16.206750000000003</v>
      </c>
      <c r="CS46" s="51">
        <v>16.206750000000003</v>
      </c>
      <c r="CT46" s="51">
        <v>16.206750000000003</v>
      </c>
      <c r="CU46" s="51">
        <v>0.0</v>
      </c>
      <c r="CV46" s="51">
        <v>0.0</v>
      </c>
      <c r="CW46" s="51">
        <v>0.0</v>
      </c>
      <c r="CX46" s="51">
        <v>0.0</v>
      </c>
      <c r="CY46" s="51">
        <v>0.0</v>
      </c>
      <c r="CZ46" s="51">
        <v>0.0</v>
      </c>
      <c r="DA46" s="51">
        <v>0.0</v>
      </c>
      <c r="DB46" s="51">
        <v>0.0</v>
      </c>
      <c r="DC46" s="51">
        <v>0.0</v>
      </c>
      <c r="DD46" s="51">
        <v>0.0</v>
      </c>
      <c r="DE46" s="51">
        <v>0.0</v>
      </c>
      <c r="DF46" s="51">
        <v>0.0</v>
      </c>
      <c r="DG46" s="51">
        <v>0.0</v>
      </c>
      <c r="DH46" s="51">
        <v>0.0</v>
      </c>
      <c r="DI46" s="51">
        <v>0.0</v>
      </c>
      <c r="DJ46" s="51">
        <v>0.0</v>
      </c>
      <c r="DK46" s="51">
        <v>0.0</v>
      </c>
      <c r="DL46" s="51">
        <v>0.0</v>
      </c>
      <c r="DM46" s="51">
        <v>0.0</v>
      </c>
      <c r="DN46" s="51">
        <v>0.0</v>
      </c>
      <c r="DO46" s="51">
        <v>0.0</v>
      </c>
      <c r="DP46" s="51">
        <v>0.0</v>
      </c>
      <c r="DQ46" s="51">
        <v>0.0</v>
      </c>
      <c r="DR46" s="51">
        <v>0.0</v>
      </c>
      <c r="DT46" s="50">
        <f t="shared" ref="DT46:DW46" si="72">+F46-E46</f>
        <v>9.462</v>
      </c>
      <c r="DU46" s="50">
        <f t="shared" si="72"/>
        <v>148.619</v>
      </c>
      <c r="DV46" s="50">
        <f t="shared" si="72"/>
        <v>9.919</v>
      </c>
      <c r="DW46" s="50">
        <f t="shared" si="72"/>
        <v>8.4</v>
      </c>
    </row>
    <row r="47" ht="15.75" hidden="1" customHeight="1" outlineLevel="1">
      <c r="B47" s="5" t="s">
        <v>107</v>
      </c>
      <c r="C47" s="72" t="s">
        <v>82</v>
      </c>
      <c r="E47" s="50">
        <f t="shared" ref="E47:M47" si="73">+SUMIFS($O47:$DR47,$O$7:$DR$7,E$7)</f>
        <v>1351.476</v>
      </c>
      <c r="F47" s="50">
        <f t="shared" si="73"/>
        <v>1459.126</v>
      </c>
      <c r="G47" s="50">
        <f t="shared" si="73"/>
        <v>1549.167</v>
      </c>
      <c r="H47" s="50">
        <f t="shared" si="73"/>
        <v>1597.289775</v>
      </c>
      <c r="I47" s="50">
        <f t="shared" si="73"/>
        <v>1637.2284</v>
      </c>
      <c r="J47" s="50">
        <f t="shared" si="73"/>
        <v>1678.15911</v>
      </c>
      <c r="K47" s="50">
        <f t="shared" si="73"/>
        <v>0</v>
      </c>
      <c r="L47" s="50">
        <f t="shared" si="73"/>
        <v>0</v>
      </c>
      <c r="M47" s="50">
        <f t="shared" si="73"/>
        <v>0</v>
      </c>
      <c r="O47" s="51">
        <v>112.623</v>
      </c>
      <c r="P47" s="51">
        <v>112.623</v>
      </c>
      <c r="Q47" s="51">
        <v>112.623</v>
      </c>
      <c r="R47" s="51">
        <v>112.623</v>
      </c>
      <c r="S47" s="51">
        <v>112.623</v>
      </c>
      <c r="T47" s="51">
        <v>112.623</v>
      </c>
      <c r="U47" s="51">
        <v>112.623</v>
      </c>
      <c r="V47" s="51">
        <v>112.623</v>
      </c>
      <c r="W47" s="51">
        <v>112.623</v>
      </c>
      <c r="X47" s="51">
        <v>112.623</v>
      </c>
      <c r="Y47" s="51">
        <v>112.623</v>
      </c>
      <c r="Z47" s="51">
        <v>112.623</v>
      </c>
      <c r="AA47" s="51">
        <v>121.593</v>
      </c>
      <c r="AB47" s="51">
        <v>121.593</v>
      </c>
      <c r="AC47" s="51">
        <v>121.594</v>
      </c>
      <c r="AD47" s="51">
        <v>121.594</v>
      </c>
      <c r="AE47" s="51">
        <v>121.594</v>
      </c>
      <c r="AF47" s="51">
        <v>121.594</v>
      </c>
      <c r="AG47" s="51">
        <v>121.594</v>
      </c>
      <c r="AH47" s="51">
        <v>121.594</v>
      </c>
      <c r="AI47" s="51">
        <v>121.594</v>
      </c>
      <c r="AJ47" s="51">
        <v>121.594</v>
      </c>
      <c r="AK47" s="51">
        <v>121.594</v>
      </c>
      <c r="AL47" s="51">
        <v>121.594</v>
      </c>
      <c r="AM47" s="51">
        <v>129.86</v>
      </c>
      <c r="AN47" s="51">
        <v>129.86</v>
      </c>
      <c r="AO47" s="51">
        <v>129.86</v>
      </c>
      <c r="AP47" s="51">
        <v>129.86</v>
      </c>
      <c r="AQ47" s="51">
        <v>129.86</v>
      </c>
      <c r="AR47" s="51">
        <v>129.86</v>
      </c>
      <c r="AS47" s="51">
        <v>129.86</v>
      </c>
      <c r="AT47" s="51">
        <v>120.70500000000001</v>
      </c>
      <c r="AU47" s="51">
        <v>129.86</v>
      </c>
      <c r="AV47" s="51">
        <v>129.86</v>
      </c>
      <c r="AW47" s="51">
        <v>129.861</v>
      </c>
      <c r="AX47" s="51">
        <v>129.861</v>
      </c>
      <c r="AY47" s="51">
        <v>133.10752499999998</v>
      </c>
      <c r="AZ47" s="51">
        <v>133.10752499999998</v>
      </c>
      <c r="BA47" s="51">
        <v>133.10752499999998</v>
      </c>
      <c r="BB47" s="51">
        <v>133.10752499999998</v>
      </c>
      <c r="BC47" s="51">
        <v>133.10752499999998</v>
      </c>
      <c r="BD47" s="51">
        <v>133.10752499999998</v>
      </c>
      <c r="BE47" s="51">
        <v>133.10752499999998</v>
      </c>
      <c r="BF47" s="51">
        <v>133.107</v>
      </c>
      <c r="BG47" s="51">
        <v>133.10752499999998</v>
      </c>
      <c r="BH47" s="51">
        <v>133.10752499999998</v>
      </c>
      <c r="BI47" s="51">
        <v>133.10752499999998</v>
      </c>
      <c r="BJ47" s="51">
        <v>133.10752499999998</v>
      </c>
      <c r="BK47" s="51">
        <v>136.43569999999997</v>
      </c>
      <c r="BL47" s="51">
        <v>136.43569999999997</v>
      </c>
      <c r="BM47" s="51">
        <v>136.43569999999997</v>
      </c>
      <c r="BN47" s="51">
        <v>136.43569999999997</v>
      </c>
      <c r="BO47" s="51">
        <v>136.43569999999997</v>
      </c>
      <c r="BP47" s="51">
        <v>136.43569999999997</v>
      </c>
      <c r="BQ47" s="51">
        <v>136.43569999999997</v>
      </c>
      <c r="BR47" s="51">
        <v>136.43569999999997</v>
      </c>
      <c r="BS47" s="51">
        <v>136.43569999999997</v>
      </c>
      <c r="BT47" s="51">
        <v>136.43569999999997</v>
      </c>
      <c r="BU47" s="51">
        <v>136.43569999999997</v>
      </c>
      <c r="BV47" s="51">
        <v>136.43569999999997</v>
      </c>
      <c r="BW47" s="51">
        <v>139.84659249999996</v>
      </c>
      <c r="BX47" s="51">
        <v>139.84659249999996</v>
      </c>
      <c r="BY47" s="51">
        <v>139.84659249999996</v>
      </c>
      <c r="BZ47" s="51">
        <v>139.84659249999996</v>
      </c>
      <c r="CA47" s="51">
        <v>139.84659249999996</v>
      </c>
      <c r="CB47" s="51">
        <v>139.84659249999996</v>
      </c>
      <c r="CC47" s="51">
        <v>139.84659249999996</v>
      </c>
      <c r="CD47" s="51">
        <v>139.84659249999996</v>
      </c>
      <c r="CE47" s="51">
        <v>139.84659249999996</v>
      </c>
      <c r="CF47" s="51">
        <v>139.84659249999996</v>
      </c>
      <c r="CG47" s="51">
        <v>139.84659249999996</v>
      </c>
      <c r="CH47" s="51">
        <v>139.84659249999996</v>
      </c>
      <c r="CI47" s="51">
        <v>0.0</v>
      </c>
      <c r="CJ47" s="51">
        <v>0.0</v>
      </c>
      <c r="CK47" s="51">
        <v>0.0</v>
      </c>
      <c r="CL47" s="51">
        <v>0.0</v>
      </c>
      <c r="CM47" s="51">
        <v>0.0</v>
      </c>
      <c r="CN47" s="51">
        <v>0.0</v>
      </c>
      <c r="CO47" s="51">
        <v>0.0</v>
      </c>
      <c r="CP47" s="51">
        <v>0.0</v>
      </c>
      <c r="CQ47" s="51">
        <v>0.0</v>
      </c>
      <c r="CR47" s="51">
        <v>0.0</v>
      </c>
      <c r="CS47" s="51">
        <v>0.0</v>
      </c>
      <c r="CT47" s="51">
        <v>0.0</v>
      </c>
      <c r="CU47" s="51">
        <v>0.0</v>
      </c>
      <c r="CV47" s="51">
        <v>0.0</v>
      </c>
      <c r="CW47" s="51">
        <v>0.0</v>
      </c>
      <c r="CX47" s="51">
        <v>0.0</v>
      </c>
      <c r="CY47" s="51">
        <v>0.0</v>
      </c>
      <c r="CZ47" s="51">
        <v>0.0</v>
      </c>
      <c r="DA47" s="51">
        <v>0.0</v>
      </c>
      <c r="DB47" s="51">
        <v>0.0</v>
      </c>
      <c r="DC47" s="51">
        <v>0.0</v>
      </c>
      <c r="DD47" s="51">
        <v>0.0</v>
      </c>
      <c r="DE47" s="51">
        <v>0.0</v>
      </c>
      <c r="DF47" s="51">
        <v>0.0</v>
      </c>
      <c r="DG47" s="51">
        <v>0.0</v>
      </c>
      <c r="DH47" s="51">
        <v>0.0</v>
      </c>
      <c r="DI47" s="51">
        <v>0.0</v>
      </c>
      <c r="DJ47" s="51">
        <v>0.0</v>
      </c>
      <c r="DK47" s="51">
        <v>0.0</v>
      </c>
      <c r="DL47" s="51">
        <v>0.0</v>
      </c>
      <c r="DM47" s="51">
        <v>0.0</v>
      </c>
      <c r="DN47" s="51">
        <v>0.0</v>
      </c>
      <c r="DO47" s="51">
        <v>0.0</v>
      </c>
      <c r="DP47" s="51">
        <v>0.0</v>
      </c>
      <c r="DQ47" s="51">
        <v>0.0</v>
      </c>
      <c r="DR47" s="51">
        <v>0.0</v>
      </c>
      <c r="DT47" s="50">
        <f t="shared" ref="DT47:DW47" si="74">+F47-E47</f>
        <v>107.65</v>
      </c>
      <c r="DU47" s="50">
        <f t="shared" si="74"/>
        <v>90.041</v>
      </c>
      <c r="DV47" s="50">
        <f t="shared" si="74"/>
        <v>48.122775</v>
      </c>
      <c r="DW47" s="50">
        <f t="shared" si="74"/>
        <v>39.938625</v>
      </c>
    </row>
    <row r="48" ht="15.75" hidden="1" customHeight="1" outlineLevel="1">
      <c r="B48" s="5" t="s">
        <v>108</v>
      </c>
      <c r="C48" s="72" t="s">
        <v>70</v>
      </c>
      <c r="E48" s="50">
        <f t="shared" ref="E48:M48" si="75">+SUMIFS($O48:$DR48,$O$7:$DR$7,E$7)</f>
        <v>77.623</v>
      </c>
      <c r="F48" s="50">
        <f t="shared" si="75"/>
        <v>182.267</v>
      </c>
      <c r="G48" s="50">
        <f t="shared" si="75"/>
        <v>0</v>
      </c>
      <c r="H48" s="50">
        <f t="shared" si="75"/>
        <v>0</v>
      </c>
      <c r="I48" s="50">
        <f t="shared" si="75"/>
        <v>0</v>
      </c>
      <c r="J48" s="50">
        <f t="shared" si="75"/>
        <v>0</v>
      </c>
      <c r="K48" s="50">
        <f t="shared" si="75"/>
        <v>0</v>
      </c>
      <c r="L48" s="50">
        <f t="shared" si="75"/>
        <v>0</v>
      </c>
      <c r="M48" s="50">
        <f t="shared" si="75"/>
        <v>0</v>
      </c>
      <c r="O48" s="51">
        <v>6.468</v>
      </c>
      <c r="P48" s="51">
        <v>6.469</v>
      </c>
      <c r="Q48" s="51">
        <v>6.469</v>
      </c>
      <c r="R48" s="51">
        <v>6.469</v>
      </c>
      <c r="S48" s="51">
        <v>6.469</v>
      </c>
      <c r="T48" s="51">
        <v>6.468</v>
      </c>
      <c r="U48" s="51">
        <v>6.468</v>
      </c>
      <c r="V48" s="51">
        <v>6.468</v>
      </c>
      <c r="W48" s="51">
        <v>6.468</v>
      </c>
      <c r="X48" s="51">
        <v>6.469</v>
      </c>
      <c r="Y48" s="51">
        <v>6.469</v>
      </c>
      <c r="Z48" s="51">
        <v>6.469</v>
      </c>
      <c r="AA48" s="51">
        <v>6.695</v>
      </c>
      <c r="AB48" s="51">
        <v>6.695</v>
      </c>
      <c r="AC48" s="51">
        <v>6.696</v>
      </c>
      <c r="AD48" s="51">
        <v>6.695</v>
      </c>
      <c r="AE48" s="51">
        <v>6.696</v>
      </c>
      <c r="AF48" s="51">
        <v>6.695</v>
      </c>
      <c r="AG48" s="51">
        <v>6.695</v>
      </c>
      <c r="AH48" s="51">
        <v>135.4</v>
      </c>
      <c r="AI48" s="51">
        <v>0.0</v>
      </c>
      <c r="AJ48" s="51">
        <v>0.0</v>
      </c>
      <c r="AK48" s="51">
        <v>0.0</v>
      </c>
      <c r="AL48" s="51">
        <v>0.0</v>
      </c>
      <c r="AM48" s="51">
        <v>0.0</v>
      </c>
      <c r="AN48" s="51">
        <v>0.0</v>
      </c>
      <c r="AO48" s="51">
        <v>0.0</v>
      </c>
      <c r="AP48" s="51">
        <v>0.0</v>
      </c>
      <c r="AQ48" s="51">
        <v>0.0</v>
      </c>
      <c r="AR48" s="51">
        <v>0.0</v>
      </c>
      <c r="AS48" s="51">
        <v>0.0</v>
      </c>
      <c r="AT48" s="51">
        <v>0.0</v>
      </c>
      <c r="AU48" s="51">
        <v>0.0</v>
      </c>
      <c r="AV48" s="51">
        <v>0.0</v>
      </c>
      <c r="AW48" s="51">
        <v>0.0</v>
      </c>
      <c r="AX48" s="51">
        <v>0.0</v>
      </c>
      <c r="AY48" s="51">
        <v>0.0</v>
      </c>
      <c r="AZ48" s="51">
        <v>0.0</v>
      </c>
      <c r="BA48" s="51">
        <v>0.0</v>
      </c>
      <c r="BB48" s="51">
        <v>0.0</v>
      </c>
      <c r="BC48" s="51">
        <v>0.0</v>
      </c>
      <c r="BD48" s="51">
        <v>0.0</v>
      </c>
      <c r="BE48" s="51">
        <v>0.0</v>
      </c>
      <c r="BF48" s="51">
        <v>0.0</v>
      </c>
      <c r="BG48" s="51">
        <v>0.0</v>
      </c>
      <c r="BH48" s="51">
        <v>0.0</v>
      </c>
      <c r="BI48" s="51">
        <v>0.0</v>
      </c>
      <c r="BJ48" s="51">
        <v>0.0</v>
      </c>
      <c r="BK48" s="51">
        <v>0.0</v>
      </c>
      <c r="BL48" s="51">
        <v>0.0</v>
      </c>
      <c r="BM48" s="51">
        <v>0.0</v>
      </c>
      <c r="BN48" s="51">
        <v>0.0</v>
      </c>
      <c r="BO48" s="51">
        <v>0.0</v>
      </c>
      <c r="BP48" s="51">
        <v>0.0</v>
      </c>
      <c r="BQ48" s="51">
        <v>0.0</v>
      </c>
      <c r="BR48" s="51">
        <v>0.0</v>
      </c>
      <c r="BS48" s="51">
        <v>0.0</v>
      </c>
      <c r="BT48" s="51">
        <v>0.0</v>
      </c>
      <c r="BU48" s="51">
        <v>0.0</v>
      </c>
      <c r="BV48" s="51">
        <v>0.0</v>
      </c>
      <c r="BW48" s="51">
        <v>0.0</v>
      </c>
      <c r="BX48" s="51">
        <v>0.0</v>
      </c>
      <c r="BY48" s="51">
        <v>0.0</v>
      </c>
      <c r="BZ48" s="51">
        <v>0.0</v>
      </c>
      <c r="CA48" s="51">
        <v>0.0</v>
      </c>
      <c r="CB48" s="51">
        <v>0.0</v>
      </c>
      <c r="CC48" s="51">
        <v>0.0</v>
      </c>
      <c r="CD48" s="51">
        <v>0.0</v>
      </c>
      <c r="CE48" s="51">
        <v>0.0</v>
      </c>
      <c r="CF48" s="51">
        <v>0.0</v>
      </c>
      <c r="CG48" s="51">
        <v>0.0</v>
      </c>
      <c r="CH48" s="51">
        <v>0.0</v>
      </c>
      <c r="CI48" s="51">
        <v>0.0</v>
      </c>
      <c r="CJ48" s="51">
        <v>0.0</v>
      </c>
      <c r="CK48" s="51">
        <v>0.0</v>
      </c>
      <c r="CL48" s="51">
        <v>0.0</v>
      </c>
      <c r="CM48" s="51">
        <v>0.0</v>
      </c>
      <c r="CN48" s="51">
        <v>0.0</v>
      </c>
      <c r="CO48" s="51">
        <v>0.0</v>
      </c>
      <c r="CP48" s="51">
        <v>0.0</v>
      </c>
      <c r="CQ48" s="51">
        <v>0.0</v>
      </c>
      <c r="CR48" s="51">
        <v>0.0</v>
      </c>
      <c r="CS48" s="51">
        <v>0.0</v>
      </c>
      <c r="CT48" s="51">
        <v>0.0</v>
      </c>
      <c r="CU48" s="51">
        <v>0.0</v>
      </c>
      <c r="CV48" s="51">
        <v>0.0</v>
      </c>
      <c r="CW48" s="51">
        <v>0.0</v>
      </c>
      <c r="CX48" s="51">
        <v>0.0</v>
      </c>
      <c r="CY48" s="51">
        <v>0.0</v>
      </c>
      <c r="CZ48" s="51">
        <v>0.0</v>
      </c>
      <c r="DA48" s="51">
        <v>0.0</v>
      </c>
      <c r="DB48" s="51">
        <v>0.0</v>
      </c>
      <c r="DC48" s="51">
        <v>0.0</v>
      </c>
      <c r="DD48" s="51">
        <v>0.0</v>
      </c>
      <c r="DE48" s="51">
        <v>0.0</v>
      </c>
      <c r="DF48" s="51">
        <v>0.0</v>
      </c>
      <c r="DG48" s="51">
        <v>0.0</v>
      </c>
      <c r="DH48" s="51">
        <v>0.0</v>
      </c>
      <c r="DI48" s="51">
        <v>0.0</v>
      </c>
      <c r="DJ48" s="51">
        <v>0.0</v>
      </c>
      <c r="DK48" s="51">
        <v>0.0</v>
      </c>
      <c r="DL48" s="51">
        <v>0.0</v>
      </c>
      <c r="DM48" s="51">
        <v>0.0</v>
      </c>
      <c r="DN48" s="51">
        <v>0.0</v>
      </c>
      <c r="DO48" s="51">
        <v>0.0</v>
      </c>
      <c r="DP48" s="51">
        <v>0.0</v>
      </c>
      <c r="DQ48" s="51">
        <v>0.0</v>
      </c>
      <c r="DR48" s="51">
        <v>0.0</v>
      </c>
      <c r="DT48" s="50">
        <f t="shared" ref="DT48:DW48" si="76">+F48-E48</f>
        <v>104.644</v>
      </c>
      <c r="DU48" s="50">
        <f t="shared" si="76"/>
        <v>-182.267</v>
      </c>
      <c r="DV48" s="50">
        <f t="shared" si="76"/>
        <v>0</v>
      </c>
      <c r="DW48" s="50">
        <f t="shared" si="76"/>
        <v>0</v>
      </c>
    </row>
    <row r="49" ht="15.75" hidden="1" customHeight="1" outlineLevel="1">
      <c r="B49" s="5" t="s">
        <v>109</v>
      </c>
      <c r="C49" s="72" t="s">
        <v>70</v>
      </c>
      <c r="E49" s="50">
        <f t="shared" ref="E49:M49" si="77">+SUMIFS($O49:$DR49,$O$7:$DR$7,E$7)</f>
        <v>195.705</v>
      </c>
      <c r="F49" s="50">
        <f t="shared" si="77"/>
        <v>147.569</v>
      </c>
      <c r="G49" s="50">
        <f t="shared" si="77"/>
        <v>56.003</v>
      </c>
      <c r="H49" s="50">
        <f t="shared" si="77"/>
        <v>0</v>
      </c>
      <c r="I49" s="50">
        <f t="shared" si="77"/>
        <v>0</v>
      </c>
      <c r="J49" s="50">
        <f t="shared" si="77"/>
        <v>0</v>
      </c>
      <c r="K49" s="50">
        <f t="shared" si="77"/>
        <v>0</v>
      </c>
      <c r="L49" s="50">
        <f t="shared" si="77"/>
        <v>0</v>
      </c>
      <c r="M49" s="50">
        <f t="shared" si="77"/>
        <v>0</v>
      </c>
      <c r="O49" s="51">
        <v>17.894</v>
      </c>
      <c r="P49" s="51">
        <v>17.894</v>
      </c>
      <c r="Q49" s="51">
        <v>17.894</v>
      </c>
      <c r="R49" s="51">
        <v>17.894</v>
      </c>
      <c r="S49" s="51">
        <v>18.098</v>
      </c>
      <c r="T49" s="51">
        <v>18.302</v>
      </c>
      <c r="U49" s="51">
        <v>18.302</v>
      </c>
      <c r="V49" s="51">
        <v>18.302</v>
      </c>
      <c r="W49" s="51">
        <v>14.969</v>
      </c>
      <c r="X49" s="51">
        <v>12.052</v>
      </c>
      <c r="Y49" s="51">
        <v>12.052</v>
      </c>
      <c r="Z49" s="51">
        <v>12.052</v>
      </c>
      <c r="AA49" s="51">
        <v>12.052</v>
      </c>
      <c r="AB49" s="51">
        <v>12.052</v>
      </c>
      <c r="AC49" s="51">
        <v>12.051</v>
      </c>
      <c r="AD49" s="51">
        <v>12.051</v>
      </c>
      <c r="AE49" s="51">
        <v>12.248</v>
      </c>
      <c r="AF49" s="51">
        <v>12.445</v>
      </c>
      <c r="AG49" s="51">
        <v>12.445</v>
      </c>
      <c r="AH49" s="51">
        <v>12.445</v>
      </c>
      <c r="AI49" s="51">
        <v>12.445</v>
      </c>
      <c r="AJ49" s="51">
        <v>12.445</v>
      </c>
      <c r="AK49" s="51">
        <v>12.445</v>
      </c>
      <c r="AL49" s="51">
        <v>12.445</v>
      </c>
      <c r="AM49" s="51">
        <v>12.445</v>
      </c>
      <c r="AN49" s="51">
        <v>12.445</v>
      </c>
      <c r="AO49" s="51">
        <v>12.445</v>
      </c>
      <c r="AP49" s="51">
        <v>12.445</v>
      </c>
      <c r="AQ49" s="51">
        <v>6.223</v>
      </c>
      <c r="AR49" s="51">
        <v>0.0</v>
      </c>
      <c r="AS49" s="51">
        <v>0.0</v>
      </c>
      <c r="AT49" s="51">
        <v>0.0</v>
      </c>
      <c r="AU49" s="51">
        <v>0.0</v>
      </c>
      <c r="AV49" s="51">
        <v>0.0</v>
      </c>
      <c r="AW49" s="51">
        <v>0.0</v>
      </c>
      <c r="AX49" s="51">
        <v>0.0</v>
      </c>
      <c r="AY49" s="51">
        <v>0.0</v>
      </c>
      <c r="AZ49" s="51">
        <v>0.0</v>
      </c>
      <c r="BA49" s="51">
        <v>0.0</v>
      </c>
      <c r="BB49" s="51">
        <v>0.0</v>
      </c>
      <c r="BC49" s="51">
        <v>0.0</v>
      </c>
      <c r="BD49" s="51">
        <v>0.0</v>
      </c>
      <c r="BE49" s="51">
        <v>0.0</v>
      </c>
      <c r="BF49" s="51">
        <v>0.0</v>
      </c>
      <c r="BG49" s="51">
        <v>0.0</v>
      </c>
      <c r="BH49" s="51">
        <v>0.0</v>
      </c>
      <c r="BI49" s="51">
        <v>0.0</v>
      </c>
      <c r="BJ49" s="51">
        <v>0.0</v>
      </c>
      <c r="BK49" s="51">
        <v>0.0</v>
      </c>
      <c r="BL49" s="51">
        <v>0.0</v>
      </c>
      <c r="BM49" s="51">
        <v>0.0</v>
      </c>
      <c r="BN49" s="51">
        <v>0.0</v>
      </c>
      <c r="BO49" s="51">
        <v>0.0</v>
      </c>
      <c r="BP49" s="51">
        <v>0.0</v>
      </c>
      <c r="BQ49" s="51">
        <v>0.0</v>
      </c>
      <c r="BR49" s="51">
        <v>0.0</v>
      </c>
      <c r="BS49" s="51">
        <v>0.0</v>
      </c>
      <c r="BT49" s="51">
        <v>0.0</v>
      </c>
      <c r="BU49" s="51">
        <v>0.0</v>
      </c>
      <c r="BV49" s="51">
        <v>0.0</v>
      </c>
      <c r="BW49" s="51">
        <v>0.0</v>
      </c>
      <c r="BX49" s="51">
        <v>0.0</v>
      </c>
      <c r="BY49" s="51">
        <v>0.0</v>
      </c>
      <c r="BZ49" s="51">
        <v>0.0</v>
      </c>
      <c r="CA49" s="51">
        <v>0.0</v>
      </c>
      <c r="CB49" s="51">
        <v>0.0</v>
      </c>
      <c r="CC49" s="51">
        <v>0.0</v>
      </c>
      <c r="CD49" s="51">
        <v>0.0</v>
      </c>
      <c r="CE49" s="51">
        <v>0.0</v>
      </c>
      <c r="CF49" s="51">
        <v>0.0</v>
      </c>
      <c r="CG49" s="51">
        <v>0.0</v>
      </c>
      <c r="CH49" s="51">
        <v>0.0</v>
      </c>
      <c r="CI49" s="51">
        <v>0.0</v>
      </c>
      <c r="CJ49" s="51">
        <v>0.0</v>
      </c>
      <c r="CK49" s="51">
        <v>0.0</v>
      </c>
      <c r="CL49" s="51">
        <v>0.0</v>
      </c>
      <c r="CM49" s="51">
        <v>0.0</v>
      </c>
      <c r="CN49" s="51">
        <v>0.0</v>
      </c>
      <c r="CO49" s="51">
        <v>0.0</v>
      </c>
      <c r="CP49" s="51">
        <v>0.0</v>
      </c>
      <c r="CQ49" s="51">
        <v>0.0</v>
      </c>
      <c r="CR49" s="51">
        <v>0.0</v>
      </c>
      <c r="CS49" s="51">
        <v>0.0</v>
      </c>
      <c r="CT49" s="51">
        <v>0.0</v>
      </c>
      <c r="CU49" s="51">
        <v>0.0</v>
      </c>
      <c r="CV49" s="51">
        <v>0.0</v>
      </c>
      <c r="CW49" s="51">
        <v>0.0</v>
      </c>
      <c r="CX49" s="51">
        <v>0.0</v>
      </c>
      <c r="CY49" s="51">
        <v>0.0</v>
      </c>
      <c r="CZ49" s="51">
        <v>0.0</v>
      </c>
      <c r="DA49" s="51">
        <v>0.0</v>
      </c>
      <c r="DB49" s="51">
        <v>0.0</v>
      </c>
      <c r="DC49" s="51">
        <v>0.0</v>
      </c>
      <c r="DD49" s="51">
        <v>0.0</v>
      </c>
      <c r="DE49" s="51">
        <v>0.0</v>
      </c>
      <c r="DF49" s="51">
        <v>0.0</v>
      </c>
      <c r="DG49" s="51">
        <v>0.0</v>
      </c>
      <c r="DH49" s="51">
        <v>0.0</v>
      </c>
      <c r="DI49" s="51">
        <v>0.0</v>
      </c>
      <c r="DJ49" s="51">
        <v>0.0</v>
      </c>
      <c r="DK49" s="51">
        <v>0.0</v>
      </c>
      <c r="DL49" s="51">
        <v>0.0</v>
      </c>
      <c r="DM49" s="51">
        <v>0.0</v>
      </c>
      <c r="DN49" s="51">
        <v>0.0</v>
      </c>
      <c r="DO49" s="51">
        <v>0.0</v>
      </c>
      <c r="DP49" s="51">
        <v>0.0</v>
      </c>
      <c r="DQ49" s="51">
        <v>0.0</v>
      </c>
      <c r="DR49" s="51">
        <v>0.0</v>
      </c>
      <c r="DT49" s="50">
        <f t="shared" ref="DT49:DW49" si="78">+F49-E49</f>
        <v>-48.136</v>
      </c>
      <c r="DU49" s="50">
        <f t="shared" si="78"/>
        <v>-91.566</v>
      </c>
      <c r="DV49" s="50">
        <f t="shared" si="78"/>
        <v>-56.003</v>
      </c>
      <c r="DW49" s="50">
        <f t="shared" si="78"/>
        <v>0</v>
      </c>
    </row>
    <row r="50" ht="15.75" hidden="1" customHeight="1" outlineLevel="1">
      <c r="B50" s="5" t="s">
        <v>110</v>
      </c>
      <c r="C50" s="72" t="s">
        <v>70</v>
      </c>
      <c r="E50" s="50">
        <f t="shared" ref="E50:M50" si="79">+SUMIFS($O50:$DR50,$O$7:$DR$7,E$7)</f>
        <v>65.561</v>
      </c>
      <c r="F50" s="50">
        <f t="shared" si="79"/>
        <v>67.533</v>
      </c>
      <c r="G50" s="50">
        <f t="shared" si="79"/>
        <v>69.552</v>
      </c>
      <c r="H50" s="50">
        <f t="shared" si="79"/>
        <v>23.87964</v>
      </c>
      <c r="I50" s="50">
        <f t="shared" si="79"/>
        <v>0</v>
      </c>
      <c r="J50" s="50">
        <f t="shared" si="79"/>
        <v>0</v>
      </c>
      <c r="K50" s="50">
        <f t="shared" si="79"/>
        <v>0</v>
      </c>
      <c r="L50" s="50">
        <f t="shared" si="79"/>
        <v>0</v>
      </c>
      <c r="M50" s="50">
        <f t="shared" si="79"/>
        <v>0</v>
      </c>
      <c r="O50" s="51">
        <v>5.464</v>
      </c>
      <c r="P50" s="51">
        <v>5.463</v>
      </c>
      <c r="Q50" s="51">
        <v>5.463</v>
      </c>
      <c r="R50" s="51">
        <v>5.463</v>
      </c>
      <c r="S50" s="51">
        <v>5.463</v>
      </c>
      <c r="T50" s="51">
        <v>5.464</v>
      </c>
      <c r="U50" s="51">
        <v>5.464</v>
      </c>
      <c r="V50" s="51">
        <v>5.464</v>
      </c>
      <c r="W50" s="51">
        <v>5.464</v>
      </c>
      <c r="X50" s="51">
        <v>5.463</v>
      </c>
      <c r="Y50" s="51">
        <v>5.463</v>
      </c>
      <c r="Z50" s="51">
        <v>5.463</v>
      </c>
      <c r="AA50" s="51">
        <v>5.628</v>
      </c>
      <c r="AB50" s="51">
        <v>5.628</v>
      </c>
      <c r="AC50" s="51">
        <v>5.627</v>
      </c>
      <c r="AD50" s="51">
        <v>5.627</v>
      </c>
      <c r="AE50" s="51">
        <v>5.627</v>
      </c>
      <c r="AF50" s="51">
        <v>5.628</v>
      </c>
      <c r="AG50" s="51">
        <v>5.628</v>
      </c>
      <c r="AH50" s="51">
        <v>5.628</v>
      </c>
      <c r="AI50" s="51">
        <v>5.628</v>
      </c>
      <c r="AJ50" s="51">
        <v>5.628</v>
      </c>
      <c r="AK50" s="51">
        <v>5.628</v>
      </c>
      <c r="AL50" s="51">
        <v>5.628</v>
      </c>
      <c r="AM50" s="51">
        <v>5.796</v>
      </c>
      <c r="AN50" s="51">
        <v>5.796</v>
      </c>
      <c r="AO50" s="51">
        <v>5.796</v>
      </c>
      <c r="AP50" s="51">
        <v>5.796</v>
      </c>
      <c r="AQ50" s="51">
        <v>5.796</v>
      </c>
      <c r="AR50" s="51">
        <v>5.796</v>
      </c>
      <c r="AS50" s="51">
        <v>5.796</v>
      </c>
      <c r="AT50" s="51">
        <v>5.796</v>
      </c>
      <c r="AU50" s="51">
        <v>5.796</v>
      </c>
      <c r="AV50" s="51">
        <v>5.796</v>
      </c>
      <c r="AW50" s="51">
        <v>5.796</v>
      </c>
      <c r="AX50" s="51">
        <v>5.796</v>
      </c>
      <c r="AY50" s="51">
        <v>5.96988</v>
      </c>
      <c r="AZ50" s="51">
        <v>5.96988</v>
      </c>
      <c r="BA50" s="51">
        <v>5.96988</v>
      </c>
      <c r="BB50" s="51">
        <v>5.97</v>
      </c>
      <c r="BC50" s="51">
        <v>0.0</v>
      </c>
      <c r="BD50" s="51">
        <v>0.0</v>
      </c>
      <c r="BE50" s="51">
        <v>0.0</v>
      </c>
      <c r="BF50" s="51">
        <v>0.0</v>
      </c>
      <c r="BG50" s="51">
        <v>0.0</v>
      </c>
      <c r="BH50" s="51">
        <v>0.0</v>
      </c>
      <c r="BI50" s="51">
        <v>0.0</v>
      </c>
      <c r="BJ50" s="51">
        <v>0.0</v>
      </c>
      <c r="BK50" s="51">
        <v>0.0</v>
      </c>
      <c r="BL50" s="51">
        <v>0.0</v>
      </c>
      <c r="BM50" s="51">
        <v>0.0</v>
      </c>
      <c r="BN50" s="51">
        <v>0.0</v>
      </c>
      <c r="BO50" s="51">
        <v>0.0</v>
      </c>
      <c r="BP50" s="51">
        <v>0.0</v>
      </c>
      <c r="BQ50" s="51">
        <v>0.0</v>
      </c>
      <c r="BR50" s="51">
        <v>0.0</v>
      </c>
      <c r="BS50" s="51">
        <v>0.0</v>
      </c>
      <c r="BT50" s="51">
        <v>0.0</v>
      </c>
      <c r="BU50" s="51">
        <v>0.0</v>
      </c>
      <c r="BV50" s="51">
        <v>0.0</v>
      </c>
      <c r="BW50" s="51">
        <v>0.0</v>
      </c>
      <c r="BX50" s="51">
        <v>0.0</v>
      </c>
      <c r="BY50" s="51">
        <v>0.0</v>
      </c>
      <c r="BZ50" s="51">
        <v>0.0</v>
      </c>
      <c r="CA50" s="51">
        <v>0.0</v>
      </c>
      <c r="CB50" s="51">
        <v>0.0</v>
      </c>
      <c r="CC50" s="51">
        <v>0.0</v>
      </c>
      <c r="CD50" s="51">
        <v>0.0</v>
      </c>
      <c r="CE50" s="51">
        <v>0.0</v>
      </c>
      <c r="CF50" s="51">
        <v>0.0</v>
      </c>
      <c r="CG50" s="51">
        <v>0.0</v>
      </c>
      <c r="CH50" s="51">
        <v>0.0</v>
      </c>
      <c r="CI50" s="51">
        <v>0.0</v>
      </c>
      <c r="CJ50" s="51">
        <v>0.0</v>
      </c>
      <c r="CK50" s="51">
        <v>0.0</v>
      </c>
      <c r="CL50" s="51">
        <v>0.0</v>
      </c>
      <c r="CM50" s="51">
        <v>0.0</v>
      </c>
      <c r="CN50" s="51">
        <v>0.0</v>
      </c>
      <c r="CO50" s="51">
        <v>0.0</v>
      </c>
      <c r="CP50" s="51">
        <v>0.0</v>
      </c>
      <c r="CQ50" s="51">
        <v>0.0</v>
      </c>
      <c r="CR50" s="51">
        <v>0.0</v>
      </c>
      <c r="CS50" s="51">
        <v>0.0</v>
      </c>
      <c r="CT50" s="51">
        <v>0.0</v>
      </c>
      <c r="CU50" s="51">
        <v>0.0</v>
      </c>
      <c r="CV50" s="51">
        <v>0.0</v>
      </c>
      <c r="CW50" s="51">
        <v>0.0</v>
      </c>
      <c r="CX50" s="51">
        <v>0.0</v>
      </c>
      <c r="CY50" s="51">
        <v>0.0</v>
      </c>
      <c r="CZ50" s="51">
        <v>0.0</v>
      </c>
      <c r="DA50" s="51">
        <v>0.0</v>
      </c>
      <c r="DB50" s="51">
        <v>0.0</v>
      </c>
      <c r="DC50" s="51">
        <v>0.0</v>
      </c>
      <c r="DD50" s="51">
        <v>0.0</v>
      </c>
      <c r="DE50" s="51">
        <v>0.0</v>
      </c>
      <c r="DF50" s="51">
        <v>0.0</v>
      </c>
      <c r="DG50" s="51">
        <v>0.0</v>
      </c>
      <c r="DH50" s="51">
        <v>0.0</v>
      </c>
      <c r="DI50" s="51">
        <v>0.0</v>
      </c>
      <c r="DJ50" s="51">
        <v>0.0</v>
      </c>
      <c r="DK50" s="51">
        <v>0.0</v>
      </c>
      <c r="DL50" s="51">
        <v>0.0</v>
      </c>
      <c r="DM50" s="51">
        <v>0.0</v>
      </c>
      <c r="DN50" s="51">
        <v>0.0</v>
      </c>
      <c r="DO50" s="51">
        <v>0.0</v>
      </c>
      <c r="DP50" s="51">
        <v>0.0</v>
      </c>
      <c r="DQ50" s="51">
        <v>0.0</v>
      </c>
      <c r="DR50" s="51">
        <v>0.0</v>
      </c>
      <c r="DT50" s="50">
        <f t="shared" ref="DT50:DW50" si="80">+F50-E50</f>
        <v>1.972</v>
      </c>
      <c r="DU50" s="50">
        <f t="shared" si="80"/>
        <v>2.019</v>
      </c>
      <c r="DV50" s="50">
        <f t="shared" si="80"/>
        <v>-45.67236</v>
      </c>
      <c r="DW50" s="50">
        <f t="shared" si="80"/>
        <v>-23.87964</v>
      </c>
    </row>
    <row r="51" ht="15.75" hidden="1" customHeight="1" outlineLevel="1">
      <c r="B51" s="5" t="s">
        <v>111</v>
      </c>
      <c r="C51" s="72" t="s">
        <v>70</v>
      </c>
      <c r="E51" s="50">
        <f t="shared" ref="E51:M51" si="81">+SUMIFS($O51:$DR51,$O$7:$DR$7,E$7)</f>
        <v>292.938</v>
      </c>
      <c r="F51" s="50">
        <f t="shared" si="81"/>
        <v>0</v>
      </c>
      <c r="G51" s="50">
        <f t="shared" si="81"/>
        <v>0</v>
      </c>
      <c r="H51" s="50">
        <f t="shared" si="81"/>
        <v>0</v>
      </c>
      <c r="I51" s="50">
        <f t="shared" si="81"/>
        <v>0</v>
      </c>
      <c r="J51" s="50">
        <f t="shared" si="81"/>
        <v>0</v>
      </c>
      <c r="K51" s="50">
        <f t="shared" si="81"/>
        <v>0</v>
      </c>
      <c r="L51" s="50">
        <f t="shared" si="81"/>
        <v>0</v>
      </c>
      <c r="M51" s="50">
        <f t="shared" si="81"/>
        <v>0</v>
      </c>
      <c r="O51" s="51">
        <v>24.411</v>
      </c>
      <c r="P51" s="51">
        <v>24.411</v>
      </c>
      <c r="Q51" s="51">
        <v>24.411</v>
      </c>
      <c r="R51" s="51">
        <v>24.411</v>
      </c>
      <c r="S51" s="51">
        <v>24.411</v>
      </c>
      <c r="T51" s="51">
        <v>24.412</v>
      </c>
      <c r="U51" s="51">
        <v>24.412</v>
      </c>
      <c r="V51" s="51">
        <v>24.412</v>
      </c>
      <c r="W51" s="51">
        <v>24.412</v>
      </c>
      <c r="X51" s="51">
        <v>24.411</v>
      </c>
      <c r="Y51" s="51">
        <v>24.412</v>
      </c>
      <c r="Z51" s="51">
        <v>24.412</v>
      </c>
      <c r="AA51" s="51">
        <v>0.0</v>
      </c>
      <c r="AB51" s="51">
        <v>0.0</v>
      </c>
      <c r="AC51" s="51">
        <v>0.0</v>
      </c>
      <c r="AD51" s="51">
        <v>0.0</v>
      </c>
      <c r="AE51" s="51">
        <v>0.0</v>
      </c>
      <c r="AF51" s="51">
        <v>0.0</v>
      </c>
      <c r="AG51" s="51">
        <v>0.0</v>
      </c>
      <c r="AH51" s="51">
        <v>0.0</v>
      </c>
      <c r="AI51" s="51">
        <v>0.0</v>
      </c>
      <c r="AJ51" s="51">
        <v>0.0</v>
      </c>
      <c r="AK51" s="51">
        <v>0.0</v>
      </c>
      <c r="AL51" s="51">
        <v>0.0</v>
      </c>
      <c r="AM51" s="51">
        <v>0.0</v>
      </c>
      <c r="AN51" s="51">
        <v>0.0</v>
      </c>
      <c r="AO51" s="51">
        <v>0.0</v>
      </c>
      <c r="AP51" s="51">
        <v>0.0</v>
      </c>
      <c r="AQ51" s="51">
        <v>0.0</v>
      </c>
      <c r="AR51" s="51">
        <v>0.0</v>
      </c>
      <c r="AS51" s="51">
        <v>0.0</v>
      </c>
      <c r="AT51" s="51">
        <v>0.0</v>
      </c>
      <c r="AU51" s="51">
        <v>0.0</v>
      </c>
      <c r="AV51" s="51">
        <v>0.0</v>
      </c>
      <c r="AW51" s="51">
        <v>0.0</v>
      </c>
      <c r="AX51" s="51">
        <v>0.0</v>
      </c>
      <c r="AY51" s="51">
        <v>0.0</v>
      </c>
      <c r="AZ51" s="51">
        <v>0.0</v>
      </c>
      <c r="BA51" s="51">
        <v>0.0</v>
      </c>
      <c r="BB51" s="51">
        <v>0.0</v>
      </c>
      <c r="BC51" s="51">
        <v>0.0</v>
      </c>
      <c r="BD51" s="51">
        <v>0.0</v>
      </c>
      <c r="BE51" s="51">
        <v>0.0</v>
      </c>
      <c r="BF51" s="51">
        <v>0.0</v>
      </c>
      <c r="BG51" s="51">
        <v>0.0</v>
      </c>
      <c r="BH51" s="51">
        <v>0.0</v>
      </c>
      <c r="BI51" s="51">
        <v>0.0</v>
      </c>
      <c r="BJ51" s="51">
        <v>0.0</v>
      </c>
      <c r="BK51" s="51">
        <v>0.0</v>
      </c>
      <c r="BL51" s="51">
        <v>0.0</v>
      </c>
      <c r="BM51" s="51">
        <v>0.0</v>
      </c>
      <c r="BN51" s="51">
        <v>0.0</v>
      </c>
      <c r="BO51" s="51">
        <v>0.0</v>
      </c>
      <c r="BP51" s="51">
        <v>0.0</v>
      </c>
      <c r="BQ51" s="51">
        <v>0.0</v>
      </c>
      <c r="BR51" s="51">
        <v>0.0</v>
      </c>
      <c r="BS51" s="51">
        <v>0.0</v>
      </c>
      <c r="BT51" s="51">
        <v>0.0</v>
      </c>
      <c r="BU51" s="51">
        <v>0.0</v>
      </c>
      <c r="BV51" s="51">
        <v>0.0</v>
      </c>
      <c r="BW51" s="51">
        <v>0.0</v>
      </c>
      <c r="BX51" s="51">
        <v>0.0</v>
      </c>
      <c r="BY51" s="51">
        <v>0.0</v>
      </c>
      <c r="BZ51" s="51">
        <v>0.0</v>
      </c>
      <c r="CA51" s="51">
        <v>0.0</v>
      </c>
      <c r="CB51" s="51">
        <v>0.0</v>
      </c>
      <c r="CC51" s="51">
        <v>0.0</v>
      </c>
      <c r="CD51" s="51">
        <v>0.0</v>
      </c>
      <c r="CE51" s="51">
        <v>0.0</v>
      </c>
      <c r="CF51" s="51">
        <v>0.0</v>
      </c>
      <c r="CG51" s="51">
        <v>0.0</v>
      </c>
      <c r="CH51" s="51">
        <v>0.0</v>
      </c>
      <c r="CI51" s="51">
        <v>0.0</v>
      </c>
      <c r="CJ51" s="51">
        <v>0.0</v>
      </c>
      <c r="CK51" s="51">
        <v>0.0</v>
      </c>
      <c r="CL51" s="51">
        <v>0.0</v>
      </c>
      <c r="CM51" s="51">
        <v>0.0</v>
      </c>
      <c r="CN51" s="51">
        <v>0.0</v>
      </c>
      <c r="CO51" s="51">
        <v>0.0</v>
      </c>
      <c r="CP51" s="51">
        <v>0.0</v>
      </c>
      <c r="CQ51" s="51">
        <v>0.0</v>
      </c>
      <c r="CR51" s="51">
        <v>0.0</v>
      </c>
      <c r="CS51" s="51">
        <v>0.0</v>
      </c>
      <c r="CT51" s="51">
        <v>0.0</v>
      </c>
      <c r="CU51" s="51">
        <v>0.0</v>
      </c>
      <c r="CV51" s="51">
        <v>0.0</v>
      </c>
      <c r="CW51" s="51">
        <v>0.0</v>
      </c>
      <c r="CX51" s="51">
        <v>0.0</v>
      </c>
      <c r="CY51" s="51">
        <v>0.0</v>
      </c>
      <c r="CZ51" s="51">
        <v>0.0</v>
      </c>
      <c r="DA51" s="51">
        <v>0.0</v>
      </c>
      <c r="DB51" s="51">
        <v>0.0</v>
      </c>
      <c r="DC51" s="51">
        <v>0.0</v>
      </c>
      <c r="DD51" s="51">
        <v>0.0</v>
      </c>
      <c r="DE51" s="51">
        <v>0.0</v>
      </c>
      <c r="DF51" s="51">
        <v>0.0</v>
      </c>
      <c r="DG51" s="51">
        <v>0.0</v>
      </c>
      <c r="DH51" s="51">
        <v>0.0</v>
      </c>
      <c r="DI51" s="51">
        <v>0.0</v>
      </c>
      <c r="DJ51" s="51">
        <v>0.0</v>
      </c>
      <c r="DK51" s="51">
        <v>0.0</v>
      </c>
      <c r="DL51" s="51">
        <v>0.0</v>
      </c>
      <c r="DM51" s="51">
        <v>0.0</v>
      </c>
      <c r="DN51" s="51">
        <v>0.0</v>
      </c>
      <c r="DO51" s="51">
        <v>0.0</v>
      </c>
      <c r="DP51" s="51">
        <v>0.0</v>
      </c>
      <c r="DQ51" s="51">
        <v>0.0</v>
      </c>
      <c r="DR51" s="51">
        <v>0.0</v>
      </c>
      <c r="DT51" s="50">
        <f t="shared" ref="DT51:DW51" si="82">+F51-E51</f>
        <v>-292.938</v>
      </c>
      <c r="DU51" s="50">
        <f t="shared" si="82"/>
        <v>0</v>
      </c>
      <c r="DV51" s="50">
        <f t="shared" si="82"/>
        <v>0</v>
      </c>
      <c r="DW51" s="50">
        <f t="shared" si="82"/>
        <v>0</v>
      </c>
    </row>
    <row r="52" ht="15.75" hidden="1" customHeight="1" outlineLevel="1">
      <c r="B52" s="5" t="s">
        <v>112</v>
      </c>
      <c r="C52" s="72" t="s">
        <v>70</v>
      </c>
      <c r="E52" s="50">
        <f t="shared" ref="E52:M52" si="83">+SUMIFS($O52:$DR52,$O$7:$DR$7,E$7)</f>
        <v>132.393</v>
      </c>
      <c r="F52" s="50">
        <f t="shared" si="83"/>
        <v>0</v>
      </c>
      <c r="G52" s="50">
        <f t="shared" si="83"/>
        <v>0</v>
      </c>
      <c r="H52" s="50">
        <f t="shared" si="83"/>
        <v>0</v>
      </c>
      <c r="I52" s="50">
        <f t="shared" si="83"/>
        <v>0</v>
      </c>
      <c r="J52" s="50">
        <f t="shared" si="83"/>
        <v>0</v>
      </c>
      <c r="K52" s="50">
        <f t="shared" si="83"/>
        <v>0</v>
      </c>
      <c r="L52" s="50">
        <f t="shared" si="83"/>
        <v>0</v>
      </c>
      <c r="M52" s="50">
        <f t="shared" si="83"/>
        <v>0</v>
      </c>
      <c r="O52" s="51">
        <v>19.38</v>
      </c>
      <c r="P52" s="51">
        <v>19.38</v>
      </c>
      <c r="Q52" s="51">
        <v>19.38</v>
      </c>
      <c r="R52" s="51">
        <v>19.38</v>
      </c>
      <c r="S52" s="51">
        <v>19.38</v>
      </c>
      <c r="T52" s="51">
        <v>19.38</v>
      </c>
      <c r="U52" s="51">
        <v>16.113</v>
      </c>
      <c r="V52" s="51">
        <v>0.0</v>
      </c>
      <c r="W52" s="51">
        <v>0.0</v>
      </c>
      <c r="X52" s="51">
        <v>0.0</v>
      </c>
      <c r="Y52" s="51">
        <v>0.0</v>
      </c>
      <c r="Z52" s="51">
        <v>0.0</v>
      </c>
      <c r="AA52" s="51">
        <v>0.0</v>
      </c>
      <c r="AB52" s="51">
        <v>0.0</v>
      </c>
      <c r="AC52" s="51">
        <v>0.0</v>
      </c>
      <c r="AD52" s="51">
        <v>0.0</v>
      </c>
      <c r="AE52" s="51">
        <v>0.0</v>
      </c>
      <c r="AF52" s="51">
        <v>0.0</v>
      </c>
      <c r="AG52" s="51">
        <v>0.0</v>
      </c>
      <c r="AH52" s="51">
        <v>0.0</v>
      </c>
      <c r="AI52" s="51">
        <v>0.0</v>
      </c>
      <c r="AJ52" s="51">
        <v>0.0</v>
      </c>
      <c r="AK52" s="51">
        <v>0.0</v>
      </c>
      <c r="AL52" s="51">
        <v>0.0</v>
      </c>
      <c r="AM52" s="51">
        <v>0.0</v>
      </c>
      <c r="AN52" s="51">
        <v>0.0</v>
      </c>
      <c r="AO52" s="51">
        <v>0.0</v>
      </c>
      <c r="AP52" s="51">
        <v>0.0</v>
      </c>
      <c r="AQ52" s="51">
        <v>0.0</v>
      </c>
      <c r="AR52" s="51">
        <v>0.0</v>
      </c>
      <c r="AS52" s="51">
        <v>0.0</v>
      </c>
      <c r="AT52" s="51">
        <v>0.0</v>
      </c>
      <c r="AU52" s="51">
        <v>0.0</v>
      </c>
      <c r="AV52" s="51">
        <v>0.0</v>
      </c>
      <c r="AW52" s="51">
        <v>0.0</v>
      </c>
      <c r="AX52" s="51">
        <v>0.0</v>
      </c>
      <c r="AY52" s="51">
        <v>0.0</v>
      </c>
      <c r="AZ52" s="51">
        <v>0.0</v>
      </c>
      <c r="BA52" s="51">
        <v>0.0</v>
      </c>
      <c r="BB52" s="51">
        <v>0.0</v>
      </c>
      <c r="BC52" s="51">
        <v>0.0</v>
      </c>
      <c r="BD52" s="51">
        <v>0.0</v>
      </c>
      <c r="BE52" s="51">
        <v>0.0</v>
      </c>
      <c r="BF52" s="51">
        <v>0.0</v>
      </c>
      <c r="BG52" s="51">
        <v>0.0</v>
      </c>
      <c r="BH52" s="51">
        <v>0.0</v>
      </c>
      <c r="BI52" s="51">
        <v>0.0</v>
      </c>
      <c r="BJ52" s="51">
        <v>0.0</v>
      </c>
      <c r="BK52" s="51">
        <v>0.0</v>
      </c>
      <c r="BL52" s="51">
        <v>0.0</v>
      </c>
      <c r="BM52" s="51">
        <v>0.0</v>
      </c>
      <c r="BN52" s="51">
        <v>0.0</v>
      </c>
      <c r="BO52" s="51">
        <v>0.0</v>
      </c>
      <c r="BP52" s="51">
        <v>0.0</v>
      </c>
      <c r="BQ52" s="51">
        <v>0.0</v>
      </c>
      <c r="BR52" s="51">
        <v>0.0</v>
      </c>
      <c r="BS52" s="51">
        <v>0.0</v>
      </c>
      <c r="BT52" s="51">
        <v>0.0</v>
      </c>
      <c r="BU52" s="51">
        <v>0.0</v>
      </c>
      <c r="BV52" s="51">
        <v>0.0</v>
      </c>
      <c r="BW52" s="51">
        <v>0.0</v>
      </c>
      <c r="BX52" s="51">
        <v>0.0</v>
      </c>
      <c r="BY52" s="51">
        <v>0.0</v>
      </c>
      <c r="BZ52" s="51">
        <v>0.0</v>
      </c>
      <c r="CA52" s="51">
        <v>0.0</v>
      </c>
      <c r="CB52" s="51">
        <v>0.0</v>
      </c>
      <c r="CC52" s="51">
        <v>0.0</v>
      </c>
      <c r="CD52" s="51">
        <v>0.0</v>
      </c>
      <c r="CE52" s="51">
        <v>0.0</v>
      </c>
      <c r="CF52" s="51">
        <v>0.0</v>
      </c>
      <c r="CG52" s="51">
        <v>0.0</v>
      </c>
      <c r="CH52" s="51">
        <v>0.0</v>
      </c>
      <c r="CI52" s="51">
        <v>0.0</v>
      </c>
      <c r="CJ52" s="51">
        <v>0.0</v>
      </c>
      <c r="CK52" s="51">
        <v>0.0</v>
      </c>
      <c r="CL52" s="51">
        <v>0.0</v>
      </c>
      <c r="CM52" s="51">
        <v>0.0</v>
      </c>
      <c r="CN52" s="51">
        <v>0.0</v>
      </c>
      <c r="CO52" s="51">
        <v>0.0</v>
      </c>
      <c r="CP52" s="51">
        <v>0.0</v>
      </c>
      <c r="CQ52" s="51">
        <v>0.0</v>
      </c>
      <c r="CR52" s="51">
        <v>0.0</v>
      </c>
      <c r="CS52" s="51">
        <v>0.0</v>
      </c>
      <c r="CT52" s="51">
        <v>0.0</v>
      </c>
      <c r="CU52" s="51">
        <v>0.0</v>
      </c>
      <c r="CV52" s="51">
        <v>0.0</v>
      </c>
      <c r="CW52" s="51">
        <v>0.0</v>
      </c>
      <c r="CX52" s="51">
        <v>0.0</v>
      </c>
      <c r="CY52" s="51">
        <v>0.0</v>
      </c>
      <c r="CZ52" s="51">
        <v>0.0</v>
      </c>
      <c r="DA52" s="51">
        <v>0.0</v>
      </c>
      <c r="DB52" s="51">
        <v>0.0</v>
      </c>
      <c r="DC52" s="51">
        <v>0.0</v>
      </c>
      <c r="DD52" s="51">
        <v>0.0</v>
      </c>
      <c r="DE52" s="51">
        <v>0.0</v>
      </c>
      <c r="DF52" s="51">
        <v>0.0</v>
      </c>
      <c r="DG52" s="51">
        <v>0.0</v>
      </c>
      <c r="DH52" s="51">
        <v>0.0</v>
      </c>
      <c r="DI52" s="51">
        <v>0.0</v>
      </c>
      <c r="DJ52" s="51">
        <v>0.0</v>
      </c>
      <c r="DK52" s="51">
        <v>0.0</v>
      </c>
      <c r="DL52" s="51">
        <v>0.0</v>
      </c>
      <c r="DM52" s="51">
        <v>0.0</v>
      </c>
      <c r="DN52" s="51">
        <v>0.0</v>
      </c>
      <c r="DO52" s="51">
        <v>0.0</v>
      </c>
      <c r="DP52" s="51">
        <v>0.0</v>
      </c>
      <c r="DQ52" s="51">
        <v>0.0</v>
      </c>
      <c r="DR52" s="51">
        <v>0.0</v>
      </c>
      <c r="DT52" s="50">
        <f t="shared" ref="DT52:DW52" si="84">+F52-E52</f>
        <v>-132.393</v>
      </c>
      <c r="DU52" s="50">
        <f t="shared" si="84"/>
        <v>0</v>
      </c>
      <c r="DV52" s="50">
        <f t="shared" si="84"/>
        <v>0</v>
      </c>
      <c r="DW52" s="50">
        <f t="shared" si="84"/>
        <v>0</v>
      </c>
    </row>
    <row r="53" ht="15.75" hidden="1" customHeight="1" outlineLevel="1">
      <c r="B53" s="5" t="s">
        <v>113</v>
      </c>
      <c r="C53" s="72" t="s">
        <v>70</v>
      </c>
      <c r="E53" s="50">
        <f t="shared" ref="E53:M53" si="85">+SUMIFS($O53:$DR53,$O$7:$DR$7,E$7)</f>
        <v>105.614</v>
      </c>
      <c r="F53" s="50">
        <f t="shared" si="85"/>
        <v>88.322</v>
      </c>
      <c r="G53" s="50">
        <f t="shared" si="85"/>
        <v>31.245</v>
      </c>
      <c r="H53" s="50">
        <f t="shared" si="85"/>
        <v>0</v>
      </c>
      <c r="I53" s="50">
        <f t="shared" si="85"/>
        <v>0</v>
      </c>
      <c r="J53" s="50">
        <f t="shared" si="85"/>
        <v>0</v>
      </c>
      <c r="K53" s="50">
        <f t="shared" si="85"/>
        <v>0</v>
      </c>
      <c r="L53" s="50">
        <f t="shared" si="85"/>
        <v>0</v>
      </c>
      <c r="M53" s="50">
        <f t="shared" si="85"/>
        <v>0</v>
      </c>
      <c r="O53" s="51">
        <v>8.625</v>
      </c>
      <c r="P53" s="51">
        <v>8.625</v>
      </c>
      <c r="Q53" s="51">
        <v>8.625</v>
      </c>
      <c r="R53" s="51">
        <v>8.625</v>
      </c>
      <c r="S53" s="51">
        <v>8.625</v>
      </c>
      <c r="T53" s="51">
        <v>8.927</v>
      </c>
      <c r="U53" s="51">
        <v>8.927</v>
      </c>
      <c r="V53" s="51">
        <v>8.927</v>
      </c>
      <c r="W53" s="51">
        <v>8.927</v>
      </c>
      <c r="X53" s="51">
        <v>8.927</v>
      </c>
      <c r="Y53" s="51">
        <v>8.927</v>
      </c>
      <c r="Z53" s="51">
        <v>8.927</v>
      </c>
      <c r="AA53" s="51">
        <v>8.927</v>
      </c>
      <c r="AB53" s="51">
        <v>8.927</v>
      </c>
      <c r="AC53" s="51">
        <v>8.927</v>
      </c>
      <c r="AD53" s="51">
        <v>8.927</v>
      </c>
      <c r="AE53" s="51">
        <v>8.927</v>
      </c>
      <c r="AF53" s="51">
        <v>6.241</v>
      </c>
      <c r="AG53" s="51">
        <v>6.241</v>
      </c>
      <c r="AH53" s="51">
        <v>6.241</v>
      </c>
      <c r="AI53" s="51">
        <v>6.241</v>
      </c>
      <c r="AJ53" s="51">
        <v>6.241</v>
      </c>
      <c r="AK53" s="51">
        <v>6.241</v>
      </c>
      <c r="AL53" s="51">
        <v>6.241</v>
      </c>
      <c r="AM53" s="51">
        <v>6.249</v>
      </c>
      <c r="AN53" s="51">
        <v>6.249</v>
      </c>
      <c r="AO53" s="51">
        <v>6.249</v>
      </c>
      <c r="AP53" s="51">
        <v>6.249</v>
      </c>
      <c r="AQ53" s="51">
        <v>6.249</v>
      </c>
      <c r="AR53" s="51">
        <v>0.0</v>
      </c>
      <c r="AS53" s="51">
        <v>0.0</v>
      </c>
      <c r="AT53" s="51">
        <v>0.0</v>
      </c>
      <c r="AU53" s="51">
        <v>0.0</v>
      </c>
      <c r="AV53" s="51">
        <v>0.0</v>
      </c>
      <c r="AW53" s="51">
        <v>0.0</v>
      </c>
      <c r="AX53" s="51">
        <v>0.0</v>
      </c>
      <c r="AY53" s="51">
        <v>0.0</v>
      </c>
      <c r="AZ53" s="51">
        <v>0.0</v>
      </c>
      <c r="BA53" s="51">
        <v>0.0</v>
      </c>
      <c r="BB53" s="51">
        <v>0.0</v>
      </c>
      <c r="BC53" s="51">
        <v>0.0</v>
      </c>
      <c r="BD53" s="51">
        <v>0.0</v>
      </c>
      <c r="BE53" s="51">
        <v>0.0</v>
      </c>
      <c r="BF53" s="51">
        <v>0.0</v>
      </c>
      <c r="BG53" s="51">
        <v>0.0</v>
      </c>
      <c r="BH53" s="51">
        <v>0.0</v>
      </c>
      <c r="BI53" s="51">
        <v>0.0</v>
      </c>
      <c r="BJ53" s="51">
        <v>0.0</v>
      </c>
      <c r="BK53" s="51">
        <v>0.0</v>
      </c>
      <c r="BL53" s="51">
        <v>0.0</v>
      </c>
      <c r="BM53" s="51">
        <v>0.0</v>
      </c>
      <c r="BN53" s="51">
        <v>0.0</v>
      </c>
      <c r="BO53" s="51">
        <v>0.0</v>
      </c>
      <c r="BP53" s="51">
        <v>0.0</v>
      </c>
      <c r="BQ53" s="51">
        <v>0.0</v>
      </c>
      <c r="BR53" s="51">
        <v>0.0</v>
      </c>
      <c r="BS53" s="51">
        <v>0.0</v>
      </c>
      <c r="BT53" s="51">
        <v>0.0</v>
      </c>
      <c r="BU53" s="51">
        <v>0.0</v>
      </c>
      <c r="BV53" s="51">
        <v>0.0</v>
      </c>
      <c r="BW53" s="51">
        <v>0.0</v>
      </c>
      <c r="BX53" s="51">
        <v>0.0</v>
      </c>
      <c r="BY53" s="51">
        <v>0.0</v>
      </c>
      <c r="BZ53" s="51">
        <v>0.0</v>
      </c>
      <c r="CA53" s="51">
        <v>0.0</v>
      </c>
      <c r="CB53" s="51">
        <v>0.0</v>
      </c>
      <c r="CC53" s="51">
        <v>0.0</v>
      </c>
      <c r="CD53" s="51">
        <v>0.0</v>
      </c>
      <c r="CE53" s="51">
        <v>0.0</v>
      </c>
      <c r="CF53" s="51">
        <v>0.0</v>
      </c>
      <c r="CG53" s="51">
        <v>0.0</v>
      </c>
      <c r="CH53" s="51">
        <v>0.0</v>
      </c>
      <c r="CI53" s="51">
        <v>0.0</v>
      </c>
      <c r="CJ53" s="51">
        <v>0.0</v>
      </c>
      <c r="CK53" s="51">
        <v>0.0</v>
      </c>
      <c r="CL53" s="51">
        <v>0.0</v>
      </c>
      <c r="CM53" s="51">
        <v>0.0</v>
      </c>
      <c r="CN53" s="51">
        <v>0.0</v>
      </c>
      <c r="CO53" s="51">
        <v>0.0</v>
      </c>
      <c r="CP53" s="51">
        <v>0.0</v>
      </c>
      <c r="CQ53" s="51">
        <v>0.0</v>
      </c>
      <c r="CR53" s="51">
        <v>0.0</v>
      </c>
      <c r="CS53" s="51">
        <v>0.0</v>
      </c>
      <c r="CT53" s="51">
        <v>0.0</v>
      </c>
      <c r="CU53" s="51">
        <v>0.0</v>
      </c>
      <c r="CV53" s="51">
        <v>0.0</v>
      </c>
      <c r="CW53" s="51">
        <v>0.0</v>
      </c>
      <c r="CX53" s="51">
        <v>0.0</v>
      </c>
      <c r="CY53" s="51">
        <v>0.0</v>
      </c>
      <c r="CZ53" s="51">
        <v>0.0</v>
      </c>
      <c r="DA53" s="51">
        <v>0.0</v>
      </c>
      <c r="DB53" s="51">
        <v>0.0</v>
      </c>
      <c r="DC53" s="51">
        <v>0.0</v>
      </c>
      <c r="DD53" s="51">
        <v>0.0</v>
      </c>
      <c r="DE53" s="51">
        <v>0.0</v>
      </c>
      <c r="DF53" s="51">
        <v>0.0</v>
      </c>
      <c r="DG53" s="51">
        <v>0.0</v>
      </c>
      <c r="DH53" s="51">
        <v>0.0</v>
      </c>
      <c r="DI53" s="51">
        <v>0.0</v>
      </c>
      <c r="DJ53" s="51">
        <v>0.0</v>
      </c>
      <c r="DK53" s="51">
        <v>0.0</v>
      </c>
      <c r="DL53" s="51">
        <v>0.0</v>
      </c>
      <c r="DM53" s="51">
        <v>0.0</v>
      </c>
      <c r="DN53" s="51">
        <v>0.0</v>
      </c>
      <c r="DO53" s="51">
        <v>0.0</v>
      </c>
      <c r="DP53" s="51">
        <v>0.0</v>
      </c>
      <c r="DQ53" s="51">
        <v>0.0</v>
      </c>
      <c r="DR53" s="51">
        <v>0.0</v>
      </c>
      <c r="DT53" s="50">
        <f t="shared" ref="DT53:DW53" si="86">+F53-E53</f>
        <v>-17.292</v>
      </c>
      <c r="DU53" s="50">
        <f t="shared" si="86"/>
        <v>-57.077</v>
      </c>
      <c r="DV53" s="50">
        <f t="shared" si="86"/>
        <v>-31.245</v>
      </c>
      <c r="DW53" s="50">
        <f t="shared" si="86"/>
        <v>0</v>
      </c>
    </row>
    <row r="54" ht="15.75" hidden="1" customHeight="1" outlineLevel="1">
      <c r="B54" s="5" t="s">
        <v>114</v>
      </c>
      <c r="C54" s="72" t="s">
        <v>70</v>
      </c>
      <c r="E54" s="50">
        <f t="shared" ref="E54:M54" si="87">+SUMIFS($O54:$DR54,$O$7:$DR$7,E$7)</f>
        <v>15.755</v>
      </c>
      <c r="F54" s="50">
        <f t="shared" si="87"/>
        <v>38.052</v>
      </c>
      <c r="G54" s="50">
        <f t="shared" si="87"/>
        <v>38.062</v>
      </c>
      <c r="H54" s="50">
        <f t="shared" si="87"/>
        <v>31.718</v>
      </c>
      <c r="I54" s="50">
        <f t="shared" si="87"/>
        <v>0</v>
      </c>
      <c r="J54" s="50">
        <f t="shared" si="87"/>
        <v>0</v>
      </c>
      <c r="K54" s="50">
        <f t="shared" si="87"/>
        <v>0</v>
      </c>
      <c r="L54" s="50">
        <f t="shared" si="87"/>
        <v>0</v>
      </c>
      <c r="M54" s="50">
        <f t="shared" si="87"/>
        <v>0</v>
      </c>
      <c r="O54" s="51">
        <v>0.0</v>
      </c>
      <c r="P54" s="51">
        <v>0.0</v>
      </c>
      <c r="Q54" s="51">
        <v>0.0</v>
      </c>
      <c r="R54" s="51">
        <v>0.0</v>
      </c>
      <c r="S54" s="51">
        <v>0.0</v>
      </c>
      <c r="T54" s="51">
        <v>0.0</v>
      </c>
      <c r="U54" s="51">
        <v>0.0</v>
      </c>
      <c r="V54" s="51">
        <v>3.071</v>
      </c>
      <c r="W54" s="51">
        <v>3.171</v>
      </c>
      <c r="X54" s="51">
        <v>3.171</v>
      </c>
      <c r="Y54" s="51">
        <v>3.171</v>
      </c>
      <c r="Z54" s="51">
        <v>3.171</v>
      </c>
      <c r="AA54" s="51">
        <v>3.171</v>
      </c>
      <c r="AB54" s="51">
        <v>3.171</v>
      </c>
      <c r="AC54" s="51">
        <v>3.171</v>
      </c>
      <c r="AD54" s="51">
        <v>3.171</v>
      </c>
      <c r="AE54" s="51">
        <v>3.171</v>
      </c>
      <c r="AF54" s="51">
        <v>3.171</v>
      </c>
      <c r="AG54" s="51">
        <v>3.171</v>
      </c>
      <c r="AH54" s="51">
        <v>3.171</v>
      </c>
      <c r="AI54" s="51">
        <v>3.171</v>
      </c>
      <c r="AJ54" s="51">
        <v>3.171</v>
      </c>
      <c r="AK54" s="51">
        <v>3.171</v>
      </c>
      <c r="AL54" s="51">
        <v>3.171</v>
      </c>
      <c r="AM54" s="51">
        <v>3.172</v>
      </c>
      <c r="AN54" s="51">
        <v>3.172</v>
      </c>
      <c r="AO54" s="51">
        <v>3.172</v>
      </c>
      <c r="AP54" s="51">
        <v>3.172</v>
      </c>
      <c r="AQ54" s="51">
        <v>3.172</v>
      </c>
      <c r="AR54" s="51">
        <v>3.172</v>
      </c>
      <c r="AS54" s="51">
        <v>3.172</v>
      </c>
      <c r="AT54" s="51">
        <v>3.172</v>
      </c>
      <c r="AU54" s="51">
        <v>3.172</v>
      </c>
      <c r="AV54" s="51">
        <v>3.172</v>
      </c>
      <c r="AW54" s="51">
        <v>3.171</v>
      </c>
      <c r="AX54" s="51">
        <v>3.171</v>
      </c>
      <c r="AY54" s="51">
        <v>3.172</v>
      </c>
      <c r="AZ54" s="51">
        <v>3.172</v>
      </c>
      <c r="BA54" s="51">
        <v>3.172</v>
      </c>
      <c r="BB54" s="51">
        <v>3.172</v>
      </c>
      <c r="BC54" s="51">
        <v>3.172</v>
      </c>
      <c r="BD54" s="51">
        <v>3.172</v>
      </c>
      <c r="BE54" s="51">
        <v>3.172</v>
      </c>
      <c r="BF54" s="51">
        <v>3.172</v>
      </c>
      <c r="BG54" s="51">
        <v>3.171</v>
      </c>
      <c r="BH54" s="51">
        <v>3.171</v>
      </c>
      <c r="BI54" s="51">
        <v>0.0</v>
      </c>
      <c r="BJ54" s="51">
        <v>0.0</v>
      </c>
      <c r="BK54" s="51">
        <v>0.0</v>
      </c>
      <c r="BL54" s="51">
        <v>0.0</v>
      </c>
      <c r="BM54" s="51">
        <v>0.0</v>
      </c>
      <c r="BN54" s="51">
        <v>0.0</v>
      </c>
      <c r="BO54" s="51">
        <v>0.0</v>
      </c>
      <c r="BP54" s="51">
        <v>0.0</v>
      </c>
      <c r="BQ54" s="51">
        <v>0.0</v>
      </c>
      <c r="BR54" s="51">
        <v>0.0</v>
      </c>
      <c r="BS54" s="51">
        <v>0.0</v>
      </c>
      <c r="BT54" s="51">
        <v>0.0</v>
      </c>
      <c r="BU54" s="51">
        <v>0.0</v>
      </c>
      <c r="BV54" s="51">
        <v>0.0</v>
      </c>
      <c r="BW54" s="51">
        <v>0.0</v>
      </c>
      <c r="BX54" s="51">
        <v>0.0</v>
      </c>
      <c r="BY54" s="51">
        <v>0.0</v>
      </c>
      <c r="BZ54" s="51">
        <v>0.0</v>
      </c>
      <c r="CA54" s="51">
        <v>0.0</v>
      </c>
      <c r="CB54" s="51">
        <v>0.0</v>
      </c>
      <c r="CC54" s="51">
        <v>0.0</v>
      </c>
      <c r="CD54" s="51">
        <v>0.0</v>
      </c>
      <c r="CE54" s="51">
        <v>0.0</v>
      </c>
      <c r="CF54" s="51">
        <v>0.0</v>
      </c>
      <c r="CG54" s="51">
        <v>0.0</v>
      </c>
      <c r="CH54" s="51">
        <v>0.0</v>
      </c>
      <c r="CI54" s="51">
        <v>0.0</v>
      </c>
      <c r="CJ54" s="51">
        <v>0.0</v>
      </c>
      <c r="CK54" s="51">
        <v>0.0</v>
      </c>
      <c r="CL54" s="51">
        <v>0.0</v>
      </c>
      <c r="CM54" s="51">
        <v>0.0</v>
      </c>
      <c r="CN54" s="51">
        <v>0.0</v>
      </c>
      <c r="CO54" s="51">
        <v>0.0</v>
      </c>
      <c r="CP54" s="51">
        <v>0.0</v>
      </c>
      <c r="CQ54" s="51">
        <v>0.0</v>
      </c>
      <c r="CR54" s="51">
        <v>0.0</v>
      </c>
      <c r="CS54" s="51">
        <v>0.0</v>
      </c>
      <c r="CT54" s="51">
        <v>0.0</v>
      </c>
      <c r="CU54" s="51">
        <v>0.0</v>
      </c>
      <c r="CV54" s="51">
        <v>0.0</v>
      </c>
      <c r="CW54" s="51">
        <v>0.0</v>
      </c>
      <c r="CX54" s="51">
        <v>0.0</v>
      </c>
      <c r="CY54" s="51">
        <v>0.0</v>
      </c>
      <c r="CZ54" s="51">
        <v>0.0</v>
      </c>
      <c r="DA54" s="51">
        <v>0.0</v>
      </c>
      <c r="DB54" s="51">
        <v>0.0</v>
      </c>
      <c r="DC54" s="51">
        <v>0.0</v>
      </c>
      <c r="DD54" s="51">
        <v>0.0</v>
      </c>
      <c r="DE54" s="51">
        <v>0.0</v>
      </c>
      <c r="DF54" s="51">
        <v>0.0</v>
      </c>
      <c r="DG54" s="51">
        <v>0.0</v>
      </c>
      <c r="DH54" s="51">
        <v>0.0</v>
      </c>
      <c r="DI54" s="51">
        <v>0.0</v>
      </c>
      <c r="DJ54" s="51">
        <v>0.0</v>
      </c>
      <c r="DK54" s="51">
        <v>0.0</v>
      </c>
      <c r="DL54" s="51">
        <v>0.0</v>
      </c>
      <c r="DM54" s="51">
        <v>0.0</v>
      </c>
      <c r="DN54" s="51">
        <v>0.0</v>
      </c>
      <c r="DO54" s="51">
        <v>0.0</v>
      </c>
      <c r="DP54" s="51">
        <v>0.0</v>
      </c>
      <c r="DQ54" s="51">
        <v>0.0</v>
      </c>
      <c r="DR54" s="51">
        <v>0.0</v>
      </c>
      <c r="DT54" s="50">
        <f t="shared" ref="DT54:DW54" si="88">+F54-E54</f>
        <v>22.297</v>
      </c>
      <c r="DU54" s="50">
        <f t="shared" si="88"/>
        <v>0.01</v>
      </c>
      <c r="DV54" s="50">
        <f t="shared" si="88"/>
        <v>-6.344</v>
      </c>
      <c r="DW54" s="50">
        <f t="shared" si="88"/>
        <v>-31.718</v>
      </c>
    </row>
    <row r="55" ht="15.75" hidden="1" customHeight="1" outlineLevel="1">
      <c r="B55" s="5" t="s">
        <v>115</v>
      </c>
      <c r="C55" s="72" t="s">
        <v>74</v>
      </c>
      <c r="E55" s="50">
        <f t="shared" ref="E55:M55" si="89">+SUMIFS($O55:$DR55,$O$7:$DR$7,E$7)</f>
        <v>266.904</v>
      </c>
      <c r="F55" s="50">
        <f t="shared" si="89"/>
        <v>209.412</v>
      </c>
      <c r="G55" s="50">
        <f t="shared" si="89"/>
        <v>0</v>
      </c>
      <c r="H55" s="50">
        <f t="shared" si="89"/>
        <v>0</v>
      </c>
      <c r="I55" s="50">
        <f t="shared" si="89"/>
        <v>0</v>
      </c>
      <c r="J55" s="50">
        <f t="shared" si="89"/>
        <v>0</v>
      </c>
      <c r="K55" s="50">
        <f t="shared" si="89"/>
        <v>0</v>
      </c>
      <c r="L55" s="50">
        <f t="shared" si="89"/>
        <v>0</v>
      </c>
      <c r="M55" s="50">
        <f t="shared" si="89"/>
        <v>0</v>
      </c>
      <c r="O55" s="51">
        <v>21.9</v>
      </c>
      <c r="P55" s="51">
        <v>21.9</v>
      </c>
      <c r="Q55" s="51">
        <v>21.9</v>
      </c>
      <c r="R55" s="51">
        <v>21.9</v>
      </c>
      <c r="S55" s="51">
        <v>21.9</v>
      </c>
      <c r="T55" s="51">
        <v>21.9</v>
      </c>
      <c r="U55" s="51">
        <v>21.9</v>
      </c>
      <c r="V55" s="51">
        <v>21.9</v>
      </c>
      <c r="W55" s="51">
        <v>21.9</v>
      </c>
      <c r="X55" s="51">
        <v>23.268</v>
      </c>
      <c r="Y55" s="51">
        <v>23.268</v>
      </c>
      <c r="Z55" s="51">
        <v>23.268</v>
      </c>
      <c r="AA55" s="51">
        <v>23.268</v>
      </c>
      <c r="AB55" s="51">
        <v>23.268</v>
      </c>
      <c r="AC55" s="51">
        <v>23.268</v>
      </c>
      <c r="AD55" s="51">
        <v>23.268</v>
      </c>
      <c r="AE55" s="51">
        <v>23.268</v>
      </c>
      <c r="AF55" s="51">
        <v>23.268</v>
      </c>
      <c r="AG55" s="51">
        <v>23.268</v>
      </c>
      <c r="AH55" s="51">
        <v>23.268</v>
      </c>
      <c r="AI55" s="51">
        <v>23.268</v>
      </c>
      <c r="AJ55" s="51">
        <v>0.0</v>
      </c>
      <c r="AK55" s="51">
        <v>0.0</v>
      </c>
      <c r="AL55" s="51">
        <v>0.0</v>
      </c>
      <c r="AM55" s="51">
        <v>0.0</v>
      </c>
      <c r="AN55" s="51">
        <v>0.0</v>
      </c>
      <c r="AO55" s="51">
        <v>0.0</v>
      </c>
      <c r="AP55" s="51">
        <v>0.0</v>
      </c>
      <c r="AQ55" s="51">
        <v>0.0</v>
      </c>
      <c r="AR55" s="51">
        <v>0.0</v>
      </c>
      <c r="AS55" s="51">
        <v>0.0</v>
      </c>
      <c r="AT55" s="51">
        <v>0.0</v>
      </c>
      <c r="AU55" s="51">
        <v>0.0</v>
      </c>
      <c r="AV55" s="51">
        <v>0.0</v>
      </c>
      <c r="AW55" s="51">
        <v>0.0</v>
      </c>
      <c r="AX55" s="51">
        <v>0.0</v>
      </c>
      <c r="AY55" s="51">
        <v>0.0</v>
      </c>
      <c r="AZ55" s="51">
        <v>0.0</v>
      </c>
      <c r="BA55" s="51">
        <v>0.0</v>
      </c>
      <c r="BB55" s="51">
        <v>0.0</v>
      </c>
      <c r="BC55" s="51">
        <v>0.0</v>
      </c>
      <c r="BD55" s="51">
        <v>0.0</v>
      </c>
      <c r="BE55" s="51">
        <v>0.0</v>
      </c>
      <c r="BF55" s="51">
        <v>0.0</v>
      </c>
      <c r="BG55" s="51">
        <v>0.0</v>
      </c>
      <c r="BH55" s="51">
        <v>0.0</v>
      </c>
      <c r="BI55" s="51">
        <v>0.0</v>
      </c>
      <c r="BJ55" s="51">
        <v>0.0</v>
      </c>
      <c r="BK55" s="51">
        <v>0.0</v>
      </c>
      <c r="BL55" s="51">
        <v>0.0</v>
      </c>
      <c r="BM55" s="51">
        <v>0.0</v>
      </c>
      <c r="BN55" s="51">
        <v>0.0</v>
      </c>
      <c r="BO55" s="51">
        <v>0.0</v>
      </c>
      <c r="BP55" s="51">
        <v>0.0</v>
      </c>
      <c r="BQ55" s="51">
        <v>0.0</v>
      </c>
      <c r="BR55" s="51">
        <v>0.0</v>
      </c>
      <c r="BS55" s="51">
        <v>0.0</v>
      </c>
      <c r="BT55" s="51">
        <v>0.0</v>
      </c>
      <c r="BU55" s="51">
        <v>0.0</v>
      </c>
      <c r="BV55" s="51">
        <v>0.0</v>
      </c>
      <c r="BW55" s="51">
        <v>0.0</v>
      </c>
      <c r="BX55" s="51">
        <v>0.0</v>
      </c>
      <c r="BY55" s="51">
        <v>0.0</v>
      </c>
      <c r="BZ55" s="51">
        <v>0.0</v>
      </c>
      <c r="CA55" s="51">
        <v>0.0</v>
      </c>
      <c r="CB55" s="51">
        <v>0.0</v>
      </c>
      <c r="CC55" s="51">
        <v>0.0</v>
      </c>
      <c r="CD55" s="51">
        <v>0.0</v>
      </c>
      <c r="CE55" s="51">
        <v>0.0</v>
      </c>
      <c r="CF55" s="51">
        <v>0.0</v>
      </c>
      <c r="CG55" s="51">
        <v>0.0</v>
      </c>
      <c r="CH55" s="51">
        <v>0.0</v>
      </c>
      <c r="CI55" s="51">
        <v>0.0</v>
      </c>
      <c r="CJ55" s="51">
        <v>0.0</v>
      </c>
      <c r="CK55" s="51">
        <v>0.0</v>
      </c>
      <c r="CL55" s="51">
        <v>0.0</v>
      </c>
      <c r="CM55" s="51">
        <v>0.0</v>
      </c>
      <c r="CN55" s="51">
        <v>0.0</v>
      </c>
      <c r="CO55" s="51">
        <v>0.0</v>
      </c>
      <c r="CP55" s="51">
        <v>0.0</v>
      </c>
      <c r="CQ55" s="51">
        <v>0.0</v>
      </c>
      <c r="CR55" s="51">
        <v>0.0</v>
      </c>
      <c r="CS55" s="51">
        <v>0.0</v>
      </c>
      <c r="CT55" s="51">
        <v>0.0</v>
      </c>
      <c r="CU55" s="51">
        <v>0.0</v>
      </c>
      <c r="CV55" s="51">
        <v>0.0</v>
      </c>
      <c r="CW55" s="51">
        <v>0.0</v>
      </c>
      <c r="CX55" s="51">
        <v>0.0</v>
      </c>
      <c r="CY55" s="51">
        <v>0.0</v>
      </c>
      <c r="CZ55" s="51">
        <v>0.0</v>
      </c>
      <c r="DA55" s="51">
        <v>0.0</v>
      </c>
      <c r="DB55" s="51">
        <v>0.0</v>
      </c>
      <c r="DC55" s="51">
        <v>0.0</v>
      </c>
      <c r="DD55" s="51">
        <v>0.0</v>
      </c>
      <c r="DE55" s="51">
        <v>0.0</v>
      </c>
      <c r="DF55" s="51">
        <v>0.0</v>
      </c>
      <c r="DG55" s="51">
        <v>0.0</v>
      </c>
      <c r="DH55" s="51">
        <v>0.0</v>
      </c>
      <c r="DI55" s="51">
        <v>0.0</v>
      </c>
      <c r="DJ55" s="51">
        <v>0.0</v>
      </c>
      <c r="DK55" s="51">
        <v>0.0</v>
      </c>
      <c r="DL55" s="51">
        <v>0.0</v>
      </c>
      <c r="DM55" s="51">
        <v>0.0</v>
      </c>
      <c r="DN55" s="51">
        <v>0.0</v>
      </c>
      <c r="DO55" s="51">
        <v>0.0</v>
      </c>
      <c r="DP55" s="51">
        <v>0.0</v>
      </c>
      <c r="DQ55" s="51">
        <v>0.0</v>
      </c>
      <c r="DR55" s="51">
        <v>0.0</v>
      </c>
      <c r="DT55" s="50">
        <f t="shared" ref="DT55:DW55" si="90">+F55-E55</f>
        <v>-57.492</v>
      </c>
      <c r="DU55" s="50">
        <f t="shared" si="90"/>
        <v>-209.412</v>
      </c>
      <c r="DV55" s="50">
        <f t="shared" si="90"/>
        <v>0</v>
      </c>
      <c r="DW55" s="50">
        <f t="shared" si="90"/>
        <v>0</v>
      </c>
    </row>
    <row r="56" ht="15.75" hidden="1" customHeight="1" outlineLevel="1">
      <c r="B56" s="5" t="s">
        <v>116</v>
      </c>
      <c r="C56" s="72" t="s">
        <v>70</v>
      </c>
      <c r="E56" s="50">
        <f t="shared" ref="E56:M56" si="91">+SUMIFS($O56:$DR56,$O$7:$DR$7,E$7)</f>
        <v>0</v>
      </c>
      <c r="F56" s="50">
        <f t="shared" si="91"/>
        <v>0</v>
      </c>
      <c r="G56" s="50">
        <f t="shared" si="91"/>
        <v>0</v>
      </c>
      <c r="H56" s="50">
        <f t="shared" si="91"/>
        <v>0</v>
      </c>
      <c r="I56" s="50">
        <f t="shared" si="91"/>
        <v>0</v>
      </c>
      <c r="J56" s="50">
        <f t="shared" si="91"/>
        <v>0</v>
      </c>
      <c r="K56" s="50">
        <f t="shared" si="91"/>
        <v>0</v>
      </c>
      <c r="L56" s="50">
        <f t="shared" si="91"/>
        <v>0</v>
      </c>
      <c r="M56" s="50">
        <f t="shared" si="91"/>
        <v>0</v>
      </c>
      <c r="O56" s="51">
        <v>0.0</v>
      </c>
      <c r="P56" s="51">
        <v>0.0</v>
      </c>
      <c r="Q56" s="51">
        <v>0.0</v>
      </c>
      <c r="R56" s="51">
        <v>0.0</v>
      </c>
      <c r="S56" s="51">
        <v>0.0</v>
      </c>
      <c r="T56" s="51">
        <v>0.0</v>
      </c>
      <c r="U56" s="51">
        <v>0.0</v>
      </c>
      <c r="V56" s="51">
        <v>0.0</v>
      </c>
      <c r="W56" s="51">
        <v>0.0</v>
      </c>
      <c r="X56" s="51">
        <v>0.0</v>
      </c>
      <c r="Y56" s="51">
        <v>0.0</v>
      </c>
      <c r="Z56" s="51">
        <v>0.0</v>
      </c>
      <c r="AA56" s="51">
        <v>0.0</v>
      </c>
      <c r="AB56" s="51">
        <v>0.0</v>
      </c>
      <c r="AC56" s="51">
        <v>0.0</v>
      </c>
      <c r="AD56" s="51">
        <v>0.0</v>
      </c>
      <c r="AE56" s="51">
        <v>0.0</v>
      </c>
      <c r="AF56" s="51">
        <v>0.0</v>
      </c>
      <c r="AG56" s="51">
        <v>0.0</v>
      </c>
      <c r="AH56" s="51">
        <v>0.0</v>
      </c>
      <c r="AI56" s="51">
        <v>0.0</v>
      </c>
      <c r="AJ56" s="51">
        <v>0.0</v>
      </c>
      <c r="AK56" s="51">
        <v>0.0</v>
      </c>
      <c r="AL56" s="51">
        <v>0.0</v>
      </c>
      <c r="AM56" s="51">
        <v>0.0</v>
      </c>
      <c r="AN56" s="51">
        <v>0.0</v>
      </c>
      <c r="AO56" s="51">
        <v>0.0</v>
      </c>
      <c r="AP56" s="51">
        <v>0.0</v>
      </c>
      <c r="AQ56" s="51">
        <v>0.0</v>
      </c>
      <c r="AR56" s="51">
        <v>0.0</v>
      </c>
      <c r="AS56" s="51">
        <v>0.0</v>
      </c>
      <c r="AT56" s="51">
        <v>0.0</v>
      </c>
      <c r="AU56" s="51">
        <v>0.0</v>
      </c>
      <c r="AV56" s="51">
        <v>0.0</v>
      </c>
      <c r="AW56" s="51">
        <v>0.0</v>
      </c>
      <c r="AX56" s="51">
        <v>0.0</v>
      </c>
      <c r="AY56" s="51">
        <v>0.0</v>
      </c>
      <c r="AZ56" s="51">
        <v>0.0</v>
      </c>
      <c r="BA56" s="51">
        <v>0.0</v>
      </c>
      <c r="BB56" s="51">
        <v>0.0</v>
      </c>
      <c r="BC56" s="51">
        <v>0.0</v>
      </c>
      <c r="BD56" s="51">
        <v>0.0</v>
      </c>
      <c r="BE56" s="51">
        <v>0.0</v>
      </c>
      <c r="BF56" s="51">
        <v>0.0</v>
      </c>
      <c r="BG56" s="51">
        <v>0.0</v>
      </c>
      <c r="BH56" s="51">
        <v>0.0</v>
      </c>
      <c r="BI56" s="51">
        <v>0.0</v>
      </c>
      <c r="BJ56" s="51">
        <v>0.0</v>
      </c>
      <c r="BK56" s="51">
        <v>0.0</v>
      </c>
      <c r="BL56" s="51">
        <v>0.0</v>
      </c>
      <c r="BM56" s="51">
        <v>0.0</v>
      </c>
      <c r="BN56" s="51">
        <v>0.0</v>
      </c>
      <c r="BO56" s="51">
        <v>0.0</v>
      </c>
      <c r="BP56" s="51">
        <v>0.0</v>
      </c>
      <c r="BQ56" s="51">
        <v>0.0</v>
      </c>
      <c r="BR56" s="51">
        <v>0.0</v>
      </c>
      <c r="BS56" s="51">
        <v>0.0</v>
      </c>
      <c r="BT56" s="51">
        <v>0.0</v>
      </c>
      <c r="BU56" s="51">
        <v>0.0</v>
      </c>
      <c r="BV56" s="51">
        <v>0.0</v>
      </c>
      <c r="BW56" s="51">
        <v>0.0</v>
      </c>
      <c r="BX56" s="51">
        <v>0.0</v>
      </c>
      <c r="BY56" s="51">
        <v>0.0</v>
      </c>
      <c r="BZ56" s="51">
        <v>0.0</v>
      </c>
      <c r="CA56" s="51">
        <v>0.0</v>
      </c>
      <c r="CB56" s="51">
        <v>0.0</v>
      </c>
      <c r="CC56" s="51">
        <v>0.0</v>
      </c>
      <c r="CD56" s="51">
        <v>0.0</v>
      </c>
      <c r="CE56" s="51">
        <v>0.0</v>
      </c>
      <c r="CF56" s="51">
        <v>0.0</v>
      </c>
      <c r="CG56" s="51">
        <v>0.0</v>
      </c>
      <c r="CH56" s="51">
        <v>0.0</v>
      </c>
      <c r="CI56" s="51">
        <v>0.0</v>
      </c>
      <c r="CJ56" s="51">
        <v>0.0</v>
      </c>
      <c r="CK56" s="51">
        <v>0.0</v>
      </c>
      <c r="CL56" s="51">
        <v>0.0</v>
      </c>
      <c r="CM56" s="51">
        <v>0.0</v>
      </c>
      <c r="CN56" s="51">
        <v>0.0</v>
      </c>
      <c r="CO56" s="51">
        <v>0.0</v>
      </c>
      <c r="CP56" s="51">
        <v>0.0</v>
      </c>
      <c r="CQ56" s="51">
        <v>0.0</v>
      </c>
      <c r="CR56" s="51">
        <v>0.0</v>
      </c>
      <c r="CS56" s="51">
        <v>0.0</v>
      </c>
      <c r="CT56" s="51">
        <v>0.0</v>
      </c>
      <c r="CU56" s="51">
        <v>0.0</v>
      </c>
      <c r="CV56" s="51">
        <v>0.0</v>
      </c>
      <c r="CW56" s="51">
        <v>0.0</v>
      </c>
      <c r="CX56" s="51">
        <v>0.0</v>
      </c>
      <c r="CY56" s="51">
        <v>0.0</v>
      </c>
      <c r="CZ56" s="51">
        <v>0.0</v>
      </c>
      <c r="DA56" s="51">
        <v>0.0</v>
      </c>
      <c r="DB56" s="51">
        <v>0.0</v>
      </c>
      <c r="DC56" s="51">
        <v>0.0</v>
      </c>
      <c r="DD56" s="51">
        <v>0.0</v>
      </c>
      <c r="DE56" s="51">
        <v>0.0</v>
      </c>
      <c r="DF56" s="51">
        <v>0.0</v>
      </c>
      <c r="DG56" s="51">
        <v>0.0</v>
      </c>
      <c r="DH56" s="51">
        <v>0.0</v>
      </c>
      <c r="DI56" s="51">
        <v>0.0</v>
      </c>
      <c r="DJ56" s="51">
        <v>0.0</v>
      </c>
      <c r="DK56" s="51">
        <v>0.0</v>
      </c>
      <c r="DL56" s="51">
        <v>0.0</v>
      </c>
      <c r="DM56" s="51">
        <v>0.0</v>
      </c>
      <c r="DN56" s="51">
        <v>0.0</v>
      </c>
      <c r="DO56" s="51">
        <v>0.0</v>
      </c>
      <c r="DP56" s="51">
        <v>0.0</v>
      </c>
      <c r="DQ56" s="51">
        <v>0.0</v>
      </c>
      <c r="DR56" s="51">
        <v>0.0</v>
      </c>
      <c r="DT56" s="50">
        <f t="shared" ref="DT56:DW56" si="92">+F56-E56</f>
        <v>0</v>
      </c>
      <c r="DU56" s="50">
        <f t="shared" si="92"/>
        <v>0</v>
      </c>
      <c r="DV56" s="50">
        <f t="shared" si="92"/>
        <v>0</v>
      </c>
      <c r="DW56" s="50">
        <f t="shared" si="92"/>
        <v>0</v>
      </c>
    </row>
    <row r="57" ht="15.75" hidden="1" customHeight="1" outlineLevel="1">
      <c r="B57" s="5" t="s">
        <v>117</v>
      </c>
      <c r="C57" s="72" t="s">
        <v>70</v>
      </c>
      <c r="E57" s="50">
        <f t="shared" ref="E57:M57" si="93">+SUMIFS($O57:$DR57,$O$7:$DR$7,E$7)</f>
        <v>0</v>
      </c>
      <c r="F57" s="50">
        <f t="shared" si="93"/>
        <v>0</v>
      </c>
      <c r="G57" s="50">
        <f t="shared" si="93"/>
        <v>0</v>
      </c>
      <c r="H57" s="50">
        <f t="shared" si="93"/>
        <v>0</v>
      </c>
      <c r="I57" s="50">
        <f t="shared" si="93"/>
        <v>0</v>
      </c>
      <c r="J57" s="50">
        <f t="shared" si="93"/>
        <v>0</v>
      </c>
      <c r="K57" s="50">
        <f t="shared" si="93"/>
        <v>0</v>
      </c>
      <c r="L57" s="50">
        <f t="shared" si="93"/>
        <v>0</v>
      </c>
      <c r="M57" s="50">
        <f t="shared" si="93"/>
        <v>0</v>
      </c>
      <c r="O57" s="51">
        <v>0.0</v>
      </c>
      <c r="P57" s="51">
        <v>0.0</v>
      </c>
      <c r="Q57" s="51">
        <v>0.0</v>
      </c>
      <c r="R57" s="51">
        <v>0.0</v>
      </c>
      <c r="S57" s="51">
        <v>0.0</v>
      </c>
      <c r="T57" s="51">
        <v>0.0</v>
      </c>
      <c r="U57" s="51">
        <v>0.0</v>
      </c>
      <c r="V57" s="51">
        <v>0.0</v>
      </c>
      <c r="W57" s="51">
        <v>0.0</v>
      </c>
      <c r="X57" s="51">
        <v>0.0</v>
      </c>
      <c r="Y57" s="51">
        <v>0.0</v>
      </c>
      <c r="Z57" s="51">
        <v>0.0</v>
      </c>
      <c r="AA57" s="51">
        <v>0.0</v>
      </c>
      <c r="AB57" s="51">
        <v>0.0</v>
      </c>
      <c r="AC57" s="51">
        <v>0.0</v>
      </c>
      <c r="AD57" s="51">
        <v>0.0</v>
      </c>
      <c r="AE57" s="51">
        <v>0.0</v>
      </c>
      <c r="AF57" s="51">
        <v>0.0</v>
      </c>
      <c r="AG57" s="51">
        <v>0.0</v>
      </c>
      <c r="AH57" s="51">
        <v>0.0</v>
      </c>
      <c r="AI57" s="51">
        <v>0.0</v>
      </c>
      <c r="AJ57" s="51">
        <v>0.0</v>
      </c>
      <c r="AK57" s="51">
        <v>0.0</v>
      </c>
      <c r="AL57" s="51">
        <v>0.0</v>
      </c>
      <c r="AM57" s="51">
        <v>0.0</v>
      </c>
      <c r="AN57" s="51">
        <v>0.0</v>
      </c>
      <c r="AO57" s="51">
        <v>0.0</v>
      </c>
      <c r="AP57" s="51">
        <v>0.0</v>
      </c>
      <c r="AQ57" s="51">
        <v>0.0</v>
      </c>
      <c r="AR57" s="51">
        <v>0.0</v>
      </c>
      <c r="AS57" s="51">
        <v>0.0</v>
      </c>
      <c r="AT57" s="51">
        <v>0.0</v>
      </c>
      <c r="AU57" s="51">
        <v>0.0</v>
      </c>
      <c r="AV57" s="51">
        <v>0.0</v>
      </c>
      <c r="AW57" s="51">
        <v>0.0</v>
      </c>
      <c r="AX57" s="51">
        <v>0.0</v>
      </c>
      <c r="AY57" s="51">
        <v>0.0</v>
      </c>
      <c r="AZ57" s="51">
        <v>0.0</v>
      </c>
      <c r="BA57" s="51">
        <v>0.0</v>
      </c>
      <c r="BB57" s="51">
        <v>0.0</v>
      </c>
      <c r="BC57" s="51">
        <v>0.0</v>
      </c>
      <c r="BD57" s="51">
        <v>0.0</v>
      </c>
      <c r="BE57" s="51">
        <v>0.0</v>
      </c>
      <c r="BF57" s="51">
        <v>0.0</v>
      </c>
      <c r="BG57" s="51">
        <v>0.0</v>
      </c>
      <c r="BH57" s="51">
        <v>0.0</v>
      </c>
      <c r="BI57" s="51">
        <v>0.0</v>
      </c>
      <c r="BJ57" s="51">
        <v>0.0</v>
      </c>
      <c r="BK57" s="51">
        <v>0.0</v>
      </c>
      <c r="BL57" s="51">
        <v>0.0</v>
      </c>
      <c r="BM57" s="51">
        <v>0.0</v>
      </c>
      <c r="BN57" s="51">
        <v>0.0</v>
      </c>
      <c r="BO57" s="51">
        <v>0.0</v>
      </c>
      <c r="BP57" s="51">
        <v>0.0</v>
      </c>
      <c r="BQ57" s="51">
        <v>0.0</v>
      </c>
      <c r="BR57" s="51">
        <v>0.0</v>
      </c>
      <c r="BS57" s="51">
        <v>0.0</v>
      </c>
      <c r="BT57" s="51">
        <v>0.0</v>
      </c>
      <c r="BU57" s="51">
        <v>0.0</v>
      </c>
      <c r="BV57" s="51">
        <v>0.0</v>
      </c>
      <c r="BW57" s="51">
        <v>0.0</v>
      </c>
      <c r="BX57" s="51">
        <v>0.0</v>
      </c>
      <c r="BY57" s="51">
        <v>0.0</v>
      </c>
      <c r="BZ57" s="51">
        <v>0.0</v>
      </c>
      <c r="CA57" s="51">
        <v>0.0</v>
      </c>
      <c r="CB57" s="51">
        <v>0.0</v>
      </c>
      <c r="CC57" s="51">
        <v>0.0</v>
      </c>
      <c r="CD57" s="51">
        <v>0.0</v>
      </c>
      <c r="CE57" s="51">
        <v>0.0</v>
      </c>
      <c r="CF57" s="51">
        <v>0.0</v>
      </c>
      <c r="CG57" s="51">
        <v>0.0</v>
      </c>
      <c r="CH57" s="51">
        <v>0.0</v>
      </c>
      <c r="CI57" s="51">
        <v>0.0</v>
      </c>
      <c r="CJ57" s="51">
        <v>0.0</v>
      </c>
      <c r="CK57" s="51">
        <v>0.0</v>
      </c>
      <c r="CL57" s="51">
        <v>0.0</v>
      </c>
      <c r="CM57" s="51">
        <v>0.0</v>
      </c>
      <c r="CN57" s="51">
        <v>0.0</v>
      </c>
      <c r="CO57" s="51">
        <v>0.0</v>
      </c>
      <c r="CP57" s="51">
        <v>0.0</v>
      </c>
      <c r="CQ57" s="51">
        <v>0.0</v>
      </c>
      <c r="CR57" s="51">
        <v>0.0</v>
      </c>
      <c r="CS57" s="51">
        <v>0.0</v>
      </c>
      <c r="CT57" s="51">
        <v>0.0</v>
      </c>
      <c r="CU57" s="51">
        <v>0.0</v>
      </c>
      <c r="CV57" s="51">
        <v>0.0</v>
      </c>
      <c r="CW57" s="51">
        <v>0.0</v>
      </c>
      <c r="CX57" s="51">
        <v>0.0</v>
      </c>
      <c r="CY57" s="51">
        <v>0.0</v>
      </c>
      <c r="CZ57" s="51">
        <v>0.0</v>
      </c>
      <c r="DA57" s="51">
        <v>0.0</v>
      </c>
      <c r="DB57" s="51">
        <v>0.0</v>
      </c>
      <c r="DC57" s="51">
        <v>0.0</v>
      </c>
      <c r="DD57" s="51">
        <v>0.0</v>
      </c>
      <c r="DE57" s="51">
        <v>0.0</v>
      </c>
      <c r="DF57" s="51">
        <v>0.0</v>
      </c>
      <c r="DG57" s="51">
        <v>0.0</v>
      </c>
      <c r="DH57" s="51">
        <v>0.0</v>
      </c>
      <c r="DI57" s="51">
        <v>0.0</v>
      </c>
      <c r="DJ57" s="51">
        <v>0.0</v>
      </c>
      <c r="DK57" s="51">
        <v>0.0</v>
      </c>
      <c r="DL57" s="51">
        <v>0.0</v>
      </c>
      <c r="DM57" s="51">
        <v>0.0</v>
      </c>
      <c r="DN57" s="51">
        <v>0.0</v>
      </c>
      <c r="DO57" s="51">
        <v>0.0</v>
      </c>
      <c r="DP57" s="51">
        <v>0.0</v>
      </c>
      <c r="DQ57" s="51">
        <v>0.0</v>
      </c>
      <c r="DR57" s="51">
        <v>0.0</v>
      </c>
      <c r="DT57" s="50">
        <f t="shared" ref="DT57:DW57" si="94">+F57-E57</f>
        <v>0</v>
      </c>
      <c r="DU57" s="50">
        <f t="shared" si="94"/>
        <v>0</v>
      </c>
      <c r="DV57" s="50">
        <f t="shared" si="94"/>
        <v>0</v>
      </c>
      <c r="DW57" s="50">
        <f t="shared" si="94"/>
        <v>0</v>
      </c>
    </row>
    <row r="58" ht="15.75" hidden="1" customHeight="1" outlineLevel="1">
      <c r="B58" s="5" t="s">
        <v>118</v>
      </c>
      <c r="C58" s="72" t="s">
        <v>70</v>
      </c>
      <c r="E58" s="50">
        <f t="shared" ref="E58:M58" si="95">+SUMIFS($O58:$DR58,$O$7:$DR$7,E$7)</f>
        <v>0</v>
      </c>
      <c r="F58" s="50">
        <f t="shared" si="95"/>
        <v>0</v>
      </c>
      <c r="G58" s="50">
        <f t="shared" si="95"/>
        <v>0</v>
      </c>
      <c r="H58" s="50">
        <f t="shared" si="95"/>
        <v>0</v>
      </c>
      <c r="I58" s="50">
        <f t="shared" si="95"/>
        <v>0</v>
      </c>
      <c r="J58" s="50">
        <f t="shared" si="95"/>
        <v>0</v>
      </c>
      <c r="K58" s="50">
        <f t="shared" si="95"/>
        <v>0</v>
      </c>
      <c r="L58" s="50">
        <f t="shared" si="95"/>
        <v>0</v>
      </c>
      <c r="M58" s="50">
        <f t="shared" si="95"/>
        <v>0</v>
      </c>
      <c r="O58" s="51">
        <v>0.0</v>
      </c>
      <c r="P58" s="51">
        <v>0.0</v>
      </c>
      <c r="Q58" s="51">
        <v>0.0</v>
      </c>
      <c r="R58" s="51">
        <v>0.0</v>
      </c>
      <c r="S58" s="51">
        <v>0.0</v>
      </c>
      <c r="T58" s="51">
        <v>0.0</v>
      </c>
      <c r="U58" s="51">
        <v>0.0</v>
      </c>
      <c r="V58" s="51">
        <v>0.0</v>
      </c>
      <c r="W58" s="51">
        <v>0.0</v>
      </c>
      <c r="X58" s="51">
        <v>0.0</v>
      </c>
      <c r="Y58" s="51">
        <v>0.0</v>
      </c>
      <c r="Z58" s="51">
        <v>0.0</v>
      </c>
      <c r="AA58" s="51">
        <v>0.0</v>
      </c>
      <c r="AB58" s="51">
        <v>0.0</v>
      </c>
      <c r="AC58" s="51">
        <v>0.0</v>
      </c>
      <c r="AD58" s="51">
        <v>0.0</v>
      </c>
      <c r="AE58" s="51">
        <v>0.0</v>
      </c>
      <c r="AF58" s="51">
        <v>0.0</v>
      </c>
      <c r="AG58" s="51">
        <v>0.0</v>
      </c>
      <c r="AH58" s="51">
        <v>0.0</v>
      </c>
      <c r="AI58" s="51">
        <v>0.0</v>
      </c>
      <c r="AJ58" s="51">
        <v>0.0</v>
      </c>
      <c r="AK58" s="51">
        <v>0.0</v>
      </c>
      <c r="AL58" s="51">
        <v>0.0</v>
      </c>
      <c r="AM58" s="51">
        <v>0.0</v>
      </c>
      <c r="AN58" s="51">
        <v>0.0</v>
      </c>
      <c r="AO58" s="51">
        <v>0.0</v>
      </c>
      <c r="AP58" s="51">
        <v>0.0</v>
      </c>
      <c r="AQ58" s="51">
        <v>0.0</v>
      </c>
      <c r="AR58" s="51">
        <v>0.0</v>
      </c>
      <c r="AS58" s="51">
        <v>0.0</v>
      </c>
      <c r="AT58" s="51">
        <v>0.0</v>
      </c>
      <c r="AU58" s="51">
        <v>0.0</v>
      </c>
      <c r="AV58" s="51">
        <v>0.0</v>
      </c>
      <c r="AW58" s="51">
        <v>0.0</v>
      </c>
      <c r="AX58" s="51">
        <v>0.0</v>
      </c>
      <c r="AY58" s="51">
        <v>0.0</v>
      </c>
      <c r="AZ58" s="51">
        <v>0.0</v>
      </c>
      <c r="BA58" s="51">
        <v>0.0</v>
      </c>
      <c r="BB58" s="51">
        <v>0.0</v>
      </c>
      <c r="BC58" s="51">
        <v>0.0</v>
      </c>
      <c r="BD58" s="51">
        <v>0.0</v>
      </c>
      <c r="BE58" s="51">
        <v>0.0</v>
      </c>
      <c r="BF58" s="51">
        <v>0.0</v>
      </c>
      <c r="BG58" s="51">
        <v>0.0</v>
      </c>
      <c r="BH58" s="51">
        <v>0.0</v>
      </c>
      <c r="BI58" s="51">
        <v>0.0</v>
      </c>
      <c r="BJ58" s="51">
        <v>0.0</v>
      </c>
      <c r="BK58" s="51">
        <v>0.0</v>
      </c>
      <c r="BL58" s="51">
        <v>0.0</v>
      </c>
      <c r="BM58" s="51">
        <v>0.0</v>
      </c>
      <c r="BN58" s="51">
        <v>0.0</v>
      </c>
      <c r="BO58" s="51">
        <v>0.0</v>
      </c>
      <c r="BP58" s="51">
        <v>0.0</v>
      </c>
      <c r="BQ58" s="51">
        <v>0.0</v>
      </c>
      <c r="BR58" s="51">
        <v>0.0</v>
      </c>
      <c r="BS58" s="51">
        <v>0.0</v>
      </c>
      <c r="BT58" s="51">
        <v>0.0</v>
      </c>
      <c r="BU58" s="51">
        <v>0.0</v>
      </c>
      <c r="BV58" s="51">
        <v>0.0</v>
      </c>
      <c r="BW58" s="51">
        <v>0.0</v>
      </c>
      <c r="BX58" s="51">
        <v>0.0</v>
      </c>
      <c r="BY58" s="51">
        <v>0.0</v>
      </c>
      <c r="BZ58" s="51">
        <v>0.0</v>
      </c>
      <c r="CA58" s="51">
        <v>0.0</v>
      </c>
      <c r="CB58" s="51">
        <v>0.0</v>
      </c>
      <c r="CC58" s="51">
        <v>0.0</v>
      </c>
      <c r="CD58" s="51">
        <v>0.0</v>
      </c>
      <c r="CE58" s="51">
        <v>0.0</v>
      </c>
      <c r="CF58" s="51">
        <v>0.0</v>
      </c>
      <c r="CG58" s="51">
        <v>0.0</v>
      </c>
      <c r="CH58" s="51">
        <v>0.0</v>
      </c>
      <c r="CI58" s="51">
        <v>0.0</v>
      </c>
      <c r="CJ58" s="51">
        <v>0.0</v>
      </c>
      <c r="CK58" s="51">
        <v>0.0</v>
      </c>
      <c r="CL58" s="51">
        <v>0.0</v>
      </c>
      <c r="CM58" s="51">
        <v>0.0</v>
      </c>
      <c r="CN58" s="51">
        <v>0.0</v>
      </c>
      <c r="CO58" s="51">
        <v>0.0</v>
      </c>
      <c r="CP58" s="51">
        <v>0.0</v>
      </c>
      <c r="CQ58" s="51">
        <v>0.0</v>
      </c>
      <c r="CR58" s="51">
        <v>0.0</v>
      </c>
      <c r="CS58" s="51">
        <v>0.0</v>
      </c>
      <c r="CT58" s="51">
        <v>0.0</v>
      </c>
      <c r="CU58" s="51">
        <v>0.0</v>
      </c>
      <c r="CV58" s="51">
        <v>0.0</v>
      </c>
      <c r="CW58" s="51">
        <v>0.0</v>
      </c>
      <c r="CX58" s="51">
        <v>0.0</v>
      </c>
      <c r="CY58" s="51">
        <v>0.0</v>
      </c>
      <c r="CZ58" s="51">
        <v>0.0</v>
      </c>
      <c r="DA58" s="51">
        <v>0.0</v>
      </c>
      <c r="DB58" s="51">
        <v>0.0</v>
      </c>
      <c r="DC58" s="51">
        <v>0.0</v>
      </c>
      <c r="DD58" s="51">
        <v>0.0</v>
      </c>
      <c r="DE58" s="51">
        <v>0.0</v>
      </c>
      <c r="DF58" s="51">
        <v>0.0</v>
      </c>
      <c r="DG58" s="51">
        <v>0.0</v>
      </c>
      <c r="DH58" s="51">
        <v>0.0</v>
      </c>
      <c r="DI58" s="51">
        <v>0.0</v>
      </c>
      <c r="DJ58" s="51">
        <v>0.0</v>
      </c>
      <c r="DK58" s="51">
        <v>0.0</v>
      </c>
      <c r="DL58" s="51">
        <v>0.0</v>
      </c>
      <c r="DM58" s="51">
        <v>0.0</v>
      </c>
      <c r="DN58" s="51">
        <v>0.0</v>
      </c>
      <c r="DO58" s="51">
        <v>0.0</v>
      </c>
      <c r="DP58" s="51">
        <v>0.0</v>
      </c>
      <c r="DQ58" s="51">
        <v>0.0</v>
      </c>
      <c r="DR58" s="51">
        <v>0.0</v>
      </c>
      <c r="DT58" s="50">
        <f t="shared" ref="DT58:DW58" si="96">+F58-E58</f>
        <v>0</v>
      </c>
      <c r="DU58" s="50">
        <f t="shared" si="96"/>
        <v>0</v>
      </c>
      <c r="DV58" s="50">
        <f t="shared" si="96"/>
        <v>0</v>
      </c>
      <c r="DW58" s="50">
        <f t="shared" si="96"/>
        <v>0</v>
      </c>
    </row>
    <row r="59" ht="4.5" hidden="1" customHeight="1" outlineLevel="1">
      <c r="E59" s="50"/>
      <c r="F59" s="50"/>
      <c r="G59" s="50"/>
      <c r="H59" s="50"/>
      <c r="I59" s="50"/>
      <c r="J59" s="50"/>
      <c r="K59" s="50"/>
      <c r="L59" s="50"/>
      <c r="M59" s="50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73"/>
      <c r="BX59" s="73"/>
      <c r="BY59" s="73"/>
      <c r="BZ59" s="73"/>
      <c r="CA59" s="73"/>
      <c r="CB59" s="73"/>
      <c r="CC59" s="73"/>
      <c r="CD59" s="73"/>
      <c r="CE59" s="73"/>
      <c r="CF59" s="73"/>
      <c r="CG59" s="73"/>
      <c r="CH59" s="73"/>
      <c r="CI59" s="73"/>
      <c r="CJ59" s="73"/>
      <c r="CK59" s="73"/>
      <c r="CL59" s="73"/>
      <c r="CM59" s="73"/>
      <c r="CN59" s="73"/>
      <c r="CO59" s="73"/>
      <c r="CP59" s="73"/>
      <c r="CQ59" s="73"/>
      <c r="CR59" s="73"/>
      <c r="CS59" s="73"/>
      <c r="CT59" s="73"/>
      <c r="CU59" s="73"/>
      <c r="CV59" s="73"/>
      <c r="CW59" s="73"/>
      <c r="CX59" s="73"/>
      <c r="CY59" s="73"/>
      <c r="CZ59" s="73"/>
      <c r="DA59" s="73"/>
      <c r="DB59" s="73"/>
      <c r="DC59" s="73"/>
      <c r="DD59" s="73"/>
      <c r="DE59" s="73"/>
      <c r="DF59" s="73"/>
      <c r="DG59" s="73"/>
      <c r="DH59" s="73"/>
      <c r="DI59" s="73"/>
      <c r="DJ59" s="73"/>
      <c r="DK59" s="73"/>
      <c r="DL59" s="73"/>
      <c r="DM59" s="73"/>
      <c r="DN59" s="73"/>
      <c r="DO59" s="73"/>
      <c r="DP59" s="73"/>
      <c r="DQ59" s="73"/>
      <c r="DR59" s="73"/>
      <c r="DT59" s="73"/>
      <c r="DU59" s="73"/>
      <c r="DV59" s="73"/>
      <c r="DW59" s="73"/>
    </row>
    <row r="60" ht="15.75" hidden="1" customHeight="1" outlineLevel="1">
      <c r="A60" s="4"/>
      <c r="B60" s="74" t="s">
        <v>119</v>
      </c>
      <c r="C60" s="74"/>
      <c r="D60" s="4"/>
      <c r="E60" s="55">
        <f t="shared" ref="E60:M60" si="97">+SUMIFS($O60:$DR60,$O$7:$DR$7,E$7)</f>
        <v>11167.372</v>
      </c>
      <c r="F60" s="55">
        <f t="shared" si="97"/>
        <v>11832.24</v>
      </c>
      <c r="G60" s="55">
        <f t="shared" si="97"/>
        <v>12843.318</v>
      </c>
      <c r="H60" s="55">
        <f t="shared" si="97"/>
        <v>14067.63658</v>
      </c>
      <c r="I60" s="55">
        <f t="shared" si="97"/>
        <v>15164.82287</v>
      </c>
      <c r="J60" s="55">
        <f t="shared" si="97"/>
        <v>15806.08788</v>
      </c>
      <c r="K60" s="55">
        <f t="shared" si="97"/>
        <v>10174.32497</v>
      </c>
      <c r="L60" s="55">
        <f t="shared" si="97"/>
        <v>9125.137855</v>
      </c>
      <c r="M60" s="55">
        <f t="shared" si="97"/>
        <v>7341.599022</v>
      </c>
      <c r="N60" s="4"/>
      <c r="O60" s="75">
        <f t="shared" ref="O60:DR60" si="98">SUM(O13:O59)</f>
        <v>919.323</v>
      </c>
      <c r="P60" s="75">
        <f t="shared" si="98"/>
        <v>921.315</v>
      </c>
      <c r="Q60" s="75">
        <f t="shared" si="98"/>
        <v>921.416</v>
      </c>
      <c r="R60" s="75">
        <f t="shared" si="98"/>
        <v>931.833</v>
      </c>
      <c r="S60" s="75">
        <f t="shared" si="98"/>
        <v>935.01</v>
      </c>
      <c r="T60" s="75">
        <f t="shared" si="98"/>
        <v>938.942</v>
      </c>
      <c r="U60" s="75">
        <f t="shared" si="98"/>
        <v>925.846</v>
      </c>
      <c r="V60" s="75">
        <f t="shared" si="98"/>
        <v>918.079</v>
      </c>
      <c r="W60" s="75">
        <f t="shared" si="98"/>
        <v>924.846</v>
      </c>
      <c r="X60" s="75">
        <f t="shared" si="98"/>
        <v>924.002</v>
      </c>
      <c r="Y60" s="75">
        <f t="shared" si="98"/>
        <v>926.422</v>
      </c>
      <c r="Z60" s="75">
        <f t="shared" si="98"/>
        <v>980.338</v>
      </c>
      <c r="AA60" s="75">
        <f t="shared" si="98"/>
        <v>981.129</v>
      </c>
      <c r="AB60" s="75">
        <f t="shared" si="98"/>
        <v>981.129</v>
      </c>
      <c r="AC60" s="75">
        <f t="shared" si="98"/>
        <v>976.962</v>
      </c>
      <c r="AD60" s="75">
        <f t="shared" si="98"/>
        <v>977.327</v>
      </c>
      <c r="AE60" s="75">
        <f t="shared" si="98"/>
        <v>975.227</v>
      </c>
      <c r="AF60" s="75">
        <f t="shared" si="98"/>
        <v>962.73</v>
      </c>
      <c r="AG60" s="75">
        <f t="shared" si="98"/>
        <v>972.843</v>
      </c>
      <c r="AH60" s="75">
        <f t="shared" si="98"/>
        <v>1101.548</v>
      </c>
      <c r="AI60" s="75">
        <f t="shared" si="98"/>
        <v>966.148</v>
      </c>
      <c r="AJ60" s="75">
        <f t="shared" si="98"/>
        <v>957.446</v>
      </c>
      <c r="AK60" s="75">
        <f t="shared" si="98"/>
        <v>968.548</v>
      </c>
      <c r="AL60" s="75">
        <f t="shared" si="98"/>
        <v>1011.203</v>
      </c>
      <c r="AM60" s="75">
        <f t="shared" si="98"/>
        <v>1043.846</v>
      </c>
      <c r="AN60" s="75">
        <f t="shared" si="98"/>
        <v>1049.705</v>
      </c>
      <c r="AO60" s="75">
        <f t="shared" si="98"/>
        <v>1054.263</v>
      </c>
      <c r="AP60" s="75">
        <f t="shared" si="98"/>
        <v>1065.37</v>
      </c>
      <c r="AQ60" s="75">
        <f t="shared" si="98"/>
        <v>1061.23</v>
      </c>
      <c r="AR60" s="75">
        <f t="shared" si="98"/>
        <v>1053.45</v>
      </c>
      <c r="AS60" s="75">
        <f t="shared" si="98"/>
        <v>1054.45</v>
      </c>
      <c r="AT60" s="75">
        <f t="shared" si="98"/>
        <v>989.834</v>
      </c>
      <c r="AU60" s="75">
        <f t="shared" si="98"/>
        <v>1058.886</v>
      </c>
      <c r="AV60" s="75">
        <f t="shared" si="98"/>
        <v>1103.161</v>
      </c>
      <c r="AW60" s="75">
        <f t="shared" si="98"/>
        <v>1092.215</v>
      </c>
      <c r="AX60" s="75">
        <f t="shared" si="98"/>
        <v>1216.908</v>
      </c>
      <c r="AY60" s="75">
        <f t="shared" si="98"/>
        <v>1122.436854</v>
      </c>
      <c r="AZ60" s="75">
        <f t="shared" si="98"/>
        <v>1143.988854</v>
      </c>
      <c r="BA60" s="75">
        <f t="shared" si="98"/>
        <v>1151.884402</v>
      </c>
      <c r="BB60" s="75">
        <f t="shared" si="98"/>
        <v>1171.502785</v>
      </c>
      <c r="BC60" s="75">
        <f t="shared" si="98"/>
        <v>1170.337785</v>
      </c>
      <c r="BD60" s="75">
        <f t="shared" si="98"/>
        <v>1187.499785</v>
      </c>
      <c r="BE60" s="75">
        <f t="shared" si="98"/>
        <v>1172.337785</v>
      </c>
      <c r="BF60" s="75">
        <f t="shared" si="98"/>
        <v>1173.188333</v>
      </c>
      <c r="BG60" s="75">
        <f t="shared" si="98"/>
        <v>1185.020618</v>
      </c>
      <c r="BH60" s="75">
        <f t="shared" si="98"/>
        <v>1180.418955</v>
      </c>
      <c r="BI60" s="75">
        <f t="shared" si="98"/>
        <v>1182.16583</v>
      </c>
      <c r="BJ60" s="75">
        <f t="shared" si="98"/>
        <v>1226.854594</v>
      </c>
      <c r="BK60" s="75">
        <f t="shared" si="98"/>
        <v>1250.905129</v>
      </c>
      <c r="BL60" s="75">
        <f t="shared" si="98"/>
        <v>1250.905129</v>
      </c>
      <c r="BM60" s="75">
        <f t="shared" si="98"/>
        <v>1273.297129</v>
      </c>
      <c r="BN60" s="75">
        <f t="shared" si="98"/>
        <v>1253.048214</v>
      </c>
      <c r="BO60" s="75">
        <f t="shared" si="98"/>
        <v>1256.243214</v>
      </c>
      <c r="BP60" s="75">
        <f t="shared" si="98"/>
        <v>1271.243214</v>
      </c>
      <c r="BQ60" s="75">
        <f t="shared" si="98"/>
        <v>1255.58427</v>
      </c>
      <c r="BR60" s="75">
        <f t="shared" si="98"/>
        <v>1256.461906</v>
      </c>
      <c r="BS60" s="75">
        <f t="shared" si="98"/>
        <v>1272.511422</v>
      </c>
      <c r="BT60" s="75">
        <f t="shared" si="98"/>
        <v>1257.826422</v>
      </c>
      <c r="BU60" s="75">
        <f t="shared" si="98"/>
        <v>1270.467053</v>
      </c>
      <c r="BV60" s="75">
        <f t="shared" si="98"/>
        <v>1296.329768</v>
      </c>
      <c r="BW60" s="75">
        <f t="shared" si="98"/>
        <v>1333.70992</v>
      </c>
      <c r="BX60" s="75">
        <f t="shared" si="98"/>
        <v>1333.70992</v>
      </c>
      <c r="BY60" s="75">
        <f t="shared" si="98"/>
        <v>1390.90567</v>
      </c>
      <c r="BZ60" s="75">
        <f t="shared" si="98"/>
        <v>1303.35399</v>
      </c>
      <c r="CA60" s="75">
        <f t="shared" si="98"/>
        <v>1303.65399</v>
      </c>
      <c r="CB60" s="75">
        <f t="shared" si="98"/>
        <v>1319.10399</v>
      </c>
      <c r="CC60" s="75">
        <f t="shared" si="98"/>
        <v>1302.975278</v>
      </c>
      <c r="CD60" s="75">
        <f t="shared" si="98"/>
        <v>1293.183659</v>
      </c>
      <c r="CE60" s="75">
        <f t="shared" si="98"/>
        <v>1309.720878</v>
      </c>
      <c r="CF60" s="75">
        <f t="shared" si="98"/>
        <v>1294.601628</v>
      </c>
      <c r="CG60" s="75">
        <f t="shared" si="98"/>
        <v>1297.229229</v>
      </c>
      <c r="CH60" s="75">
        <f t="shared" si="98"/>
        <v>1323.939729</v>
      </c>
      <c r="CI60" s="75">
        <f t="shared" si="98"/>
        <v>842.3697951</v>
      </c>
      <c r="CJ60" s="75">
        <f t="shared" si="98"/>
        <v>842.3697951</v>
      </c>
      <c r="CK60" s="75">
        <f t="shared" si="98"/>
        <v>859.5476676</v>
      </c>
      <c r="CL60" s="75">
        <f t="shared" si="98"/>
        <v>840.8638552</v>
      </c>
      <c r="CM60" s="75">
        <f t="shared" si="98"/>
        <v>841.1788552</v>
      </c>
      <c r="CN60" s="75">
        <f t="shared" si="98"/>
        <v>857.0923552</v>
      </c>
      <c r="CO60" s="75">
        <f t="shared" si="98"/>
        <v>840.4797822</v>
      </c>
      <c r="CP60" s="75">
        <f t="shared" si="98"/>
        <v>841.4108657</v>
      </c>
      <c r="CQ60" s="75">
        <f t="shared" si="98"/>
        <v>858.4522506</v>
      </c>
      <c r="CR60" s="75">
        <f t="shared" si="98"/>
        <v>842.8860381</v>
      </c>
      <c r="CS60" s="75">
        <f t="shared" si="98"/>
        <v>845.5982228</v>
      </c>
      <c r="CT60" s="75">
        <f t="shared" si="98"/>
        <v>862.0754837</v>
      </c>
      <c r="CU60" s="75">
        <f t="shared" si="98"/>
        <v>775.606856</v>
      </c>
      <c r="CV60" s="75">
        <f t="shared" si="98"/>
        <v>775.606856</v>
      </c>
      <c r="CW60" s="75">
        <f t="shared" si="98"/>
        <v>793.2991547</v>
      </c>
      <c r="CX60" s="75">
        <f t="shared" si="98"/>
        <v>765.5457902</v>
      </c>
      <c r="CY60" s="75">
        <f t="shared" si="98"/>
        <v>765.8765402</v>
      </c>
      <c r="CZ60" s="75">
        <f t="shared" si="98"/>
        <v>782.2674452</v>
      </c>
      <c r="DA60" s="75">
        <f t="shared" si="98"/>
        <v>765.1564951</v>
      </c>
      <c r="DB60" s="75">
        <f t="shared" si="98"/>
        <v>766.1360629</v>
      </c>
      <c r="DC60" s="75">
        <f t="shared" si="98"/>
        <v>758.0729817</v>
      </c>
      <c r="DD60" s="75">
        <f t="shared" si="98"/>
        <v>734.3890392</v>
      </c>
      <c r="DE60" s="75">
        <f t="shared" si="98"/>
        <v>714.2380218</v>
      </c>
      <c r="DF60" s="75">
        <f t="shared" si="98"/>
        <v>728.9426123</v>
      </c>
      <c r="DG60" s="75">
        <f t="shared" si="98"/>
        <v>627.9188415</v>
      </c>
      <c r="DH60" s="75">
        <f t="shared" si="98"/>
        <v>627.9188415</v>
      </c>
      <c r="DI60" s="75">
        <f t="shared" si="98"/>
        <v>624.1280028</v>
      </c>
      <c r="DJ60" s="75">
        <f t="shared" si="98"/>
        <v>608.3427418</v>
      </c>
      <c r="DK60" s="75">
        <f t="shared" si="98"/>
        <v>608.6900293</v>
      </c>
      <c r="DL60" s="75">
        <f t="shared" si="98"/>
        <v>625.5726614</v>
      </c>
      <c r="DM60" s="75">
        <f t="shared" si="98"/>
        <v>603.5314472</v>
      </c>
      <c r="DN60" s="75">
        <f t="shared" si="98"/>
        <v>603.5314472</v>
      </c>
      <c r="DO60" s="75">
        <f t="shared" si="98"/>
        <v>612.3110794</v>
      </c>
      <c r="DP60" s="75">
        <f t="shared" si="98"/>
        <v>595.4284472</v>
      </c>
      <c r="DQ60" s="75">
        <f t="shared" si="98"/>
        <v>597.2127885</v>
      </c>
      <c r="DR60" s="75">
        <f t="shared" si="98"/>
        <v>607.0126939</v>
      </c>
      <c r="DS60" s="4"/>
      <c r="DT60" s="67"/>
      <c r="DU60" s="67"/>
      <c r="DV60" s="67"/>
      <c r="DW60" s="67"/>
      <c r="DX60" s="4"/>
    </row>
    <row r="61" ht="15.75" hidden="1" customHeight="1" outlineLevel="1">
      <c r="A61" s="76"/>
      <c r="B61" s="76" t="s">
        <v>30</v>
      </c>
      <c r="C61" s="76"/>
      <c r="D61" s="76"/>
      <c r="E61" s="77"/>
      <c r="F61" s="77"/>
      <c r="G61" s="77"/>
      <c r="H61" s="77"/>
      <c r="I61" s="77"/>
      <c r="J61" s="77"/>
      <c r="K61" s="77"/>
      <c r="L61" s="77"/>
      <c r="M61" s="77"/>
      <c r="N61" s="76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>
        <v>0.0</v>
      </c>
      <c r="BL61" s="77">
        <v>0.0</v>
      </c>
      <c r="BM61" s="77">
        <v>0.0</v>
      </c>
      <c r="BN61" s="77">
        <v>0.0</v>
      </c>
      <c r="BO61" s="77">
        <v>0.0</v>
      </c>
      <c r="BP61" s="77">
        <v>0.0</v>
      </c>
      <c r="BQ61" s="77">
        <v>0.0</v>
      </c>
      <c r="BR61" s="77">
        <v>0.0</v>
      </c>
      <c r="BS61" s="77">
        <v>0.0</v>
      </c>
      <c r="BT61" s="77">
        <v>0.0</v>
      </c>
      <c r="BU61" s="77">
        <v>0.0</v>
      </c>
      <c r="BV61" s="77">
        <v>0.0</v>
      </c>
      <c r="BW61" s="77"/>
      <c r="BX61" s="77"/>
      <c r="BY61" s="77"/>
      <c r="BZ61" s="77"/>
      <c r="CA61" s="77"/>
      <c r="CB61" s="77"/>
      <c r="CC61" s="77"/>
      <c r="CD61" s="77"/>
      <c r="CE61" s="77"/>
      <c r="CF61" s="77"/>
      <c r="CG61" s="77"/>
      <c r="CH61" s="77"/>
      <c r="CI61" s="77"/>
      <c r="CJ61" s="77"/>
      <c r="CK61" s="77"/>
      <c r="CL61" s="77"/>
      <c r="CM61" s="77"/>
      <c r="CN61" s="77"/>
      <c r="CO61" s="77"/>
      <c r="CP61" s="77"/>
      <c r="CQ61" s="77"/>
      <c r="CR61" s="77"/>
      <c r="CS61" s="77"/>
      <c r="CT61" s="77"/>
      <c r="CU61" s="77"/>
      <c r="CV61" s="77"/>
      <c r="CW61" s="77"/>
      <c r="CX61" s="77"/>
      <c r="CY61" s="77"/>
      <c r="CZ61" s="77"/>
      <c r="DA61" s="77"/>
      <c r="DB61" s="77"/>
      <c r="DC61" s="77"/>
      <c r="DD61" s="77"/>
      <c r="DE61" s="77"/>
      <c r="DF61" s="77"/>
      <c r="DG61" s="77"/>
      <c r="DH61" s="77"/>
      <c r="DI61" s="77"/>
      <c r="DJ61" s="77"/>
      <c r="DK61" s="77"/>
      <c r="DL61" s="77"/>
      <c r="DM61" s="77"/>
      <c r="DN61" s="77"/>
      <c r="DO61" s="77"/>
      <c r="DP61" s="77"/>
      <c r="DQ61" s="77"/>
      <c r="DR61" s="77"/>
      <c r="DS61" s="76"/>
      <c r="DT61" s="77"/>
      <c r="DU61" s="77"/>
      <c r="DV61" s="77"/>
      <c r="DW61" s="77"/>
      <c r="DX61" s="76"/>
    </row>
    <row r="62" ht="4.5" hidden="1" customHeight="1" outlineLevel="1"/>
    <row r="63" ht="15.75" customHeight="1" collapsed="1">
      <c r="B63" s="78" t="s">
        <v>120</v>
      </c>
      <c r="C63" s="79"/>
      <c r="D63" s="79"/>
      <c r="E63" s="79"/>
      <c r="F63" s="80">
        <f t="shared" ref="F63:H63" si="99">+E69</f>
        <v>11167.372</v>
      </c>
      <c r="G63" s="80">
        <f t="shared" si="99"/>
        <v>11832.24</v>
      </c>
      <c r="H63" s="81">
        <f t="shared" si="99"/>
        <v>12843.318</v>
      </c>
      <c r="I63" s="50"/>
      <c r="J63" s="50"/>
      <c r="K63" s="50"/>
      <c r="L63" s="50"/>
      <c r="M63" s="50"/>
    </row>
    <row r="64" ht="15.75" customHeight="1">
      <c r="B64" s="82" t="s">
        <v>121</v>
      </c>
      <c r="C64" s="83"/>
      <c r="D64" s="83"/>
      <c r="E64" s="83"/>
      <c r="F64" s="84">
        <f t="shared" ref="F64:H64" si="100">+SUMIF(DT$13:DT$58,"&lt;0")</f>
        <v>-597.862</v>
      </c>
      <c r="G64" s="84">
        <f t="shared" si="100"/>
        <v>-580.329</v>
      </c>
      <c r="H64" s="85">
        <f t="shared" si="100"/>
        <v>-178.7666933</v>
      </c>
      <c r="I64" s="50"/>
      <c r="J64" s="50"/>
      <c r="K64" s="50"/>
    </row>
    <row r="65" ht="15.75" customHeight="1">
      <c r="B65" s="78" t="s">
        <v>122</v>
      </c>
      <c r="C65" s="79"/>
      <c r="D65" s="83"/>
      <c r="E65" s="79"/>
      <c r="F65" s="80">
        <f t="shared" ref="F65:H65" si="101">SUM(F63:F64)</f>
        <v>10569.51</v>
      </c>
      <c r="G65" s="80">
        <f t="shared" si="101"/>
        <v>11251.911</v>
      </c>
      <c r="H65" s="81">
        <f t="shared" si="101"/>
        <v>12664.55131</v>
      </c>
    </row>
    <row r="66" ht="15.75" customHeight="1">
      <c r="B66" s="82" t="s">
        <v>123</v>
      </c>
      <c r="C66" s="83"/>
      <c r="D66" s="83"/>
      <c r="E66" s="83"/>
      <c r="F66" s="84">
        <f t="shared" ref="F66:H66" si="102">+SUMIF(DT$13:DT$58,"&gt;0")-F68</f>
        <v>930.189</v>
      </c>
      <c r="G66" s="84">
        <f t="shared" si="102"/>
        <v>1210.534</v>
      </c>
      <c r="H66" s="85">
        <f t="shared" si="102"/>
        <v>1128.426722</v>
      </c>
    </row>
    <row r="67" ht="15.75" customHeight="1">
      <c r="B67" s="78" t="s">
        <v>124</v>
      </c>
      <c r="C67" s="79"/>
      <c r="D67" s="83"/>
      <c r="E67" s="79"/>
      <c r="F67" s="80">
        <f t="shared" ref="F67:H67" si="103">+SUM(F65:F66)</f>
        <v>11499.699</v>
      </c>
      <c r="G67" s="80">
        <f t="shared" si="103"/>
        <v>12462.445</v>
      </c>
      <c r="H67" s="81">
        <f t="shared" si="103"/>
        <v>13792.97803</v>
      </c>
    </row>
    <row r="68" ht="15.75" customHeight="1">
      <c r="B68" s="82" t="s">
        <v>125</v>
      </c>
      <c r="C68" s="83"/>
      <c r="D68" s="83"/>
      <c r="E68" s="83"/>
      <c r="F68" s="84">
        <f t="shared" ref="F68:H68" si="104">+SUMIFS(F$13:F$58,E$13:E$58,0)</f>
        <v>332.541</v>
      </c>
      <c r="G68" s="84">
        <f t="shared" si="104"/>
        <v>380.873</v>
      </c>
      <c r="H68" s="85">
        <f t="shared" si="104"/>
        <v>274.6585484</v>
      </c>
    </row>
    <row r="69" ht="15.75" customHeight="1">
      <c r="B69" s="86" t="s">
        <v>126</v>
      </c>
      <c r="C69" s="87"/>
      <c r="D69" s="88"/>
      <c r="E69" s="89">
        <f>+E60</f>
        <v>11167.372</v>
      </c>
      <c r="F69" s="89">
        <f t="shared" ref="F69:H69" si="105">+SUM(F67:F68)</f>
        <v>11832.24</v>
      </c>
      <c r="G69" s="89">
        <f t="shared" si="105"/>
        <v>12843.318</v>
      </c>
      <c r="H69" s="90">
        <f t="shared" si="105"/>
        <v>14067.63658</v>
      </c>
    </row>
    <row r="70" ht="4.5" customHeight="1"/>
    <row r="71" ht="15.75" customHeight="1">
      <c r="B71" s="91" t="s">
        <v>122</v>
      </c>
      <c r="C71" s="92"/>
      <c r="D71" s="92"/>
      <c r="E71" s="92"/>
      <c r="F71" s="93">
        <f t="shared" ref="F71:H71" si="106">+F65/F63</f>
        <v>0.946463501</v>
      </c>
      <c r="G71" s="93">
        <f t="shared" si="106"/>
        <v>0.9509535811</v>
      </c>
      <c r="H71" s="94">
        <f t="shared" si="106"/>
        <v>0.9860809572</v>
      </c>
    </row>
    <row r="72" ht="15.75" customHeight="1">
      <c r="B72" s="95" t="s">
        <v>124</v>
      </c>
      <c r="C72" s="96"/>
      <c r="D72" s="96"/>
      <c r="E72" s="96"/>
      <c r="F72" s="97">
        <f t="shared" ref="F72:H72" si="107">+F67/F63</f>
        <v>1.029758747</v>
      </c>
      <c r="G72" s="97">
        <f t="shared" si="107"/>
        <v>1.053261682</v>
      </c>
      <c r="H72" s="98">
        <f t="shared" si="107"/>
        <v>1.073941954</v>
      </c>
    </row>
    <row r="73" ht="4.5" customHeight="1"/>
    <row r="74" ht="15.75" customHeight="1">
      <c r="B74" s="99" t="s">
        <v>82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  <c r="AM74" s="100"/>
      <c r="AN74" s="100"/>
      <c r="AO74" s="100"/>
      <c r="AP74" s="100"/>
      <c r="AQ74" s="100"/>
      <c r="AR74" s="100"/>
      <c r="AS74" s="100"/>
      <c r="AT74" s="100"/>
      <c r="AU74" s="100"/>
      <c r="AV74" s="100"/>
      <c r="AW74" s="100"/>
      <c r="AX74" s="100"/>
      <c r="AY74" s="100"/>
      <c r="AZ74" s="100"/>
      <c r="BA74" s="100"/>
      <c r="BB74" s="100"/>
      <c r="BC74" s="100"/>
      <c r="BD74" s="100"/>
      <c r="BE74" s="100"/>
      <c r="BF74" s="100"/>
      <c r="BG74" s="100"/>
      <c r="BH74" s="100"/>
      <c r="BI74" s="100"/>
      <c r="BJ74" s="100"/>
      <c r="BK74" s="100"/>
      <c r="BL74" s="100"/>
      <c r="BM74" s="100"/>
      <c r="BN74" s="100"/>
      <c r="BO74" s="100"/>
      <c r="BP74" s="100"/>
      <c r="BQ74" s="100"/>
      <c r="BR74" s="100"/>
      <c r="BS74" s="100"/>
      <c r="BT74" s="100"/>
      <c r="BU74" s="100"/>
      <c r="BV74" s="100"/>
      <c r="BW74" s="100"/>
      <c r="BX74" s="100"/>
      <c r="BY74" s="100"/>
      <c r="BZ74" s="100"/>
      <c r="CA74" s="100"/>
      <c r="CB74" s="100"/>
      <c r="CC74" s="100"/>
      <c r="CD74" s="100"/>
      <c r="CE74" s="100"/>
      <c r="CF74" s="100"/>
      <c r="CG74" s="100"/>
      <c r="CH74" s="100"/>
      <c r="CI74" s="100"/>
      <c r="CJ74" s="100"/>
      <c r="CK74" s="100"/>
      <c r="CL74" s="100"/>
      <c r="CM74" s="100"/>
      <c r="CN74" s="100"/>
      <c r="CO74" s="100"/>
      <c r="CP74" s="100"/>
      <c r="CQ74" s="100"/>
      <c r="CR74" s="100"/>
      <c r="CS74" s="100"/>
      <c r="CT74" s="100"/>
      <c r="CU74" s="100"/>
      <c r="CV74" s="100"/>
      <c r="CW74" s="100"/>
      <c r="CX74" s="100"/>
      <c r="CY74" s="100"/>
      <c r="CZ74" s="100"/>
      <c r="DA74" s="100"/>
      <c r="DB74" s="100"/>
      <c r="DC74" s="100"/>
      <c r="DD74" s="100"/>
      <c r="DE74" s="100"/>
      <c r="DF74" s="100"/>
      <c r="DG74" s="100"/>
      <c r="DH74" s="100"/>
      <c r="DI74" s="100"/>
      <c r="DJ74" s="100"/>
      <c r="DK74" s="100"/>
      <c r="DL74" s="100"/>
      <c r="DM74" s="100"/>
      <c r="DN74" s="100"/>
      <c r="DO74" s="100"/>
      <c r="DP74" s="100"/>
      <c r="DQ74" s="100"/>
      <c r="DR74" s="100"/>
    </row>
    <row r="75" ht="15.75" customHeight="1">
      <c r="B75" s="5" t="s">
        <v>120</v>
      </c>
      <c r="E75" s="100"/>
      <c r="F75" s="50">
        <f t="shared" ref="F75:M75" si="108">+E84</f>
        <v>7304.549</v>
      </c>
      <c r="G75" s="50">
        <f t="shared" si="108"/>
        <v>7916.045</v>
      </c>
      <c r="H75" s="50">
        <f t="shared" si="108"/>
        <v>8245.29</v>
      </c>
      <c r="I75" s="50">
        <f t="shared" si="108"/>
        <v>8781.099592</v>
      </c>
      <c r="J75" s="50">
        <f t="shared" si="108"/>
        <v>9075.523268</v>
      </c>
      <c r="K75" s="50">
        <f t="shared" si="108"/>
        <v>9607.489548</v>
      </c>
      <c r="L75" s="50">
        <f t="shared" si="108"/>
        <v>11031.68272</v>
      </c>
      <c r="M75" s="50">
        <f t="shared" si="108"/>
        <v>12578.99559</v>
      </c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  <c r="AM75" s="100"/>
      <c r="AN75" s="100"/>
      <c r="AO75" s="100"/>
      <c r="AP75" s="100"/>
      <c r="AQ75" s="100"/>
      <c r="AR75" s="100"/>
      <c r="AS75" s="100"/>
      <c r="AT75" s="100"/>
      <c r="AU75" s="100"/>
      <c r="AV75" s="100"/>
      <c r="AW75" s="100"/>
      <c r="AX75" s="100"/>
      <c r="AY75" s="100"/>
      <c r="AZ75" s="100"/>
      <c r="BA75" s="100"/>
      <c r="BB75" s="100"/>
      <c r="BC75" s="100"/>
      <c r="BD75" s="100"/>
      <c r="BE75" s="100"/>
      <c r="BF75" s="100"/>
      <c r="BG75" s="100"/>
      <c r="BH75" s="100"/>
      <c r="BI75" s="100"/>
      <c r="BJ75" s="100"/>
      <c r="BK75" s="100"/>
      <c r="BL75" s="100"/>
      <c r="BM75" s="100"/>
      <c r="BN75" s="100"/>
      <c r="BO75" s="100"/>
      <c r="BP75" s="100"/>
      <c r="BQ75" s="100"/>
      <c r="BR75" s="100"/>
      <c r="BS75" s="100"/>
      <c r="BT75" s="100"/>
      <c r="BU75" s="100"/>
      <c r="BV75" s="100"/>
      <c r="BW75" s="100"/>
      <c r="BX75" s="100"/>
      <c r="BY75" s="100"/>
      <c r="BZ75" s="100"/>
      <c r="CA75" s="100"/>
      <c r="CB75" s="100"/>
      <c r="CC75" s="100"/>
      <c r="CD75" s="100"/>
      <c r="CE75" s="100"/>
      <c r="CF75" s="100"/>
      <c r="CG75" s="100"/>
      <c r="CH75" s="100"/>
      <c r="CI75" s="100"/>
      <c r="CJ75" s="100"/>
      <c r="CK75" s="100"/>
      <c r="CL75" s="100"/>
      <c r="CM75" s="100"/>
      <c r="CN75" s="100"/>
      <c r="CO75" s="100"/>
      <c r="CP75" s="100"/>
      <c r="CQ75" s="100"/>
      <c r="CR75" s="100"/>
      <c r="CS75" s="100"/>
      <c r="CT75" s="100"/>
      <c r="CU75" s="100"/>
      <c r="CV75" s="100"/>
      <c r="CW75" s="100"/>
      <c r="CX75" s="100"/>
      <c r="CY75" s="100"/>
      <c r="CZ75" s="100"/>
      <c r="DA75" s="100"/>
      <c r="DB75" s="100"/>
      <c r="DC75" s="100"/>
      <c r="DD75" s="100"/>
      <c r="DE75" s="100"/>
      <c r="DF75" s="100"/>
      <c r="DG75" s="100"/>
      <c r="DH75" s="100"/>
      <c r="DI75" s="100"/>
      <c r="DJ75" s="100"/>
      <c r="DK75" s="100"/>
      <c r="DL75" s="100"/>
      <c r="DM75" s="100"/>
      <c r="DN75" s="100"/>
      <c r="DO75" s="100"/>
      <c r="DP75" s="100"/>
      <c r="DQ75" s="100"/>
      <c r="DR75" s="100"/>
    </row>
    <row r="76" ht="15.75" customHeight="1">
      <c r="B76" s="5" t="s">
        <v>121</v>
      </c>
      <c r="E76" s="100"/>
      <c r="F76" s="50">
        <f t="shared" ref="F76:I76" si="109">+SUMIFS(DT$13:DT$58,DT$13:DT$58,"&lt;0",$C$13:$C$58,$B$74)</f>
        <v>0</v>
      </c>
      <c r="G76" s="50">
        <f t="shared" si="109"/>
        <v>0</v>
      </c>
      <c r="H76" s="50">
        <f t="shared" si="109"/>
        <v>0</v>
      </c>
      <c r="I76" s="50">
        <f t="shared" si="109"/>
        <v>0</v>
      </c>
      <c r="J76" s="52">
        <f>+Revenue_Assumptions!J14*J$75</f>
        <v>0</v>
      </c>
      <c r="K76" s="52">
        <f>+Revenue_Assumptions!K14*K$75</f>
        <v>0</v>
      </c>
      <c r="L76" s="52">
        <f>+Revenue_Assumptions!L14*L$75</f>
        <v>0</v>
      </c>
      <c r="M76" s="52">
        <f>+Revenue_Assumptions!M14*M$75</f>
        <v>0</v>
      </c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  <c r="AM76" s="100"/>
      <c r="AN76" s="100"/>
      <c r="AO76" s="100"/>
      <c r="AP76" s="100"/>
      <c r="AQ76" s="100"/>
      <c r="AR76" s="100"/>
      <c r="AS76" s="100"/>
      <c r="AT76" s="100"/>
      <c r="AU76" s="100"/>
      <c r="AV76" s="100"/>
      <c r="AW76" s="100"/>
      <c r="AX76" s="100"/>
      <c r="AY76" s="100"/>
      <c r="AZ76" s="100"/>
      <c r="BA76" s="100"/>
      <c r="BB76" s="100"/>
      <c r="BC76" s="100"/>
      <c r="BD76" s="100"/>
      <c r="BE76" s="100"/>
      <c r="BF76" s="100"/>
      <c r="BG76" s="100"/>
      <c r="BH76" s="100"/>
      <c r="BI76" s="100"/>
      <c r="BJ76" s="100"/>
      <c r="BK76" s="100"/>
      <c r="BL76" s="100"/>
      <c r="BM76" s="100"/>
      <c r="BN76" s="100"/>
      <c r="BO76" s="100"/>
      <c r="BP76" s="100"/>
      <c r="BQ76" s="100"/>
      <c r="BR76" s="100"/>
      <c r="BS76" s="100"/>
      <c r="BT76" s="100"/>
      <c r="BU76" s="100"/>
      <c r="BV76" s="100"/>
      <c r="BW76" s="100"/>
      <c r="BX76" s="100"/>
      <c r="BY76" s="100"/>
      <c r="BZ76" s="100"/>
      <c r="CA76" s="100"/>
      <c r="CB76" s="100"/>
      <c r="CC76" s="100"/>
      <c r="CD76" s="100"/>
      <c r="CE76" s="100"/>
      <c r="CF76" s="100"/>
      <c r="CG76" s="100"/>
      <c r="CH76" s="100"/>
      <c r="CI76" s="100"/>
      <c r="CJ76" s="100"/>
      <c r="CK76" s="100"/>
      <c r="CL76" s="100"/>
      <c r="CM76" s="100"/>
      <c r="CN76" s="100"/>
      <c r="CO76" s="100"/>
      <c r="CP76" s="100"/>
      <c r="CQ76" s="100"/>
      <c r="CR76" s="100"/>
      <c r="CS76" s="100"/>
      <c r="CT76" s="100"/>
      <c r="CU76" s="100"/>
      <c r="CV76" s="100"/>
      <c r="CW76" s="100"/>
      <c r="CX76" s="100"/>
      <c r="CY76" s="100"/>
      <c r="CZ76" s="100"/>
      <c r="DA76" s="100"/>
      <c r="DB76" s="100"/>
      <c r="DC76" s="100"/>
      <c r="DD76" s="100"/>
      <c r="DE76" s="100"/>
      <c r="DF76" s="100"/>
      <c r="DG76" s="100"/>
      <c r="DH76" s="100"/>
      <c r="DI76" s="100"/>
      <c r="DJ76" s="100"/>
      <c r="DK76" s="100"/>
      <c r="DL76" s="100"/>
      <c r="DM76" s="100"/>
      <c r="DN76" s="100"/>
      <c r="DO76" s="100"/>
      <c r="DP76" s="100"/>
      <c r="DQ76" s="100"/>
      <c r="DR76" s="100"/>
    </row>
    <row r="77" ht="15.75" customHeight="1">
      <c r="B77" s="5" t="s">
        <v>127</v>
      </c>
      <c r="E77" s="100"/>
      <c r="F77" s="50">
        <f t="shared" ref="F77:I77" si="110">+SUMIFS(DT$13:DT$58,DT$13:DT$58,"&gt;0",$C$13:$C$58,$B$74)-F82</f>
        <v>611.496</v>
      </c>
      <c r="G77" s="50">
        <f t="shared" si="110"/>
        <v>329.245</v>
      </c>
      <c r="H77" s="50">
        <f t="shared" si="110"/>
        <v>535.8095917</v>
      </c>
      <c r="I77" s="50">
        <f t="shared" si="110"/>
        <v>294.4236764</v>
      </c>
      <c r="J77" s="52">
        <f>+Revenue_Assumptions!J15*J$75</f>
        <v>499.1537797</v>
      </c>
      <c r="K77" s="52">
        <f>+Revenue_Assumptions!K15*K$75</f>
        <v>528.4119251</v>
      </c>
      <c r="L77" s="52">
        <f>+Revenue_Assumptions!L15*L$75</f>
        <v>606.7425498</v>
      </c>
      <c r="M77" s="52">
        <f>+Revenue_Assumptions!M15*M$75</f>
        <v>691.8447572</v>
      </c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100"/>
      <c r="AW77" s="100"/>
      <c r="AX77" s="100"/>
      <c r="AY77" s="100"/>
      <c r="AZ77" s="100"/>
      <c r="BA77" s="100"/>
      <c r="BB77" s="100"/>
      <c r="BC77" s="100"/>
      <c r="BD77" s="100"/>
      <c r="BE77" s="100"/>
      <c r="BF77" s="100"/>
      <c r="BG77" s="100"/>
      <c r="BH77" s="100"/>
      <c r="BI77" s="100"/>
      <c r="BJ77" s="100"/>
      <c r="BK77" s="100"/>
      <c r="BL77" s="100"/>
      <c r="BM77" s="100"/>
      <c r="BN77" s="100"/>
      <c r="BO77" s="100"/>
      <c r="BP77" s="100"/>
      <c r="BQ77" s="100"/>
      <c r="BR77" s="100"/>
      <c r="BS77" s="100"/>
      <c r="BT77" s="100"/>
      <c r="BU77" s="100"/>
      <c r="BV77" s="100"/>
      <c r="BW77" s="100"/>
      <c r="BX77" s="100"/>
      <c r="BY77" s="100"/>
      <c r="BZ77" s="100"/>
      <c r="CA77" s="100"/>
      <c r="CB77" s="100"/>
      <c r="CC77" s="100"/>
      <c r="CD77" s="100"/>
      <c r="CE77" s="100"/>
      <c r="CF77" s="100"/>
      <c r="CG77" s="100"/>
      <c r="CH77" s="100"/>
      <c r="CI77" s="100"/>
      <c r="CJ77" s="100"/>
      <c r="CK77" s="100"/>
      <c r="CL77" s="100"/>
      <c r="CM77" s="100"/>
      <c r="CN77" s="100"/>
      <c r="CO77" s="100"/>
      <c r="CP77" s="100"/>
      <c r="CQ77" s="100"/>
      <c r="CR77" s="100"/>
      <c r="CS77" s="100"/>
      <c r="CT77" s="100"/>
      <c r="CU77" s="100"/>
      <c r="CV77" s="100"/>
      <c r="CW77" s="100"/>
      <c r="CX77" s="100"/>
      <c r="CY77" s="100"/>
      <c r="CZ77" s="100"/>
      <c r="DA77" s="100"/>
      <c r="DB77" s="100"/>
      <c r="DC77" s="100"/>
      <c r="DD77" s="100"/>
      <c r="DE77" s="100"/>
      <c r="DF77" s="100"/>
      <c r="DG77" s="100"/>
      <c r="DH77" s="100"/>
      <c r="DI77" s="100"/>
      <c r="DJ77" s="100"/>
      <c r="DK77" s="100"/>
      <c r="DL77" s="100"/>
      <c r="DM77" s="100"/>
      <c r="DN77" s="100"/>
      <c r="DO77" s="100"/>
      <c r="DP77" s="100"/>
      <c r="DQ77" s="100"/>
      <c r="DR77" s="100"/>
    </row>
    <row r="78" ht="15.75" customHeight="1">
      <c r="B78" s="54" t="s">
        <v>124</v>
      </c>
      <c r="C78" s="54"/>
      <c r="E78" s="92"/>
      <c r="F78" s="55">
        <f t="shared" ref="F78:M78" si="111">SUM(F75:F77)</f>
        <v>7916.045</v>
      </c>
      <c r="G78" s="55">
        <f t="shared" si="111"/>
        <v>8245.29</v>
      </c>
      <c r="H78" s="55">
        <f t="shared" si="111"/>
        <v>8781.099592</v>
      </c>
      <c r="I78" s="55">
        <f t="shared" si="111"/>
        <v>9075.523268</v>
      </c>
      <c r="J78" s="55">
        <f t="shared" si="111"/>
        <v>9574.677048</v>
      </c>
      <c r="K78" s="55">
        <f t="shared" si="111"/>
        <v>10135.90147</v>
      </c>
      <c r="L78" s="55">
        <f t="shared" si="111"/>
        <v>11638.42527</v>
      </c>
      <c r="M78" s="55">
        <f t="shared" si="111"/>
        <v>13270.84034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100"/>
      <c r="BX78" s="100"/>
      <c r="BY78" s="100"/>
      <c r="BZ78" s="100"/>
      <c r="CA78" s="100"/>
      <c r="CB78" s="100"/>
      <c r="CC78" s="100"/>
      <c r="CD78" s="100"/>
      <c r="CE78" s="100"/>
      <c r="CF78" s="100"/>
      <c r="CG78" s="100"/>
      <c r="CH78" s="100"/>
      <c r="CI78" s="100"/>
      <c r="CJ78" s="100"/>
      <c r="CK78" s="100"/>
      <c r="CL78" s="100"/>
      <c r="CM78" s="100"/>
      <c r="CN78" s="100"/>
      <c r="CO78" s="100"/>
      <c r="CP78" s="100"/>
      <c r="CQ78" s="100"/>
      <c r="CR78" s="100"/>
      <c r="CS78" s="100"/>
      <c r="CT78" s="100"/>
      <c r="CU78" s="100"/>
      <c r="CV78" s="100"/>
      <c r="CW78" s="100"/>
      <c r="CX78" s="100"/>
      <c r="CY78" s="100"/>
      <c r="CZ78" s="100"/>
      <c r="DA78" s="100"/>
      <c r="DB78" s="100"/>
      <c r="DC78" s="100"/>
      <c r="DD78" s="100"/>
      <c r="DE78" s="100"/>
      <c r="DF78" s="100"/>
      <c r="DG78" s="100"/>
      <c r="DH78" s="100"/>
      <c r="DI78" s="100"/>
      <c r="DJ78" s="100"/>
      <c r="DK78" s="100"/>
      <c r="DL78" s="100"/>
      <c r="DM78" s="100"/>
      <c r="DN78" s="100"/>
      <c r="DO78" s="100"/>
      <c r="DP78" s="100"/>
      <c r="DQ78" s="100"/>
      <c r="DR78" s="100"/>
    </row>
    <row r="79" ht="4.5" customHeight="1"/>
    <row r="80" ht="15.75" customHeight="1" outlineLevel="1">
      <c r="B80" s="5" t="s">
        <v>128</v>
      </c>
      <c r="E80" s="100"/>
      <c r="F80" s="101"/>
      <c r="G80" s="101"/>
      <c r="H80" s="101"/>
      <c r="I80" s="101"/>
      <c r="J80" s="101"/>
      <c r="K80" s="101"/>
      <c r="L80" s="101"/>
      <c r="M80" s="101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2" t="str">
        <f>+'Bookings to Revenue_Calcs'!AA26</f>
        <v/>
      </c>
      <c r="AB80" s="102" t="str">
        <f>+'Bookings to Revenue_Calcs'!AB26</f>
        <v/>
      </c>
      <c r="AC80" s="102" t="str">
        <f>+'Bookings to Revenue_Calcs'!AC26</f>
        <v/>
      </c>
      <c r="AD80" s="102" t="str">
        <f>+'Bookings to Revenue_Calcs'!AD26</f>
        <v/>
      </c>
      <c r="AE80" s="102" t="str">
        <f>+'Bookings to Revenue_Calcs'!AE26</f>
        <v/>
      </c>
      <c r="AF80" s="102" t="str">
        <f>+'Bookings to Revenue_Calcs'!AF26</f>
        <v/>
      </c>
      <c r="AG80" s="102" t="str">
        <f>+'Bookings to Revenue_Calcs'!AG26</f>
        <v/>
      </c>
      <c r="AH80" s="102" t="str">
        <f>+'Bookings to Revenue_Calcs'!AH26</f>
        <v/>
      </c>
      <c r="AI80" s="102" t="str">
        <f>+'Bookings to Revenue_Calcs'!AI26</f>
        <v/>
      </c>
      <c r="AJ80" s="102" t="str">
        <f>+'Bookings to Revenue_Calcs'!AJ26</f>
        <v/>
      </c>
      <c r="AK80" s="102" t="str">
        <f>+'Bookings to Revenue_Calcs'!AK26</f>
        <v/>
      </c>
      <c r="AL80" s="102" t="str">
        <f>+'Bookings to Revenue_Calcs'!AL26</f>
        <v/>
      </c>
      <c r="AM80" s="102" t="str">
        <f>+'Bookings to Revenue_Calcs'!AM26</f>
        <v/>
      </c>
      <c r="AN80" s="102" t="str">
        <f>+'Bookings to Revenue_Calcs'!AN26</f>
        <v/>
      </c>
      <c r="AO80" s="102" t="str">
        <f>+'Bookings to Revenue_Calcs'!AO26</f>
        <v/>
      </c>
      <c r="AP80" s="102" t="str">
        <f>+'Bookings to Revenue_Calcs'!AP26</f>
        <v/>
      </c>
      <c r="AQ80" s="102" t="str">
        <f>+'Bookings to Revenue_Calcs'!AQ26</f>
        <v/>
      </c>
      <c r="AR80" s="102" t="str">
        <f>+'Bookings to Revenue_Calcs'!AR26</f>
        <v/>
      </c>
      <c r="AS80" s="102" t="str">
        <f>+'Bookings to Revenue_Calcs'!AS26</f>
        <v/>
      </c>
      <c r="AT80" s="102" t="str">
        <f>+'Bookings to Revenue_Calcs'!AT26</f>
        <v/>
      </c>
      <c r="AU80" s="102" t="str">
        <f>+'Bookings to Revenue_Calcs'!AU26</f>
        <v/>
      </c>
      <c r="AV80" s="102" t="str">
        <f>+'Bookings to Revenue_Calcs'!AV26</f>
        <v/>
      </c>
      <c r="AW80" s="102" t="str">
        <f>+'Bookings to Revenue_Calcs'!AW26</f>
        <v/>
      </c>
      <c r="AX80" s="102" t="str">
        <f>+'Bookings to Revenue_Calcs'!AX26</f>
        <v/>
      </c>
      <c r="AY80" s="102" t="str">
        <f>+'Bookings to Revenue_Calcs'!AY26</f>
        <v/>
      </c>
      <c r="AZ80" s="102" t="str">
        <f>+'Bookings to Revenue_Calcs'!AZ26</f>
        <v/>
      </c>
      <c r="BA80" s="102" t="str">
        <f>+'Bookings to Revenue_Calcs'!BA26</f>
        <v/>
      </c>
      <c r="BB80" s="102" t="str">
        <f>+'Bookings to Revenue_Calcs'!BB26</f>
        <v/>
      </c>
      <c r="BC80" s="102" t="str">
        <f>+'Bookings to Revenue_Calcs'!BC26</f>
        <v/>
      </c>
      <c r="BD80" s="102" t="str">
        <f>+'Bookings to Revenue_Calcs'!BD26</f>
        <v/>
      </c>
      <c r="BE80" s="102" t="str">
        <f>+'Bookings to Revenue_Calcs'!BE26</f>
        <v/>
      </c>
      <c r="BF80" s="102" t="str">
        <f>+'Bookings to Revenue_Calcs'!BF26</f>
        <v/>
      </c>
      <c r="BG80" s="102" t="str">
        <f>+'Bookings to Revenue_Calcs'!BG26</f>
        <v/>
      </c>
      <c r="BH80" s="102" t="str">
        <f>+'Bookings to Revenue_Calcs'!BH26</f>
        <v/>
      </c>
      <c r="BI80" s="102" t="str">
        <f>+'Bookings to Revenue_Calcs'!BI26</f>
        <v/>
      </c>
      <c r="BJ80" s="102" t="str">
        <f>+'Bookings to Revenue_Calcs'!BJ26</f>
        <v/>
      </c>
      <c r="BK80" s="102" t="str">
        <f>+'Bookings to Revenue_Calcs'!BK26</f>
        <v/>
      </c>
      <c r="BL80" s="102" t="str">
        <f>+'Bookings to Revenue_Calcs'!BL26</f>
        <v/>
      </c>
      <c r="BM80" s="102" t="str">
        <f>+'Bookings to Revenue_Calcs'!BM26</f>
        <v/>
      </c>
      <c r="BN80" s="102" t="str">
        <f>+'Bookings to Revenue_Calcs'!BN26</f>
        <v/>
      </c>
      <c r="BO80" s="102" t="str">
        <f>+'Bookings to Revenue_Calcs'!BO26</f>
        <v/>
      </c>
      <c r="BP80" s="102" t="str">
        <f>+'Bookings to Revenue_Calcs'!BP26</f>
        <v/>
      </c>
      <c r="BQ80" s="102">
        <f>+'Bookings to Revenue_Calcs'!BQ26</f>
        <v>0</v>
      </c>
      <c r="BR80" s="102">
        <f>+'Bookings to Revenue_Calcs'!BR26</f>
        <v>0</v>
      </c>
      <c r="BS80" s="102">
        <f>+'Bookings to Revenue_Calcs'!BS26</f>
        <v>0</v>
      </c>
      <c r="BT80" s="102">
        <f>+'Bookings to Revenue_Calcs'!BT26</f>
        <v>0</v>
      </c>
      <c r="BU80" s="102">
        <f>+'Bookings to Revenue_Calcs'!BU26</f>
        <v>0</v>
      </c>
      <c r="BV80" s="102">
        <f>+'Bookings to Revenue_Calcs'!BV26</f>
        <v>0</v>
      </c>
      <c r="BW80" s="102">
        <f>+'Bookings to Revenue_Calcs'!BW26</f>
        <v>0</v>
      </c>
      <c r="BX80" s="102">
        <f>+'Bookings to Revenue_Calcs'!BX26</f>
        <v>0</v>
      </c>
      <c r="BY80" s="102">
        <f>+'Bookings to Revenue_Calcs'!BY26</f>
        <v>0</v>
      </c>
      <c r="BZ80" s="102">
        <f>+'Bookings to Revenue_Calcs'!BZ26</f>
        <v>0</v>
      </c>
      <c r="CA80" s="102">
        <f>+'Bookings to Revenue_Calcs'!CA26</f>
        <v>0</v>
      </c>
      <c r="CB80" s="102">
        <f>+'Bookings to Revenue_Calcs'!CB26</f>
        <v>0</v>
      </c>
      <c r="CC80" s="102">
        <f>+'Bookings to Revenue_Calcs'!CC26</f>
        <v>0</v>
      </c>
      <c r="CD80" s="102">
        <f>+'Bookings to Revenue_Calcs'!CD26</f>
        <v>0</v>
      </c>
      <c r="CE80" s="102">
        <f>+'Bookings to Revenue_Calcs'!CE26</f>
        <v>0</v>
      </c>
      <c r="CF80" s="102">
        <f>+'Bookings to Revenue_Calcs'!CF26</f>
        <v>0</v>
      </c>
      <c r="CG80" s="102">
        <f>+'Bookings to Revenue_Calcs'!CG26</f>
        <v>0.08333333333</v>
      </c>
      <c r="CH80" s="102">
        <f>+'Bookings to Revenue_Calcs'!CH26</f>
        <v>0.1666666667</v>
      </c>
      <c r="CI80" s="102">
        <f>+'Bookings to Revenue_Calcs'!CI26</f>
        <v>0.08333333333</v>
      </c>
      <c r="CJ80" s="102">
        <f>+'Bookings to Revenue_Calcs'!CJ26</f>
        <v>0.1666666667</v>
      </c>
      <c r="CK80" s="102">
        <f>+'Bookings to Revenue_Calcs'!CK26</f>
        <v>0.25</v>
      </c>
      <c r="CL80" s="102">
        <f>+'Bookings to Revenue_Calcs'!CL26</f>
        <v>0.3333333333</v>
      </c>
      <c r="CM80" s="102">
        <f>+'Bookings to Revenue_Calcs'!CM26</f>
        <v>0.4166666667</v>
      </c>
      <c r="CN80" s="102">
        <f>+'Bookings to Revenue_Calcs'!CN26</f>
        <v>0.5</v>
      </c>
      <c r="CO80" s="102">
        <f>+'Bookings to Revenue_Calcs'!CO26</f>
        <v>0.5833333333</v>
      </c>
      <c r="CP80" s="102">
        <f>+'Bookings to Revenue_Calcs'!CP26</f>
        <v>0.6666666667</v>
      </c>
      <c r="CQ80" s="102">
        <f>+'Bookings to Revenue_Calcs'!CQ26</f>
        <v>0.75</v>
      </c>
      <c r="CR80" s="102">
        <f>+'Bookings to Revenue_Calcs'!CR26</f>
        <v>0.8333333333</v>
      </c>
      <c r="CS80" s="102">
        <f>+'Bookings to Revenue_Calcs'!CS26</f>
        <v>0.9166666667</v>
      </c>
      <c r="CT80" s="102">
        <f>+'Bookings to Revenue_Calcs'!CT26</f>
        <v>1</v>
      </c>
      <c r="CU80" s="102">
        <f>+'Bookings to Revenue_Calcs'!CU26</f>
        <v>0.08333333333</v>
      </c>
      <c r="CV80" s="102">
        <f>+'Bookings to Revenue_Calcs'!CV26</f>
        <v>0.1666666667</v>
      </c>
      <c r="CW80" s="102">
        <f>+'Bookings to Revenue_Calcs'!CW26</f>
        <v>0.25</v>
      </c>
      <c r="CX80" s="102">
        <f>+'Bookings to Revenue_Calcs'!CX26</f>
        <v>0.3333333333</v>
      </c>
      <c r="CY80" s="102">
        <f>+'Bookings to Revenue_Calcs'!CY26</f>
        <v>0.4166666667</v>
      </c>
      <c r="CZ80" s="102">
        <f>+'Bookings to Revenue_Calcs'!CZ26</f>
        <v>0.5</v>
      </c>
      <c r="DA80" s="102">
        <f>+'Bookings to Revenue_Calcs'!DA26</f>
        <v>0.5833333333</v>
      </c>
      <c r="DB80" s="102">
        <f>+'Bookings to Revenue_Calcs'!DB26</f>
        <v>0.6666666667</v>
      </c>
      <c r="DC80" s="102">
        <f>+'Bookings to Revenue_Calcs'!DC26</f>
        <v>0.75</v>
      </c>
      <c r="DD80" s="102">
        <f>+'Bookings to Revenue_Calcs'!DD26</f>
        <v>0.8333333333</v>
      </c>
      <c r="DE80" s="102">
        <f>+'Bookings to Revenue_Calcs'!DE26</f>
        <v>0.9166666667</v>
      </c>
      <c r="DF80" s="102">
        <f>+'Bookings to Revenue_Calcs'!DF26</f>
        <v>1</v>
      </c>
      <c r="DG80" s="102">
        <f>+'Bookings to Revenue_Calcs'!DG26</f>
        <v>0.08333333333</v>
      </c>
      <c r="DH80" s="102">
        <f>+'Bookings to Revenue_Calcs'!DH26</f>
        <v>0.1666666667</v>
      </c>
      <c r="DI80" s="102">
        <f>+'Bookings to Revenue_Calcs'!DI26</f>
        <v>0.25</v>
      </c>
      <c r="DJ80" s="102">
        <f>+'Bookings to Revenue_Calcs'!DJ26</f>
        <v>0.3333333333</v>
      </c>
      <c r="DK80" s="102">
        <f>+'Bookings to Revenue_Calcs'!DK26</f>
        <v>0.4166666667</v>
      </c>
      <c r="DL80" s="102">
        <f>+'Bookings to Revenue_Calcs'!DL26</f>
        <v>0.5</v>
      </c>
      <c r="DM80" s="102">
        <f>+'Bookings to Revenue_Calcs'!DM26</f>
        <v>0.5833333333</v>
      </c>
      <c r="DN80" s="102">
        <f>+'Bookings to Revenue_Calcs'!DN26</f>
        <v>0.6666666667</v>
      </c>
      <c r="DO80" s="102">
        <f>+'Bookings to Revenue_Calcs'!DO26</f>
        <v>0.75</v>
      </c>
      <c r="DP80" s="102">
        <f>+'Bookings to Revenue_Calcs'!DP26</f>
        <v>0.8333333333</v>
      </c>
      <c r="DQ80" s="102">
        <f>+'Bookings to Revenue_Calcs'!DQ26</f>
        <v>0.9166666667</v>
      </c>
      <c r="DR80" s="102">
        <f>+'Bookings to Revenue_Calcs'!DR26</f>
        <v>1</v>
      </c>
    </row>
    <row r="81" ht="15.75" customHeight="1" outlineLevel="1">
      <c r="B81" s="5" t="s">
        <v>129</v>
      </c>
      <c r="E81" s="100"/>
      <c r="F81" s="53"/>
      <c r="G81" s="53"/>
      <c r="H81" s="53"/>
      <c r="I81" s="53"/>
      <c r="J81" s="53"/>
      <c r="K81" s="53"/>
      <c r="L81" s="53"/>
      <c r="M81" s="53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52">
        <f>+SUMIFS(Revenue_Assumptions!$E18:$M18,Revenue_Assumptions!$E$7:$M$7,AA$7)/12</f>
        <v>0</v>
      </c>
      <c r="AB81" s="52">
        <f>+SUMIFS(Revenue_Assumptions!$E18:$M18,Revenue_Assumptions!$E$7:$M$7,AB$7)/12</f>
        <v>0</v>
      </c>
      <c r="AC81" s="52">
        <f>+SUMIFS(Revenue_Assumptions!$E18:$M18,Revenue_Assumptions!$E$7:$M$7,AC$7)/12</f>
        <v>0</v>
      </c>
      <c r="AD81" s="52">
        <f>+SUMIFS(Revenue_Assumptions!$E18:$M18,Revenue_Assumptions!$E$7:$M$7,AD$7)/12</f>
        <v>0</v>
      </c>
      <c r="AE81" s="52">
        <f>+SUMIFS(Revenue_Assumptions!$E18:$M18,Revenue_Assumptions!$E$7:$M$7,AE$7)/12</f>
        <v>0</v>
      </c>
      <c r="AF81" s="52">
        <f>+SUMIFS(Revenue_Assumptions!$E18:$M18,Revenue_Assumptions!$E$7:$M$7,AF$7)/12</f>
        <v>0</v>
      </c>
      <c r="AG81" s="52">
        <f>+SUMIFS(Revenue_Assumptions!$E18:$M18,Revenue_Assumptions!$E$7:$M$7,AG$7)/12</f>
        <v>0</v>
      </c>
      <c r="AH81" s="52">
        <f>+SUMIFS(Revenue_Assumptions!$E18:$M18,Revenue_Assumptions!$E$7:$M$7,AH$7)/12</f>
        <v>0</v>
      </c>
      <c r="AI81" s="52">
        <f>+SUMIFS(Revenue_Assumptions!$E18:$M18,Revenue_Assumptions!$E$7:$M$7,AI$7)/12</f>
        <v>0</v>
      </c>
      <c r="AJ81" s="52">
        <f>+SUMIFS(Revenue_Assumptions!$E18:$M18,Revenue_Assumptions!$E$7:$M$7,AJ$7)/12</f>
        <v>0</v>
      </c>
      <c r="AK81" s="52">
        <f>+SUMIFS(Revenue_Assumptions!$E18:$M18,Revenue_Assumptions!$E$7:$M$7,AK$7)/12</f>
        <v>0</v>
      </c>
      <c r="AL81" s="52">
        <f>+SUMIFS(Revenue_Assumptions!$E18:$M18,Revenue_Assumptions!$E$7:$M$7,AL$7)/12</f>
        <v>0</v>
      </c>
      <c r="AM81" s="52">
        <f>+SUMIFS(Revenue_Assumptions!$E18:$M18,Revenue_Assumptions!$E$7:$M$7,AM$7)/12</f>
        <v>0</v>
      </c>
      <c r="AN81" s="52">
        <f>+SUMIFS(Revenue_Assumptions!$E18:$M18,Revenue_Assumptions!$E$7:$M$7,AN$7)/12</f>
        <v>0</v>
      </c>
      <c r="AO81" s="52">
        <f>+SUMIFS(Revenue_Assumptions!$E18:$M18,Revenue_Assumptions!$E$7:$M$7,AO$7)/12</f>
        <v>0</v>
      </c>
      <c r="AP81" s="52">
        <f>+SUMIFS(Revenue_Assumptions!$E18:$M18,Revenue_Assumptions!$E$7:$M$7,AP$7)/12</f>
        <v>0</v>
      </c>
      <c r="AQ81" s="52">
        <f>+SUMIFS(Revenue_Assumptions!$E18:$M18,Revenue_Assumptions!$E$7:$M$7,AQ$7)/12</f>
        <v>0</v>
      </c>
      <c r="AR81" s="52">
        <f>+SUMIFS(Revenue_Assumptions!$E18:$M18,Revenue_Assumptions!$E$7:$M$7,AR$7)/12</f>
        <v>0</v>
      </c>
      <c r="AS81" s="52">
        <f>+SUMIFS(Revenue_Assumptions!$E18:$M18,Revenue_Assumptions!$E$7:$M$7,AS$7)/12</f>
        <v>0</v>
      </c>
      <c r="AT81" s="52">
        <f>+SUMIFS(Revenue_Assumptions!$E18:$M18,Revenue_Assumptions!$E$7:$M$7,AT$7)/12</f>
        <v>0</v>
      </c>
      <c r="AU81" s="52">
        <f>+SUMIFS(Revenue_Assumptions!$E18:$M18,Revenue_Assumptions!$E$7:$M$7,AU$7)/12</f>
        <v>0</v>
      </c>
      <c r="AV81" s="52">
        <f>+SUMIFS(Revenue_Assumptions!$E18:$M18,Revenue_Assumptions!$E$7:$M$7,AV$7)/12</f>
        <v>0</v>
      </c>
      <c r="AW81" s="52">
        <f>+SUMIFS(Revenue_Assumptions!$E18:$M18,Revenue_Assumptions!$E$7:$M$7,AW$7)/12</f>
        <v>0</v>
      </c>
      <c r="AX81" s="52">
        <f>+SUMIFS(Revenue_Assumptions!$E18:$M18,Revenue_Assumptions!$E$7:$M$7,AX$7)/12</f>
        <v>0</v>
      </c>
      <c r="AY81" s="52">
        <f>+SUMIFS(Revenue_Assumptions!$E18:$M18,Revenue_Assumptions!$E$7:$M$7,AY$7)/12</f>
        <v>0</v>
      </c>
      <c r="AZ81" s="52">
        <f>+SUMIFS(Revenue_Assumptions!$E18:$M18,Revenue_Assumptions!$E$7:$M$7,AZ$7)/12</f>
        <v>0</v>
      </c>
      <c r="BA81" s="52">
        <f>+SUMIFS(Revenue_Assumptions!$E18:$M18,Revenue_Assumptions!$E$7:$M$7,BA$7)/12</f>
        <v>0</v>
      </c>
      <c r="BB81" s="52">
        <f>+SUMIFS(Revenue_Assumptions!$E18:$M18,Revenue_Assumptions!$E$7:$M$7,BB$7)/12</f>
        <v>0</v>
      </c>
      <c r="BC81" s="52">
        <f>+SUMIFS(Revenue_Assumptions!$E18:$M18,Revenue_Assumptions!$E$7:$M$7,BC$7)/12</f>
        <v>0</v>
      </c>
      <c r="BD81" s="52">
        <f>+SUMIFS(Revenue_Assumptions!$E18:$M18,Revenue_Assumptions!$E$7:$M$7,BD$7)/12</f>
        <v>0</v>
      </c>
      <c r="BE81" s="52">
        <f>+SUMIFS(Revenue_Assumptions!$E18:$M18,Revenue_Assumptions!$E$7:$M$7,BE$7)/12</f>
        <v>0</v>
      </c>
      <c r="BF81" s="52">
        <f>+SUMIFS(Revenue_Assumptions!$E18:$M18,Revenue_Assumptions!$E$7:$M$7,BF$7)/12</f>
        <v>0</v>
      </c>
      <c r="BG81" s="52">
        <f>+SUMIFS(Revenue_Assumptions!$E18:$M18,Revenue_Assumptions!$E$7:$M$7,BG$7)/12</f>
        <v>0</v>
      </c>
      <c r="BH81" s="52">
        <f>+SUMIFS(Revenue_Assumptions!$E18:$M18,Revenue_Assumptions!$E$7:$M$7,BH$7)/12</f>
        <v>0</v>
      </c>
      <c r="BI81" s="52">
        <f>+SUMIFS(Revenue_Assumptions!$E18:$M18,Revenue_Assumptions!$E$7:$M$7,BI$7)/12</f>
        <v>0</v>
      </c>
      <c r="BJ81" s="52">
        <f>+SUMIFS(Revenue_Assumptions!$E18:$M18,Revenue_Assumptions!$E$7:$M$7,BJ$7)/12</f>
        <v>0</v>
      </c>
      <c r="BK81" s="52">
        <f>+SUMIFS(Revenue_Assumptions!$E18:$M18,Revenue_Assumptions!$E$7:$M$7,BK$7)/12</f>
        <v>125</v>
      </c>
      <c r="BL81" s="52">
        <f>+SUMIFS(Revenue_Assumptions!$E18:$M18,Revenue_Assumptions!$E$7:$M$7,BL$7)/12</f>
        <v>125</v>
      </c>
      <c r="BM81" s="52">
        <f>+SUMIFS(Revenue_Assumptions!$E18:$M18,Revenue_Assumptions!$E$7:$M$7,BM$7)/12</f>
        <v>125</v>
      </c>
      <c r="BN81" s="52">
        <f>+SUMIFS(Revenue_Assumptions!$E18:$M18,Revenue_Assumptions!$E$7:$M$7,BN$7)/12</f>
        <v>125</v>
      </c>
      <c r="BO81" s="52">
        <f>+SUMIFS(Revenue_Assumptions!$E18:$M18,Revenue_Assumptions!$E$7:$M$7,BO$7)/12</f>
        <v>125</v>
      </c>
      <c r="BP81" s="52">
        <f>+SUMIFS(Revenue_Assumptions!$E18:$M18,Revenue_Assumptions!$E$7:$M$7,BP$7)/12</f>
        <v>125</v>
      </c>
      <c r="BQ81" s="52">
        <f>+SUMIFS(Revenue_Assumptions!$E18:$M18,Revenue_Assumptions!$E$7:$M$7,BQ$7)/12</f>
        <v>125</v>
      </c>
      <c r="BR81" s="52">
        <f>+SUMIFS(Revenue_Assumptions!$E18:$M18,Revenue_Assumptions!$E$7:$M$7,BR$7)/12</f>
        <v>125</v>
      </c>
      <c r="BS81" s="52">
        <f>+SUMIFS(Revenue_Assumptions!$E18:$M18,Revenue_Assumptions!$E$7:$M$7,BS$7)/12</f>
        <v>125</v>
      </c>
      <c r="BT81" s="52">
        <f>+SUMIFS(Revenue_Assumptions!$E18:$M18,Revenue_Assumptions!$E$7:$M$7,BT$7)/12</f>
        <v>125</v>
      </c>
      <c r="BU81" s="52">
        <f>+SUMIFS(Revenue_Assumptions!$E18:$M18,Revenue_Assumptions!$E$7:$M$7,BU$7)/12</f>
        <v>125</v>
      </c>
      <c r="BV81" s="52">
        <f>+SUMIFS(Revenue_Assumptions!$E18:$M18,Revenue_Assumptions!$E$7:$M$7,BV$7)/12</f>
        <v>125</v>
      </c>
      <c r="BW81" s="52">
        <f>+SUMIFS(Revenue_Assumptions!$E18:$M18,Revenue_Assumptions!$E$7:$M$7,BW$7)/12</f>
        <v>131.25</v>
      </c>
      <c r="BX81" s="52">
        <f>+SUMIFS(Revenue_Assumptions!$E18:$M18,Revenue_Assumptions!$E$7:$M$7,BX$7)/12</f>
        <v>131.25</v>
      </c>
      <c r="BY81" s="52">
        <f>+SUMIFS(Revenue_Assumptions!$E18:$M18,Revenue_Assumptions!$E$7:$M$7,BY$7)/12</f>
        <v>131.25</v>
      </c>
      <c r="BZ81" s="52">
        <f>+SUMIFS(Revenue_Assumptions!$E18:$M18,Revenue_Assumptions!$E$7:$M$7,BZ$7)/12</f>
        <v>131.25</v>
      </c>
      <c r="CA81" s="52">
        <f>+SUMIFS(Revenue_Assumptions!$E18:$M18,Revenue_Assumptions!$E$7:$M$7,CA$7)/12</f>
        <v>131.25</v>
      </c>
      <c r="CB81" s="52">
        <f>+SUMIFS(Revenue_Assumptions!$E18:$M18,Revenue_Assumptions!$E$7:$M$7,CB$7)/12</f>
        <v>131.25</v>
      </c>
      <c r="CC81" s="52">
        <f>+SUMIFS(Revenue_Assumptions!$E18:$M18,Revenue_Assumptions!$E$7:$M$7,CC$7)/12</f>
        <v>131.25</v>
      </c>
      <c r="CD81" s="52">
        <f>+SUMIFS(Revenue_Assumptions!$E18:$M18,Revenue_Assumptions!$E$7:$M$7,CD$7)/12</f>
        <v>131.25</v>
      </c>
      <c r="CE81" s="52">
        <f>+SUMIFS(Revenue_Assumptions!$E18:$M18,Revenue_Assumptions!$E$7:$M$7,CE$7)/12</f>
        <v>131.25</v>
      </c>
      <c r="CF81" s="52">
        <f>+SUMIFS(Revenue_Assumptions!$E18:$M18,Revenue_Assumptions!$E$7:$M$7,CF$7)/12</f>
        <v>131.25</v>
      </c>
      <c r="CG81" s="52">
        <f>+SUMIFS(Revenue_Assumptions!$E18:$M18,Revenue_Assumptions!$E$7:$M$7,CG$7)/12</f>
        <v>131.25</v>
      </c>
      <c r="CH81" s="52">
        <f>+SUMIFS(Revenue_Assumptions!$E18:$M18,Revenue_Assumptions!$E$7:$M$7,CH$7)/12</f>
        <v>131.25</v>
      </c>
      <c r="CI81" s="52">
        <f>+SUMIFS(Revenue_Assumptions!$E18:$M18,Revenue_Assumptions!$E$7:$M$7,CI$7)/12</f>
        <v>137.8125</v>
      </c>
      <c r="CJ81" s="52">
        <f>+SUMIFS(Revenue_Assumptions!$E18:$M18,Revenue_Assumptions!$E$7:$M$7,CJ$7)/12</f>
        <v>137.8125</v>
      </c>
      <c r="CK81" s="52">
        <f>+SUMIFS(Revenue_Assumptions!$E18:$M18,Revenue_Assumptions!$E$7:$M$7,CK$7)/12</f>
        <v>137.8125</v>
      </c>
      <c r="CL81" s="52">
        <f>+SUMIFS(Revenue_Assumptions!$E18:$M18,Revenue_Assumptions!$E$7:$M$7,CL$7)/12</f>
        <v>137.8125</v>
      </c>
      <c r="CM81" s="52">
        <f>+SUMIFS(Revenue_Assumptions!$E18:$M18,Revenue_Assumptions!$E$7:$M$7,CM$7)/12</f>
        <v>137.8125</v>
      </c>
      <c r="CN81" s="52">
        <f>+SUMIFS(Revenue_Assumptions!$E18:$M18,Revenue_Assumptions!$E$7:$M$7,CN$7)/12</f>
        <v>137.8125</v>
      </c>
      <c r="CO81" s="52">
        <f>+SUMIFS(Revenue_Assumptions!$E18:$M18,Revenue_Assumptions!$E$7:$M$7,CO$7)/12</f>
        <v>137.8125</v>
      </c>
      <c r="CP81" s="52">
        <f>+SUMIFS(Revenue_Assumptions!$E18:$M18,Revenue_Assumptions!$E$7:$M$7,CP$7)/12</f>
        <v>137.8125</v>
      </c>
      <c r="CQ81" s="52">
        <f>+SUMIFS(Revenue_Assumptions!$E18:$M18,Revenue_Assumptions!$E$7:$M$7,CQ$7)/12</f>
        <v>137.8125</v>
      </c>
      <c r="CR81" s="52">
        <f>+SUMIFS(Revenue_Assumptions!$E18:$M18,Revenue_Assumptions!$E$7:$M$7,CR$7)/12</f>
        <v>137.8125</v>
      </c>
      <c r="CS81" s="52">
        <f>+SUMIFS(Revenue_Assumptions!$E18:$M18,Revenue_Assumptions!$E$7:$M$7,CS$7)/12</f>
        <v>137.8125</v>
      </c>
      <c r="CT81" s="52">
        <f>+SUMIFS(Revenue_Assumptions!$E18:$M18,Revenue_Assumptions!$E$7:$M$7,CT$7)/12</f>
        <v>137.8125</v>
      </c>
      <c r="CU81" s="52">
        <f>+SUMIFS(Revenue_Assumptions!$E18:$M18,Revenue_Assumptions!$E$7:$M$7,CU$7)/12</f>
        <v>144.703125</v>
      </c>
      <c r="CV81" s="52">
        <f>+SUMIFS(Revenue_Assumptions!$E18:$M18,Revenue_Assumptions!$E$7:$M$7,CV$7)/12</f>
        <v>144.703125</v>
      </c>
      <c r="CW81" s="52">
        <f>+SUMIFS(Revenue_Assumptions!$E18:$M18,Revenue_Assumptions!$E$7:$M$7,CW$7)/12</f>
        <v>144.703125</v>
      </c>
      <c r="CX81" s="52">
        <f>+SUMIFS(Revenue_Assumptions!$E18:$M18,Revenue_Assumptions!$E$7:$M$7,CX$7)/12</f>
        <v>144.703125</v>
      </c>
      <c r="CY81" s="52">
        <f>+SUMIFS(Revenue_Assumptions!$E18:$M18,Revenue_Assumptions!$E$7:$M$7,CY$7)/12</f>
        <v>144.703125</v>
      </c>
      <c r="CZ81" s="52">
        <f>+SUMIFS(Revenue_Assumptions!$E18:$M18,Revenue_Assumptions!$E$7:$M$7,CZ$7)/12</f>
        <v>144.703125</v>
      </c>
      <c r="DA81" s="52">
        <f>+SUMIFS(Revenue_Assumptions!$E18:$M18,Revenue_Assumptions!$E$7:$M$7,DA$7)/12</f>
        <v>144.703125</v>
      </c>
      <c r="DB81" s="52">
        <f>+SUMIFS(Revenue_Assumptions!$E18:$M18,Revenue_Assumptions!$E$7:$M$7,DB$7)/12</f>
        <v>144.703125</v>
      </c>
      <c r="DC81" s="52">
        <f>+SUMIFS(Revenue_Assumptions!$E18:$M18,Revenue_Assumptions!$E$7:$M$7,DC$7)/12</f>
        <v>144.703125</v>
      </c>
      <c r="DD81" s="52">
        <f>+SUMIFS(Revenue_Assumptions!$E18:$M18,Revenue_Assumptions!$E$7:$M$7,DD$7)/12</f>
        <v>144.703125</v>
      </c>
      <c r="DE81" s="52">
        <f>+SUMIFS(Revenue_Assumptions!$E18:$M18,Revenue_Assumptions!$E$7:$M$7,DE$7)/12</f>
        <v>144.703125</v>
      </c>
      <c r="DF81" s="52">
        <f>+SUMIFS(Revenue_Assumptions!$E18:$M18,Revenue_Assumptions!$E$7:$M$7,DF$7)/12</f>
        <v>144.703125</v>
      </c>
      <c r="DG81" s="52">
        <f>+SUMIFS(Revenue_Assumptions!$E18:$M18,Revenue_Assumptions!$E$7:$M$7,DG$7)/12</f>
        <v>151.9382813</v>
      </c>
      <c r="DH81" s="52">
        <f>+SUMIFS(Revenue_Assumptions!$E18:$M18,Revenue_Assumptions!$E$7:$M$7,DH$7)/12</f>
        <v>151.9382813</v>
      </c>
      <c r="DI81" s="52">
        <f>+SUMIFS(Revenue_Assumptions!$E18:$M18,Revenue_Assumptions!$E$7:$M$7,DI$7)/12</f>
        <v>151.9382813</v>
      </c>
      <c r="DJ81" s="52">
        <f>+SUMIFS(Revenue_Assumptions!$E18:$M18,Revenue_Assumptions!$E$7:$M$7,DJ$7)/12</f>
        <v>151.9382813</v>
      </c>
      <c r="DK81" s="52">
        <f>+SUMIFS(Revenue_Assumptions!$E18:$M18,Revenue_Assumptions!$E$7:$M$7,DK$7)/12</f>
        <v>151.9382813</v>
      </c>
      <c r="DL81" s="52">
        <f>+SUMIFS(Revenue_Assumptions!$E18:$M18,Revenue_Assumptions!$E$7:$M$7,DL$7)/12</f>
        <v>151.9382813</v>
      </c>
      <c r="DM81" s="52">
        <f>+SUMIFS(Revenue_Assumptions!$E18:$M18,Revenue_Assumptions!$E$7:$M$7,DM$7)/12</f>
        <v>151.9382813</v>
      </c>
      <c r="DN81" s="52">
        <f>+SUMIFS(Revenue_Assumptions!$E18:$M18,Revenue_Assumptions!$E$7:$M$7,DN$7)/12</f>
        <v>151.9382813</v>
      </c>
      <c r="DO81" s="52">
        <f>+SUMIFS(Revenue_Assumptions!$E18:$M18,Revenue_Assumptions!$E$7:$M$7,DO$7)/12</f>
        <v>151.9382813</v>
      </c>
      <c r="DP81" s="52">
        <f>+SUMIFS(Revenue_Assumptions!$E18:$M18,Revenue_Assumptions!$E$7:$M$7,DP$7)/12</f>
        <v>151.9382813</v>
      </c>
      <c r="DQ81" s="52">
        <f>+SUMIFS(Revenue_Assumptions!$E18:$M18,Revenue_Assumptions!$E$7:$M$7,DQ$7)/12</f>
        <v>151.9382813</v>
      </c>
      <c r="DR81" s="52">
        <f>+SUMIFS(Revenue_Assumptions!$E18:$M18,Revenue_Assumptions!$E$7:$M$7,DR$7)/12</f>
        <v>151.9382813</v>
      </c>
    </row>
    <row r="82" ht="15.75" customHeight="1" outlineLevel="1">
      <c r="B82" s="54" t="s">
        <v>130</v>
      </c>
      <c r="C82" s="54"/>
      <c r="E82" s="55">
        <f t="shared" ref="E82:M82" si="112">+SUMIFS($AA82:$DR82,$AA$7:$DR$7,E$7)</f>
        <v>0</v>
      </c>
      <c r="F82" s="55">
        <f t="shared" si="112"/>
        <v>0</v>
      </c>
      <c r="G82" s="55">
        <f t="shared" si="112"/>
        <v>0</v>
      </c>
      <c r="H82" s="55">
        <f t="shared" si="112"/>
        <v>0</v>
      </c>
      <c r="I82" s="55">
        <f t="shared" si="112"/>
        <v>0</v>
      </c>
      <c r="J82" s="55">
        <f t="shared" si="112"/>
        <v>32.8125</v>
      </c>
      <c r="K82" s="55">
        <f t="shared" si="112"/>
        <v>895.78125</v>
      </c>
      <c r="L82" s="55">
        <f t="shared" si="112"/>
        <v>940.5703125</v>
      </c>
      <c r="M82" s="55">
        <f t="shared" si="112"/>
        <v>987.5988281</v>
      </c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55">
        <f t="shared" ref="AA82:DR82" si="113">+AA80*AA81</f>
        <v>0</v>
      </c>
      <c r="AB82" s="55">
        <f t="shared" si="113"/>
        <v>0</v>
      </c>
      <c r="AC82" s="55">
        <f t="shared" si="113"/>
        <v>0</v>
      </c>
      <c r="AD82" s="55">
        <f t="shared" si="113"/>
        <v>0</v>
      </c>
      <c r="AE82" s="55">
        <f t="shared" si="113"/>
        <v>0</v>
      </c>
      <c r="AF82" s="55">
        <f t="shared" si="113"/>
        <v>0</v>
      </c>
      <c r="AG82" s="55">
        <f t="shared" si="113"/>
        <v>0</v>
      </c>
      <c r="AH82" s="55">
        <f t="shared" si="113"/>
        <v>0</v>
      </c>
      <c r="AI82" s="55">
        <f t="shared" si="113"/>
        <v>0</v>
      </c>
      <c r="AJ82" s="55">
        <f t="shared" si="113"/>
        <v>0</v>
      </c>
      <c r="AK82" s="55">
        <f t="shared" si="113"/>
        <v>0</v>
      </c>
      <c r="AL82" s="55">
        <f t="shared" si="113"/>
        <v>0</v>
      </c>
      <c r="AM82" s="55">
        <f t="shared" si="113"/>
        <v>0</v>
      </c>
      <c r="AN82" s="55">
        <f t="shared" si="113"/>
        <v>0</v>
      </c>
      <c r="AO82" s="55">
        <f t="shared" si="113"/>
        <v>0</v>
      </c>
      <c r="AP82" s="55">
        <f t="shared" si="113"/>
        <v>0</v>
      </c>
      <c r="AQ82" s="55">
        <f t="shared" si="113"/>
        <v>0</v>
      </c>
      <c r="AR82" s="55">
        <f t="shared" si="113"/>
        <v>0</v>
      </c>
      <c r="AS82" s="55">
        <f t="shared" si="113"/>
        <v>0</v>
      </c>
      <c r="AT82" s="55">
        <f t="shared" si="113"/>
        <v>0</v>
      </c>
      <c r="AU82" s="55">
        <f t="shared" si="113"/>
        <v>0</v>
      </c>
      <c r="AV82" s="55">
        <f t="shared" si="113"/>
        <v>0</v>
      </c>
      <c r="AW82" s="55">
        <f t="shared" si="113"/>
        <v>0</v>
      </c>
      <c r="AX82" s="55">
        <f t="shared" si="113"/>
        <v>0</v>
      </c>
      <c r="AY82" s="55">
        <f t="shared" si="113"/>
        <v>0</v>
      </c>
      <c r="AZ82" s="55">
        <f t="shared" si="113"/>
        <v>0</v>
      </c>
      <c r="BA82" s="55">
        <f t="shared" si="113"/>
        <v>0</v>
      </c>
      <c r="BB82" s="55">
        <f t="shared" si="113"/>
        <v>0</v>
      </c>
      <c r="BC82" s="55">
        <f t="shared" si="113"/>
        <v>0</v>
      </c>
      <c r="BD82" s="55">
        <f t="shared" si="113"/>
        <v>0</v>
      </c>
      <c r="BE82" s="55">
        <f t="shared" si="113"/>
        <v>0</v>
      </c>
      <c r="BF82" s="55">
        <f t="shared" si="113"/>
        <v>0</v>
      </c>
      <c r="BG82" s="55">
        <f t="shared" si="113"/>
        <v>0</v>
      </c>
      <c r="BH82" s="55">
        <f t="shared" si="113"/>
        <v>0</v>
      </c>
      <c r="BI82" s="55">
        <f t="shared" si="113"/>
        <v>0</v>
      </c>
      <c r="BJ82" s="55">
        <f t="shared" si="113"/>
        <v>0</v>
      </c>
      <c r="BK82" s="55">
        <f t="shared" si="113"/>
        <v>0</v>
      </c>
      <c r="BL82" s="55">
        <f t="shared" si="113"/>
        <v>0</v>
      </c>
      <c r="BM82" s="55">
        <f t="shared" si="113"/>
        <v>0</v>
      </c>
      <c r="BN82" s="55">
        <f t="shared" si="113"/>
        <v>0</v>
      </c>
      <c r="BO82" s="55">
        <f t="shared" si="113"/>
        <v>0</v>
      </c>
      <c r="BP82" s="55">
        <f t="shared" si="113"/>
        <v>0</v>
      </c>
      <c r="BQ82" s="55">
        <f t="shared" si="113"/>
        <v>0</v>
      </c>
      <c r="BR82" s="55">
        <f t="shared" si="113"/>
        <v>0</v>
      </c>
      <c r="BS82" s="55">
        <f t="shared" si="113"/>
        <v>0</v>
      </c>
      <c r="BT82" s="55">
        <f t="shared" si="113"/>
        <v>0</v>
      </c>
      <c r="BU82" s="55">
        <f t="shared" si="113"/>
        <v>0</v>
      </c>
      <c r="BV82" s="55">
        <f t="shared" si="113"/>
        <v>0</v>
      </c>
      <c r="BW82" s="55">
        <f t="shared" si="113"/>
        <v>0</v>
      </c>
      <c r="BX82" s="55">
        <f t="shared" si="113"/>
        <v>0</v>
      </c>
      <c r="BY82" s="55">
        <f t="shared" si="113"/>
        <v>0</v>
      </c>
      <c r="BZ82" s="55">
        <f t="shared" si="113"/>
        <v>0</v>
      </c>
      <c r="CA82" s="55">
        <f t="shared" si="113"/>
        <v>0</v>
      </c>
      <c r="CB82" s="55">
        <f t="shared" si="113"/>
        <v>0</v>
      </c>
      <c r="CC82" s="55">
        <f t="shared" si="113"/>
        <v>0</v>
      </c>
      <c r="CD82" s="55">
        <f t="shared" si="113"/>
        <v>0</v>
      </c>
      <c r="CE82" s="55">
        <f t="shared" si="113"/>
        <v>0</v>
      </c>
      <c r="CF82" s="55">
        <f t="shared" si="113"/>
        <v>0</v>
      </c>
      <c r="CG82" s="55">
        <f t="shared" si="113"/>
        <v>10.9375</v>
      </c>
      <c r="CH82" s="55">
        <f t="shared" si="113"/>
        <v>21.875</v>
      </c>
      <c r="CI82" s="55">
        <f t="shared" si="113"/>
        <v>11.484375</v>
      </c>
      <c r="CJ82" s="55">
        <f t="shared" si="113"/>
        <v>22.96875</v>
      </c>
      <c r="CK82" s="55">
        <f t="shared" si="113"/>
        <v>34.453125</v>
      </c>
      <c r="CL82" s="55">
        <f t="shared" si="113"/>
        <v>45.9375</v>
      </c>
      <c r="CM82" s="55">
        <f t="shared" si="113"/>
        <v>57.421875</v>
      </c>
      <c r="CN82" s="55">
        <f t="shared" si="113"/>
        <v>68.90625</v>
      </c>
      <c r="CO82" s="55">
        <f t="shared" si="113"/>
        <v>80.390625</v>
      </c>
      <c r="CP82" s="55">
        <f t="shared" si="113"/>
        <v>91.875</v>
      </c>
      <c r="CQ82" s="55">
        <f t="shared" si="113"/>
        <v>103.359375</v>
      </c>
      <c r="CR82" s="55">
        <f t="shared" si="113"/>
        <v>114.84375</v>
      </c>
      <c r="CS82" s="55">
        <f t="shared" si="113"/>
        <v>126.328125</v>
      </c>
      <c r="CT82" s="55">
        <f t="shared" si="113"/>
        <v>137.8125</v>
      </c>
      <c r="CU82" s="55">
        <f t="shared" si="113"/>
        <v>12.05859375</v>
      </c>
      <c r="CV82" s="55">
        <f t="shared" si="113"/>
        <v>24.1171875</v>
      </c>
      <c r="CW82" s="55">
        <f t="shared" si="113"/>
        <v>36.17578125</v>
      </c>
      <c r="CX82" s="55">
        <f t="shared" si="113"/>
        <v>48.234375</v>
      </c>
      <c r="CY82" s="55">
        <f t="shared" si="113"/>
        <v>60.29296875</v>
      </c>
      <c r="CZ82" s="55">
        <f t="shared" si="113"/>
        <v>72.3515625</v>
      </c>
      <c r="DA82" s="55">
        <f t="shared" si="113"/>
        <v>84.41015625</v>
      </c>
      <c r="DB82" s="55">
        <f t="shared" si="113"/>
        <v>96.46875</v>
      </c>
      <c r="DC82" s="55">
        <f t="shared" si="113"/>
        <v>108.5273438</v>
      </c>
      <c r="DD82" s="55">
        <f t="shared" si="113"/>
        <v>120.5859375</v>
      </c>
      <c r="DE82" s="55">
        <f t="shared" si="113"/>
        <v>132.6445313</v>
      </c>
      <c r="DF82" s="55">
        <f t="shared" si="113"/>
        <v>144.703125</v>
      </c>
      <c r="DG82" s="55">
        <f t="shared" si="113"/>
        <v>12.66152344</v>
      </c>
      <c r="DH82" s="55">
        <f t="shared" si="113"/>
        <v>25.32304688</v>
      </c>
      <c r="DI82" s="55">
        <f t="shared" si="113"/>
        <v>37.98457031</v>
      </c>
      <c r="DJ82" s="55">
        <f t="shared" si="113"/>
        <v>50.64609375</v>
      </c>
      <c r="DK82" s="55">
        <f t="shared" si="113"/>
        <v>63.30761719</v>
      </c>
      <c r="DL82" s="55">
        <f t="shared" si="113"/>
        <v>75.96914063</v>
      </c>
      <c r="DM82" s="55">
        <f t="shared" si="113"/>
        <v>88.63066406</v>
      </c>
      <c r="DN82" s="55">
        <f t="shared" si="113"/>
        <v>101.2921875</v>
      </c>
      <c r="DO82" s="55">
        <f t="shared" si="113"/>
        <v>113.9537109</v>
      </c>
      <c r="DP82" s="55">
        <f t="shared" si="113"/>
        <v>126.6152344</v>
      </c>
      <c r="DQ82" s="55">
        <f t="shared" si="113"/>
        <v>139.2767578</v>
      </c>
      <c r="DR82" s="55">
        <f t="shared" si="113"/>
        <v>151.9382813</v>
      </c>
    </row>
    <row r="83" ht="4.5" customHeight="1" outlineLevel="1"/>
    <row r="84" ht="15.75" customHeight="1">
      <c r="B84" s="60" t="s">
        <v>46</v>
      </c>
      <c r="C84" s="60"/>
      <c r="E84" s="61">
        <f>+SUMIFS(E$13:E$58,$C$13:$C$58,$B$74)</f>
        <v>7304.549</v>
      </c>
      <c r="F84" s="61">
        <f t="shared" ref="F84:M84" si="114">+SUM(F78,F82)</f>
        <v>7916.045</v>
      </c>
      <c r="G84" s="61">
        <f t="shared" si="114"/>
        <v>8245.29</v>
      </c>
      <c r="H84" s="61">
        <f t="shared" si="114"/>
        <v>8781.099592</v>
      </c>
      <c r="I84" s="61">
        <f t="shared" si="114"/>
        <v>9075.523268</v>
      </c>
      <c r="J84" s="61">
        <f t="shared" si="114"/>
        <v>9607.489548</v>
      </c>
      <c r="K84" s="61">
        <f t="shared" si="114"/>
        <v>11031.68272</v>
      </c>
      <c r="L84" s="61">
        <f t="shared" si="114"/>
        <v>12578.99559</v>
      </c>
      <c r="M84" s="61">
        <f t="shared" si="114"/>
        <v>14258.43917</v>
      </c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  <c r="CD84" s="53"/>
      <c r="CE84" s="53"/>
      <c r="CF84" s="53"/>
      <c r="CG84" s="53"/>
      <c r="CH84" s="53"/>
      <c r="CI84" s="53"/>
      <c r="CJ84" s="53"/>
      <c r="CK84" s="53"/>
      <c r="CL84" s="53"/>
      <c r="CM84" s="53"/>
      <c r="CN84" s="53"/>
      <c r="CO84" s="53"/>
      <c r="CP84" s="53"/>
      <c r="CQ84" s="53"/>
      <c r="CR84" s="53"/>
      <c r="CS84" s="53"/>
      <c r="CT84" s="53"/>
      <c r="CU84" s="53"/>
      <c r="CV84" s="53"/>
      <c r="CW84" s="53"/>
      <c r="CX84" s="53"/>
      <c r="CY84" s="53"/>
      <c r="CZ84" s="53"/>
      <c r="DA84" s="53"/>
      <c r="DB84" s="53"/>
      <c r="DC84" s="53"/>
      <c r="DD84" s="53"/>
      <c r="DE84" s="53"/>
      <c r="DF84" s="53"/>
      <c r="DG84" s="53"/>
      <c r="DH84" s="53"/>
      <c r="DI84" s="53"/>
      <c r="DJ84" s="53"/>
      <c r="DK84" s="53"/>
      <c r="DL84" s="53"/>
      <c r="DM84" s="53"/>
      <c r="DN84" s="53"/>
      <c r="DO84" s="53"/>
      <c r="DP84" s="53"/>
      <c r="DQ84" s="53"/>
      <c r="DR84" s="53"/>
    </row>
    <row r="85" ht="4.5" customHeight="1"/>
    <row r="86" ht="15.75" customHeight="1">
      <c r="B86" s="99" t="s">
        <v>76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  <c r="AM86" s="100"/>
      <c r="AN86" s="100"/>
      <c r="AO86" s="100"/>
      <c r="AP86" s="100"/>
      <c r="AQ86" s="100"/>
      <c r="AR86" s="100"/>
      <c r="AS86" s="100"/>
      <c r="AT86" s="100"/>
      <c r="AU86" s="100"/>
      <c r="AV86" s="100"/>
      <c r="AW86" s="100"/>
      <c r="AX86" s="100"/>
      <c r="AY86" s="100"/>
      <c r="AZ86" s="100"/>
      <c r="BA86" s="100"/>
      <c r="BB86" s="100"/>
      <c r="BC86" s="100"/>
      <c r="BD86" s="100"/>
      <c r="BE86" s="100"/>
      <c r="BF86" s="100"/>
      <c r="BG86" s="100"/>
      <c r="BH86" s="100"/>
      <c r="BI86" s="100"/>
      <c r="BJ86" s="100"/>
      <c r="BK86" s="100"/>
      <c r="BL86" s="100"/>
      <c r="BM86" s="100"/>
      <c r="BN86" s="100"/>
      <c r="BO86" s="100"/>
      <c r="BP86" s="100"/>
      <c r="BQ86" s="100"/>
      <c r="BR86" s="100"/>
      <c r="BS86" s="100"/>
      <c r="BT86" s="100"/>
      <c r="BU86" s="100"/>
      <c r="BV86" s="100"/>
      <c r="BW86" s="100"/>
      <c r="BX86" s="100"/>
      <c r="BY86" s="100"/>
      <c r="BZ86" s="100"/>
      <c r="CA86" s="100"/>
      <c r="CB86" s="100"/>
      <c r="CC86" s="100"/>
      <c r="CD86" s="100"/>
      <c r="CE86" s="100"/>
      <c r="CF86" s="100"/>
      <c r="CG86" s="100"/>
      <c r="CH86" s="100"/>
      <c r="CI86" s="100"/>
      <c r="CJ86" s="100"/>
      <c r="CK86" s="100"/>
      <c r="CL86" s="100"/>
      <c r="CM86" s="100"/>
      <c r="CN86" s="100"/>
      <c r="CO86" s="100"/>
      <c r="CP86" s="100"/>
      <c r="CQ86" s="100"/>
      <c r="CR86" s="100"/>
      <c r="CS86" s="100"/>
      <c r="CT86" s="100"/>
      <c r="CU86" s="100"/>
      <c r="CV86" s="100"/>
      <c r="CW86" s="100"/>
      <c r="CX86" s="100"/>
      <c r="CY86" s="100"/>
      <c r="CZ86" s="100"/>
      <c r="DA86" s="100"/>
      <c r="DB86" s="100"/>
      <c r="DC86" s="100"/>
      <c r="DD86" s="100"/>
      <c r="DE86" s="100"/>
      <c r="DF86" s="100"/>
      <c r="DG86" s="100"/>
      <c r="DH86" s="100"/>
      <c r="DI86" s="100"/>
      <c r="DJ86" s="100"/>
      <c r="DK86" s="100"/>
      <c r="DL86" s="100"/>
      <c r="DM86" s="100"/>
      <c r="DN86" s="100"/>
      <c r="DO86" s="100"/>
      <c r="DP86" s="100"/>
      <c r="DQ86" s="100"/>
      <c r="DR86" s="100"/>
    </row>
    <row r="87" ht="15.75" customHeight="1">
      <c r="B87" s="5" t="s">
        <v>120</v>
      </c>
      <c r="E87" s="100"/>
      <c r="F87" s="50">
        <f t="shared" ref="F87:M87" si="115">+E96</f>
        <v>1750.371</v>
      </c>
      <c r="G87" s="50">
        <f t="shared" si="115"/>
        <v>1771.212</v>
      </c>
      <c r="H87" s="50">
        <f t="shared" si="115"/>
        <v>1842.559</v>
      </c>
      <c r="I87" s="50">
        <f t="shared" si="115"/>
        <v>1905.0657</v>
      </c>
      <c r="J87" s="50">
        <f t="shared" si="115"/>
        <v>2067.560393</v>
      </c>
      <c r="K87" s="50">
        <f t="shared" si="115"/>
        <v>2432.239016</v>
      </c>
      <c r="L87" s="50">
        <f t="shared" si="115"/>
        <v>2936.485857</v>
      </c>
      <c r="M87" s="50">
        <f t="shared" si="115"/>
        <v>3488.903133</v>
      </c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  <c r="AN87" s="100"/>
      <c r="AO87" s="100"/>
      <c r="AP87" s="100"/>
      <c r="AQ87" s="100"/>
      <c r="AR87" s="100"/>
      <c r="AS87" s="100"/>
      <c r="AT87" s="100"/>
      <c r="AU87" s="100"/>
      <c r="AV87" s="100"/>
      <c r="AW87" s="100"/>
      <c r="AX87" s="100"/>
      <c r="AY87" s="100"/>
      <c r="AZ87" s="100"/>
      <c r="BA87" s="100"/>
      <c r="BB87" s="100"/>
      <c r="BC87" s="100"/>
      <c r="BD87" s="100"/>
      <c r="BE87" s="100"/>
      <c r="BF87" s="100"/>
      <c r="BG87" s="100"/>
      <c r="BH87" s="100"/>
      <c r="BI87" s="100"/>
      <c r="BJ87" s="100"/>
      <c r="BK87" s="100"/>
      <c r="BL87" s="100"/>
      <c r="BM87" s="100"/>
      <c r="BN87" s="100"/>
      <c r="BO87" s="100"/>
      <c r="BP87" s="100"/>
      <c r="BQ87" s="100"/>
      <c r="BR87" s="100"/>
      <c r="BS87" s="100"/>
      <c r="BT87" s="100"/>
      <c r="BU87" s="100"/>
      <c r="BV87" s="100"/>
      <c r="BW87" s="100"/>
      <c r="BX87" s="100"/>
      <c r="BY87" s="100"/>
      <c r="BZ87" s="100"/>
      <c r="CA87" s="100"/>
      <c r="CB87" s="100"/>
      <c r="CC87" s="100"/>
      <c r="CD87" s="100"/>
      <c r="CE87" s="100"/>
      <c r="CF87" s="100"/>
      <c r="CG87" s="100"/>
      <c r="CH87" s="100"/>
      <c r="CI87" s="100"/>
      <c r="CJ87" s="100"/>
      <c r="CK87" s="100"/>
      <c r="CL87" s="100"/>
      <c r="CM87" s="100"/>
      <c r="CN87" s="100"/>
      <c r="CO87" s="100"/>
      <c r="CP87" s="100"/>
      <c r="CQ87" s="100"/>
      <c r="CR87" s="100"/>
      <c r="CS87" s="100"/>
      <c r="CT87" s="100"/>
      <c r="CU87" s="100"/>
      <c r="CV87" s="100"/>
      <c r="CW87" s="100"/>
      <c r="CX87" s="100"/>
      <c r="CY87" s="100"/>
      <c r="CZ87" s="100"/>
      <c r="DA87" s="100"/>
      <c r="DB87" s="100"/>
      <c r="DC87" s="100"/>
      <c r="DD87" s="100"/>
      <c r="DE87" s="100"/>
      <c r="DF87" s="100"/>
      <c r="DG87" s="100"/>
      <c r="DH87" s="100"/>
      <c r="DI87" s="100"/>
      <c r="DJ87" s="100"/>
      <c r="DK87" s="100"/>
      <c r="DL87" s="100"/>
      <c r="DM87" s="100"/>
      <c r="DN87" s="100"/>
      <c r="DO87" s="100"/>
      <c r="DP87" s="100"/>
      <c r="DQ87" s="100"/>
      <c r="DR87" s="100"/>
    </row>
    <row r="88" ht="15.75" customHeight="1">
      <c r="B88" s="5" t="s">
        <v>121</v>
      </c>
      <c r="E88" s="100"/>
      <c r="F88" s="50">
        <f t="shared" ref="F88:I88" si="116">+SUMIFS(DT$13:DT$58,DT$13:DT$58,"&lt;0",$C$13:$C$58,$B$86)</f>
        <v>-49.611</v>
      </c>
      <c r="G88" s="50">
        <f t="shared" si="116"/>
        <v>0</v>
      </c>
      <c r="H88" s="50">
        <f t="shared" si="116"/>
        <v>0</v>
      </c>
      <c r="I88" s="50">
        <f t="shared" si="116"/>
        <v>-92.243</v>
      </c>
      <c r="J88" s="52">
        <f>+Revenue_Assumptions!J21*J$87</f>
        <v>0</v>
      </c>
      <c r="K88" s="52">
        <f>+Revenue_Assumptions!K21*K$87</f>
        <v>0</v>
      </c>
      <c r="L88" s="52">
        <f>+Revenue_Assumptions!L21*L$87</f>
        <v>0</v>
      </c>
      <c r="M88" s="52">
        <f>+Revenue_Assumptions!M21*M$87</f>
        <v>0</v>
      </c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0"/>
      <c r="AS88" s="100"/>
      <c r="AT88" s="100"/>
      <c r="AU88" s="100"/>
      <c r="AV88" s="100"/>
      <c r="AW88" s="100"/>
      <c r="AX88" s="100"/>
      <c r="AY88" s="100"/>
      <c r="AZ88" s="100"/>
      <c r="BA88" s="100"/>
      <c r="BB88" s="100"/>
      <c r="BC88" s="100"/>
      <c r="BD88" s="100"/>
      <c r="BE88" s="100"/>
      <c r="BF88" s="100"/>
      <c r="BG88" s="100"/>
      <c r="BH88" s="100"/>
      <c r="BI88" s="100"/>
      <c r="BJ88" s="100"/>
      <c r="BK88" s="100"/>
      <c r="BL88" s="100"/>
      <c r="BM88" s="100"/>
      <c r="BN88" s="100"/>
      <c r="BO88" s="100"/>
      <c r="BP88" s="100"/>
      <c r="BQ88" s="100"/>
      <c r="BR88" s="100"/>
      <c r="BS88" s="100"/>
      <c r="BT88" s="100"/>
      <c r="BU88" s="100"/>
      <c r="BV88" s="100"/>
      <c r="BW88" s="100"/>
      <c r="BX88" s="100"/>
      <c r="BY88" s="100"/>
      <c r="BZ88" s="100"/>
      <c r="CA88" s="100"/>
      <c r="CB88" s="100"/>
      <c r="CC88" s="100"/>
      <c r="CD88" s="100"/>
      <c r="CE88" s="100"/>
      <c r="CF88" s="100"/>
      <c r="CG88" s="100"/>
      <c r="CH88" s="100"/>
      <c r="CI88" s="100"/>
      <c r="CJ88" s="100"/>
      <c r="CK88" s="100"/>
      <c r="CL88" s="100"/>
      <c r="CM88" s="100"/>
      <c r="CN88" s="100"/>
      <c r="CO88" s="100"/>
      <c r="CP88" s="100"/>
      <c r="CQ88" s="100"/>
      <c r="CR88" s="100"/>
      <c r="CS88" s="100"/>
      <c r="CT88" s="100"/>
      <c r="CU88" s="100"/>
      <c r="CV88" s="100"/>
      <c r="CW88" s="100"/>
      <c r="CX88" s="100"/>
      <c r="CY88" s="100"/>
      <c r="CZ88" s="100"/>
      <c r="DA88" s="100"/>
      <c r="DB88" s="100"/>
      <c r="DC88" s="100"/>
      <c r="DD88" s="100"/>
      <c r="DE88" s="100"/>
      <c r="DF88" s="100"/>
      <c r="DG88" s="100"/>
      <c r="DH88" s="100"/>
      <c r="DI88" s="100"/>
      <c r="DJ88" s="100"/>
      <c r="DK88" s="100"/>
      <c r="DL88" s="100"/>
      <c r="DM88" s="100"/>
      <c r="DN88" s="100"/>
      <c r="DO88" s="100"/>
      <c r="DP88" s="100"/>
      <c r="DQ88" s="100"/>
      <c r="DR88" s="100"/>
    </row>
    <row r="89" ht="15.75" customHeight="1">
      <c r="B89" s="5" t="s">
        <v>127</v>
      </c>
      <c r="E89" s="100"/>
      <c r="F89" s="50">
        <f t="shared" ref="F89:I89" si="117">+SUMIFS(DT$13:DT$58,DT$13:DT$58,"&gt;0",$C$13:$C$58,$B$86)-F94</f>
        <v>70.452</v>
      </c>
      <c r="G89" s="50">
        <f t="shared" si="117"/>
        <v>71.347</v>
      </c>
      <c r="H89" s="50">
        <f t="shared" si="117"/>
        <v>62.5067</v>
      </c>
      <c r="I89" s="50">
        <f t="shared" si="117"/>
        <v>254.7376925</v>
      </c>
      <c r="J89" s="52">
        <f>+Revenue_Assumptions!J22*J$87</f>
        <v>124.0536236</v>
      </c>
      <c r="K89" s="52">
        <f>+Revenue_Assumptions!K22*K$87</f>
        <v>145.934341</v>
      </c>
      <c r="L89" s="52">
        <f>+Revenue_Assumptions!L22*L$87</f>
        <v>176.1891514</v>
      </c>
      <c r="M89" s="52">
        <f>+Revenue_Assumptions!M22*M$87</f>
        <v>209.334188</v>
      </c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100"/>
      <c r="AU89" s="100"/>
      <c r="AV89" s="100"/>
      <c r="AW89" s="100"/>
      <c r="AX89" s="100"/>
      <c r="AY89" s="100"/>
      <c r="AZ89" s="100"/>
      <c r="BA89" s="100"/>
      <c r="BB89" s="100"/>
      <c r="BC89" s="100"/>
      <c r="BD89" s="100"/>
      <c r="BE89" s="100"/>
      <c r="BF89" s="100"/>
      <c r="BG89" s="100"/>
      <c r="BH89" s="100"/>
      <c r="BI89" s="100"/>
      <c r="BJ89" s="100"/>
      <c r="BK89" s="100"/>
      <c r="BL89" s="100"/>
      <c r="BM89" s="100"/>
      <c r="BN89" s="100"/>
      <c r="BO89" s="100"/>
      <c r="BP89" s="100"/>
      <c r="BQ89" s="100"/>
      <c r="BR89" s="100"/>
      <c r="BS89" s="100"/>
      <c r="BT89" s="100"/>
      <c r="BU89" s="100"/>
      <c r="BV89" s="100"/>
      <c r="BW89" s="100"/>
      <c r="BX89" s="100"/>
      <c r="BY89" s="100"/>
      <c r="BZ89" s="100"/>
      <c r="CA89" s="100"/>
      <c r="CB89" s="100"/>
      <c r="CC89" s="100"/>
      <c r="CD89" s="100"/>
      <c r="CE89" s="100"/>
      <c r="CF89" s="100"/>
      <c r="CG89" s="100"/>
      <c r="CH89" s="100"/>
      <c r="CI89" s="100"/>
      <c r="CJ89" s="100"/>
      <c r="CK89" s="100"/>
      <c r="CL89" s="100"/>
      <c r="CM89" s="100"/>
      <c r="CN89" s="100"/>
      <c r="CO89" s="100"/>
      <c r="CP89" s="100"/>
      <c r="CQ89" s="100"/>
      <c r="CR89" s="100"/>
      <c r="CS89" s="100"/>
      <c r="CT89" s="100"/>
      <c r="CU89" s="100"/>
      <c r="CV89" s="100"/>
      <c r="CW89" s="100"/>
      <c r="CX89" s="100"/>
      <c r="CY89" s="100"/>
      <c r="CZ89" s="100"/>
      <c r="DA89" s="100"/>
      <c r="DB89" s="100"/>
      <c r="DC89" s="100"/>
      <c r="DD89" s="100"/>
      <c r="DE89" s="100"/>
      <c r="DF89" s="100"/>
      <c r="DG89" s="100"/>
      <c r="DH89" s="100"/>
      <c r="DI89" s="100"/>
      <c r="DJ89" s="100"/>
      <c r="DK89" s="100"/>
      <c r="DL89" s="100"/>
      <c r="DM89" s="100"/>
      <c r="DN89" s="100"/>
      <c r="DO89" s="100"/>
      <c r="DP89" s="100"/>
      <c r="DQ89" s="100"/>
      <c r="DR89" s="100"/>
    </row>
    <row r="90" ht="15.75" customHeight="1">
      <c r="B90" s="54" t="s">
        <v>124</v>
      </c>
      <c r="C90" s="54"/>
      <c r="E90" s="92"/>
      <c r="F90" s="55">
        <f t="shared" ref="F90:M90" si="118">SUM(F87:F89)</f>
        <v>1771.212</v>
      </c>
      <c r="G90" s="55">
        <f t="shared" si="118"/>
        <v>1842.559</v>
      </c>
      <c r="H90" s="55">
        <f t="shared" si="118"/>
        <v>1905.0657</v>
      </c>
      <c r="I90" s="55">
        <f t="shared" si="118"/>
        <v>2067.560393</v>
      </c>
      <c r="J90" s="55">
        <f t="shared" si="118"/>
        <v>2191.614016</v>
      </c>
      <c r="K90" s="55">
        <f t="shared" si="118"/>
        <v>2578.173357</v>
      </c>
      <c r="L90" s="55">
        <f t="shared" si="118"/>
        <v>3112.675008</v>
      </c>
      <c r="M90" s="55">
        <f t="shared" si="118"/>
        <v>3698.237321</v>
      </c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100"/>
      <c r="BX90" s="100"/>
      <c r="BY90" s="100"/>
      <c r="BZ90" s="100"/>
      <c r="CA90" s="100"/>
      <c r="CB90" s="100"/>
      <c r="CC90" s="100"/>
      <c r="CD90" s="100"/>
      <c r="CE90" s="100"/>
      <c r="CF90" s="100"/>
      <c r="CG90" s="100"/>
      <c r="CH90" s="100"/>
      <c r="CI90" s="100"/>
      <c r="CJ90" s="100"/>
      <c r="CK90" s="100"/>
      <c r="CL90" s="100"/>
      <c r="CM90" s="100"/>
      <c r="CN90" s="100"/>
      <c r="CO90" s="100"/>
      <c r="CP90" s="100"/>
      <c r="CQ90" s="100"/>
      <c r="CR90" s="100"/>
      <c r="CS90" s="100"/>
      <c r="CT90" s="100"/>
      <c r="CU90" s="100"/>
      <c r="CV90" s="100"/>
      <c r="CW90" s="100"/>
      <c r="CX90" s="100"/>
      <c r="CY90" s="100"/>
      <c r="CZ90" s="100"/>
      <c r="DA90" s="100"/>
      <c r="DB90" s="100"/>
      <c r="DC90" s="100"/>
      <c r="DD90" s="100"/>
      <c r="DE90" s="100"/>
      <c r="DF90" s="100"/>
      <c r="DG90" s="100"/>
      <c r="DH90" s="100"/>
      <c r="DI90" s="100"/>
      <c r="DJ90" s="100"/>
      <c r="DK90" s="100"/>
      <c r="DL90" s="100"/>
      <c r="DM90" s="100"/>
      <c r="DN90" s="100"/>
      <c r="DO90" s="100"/>
      <c r="DP90" s="100"/>
      <c r="DQ90" s="100"/>
      <c r="DR90" s="100"/>
    </row>
    <row r="91" ht="4.5" customHeight="1"/>
    <row r="92" ht="15.75" hidden="1" customHeight="1" outlineLevel="1">
      <c r="B92" s="5" t="s">
        <v>128</v>
      </c>
      <c r="E92" s="100"/>
      <c r="F92" s="101"/>
      <c r="G92" s="101"/>
      <c r="H92" s="101"/>
      <c r="I92" s="101"/>
      <c r="J92" s="101"/>
      <c r="K92" s="101"/>
      <c r="L92" s="101"/>
      <c r="M92" s="101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2" t="str">
        <f>+'Bookings to Revenue_Calcs'!AA33</f>
        <v/>
      </c>
      <c r="AB92" s="102" t="str">
        <f>+'Bookings to Revenue_Calcs'!AB33</f>
        <v/>
      </c>
      <c r="AC92" s="102" t="str">
        <f>+'Bookings to Revenue_Calcs'!AC33</f>
        <v/>
      </c>
      <c r="AD92" s="102" t="str">
        <f>+'Bookings to Revenue_Calcs'!AD33</f>
        <v/>
      </c>
      <c r="AE92" s="102" t="str">
        <f>+'Bookings to Revenue_Calcs'!AE33</f>
        <v/>
      </c>
      <c r="AF92" s="102" t="str">
        <f>+'Bookings to Revenue_Calcs'!AF33</f>
        <v/>
      </c>
      <c r="AG92" s="102" t="str">
        <f>+'Bookings to Revenue_Calcs'!AG33</f>
        <v/>
      </c>
      <c r="AH92" s="102" t="str">
        <f>+'Bookings to Revenue_Calcs'!AH33</f>
        <v/>
      </c>
      <c r="AI92" s="102" t="str">
        <f>+'Bookings to Revenue_Calcs'!AI33</f>
        <v/>
      </c>
      <c r="AJ92" s="102" t="str">
        <f>+'Bookings to Revenue_Calcs'!AJ33</f>
        <v/>
      </c>
      <c r="AK92" s="102" t="str">
        <f>+'Bookings to Revenue_Calcs'!AK33</f>
        <v/>
      </c>
      <c r="AL92" s="102" t="str">
        <f>+'Bookings to Revenue_Calcs'!AL33</f>
        <v/>
      </c>
      <c r="AM92" s="102" t="str">
        <f>+'Bookings to Revenue_Calcs'!AM33</f>
        <v/>
      </c>
      <c r="AN92" s="102" t="str">
        <f>+'Bookings to Revenue_Calcs'!AN33</f>
        <v/>
      </c>
      <c r="AO92" s="102" t="str">
        <f>+'Bookings to Revenue_Calcs'!AO33</f>
        <v/>
      </c>
      <c r="AP92" s="102" t="str">
        <f>+'Bookings to Revenue_Calcs'!AP33</f>
        <v/>
      </c>
      <c r="AQ92" s="102" t="str">
        <f>+'Bookings to Revenue_Calcs'!AQ33</f>
        <v/>
      </c>
      <c r="AR92" s="102" t="str">
        <f>+'Bookings to Revenue_Calcs'!AR33</f>
        <v/>
      </c>
      <c r="AS92" s="102" t="str">
        <f>+'Bookings to Revenue_Calcs'!AS33</f>
        <v/>
      </c>
      <c r="AT92" s="102" t="str">
        <f>+'Bookings to Revenue_Calcs'!AT33</f>
        <v/>
      </c>
      <c r="AU92" s="102" t="str">
        <f>+'Bookings to Revenue_Calcs'!AU33</f>
        <v/>
      </c>
      <c r="AV92" s="102" t="str">
        <f>+'Bookings to Revenue_Calcs'!AV33</f>
        <v/>
      </c>
      <c r="AW92" s="102" t="str">
        <f>+'Bookings to Revenue_Calcs'!AW33</f>
        <v/>
      </c>
      <c r="AX92" s="102" t="str">
        <f>+'Bookings to Revenue_Calcs'!AX33</f>
        <v/>
      </c>
      <c r="AY92" s="102" t="str">
        <f>+'Bookings to Revenue_Calcs'!AY33</f>
        <v/>
      </c>
      <c r="AZ92" s="102" t="str">
        <f>+'Bookings to Revenue_Calcs'!AZ33</f>
        <v/>
      </c>
      <c r="BA92" s="102" t="str">
        <f>+'Bookings to Revenue_Calcs'!BA33</f>
        <v/>
      </c>
      <c r="BB92" s="102" t="str">
        <f>+'Bookings to Revenue_Calcs'!BB33</f>
        <v/>
      </c>
      <c r="BC92" s="102" t="str">
        <f>+'Bookings to Revenue_Calcs'!BC33</f>
        <v/>
      </c>
      <c r="BD92" s="102" t="str">
        <f>+'Bookings to Revenue_Calcs'!BD33</f>
        <v/>
      </c>
      <c r="BE92" s="102" t="str">
        <f>+'Bookings to Revenue_Calcs'!BE33</f>
        <v/>
      </c>
      <c r="BF92" s="102" t="str">
        <f>+'Bookings to Revenue_Calcs'!BF33</f>
        <v/>
      </c>
      <c r="BG92" s="102" t="str">
        <f>+'Bookings to Revenue_Calcs'!BG33</f>
        <v/>
      </c>
      <c r="BH92" s="102" t="str">
        <f>+'Bookings to Revenue_Calcs'!BH33</f>
        <v/>
      </c>
      <c r="BI92" s="102" t="str">
        <f>+'Bookings to Revenue_Calcs'!BI33</f>
        <v/>
      </c>
      <c r="BJ92" s="102" t="str">
        <f>+'Bookings to Revenue_Calcs'!BJ33</f>
        <v/>
      </c>
      <c r="BK92" s="102" t="str">
        <f>+'Bookings to Revenue_Calcs'!BK33</f>
        <v/>
      </c>
      <c r="BL92" s="102" t="str">
        <f>+'Bookings to Revenue_Calcs'!BL33</f>
        <v/>
      </c>
      <c r="BM92" s="102" t="str">
        <f>+'Bookings to Revenue_Calcs'!BM33</f>
        <v/>
      </c>
      <c r="BN92" s="102" t="str">
        <f>+'Bookings to Revenue_Calcs'!BN33</f>
        <v/>
      </c>
      <c r="BO92" s="102" t="str">
        <f>+'Bookings to Revenue_Calcs'!BO33</f>
        <v/>
      </c>
      <c r="BP92" s="102" t="str">
        <f>+'Bookings to Revenue_Calcs'!BP33</f>
        <v/>
      </c>
      <c r="BQ92" s="102">
        <f>+'Bookings to Revenue_Calcs'!BQ33</f>
        <v>0</v>
      </c>
      <c r="BR92" s="102">
        <f>+'Bookings to Revenue_Calcs'!BR33</f>
        <v>0</v>
      </c>
      <c r="BS92" s="102">
        <f>+'Bookings to Revenue_Calcs'!BS33</f>
        <v>0</v>
      </c>
      <c r="BT92" s="102">
        <f>+'Bookings to Revenue_Calcs'!BT33</f>
        <v>0</v>
      </c>
      <c r="BU92" s="102">
        <f>+'Bookings to Revenue_Calcs'!BU33</f>
        <v>0</v>
      </c>
      <c r="BV92" s="102">
        <f>+'Bookings to Revenue_Calcs'!BV33</f>
        <v>0</v>
      </c>
      <c r="BW92" s="102">
        <f>+'Bookings to Revenue_Calcs'!BW33</f>
        <v>0</v>
      </c>
      <c r="BX92" s="102">
        <f>+'Bookings to Revenue_Calcs'!BX33</f>
        <v>0</v>
      </c>
      <c r="BY92" s="102">
        <f>+'Bookings to Revenue_Calcs'!BY33</f>
        <v>0.08333333333</v>
      </c>
      <c r="BZ92" s="102">
        <f>+'Bookings to Revenue_Calcs'!BZ33</f>
        <v>0.1666666667</v>
      </c>
      <c r="CA92" s="102">
        <f>+'Bookings to Revenue_Calcs'!CA33</f>
        <v>0.25</v>
      </c>
      <c r="CB92" s="102">
        <f>+'Bookings to Revenue_Calcs'!CB33</f>
        <v>0.3333333333</v>
      </c>
      <c r="CC92" s="102">
        <f>+'Bookings to Revenue_Calcs'!CC33</f>
        <v>0.4166666667</v>
      </c>
      <c r="CD92" s="102">
        <f>+'Bookings to Revenue_Calcs'!CD33</f>
        <v>0.5</v>
      </c>
      <c r="CE92" s="102">
        <f>+'Bookings to Revenue_Calcs'!CE33</f>
        <v>0.5833333333</v>
      </c>
      <c r="CF92" s="102">
        <f>+'Bookings to Revenue_Calcs'!CF33</f>
        <v>0.6666666667</v>
      </c>
      <c r="CG92" s="102">
        <f>+'Bookings to Revenue_Calcs'!CG33</f>
        <v>0.75</v>
      </c>
      <c r="CH92" s="102">
        <f>+'Bookings to Revenue_Calcs'!CH33</f>
        <v>0.8333333333</v>
      </c>
      <c r="CI92" s="102">
        <f>+'Bookings to Revenue_Calcs'!CI33</f>
        <v>0.08333333333</v>
      </c>
      <c r="CJ92" s="102">
        <f>+'Bookings to Revenue_Calcs'!CJ33</f>
        <v>0.1666666667</v>
      </c>
      <c r="CK92" s="102">
        <f>+'Bookings to Revenue_Calcs'!CK33</f>
        <v>0.25</v>
      </c>
      <c r="CL92" s="102">
        <f>+'Bookings to Revenue_Calcs'!CL33</f>
        <v>0.3333333333</v>
      </c>
      <c r="CM92" s="102">
        <f>+'Bookings to Revenue_Calcs'!CM33</f>
        <v>0.4166666667</v>
      </c>
      <c r="CN92" s="102">
        <f>+'Bookings to Revenue_Calcs'!CN33</f>
        <v>0.5</v>
      </c>
      <c r="CO92" s="102">
        <f>+'Bookings to Revenue_Calcs'!CO33</f>
        <v>0.5833333333</v>
      </c>
      <c r="CP92" s="102">
        <f>+'Bookings to Revenue_Calcs'!CP33</f>
        <v>0.6666666667</v>
      </c>
      <c r="CQ92" s="102">
        <f>+'Bookings to Revenue_Calcs'!CQ33</f>
        <v>0.75</v>
      </c>
      <c r="CR92" s="102">
        <f>+'Bookings to Revenue_Calcs'!CR33</f>
        <v>0.8333333333</v>
      </c>
      <c r="CS92" s="102">
        <f>+'Bookings to Revenue_Calcs'!CS33</f>
        <v>0.9166666667</v>
      </c>
      <c r="CT92" s="102">
        <f>+'Bookings to Revenue_Calcs'!CT33</f>
        <v>1</v>
      </c>
      <c r="CU92" s="102">
        <f>+'Bookings to Revenue_Calcs'!CU33</f>
        <v>0.08333333333</v>
      </c>
      <c r="CV92" s="102">
        <f>+'Bookings to Revenue_Calcs'!CV33</f>
        <v>0.1666666667</v>
      </c>
      <c r="CW92" s="102">
        <f>+'Bookings to Revenue_Calcs'!CW33</f>
        <v>0.25</v>
      </c>
      <c r="CX92" s="102">
        <f>+'Bookings to Revenue_Calcs'!CX33</f>
        <v>0.3333333333</v>
      </c>
      <c r="CY92" s="102">
        <f>+'Bookings to Revenue_Calcs'!CY33</f>
        <v>0.4166666667</v>
      </c>
      <c r="CZ92" s="102">
        <f>+'Bookings to Revenue_Calcs'!CZ33</f>
        <v>0.5</v>
      </c>
      <c r="DA92" s="102">
        <f>+'Bookings to Revenue_Calcs'!DA33</f>
        <v>0.5833333333</v>
      </c>
      <c r="DB92" s="102">
        <f>+'Bookings to Revenue_Calcs'!DB33</f>
        <v>0.6666666667</v>
      </c>
      <c r="DC92" s="102">
        <f>+'Bookings to Revenue_Calcs'!DC33</f>
        <v>0.75</v>
      </c>
      <c r="DD92" s="102">
        <f>+'Bookings to Revenue_Calcs'!DD33</f>
        <v>0.8333333333</v>
      </c>
      <c r="DE92" s="102">
        <f>+'Bookings to Revenue_Calcs'!DE33</f>
        <v>0.9166666667</v>
      </c>
      <c r="DF92" s="102">
        <f>+'Bookings to Revenue_Calcs'!DF33</f>
        <v>1</v>
      </c>
      <c r="DG92" s="102">
        <f>+'Bookings to Revenue_Calcs'!DG33</f>
        <v>0.08333333333</v>
      </c>
      <c r="DH92" s="102">
        <f>+'Bookings to Revenue_Calcs'!DH33</f>
        <v>0.1666666667</v>
      </c>
      <c r="DI92" s="102">
        <f>+'Bookings to Revenue_Calcs'!DI33</f>
        <v>0.25</v>
      </c>
      <c r="DJ92" s="102">
        <f>+'Bookings to Revenue_Calcs'!DJ33</f>
        <v>0.3333333333</v>
      </c>
      <c r="DK92" s="102">
        <f>+'Bookings to Revenue_Calcs'!DK33</f>
        <v>0.4166666667</v>
      </c>
      <c r="DL92" s="102">
        <f>+'Bookings to Revenue_Calcs'!DL33</f>
        <v>0.5</v>
      </c>
      <c r="DM92" s="102">
        <f>+'Bookings to Revenue_Calcs'!DM33</f>
        <v>0.5833333333</v>
      </c>
      <c r="DN92" s="102">
        <f>+'Bookings to Revenue_Calcs'!DN33</f>
        <v>0.6666666667</v>
      </c>
      <c r="DO92" s="102">
        <f>+'Bookings to Revenue_Calcs'!DO33</f>
        <v>0.75</v>
      </c>
      <c r="DP92" s="102">
        <f>+'Bookings to Revenue_Calcs'!DP33</f>
        <v>0.8333333333</v>
      </c>
      <c r="DQ92" s="102">
        <f>+'Bookings to Revenue_Calcs'!DQ33</f>
        <v>0.9166666667</v>
      </c>
      <c r="DR92" s="102">
        <f>+'Bookings to Revenue_Calcs'!DR33</f>
        <v>1</v>
      </c>
    </row>
    <row r="93" ht="15.75" hidden="1" customHeight="1" outlineLevel="1">
      <c r="B93" s="5" t="s">
        <v>129</v>
      </c>
      <c r="E93" s="100"/>
      <c r="F93" s="53"/>
      <c r="G93" s="53"/>
      <c r="H93" s="53"/>
      <c r="I93" s="53"/>
      <c r="J93" s="53"/>
      <c r="K93" s="53"/>
      <c r="L93" s="53"/>
      <c r="M93" s="53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52">
        <f>+SUMIFS(Revenue_Assumptions!$E25:$M25,Revenue_Assumptions!$E$7:$M$7,AA$7)/12</f>
        <v>0</v>
      </c>
      <c r="AB93" s="52">
        <f>+SUMIFS(Revenue_Assumptions!$E25:$M25,Revenue_Assumptions!$E$7:$M$7,AB$7)/12</f>
        <v>0</v>
      </c>
      <c r="AC93" s="52">
        <f>+SUMIFS(Revenue_Assumptions!$E25:$M25,Revenue_Assumptions!$E$7:$M$7,AC$7)/12</f>
        <v>0</v>
      </c>
      <c r="AD93" s="52">
        <f>+SUMIFS(Revenue_Assumptions!$E25:$M25,Revenue_Assumptions!$E$7:$M$7,AD$7)/12</f>
        <v>0</v>
      </c>
      <c r="AE93" s="52">
        <f>+SUMIFS(Revenue_Assumptions!$E25:$M25,Revenue_Assumptions!$E$7:$M$7,AE$7)/12</f>
        <v>0</v>
      </c>
      <c r="AF93" s="52">
        <f>+SUMIFS(Revenue_Assumptions!$E25:$M25,Revenue_Assumptions!$E$7:$M$7,AF$7)/12</f>
        <v>0</v>
      </c>
      <c r="AG93" s="52">
        <f>+SUMIFS(Revenue_Assumptions!$E25:$M25,Revenue_Assumptions!$E$7:$M$7,AG$7)/12</f>
        <v>0</v>
      </c>
      <c r="AH93" s="52">
        <f>+SUMIFS(Revenue_Assumptions!$E25:$M25,Revenue_Assumptions!$E$7:$M$7,AH$7)/12</f>
        <v>0</v>
      </c>
      <c r="AI93" s="52">
        <f>+SUMIFS(Revenue_Assumptions!$E25:$M25,Revenue_Assumptions!$E$7:$M$7,AI$7)/12</f>
        <v>0</v>
      </c>
      <c r="AJ93" s="52">
        <f>+SUMIFS(Revenue_Assumptions!$E25:$M25,Revenue_Assumptions!$E$7:$M$7,AJ$7)/12</f>
        <v>0</v>
      </c>
      <c r="AK93" s="52">
        <f>+SUMIFS(Revenue_Assumptions!$E25:$M25,Revenue_Assumptions!$E$7:$M$7,AK$7)/12</f>
        <v>0</v>
      </c>
      <c r="AL93" s="52">
        <f>+SUMIFS(Revenue_Assumptions!$E25:$M25,Revenue_Assumptions!$E$7:$M$7,AL$7)/12</f>
        <v>0</v>
      </c>
      <c r="AM93" s="52">
        <f>+SUMIFS(Revenue_Assumptions!$E25:$M25,Revenue_Assumptions!$E$7:$M$7,AM$7)/12</f>
        <v>0</v>
      </c>
      <c r="AN93" s="52">
        <f>+SUMIFS(Revenue_Assumptions!$E25:$M25,Revenue_Assumptions!$E$7:$M$7,AN$7)/12</f>
        <v>0</v>
      </c>
      <c r="AO93" s="52">
        <f>+SUMIFS(Revenue_Assumptions!$E25:$M25,Revenue_Assumptions!$E$7:$M$7,AO$7)/12</f>
        <v>0</v>
      </c>
      <c r="AP93" s="52">
        <f>+SUMIFS(Revenue_Assumptions!$E25:$M25,Revenue_Assumptions!$E$7:$M$7,AP$7)/12</f>
        <v>0</v>
      </c>
      <c r="AQ93" s="52">
        <f>+SUMIFS(Revenue_Assumptions!$E25:$M25,Revenue_Assumptions!$E$7:$M$7,AQ$7)/12</f>
        <v>0</v>
      </c>
      <c r="AR93" s="52">
        <f>+SUMIFS(Revenue_Assumptions!$E25:$M25,Revenue_Assumptions!$E$7:$M$7,AR$7)/12</f>
        <v>0</v>
      </c>
      <c r="AS93" s="52">
        <f>+SUMIFS(Revenue_Assumptions!$E25:$M25,Revenue_Assumptions!$E$7:$M$7,AS$7)/12</f>
        <v>0</v>
      </c>
      <c r="AT93" s="52">
        <f>+SUMIFS(Revenue_Assumptions!$E25:$M25,Revenue_Assumptions!$E$7:$M$7,AT$7)/12</f>
        <v>0</v>
      </c>
      <c r="AU93" s="52">
        <f>+SUMIFS(Revenue_Assumptions!$E25:$M25,Revenue_Assumptions!$E$7:$M$7,AU$7)/12</f>
        <v>0</v>
      </c>
      <c r="AV93" s="52">
        <f>+SUMIFS(Revenue_Assumptions!$E25:$M25,Revenue_Assumptions!$E$7:$M$7,AV$7)/12</f>
        <v>0</v>
      </c>
      <c r="AW93" s="52">
        <f>+SUMIFS(Revenue_Assumptions!$E25:$M25,Revenue_Assumptions!$E$7:$M$7,AW$7)/12</f>
        <v>0</v>
      </c>
      <c r="AX93" s="52">
        <f>+SUMIFS(Revenue_Assumptions!$E25:$M25,Revenue_Assumptions!$E$7:$M$7,AX$7)/12</f>
        <v>0</v>
      </c>
      <c r="AY93" s="52">
        <f>+SUMIFS(Revenue_Assumptions!$E25:$M25,Revenue_Assumptions!$E$7:$M$7,AY$7)/12</f>
        <v>0</v>
      </c>
      <c r="AZ93" s="52">
        <f>+SUMIFS(Revenue_Assumptions!$E25:$M25,Revenue_Assumptions!$E$7:$M$7,AZ$7)/12</f>
        <v>0</v>
      </c>
      <c r="BA93" s="52">
        <f>+SUMIFS(Revenue_Assumptions!$E25:$M25,Revenue_Assumptions!$E$7:$M$7,BA$7)/12</f>
        <v>0</v>
      </c>
      <c r="BB93" s="52">
        <f>+SUMIFS(Revenue_Assumptions!$E25:$M25,Revenue_Assumptions!$E$7:$M$7,BB$7)/12</f>
        <v>0</v>
      </c>
      <c r="BC93" s="52">
        <f>+SUMIFS(Revenue_Assumptions!$E25:$M25,Revenue_Assumptions!$E$7:$M$7,BC$7)/12</f>
        <v>0</v>
      </c>
      <c r="BD93" s="52">
        <f>+SUMIFS(Revenue_Assumptions!$E25:$M25,Revenue_Assumptions!$E$7:$M$7,BD$7)/12</f>
        <v>0</v>
      </c>
      <c r="BE93" s="52">
        <f>+SUMIFS(Revenue_Assumptions!$E25:$M25,Revenue_Assumptions!$E$7:$M$7,BE$7)/12</f>
        <v>0</v>
      </c>
      <c r="BF93" s="52">
        <f>+SUMIFS(Revenue_Assumptions!$E25:$M25,Revenue_Assumptions!$E$7:$M$7,BF$7)/12</f>
        <v>0</v>
      </c>
      <c r="BG93" s="52">
        <f>+SUMIFS(Revenue_Assumptions!$E25:$M25,Revenue_Assumptions!$E$7:$M$7,BG$7)/12</f>
        <v>0</v>
      </c>
      <c r="BH93" s="52">
        <f>+SUMIFS(Revenue_Assumptions!$E25:$M25,Revenue_Assumptions!$E$7:$M$7,BH$7)/12</f>
        <v>0</v>
      </c>
      <c r="BI93" s="52">
        <f>+SUMIFS(Revenue_Assumptions!$E25:$M25,Revenue_Assumptions!$E$7:$M$7,BI$7)/12</f>
        <v>0</v>
      </c>
      <c r="BJ93" s="52">
        <f>+SUMIFS(Revenue_Assumptions!$E25:$M25,Revenue_Assumptions!$E$7:$M$7,BJ$7)/12</f>
        <v>0</v>
      </c>
      <c r="BK93" s="52">
        <f>+SUMIFS(Revenue_Assumptions!$E25:$M25,Revenue_Assumptions!$E$7:$M$7,BK$7)/12</f>
        <v>50</v>
      </c>
      <c r="BL93" s="52">
        <f>+SUMIFS(Revenue_Assumptions!$E25:$M25,Revenue_Assumptions!$E$7:$M$7,BL$7)/12</f>
        <v>50</v>
      </c>
      <c r="BM93" s="52">
        <f>+SUMIFS(Revenue_Assumptions!$E25:$M25,Revenue_Assumptions!$E$7:$M$7,BM$7)/12</f>
        <v>50</v>
      </c>
      <c r="BN93" s="52">
        <f>+SUMIFS(Revenue_Assumptions!$E25:$M25,Revenue_Assumptions!$E$7:$M$7,BN$7)/12</f>
        <v>50</v>
      </c>
      <c r="BO93" s="52">
        <f>+SUMIFS(Revenue_Assumptions!$E25:$M25,Revenue_Assumptions!$E$7:$M$7,BO$7)/12</f>
        <v>50</v>
      </c>
      <c r="BP93" s="52">
        <f>+SUMIFS(Revenue_Assumptions!$E25:$M25,Revenue_Assumptions!$E$7:$M$7,BP$7)/12</f>
        <v>50</v>
      </c>
      <c r="BQ93" s="52">
        <f>+SUMIFS(Revenue_Assumptions!$E25:$M25,Revenue_Assumptions!$E$7:$M$7,BQ$7)/12</f>
        <v>50</v>
      </c>
      <c r="BR93" s="52">
        <f>+SUMIFS(Revenue_Assumptions!$E25:$M25,Revenue_Assumptions!$E$7:$M$7,BR$7)/12</f>
        <v>50</v>
      </c>
      <c r="BS93" s="52">
        <f>+SUMIFS(Revenue_Assumptions!$E25:$M25,Revenue_Assumptions!$E$7:$M$7,BS$7)/12</f>
        <v>50</v>
      </c>
      <c r="BT93" s="52">
        <f>+SUMIFS(Revenue_Assumptions!$E25:$M25,Revenue_Assumptions!$E$7:$M$7,BT$7)/12</f>
        <v>50</v>
      </c>
      <c r="BU93" s="52">
        <f>+SUMIFS(Revenue_Assumptions!$E25:$M25,Revenue_Assumptions!$E$7:$M$7,BU$7)/12</f>
        <v>50</v>
      </c>
      <c r="BV93" s="52">
        <f>+SUMIFS(Revenue_Assumptions!$E25:$M25,Revenue_Assumptions!$E$7:$M$7,BV$7)/12</f>
        <v>50</v>
      </c>
      <c r="BW93" s="52">
        <f>+SUMIFS(Revenue_Assumptions!$E25:$M25,Revenue_Assumptions!$E$7:$M$7,BW$7)/12</f>
        <v>52.5</v>
      </c>
      <c r="BX93" s="52">
        <f>+SUMIFS(Revenue_Assumptions!$E25:$M25,Revenue_Assumptions!$E$7:$M$7,BX$7)/12</f>
        <v>52.5</v>
      </c>
      <c r="BY93" s="52">
        <f>+SUMIFS(Revenue_Assumptions!$E25:$M25,Revenue_Assumptions!$E$7:$M$7,BY$7)/12</f>
        <v>52.5</v>
      </c>
      <c r="BZ93" s="52">
        <f>+SUMIFS(Revenue_Assumptions!$E25:$M25,Revenue_Assumptions!$E$7:$M$7,BZ$7)/12</f>
        <v>52.5</v>
      </c>
      <c r="CA93" s="52">
        <f>+SUMIFS(Revenue_Assumptions!$E25:$M25,Revenue_Assumptions!$E$7:$M$7,CA$7)/12</f>
        <v>52.5</v>
      </c>
      <c r="CB93" s="52">
        <f>+SUMIFS(Revenue_Assumptions!$E25:$M25,Revenue_Assumptions!$E$7:$M$7,CB$7)/12</f>
        <v>52.5</v>
      </c>
      <c r="CC93" s="52">
        <f>+SUMIFS(Revenue_Assumptions!$E25:$M25,Revenue_Assumptions!$E$7:$M$7,CC$7)/12</f>
        <v>52.5</v>
      </c>
      <c r="CD93" s="52">
        <f>+SUMIFS(Revenue_Assumptions!$E25:$M25,Revenue_Assumptions!$E$7:$M$7,CD$7)/12</f>
        <v>52.5</v>
      </c>
      <c r="CE93" s="52">
        <f>+SUMIFS(Revenue_Assumptions!$E25:$M25,Revenue_Assumptions!$E$7:$M$7,CE$7)/12</f>
        <v>52.5</v>
      </c>
      <c r="CF93" s="52">
        <f>+SUMIFS(Revenue_Assumptions!$E25:$M25,Revenue_Assumptions!$E$7:$M$7,CF$7)/12</f>
        <v>52.5</v>
      </c>
      <c r="CG93" s="52">
        <f>+SUMIFS(Revenue_Assumptions!$E25:$M25,Revenue_Assumptions!$E$7:$M$7,CG$7)/12</f>
        <v>52.5</v>
      </c>
      <c r="CH93" s="52">
        <f>+SUMIFS(Revenue_Assumptions!$E25:$M25,Revenue_Assumptions!$E$7:$M$7,CH$7)/12</f>
        <v>52.5</v>
      </c>
      <c r="CI93" s="52">
        <f>+SUMIFS(Revenue_Assumptions!$E25:$M25,Revenue_Assumptions!$E$7:$M$7,CI$7)/12</f>
        <v>55.125</v>
      </c>
      <c r="CJ93" s="52">
        <f>+SUMIFS(Revenue_Assumptions!$E25:$M25,Revenue_Assumptions!$E$7:$M$7,CJ$7)/12</f>
        <v>55.125</v>
      </c>
      <c r="CK93" s="52">
        <f>+SUMIFS(Revenue_Assumptions!$E25:$M25,Revenue_Assumptions!$E$7:$M$7,CK$7)/12</f>
        <v>55.125</v>
      </c>
      <c r="CL93" s="52">
        <f>+SUMIFS(Revenue_Assumptions!$E25:$M25,Revenue_Assumptions!$E$7:$M$7,CL$7)/12</f>
        <v>55.125</v>
      </c>
      <c r="CM93" s="52">
        <f>+SUMIFS(Revenue_Assumptions!$E25:$M25,Revenue_Assumptions!$E$7:$M$7,CM$7)/12</f>
        <v>55.125</v>
      </c>
      <c r="CN93" s="52">
        <f>+SUMIFS(Revenue_Assumptions!$E25:$M25,Revenue_Assumptions!$E$7:$M$7,CN$7)/12</f>
        <v>55.125</v>
      </c>
      <c r="CO93" s="52">
        <f>+SUMIFS(Revenue_Assumptions!$E25:$M25,Revenue_Assumptions!$E$7:$M$7,CO$7)/12</f>
        <v>55.125</v>
      </c>
      <c r="CP93" s="52">
        <f>+SUMIFS(Revenue_Assumptions!$E25:$M25,Revenue_Assumptions!$E$7:$M$7,CP$7)/12</f>
        <v>55.125</v>
      </c>
      <c r="CQ93" s="52">
        <f>+SUMIFS(Revenue_Assumptions!$E25:$M25,Revenue_Assumptions!$E$7:$M$7,CQ$7)/12</f>
        <v>55.125</v>
      </c>
      <c r="CR93" s="52">
        <f>+SUMIFS(Revenue_Assumptions!$E25:$M25,Revenue_Assumptions!$E$7:$M$7,CR$7)/12</f>
        <v>55.125</v>
      </c>
      <c r="CS93" s="52">
        <f>+SUMIFS(Revenue_Assumptions!$E25:$M25,Revenue_Assumptions!$E$7:$M$7,CS$7)/12</f>
        <v>55.125</v>
      </c>
      <c r="CT93" s="52">
        <f>+SUMIFS(Revenue_Assumptions!$E25:$M25,Revenue_Assumptions!$E$7:$M$7,CT$7)/12</f>
        <v>55.125</v>
      </c>
      <c r="CU93" s="52">
        <f>+SUMIFS(Revenue_Assumptions!$E25:$M25,Revenue_Assumptions!$E$7:$M$7,CU$7)/12</f>
        <v>57.88125</v>
      </c>
      <c r="CV93" s="52">
        <f>+SUMIFS(Revenue_Assumptions!$E25:$M25,Revenue_Assumptions!$E$7:$M$7,CV$7)/12</f>
        <v>57.88125</v>
      </c>
      <c r="CW93" s="52">
        <f>+SUMIFS(Revenue_Assumptions!$E25:$M25,Revenue_Assumptions!$E$7:$M$7,CW$7)/12</f>
        <v>57.88125</v>
      </c>
      <c r="CX93" s="52">
        <f>+SUMIFS(Revenue_Assumptions!$E25:$M25,Revenue_Assumptions!$E$7:$M$7,CX$7)/12</f>
        <v>57.88125</v>
      </c>
      <c r="CY93" s="52">
        <f>+SUMIFS(Revenue_Assumptions!$E25:$M25,Revenue_Assumptions!$E$7:$M$7,CY$7)/12</f>
        <v>57.88125</v>
      </c>
      <c r="CZ93" s="52">
        <f>+SUMIFS(Revenue_Assumptions!$E25:$M25,Revenue_Assumptions!$E$7:$M$7,CZ$7)/12</f>
        <v>57.88125</v>
      </c>
      <c r="DA93" s="52">
        <f>+SUMIFS(Revenue_Assumptions!$E25:$M25,Revenue_Assumptions!$E$7:$M$7,DA$7)/12</f>
        <v>57.88125</v>
      </c>
      <c r="DB93" s="52">
        <f>+SUMIFS(Revenue_Assumptions!$E25:$M25,Revenue_Assumptions!$E$7:$M$7,DB$7)/12</f>
        <v>57.88125</v>
      </c>
      <c r="DC93" s="52">
        <f>+SUMIFS(Revenue_Assumptions!$E25:$M25,Revenue_Assumptions!$E$7:$M$7,DC$7)/12</f>
        <v>57.88125</v>
      </c>
      <c r="DD93" s="52">
        <f>+SUMIFS(Revenue_Assumptions!$E25:$M25,Revenue_Assumptions!$E$7:$M$7,DD$7)/12</f>
        <v>57.88125</v>
      </c>
      <c r="DE93" s="52">
        <f>+SUMIFS(Revenue_Assumptions!$E25:$M25,Revenue_Assumptions!$E$7:$M$7,DE$7)/12</f>
        <v>57.88125</v>
      </c>
      <c r="DF93" s="52">
        <f>+SUMIFS(Revenue_Assumptions!$E25:$M25,Revenue_Assumptions!$E$7:$M$7,DF$7)/12</f>
        <v>57.88125</v>
      </c>
      <c r="DG93" s="52">
        <f>+SUMIFS(Revenue_Assumptions!$E25:$M25,Revenue_Assumptions!$E$7:$M$7,DG$7)/12</f>
        <v>60.7753125</v>
      </c>
      <c r="DH93" s="52">
        <f>+SUMIFS(Revenue_Assumptions!$E25:$M25,Revenue_Assumptions!$E$7:$M$7,DH$7)/12</f>
        <v>60.7753125</v>
      </c>
      <c r="DI93" s="52">
        <f>+SUMIFS(Revenue_Assumptions!$E25:$M25,Revenue_Assumptions!$E$7:$M$7,DI$7)/12</f>
        <v>60.7753125</v>
      </c>
      <c r="DJ93" s="52">
        <f>+SUMIFS(Revenue_Assumptions!$E25:$M25,Revenue_Assumptions!$E$7:$M$7,DJ$7)/12</f>
        <v>60.7753125</v>
      </c>
      <c r="DK93" s="52">
        <f>+SUMIFS(Revenue_Assumptions!$E25:$M25,Revenue_Assumptions!$E$7:$M$7,DK$7)/12</f>
        <v>60.7753125</v>
      </c>
      <c r="DL93" s="52">
        <f>+SUMIFS(Revenue_Assumptions!$E25:$M25,Revenue_Assumptions!$E$7:$M$7,DL$7)/12</f>
        <v>60.7753125</v>
      </c>
      <c r="DM93" s="52">
        <f>+SUMIFS(Revenue_Assumptions!$E25:$M25,Revenue_Assumptions!$E$7:$M$7,DM$7)/12</f>
        <v>60.7753125</v>
      </c>
      <c r="DN93" s="52">
        <f>+SUMIFS(Revenue_Assumptions!$E25:$M25,Revenue_Assumptions!$E$7:$M$7,DN$7)/12</f>
        <v>60.7753125</v>
      </c>
      <c r="DO93" s="52">
        <f>+SUMIFS(Revenue_Assumptions!$E25:$M25,Revenue_Assumptions!$E$7:$M$7,DO$7)/12</f>
        <v>60.7753125</v>
      </c>
      <c r="DP93" s="52">
        <f>+SUMIFS(Revenue_Assumptions!$E25:$M25,Revenue_Assumptions!$E$7:$M$7,DP$7)/12</f>
        <v>60.7753125</v>
      </c>
      <c r="DQ93" s="52">
        <f>+SUMIFS(Revenue_Assumptions!$E25:$M25,Revenue_Assumptions!$E$7:$M$7,DQ$7)/12</f>
        <v>60.7753125</v>
      </c>
      <c r="DR93" s="52">
        <f>+SUMIFS(Revenue_Assumptions!$E25:$M25,Revenue_Assumptions!$E$7:$M$7,DR$7)/12</f>
        <v>60.7753125</v>
      </c>
    </row>
    <row r="94" ht="15.75" hidden="1" customHeight="1" outlineLevel="1">
      <c r="B94" s="54" t="s">
        <v>130</v>
      </c>
      <c r="C94" s="54"/>
      <c r="E94" s="55">
        <f t="shared" ref="E94:M94" si="119">+SUMIFS($AA94:$DR94,$AA$7:$DR$7,E$7)</f>
        <v>0</v>
      </c>
      <c r="F94" s="55">
        <f t="shared" si="119"/>
        <v>0</v>
      </c>
      <c r="G94" s="55">
        <f t="shared" si="119"/>
        <v>0</v>
      </c>
      <c r="H94" s="55">
        <f t="shared" si="119"/>
        <v>0</v>
      </c>
      <c r="I94" s="55">
        <f t="shared" si="119"/>
        <v>0</v>
      </c>
      <c r="J94" s="55">
        <f t="shared" si="119"/>
        <v>240.625</v>
      </c>
      <c r="K94" s="55">
        <f t="shared" si="119"/>
        <v>358.3125</v>
      </c>
      <c r="L94" s="55">
        <f t="shared" si="119"/>
        <v>376.228125</v>
      </c>
      <c r="M94" s="55">
        <f t="shared" si="119"/>
        <v>395.0395313</v>
      </c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55">
        <f t="shared" ref="AA94:DR94" si="120">+AA92*AA93</f>
        <v>0</v>
      </c>
      <c r="AB94" s="55">
        <f t="shared" si="120"/>
        <v>0</v>
      </c>
      <c r="AC94" s="55">
        <f t="shared" si="120"/>
        <v>0</v>
      </c>
      <c r="AD94" s="55">
        <f t="shared" si="120"/>
        <v>0</v>
      </c>
      <c r="AE94" s="55">
        <f t="shared" si="120"/>
        <v>0</v>
      </c>
      <c r="AF94" s="55">
        <f t="shared" si="120"/>
        <v>0</v>
      </c>
      <c r="AG94" s="55">
        <f t="shared" si="120"/>
        <v>0</v>
      </c>
      <c r="AH94" s="55">
        <f t="shared" si="120"/>
        <v>0</v>
      </c>
      <c r="AI94" s="55">
        <f t="shared" si="120"/>
        <v>0</v>
      </c>
      <c r="AJ94" s="55">
        <f t="shared" si="120"/>
        <v>0</v>
      </c>
      <c r="AK94" s="55">
        <f t="shared" si="120"/>
        <v>0</v>
      </c>
      <c r="AL94" s="55">
        <f t="shared" si="120"/>
        <v>0</v>
      </c>
      <c r="AM94" s="55">
        <f t="shared" si="120"/>
        <v>0</v>
      </c>
      <c r="AN94" s="55">
        <f t="shared" si="120"/>
        <v>0</v>
      </c>
      <c r="AO94" s="55">
        <f t="shared" si="120"/>
        <v>0</v>
      </c>
      <c r="AP94" s="55">
        <f t="shared" si="120"/>
        <v>0</v>
      </c>
      <c r="AQ94" s="55">
        <f t="shared" si="120"/>
        <v>0</v>
      </c>
      <c r="AR94" s="55">
        <f t="shared" si="120"/>
        <v>0</v>
      </c>
      <c r="AS94" s="55">
        <f t="shared" si="120"/>
        <v>0</v>
      </c>
      <c r="AT94" s="55">
        <f t="shared" si="120"/>
        <v>0</v>
      </c>
      <c r="AU94" s="55">
        <f t="shared" si="120"/>
        <v>0</v>
      </c>
      <c r="AV94" s="55">
        <f t="shared" si="120"/>
        <v>0</v>
      </c>
      <c r="AW94" s="55">
        <f t="shared" si="120"/>
        <v>0</v>
      </c>
      <c r="AX94" s="55">
        <f t="shared" si="120"/>
        <v>0</v>
      </c>
      <c r="AY94" s="55">
        <f t="shared" si="120"/>
        <v>0</v>
      </c>
      <c r="AZ94" s="55">
        <f t="shared" si="120"/>
        <v>0</v>
      </c>
      <c r="BA94" s="55">
        <f t="shared" si="120"/>
        <v>0</v>
      </c>
      <c r="BB94" s="55">
        <f t="shared" si="120"/>
        <v>0</v>
      </c>
      <c r="BC94" s="55">
        <f t="shared" si="120"/>
        <v>0</v>
      </c>
      <c r="BD94" s="55">
        <f t="shared" si="120"/>
        <v>0</v>
      </c>
      <c r="BE94" s="55">
        <f t="shared" si="120"/>
        <v>0</v>
      </c>
      <c r="BF94" s="55">
        <f t="shared" si="120"/>
        <v>0</v>
      </c>
      <c r="BG94" s="55">
        <f t="shared" si="120"/>
        <v>0</v>
      </c>
      <c r="BH94" s="55">
        <f t="shared" si="120"/>
        <v>0</v>
      </c>
      <c r="BI94" s="55">
        <f t="shared" si="120"/>
        <v>0</v>
      </c>
      <c r="BJ94" s="55">
        <f t="shared" si="120"/>
        <v>0</v>
      </c>
      <c r="BK94" s="55">
        <f t="shared" si="120"/>
        <v>0</v>
      </c>
      <c r="BL94" s="55">
        <f t="shared" si="120"/>
        <v>0</v>
      </c>
      <c r="BM94" s="55">
        <f t="shared" si="120"/>
        <v>0</v>
      </c>
      <c r="BN94" s="55">
        <f t="shared" si="120"/>
        <v>0</v>
      </c>
      <c r="BO94" s="55">
        <f t="shared" si="120"/>
        <v>0</v>
      </c>
      <c r="BP94" s="55">
        <f t="shared" si="120"/>
        <v>0</v>
      </c>
      <c r="BQ94" s="55">
        <f t="shared" si="120"/>
        <v>0</v>
      </c>
      <c r="BR94" s="55">
        <f t="shared" si="120"/>
        <v>0</v>
      </c>
      <c r="BS94" s="55">
        <f t="shared" si="120"/>
        <v>0</v>
      </c>
      <c r="BT94" s="55">
        <f t="shared" si="120"/>
        <v>0</v>
      </c>
      <c r="BU94" s="55">
        <f t="shared" si="120"/>
        <v>0</v>
      </c>
      <c r="BV94" s="55">
        <f t="shared" si="120"/>
        <v>0</v>
      </c>
      <c r="BW94" s="55">
        <f t="shared" si="120"/>
        <v>0</v>
      </c>
      <c r="BX94" s="55">
        <f t="shared" si="120"/>
        <v>0</v>
      </c>
      <c r="BY94" s="55">
        <f t="shared" si="120"/>
        <v>4.375</v>
      </c>
      <c r="BZ94" s="55">
        <f t="shared" si="120"/>
        <v>8.75</v>
      </c>
      <c r="CA94" s="55">
        <f t="shared" si="120"/>
        <v>13.125</v>
      </c>
      <c r="CB94" s="55">
        <f t="shared" si="120"/>
        <v>17.5</v>
      </c>
      <c r="CC94" s="55">
        <f t="shared" si="120"/>
        <v>21.875</v>
      </c>
      <c r="CD94" s="55">
        <f t="shared" si="120"/>
        <v>26.25</v>
      </c>
      <c r="CE94" s="55">
        <f t="shared" si="120"/>
        <v>30.625</v>
      </c>
      <c r="CF94" s="55">
        <f t="shared" si="120"/>
        <v>35</v>
      </c>
      <c r="CG94" s="55">
        <f t="shared" si="120"/>
        <v>39.375</v>
      </c>
      <c r="CH94" s="55">
        <f t="shared" si="120"/>
        <v>43.75</v>
      </c>
      <c r="CI94" s="55">
        <f t="shared" si="120"/>
        <v>4.59375</v>
      </c>
      <c r="CJ94" s="55">
        <f t="shared" si="120"/>
        <v>9.1875</v>
      </c>
      <c r="CK94" s="55">
        <f t="shared" si="120"/>
        <v>13.78125</v>
      </c>
      <c r="CL94" s="55">
        <f t="shared" si="120"/>
        <v>18.375</v>
      </c>
      <c r="CM94" s="55">
        <f t="shared" si="120"/>
        <v>22.96875</v>
      </c>
      <c r="CN94" s="55">
        <f t="shared" si="120"/>
        <v>27.5625</v>
      </c>
      <c r="CO94" s="55">
        <f t="shared" si="120"/>
        <v>32.15625</v>
      </c>
      <c r="CP94" s="55">
        <f t="shared" si="120"/>
        <v>36.75</v>
      </c>
      <c r="CQ94" s="55">
        <f t="shared" si="120"/>
        <v>41.34375</v>
      </c>
      <c r="CR94" s="55">
        <f t="shared" si="120"/>
        <v>45.9375</v>
      </c>
      <c r="CS94" s="55">
        <f t="shared" si="120"/>
        <v>50.53125</v>
      </c>
      <c r="CT94" s="55">
        <f t="shared" si="120"/>
        <v>55.125</v>
      </c>
      <c r="CU94" s="55">
        <f t="shared" si="120"/>
        <v>4.8234375</v>
      </c>
      <c r="CV94" s="55">
        <f t="shared" si="120"/>
        <v>9.646875</v>
      </c>
      <c r="CW94" s="55">
        <f t="shared" si="120"/>
        <v>14.4703125</v>
      </c>
      <c r="CX94" s="55">
        <f t="shared" si="120"/>
        <v>19.29375</v>
      </c>
      <c r="CY94" s="55">
        <f t="shared" si="120"/>
        <v>24.1171875</v>
      </c>
      <c r="CZ94" s="55">
        <f t="shared" si="120"/>
        <v>28.940625</v>
      </c>
      <c r="DA94" s="55">
        <f t="shared" si="120"/>
        <v>33.7640625</v>
      </c>
      <c r="DB94" s="55">
        <f t="shared" si="120"/>
        <v>38.5875</v>
      </c>
      <c r="DC94" s="55">
        <f t="shared" si="120"/>
        <v>43.4109375</v>
      </c>
      <c r="DD94" s="55">
        <f t="shared" si="120"/>
        <v>48.234375</v>
      </c>
      <c r="DE94" s="55">
        <f t="shared" si="120"/>
        <v>53.0578125</v>
      </c>
      <c r="DF94" s="55">
        <f t="shared" si="120"/>
        <v>57.88125</v>
      </c>
      <c r="DG94" s="55">
        <f t="shared" si="120"/>
        <v>5.064609375</v>
      </c>
      <c r="DH94" s="55">
        <f t="shared" si="120"/>
        <v>10.12921875</v>
      </c>
      <c r="DI94" s="55">
        <f t="shared" si="120"/>
        <v>15.19382813</v>
      </c>
      <c r="DJ94" s="55">
        <f t="shared" si="120"/>
        <v>20.2584375</v>
      </c>
      <c r="DK94" s="55">
        <f t="shared" si="120"/>
        <v>25.32304688</v>
      </c>
      <c r="DL94" s="55">
        <f t="shared" si="120"/>
        <v>30.38765625</v>
      </c>
      <c r="DM94" s="55">
        <f t="shared" si="120"/>
        <v>35.45226563</v>
      </c>
      <c r="DN94" s="55">
        <f t="shared" si="120"/>
        <v>40.516875</v>
      </c>
      <c r="DO94" s="55">
        <f t="shared" si="120"/>
        <v>45.58148438</v>
      </c>
      <c r="DP94" s="55">
        <f t="shared" si="120"/>
        <v>50.64609375</v>
      </c>
      <c r="DQ94" s="55">
        <f t="shared" si="120"/>
        <v>55.71070313</v>
      </c>
      <c r="DR94" s="55">
        <f t="shared" si="120"/>
        <v>60.7753125</v>
      </c>
    </row>
    <row r="95" ht="4.5" hidden="1" customHeight="1" outlineLevel="1"/>
    <row r="96" ht="15.75" customHeight="1" collapsed="1">
      <c r="B96" s="60" t="s">
        <v>46</v>
      </c>
      <c r="C96" s="60"/>
      <c r="E96" s="61">
        <f>+SUMIFS(E$13:E$58,$C$13:$C$58,$B$86)</f>
        <v>1750.371</v>
      </c>
      <c r="F96" s="61">
        <f t="shared" ref="F96:M96" si="121">+SUM(F90,F94)</f>
        <v>1771.212</v>
      </c>
      <c r="G96" s="61">
        <f t="shared" si="121"/>
        <v>1842.559</v>
      </c>
      <c r="H96" s="61">
        <f t="shared" si="121"/>
        <v>1905.0657</v>
      </c>
      <c r="I96" s="61">
        <f t="shared" si="121"/>
        <v>2067.560393</v>
      </c>
      <c r="J96" s="61">
        <f t="shared" si="121"/>
        <v>2432.239016</v>
      </c>
      <c r="K96" s="61">
        <f t="shared" si="121"/>
        <v>2936.485857</v>
      </c>
      <c r="L96" s="61">
        <f t="shared" si="121"/>
        <v>3488.903133</v>
      </c>
      <c r="M96" s="61">
        <f t="shared" si="121"/>
        <v>4093.276853</v>
      </c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  <c r="CD96" s="53"/>
      <c r="CE96" s="53"/>
      <c r="CF96" s="53"/>
      <c r="CG96" s="53"/>
      <c r="CH96" s="53"/>
      <c r="CI96" s="53"/>
      <c r="CJ96" s="53"/>
      <c r="CK96" s="53"/>
      <c r="CL96" s="53"/>
      <c r="CM96" s="53"/>
      <c r="CN96" s="53"/>
      <c r="CO96" s="53"/>
      <c r="CP96" s="53"/>
      <c r="CQ96" s="53"/>
      <c r="CR96" s="53"/>
      <c r="CS96" s="53"/>
      <c r="CT96" s="53"/>
      <c r="CU96" s="53"/>
      <c r="CV96" s="53"/>
      <c r="CW96" s="53"/>
      <c r="CX96" s="53"/>
      <c r="CY96" s="53"/>
      <c r="CZ96" s="53"/>
      <c r="DA96" s="53"/>
      <c r="DB96" s="53"/>
      <c r="DC96" s="53"/>
      <c r="DD96" s="53"/>
      <c r="DE96" s="53"/>
      <c r="DF96" s="53"/>
      <c r="DG96" s="53"/>
      <c r="DH96" s="53"/>
      <c r="DI96" s="53"/>
      <c r="DJ96" s="53"/>
      <c r="DK96" s="53"/>
      <c r="DL96" s="53"/>
      <c r="DM96" s="53"/>
      <c r="DN96" s="53"/>
      <c r="DO96" s="53"/>
      <c r="DP96" s="53"/>
      <c r="DQ96" s="53"/>
      <c r="DR96" s="53"/>
    </row>
    <row r="97" ht="4.5" customHeight="1"/>
    <row r="98" ht="15.75" customHeight="1">
      <c r="B98" s="99" t="s">
        <v>74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  <c r="AN98" s="100"/>
      <c r="AO98" s="100"/>
      <c r="AP98" s="100"/>
      <c r="AQ98" s="100"/>
      <c r="AR98" s="100"/>
      <c r="AS98" s="100"/>
      <c r="AT98" s="100"/>
      <c r="AU98" s="100"/>
      <c r="AV98" s="100"/>
      <c r="AW98" s="100"/>
      <c r="AX98" s="100"/>
      <c r="AY98" s="100"/>
      <c r="AZ98" s="100"/>
      <c r="BA98" s="100"/>
      <c r="BB98" s="100"/>
      <c r="BC98" s="100"/>
      <c r="BD98" s="100"/>
      <c r="BE98" s="100"/>
      <c r="BF98" s="100"/>
      <c r="BG98" s="100"/>
      <c r="BH98" s="100"/>
      <c r="BI98" s="100"/>
      <c r="BJ98" s="100"/>
      <c r="BK98" s="100"/>
      <c r="BL98" s="100"/>
      <c r="BM98" s="100"/>
      <c r="BN98" s="100"/>
      <c r="BO98" s="100"/>
      <c r="BP98" s="100"/>
      <c r="BQ98" s="100"/>
      <c r="BR98" s="100"/>
      <c r="BS98" s="100"/>
      <c r="BT98" s="100"/>
      <c r="BU98" s="100"/>
      <c r="BV98" s="100"/>
      <c r="BW98" s="100"/>
      <c r="BX98" s="100"/>
      <c r="BY98" s="100"/>
      <c r="BZ98" s="100"/>
      <c r="CA98" s="100"/>
      <c r="CB98" s="100"/>
      <c r="CC98" s="100"/>
      <c r="CD98" s="100"/>
      <c r="CE98" s="100"/>
      <c r="CF98" s="100"/>
      <c r="CG98" s="100"/>
      <c r="CH98" s="100"/>
      <c r="CI98" s="100"/>
      <c r="CJ98" s="100"/>
      <c r="CK98" s="100"/>
      <c r="CL98" s="100"/>
      <c r="CM98" s="100"/>
      <c r="CN98" s="100"/>
      <c r="CO98" s="100"/>
      <c r="CP98" s="100"/>
      <c r="CQ98" s="100"/>
      <c r="CR98" s="100"/>
      <c r="CS98" s="100"/>
      <c r="CT98" s="100"/>
      <c r="CU98" s="100"/>
      <c r="CV98" s="100"/>
      <c r="CW98" s="100"/>
      <c r="CX98" s="100"/>
      <c r="CY98" s="100"/>
      <c r="CZ98" s="100"/>
      <c r="DA98" s="100"/>
      <c r="DB98" s="100"/>
      <c r="DC98" s="100"/>
      <c r="DD98" s="100"/>
      <c r="DE98" s="100"/>
      <c r="DF98" s="100"/>
      <c r="DG98" s="100"/>
      <c r="DH98" s="100"/>
      <c r="DI98" s="100"/>
      <c r="DJ98" s="100"/>
      <c r="DK98" s="100"/>
      <c r="DL98" s="100"/>
      <c r="DM98" s="100"/>
      <c r="DN98" s="100"/>
      <c r="DO98" s="100"/>
      <c r="DP98" s="100"/>
      <c r="DQ98" s="100"/>
      <c r="DR98" s="100"/>
    </row>
    <row r="99" ht="15.75" customHeight="1">
      <c r="B99" s="5" t="s">
        <v>120</v>
      </c>
      <c r="E99" s="100"/>
      <c r="F99" s="50">
        <f t="shared" ref="F99:M99" si="122">+E108</f>
        <v>788.562</v>
      </c>
      <c r="G99" s="50">
        <f t="shared" si="122"/>
        <v>1021.766</v>
      </c>
      <c r="H99" s="50">
        <f t="shared" si="122"/>
        <v>1442.292</v>
      </c>
      <c r="I99" s="50">
        <f t="shared" si="122"/>
        <v>2048.712523</v>
      </c>
      <c r="J99" s="50">
        <f t="shared" si="122"/>
        <v>2199.974695</v>
      </c>
      <c r="K99" s="50">
        <f t="shared" si="122"/>
        <v>2835.721911</v>
      </c>
      <c r="L99" s="50">
        <f t="shared" si="122"/>
        <v>3625.401322</v>
      </c>
      <c r="M99" s="50">
        <f t="shared" si="122"/>
        <v>4699.476717</v>
      </c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  <c r="AM99" s="100"/>
      <c r="AN99" s="100"/>
      <c r="AO99" s="100"/>
      <c r="AP99" s="100"/>
      <c r="AQ99" s="100"/>
      <c r="AR99" s="100"/>
      <c r="AS99" s="100"/>
      <c r="AT99" s="100"/>
      <c r="AU99" s="100"/>
      <c r="AV99" s="100"/>
      <c r="AW99" s="100"/>
      <c r="AX99" s="100"/>
      <c r="AY99" s="100"/>
      <c r="AZ99" s="100"/>
      <c r="BA99" s="100"/>
      <c r="BB99" s="100"/>
      <c r="BC99" s="100"/>
      <c r="BD99" s="100"/>
      <c r="BE99" s="100"/>
      <c r="BF99" s="100"/>
      <c r="BG99" s="100"/>
      <c r="BH99" s="100"/>
      <c r="BI99" s="100"/>
      <c r="BJ99" s="100"/>
      <c r="BK99" s="100"/>
      <c r="BL99" s="100"/>
      <c r="BM99" s="100"/>
      <c r="BN99" s="100"/>
      <c r="BO99" s="100"/>
      <c r="BP99" s="100"/>
      <c r="BQ99" s="100"/>
      <c r="BR99" s="100"/>
      <c r="BS99" s="100"/>
      <c r="BT99" s="100"/>
      <c r="BU99" s="100"/>
      <c r="BV99" s="100"/>
      <c r="BW99" s="100"/>
      <c r="BX99" s="100"/>
      <c r="BY99" s="100"/>
      <c r="BZ99" s="100"/>
      <c r="CA99" s="100"/>
      <c r="CB99" s="100"/>
      <c r="CC99" s="100"/>
      <c r="CD99" s="100"/>
      <c r="CE99" s="100"/>
      <c r="CF99" s="100"/>
      <c r="CG99" s="100"/>
      <c r="CH99" s="100"/>
      <c r="CI99" s="100"/>
      <c r="CJ99" s="100"/>
      <c r="CK99" s="100"/>
      <c r="CL99" s="100"/>
      <c r="CM99" s="100"/>
      <c r="CN99" s="100"/>
      <c r="CO99" s="100"/>
      <c r="CP99" s="100"/>
      <c r="CQ99" s="100"/>
      <c r="CR99" s="100"/>
      <c r="CS99" s="100"/>
      <c r="CT99" s="100"/>
      <c r="CU99" s="100"/>
      <c r="CV99" s="100"/>
      <c r="CW99" s="100"/>
      <c r="CX99" s="100"/>
      <c r="CY99" s="100"/>
      <c r="CZ99" s="100"/>
      <c r="DA99" s="100"/>
      <c r="DB99" s="100"/>
      <c r="DC99" s="100"/>
      <c r="DD99" s="100"/>
      <c r="DE99" s="100"/>
      <c r="DF99" s="100"/>
      <c r="DG99" s="100"/>
      <c r="DH99" s="100"/>
      <c r="DI99" s="100"/>
      <c r="DJ99" s="100"/>
      <c r="DK99" s="100"/>
      <c r="DL99" s="100"/>
      <c r="DM99" s="100"/>
      <c r="DN99" s="100"/>
      <c r="DO99" s="100"/>
      <c r="DP99" s="100"/>
      <c r="DQ99" s="100"/>
      <c r="DR99" s="100"/>
    </row>
    <row r="100" ht="15.75" customHeight="1">
      <c r="B100" s="5" t="s">
        <v>121</v>
      </c>
      <c r="E100" s="100"/>
      <c r="F100" s="50">
        <f t="shared" ref="F100:I100" si="123">+SUMIFS(DT$13:DT$58,DT$13:DT$58,"&lt;0",$C$13:$C$58,$B$98)</f>
        <v>-57.492</v>
      </c>
      <c r="G100" s="50">
        <f t="shared" si="123"/>
        <v>-241.438</v>
      </c>
      <c r="H100" s="50">
        <f t="shared" si="123"/>
        <v>0</v>
      </c>
      <c r="I100" s="50">
        <f t="shared" si="123"/>
        <v>0</v>
      </c>
      <c r="J100" s="52">
        <f>+Revenue_Assumptions!J28*J$99</f>
        <v>-21.99974695</v>
      </c>
      <c r="K100" s="52">
        <f>+Revenue_Assumptions!K28*K$99</f>
        <v>-28.35721911</v>
      </c>
      <c r="L100" s="52">
        <f>+Revenue_Assumptions!L28*L$99</f>
        <v>-36.25401322</v>
      </c>
      <c r="M100" s="52">
        <f>+Revenue_Assumptions!M28*M$99</f>
        <v>-46.99476717</v>
      </c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  <c r="AM100" s="100"/>
      <c r="AN100" s="100"/>
      <c r="AO100" s="100"/>
      <c r="AP100" s="100"/>
      <c r="AQ100" s="100"/>
      <c r="AR100" s="100"/>
      <c r="AS100" s="100"/>
      <c r="AT100" s="100"/>
      <c r="AU100" s="100"/>
      <c r="AV100" s="100"/>
      <c r="AW100" s="100"/>
      <c r="AX100" s="100"/>
      <c r="AY100" s="100"/>
      <c r="AZ100" s="100"/>
      <c r="BA100" s="100"/>
      <c r="BB100" s="100"/>
      <c r="BC100" s="100"/>
      <c r="BD100" s="100"/>
      <c r="BE100" s="100"/>
      <c r="BF100" s="100"/>
      <c r="BG100" s="100"/>
      <c r="BH100" s="100"/>
      <c r="BI100" s="100"/>
      <c r="BJ100" s="100"/>
      <c r="BK100" s="100"/>
      <c r="BL100" s="100"/>
      <c r="BM100" s="100"/>
      <c r="BN100" s="100"/>
      <c r="BO100" s="100"/>
      <c r="BP100" s="100"/>
      <c r="BQ100" s="100"/>
      <c r="BR100" s="100"/>
      <c r="BS100" s="100"/>
      <c r="BT100" s="100"/>
      <c r="BU100" s="100"/>
      <c r="BV100" s="100"/>
      <c r="BW100" s="100"/>
      <c r="BX100" s="100"/>
      <c r="BY100" s="100"/>
      <c r="BZ100" s="100"/>
      <c r="CA100" s="100"/>
      <c r="CB100" s="100"/>
      <c r="CC100" s="100"/>
      <c r="CD100" s="100"/>
      <c r="CE100" s="100"/>
      <c r="CF100" s="100"/>
      <c r="CG100" s="100"/>
      <c r="CH100" s="100"/>
      <c r="CI100" s="100"/>
      <c r="CJ100" s="100"/>
      <c r="CK100" s="100"/>
      <c r="CL100" s="100"/>
      <c r="CM100" s="100"/>
      <c r="CN100" s="100"/>
      <c r="CO100" s="100"/>
      <c r="CP100" s="100"/>
      <c r="CQ100" s="100"/>
      <c r="CR100" s="100"/>
      <c r="CS100" s="100"/>
      <c r="CT100" s="100"/>
      <c r="CU100" s="100"/>
      <c r="CV100" s="100"/>
      <c r="CW100" s="100"/>
      <c r="CX100" s="100"/>
      <c r="CY100" s="100"/>
      <c r="CZ100" s="100"/>
      <c r="DA100" s="100"/>
      <c r="DB100" s="100"/>
      <c r="DC100" s="100"/>
      <c r="DD100" s="100"/>
      <c r="DE100" s="100"/>
      <c r="DF100" s="100"/>
      <c r="DG100" s="100"/>
      <c r="DH100" s="100"/>
      <c r="DI100" s="100"/>
      <c r="DJ100" s="100"/>
      <c r="DK100" s="100"/>
      <c r="DL100" s="100"/>
      <c r="DM100" s="100"/>
      <c r="DN100" s="100"/>
      <c r="DO100" s="100"/>
      <c r="DP100" s="100"/>
      <c r="DQ100" s="100"/>
      <c r="DR100" s="100"/>
    </row>
    <row r="101" ht="15.75" customHeight="1">
      <c r="B101" s="5" t="s">
        <v>127</v>
      </c>
      <c r="E101" s="100"/>
      <c r="F101" s="50">
        <f t="shared" ref="F101:I101" si="124">+SUMIFS(DT$13:DT$58,DT$13:DT$58,"&gt;0",$C$13:$C$58,$B$98)-F106</f>
        <v>290.696</v>
      </c>
      <c r="G101" s="50">
        <f t="shared" si="124"/>
        <v>661.964</v>
      </c>
      <c r="H101" s="50">
        <f t="shared" si="124"/>
        <v>606.4205234</v>
      </c>
      <c r="I101" s="50">
        <f t="shared" si="124"/>
        <v>138.7621716</v>
      </c>
      <c r="J101" s="52">
        <f>+Revenue_Assumptions!J29*J$99</f>
        <v>263.9969634</v>
      </c>
      <c r="K101" s="52">
        <f>+Revenue_Assumptions!K29*K$99</f>
        <v>340.2866294</v>
      </c>
      <c r="L101" s="52">
        <f>+Revenue_Assumptions!L29*L$99</f>
        <v>435.0481586</v>
      </c>
      <c r="M101" s="52">
        <f>+Revenue_Assumptions!M29*M$99</f>
        <v>563.9372061</v>
      </c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100"/>
      <c r="AO101" s="100"/>
      <c r="AP101" s="100"/>
      <c r="AQ101" s="100"/>
      <c r="AR101" s="100"/>
      <c r="AS101" s="100"/>
      <c r="AT101" s="100"/>
      <c r="AU101" s="100"/>
      <c r="AV101" s="100"/>
      <c r="AW101" s="100"/>
      <c r="AX101" s="100"/>
      <c r="AY101" s="100"/>
      <c r="AZ101" s="100"/>
      <c r="BA101" s="100"/>
      <c r="BB101" s="100"/>
      <c r="BC101" s="100"/>
      <c r="BD101" s="100"/>
      <c r="BE101" s="100"/>
      <c r="BF101" s="100"/>
      <c r="BG101" s="100"/>
      <c r="BH101" s="100"/>
      <c r="BI101" s="100"/>
      <c r="BJ101" s="100"/>
      <c r="BK101" s="100"/>
      <c r="BL101" s="100"/>
      <c r="BM101" s="100"/>
      <c r="BN101" s="100"/>
      <c r="BO101" s="100"/>
      <c r="BP101" s="100"/>
      <c r="BQ101" s="100"/>
      <c r="BR101" s="100"/>
      <c r="BS101" s="100"/>
      <c r="BT101" s="100"/>
      <c r="BU101" s="100"/>
      <c r="BV101" s="100"/>
      <c r="BW101" s="100"/>
      <c r="BX101" s="100"/>
      <c r="BY101" s="100"/>
      <c r="BZ101" s="100"/>
      <c r="CA101" s="100"/>
      <c r="CB101" s="100"/>
      <c r="CC101" s="100"/>
      <c r="CD101" s="100"/>
      <c r="CE101" s="100"/>
      <c r="CF101" s="100"/>
      <c r="CG101" s="100"/>
      <c r="CH101" s="100"/>
      <c r="CI101" s="100"/>
      <c r="CJ101" s="100"/>
      <c r="CK101" s="100"/>
      <c r="CL101" s="100"/>
      <c r="CM101" s="100"/>
      <c r="CN101" s="100"/>
      <c r="CO101" s="100"/>
      <c r="CP101" s="100"/>
      <c r="CQ101" s="100"/>
      <c r="CR101" s="100"/>
      <c r="CS101" s="100"/>
      <c r="CT101" s="100"/>
      <c r="CU101" s="100"/>
      <c r="CV101" s="100"/>
      <c r="CW101" s="100"/>
      <c r="CX101" s="100"/>
      <c r="CY101" s="100"/>
      <c r="CZ101" s="100"/>
      <c r="DA101" s="100"/>
      <c r="DB101" s="100"/>
      <c r="DC101" s="100"/>
      <c r="DD101" s="100"/>
      <c r="DE101" s="100"/>
      <c r="DF101" s="100"/>
      <c r="DG101" s="100"/>
      <c r="DH101" s="100"/>
      <c r="DI101" s="100"/>
      <c r="DJ101" s="100"/>
      <c r="DK101" s="100"/>
      <c r="DL101" s="100"/>
      <c r="DM101" s="100"/>
      <c r="DN101" s="100"/>
      <c r="DO101" s="100"/>
      <c r="DP101" s="100"/>
      <c r="DQ101" s="100"/>
      <c r="DR101" s="100"/>
    </row>
    <row r="102" ht="15.75" customHeight="1">
      <c r="B102" s="54" t="s">
        <v>124</v>
      </c>
      <c r="C102" s="54"/>
      <c r="E102" s="92"/>
      <c r="F102" s="55">
        <f t="shared" ref="F102:M102" si="125">SUM(F99:F101)</f>
        <v>1021.766</v>
      </c>
      <c r="G102" s="55">
        <f t="shared" si="125"/>
        <v>1442.292</v>
      </c>
      <c r="H102" s="55">
        <f t="shared" si="125"/>
        <v>2048.712523</v>
      </c>
      <c r="I102" s="55">
        <f t="shared" si="125"/>
        <v>2187.474695</v>
      </c>
      <c r="J102" s="55">
        <f t="shared" si="125"/>
        <v>2441.971911</v>
      </c>
      <c r="K102" s="55">
        <f t="shared" si="125"/>
        <v>3147.651322</v>
      </c>
      <c r="L102" s="55">
        <f t="shared" si="125"/>
        <v>4024.195467</v>
      </c>
      <c r="M102" s="55">
        <f t="shared" si="125"/>
        <v>5216.419156</v>
      </c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100"/>
      <c r="BX102" s="100"/>
      <c r="BY102" s="100"/>
      <c r="BZ102" s="100"/>
      <c r="CA102" s="100"/>
      <c r="CB102" s="100"/>
      <c r="CC102" s="100"/>
      <c r="CD102" s="100"/>
      <c r="CE102" s="100"/>
      <c r="CF102" s="100"/>
      <c r="CG102" s="100"/>
      <c r="CH102" s="100"/>
      <c r="CI102" s="100"/>
      <c r="CJ102" s="100"/>
      <c r="CK102" s="100"/>
      <c r="CL102" s="100"/>
      <c r="CM102" s="100"/>
      <c r="CN102" s="100"/>
      <c r="CO102" s="100"/>
      <c r="CP102" s="100"/>
      <c r="CQ102" s="100"/>
      <c r="CR102" s="100"/>
      <c r="CS102" s="100"/>
      <c r="CT102" s="100"/>
      <c r="CU102" s="100"/>
      <c r="CV102" s="100"/>
      <c r="CW102" s="100"/>
      <c r="CX102" s="100"/>
      <c r="CY102" s="100"/>
      <c r="CZ102" s="100"/>
      <c r="DA102" s="100"/>
      <c r="DB102" s="100"/>
      <c r="DC102" s="100"/>
      <c r="DD102" s="100"/>
      <c r="DE102" s="100"/>
      <c r="DF102" s="100"/>
      <c r="DG102" s="100"/>
      <c r="DH102" s="100"/>
      <c r="DI102" s="100"/>
      <c r="DJ102" s="100"/>
      <c r="DK102" s="100"/>
      <c r="DL102" s="100"/>
      <c r="DM102" s="100"/>
      <c r="DN102" s="100"/>
      <c r="DO102" s="100"/>
      <c r="DP102" s="100"/>
      <c r="DQ102" s="100"/>
      <c r="DR102" s="100"/>
    </row>
    <row r="103" ht="4.5" customHeight="1"/>
    <row r="104" ht="15.75" hidden="1" customHeight="1" outlineLevel="1">
      <c r="B104" s="5" t="s">
        <v>128</v>
      </c>
      <c r="E104" s="100"/>
      <c r="F104" s="101"/>
      <c r="G104" s="101"/>
      <c r="H104" s="101"/>
      <c r="I104" s="101"/>
      <c r="J104" s="101"/>
      <c r="K104" s="101"/>
      <c r="L104" s="101"/>
      <c r="M104" s="101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2" t="str">
        <f>+'Bookings to Revenue_Calcs'!AA47</f>
        <v/>
      </c>
      <c r="AB104" s="102" t="str">
        <f>+'Bookings to Revenue_Calcs'!AB47</f>
        <v/>
      </c>
      <c r="AC104" s="102" t="str">
        <f>+'Bookings to Revenue_Calcs'!AC47</f>
        <v/>
      </c>
      <c r="AD104" s="102" t="str">
        <f>+'Bookings to Revenue_Calcs'!AD47</f>
        <v/>
      </c>
      <c r="AE104" s="102" t="str">
        <f>+'Bookings to Revenue_Calcs'!AE47</f>
        <v/>
      </c>
      <c r="AF104" s="102" t="str">
        <f>+'Bookings to Revenue_Calcs'!AF47</f>
        <v/>
      </c>
      <c r="AG104" s="102" t="str">
        <f>+'Bookings to Revenue_Calcs'!AG47</f>
        <v/>
      </c>
      <c r="AH104" s="102" t="str">
        <f>+'Bookings to Revenue_Calcs'!AH47</f>
        <v/>
      </c>
      <c r="AI104" s="102" t="str">
        <f>+'Bookings to Revenue_Calcs'!AI47</f>
        <v/>
      </c>
      <c r="AJ104" s="102" t="str">
        <f>+'Bookings to Revenue_Calcs'!AJ47</f>
        <v/>
      </c>
      <c r="AK104" s="102" t="str">
        <f>+'Bookings to Revenue_Calcs'!AK47</f>
        <v/>
      </c>
      <c r="AL104" s="102" t="str">
        <f>+'Bookings to Revenue_Calcs'!AL47</f>
        <v/>
      </c>
      <c r="AM104" s="102" t="str">
        <f>+'Bookings to Revenue_Calcs'!AM47</f>
        <v/>
      </c>
      <c r="AN104" s="102" t="str">
        <f>+'Bookings to Revenue_Calcs'!AN47</f>
        <v/>
      </c>
      <c r="AO104" s="102" t="str">
        <f>+'Bookings to Revenue_Calcs'!AO47</f>
        <v/>
      </c>
      <c r="AP104" s="102" t="str">
        <f>+'Bookings to Revenue_Calcs'!AP47</f>
        <v/>
      </c>
      <c r="AQ104" s="102" t="str">
        <f>+'Bookings to Revenue_Calcs'!AQ47</f>
        <v/>
      </c>
      <c r="AR104" s="102" t="str">
        <f>+'Bookings to Revenue_Calcs'!AR47</f>
        <v/>
      </c>
      <c r="AS104" s="102" t="str">
        <f>+'Bookings to Revenue_Calcs'!AS47</f>
        <v/>
      </c>
      <c r="AT104" s="102" t="str">
        <f>+'Bookings to Revenue_Calcs'!AT47</f>
        <v/>
      </c>
      <c r="AU104" s="102" t="str">
        <f>+'Bookings to Revenue_Calcs'!AU47</f>
        <v/>
      </c>
      <c r="AV104" s="102" t="str">
        <f>+'Bookings to Revenue_Calcs'!AV47</f>
        <v/>
      </c>
      <c r="AW104" s="102" t="str">
        <f>+'Bookings to Revenue_Calcs'!AW47</f>
        <v/>
      </c>
      <c r="AX104" s="102" t="str">
        <f>+'Bookings to Revenue_Calcs'!AX47</f>
        <v/>
      </c>
      <c r="AY104" s="102" t="str">
        <f>+'Bookings to Revenue_Calcs'!AY47</f>
        <v/>
      </c>
      <c r="AZ104" s="102" t="str">
        <f>+'Bookings to Revenue_Calcs'!AZ47</f>
        <v/>
      </c>
      <c r="BA104" s="102" t="str">
        <f>+'Bookings to Revenue_Calcs'!BA47</f>
        <v/>
      </c>
      <c r="BB104" s="102" t="str">
        <f>+'Bookings to Revenue_Calcs'!BB47</f>
        <v/>
      </c>
      <c r="BC104" s="102" t="str">
        <f>+'Bookings to Revenue_Calcs'!BC47</f>
        <v/>
      </c>
      <c r="BD104" s="102" t="str">
        <f>+'Bookings to Revenue_Calcs'!BD47</f>
        <v/>
      </c>
      <c r="BE104" s="102" t="str">
        <f>+'Bookings to Revenue_Calcs'!BE47</f>
        <v/>
      </c>
      <c r="BF104" s="102" t="str">
        <f>+'Bookings to Revenue_Calcs'!BF47</f>
        <v/>
      </c>
      <c r="BG104" s="102" t="str">
        <f>+'Bookings to Revenue_Calcs'!BG47</f>
        <v/>
      </c>
      <c r="BH104" s="102" t="str">
        <f>+'Bookings to Revenue_Calcs'!BH47</f>
        <v/>
      </c>
      <c r="BI104" s="102" t="str">
        <f>+'Bookings to Revenue_Calcs'!BI47</f>
        <v/>
      </c>
      <c r="BJ104" s="102" t="str">
        <f>+'Bookings to Revenue_Calcs'!BJ47</f>
        <v/>
      </c>
      <c r="BK104" s="102" t="str">
        <f>+'Bookings to Revenue_Calcs'!BK47</f>
        <v/>
      </c>
      <c r="BL104" s="102" t="str">
        <f>+'Bookings to Revenue_Calcs'!BL47</f>
        <v/>
      </c>
      <c r="BM104" s="102" t="str">
        <f>+'Bookings to Revenue_Calcs'!BM47</f>
        <v/>
      </c>
      <c r="BN104" s="102" t="str">
        <f>+'Bookings to Revenue_Calcs'!BN47</f>
        <v/>
      </c>
      <c r="BO104" s="102" t="str">
        <f>+'Bookings to Revenue_Calcs'!BO47</f>
        <v/>
      </c>
      <c r="BP104" s="102" t="str">
        <f>+'Bookings to Revenue_Calcs'!BP47</f>
        <v/>
      </c>
      <c r="BQ104" s="102">
        <f>+'Bookings to Revenue_Calcs'!BQ47</f>
        <v>0</v>
      </c>
      <c r="BR104" s="102">
        <f>+'Bookings to Revenue_Calcs'!BR47</f>
        <v>0</v>
      </c>
      <c r="BS104" s="102">
        <f>+'Bookings to Revenue_Calcs'!BS47</f>
        <v>0</v>
      </c>
      <c r="BT104" s="102">
        <f>+'Bookings to Revenue_Calcs'!BT47</f>
        <v>0</v>
      </c>
      <c r="BU104" s="102">
        <f>+'Bookings to Revenue_Calcs'!BU47</f>
        <v>0.25</v>
      </c>
      <c r="BV104" s="102">
        <f>+'Bookings to Revenue_Calcs'!BV47</f>
        <v>0.5</v>
      </c>
      <c r="BW104" s="102">
        <f>+'Bookings to Revenue_Calcs'!BW47</f>
        <v>0.25</v>
      </c>
      <c r="BX104" s="102">
        <f>+'Bookings to Revenue_Calcs'!BX47</f>
        <v>0.5</v>
      </c>
      <c r="BY104" s="102">
        <f>+'Bookings to Revenue_Calcs'!BY47</f>
        <v>0.75</v>
      </c>
      <c r="BZ104" s="102">
        <f>+'Bookings to Revenue_Calcs'!BZ47</f>
        <v>1</v>
      </c>
      <c r="CA104" s="102">
        <f>+'Bookings to Revenue_Calcs'!CA47</f>
        <v>1.333333333</v>
      </c>
      <c r="CB104" s="102">
        <f>+'Bookings to Revenue_Calcs'!CB47</f>
        <v>1.666666667</v>
      </c>
      <c r="CC104" s="102">
        <f>+'Bookings to Revenue_Calcs'!CC47</f>
        <v>2</v>
      </c>
      <c r="CD104" s="102">
        <f>+'Bookings to Revenue_Calcs'!CD47</f>
        <v>2.333333333</v>
      </c>
      <c r="CE104" s="102">
        <f>+'Bookings to Revenue_Calcs'!CE47</f>
        <v>2.666666667</v>
      </c>
      <c r="CF104" s="102">
        <f>+'Bookings to Revenue_Calcs'!CF47</f>
        <v>3</v>
      </c>
      <c r="CG104" s="102">
        <f>+'Bookings to Revenue_Calcs'!CG47</f>
        <v>3.333333333</v>
      </c>
      <c r="CH104" s="102">
        <f>+'Bookings to Revenue_Calcs'!CH47</f>
        <v>3.666666667</v>
      </c>
      <c r="CI104" s="102">
        <f>+'Bookings to Revenue_Calcs'!CI47</f>
        <v>0.3333333333</v>
      </c>
      <c r="CJ104" s="102">
        <f>+'Bookings to Revenue_Calcs'!CJ47</f>
        <v>0.6666666667</v>
      </c>
      <c r="CK104" s="102">
        <f>+'Bookings to Revenue_Calcs'!CK47</f>
        <v>1</v>
      </c>
      <c r="CL104" s="102">
        <f>+'Bookings to Revenue_Calcs'!CL47</f>
        <v>1.333333333</v>
      </c>
      <c r="CM104" s="102">
        <f>+'Bookings to Revenue_Calcs'!CM47</f>
        <v>1.666666667</v>
      </c>
      <c r="CN104" s="102">
        <f>+'Bookings to Revenue_Calcs'!CN47</f>
        <v>2</v>
      </c>
      <c r="CO104" s="102">
        <f>+'Bookings to Revenue_Calcs'!CO47</f>
        <v>2.333333333</v>
      </c>
      <c r="CP104" s="102">
        <f>+'Bookings to Revenue_Calcs'!CP47</f>
        <v>2.666666667</v>
      </c>
      <c r="CQ104" s="102">
        <f>+'Bookings to Revenue_Calcs'!CQ47</f>
        <v>3</v>
      </c>
      <c r="CR104" s="102">
        <f>+'Bookings to Revenue_Calcs'!CR47</f>
        <v>3.333333333</v>
      </c>
      <c r="CS104" s="102">
        <f>+'Bookings to Revenue_Calcs'!CS47</f>
        <v>3.666666667</v>
      </c>
      <c r="CT104" s="102">
        <f>+'Bookings to Revenue_Calcs'!CT47</f>
        <v>4</v>
      </c>
      <c r="CU104" s="102">
        <f>+'Bookings to Revenue_Calcs'!CU47</f>
        <v>0.3333333333</v>
      </c>
      <c r="CV104" s="102">
        <f>+'Bookings to Revenue_Calcs'!CV47</f>
        <v>0.6666666667</v>
      </c>
      <c r="CW104" s="102">
        <f>+'Bookings to Revenue_Calcs'!CW47</f>
        <v>1</v>
      </c>
      <c r="CX104" s="102">
        <f>+'Bookings to Revenue_Calcs'!CX47</f>
        <v>1.333333333</v>
      </c>
      <c r="CY104" s="102">
        <f>+'Bookings to Revenue_Calcs'!CY47</f>
        <v>1.916666667</v>
      </c>
      <c r="CZ104" s="102">
        <f>+'Bookings to Revenue_Calcs'!CZ47</f>
        <v>2.5</v>
      </c>
      <c r="DA104" s="102">
        <f>+'Bookings to Revenue_Calcs'!DA47</f>
        <v>3.083333333</v>
      </c>
      <c r="DB104" s="102">
        <f>+'Bookings to Revenue_Calcs'!DB47</f>
        <v>3.666666667</v>
      </c>
      <c r="DC104" s="102">
        <f>+'Bookings to Revenue_Calcs'!DC47</f>
        <v>4.25</v>
      </c>
      <c r="DD104" s="102">
        <f>+'Bookings to Revenue_Calcs'!DD47</f>
        <v>4.833333333</v>
      </c>
      <c r="DE104" s="102">
        <f>+'Bookings to Revenue_Calcs'!DE47</f>
        <v>5.416666667</v>
      </c>
      <c r="DF104" s="102">
        <f>+'Bookings to Revenue_Calcs'!DF47</f>
        <v>6</v>
      </c>
      <c r="DG104" s="102">
        <f>+'Bookings to Revenue_Calcs'!DG47</f>
        <v>0.5833333333</v>
      </c>
      <c r="DH104" s="102">
        <f>+'Bookings to Revenue_Calcs'!DH47</f>
        <v>1.166666667</v>
      </c>
      <c r="DI104" s="102">
        <f>+'Bookings to Revenue_Calcs'!DI47</f>
        <v>1.75</v>
      </c>
      <c r="DJ104" s="102">
        <f>+'Bookings to Revenue_Calcs'!DJ47</f>
        <v>2.333333333</v>
      </c>
      <c r="DK104" s="102">
        <f>+'Bookings to Revenue_Calcs'!DK47</f>
        <v>3.083333333</v>
      </c>
      <c r="DL104" s="102">
        <f>+'Bookings to Revenue_Calcs'!DL47</f>
        <v>3.833333333</v>
      </c>
      <c r="DM104" s="102">
        <f>+'Bookings to Revenue_Calcs'!DM47</f>
        <v>4.583333333</v>
      </c>
      <c r="DN104" s="102">
        <f>+'Bookings to Revenue_Calcs'!DN47</f>
        <v>5.333333333</v>
      </c>
      <c r="DO104" s="102">
        <f>+'Bookings to Revenue_Calcs'!DO47</f>
        <v>6.083333333</v>
      </c>
      <c r="DP104" s="102">
        <f>+'Bookings to Revenue_Calcs'!DP47</f>
        <v>6.833333333</v>
      </c>
      <c r="DQ104" s="102">
        <f>+'Bookings to Revenue_Calcs'!DQ47</f>
        <v>7.583333333</v>
      </c>
      <c r="DR104" s="102">
        <f>+'Bookings to Revenue_Calcs'!DR47</f>
        <v>8.333333333</v>
      </c>
    </row>
    <row r="105" ht="15.75" hidden="1" customHeight="1" outlineLevel="1">
      <c r="B105" s="5" t="s">
        <v>129</v>
      </c>
      <c r="E105" s="100"/>
      <c r="F105" s="53"/>
      <c r="G105" s="53"/>
      <c r="H105" s="53"/>
      <c r="I105" s="53"/>
      <c r="J105" s="53"/>
      <c r="K105" s="53"/>
      <c r="L105" s="53"/>
      <c r="M105" s="53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52">
        <f>+SUMIFS(Revenue_Assumptions!$E32:$M32,Revenue_Assumptions!$E$7:$M$7,AA$7)/12</f>
        <v>0</v>
      </c>
      <c r="AB105" s="52">
        <f>+SUMIFS(Revenue_Assumptions!$E32:$M32,Revenue_Assumptions!$E$7:$M$7,AB$7)/12</f>
        <v>0</v>
      </c>
      <c r="AC105" s="52">
        <f>+SUMIFS(Revenue_Assumptions!$E32:$M32,Revenue_Assumptions!$E$7:$M$7,AC$7)/12</f>
        <v>0</v>
      </c>
      <c r="AD105" s="52">
        <f>+SUMIFS(Revenue_Assumptions!$E32:$M32,Revenue_Assumptions!$E$7:$M$7,AD$7)/12</f>
        <v>0</v>
      </c>
      <c r="AE105" s="52">
        <f>+SUMIFS(Revenue_Assumptions!$E32:$M32,Revenue_Assumptions!$E$7:$M$7,AE$7)/12</f>
        <v>0</v>
      </c>
      <c r="AF105" s="52">
        <f>+SUMIFS(Revenue_Assumptions!$E32:$M32,Revenue_Assumptions!$E$7:$M$7,AF$7)/12</f>
        <v>0</v>
      </c>
      <c r="AG105" s="52">
        <f>+SUMIFS(Revenue_Assumptions!$E32:$M32,Revenue_Assumptions!$E$7:$M$7,AG$7)/12</f>
        <v>0</v>
      </c>
      <c r="AH105" s="52">
        <f>+SUMIFS(Revenue_Assumptions!$E32:$M32,Revenue_Assumptions!$E$7:$M$7,AH$7)/12</f>
        <v>0</v>
      </c>
      <c r="AI105" s="52">
        <f>+SUMIFS(Revenue_Assumptions!$E32:$M32,Revenue_Assumptions!$E$7:$M$7,AI$7)/12</f>
        <v>0</v>
      </c>
      <c r="AJ105" s="52">
        <f>+SUMIFS(Revenue_Assumptions!$E32:$M32,Revenue_Assumptions!$E$7:$M$7,AJ$7)/12</f>
        <v>0</v>
      </c>
      <c r="AK105" s="52">
        <f>+SUMIFS(Revenue_Assumptions!$E32:$M32,Revenue_Assumptions!$E$7:$M$7,AK$7)/12</f>
        <v>0</v>
      </c>
      <c r="AL105" s="52">
        <f>+SUMIFS(Revenue_Assumptions!$E32:$M32,Revenue_Assumptions!$E$7:$M$7,AL$7)/12</f>
        <v>0</v>
      </c>
      <c r="AM105" s="52">
        <f>+SUMIFS(Revenue_Assumptions!$E32:$M32,Revenue_Assumptions!$E$7:$M$7,AM$7)/12</f>
        <v>0</v>
      </c>
      <c r="AN105" s="52">
        <f>+SUMIFS(Revenue_Assumptions!$E32:$M32,Revenue_Assumptions!$E$7:$M$7,AN$7)/12</f>
        <v>0</v>
      </c>
      <c r="AO105" s="52">
        <f>+SUMIFS(Revenue_Assumptions!$E32:$M32,Revenue_Assumptions!$E$7:$M$7,AO$7)/12</f>
        <v>0</v>
      </c>
      <c r="AP105" s="52">
        <f>+SUMIFS(Revenue_Assumptions!$E32:$M32,Revenue_Assumptions!$E$7:$M$7,AP$7)/12</f>
        <v>0</v>
      </c>
      <c r="AQ105" s="52">
        <f>+SUMIFS(Revenue_Assumptions!$E32:$M32,Revenue_Assumptions!$E$7:$M$7,AQ$7)/12</f>
        <v>0</v>
      </c>
      <c r="AR105" s="52">
        <f>+SUMIFS(Revenue_Assumptions!$E32:$M32,Revenue_Assumptions!$E$7:$M$7,AR$7)/12</f>
        <v>0</v>
      </c>
      <c r="AS105" s="52">
        <f>+SUMIFS(Revenue_Assumptions!$E32:$M32,Revenue_Assumptions!$E$7:$M$7,AS$7)/12</f>
        <v>0</v>
      </c>
      <c r="AT105" s="52">
        <f>+SUMIFS(Revenue_Assumptions!$E32:$M32,Revenue_Assumptions!$E$7:$M$7,AT$7)/12</f>
        <v>0</v>
      </c>
      <c r="AU105" s="52">
        <f>+SUMIFS(Revenue_Assumptions!$E32:$M32,Revenue_Assumptions!$E$7:$M$7,AU$7)/12</f>
        <v>0</v>
      </c>
      <c r="AV105" s="52">
        <f>+SUMIFS(Revenue_Assumptions!$E32:$M32,Revenue_Assumptions!$E$7:$M$7,AV$7)/12</f>
        <v>0</v>
      </c>
      <c r="AW105" s="52">
        <f>+SUMIFS(Revenue_Assumptions!$E32:$M32,Revenue_Assumptions!$E$7:$M$7,AW$7)/12</f>
        <v>0</v>
      </c>
      <c r="AX105" s="52">
        <f>+SUMIFS(Revenue_Assumptions!$E32:$M32,Revenue_Assumptions!$E$7:$M$7,AX$7)/12</f>
        <v>0</v>
      </c>
      <c r="AY105" s="52">
        <f>+SUMIFS(Revenue_Assumptions!$E32:$M32,Revenue_Assumptions!$E$7:$M$7,AY$7)/12</f>
        <v>0</v>
      </c>
      <c r="AZ105" s="52">
        <f>+SUMIFS(Revenue_Assumptions!$E32:$M32,Revenue_Assumptions!$E$7:$M$7,AZ$7)/12</f>
        <v>0</v>
      </c>
      <c r="BA105" s="52">
        <f>+SUMIFS(Revenue_Assumptions!$E32:$M32,Revenue_Assumptions!$E$7:$M$7,BA$7)/12</f>
        <v>0</v>
      </c>
      <c r="BB105" s="52">
        <f>+SUMIFS(Revenue_Assumptions!$E32:$M32,Revenue_Assumptions!$E$7:$M$7,BB$7)/12</f>
        <v>0</v>
      </c>
      <c r="BC105" s="52">
        <f>+SUMIFS(Revenue_Assumptions!$E32:$M32,Revenue_Assumptions!$E$7:$M$7,BC$7)/12</f>
        <v>0</v>
      </c>
      <c r="BD105" s="52">
        <f>+SUMIFS(Revenue_Assumptions!$E32:$M32,Revenue_Assumptions!$E$7:$M$7,BD$7)/12</f>
        <v>0</v>
      </c>
      <c r="BE105" s="52">
        <f>+SUMIFS(Revenue_Assumptions!$E32:$M32,Revenue_Assumptions!$E$7:$M$7,BE$7)/12</f>
        <v>0</v>
      </c>
      <c r="BF105" s="52">
        <f>+SUMIFS(Revenue_Assumptions!$E32:$M32,Revenue_Assumptions!$E$7:$M$7,BF$7)/12</f>
        <v>0</v>
      </c>
      <c r="BG105" s="52">
        <f>+SUMIFS(Revenue_Assumptions!$E32:$M32,Revenue_Assumptions!$E$7:$M$7,BG$7)/12</f>
        <v>0</v>
      </c>
      <c r="BH105" s="52">
        <f>+SUMIFS(Revenue_Assumptions!$E32:$M32,Revenue_Assumptions!$E$7:$M$7,BH$7)/12</f>
        <v>0</v>
      </c>
      <c r="BI105" s="52">
        <f>+SUMIFS(Revenue_Assumptions!$E32:$M32,Revenue_Assumptions!$E$7:$M$7,BI$7)/12</f>
        <v>0</v>
      </c>
      <c r="BJ105" s="52">
        <f>+SUMIFS(Revenue_Assumptions!$E32:$M32,Revenue_Assumptions!$E$7:$M$7,BJ$7)/12</f>
        <v>0</v>
      </c>
      <c r="BK105" s="52">
        <f>+SUMIFS(Revenue_Assumptions!$E32:$M32,Revenue_Assumptions!$E$7:$M$7,BK$7)/12</f>
        <v>16.66666667</v>
      </c>
      <c r="BL105" s="52">
        <f>+SUMIFS(Revenue_Assumptions!$E32:$M32,Revenue_Assumptions!$E$7:$M$7,BL$7)/12</f>
        <v>16.66666667</v>
      </c>
      <c r="BM105" s="52">
        <f>+SUMIFS(Revenue_Assumptions!$E32:$M32,Revenue_Assumptions!$E$7:$M$7,BM$7)/12</f>
        <v>16.66666667</v>
      </c>
      <c r="BN105" s="52">
        <f>+SUMIFS(Revenue_Assumptions!$E32:$M32,Revenue_Assumptions!$E$7:$M$7,BN$7)/12</f>
        <v>16.66666667</v>
      </c>
      <c r="BO105" s="52">
        <f>+SUMIFS(Revenue_Assumptions!$E32:$M32,Revenue_Assumptions!$E$7:$M$7,BO$7)/12</f>
        <v>16.66666667</v>
      </c>
      <c r="BP105" s="52">
        <f>+SUMIFS(Revenue_Assumptions!$E32:$M32,Revenue_Assumptions!$E$7:$M$7,BP$7)/12</f>
        <v>16.66666667</v>
      </c>
      <c r="BQ105" s="52">
        <f>+SUMIFS(Revenue_Assumptions!$E32:$M32,Revenue_Assumptions!$E$7:$M$7,BQ$7)/12</f>
        <v>16.66666667</v>
      </c>
      <c r="BR105" s="52">
        <f>+SUMIFS(Revenue_Assumptions!$E32:$M32,Revenue_Assumptions!$E$7:$M$7,BR$7)/12</f>
        <v>16.66666667</v>
      </c>
      <c r="BS105" s="52">
        <f>+SUMIFS(Revenue_Assumptions!$E32:$M32,Revenue_Assumptions!$E$7:$M$7,BS$7)/12</f>
        <v>16.66666667</v>
      </c>
      <c r="BT105" s="52">
        <f>+SUMIFS(Revenue_Assumptions!$E32:$M32,Revenue_Assumptions!$E$7:$M$7,BT$7)/12</f>
        <v>16.66666667</v>
      </c>
      <c r="BU105" s="52">
        <f>+SUMIFS(Revenue_Assumptions!$E32:$M32,Revenue_Assumptions!$E$7:$M$7,BU$7)/12</f>
        <v>16.66666667</v>
      </c>
      <c r="BV105" s="52">
        <f>+SUMIFS(Revenue_Assumptions!$E32:$M32,Revenue_Assumptions!$E$7:$M$7,BV$7)/12</f>
        <v>16.66666667</v>
      </c>
      <c r="BW105" s="52">
        <f>+SUMIFS(Revenue_Assumptions!$E32:$M32,Revenue_Assumptions!$E$7:$M$7,BW$7)/12</f>
        <v>17.5</v>
      </c>
      <c r="BX105" s="52">
        <f>+SUMIFS(Revenue_Assumptions!$E32:$M32,Revenue_Assumptions!$E$7:$M$7,BX$7)/12</f>
        <v>17.5</v>
      </c>
      <c r="BY105" s="52">
        <f>+SUMIFS(Revenue_Assumptions!$E32:$M32,Revenue_Assumptions!$E$7:$M$7,BY$7)/12</f>
        <v>17.5</v>
      </c>
      <c r="BZ105" s="52">
        <f>+SUMIFS(Revenue_Assumptions!$E32:$M32,Revenue_Assumptions!$E$7:$M$7,BZ$7)/12</f>
        <v>17.5</v>
      </c>
      <c r="CA105" s="52">
        <f>+SUMIFS(Revenue_Assumptions!$E32:$M32,Revenue_Assumptions!$E$7:$M$7,CA$7)/12</f>
        <v>17.5</v>
      </c>
      <c r="CB105" s="52">
        <f>+SUMIFS(Revenue_Assumptions!$E32:$M32,Revenue_Assumptions!$E$7:$M$7,CB$7)/12</f>
        <v>17.5</v>
      </c>
      <c r="CC105" s="52">
        <f>+SUMIFS(Revenue_Assumptions!$E32:$M32,Revenue_Assumptions!$E$7:$M$7,CC$7)/12</f>
        <v>17.5</v>
      </c>
      <c r="CD105" s="52">
        <f>+SUMIFS(Revenue_Assumptions!$E32:$M32,Revenue_Assumptions!$E$7:$M$7,CD$7)/12</f>
        <v>17.5</v>
      </c>
      <c r="CE105" s="52">
        <f>+SUMIFS(Revenue_Assumptions!$E32:$M32,Revenue_Assumptions!$E$7:$M$7,CE$7)/12</f>
        <v>17.5</v>
      </c>
      <c r="CF105" s="52">
        <f>+SUMIFS(Revenue_Assumptions!$E32:$M32,Revenue_Assumptions!$E$7:$M$7,CF$7)/12</f>
        <v>17.5</v>
      </c>
      <c r="CG105" s="52">
        <f>+SUMIFS(Revenue_Assumptions!$E32:$M32,Revenue_Assumptions!$E$7:$M$7,CG$7)/12</f>
        <v>17.5</v>
      </c>
      <c r="CH105" s="52">
        <f>+SUMIFS(Revenue_Assumptions!$E32:$M32,Revenue_Assumptions!$E$7:$M$7,CH$7)/12</f>
        <v>17.5</v>
      </c>
      <c r="CI105" s="52">
        <f>+SUMIFS(Revenue_Assumptions!$E32:$M32,Revenue_Assumptions!$E$7:$M$7,CI$7)/12</f>
        <v>18.375</v>
      </c>
      <c r="CJ105" s="52">
        <f>+SUMIFS(Revenue_Assumptions!$E32:$M32,Revenue_Assumptions!$E$7:$M$7,CJ$7)/12</f>
        <v>18.375</v>
      </c>
      <c r="CK105" s="52">
        <f>+SUMIFS(Revenue_Assumptions!$E32:$M32,Revenue_Assumptions!$E$7:$M$7,CK$7)/12</f>
        <v>18.375</v>
      </c>
      <c r="CL105" s="52">
        <f>+SUMIFS(Revenue_Assumptions!$E32:$M32,Revenue_Assumptions!$E$7:$M$7,CL$7)/12</f>
        <v>18.375</v>
      </c>
      <c r="CM105" s="52">
        <f>+SUMIFS(Revenue_Assumptions!$E32:$M32,Revenue_Assumptions!$E$7:$M$7,CM$7)/12</f>
        <v>18.375</v>
      </c>
      <c r="CN105" s="52">
        <f>+SUMIFS(Revenue_Assumptions!$E32:$M32,Revenue_Assumptions!$E$7:$M$7,CN$7)/12</f>
        <v>18.375</v>
      </c>
      <c r="CO105" s="52">
        <f>+SUMIFS(Revenue_Assumptions!$E32:$M32,Revenue_Assumptions!$E$7:$M$7,CO$7)/12</f>
        <v>18.375</v>
      </c>
      <c r="CP105" s="52">
        <f>+SUMIFS(Revenue_Assumptions!$E32:$M32,Revenue_Assumptions!$E$7:$M$7,CP$7)/12</f>
        <v>18.375</v>
      </c>
      <c r="CQ105" s="52">
        <f>+SUMIFS(Revenue_Assumptions!$E32:$M32,Revenue_Assumptions!$E$7:$M$7,CQ$7)/12</f>
        <v>18.375</v>
      </c>
      <c r="CR105" s="52">
        <f>+SUMIFS(Revenue_Assumptions!$E32:$M32,Revenue_Assumptions!$E$7:$M$7,CR$7)/12</f>
        <v>18.375</v>
      </c>
      <c r="CS105" s="52">
        <f>+SUMIFS(Revenue_Assumptions!$E32:$M32,Revenue_Assumptions!$E$7:$M$7,CS$7)/12</f>
        <v>18.375</v>
      </c>
      <c r="CT105" s="52">
        <f>+SUMIFS(Revenue_Assumptions!$E32:$M32,Revenue_Assumptions!$E$7:$M$7,CT$7)/12</f>
        <v>18.375</v>
      </c>
      <c r="CU105" s="52">
        <f>+SUMIFS(Revenue_Assumptions!$E32:$M32,Revenue_Assumptions!$E$7:$M$7,CU$7)/12</f>
        <v>19.29375</v>
      </c>
      <c r="CV105" s="52">
        <f>+SUMIFS(Revenue_Assumptions!$E32:$M32,Revenue_Assumptions!$E$7:$M$7,CV$7)/12</f>
        <v>19.29375</v>
      </c>
      <c r="CW105" s="52">
        <f>+SUMIFS(Revenue_Assumptions!$E32:$M32,Revenue_Assumptions!$E$7:$M$7,CW$7)/12</f>
        <v>19.29375</v>
      </c>
      <c r="CX105" s="52">
        <f>+SUMIFS(Revenue_Assumptions!$E32:$M32,Revenue_Assumptions!$E$7:$M$7,CX$7)/12</f>
        <v>19.29375</v>
      </c>
      <c r="CY105" s="52">
        <f>+SUMIFS(Revenue_Assumptions!$E32:$M32,Revenue_Assumptions!$E$7:$M$7,CY$7)/12</f>
        <v>19.29375</v>
      </c>
      <c r="CZ105" s="52">
        <f>+SUMIFS(Revenue_Assumptions!$E32:$M32,Revenue_Assumptions!$E$7:$M$7,CZ$7)/12</f>
        <v>19.29375</v>
      </c>
      <c r="DA105" s="52">
        <f>+SUMIFS(Revenue_Assumptions!$E32:$M32,Revenue_Assumptions!$E$7:$M$7,DA$7)/12</f>
        <v>19.29375</v>
      </c>
      <c r="DB105" s="52">
        <f>+SUMIFS(Revenue_Assumptions!$E32:$M32,Revenue_Assumptions!$E$7:$M$7,DB$7)/12</f>
        <v>19.29375</v>
      </c>
      <c r="DC105" s="52">
        <f>+SUMIFS(Revenue_Assumptions!$E32:$M32,Revenue_Assumptions!$E$7:$M$7,DC$7)/12</f>
        <v>19.29375</v>
      </c>
      <c r="DD105" s="52">
        <f>+SUMIFS(Revenue_Assumptions!$E32:$M32,Revenue_Assumptions!$E$7:$M$7,DD$7)/12</f>
        <v>19.29375</v>
      </c>
      <c r="DE105" s="52">
        <f>+SUMIFS(Revenue_Assumptions!$E32:$M32,Revenue_Assumptions!$E$7:$M$7,DE$7)/12</f>
        <v>19.29375</v>
      </c>
      <c r="DF105" s="52">
        <f>+SUMIFS(Revenue_Assumptions!$E32:$M32,Revenue_Assumptions!$E$7:$M$7,DF$7)/12</f>
        <v>19.29375</v>
      </c>
      <c r="DG105" s="52">
        <f>+SUMIFS(Revenue_Assumptions!$E32:$M32,Revenue_Assumptions!$E$7:$M$7,DG$7)/12</f>
        <v>20.2584375</v>
      </c>
      <c r="DH105" s="52">
        <f>+SUMIFS(Revenue_Assumptions!$E32:$M32,Revenue_Assumptions!$E$7:$M$7,DH$7)/12</f>
        <v>20.2584375</v>
      </c>
      <c r="DI105" s="52">
        <f>+SUMIFS(Revenue_Assumptions!$E32:$M32,Revenue_Assumptions!$E$7:$M$7,DI$7)/12</f>
        <v>20.2584375</v>
      </c>
      <c r="DJ105" s="52">
        <f>+SUMIFS(Revenue_Assumptions!$E32:$M32,Revenue_Assumptions!$E$7:$M$7,DJ$7)/12</f>
        <v>20.2584375</v>
      </c>
      <c r="DK105" s="52">
        <f>+SUMIFS(Revenue_Assumptions!$E32:$M32,Revenue_Assumptions!$E$7:$M$7,DK$7)/12</f>
        <v>20.2584375</v>
      </c>
      <c r="DL105" s="52">
        <f>+SUMIFS(Revenue_Assumptions!$E32:$M32,Revenue_Assumptions!$E$7:$M$7,DL$7)/12</f>
        <v>20.2584375</v>
      </c>
      <c r="DM105" s="52">
        <f>+SUMIFS(Revenue_Assumptions!$E32:$M32,Revenue_Assumptions!$E$7:$M$7,DM$7)/12</f>
        <v>20.2584375</v>
      </c>
      <c r="DN105" s="52">
        <f>+SUMIFS(Revenue_Assumptions!$E32:$M32,Revenue_Assumptions!$E$7:$M$7,DN$7)/12</f>
        <v>20.2584375</v>
      </c>
      <c r="DO105" s="52">
        <f>+SUMIFS(Revenue_Assumptions!$E32:$M32,Revenue_Assumptions!$E$7:$M$7,DO$7)/12</f>
        <v>20.2584375</v>
      </c>
      <c r="DP105" s="52">
        <f>+SUMIFS(Revenue_Assumptions!$E32:$M32,Revenue_Assumptions!$E$7:$M$7,DP$7)/12</f>
        <v>20.2584375</v>
      </c>
      <c r="DQ105" s="52">
        <f>+SUMIFS(Revenue_Assumptions!$E32:$M32,Revenue_Assumptions!$E$7:$M$7,DQ$7)/12</f>
        <v>20.2584375</v>
      </c>
      <c r="DR105" s="52">
        <f>+SUMIFS(Revenue_Assumptions!$E32:$M32,Revenue_Assumptions!$E$7:$M$7,DR$7)/12</f>
        <v>20.2584375</v>
      </c>
    </row>
    <row r="106" ht="15.75" hidden="1" customHeight="1" outlineLevel="1">
      <c r="B106" s="54" t="s">
        <v>130</v>
      </c>
      <c r="C106" s="54"/>
      <c r="E106" s="55">
        <f t="shared" ref="E106:M106" si="126">+SUMIFS($AA106:$DR106,$AA$7:$DR$7,E$7)</f>
        <v>0</v>
      </c>
      <c r="F106" s="55">
        <f t="shared" si="126"/>
        <v>0</v>
      </c>
      <c r="G106" s="55">
        <f t="shared" si="126"/>
        <v>0</v>
      </c>
      <c r="H106" s="55">
        <f t="shared" si="126"/>
        <v>0</v>
      </c>
      <c r="I106" s="55">
        <f t="shared" si="126"/>
        <v>12.5</v>
      </c>
      <c r="J106" s="55">
        <f t="shared" si="126"/>
        <v>393.75</v>
      </c>
      <c r="K106" s="55">
        <f t="shared" si="126"/>
        <v>477.75</v>
      </c>
      <c r="L106" s="55">
        <f t="shared" si="126"/>
        <v>675.28125</v>
      </c>
      <c r="M106" s="55">
        <f t="shared" si="126"/>
        <v>1043.309531</v>
      </c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55">
        <f t="shared" ref="AA106:DR106" si="127">+AA104*AA105</f>
        <v>0</v>
      </c>
      <c r="AB106" s="55">
        <f t="shared" si="127"/>
        <v>0</v>
      </c>
      <c r="AC106" s="55">
        <f t="shared" si="127"/>
        <v>0</v>
      </c>
      <c r="AD106" s="55">
        <f t="shared" si="127"/>
        <v>0</v>
      </c>
      <c r="AE106" s="55">
        <f t="shared" si="127"/>
        <v>0</v>
      </c>
      <c r="AF106" s="55">
        <f t="shared" si="127"/>
        <v>0</v>
      </c>
      <c r="AG106" s="55">
        <f t="shared" si="127"/>
        <v>0</v>
      </c>
      <c r="AH106" s="55">
        <f t="shared" si="127"/>
        <v>0</v>
      </c>
      <c r="AI106" s="55">
        <f t="shared" si="127"/>
        <v>0</v>
      </c>
      <c r="AJ106" s="55">
        <f t="shared" si="127"/>
        <v>0</v>
      </c>
      <c r="AK106" s="55">
        <f t="shared" si="127"/>
        <v>0</v>
      </c>
      <c r="AL106" s="55">
        <f t="shared" si="127"/>
        <v>0</v>
      </c>
      <c r="AM106" s="55">
        <f t="shared" si="127"/>
        <v>0</v>
      </c>
      <c r="AN106" s="55">
        <f t="shared" si="127"/>
        <v>0</v>
      </c>
      <c r="AO106" s="55">
        <f t="shared" si="127"/>
        <v>0</v>
      </c>
      <c r="AP106" s="55">
        <f t="shared" si="127"/>
        <v>0</v>
      </c>
      <c r="AQ106" s="55">
        <f t="shared" si="127"/>
        <v>0</v>
      </c>
      <c r="AR106" s="55">
        <f t="shared" si="127"/>
        <v>0</v>
      </c>
      <c r="AS106" s="55">
        <f t="shared" si="127"/>
        <v>0</v>
      </c>
      <c r="AT106" s="55">
        <f t="shared" si="127"/>
        <v>0</v>
      </c>
      <c r="AU106" s="55">
        <f t="shared" si="127"/>
        <v>0</v>
      </c>
      <c r="AV106" s="55">
        <f t="shared" si="127"/>
        <v>0</v>
      </c>
      <c r="AW106" s="55">
        <f t="shared" si="127"/>
        <v>0</v>
      </c>
      <c r="AX106" s="55">
        <f t="shared" si="127"/>
        <v>0</v>
      </c>
      <c r="AY106" s="55">
        <f t="shared" si="127"/>
        <v>0</v>
      </c>
      <c r="AZ106" s="55">
        <f t="shared" si="127"/>
        <v>0</v>
      </c>
      <c r="BA106" s="55">
        <f t="shared" si="127"/>
        <v>0</v>
      </c>
      <c r="BB106" s="55">
        <f t="shared" si="127"/>
        <v>0</v>
      </c>
      <c r="BC106" s="55">
        <f t="shared" si="127"/>
        <v>0</v>
      </c>
      <c r="BD106" s="55">
        <f t="shared" si="127"/>
        <v>0</v>
      </c>
      <c r="BE106" s="55">
        <f t="shared" si="127"/>
        <v>0</v>
      </c>
      <c r="BF106" s="55">
        <f t="shared" si="127"/>
        <v>0</v>
      </c>
      <c r="BG106" s="55">
        <f t="shared" si="127"/>
        <v>0</v>
      </c>
      <c r="BH106" s="55">
        <f t="shared" si="127"/>
        <v>0</v>
      </c>
      <c r="BI106" s="55">
        <f t="shared" si="127"/>
        <v>0</v>
      </c>
      <c r="BJ106" s="55">
        <f t="shared" si="127"/>
        <v>0</v>
      </c>
      <c r="BK106" s="55">
        <f t="shared" si="127"/>
        <v>0</v>
      </c>
      <c r="BL106" s="55">
        <f t="shared" si="127"/>
        <v>0</v>
      </c>
      <c r="BM106" s="55">
        <f t="shared" si="127"/>
        <v>0</v>
      </c>
      <c r="BN106" s="55">
        <f t="shared" si="127"/>
        <v>0</v>
      </c>
      <c r="BO106" s="55">
        <f t="shared" si="127"/>
        <v>0</v>
      </c>
      <c r="BP106" s="55">
        <f t="shared" si="127"/>
        <v>0</v>
      </c>
      <c r="BQ106" s="55">
        <f t="shared" si="127"/>
        <v>0</v>
      </c>
      <c r="BR106" s="55">
        <f t="shared" si="127"/>
        <v>0</v>
      </c>
      <c r="BS106" s="55">
        <f t="shared" si="127"/>
        <v>0</v>
      </c>
      <c r="BT106" s="55">
        <f t="shared" si="127"/>
        <v>0</v>
      </c>
      <c r="BU106" s="55">
        <f t="shared" si="127"/>
        <v>4.166666667</v>
      </c>
      <c r="BV106" s="55">
        <f t="shared" si="127"/>
        <v>8.333333333</v>
      </c>
      <c r="BW106" s="55">
        <f t="shared" si="127"/>
        <v>4.375</v>
      </c>
      <c r="BX106" s="55">
        <f t="shared" si="127"/>
        <v>8.75</v>
      </c>
      <c r="BY106" s="55">
        <f t="shared" si="127"/>
        <v>13.125</v>
      </c>
      <c r="BZ106" s="55">
        <f t="shared" si="127"/>
        <v>17.5</v>
      </c>
      <c r="CA106" s="55">
        <f t="shared" si="127"/>
        <v>23.33333333</v>
      </c>
      <c r="CB106" s="55">
        <f t="shared" si="127"/>
        <v>29.16666667</v>
      </c>
      <c r="CC106" s="55">
        <f t="shared" si="127"/>
        <v>35</v>
      </c>
      <c r="CD106" s="55">
        <f t="shared" si="127"/>
        <v>40.83333333</v>
      </c>
      <c r="CE106" s="55">
        <f t="shared" si="127"/>
        <v>46.66666667</v>
      </c>
      <c r="CF106" s="55">
        <f t="shared" si="127"/>
        <v>52.5</v>
      </c>
      <c r="CG106" s="55">
        <f t="shared" si="127"/>
        <v>58.33333333</v>
      </c>
      <c r="CH106" s="55">
        <f t="shared" si="127"/>
        <v>64.16666667</v>
      </c>
      <c r="CI106" s="55">
        <f t="shared" si="127"/>
        <v>6.125</v>
      </c>
      <c r="CJ106" s="55">
        <f t="shared" si="127"/>
        <v>12.25</v>
      </c>
      <c r="CK106" s="55">
        <f t="shared" si="127"/>
        <v>18.375</v>
      </c>
      <c r="CL106" s="55">
        <f t="shared" si="127"/>
        <v>24.5</v>
      </c>
      <c r="CM106" s="55">
        <f t="shared" si="127"/>
        <v>30.625</v>
      </c>
      <c r="CN106" s="55">
        <f t="shared" si="127"/>
        <v>36.75</v>
      </c>
      <c r="CO106" s="55">
        <f t="shared" si="127"/>
        <v>42.875</v>
      </c>
      <c r="CP106" s="55">
        <f t="shared" si="127"/>
        <v>49</v>
      </c>
      <c r="CQ106" s="55">
        <f t="shared" si="127"/>
        <v>55.125</v>
      </c>
      <c r="CR106" s="55">
        <f t="shared" si="127"/>
        <v>61.25</v>
      </c>
      <c r="CS106" s="55">
        <f t="shared" si="127"/>
        <v>67.375</v>
      </c>
      <c r="CT106" s="55">
        <f t="shared" si="127"/>
        <v>73.5</v>
      </c>
      <c r="CU106" s="55">
        <f t="shared" si="127"/>
        <v>6.43125</v>
      </c>
      <c r="CV106" s="55">
        <f t="shared" si="127"/>
        <v>12.8625</v>
      </c>
      <c r="CW106" s="55">
        <f t="shared" si="127"/>
        <v>19.29375</v>
      </c>
      <c r="CX106" s="55">
        <f t="shared" si="127"/>
        <v>25.725</v>
      </c>
      <c r="CY106" s="55">
        <f t="shared" si="127"/>
        <v>36.9796875</v>
      </c>
      <c r="CZ106" s="55">
        <f t="shared" si="127"/>
        <v>48.234375</v>
      </c>
      <c r="DA106" s="55">
        <f t="shared" si="127"/>
        <v>59.4890625</v>
      </c>
      <c r="DB106" s="55">
        <f t="shared" si="127"/>
        <v>70.74375</v>
      </c>
      <c r="DC106" s="55">
        <f t="shared" si="127"/>
        <v>81.9984375</v>
      </c>
      <c r="DD106" s="55">
        <f t="shared" si="127"/>
        <v>93.253125</v>
      </c>
      <c r="DE106" s="55">
        <f t="shared" si="127"/>
        <v>104.5078125</v>
      </c>
      <c r="DF106" s="55">
        <f t="shared" si="127"/>
        <v>115.7625</v>
      </c>
      <c r="DG106" s="55">
        <f t="shared" si="127"/>
        <v>11.81742188</v>
      </c>
      <c r="DH106" s="55">
        <f t="shared" si="127"/>
        <v>23.63484375</v>
      </c>
      <c r="DI106" s="55">
        <f t="shared" si="127"/>
        <v>35.45226563</v>
      </c>
      <c r="DJ106" s="55">
        <f t="shared" si="127"/>
        <v>47.2696875</v>
      </c>
      <c r="DK106" s="55">
        <f t="shared" si="127"/>
        <v>62.46351563</v>
      </c>
      <c r="DL106" s="55">
        <f t="shared" si="127"/>
        <v>77.65734375</v>
      </c>
      <c r="DM106" s="55">
        <f t="shared" si="127"/>
        <v>92.85117188</v>
      </c>
      <c r="DN106" s="55">
        <f t="shared" si="127"/>
        <v>108.045</v>
      </c>
      <c r="DO106" s="55">
        <f t="shared" si="127"/>
        <v>123.2388281</v>
      </c>
      <c r="DP106" s="55">
        <f t="shared" si="127"/>
        <v>138.4326563</v>
      </c>
      <c r="DQ106" s="55">
        <f t="shared" si="127"/>
        <v>153.6264844</v>
      </c>
      <c r="DR106" s="55">
        <f t="shared" si="127"/>
        <v>168.8203125</v>
      </c>
    </row>
    <row r="107" ht="4.5" hidden="1" customHeight="1" outlineLevel="1"/>
    <row r="108" ht="15.75" customHeight="1" collapsed="1">
      <c r="B108" s="60" t="s">
        <v>46</v>
      </c>
      <c r="C108" s="60"/>
      <c r="E108" s="61">
        <f>+SUMIFS(E$13:E$58,$C$13:$C$58,$B$98)</f>
        <v>788.562</v>
      </c>
      <c r="F108" s="61">
        <f t="shared" ref="F108:M108" si="128">+SUM(F102,F106)</f>
        <v>1021.766</v>
      </c>
      <c r="G108" s="61">
        <f t="shared" si="128"/>
        <v>1442.292</v>
      </c>
      <c r="H108" s="61">
        <f t="shared" si="128"/>
        <v>2048.712523</v>
      </c>
      <c r="I108" s="61">
        <f t="shared" si="128"/>
        <v>2199.974695</v>
      </c>
      <c r="J108" s="61">
        <f t="shared" si="128"/>
        <v>2835.721911</v>
      </c>
      <c r="K108" s="61">
        <f t="shared" si="128"/>
        <v>3625.401322</v>
      </c>
      <c r="L108" s="61">
        <f t="shared" si="128"/>
        <v>4699.476717</v>
      </c>
      <c r="M108" s="61">
        <f t="shared" si="128"/>
        <v>6259.728687</v>
      </c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53"/>
      <c r="CG108" s="53"/>
      <c r="CH108" s="53"/>
      <c r="CI108" s="53"/>
      <c r="CJ108" s="53"/>
      <c r="CK108" s="53"/>
      <c r="CL108" s="53"/>
      <c r="CM108" s="53"/>
      <c r="CN108" s="53"/>
      <c r="CO108" s="53"/>
      <c r="CP108" s="53"/>
      <c r="CQ108" s="53"/>
      <c r="CR108" s="53"/>
      <c r="CS108" s="53"/>
      <c r="CT108" s="53"/>
      <c r="CU108" s="53"/>
      <c r="CV108" s="53"/>
      <c r="CW108" s="53"/>
      <c r="CX108" s="53"/>
      <c r="CY108" s="53"/>
      <c r="CZ108" s="53"/>
      <c r="DA108" s="53"/>
      <c r="DB108" s="53"/>
      <c r="DC108" s="53"/>
      <c r="DD108" s="53"/>
      <c r="DE108" s="53"/>
      <c r="DF108" s="53"/>
      <c r="DG108" s="53"/>
      <c r="DH108" s="53"/>
      <c r="DI108" s="53"/>
      <c r="DJ108" s="53"/>
      <c r="DK108" s="53"/>
      <c r="DL108" s="53"/>
      <c r="DM108" s="53"/>
      <c r="DN108" s="53"/>
      <c r="DO108" s="53"/>
      <c r="DP108" s="53"/>
      <c r="DQ108" s="53"/>
      <c r="DR108" s="53"/>
    </row>
    <row r="109" ht="4.5" customHeight="1"/>
    <row r="110" ht="15.75" customHeight="1">
      <c r="B110" s="99" t="s">
        <v>70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  <c r="AM110" s="100"/>
      <c r="AN110" s="100"/>
      <c r="AO110" s="100"/>
      <c r="AP110" s="100"/>
      <c r="AQ110" s="100"/>
      <c r="AR110" s="100"/>
      <c r="AS110" s="100"/>
      <c r="AT110" s="100"/>
      <c r="AU110" s="100"/>
      <c r="AV110" s="100"/>
      <c r="AW110" s="100"/>
      <c r="AX110" s="100"/>
      <c r="AY110" s="100"/>
      <c r="AZ110" s="100"/>
      <c r="BA110" s="100"/>
      <c r="BB110" s="100"/>
      <c r="BC110" s="100"/>
      <c r="BD110" s="100"/>
      <c r="BE110" s="100"/>
      <c r="BF110" s="100"/>
      <c r="BG110" s="100"/>
      <c r="BH110" s="100"/>
      <c r="BI110" s="100"/>
      <c r="BJ110" s="100"/>
      <c r="BK110" s="100"/>
      <c r="BL110" s="100"/>
      <c r="BM110" s="100"/>
      <c r="BN110" s="100"/>
      <c r="BO110" s="100"/>
      <c r="BP110" s="100"/>
      <c r="BQ110" s="100"/>
      <c r="BR110" s="100"/>
      <c r="BS110" s="100"/>
      <c r="BT110" s="100"/>
      <c r="BU110" s="100"/>
      <c r="BV110" s="100"/>
      <c r="BW110" s="100"/>
      <c r="BX110" s="100"/>
      <c r="BY110" s="100"/>
      <c r="BZ110" s="100"/>
      <c r="CA110" s="100"/>
      <c r="CB110" s="100"/>
      <c r="CC110" s="100"/>
      <c r="CD110" s="100"/>
      <c r="CE110" s="100"/>
      <c r="CF110" s="100"/>
      <c r="CG110" s="100"/>
      <c r="CH110" s="100"/>
      <c r="CI110" s="100"/>
      <c r="CJ110" s="100"/>
      <c r="CK110" s="100"/>
      <c r="CL110" s="100"/>
      <c r="CM110" s="100"/>
      <c r="CN110" s="100"/>
      <c r="CO110" s="100"/>
      <c r="CP110" s="100"/>
      <c r="CQ110" s="100"/>
      <c r="CR110" s="100"/>
      <c r="CS110" s="100"/>
      <c r="CT110" s="100"/>
      <c r="CU110" s="100"/>
      <c r="CV110" s="100"/>
      <c r="CW110" s="100"/>
      <c r="CX110" s="100"/>
      <c r="CY110" s="100"/>
      <c r="CZ110" s="100"/>
      <c r="DA110" s="100"/>
      <c r="DB110" s="100"/>
      <c r="DC110" s="100"/>
      <c r="DD110" s="100"/>
      <c r="DE110" s="100"/>
      <c r="DF110" s="100"/>
      <c r="DG110" s="100"/>
      <c r="DH110" s="100"/>
      <c r="DI110" s="100"/>
      <c r="DJ110" s="100"/>
      <c r="DK110" s="100"/>
      <c r="DL110" s="100"/>
      <c r="DM110" s="100"/>
      <c r="DN110" s="100"/>
      <c r="DO110" s="100"/>
      <c r="DP110" s="100"/>
      <c r="DQ110" s="100"/>
      <c r="DR110" s="100"/>
    </row>
    <row r="111" ht="15.75" customHeight="1">
      <c r="B111" s="5" t="s">
        <v>120</v>
      </c>
      <c r="E111" s="100"/>
      <c r="F111" s="50">
        <f t="shared" ref="F111:M111" si="129">+E120</f>
        <v>1323.89</v>
      </c>
      <c r="G111" s="50">
        <f t="shared" si="129"/>
        <v>1123.217</v>
      </c>
      <c r="H111" s="50">
        <f t="shared" si="129"/>
        <v>1313.177</v>
      </c>
      <c r="I111" s="50">
        <f t="shared" si="129"/>
        <v>1332.758762</v>
      </c>
      <c r="J111" s="50">
        <f t="shared" si="129"/>
        <v>1821.764513</v>
      </c>
      <c r="K111" s="50">
        <f t="shared" si="129"/>
        <v>2286.470004</v>
      </c>
      <c r="L111" s="50">
        <f t="shared" si="129"/>
        <v>2859.440155</v>
      </c>
      <c r="M111" s="50">
        <f t="shared" si="129"/>
        <v>3653.218156</v>
      </c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  <c r="AM111" s="100"/>
      <c r="AN111" s="100"/>
      <c r="AO111" s="100"/>
      <c r="AP111" s="100"/>
      <c r="AQ111" s="100"/>
      <c r="AR111" s="100"/>
      <c r="AS111" s="100"/>
      <c r="AT111" s="100"/>
      <c r="AU111" s="100"/>
      <c r="AV111" s="100"/>
      <c r="AW111" s="100"/>
      <c r="AX111" s="100"/>
      <c r="AY111" s="100"/>
      <c r="AZ111" s="100"/>
      <c r="BA111" s="100"/>
      <c r="BB111" s="100"/>
      <c r="BC111" s="100"/>
      <c r="BD111" s="100"/>
      <c r="BE111" s="100"/>
      <c r="BF111" s="100"/>
      <c r="BG111" s="100"/>
      <c r="BH111" s="100"/>
      <c r="BI111" s="100"/>
      <c r="BJ111" s="100"/>
      <c r="BK111" s="100"/>
      <c r="BL111" s="100"/>
      <c r="BM111" s="100"/>
      <c r="BN111" s="100"/>
      <c r="BO111" s="100"/>
      <c r="BP111" s="100"/>
      <c r="BQ111" s="100"/>
      <c r="BR111" s="100"/>
      <c r="BS111" s="100"/>
      <c r="BT111" s="100"/>
      <c r="BU111" s="100"/>
      <c r="BV111" s="100"/>
      <c r="BW111" s="100"/>
      <c r="BX111" s="100"/>
      <c r="BY111" s="100"/>
      <c r="BZ111" s="100"/>
      <c r="CA111" s="100"/>
      <c r="CB111" s="100"/>
      <c r="CC111" s="100"/>
      <c r="CD111" s="100"/>
      <c r="CE111" s="100"/>
      <c r="CF111" s="100"/>
      <c r="CG111" s="100"/>
      <c r="CH111" s="100"/>
      <c r="CI111" s="100"/>
      <c r="CJ111" s="100"/>
      <c r="CK111" s="100"/>
      <c r="CL111" s="100"/>
      <c r="CM111" s="100"/>
      <c r="CN111" s="100"/>
      <c r="CO111" s="100"/>
      <c r="CP111" s="100"/>
      <c r="CQ111" s="100"/>
      <c r="CR111" s="100"/>
      <c r="CS111" s="100"/>
      <c r="CT111" s="100"/>
      <c r="CU111" s="100"/>
      <c r="CV111" s="100"/>
      <c r="CW111" s="100"/>
      <c r="CX111" s="100"/>
      <c r="CY111" s="100"/>
      <c r="CZ111" s="100"/>
      <c r="DA111" s="100"/>
      <c r="DB111" s="100"/>
      <c r="DC111" s="100"/>
      <c r="DD111" s="100"/>
      <c r="DE111" s="100"/>
      <c r="DF111" s="100"/>
      <c r="DG111" s="100"/>
      <c r="DH111" s="100"/>
      <c r="DI111" s="100"/>
      <c r="DJ111" s="100"/>
      <c r="DK111" s="100"/>
      <c r="DL111" s="100"/>
      <c r="DM111" s="100"/>
      <c r="DN111" s="100"/>
      <c r="DO111" s="100"/>
      <c r="DP111" s="100"/>
      <c r="DQ111" s="100"/>
      <c r="DR111" s="100"/>
    </row>
    <row r="112" ht="15.75" customHeight="1">
      <c r="B112" s="5" t="s">
        <v>121</v>
      </c>
      <c r="E112" s="100"/>
      <c r="F112" s="50">
        <f t="shared" ref="F112:I112" si="130">+SUMIFS(DT$13:DT$58,DT$13:DT$58,"&lt;0",$C$13:$C$58,$B$110)</f>
        <v>-490.759</v>
      </c>
      <c r="G112" s="50">
        <f t="shared" si="130"/>
        <v>-338.891</v>
      </c>
      <c r="H112" s="50">
        <f t="shared" si="130"/>
        <v>-178.7666933</v>
      </c>
      <c r="I112" s="50">
        <f t="shared" si="130"/>
        <v>-55.59764</v>
      </c>
      <c r="J112" s="52">
        <f>Revenue_Assumptions!J35*J$111</f>
        <v>-54.65293539</v>
      </c>
      <c r="K112" s="52">
        <f>Revenue_Assumptions!K35*K$111</f>
        <v>-68.59410013</v>
      </c>
      <c r="L112" s="52">
        <f>Revenue_Assumptions!L35*L$111</f>
        <v>-85.78320465</v>
      </c>
      <c r="M112" s="52">
        <f>Revenue_Assumptions!M35*M$111</f>
        <v>-109.5965447</v>
      </c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  <c r="AM112" s="100"/>
      <c r="AN112" s="100"/>
      <c r="AO112" s="100"/>
      <c r="AP112" s="100"/>
      <c r="AQ112" s="100"/>
      <c r="AR112" s="100"/>
      <c r="AS112" s="100"/>
      <c r="AT112" s="100"/>
      <c r="AU112" s="100"/>
      <c r="AV112" s="100"/>
      <c r="AW112" s="100"/>
      <c r="AX112" s="100"/>
      <c r="AY112" s="100"/>
      <c r="AZ112" s="100"/>
      <c r="BA112" s="100"/>
      <c r="BB112" s="100"/>
      <c r="BC112" s="100"/>
      <c r="BD112" s="100"/>
      <c r="BE112" s="100"/>
      <c r="BF112" s="100"/>
      <c r="BG112" s="100"/>
      <c r="BH112" s="100"/>
      <c r="BI112" s="100"/>
      <c r="BJ112" s="100"/>
      <c r="BK112" s="100"/>
      <c r="BL112" s="100"/>
      <c r="BM112" s="100"/>
      <c r="BN112" s="100"/>
      <c r="BO112" s="100"/>
      <c r="BP112" s="100"/>
      <c r="BQ112" s="100"/>
      <c r="BR112" s="100"/>
      <c r="BS112" s="100"/>
      <c r="BT112" s="100"/>
      <c r="BU112" s="100"/>
      <c r="BV112" s="100"/>
      <c r="BW112" s="100"/>
      <c r="BX112" s="100"/>
      <c r="BY112" s="100"/>
      <c r="BZ112" s="100"/>
      <c r="CA112" s="100"/>
      <c r="CB112" s="100"/>
      <c r="CC112" s="100"/>
      <c r="CD112" s="100"/>
      <c r="CE112" s="100"/>
      <c r="CF112" s="100"/>
      <c r="CG112" s="100"/>
      <c r="CH112" s="100"/>
      <c r="CI112" s="100"/>
      <c r="CJ112" s="100"/>
      <c r="CK112" s="100"/>
      <c r="CL112" s="100"/>
      <c r="CM112" s="100"/>
      <c r="CN112" s="100"/>
      <c r="CO112" s="100"/>
      <c r="CP112" s="100"/>
      <c r="CQ112" s="100"/>
      <c r="CR112" s="100"/>
      <c r="CS112" s="100"/>
      <c r="CT112" s="100"/>
      <c r="CU112" s="100"/>
      <c r="CV112" s="100"/>
      <c r="CW112" s="100"/>
      <c r="CX112" s="100"/>
      <c r="CY112" s="100"/>
      <c r="CZ112" s="100"/>
      <c r="DA112" s="100"/>
      <c r="DB112" s="100"/>
      <c r="DC112" s="100"/>
      <c r="DD112" s="100"/>
      <c r="DE112" s="100"/>
      <c r="DF112" s="100"/>
      <c r="DG112" s="100"/>
      <c r="DH112" s="100"/>
      <c r="DI112" s="100"/>
      <c r="DJ112" s="100"/>
      <c r="DK112" s="100"/>
      <c r="DL112" s="100"/>
      <c r="DM112" s="100"/>
      <c r="DN112" s="100"/>
      <c r="DO112" s="100"/>
      <c r="DP112" s="100"/>
      <c r="DQ112" s="100"/>
      <c r="DR112" s="100"/>
    </row>
    <row r="113" ht="15.75" customHeight="1">
      <c r="B113" s="5" t="s">
        <v>127</v>
      </c>
      <c r="E113" s="100"/>
      <c r="F113" s="50">
        <f t="shared" ref="F113:I113" si="131">+SUMIFS(DT$13:DT$58,DT$13:DT$58,"&gt;0",$C$13:$C$58,$B$110)-F118</f>
        <v>290.086</v>
      </c>
      <c r="G113" s="50">
        <f t="shared" si="131"/>
        <v>528.851</v>
      </c>
      <c r="H113" s="50">
        <f t="shared" si="131"/>
        <v>198.3484555</v>
      </c>
      <c r="I113" s="50">
        <f t="shared" si="131"/>
        <v>536.7908907</v>
      </c>
      <c r="J113" s="52">
        <f>Revenue_Assumptions!J36*J$111</f>
        <v>273.2646769</v>
      </c>
      <c r="K113" s="52">
        <f>Revenue_Assumptions!K36*K$111</f>
        <v>342.9705007</v>
      </c>
      <c r="L113" s="52">
        <f>Revenue_Assumptions!L36*L$111</f>
        <v>457.5104248</v>
      </c>
      <c r="M113" s="52">
        <f>Revenue_Assumptions!M36*M$111</f>
        <v>602.7809958</v>
      </c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  <c r="AM113" s="100"/>
      <c r="AN113" s="100"/>
      <c r="AO113" s="100"/>
      <c r="AP113" s="100"/>
      <c r="AQ113" s="100"/>
      <c r="AR113" s="100"/>
      <c r="AS113" s="100"/>
      <c r="AT113" s="100"/>
      <c r="AU113" s="100"/>
      <c r="AV113" s="100"/>
      <c r="AW113" s="100"/>
      <c r="AX113" s="100"/>
      <c r="AY113" s="100"/>
      <c r="AZ113" s="100"/>
      <c r="BA113" s="100"/>
      <c r="BB113" s="100"/>
      <c r="BC113" s="100"/>
      <c r="BD113" s="100"/>
      <c r="BE113" s="100"/>
      <c r="BF113" s="100"/>
      <c r="BG113" s="100"/>
      <c r="BH113" s="100"/>
      <c r="BI113" s="100"/>
      <c r="BJ113" s="100"/>
      <c r="BK113" s="100"/>
      <c r="BL113" s="100"/>
      <c r="BM113" s="100"/>
      <c r="BN113" s="100"/>
      <c r="BO113" s="100"/>
      <c r="BP113" s="100"/>
      <c r="BQ113" s="100"/>
      <c r="BR113" s="100"/>
      <c r="BS113" s="100"/>
      <c r="BT113" s="100"/>
      <c r="BU113" s="100"/>
      <c r="BV113" s="100"/>
      <c r="BW113" s="100"/>
      <c r="BX113" s="100"/>
      <c r="BY113" s="100"/>
      <c r="BZ113" s="100"/>
      <c r="CA113" s="100"/>
      <c r="CB113" s="100"/>
      <c r="CC113" s="100"/>
      <c r="CD113" s="100"/>
      <c r="CE113" s="100"/>
      <c r="CF113" s="100"/>
      <c r="CG113" s="100"/>
      <c r="CH113" s="100"/>
      <c r="CI113" s="100"/>
      <c r="CJ113" s="100"/>
      <c r="CK113" s="100"/>
      <c r="CL113" s="100"/>
      <c r="CM113" s="100"/>
      <c r="CN113" s="100"/>
      <c r="CO113" s="100"/>
      <c r="CP113" s="100"/>
      <c r="CQ113" s="100"/>
      <c r="CR113" s="100"/>
      <c r="CS113" s="100"/>
      <c r="CT113" s="100"/>
      <c r="CU113" s="100"/>
      <c r="CV113" s="100"/>
      <c r="CW113" s="100"/>
      <c r="CX113" s="100"/>
      <c r="CY113" s="100"/>
      <c r="CZ113" s="100"/>
      <c r="DA113" s="100"/>
      <c r="DB113" s="100"/>
      <c r="DC113" s="100"/>
      <c r="DD113" s="100"/>
      <c r="DE113" s="100"/>
      <c r="DF113" s="100"/>
      <c r="DG113" s="100"/>
      <c r="DH113" s="100"/>
      <c r="DI113" s="100"/>
      <c r="DJ113" s="100"/>
      <c r="DK113" s="100"/>
      <c r="DL113" s="100"/>
      <c r="DM113" s="100"/>
      <c r="DN113" s="100"/>
      <c r="DO113" s="100"/>
      <c r="DP113" s="100"/>
      <c r="DQ113" s="100"/>
      <c r="DR113" s="100"/>
    </row>
    <row r="114" ht="15.75" customHeight="1">
      <c r="B114" s="54" t="s">
        <v>124</v>
      </c>
      <c r="C114" s="54"/>
      <c r="E114" s="92"/>
      <c r="F114" s="55">
        <f t="shared" ref="F114:M114" si="132">SUM(F111:F113)</f>
        <v>1123.217</v>
      </c>
      <c r="G114" s="55">
        <f t="shared" si="132"/>
        <v>1313.177</v>
      </c>
      <c r="H114" s="55">
        <f t="shared" si="132"/>
        <v>1332.758762</v>
      </c>
      <c r="I114" s="55">
        <f t="shared" si="132"/>
        <v>1813.952013</v>
      </c>
      <c r="J114" s="55">
        <f t="shared" si="132"/>
        <v>2040.376254</v>
      </c>
      <c r="K114" s="55">
        <f t="shared" si="132"/>
        <v>2560.846405</v>
      </c>
      <c r="L114" s="55">
        <f t="shared" si="132"/>
        <v>3231.167375</v>
      </c>
      <c r="M114" s="55">
        <f t="shared" si="132"/>
        <v>4146.402608</v>
      </c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100"/>
      <c r="BX114" s="100"/>
      <c r="BY114" s="100"/>
      <c r="BZ114" s="100"/>
      <c r="CA114" s="100"/>
      <c r="CB114" s="100"/>
      <c r="CC114" s="100"/>
      <c r="CD114" s="100"/>
      <c r="CE114" s="100"/>
      <c r="CF114" s="100"/>
      <c r="CG114" s="100"/>
      <c r="CH114" s="100"/>
      <c r="CI114" s="100"/>
      <c r="CJ114" s="100"/>
      <c r="CK114" s="100"/>
      <c r="CL114" s="100"/>
      <c r="CM114" s="100"/>
      <c r="CN114" s="100"/>
      <c r="CO114" s="100"/>
      <c r="CP114" s="100"/>
      <c r="CQ114" s="100"/>
      <c r="CR114" s="100"/>
      <c r="CS114" s="100"/>
      <c r="CT114" s="100"/>
      <c r="CU114" s="100"/>
      <c r="CV114" s="100"/>
      <c r="CW114" s="100"/>
      <c r="CX114" s="100"/>
      <c r="CY114" s="100"/>
      <c r="CZ114" s="100"/>
      <c r="DA114" s="100"/>
      <c r="DB114" s="100"/>
      <c r="DC114" s="100"/>
      <c r="DD114" s="100"/>
      <c r="DE114" s="100"/>
      <c r="DF114" s="100"/>
      <c r="DG114" s="100"/>
      <c r="DH114" s="100"/>
      <c r="DI114" s="100"/>
      <c r="DJ114" s="100"/>
      <c r="DK114" s="100"/>
      <c r="DL114" s="100"/>
      <c r="DM114" s="100"/>
      <c r="DN114" s="100"/>
      <c r="DO114" s="100"/>
      <c r="DP114" s="100"/>
      <c r="DQ114" s="100"/>
      <c r="DR114" s="100"/>
    </row>
    <row r="115" ht="4.5" customHeight="1"/>
    <row r="116" ht="15.75" hidden="1" customHeight="1" outlineLevel="1">
      <c r="B116" s="5" t="s">
        <v>128</v>
      </c>
      <c r="E116" s="100"/>
      <c r="F116" s="101"/>
      <c r="G116" s="101"/>
      <c r="H116" s="101"/>
      <c r="I116" s="101"/>
      <c r="J116" s="101"/>
      <c r="K116" s="101"/>
      <c r="L116" s="101"/>
      <c r="M116" s="101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2" t="str">
        <f>+'Bookings to Revenue_Calcs'!AA47</f>
        <v/>
      </c>
      <c r="AB116" s="102" t="str">
        <f>+'Bookings to Revenue_Calcs'!AB47</f>
        <v/>
      </c>
      <c r="AC116" s="102" t="str">
        <f>+'Bookings to Revenue_Calcs'!AC47</f>
        <v/>
      </c>
      <c r="AD116" s="102" t="str">
        <f>+'Bookings to Revenue_Calcs'!AD47</f>
        <v/>
      </c>
      <c r="AE116" s="102" t="str">
        <f>+'Bookings to Revenue_Calcs'!AE47</f>
        <v/>
      </c>
      <c r="AF116" s="102" t="str">
        <f>+'Bookings to Revenue_Calcs'!AF47</f>
        <v/>
      </c>
      <c r="AG116" s="102" t="str">
        <f>+'Bookings to Revenue_Calcs'!AG47</f>
        <v/>
      </c>
      <c r="AH116" s="102" t="str">
        <f>+'Bookings to Revenue_Calcs'!AH47</f>
        <v/>
      </c>
      <c r="AI116" s="102" t="str">
        <f>+'Bookings to Revenue_Calcs'!AI47</f>
        <v/>
      </c>
      <c r="AJ116" s="102" t="str">
        <f>+'Bookings to Revenue_Calcs'!AJ47</f>
        <v/>
      </c>
      <c r="AK116" s="102" t="str">
        <f>+'Bookings to Revenue_Calcs'!AK47</f>
        <v/>
      </c>
      <c r="AL116" s="102" t="str">
        <f>+'Bookings to Revenue_Calcs'!AL47</f>
        <v/>
      </c>
      <c r="AM116" s="102" t="str">
        <f>+'Bookings to Revenue_Calcs'!AM47</f>
        <v/>
      </c>
      <c r="AN116" s="102" t="str">
        <f>+'Bookings to Revenue_Calcs'!AN47</f>
        <v/>
      </c>
      <c r="AO116" s="102" t="str">
        <f>+'Bookings to Revenue_Calcs'!AO47</f>
        <v/>
      </c>
      <c r="AP116" s="102" t="str">
        <f>+'Bookings to Revenue_Calcs'!AP47</f>
        <v/>
      </c>
      <c r="AQ116" s="102" t="str">
        <f>+'Bookings to Revenue_Calcs'!AQ47</f>
        <v/>
      </c>
      <c r="AR116" s="102" t="str">
        <f>+'Bookings to Revenue_Calcs'!AR47</f>
        <v/>
      </c>
      <c r="AS116" s="102" t="str">
        <f>+'Bookings to Revenue_Calcs'!AS47</f>
        <v/>
      </c>
      <c r="AT116" s="102" t="str">
        <f>+'Bookings to Revenue_Calcs'!AT47</f>
        <v/>
      </c>
      <c r="AU116" s="102" t="str">
        <f>+'Bookings to Revenue_Calcs'!AU47</f>
        <v/>
      </c>
      <c r="AV116" s="102" t="str">
        <f>+'Bookings to Revenue_Calcs'!AV47</f>
        <v/>
      </c>
      <c r="AW116" s="102" t="str">
        <f>+'Bookings to Revenue_Calcs'!AW47</f>
        <v/>
      </c>
      <c r="AX116" s="102" t="str">
        <f>+'Bookings to Revenue_Calcs'!AX47</f>
        <v/>
      </c>
      <c r="AY116" s="102" t="str">
        <f>+'Bookings to Revenue_Calcs'!AY47</f>
        <v/>
      </c>
      <c r="AZ116" s="102" t="str">
        <f>+'Bookings to Revenue_Calcs'!AZ47</f>
        <v/>
      </c>
      <c r="BA116" s="102" t="str">
        <f>+'Bookings to Revenue_Calcs'!BA47</f>
        <v/>
      </c>
      <c r="BB116" s="102" t="str">
        <f>+'Bookings to Revenue_Calcs'!BB47</f>
        <v/>
      </c>
      <c r="BC116" s="102" t="str">
        <f>+'Bookings to Revenue_Calcs'!BC47</f>
        <v/>
      </c>
      <c r="BD116" s="102" t="str">
        <f>+'Bookings to Revenue_Calcs'!BD47</f>
        <v/>
      </c>
      <c r="BE116" s="102" t="str">
        <f>+'Bookings to Revenue_Calcs'!BE47</f>
        <v/>
      </c>
      <c r="BF116" s="102" t="str">
        <f>+'Bookings to Revenue_Calcs'!BF47</f>
        <v/>
      </c>
      <c r="BG116" s="102" t="str">
        <f>+'Bookings to Revenue_Calcs'!BG47</f>
        <v/>
      </c>
      <c r="BH116" s="102" t="str">
        <f>+'Bookings to Revenue_Calcs'!BH47</f>
        <v/>
      </c>
      <c r="BI116" s="102" t="str">
        <f>+'Bookings to Revenue_Calcs'!BI47</f>
        <v/>
      </c>
      <c r="BJ116" s="102" t="str">
        <f>+'Bookings to Revenue_Calcs'!BJ47</f>
        <v/>
      </c>
      <c r="BK116" s="102" t="str">
        <f>+'Bookings to Revenue_Calcs'!BK47</f>
        <v/>
      </c>
      <c r="BL116" s="102" t="str">
        <f>+'Bookings to Revenue_Calcs'!BL47</f>
        <v/>
      </c>
      <c r="BM116" s="102" t="str">
        <f>+'Bookings to Revenue_Calcs'!BM47</f>
        <v/>
      </c>
      <c r="BN116" s="102" t="str">
        <f>+'Bookings to Revenue_Calcs'!BN47</f>
        <v/>
      </c>
      <c r="BO116" s="102" t="str">
        <f>+'Bookings to Revenue_Calcs'!BO47</f>
        <v/>
      </c>
      <c r="BP116" s="102" t="str">
        <f>+'Bookings to Revenue_Calcs'!BP47</f>
        <v/>
      </c>
      <c r="BQ116" s="102">
        <f>+'Bookings to Revenue_Calcs'!BQ47</f>
        <v>0</v>
      </c>
      <c r="BR116" s="102">
        <f>+'Bookings to Revenue_Calcs'!BR47</f>
        <v>0</v>
      </c>
      <c r="BS116" s="102">
        <f>+'Bookings to Revenue_Calcs'!BS47</f>
        <v>0</v>
      </c>
      <c r="BT116" s="102">
        <f>+'Bookings to Revenue_Calcs'!BT47</f>
        <v>0</v>
      </c>
      <c r="BU116" s="102">
        <f>+'Bookings to Revenue_Calcs'!BU47</f>
        <v>0.25</v>
      </c>
      <c r="BV116" s="102">
        <f>+'Bookings to Revenue_Calcs'!BV47</f>
        <v>0.5</v>
      </c>
      <c r="BW116" s="102">
        <f>+'Bookings to Revenue_Calcs'!BW47</f>
        <v>0.25</v>
      </c>
      <c r="BX116" s="102">
        <f>+'Bookings to Revenue_Calcs'!BX47</f>
        <v>0.5</v>
      </c>
      <c r="BY116" s="102">
        <f>+'Bookings to Revenue_Calcs'!BY47</f>
        <v>0.75</v>
      </c>
      <c r="BZ116" s="102">
        <f>+'Bookings to Revenue_Calcs'!BZ47</f>
        <v>1</v>
      </c>
      <c r="CA116" s="102">
        <f>+'Bookings to Revenue_Calcs'!CA47</f>
        <v>1.333333333</v>
      </c>
      <c r="CB116" s="102">
        <f>+'Bookings to Revenue_Calcs'!CB47</f>
        <v>1.666666667</v>
      </c>
      <c r="CC116" s="102">
        <f>+'Bookings to Revenue_Calcs'!CC47</f>
        <v>2</v>
      </c>
      <c r="CD116" s="102">
        <f>+'Bookings to Revenue_Calcs'!CD47</f>
        <v>2.333333333</v>
      </c>
      <c r="CE116" s="102">
        <f>+'Bookings to Revenue_Calcs'!CE47</f>
        <v>2.666666667</v>
      </c>
      <c r="CF116" s="102">
        <f>+'Bookings to Revenue_Calcs'!CF47</f>
        <v>3</v>
      </c>
      <c r="CG116" s="102">
        <f>+'Bookings to Revenue_Calcs'!CG47</f>
        <v>3.333333333</v>
      </c>
      <c r="CH116" s="102">
        <f>+'Bookings to Revenue_Calcs'!CH47</f>
        <v>3.666666667</v>
      </c>
      <c r="CI116" s="102">
        <f>+'Bookings to Revenue_Calcs'!CI47</f>
        <v>0.3333333333</v>
      </c>
      <c r="CJ116" s="102">
        <f>+'Bookings to Revenue_Calcs'!CJ47</f>
        <v>0.6666666667</v>
      </c>
      <c r="CK116" s="102">
        <f>+'Bookings to Revenue_Calcs'!CK47</f>
        <v>1</v>
      </c>
      <c r="CL116" s="102">
        <f>+'Bookings to Revenue_Calcs'!CL47</f>
        <v>1.333333333</v>
      </c>
      <c r="CM116" s="102">
        <f>+'Bookings to Revenue_Calcs'!CM47</f>
        <v>1.666666667</v>
      </c>
      <c r="CN116" s="102">
        <f>+'Bookings to Revenue_Calcs'!CN47</f>
        <v>2</v>
      </c>
      <c r="CO116" s="102">
        <f>+'Bookings to Revenue_Calcs'!CO47</f>
        <v>2.333333333</v>
      </c>
      <c r="CP116" s="102">
        <f>+'Bookings to Revenue_Calcs'!CP47</f>
        <v>2.666666667</v>
      </c>
      <c r="CQ116" s="102">
        <f>+'Bookings to Revenue_Calcs'!CQ47</f>
        <v>3</v>
      </c>
      <c r="CR116" s="102">
        <f>+'Bookings to Revenue_Calcs'!CR47</f>
        <v>3.333333333</v>
      </c>
      <c r="CS116" s="102">
        <f>+'Bookings to Revenue_Calcs'!CS47</f>
        <v>3.666666667</v>
      </c>
      <c r="CT116" s="102">
        <f>+'Bookings to Revenue_Calcs'!CT47</f>
        <v>4</v>
      </c>
      <c r="CU116" s="102">
        <f>+'Bookings to Revenue_Calcs'!CU47</f>
        <v>0.3333333333</v>
      </c>
      <c r="CV116" s="102">
        <f>+'Bookings to Revenue_Calcs'!CV47</f>
        <v>0.6666666667</v>
      </c>
      <c r="CW116" s="102">
        <f>+'Bookings to Revenue_Calcs'!CW47</f>
        <v>1</v>
      </c>
      <c r="CX116" s="102">
        <f>+'Bookings to Revenue_Calcs'!CX47</f>
        <v>1.333333333</v>
      </c>
      <c r="CY116" s="102">
        <f>+'Bookings to Revenue_Calcs'!CY47</f>
        <v>1.916666667</v>
      </c>
      <c r="CZ116" s="102">
        <f>+'Bookings to Revenue_Calcs'!CZ47</f>
        <v>2.5</v>
      </c>
      <c r="DA116" s="102">
        <f>+'Bookings to Revenue_Calcs'!DA47</f>
        <v>3.083333333</v>
      </c>
      <c r="DB116" s="102">
        <f>+'Bookings to Revenue_Calcs'!DB47</f>
        <v>3.666666667</v>
      </c>
      <c r="DC116" s="102">
        <f>+'Bookings to Revenue_Calcs'!DC47</f>
        <v>4.25</v>
      </c>
      <c r="DD116" s="102">
        <f>+'Bookings to Revenue_Calcs'!DD47</f>
        <v>4.833333333</v>
      </c>
      <c r="DE116" s="102">
        <f>+'Bookings to Revenue_Calcs'!DE47</f>
        <v>5.416666667</v>
      </c>
      <c r="DF116" s="102">
        <f>+'Bookings to Revenue_Calcs'!DF47</f>
        <v>6</v>
      </c>
      <c r="DG116" s="102">
        <f>+'Bookings to Revenue_Calcs'!DG47</f>
        <v>0.5833333333</v>
      </c>
      <c r="DH116" s="102">
        <f>+'Bookings to Revenue_Calcs'!DH47</f>
        <v>1.166666667</v>
      </c>
      <c r="DI116" s="102">
        <f>+'Bookings to Revenue_Calcs'!DI47</f>
        <v>1.75</v>
      </c>
      <c r="DJ116" s="102">
        <f>+'Bookings to Revenue_Calcs'!DJ47</f>
        <v>2.333333333</v>
      </c>
      <c r="DK116" s="102">
        <f>+'Bookings to Revenue_Calcs'!DK47</f>
        <v>3.083333333</v>
      </c>
      <c r="DL116" s="102">
        <f>+'Bookings to Revenue_Calcs'!DL47</f>
        <v>3.833333333</v>
      </c>
      <c r="DM116" s="102">
        <f>+'Bookings to Revenue_Calcs'!DM47</f>
        <v>4.583333333</v>
      </c>
      <c r="DN116" s="102">
        <f>+'Bookings to Revenue_Calcs'!DN47</f>
        <v>5.333333333</v>
      </c>
      <c r="DO116" s="102">
        <f>+'Bookings to Revenue_Calcs'!DO47</f>
        <v>6.083333333</v>
      </c>
      <c r="DP116" s="102">
        <f>+'Bookings to Revenue_Calcs'!DP47</f>
        <v>6.833333333</v>
      </c>
      <c r="DQ116" s="102">
        <f>+'Bookings to Revenue_Calcs'!DQ47</f>
        <v>7.583333333</v>
      </c>
      <c r="DR116" s="102">
        <f>+'Bookings to Revenue_Calcs'!DR47</f>
        <v>8.333333333</v>
      </c>
    </row>
    <row r="117" ht="15.75" hidden="1" customHeight="1" outlineLevel="1">
      <c r="B117" s="5" t="s">
        <v>129</v>
      </c>
      <c r="E117" s="100"/>
      <c r="F117" s="53"/>
      <c r="G117" s="53"/>
      <c r="H117" s="53"/>
      <c r="I117" s="53"/>
      <c r="J117" s="53"/>
      <c r="K117" s="53"/>
      <c r="L117" s="53"/>
      <c r="M117" s="53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52">
        <f>+SUMIFS(Revenue_Assumptions!$E39:$M39,Revenue_Assumptions!$E$7:$M$7,AA$7)/12</f>
        <v>0</v>
      </c>
      <c r="AB117" s="52">
        <f>+SUMIFS(Revenue_Assumptions!$E39:$M39,Revenue_Assumptions!$E$7:$M$7,AB$7)/12</f>
        <v>0</v>
      </c>
      <c r="AC117" s="52">
        <f>+SUMIFS(Revenue_Assumptions!$E39:$M39,Revenue_Assumptions!$E$7:$M$7,AC$7)/12</f>
        <v>0</v>
      </c>
      <c r="AD117" s="52">
        <f>+SUMIFS(Revenue_Assumptions!$E39:$M39,Revenue_Assumptions!$E$7:$M$7,AD$7)/12</f>
        <v>0</v>
      </c>
      <c r="AE117" s="52">
        <f>+SUMIFS(Revenue_Assumptions!$E39:$M39,Revenue_Assumptions!$E$7:$M$7,AE$7)/12</f>
        <v>0</v>
      </c>
      <c r="AF117" s="52">
        <f>+SUMIFS(Revenue_Assumptions!$E39:$M39,Revenue_Assumptions!$E$7:$M$7,AF$7)/12</f>
        <v>0</v>
      </c>
      <c r="AG117" s="52">
        <f>+SUMIFS(Revenue_Assumptions!$E39:$M39,Revenue_Assumptions!$E$7:$M$7,AG$7)/12</f>
        <v>0</v>
      </c>
      <c r="AH117" s="52">
        <f>+SUMIFS(Revenue_Assumptions!$E39:$M39,Revenue_Assumptions!$E$7:$M$7,AH$7)/12</f>
        <v>0</v>
      </c>
      <c r="AI117" s="52">
        <f>+SUMIFS(Revenue_Assumptions!$E39:$M39,Revenue_Assumptions!$E$7:$M$7,AI$7)/12</f>
        <v>0</v>
      </c>
      <c r="AJ117" s="52">
        <f>+SUMIFS(Revenue_Assumptions!$E39:$M39,Revenue_Assumptions!$E$7:$M$7,AJ$7)/12</f>
        <v>0</v>
      </c>
      <c r="AK117" s="52">
        <f>+SUMIFS(Revenue_Assumptions!$E39:$M39,Revenue_Assumptions!$E$7:$M$7,AK$7)/12</f>
        <v>0</v>
      </c>
      <c r="AL117" s="52">
        <f>+SUMIFS(Revenue_Assumptions!$E39:$M39,Revenue_Assumptions!$E$7:$M$7,AL$7)/12</f>
        <v>0</v>
      </c>
      <c r="AM117" s="52">
        <f>+SUMIFS(Revenue_Assumptions!$E39:$M39,Revenue_Assumptions!$E$7:$M$7,AM$7)/12</f>
        <v>0</v>
      </c>
      <c r="AN117" s="52">
        <f>+SUMIFS(Revenue_Assumptions!$E39:$M39,Revenue_Assumptions!$E$7:$M$7,AN$7)/12</f>
        <v>0</v>
      </c>
      <c r="AO117" s="52">
        <f>+SUMIFS(Revenue_Assumptions!$E39:$M39,Revenue_Assumptions!$E$7:$M$7,AO$7)/12</f>
        <v>0</v>
      </c>
      <c r="AP117" s="52">
        <f>+SUMIFS(Revenue_Assumptions!$E39:$M39,Revenue_Assumptions!$E$7:$M$7,AP$7)/12</f>
        <v>0</v>
      </c>
      <c r="AQ117" s="52">
        <f>+SUMIFS(Revenue_Assumptions!$E39:$M39,Revenue_Assumptions!$E$7:$M$7,AQ$7)/12</f>
        <v>0</v>
      </c>
      <c r="AR117" s="52">
        <f>+SUMIFS(Revenue_Assumptions!$E39:$M39,Revenue_Assumptions!$E$7:$M$7,AR$7)/12</f>
        <v>0</v>
      </c>
      <c r="AS117" s="52">
        <f>+SUMIFS(Revenue_Assumptions!$E39:$M39,Revenue_Assumptions!$E$7:$M$7,AS$7)/12</f>
        <v>0</v>
      </c>
      <c r="AT117" s="52">
        <f>+SUMIFS(Revenue_Assumptions!$E39:$M39,Revenue_Assumptions!$E$7:$M$7,AT$7)/12</f>
        <v>0</v>
      </c>
      <c r="AU117" s="52">
        <f>+SUMIFS(Revenue_Assumptions!$E39:$M39,Revenue_Assumptions!$E$7:$M$7,AU$7)/12</f>
        <v>0</v>
      </c>
      <c r="AV117" s="52">
        <f>+SUMIFS(Revenue_Assumptions!$E39:$M39,Revenue_Assumptions!$E$7:$M$7,AV$7)/12</f>
        <v>0</v>
      </c>
      <c r="AW117" s="52">
        <f>+SUMIFS(Revenue_Assumptions!$E39:$M39,Revenue_Assumptions!$E$7:$M$7,AW$7)/12</f>
        <v>0</v>
      </c>
      <c r="AX117" s="52">
        <f>+SUMIFS(Revenue_Assumptions!$E39:$M39,Revenue_Assumptions!$E$7:$M$7,AX$7)/12</f>
        <v>0</v>
      </c>
      <c r="AY117" s="52">
        <f>+SUMIFS(Revenue_Assumptions!$E39:$M39,Revenue_Assumptions!$E$7:$M$7,AY$7)/12</f>
        <v>0</v>
      </c>
      <c r="AZ117" s="52">
        <f>+SUMIFS(Revenue_Assumptions!$E39:$M39,Revenue_Assumptions!$E$7:$M$7,AZ$7)/12</f>
        <v>0</v>
      </c>
      <c r="BA117" s="52">
        <f>+SUMIFS(Revenue_Assumptions!$E39:$M39,Revenue_Assumptions!$E$7:$M$7,BA$7)/12</f>
        <v>0</v>
      </c>
      <c r="BB117" s="52">
        <f>+SUMIFS(Revenue_Assumptions!$E39:$M39,Revenue_Assumptions!$E$7:$M$7,BB$7)/12</f>
        <v>0</v>
      </c>
      <c r="BC117" s="52">
        <f>+SUMIFS(Revenue_Assumptions!$E39:$M39,Revenue_Assumptions!$E$7:$M$7,BC$7)/12</f>
        <v>0</v>
      </c>
      <c r="BD117" s="52">
        <f>+SUMIFS(Revenue_Assumptions!$E39:$M39,Revenue_Assumptions!$E$7:$M$7,BD$7)/12</f>
        <v>0</v>
      </c>
      <c r="BE117" s="52">
        <f>+SUMIFS(Revenue_Assumptions!$E39:$M39,Revenue_Assumptions!$E$7:$M$7,BE$7)/12</f>
        <v>0</v>
      </c>
      <c r="BF117" s="52">
        <f>+SUMIFS(Revenue_Assumptions!$E39:$M39,Revenue_Assumptions!$E$7:$M$7,BF$7)/12</f>
        <v>0</v>
      </c>
      <c r="BG117" s="52">
        <f>+SUMIFS(Revenue_Assumptions!$E39:$M39,Revenue_Assumptions!$E$7:$M$7,BG$7)/12</f>
        <v>0</v>
      </c>
      <c r="BH117" s="52">
        <f>+SUMIFS(Revenue_Assumptions!$E39:$M39,Revenue_Assumptions!$E$7:$M$7,BH$7)/12</f>
        <v>0</v>
      </c>
      <c r="BI117" s="52">
        <f>+SUMIFS(Revenue_Assumptions!$E39:$M39,Revenue_Assumptions!$E$7:$M$7,BI$7)/12</f>
        <v>0</v>
      </c>
      <c r="BJ117" s="52">
        <f>+SUMIFS(Revenue_Assumptions!$E39:$M39,Revenue_Assumptions!$E$7:$M$7,BJ$7)/12</f>
        <v>0</v>
      </c>
      <c r="BK117" s="52">
        <f>+SUMIFS(Revenue_Assumptions!$E39:$M39,Revenue_Assumptions!$E$7:$M$7,BK$7)/12</f>
        <v>10.41666667</v>
      </c>
      <c r="BL117" s="52">
        <f>+SUMIFS(Revenue_Assumptions!$E39:$M39,Revenue_Assumptions!$E$7:$M$7,BL$7)/12</f>
        <v>10.41666667</v>
      </c>
      <c r="BM117" s="52">
        <f>+SUMIFS(Revenue_Assumptions!$E39:$M39,Revenue_Assumptions!$E$7:$M$7,BM$7)/12</f>
        <v>10.41666667</v>
      </c>
      <c r="BN117" s="52">
        <f>+SUMIFS(Revenue_Assumptions!$E39:$M39,Revenue_Assumptions!$E$7:$M$7,BN$7)/12</f>
        <v>10.41666667</v>
      </c>
      <c r="BO117" s="52">
        <f>+SUMIFS(Revenue_Assumptions!$E39:$M39,Revenue_Assumptions!$E$7:$M$7,BO$7)/12</f>
        <v>10.41666667</v>
      </c>
      <c r="BP117" s="52">
        <f>+SUMIFS(Revenue_Assumptions!$E39:$M39,Revenue_Assumptions!$E$7:$M$7,BP$7)/12</f>
        <v>10.41666667</v>
      </c>
      <c r="BQ117" s="52">
        <f>+SUMIFS(Revenue_Assumptions!$E39:$M39,Revenue_Assumptions!$E$7:$M$7,BQ$7)/12</f>
        <v>10.41666667</v>
      </c>
      <c r="BR117" s="52">
        <f>+SUMIFS(Revenue_Assumptions!$E39:$M39,Revenue_Assumptions!$E$7:$M$7,BR$7)/12</f>
        <v>10.41666667</v>
      </c>
      <c r="BS117" s="52">
        <f>+SUMIFS(Revenue_Assumptions!$E39:$M39,Revenue_Assumptions!$E$7:$M$7,BS$7)/12</f>
        <v>10.41666667</v>
      </c>
      <c r="BT117" s="52">
        <f>+SUMIFS(Revenue_Assumptions!$E39:$M39,Revenue_Assumptions!$E$7:$M$7,BT$7)/12</f>
        <v>10.41666667</v>
      </c>
      <c r="BU117" s="52">
        <f>+SUMIFS(Revenue_Assumptions!$E39:$M39,Revenue_Assumptions!$E$7:$M$7,BU$7)/12</f>
        <v>10.41666667</v>
      </c>
      <c r="BV117" s="52">
        <f>+SUMIFS(Revenue_Assumptions!$E39:$M39,Revenue_Assumptions!$E$7:$M$7,BV$7)/12</f>
        <v>10.41666667</v>
      </c>
      <c r="BW117" s="52">
        <f>+SUMIFS(Revenue_Assumptions!$E39:$M39,Revenue_Assumptions!$E$7:$M$7,BW$7)/12</f>
        <v>10.9375</v>
      </c>
      <c r="BX117" s="52">
        <f>+SUMIFS(Revenue_Assumptions!$E39:$M39,Revenue_Assumptions!$E$7:$M$7,BX$7)/12</f>
        <v>10.9375</v>
      </c>
      <c r="BY117" s="52">
        <f>+SUMIFS(Revenue_Assumptions!$E39:$M39,Revenue_Assumptions!$E$7:$M$7,BY$7)/12</f>
        <v>10.9375</v>
      </c>
      <c r="BZ117" s="52">
        <f>+SUMIFS(Revenue_Assumptions!$E39:$M39,Revenue_Assumptions!$E$7:$M$7,BZ$7)/12</f>
        <v>10.9375</v>
      </c>
      <c r="CA117" s="52">
        <f>+SUMIFS(Revenue_Assumptions!$E39:$M39,Revenue_Assumptions!$E$7:$M$7,CA$7)/12</f>
        <v>10.9375</v>
      </c>
      <c r="CB117" s="52">
        <f>+SUMIFS(Revenue_Assumptions!$E39:$M39,Revenue_Assumptions!$E$7:$M$7,CB$7)/12</f>
        <v>10.9375</v>
      </c>
      <c r="CC117" s="52">
        <f>+SUMIFS(Revenue_Assumptions!$E39:$M39,Revenue_Assumptions!$E$7:$M$7,CC$7)/12</f>
        <v>10.9375</v>
      </c>
      <c r="CD117" s="52">
        <f>+SUMIFS(Revenue_Assumptions!$E39:$M39,Revenue_Assumptions!$E$7:$M$7,CD$7)/12</f>
        <v>10.9375</v>
      </c>
      <c r="CE117" s="52">
        <f>+SUMIFS(Revenue_Assumptions!$E39:$M39,Revenue_Assumptions!$E$7:$M$7,CE$7)/12</f>
        <v>10.9375</v>
      </c>
      <c r="CF117" s="52">
        <f>+SUMIFS(Revenue_Assumptions!$E39:$M39,Revenue_Assumptions!$E$7:$M$7,CF$7)/12</f>
        <v>10.9375</v>
      </c>
      <c r="CG117" s="52">
        <f>+SUMIFS(Revenue_Assumptions!$E39:$M39,Revenue_Assumptions!$E$7:$M$7,CG$7)/12</f>
        <v>10.9375</v>
      </c>
      <c r="CH117" s="52">
        <f>+SUMIFS(Revenue_Assumptions!$E39:$M39,Revenue_Assumptions!$E$7:$M$7,CH$7)/12</f>
        <v>10.9375</v>
      </c>
      <c r="CI117" s="52">
        <f>+SUMIFS(Revenue_Assumptions!$E39:$M39,Revenue_Assumptions!$E$7:$M$7,CI$7)/12</f>
        <v>11.484375</v>
      </c>
      <c r="CJ117" s="52">
        <f>+SUMIFS(Revenue_Assumptions!$E39:$M39,Revenue_Assumptions!$E$7:$M$7,CJ$7)/12</f>
        <v>11.484375</v>
      </c>
      <c r="CK117" s="52">
        <f>+SUMIFS(Revenue_Assumptions!$E39:$M39,Revenue_Assumptions!$E$7:$M$7,CK$7)/12</f>
        <v>11.484375</v>
      </c>
      <c r="CL117" s="52">
        <f>+SUMIFS(Revenue_Assumptions!$E39:$M39,Revenue_Assumptions!$E$7:$M$7,CL$7)/12</f>
        <v>11.484375</v>
      </c>
      <c r="CM117" s="52">
        <f>+SUMIFS(Revenue_Assumptions!$E39:$M39,Revenue_Assumptions!$E$7:$M$7,CM$7)/12</f>
        <v>11.484375</v>
      </c>
      <c r="CN117" s="52">
        <f>+SUMIFS(Revenue_Assumptions!$E39:$M39,Revenue_Assumptions!$E$7:$M$7,CN$7)/12</f>
        <v>11.484375</v>
      </c>
      <c r="CO117" s="52">
        <f>+SUMIFS(Revenue_Assumptions!$E39:$M39,Revenue_Assumptions!$E$7:$M$7,CO$7)/12</f>
        <v>11.484375</v>
      </c>
      <c r="CP117" s="52">
        <f>+SUMIFS(Revenue_Assumptions!$E39:$M39,Revenue_Assumptions!$E$7:$M$7,CP$7)/12</f>
        <v>11.484375</v>
      </c>
      <c r="CQ117" s="52">
        <f>+SUMIFS(Revenue_Assumptions!$E39:$M39,Revenue_Assumptions!$E$7:$M$7,CQ$7)/12</f>
        <v>11.484375</v>
      </c>
      <c r="CR117" s="52">
        <f>+SUMIFS(Revenue_Assumptions!$E39:$M39,Revenue_Assumptions!$E$7:$M$7,CR$7)/12</f>
        <v>11.484375</v>
      </c>
      <c r="CS117" s="52">
        <f>+SUMIFS(Revenue_Assumptions!$E39:$M39,Revenue_Assumptions!$E$7:$M$7,CS$7)/12</f>
        <v>11.484375</v>
      </c>
      <c r="CT117" s="52">
        <f>+SUMIFS(Revenue_Assumptions!$E39:$M39,Revenue_Assumptions!$E$7:$M$7,CT$7)/12</f>
        <v>11.484375</v>
      </c>
      <c r="CU117" s="52">
        <f>+SUMIFS(Revenue_Assumptions!$E39:$M39,Revenue_Assumptions!$E$7:$M$7,CU$7)/12</f>
        <v>12.05859375</v>
      </c>
      <c r="CV117" s="52">
        <f>+SUMIFS(Revenue_Assumptions!$E39:$M39,Revenue_Assumptions!$E$7:$M$7,CV$7)/12</f>
        <v>12.05859375</v>
      </c>
      <c r="CW117" s="52">
        <f>+SUMIFS(Revenue_Assumptions!$E39:$M39,Revenue_Assumptions!$E$7:$M$7,CW$7)/12</f>
        <v>12.05859375</v>
      </c>
      <c r="CX117" s="52">
        <f>+SUMIFS(Revenue_Assumptions!$E39:$M39,Revenue_Assumptions!$E$7:$M$7,CX$7)/12</f>
        <v>12.05859375</v>
      </c>
      <c r="CY117" s="52">
        <f>+SUMIFS(Revenue_Assumptions!$E39:$M39,Revenue_Assumptions!$E$7:$M$7,CY$7)/12</f>
        <v>12.05859375</v>
      </c>
      <c r="CZ117" s="52">
        <f>+SUMIFS(Revenue_Assumptions!$E39:$M39,Revenue_Assumptions!$E$7:$M$7,CZ$7)/12</f>
        <v>12.05859375</v>
      </c>
      <c r="DA117" s="52">
        <f>+SUMIFS(Revenue_Assumptions!$E39:$M39,Revenue_Assumptions!$E$7:$M$7,DA$7)/12</f>
        <v>12.05859375</v>
      </c>
      <c r="DB117" s="52">
        <f>+SUMIFS(Revenue_Assumptions!$E39:$M39,Revenue_Assumptions!$E$7:$M$7,DB$7)/12</f>
        <v>12.05859375</v>
      </c>
      <c r="DC117" s="52">
        <f>+SUMIFS(Revenue_Assumptions!$E39:$M39,Revenue_Assumptions!$E$7:$M$7,DC$7)/12</f>
        <v>12.05859375</v>
      </c>
      <c r="DD117" s="52">
        <f>+SUMIFS(Revenue_Assumptions!$E39:$M39,Revenue_Assumptions!$E$7:$M$7,DD$7)/12</f>
        <v>12.05859375</v>
      </c>
      <c r="DE117" s="52">
        <f>+SUMIFS(Revenue_Assumptions!$E39:$M39,Revenue_Assumptions!$E$7:$M$7,DE$7)/12</f>
        <v>12.05859375</v>
      </c>
      <c r="DF117" s="52">
        <f>+SUMIFS(Revenue_Assumptions!$E39:$M39,Revenue_Assumptions!$E$7:$M$7,DF$7)/12</f>
        <v>12.05859375</v>
      </c>
      <c r="DG117" s="52">
        <f>+SUMIFS(Revenue_Assumptions!$E39:$M39,Revenue_Assumptions!$E$7:$M$7,DG$7)/12</f>
        <v>12.66152344</v>
      </c>
      <c r="DH117" s="52">
        <f>+SUMIFS(Revenue_Assumptions!$E39:$M39,Revenue_Assumptions!$E$7:$M$7,DH$7)/12</f>
        <v>12.66152344</v>
      </c>
      <c r="DI117" s="52">
        <f>+SUMIFS(Revenue_Assumptions!$E39:$M39,Revenue_Assumptions!$E$7:$M$7,DI$7)/12</f>
        <v>12.66152344</v>
      </c>
      <c r="DJ117" s="52">
        <f>+SUMIFS(Revenue_Assumptions!$E39:$M39,Revenue_Assumptions!$E$7:$M$7,DJ$7)/12</f>
        <v>12.66152344</v>
      </c>
      <c r="DK117" s="52">
        <f>+SUMIFS(Revenue_Assumptions!$E39:$M39,Revenue_Assumptions!$E$7:$M$7,DK$7)/12</f>
        <v>12.66152344</v>
      </c>
      <c r="DL117" s="52">
        <f>+SUMIFS(Revenue_Assumptions!$E39:$M39,Revenue_Assumptions!$E$7:$M$7,DL$7)/12</f>
        <v>12.66152344</v>
      </c>
      <c r="DM117" s="52">
        <f>+SUMIFS(Revenue_Assumptions!$E39:$M39,Revenue_Assumptions!$E$7:$M$7,DM$7)/12</f>
        <v>12.66152344</v>
      </c>
      <c r="DN117" s="52">
        <f>+SUMIFS(Revenue_Assumptions!$E39:$M39,Revenue_Assumptions!$E$7:$M$7,DN$7)/12</f>
        <v>12.66152344</v>
      </c>
      <c r="DO117" s="52">
        <f>+SUMIFS(Revenue_Assumptions!$E39:$M39,Revenue_Assumptions!$E$7:$M$7,DO$7)/12</f>
        <v>12.66152344</v>
      </c>
      <c r="DP117" s="52">
        <f>+SUMIFS(Revenue_Assumptions!$E39:$M39,Revenue_Assumptions!$E$7:$M$7,DP$7)/12</f>
        <v>12.66152344</v>
      </c>
      <c r="DQ117" s="52">
        <f>+SUMIFS(Revenue_Assumptions!$E39:$M39,Revenue_Assumptions!$E$7:$M$7,DQ$7)/12</f>
        <v>12.66152344</v>
      </c>
      <c r="DR117" s="52">
        <f>+SUMIFS(Revenue_Assumptions!$E39:$M39,Revenue_Assumptions!$E$7:$M$7,DR$7)/12</f>
        <v>12.66152344</v>
      </c>
    </row>
    <row r="118" ht="15.75" hidden="1" customHeight="1" outlineLevel="1">
      <c r="B118" s="54" t="s">
        <v>130</v>
      </c>
      <c r="C118" s="54"/>
      <c r="E118" s="55">
        <f t="shared" ref="E118:M118" si="133">+SUMIFS($AA118:$DR118,$AA$7:$DR$7,E$7)</f>
        <v>0</v>
      </c>
      <c r="F118" s="55">
        <f t="shared" si="133"/>
        <v>0</v>
      </c>
      <c r="G118" s="55">
        <f t="shared" si="133"/>
        <v>0</v>
      </c>
      <c r="H118" s="55">
        <f t="shared" si="133"/>
        <v>0</v>
      </c>
      <c r="I118" s="55">
        <f t="shared" si="133"/>
        <v>7.8125</v>
      </c>
      <c r="J118" s="55">
        <f t="shared" si="133"/>
        <v>246.09375</v>
      </c>
      <c r="K118" s="55">
        <f t="shared" si="133"/>
        <v>298.59375</v>
      </c>
      <c r="L118" s="55">
        <f t="shared" si="133"/>
        <v>422.0507813</v>
      </c>
      <c r="M118" s="55">
        <f t="shared" si="133"/>
        <v>652.068457</v>
      </c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55">
        <f t="shared" ref="AA118:DR118" si="134">+AA116*AA117</f>
        <v>0</v>
      </c>
      <c r="AB118" s="55">
        <f t="shared" si="134"/>
        <v>0</v>
      </c>
      <c r="AC118" s="55">
        <f t="shared" si="134"/>
        <v>0</v>
      </c>
      <c r="AD118" s="55">
        <f t="shared" si="134"/>
        <v>0</v>
      </c>
      <c r="AE118" s="55">
        <f t="shared" si="134"/>
        <v>0</v>
      </c>
      <c r="AF118" s="55">
        <f t="shared" si="134"/>
        <v>0</v>
      </c>
      <c r="AG118" s="55">
        <f t="shared" si="134"/>
        <v>0</v>
      </c>
      <c r="AH118" s="55">
        <f t="shared" si="134"/>
        <v>0</v>
      </c>
      <c r="AI118" s="55">
        <f t="shared" si="134"/>
        <v>0</v>
      </c>
      <c r="AJ118" s="55">
        <f t="shared" si="134"/>
        <v>0</v>
      </c>
      <c r="AK118" s="55">
        <f t="shared" si="134"/>
        <v>0</v>
      </c>
      <c r="AL118" s="55">
        <f t="shared" si="134"/>
        <v>0</v>
      </c>
      <c r="AM118" s="55">
        <f t="shared" si="134"/>
        <v>0</v>
      </c>
      <c r="AN118" s="55">
        <f t="shared" si="134"/>
        <v>0</v>
      </c>
      <c r="AO118" s="55">
        <f t="shared" si="134"/>
        <v>0</v>
      </c>
      <c r="AP118" s="55">
        <f t="shared" si="134"/>
        <v>0</v>
      </c>
      <c r="AQ118" s="55">
        <f t="shared" si="134"/>
        <v>0</v>
      </c>
      <c r="AR118" s="55">
        <f t="shared" si="134"/>
        <v>0</v>
      </c>
      <c r="AS118" s="55">
        <f t="shared" si="134"/>
        <v>0</v>
      </c>
      <c r="AT118" s="55">
        <f t="shared" si="134"/>
        <v>0</v>
      </c>
      <c r="AU118" s="55">
        <f t="shared" si="134"/>
        <v>0</v>
      </c>
      <c r="AV118" s="55">
        <f t="shared" si="134"/>
        <v>0</v>
      </c>
      <c r="AW118" s="55">
        <f t="shared" si="134"/>
        <v>0</v>
      </c>
      <c r="AX118" s="55">
        <f t="shared" si="134"/>
        <v>0</v>
      </c>
      <c r="AY118" s="55">
        <f t="shared" si="134"/>
        <v>0</v>
      </c>
      <c r="AZ118" s="55">
        <f t="shared" si="134"/>
        <v>0</v>
      </c>
      <c r="BA118" s="55">
        <f t="shared" si="134"/>
        <v>0</v>
      </c>
      <c r="BB118" s="55">
        <f t="shared" si="134"/>
        <v>0</v>
      </c>
      <c r="BC118" s="55">
        <f t="shared" si="134"/>
        <v>0</v>
      </c>
      <c r="BD118" s="55">
        <f t="shared" si="134"/>
        <v>0</v>
      </c>
      <c r="BE118" s="55">
        <f t="shared" si="134"/>
        <v>0</v>
      </c>
      <c r="BF118" s="55">
        <f t="shared" si="134"/>
        <v>0</v>
      </c>
      <c r="BG118" s="55">
        <f t="shared" si="134"/>
        <v>0</v>
      </c>
      <c r="BH118" s="55">
        <f t="shared" si="134"/>
        <v>0</v>
      </c>
      <c r="BI118" s="55">
        <f t="shared" si="134"/>
        <v>0</v>
      </c>
      <c r="BJ118" s="55">
        <f t="shared" si="134"/>
        <v>0</v>
      </c>
      <c r="BK118" s="55">
        <f t="shared" si="134"/>
        <v>0</v>
      </c>
      <c r="BL118" s="55">
        <f t="shared" si="134"/>
        <v>0</v>
      </c>
      <c r="BM118" s="55">
        <f t="shared" si="134"/>
        <v>0</v>
      </c>
      <c r="BN118" s="55">
        <f t="shared" si="134"/>
        <v>0</v>
      </c>
      <c r="BO118" s="55">
        <f t="shared" si="134"/>
        <v>0</v>
      </c>
      <c r="BP118" s="55">
        <f t="shared" si="134"/>
        <v>0</v>
      </c>
      <c r="BQ118" s="55">
        <f t="shared" si="134"/>
        <v>0</v>
      </c>
      <c r="BR118" s="55">
        <f t="shared" si="134"/>
        <v>0</v>
      </c>
      <c r="BS118" s="55">
        <f t="shared" si="134"/>
        <v>0</v>
      </c>
      <c r="BT118" s="55">
        <f t="shared" si="134"/>
        <v>0</v>
      </c>
      <c r="BU118" s="55">
        <f t="shared" si="134"/>
        <v>2.604166667</v>
      </c>
      <c r="BV118" s="55">
        <f t="shared" si="134"/>
        <v>5.208333333</v>
      </c>
      <c r="BW118" s="55">
        <f t="shared" si="134"/>
        <v>2.734375</v>
      </c>
      <c r="BX118" s="55">
        <f t="shared" si="134"/>
        <v>5.46875</v>
      </c>
      <c r="BY118" s="55">
        <f t="shared" si="134"/>
        <v>8.203125</v>
      </c>
      <c r="BZ118" s="55">
        <f t="shared" si="134"/>
        <v>10.9375</v>
      </c>
      <c r="CA118" s="55">
        <f t="shared" si="134"/>
        <v>14.58333333</v>
      </c>
      <c r="CB118" s="55">
        <f t="shared" si="134"/>
        <v>18.22916667</v>
      </c>
      <c r="CC118" s="55">
        <f t="shared" si="134"/>
        <v>21.875</v>
      </c>
      <c r="CD118" s="55">
        <f t="shared" si="134"/>
        <v>25.52083333</v>
      </c>
      <c r="CE118" s="55">
        <f t="shared" si="134"/>
        <v>29.16666667</v>
      </c>
      <c r="CF118" s="55">
        <f t="shared" si="134"/>
        <v>32.8125</v>
      </c>
      <c r="CG118" s="55">
        <f t="shared" si="134"/>
        <v>36.45833333</v>
      </c>
      <c r="CH118" s="55">
        <f t="shared" si="134"/>
        <v>40.10416667</v>
      </c>
      <c r="CI118" s="55">
        <f t="shared" si="134"/>
        <v>3.828125</v>
      </c>
      <c r="CJ118" s="55">
        <f t="shared" si="134"/>
        <v>7.65625</v>
      </c>
      <c r="CK118" s="55">
        <f t="shared" si="134"/>
        <v>11.484375</v>
      </c>
      <c r="CL118" s="55">
        <f t="shared" si="134"/>
        <v>15.3125</v>
      </c>
      <c r="CM118" s="55">
        <f t="shared" si="134"/>
        <v>19.140625</v>
      </c>
      <c r="CN118" s="55">
        <f t="shared" si="134"/>
        <v>22.96875</v>
      </c>
      <c r="CO118" s="55">
        <f t="shared" si="134"/>
        <v>26.796875</v>
      </c>
      <c r="CP118" s="55">
        <f t="shared" si="134"/>
        <v>30.625</v>
      </c>
      <c r="CQ118" s="55">
        <f t="shared" si="134"/>
        <v>34.453125</v>
      </c>
      <c r="CR118" s="55">
        <f t="shared" si="134"/>
        <v>38.28125</v>
      </c>
      <c r="CS118" s="55">
        <f t="shared" si="134"/>
        <v>42.109375</v>
      </c>
      <c r="CT118" s="55">
        <f t="shared" si="134"/>
        <v>45.9375</v>
      </c>
      <c r="CU118" s="55">
        <f t="shared" si="134"/>
        <v>4.01953125</v>
      </c>
      <c r="CV118" s="55">
        <f t="shared" si="134"/>
        <v>8.0390625</v>
      </c>
      <c r="CW118" s="55">
        <f t="shared" si="134"/>
        <v>12.05859375</v>
      </c>
      <c r="CX118" s="55">
        <f t="shared" si="134"/>
        <v>16.078125</v>
      </c>
      <c r="CY118" s="55">
        <f t="shared" si="134"/>
        <v>23.11230469</v>
      </c>
      <c r="CZ118" s="55">
        <f t="shared" si="134"/>
        <v>30.14648438</v>
      </c>
      <c r="DA118" s="55">
        <f t="shared" si="134"/>
        <v>37.18066406</v>
      </c>
      <c r="DB118" s="55">
        <f t="shared" si="134"/>
        <v>44.21484375</v>
      </c>
      <c r="DC118" s="55">
        <f t="shared" si="134"/>
        <v>51.24902344</v>
      </c>
      <c r="DD118" s="55">
        <f t="shared" si="134"/>
        <v>58.28320313</v>
      </c>
      <c r="DE118" s="55">
        <f t="shared" si="134"/>
        <v>65.31738281</v>
      </c>
      <c r="DF118" s="55">
        <f t="shared" si="134"/>
        <v>72.3515625</v>
      </c>
      <c r="DG118" s="55">
        <f t="shared" si="134"/>
        <v>7.385888672</v>
      </c>
      <c r="DH118" s="55">
        <f t="shared" si="134"/>
        <v>14.77177734</v>
      </c>
      <c r="DI118" s="55">
        <f t="shared" si="134"/>
        <v>22.15766602</v>
      </c>
      <c r="DJ118" s="55">
        <f t="shared" si="134"/>
        <v>29.54355469</v>
      </c>
      <c r="DK118" s="55">
        <f t="shared" si="134"/>
        <v>39.03969727</v>
      </c>
      <c r="DL118" s="55">
        <f t="shared" si="134"/>
        <v>48.53583984</v>
      </c>
      <c r="DM118" s="55">
        <f t="shared" si="134"/>
        <v>58.03198242</v>
      </c>
      <c r="DN118" s="55">
        <f t="shared" si="134"/>
        <v>67.528125</v>
      </c>
      <c r="DO118" s="55">
        <f t="shared" si="134"/>
        <v>77.02426758</v>
      </c>
      <c r="DP118" s="55">
        <f t="shared" si="134"/>
        <v>86.52041016</v>
      </c>
      <c r="DQ118" s="55">
        <f t="shared" si="134"/>
        <v>96.01655273</v>
      </c>
      <c r="DR118" s="55">
        <f t="shared" si="134"/>
        <v>105.5126953</v>
      </c>
    </row>
    <row r="119" ht="4.5" hidden="1" customHeight="1" outlineLevel="1"/>
    <row r="120" ht="15.75" customHeight="1" collapsed="1">
      <c r="B120" s="60" t="s">
        <v>46</v>
      </c>
      <c r="C120" s="60"/>
      <c r="E120" s="61">
        <f>+SUMIFS(E$13:E$58,$C$13:$C$58,$B$110)</f>
        <v>1323.89</v>
      </c>
      <c r="F120" s="61">
        <f t="shared" ref="F120:M120" si="135">+SUM(F114,F118)</f>
        <v>1123.217</v>
      </c>
      <c r="G120" s="61">
        <f t="shared" si="135"/>
        <v>1313.177</v>
      </c>
      <c r="H120" s="61">
        <f t="shared" si="135"/>
        <v>1332.758762</v>
      </c>
      <c r="I120" s="61">
        <f t="shared" si="135"/>
        <v>1821.764513</v>
      </c>
      <c r="J120" s="61">
        <f t="shared" si="135"/>
        <v>2286.470004</v>
      </c>
      <c r="K120" s="61">
        <f t="shared" si="135"/>
        <v>2859.440155</v>
      </c>
      <c r="L120" s="61">
        <f t="shared" si="135"/>
        <v>3653.218156</v>
      </c>
      <c r="M120" s="61">
        <f t="shared" si="135"/>
        <v>4798.471065</v>
      </c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  <c r="BE120" s="53"/>
      <c r="BF120" s="53"/>
      <c r="BG120" s="53"/>
      <c r="BH120" s="53"/>
      <c r="BI120" s="53"/>
      <c r="BJ120" s="53"/>
      <c r="BK120" s="53"/>
      <c r="BL120" s="53"/>
      <c r="BM120" s="53"/>
      <c r="BN120" s="53"/>
      <c r="BO120" s="53"/>
      <c r="BP120" s="53"/>
      <c r="BQ120" s="53"/>
      <c r="BR120" s="53"/>
      <c r="BS120" s="53"/>
      <c r="BT120" s="53"/>
      <c r="BU120" s="53"/>
      <c r="BV120" s="53"/>
      <c r="BW120" s="53"/>
      <c r="BX120" s="53"/>
      <c r="BY120" s="53"/>
      <c r="BZ120" s="53"/>
      <c r="CA120" s="53"/>
      <c r="CB120" s="53"/>
      <c r="CC120" s="53"/>
      <c r="CD120" s="53"/>
      <c r="CE120" s="53"/>
      <c r="CF120" s="53"/>
      <c r="CG120" s="53"/>
      <c r="CH120" s="53"/>
      <c r="CI120" s="53"/>
      <c r="CJ120" s="53"/>
      <c r="CK120" s="53"/>
      <c r="CL120" s="53"/>
      <c r="CM120" s="53"/>
      <c r="CN120" s="53"/>
      <c r="CO120" s="53"/>
      <c r="CP120" s="53"/>
      <c r="CQ120" s="53"/>
      <c r="CR120" s="53"/>
      <c r="CS120" s="53"/>
      <c r="CT120" s="53"/>
      <c r="CU120" s="53"/>
      <c r="CV120" s="53"/>
      <c r="CW120" s="53"/>
      <c r="CX120" s="53"/>
      <c r="CY120" s="53"/>
      <c r="CZ120" s="53"/>
      <c r="DA120" s="53"/>
      <c r="DB120" s="53"/>
      <c r="DC120" s="53"/>
      <c r="DD120" s="53"/>
      <c r="DE120" s="53"/>
      <c r="DF120" s="53"/>
      <c r="DG120" s="53"/>
      <c r="DH120" s="53"/>
      <c r="DI120" s="53"/>
      <c r="DJ120" s="53"/>
      <c r="DK120" s="53"/>
      <c r="DL120" s="53"/>
      <c r="DM120" s="53"/>
      <c r="DN120" s="53"/>
      <c r="DO120" s="53"/>
      <c r="DP120" s="53"/>
      <c r="DQ120" s="53"/>
      <c r="DR120" s="53"/>
    </row>
    <row r="121" ht="4.5" customHeight="1"/>
    <row r="122" ht="15.75" customHeight="1">
      <c r="B122" s="60" t="s">
        <v>131</v>
      </c>
      <c r="C122" s="60"/>
      <c r="E122" s="61">
        <f t="shared" ref="E122:I122" si="136">+SUMIFS($O122:$DR122,$O$7:$DR$7,E$7)</f>
        <v>11167.372</v>
      </c>
      <c r="F122" s="61">
        <f t="shared" si="136"/>
        <v>11832.24</v>
      </c>
      <c r="G122" s="61">
        <f t="shared" si="136"/>
        <v>12843.318</v>
      </c>
      <c r="H122" s="61">
        <f t="shared" si="136"/>
        <v>14067.63658</v>
      </c>
      <c r="I122" s="61">
        <f t="shared" si="136"/>
        <v>15185.13537</v>
      </c>
      <c r="J122" s="103">
        <f t="shared" ref="J122:M122" si="137">+SUM(J84,J96,J108,J120)</f>
        <v>17161.92048</v>
      </c>
      <c r="K122" s="103">
        <f t="shared" si="137"/>
        <v>20453.01006</v>
      </c>
      <c r="L122" s="103">
        <f t="shared" si="137"/>
        <v>24420.59359</v>
      </c>
      <c r="M122" s="103">
        <f t="shared" si="137"/>
        <v>29409.91578</v>
      </c>
      <c r="O122" s="103">
        <f t="shared" ref="O122:BV122" si="138">+SUM(O60,O82,O94,O106,O118)</f>
        <v>919.323</v>
      </c>
      <c r="P122" s="103">
        <f t="shared" si="138"/>
        <v>921.315</v>
      </c>
      <c r="Q122" s="103">
        <f t="shared" si="138"/>
        <v>921.416</v>
      </c>
      <c r="R122" s="103">
        <f t="shared" si="138"/>
        <v>931.833</v>
      </c>
      <c r="S122" s="103">
        <f t="shared" si="138"/>
        <v>935.01</v>
      </c>
      <c r="T122" s="103">
        <f t="shared" si="138"/>
        <v>938.942</v>
      </c>
      <c r="U122" s="103">
        <f t="shared" si="138"/>
        <v>925.846</v>
      </c>
      <c r="V122" s="103">
        <f t="shared" si="138"/>
        <v>918.079</v>
      </c>
      <c r="W122" s="103">
        <f t="shared" si="138"/>
        <v>924.846</v>
      </c>
      <c r="X122" s="103">
        <f t="shared" si="138"/>
        <v>924.002</v>
      </c>
      <c r="Y122" s="103">
        <f t="shared" si="138"/>
        <v>926.422</v>
      </c>
      <c r="Z122" s="103">
        <f t="shared" si="138"/>
        <v>980.338</v>
      </c>
      <c r="AA122" s="103">
        <f t="shared" si="138"/>
        <v>981.129</v>
      </c>
      <c r="AB122" s="103">
        <f t="shared" si="138"/>
        <v>981.129</v>
      </c>
      <c r="AC122" s="103">
        <f t="shared" si="138"/>
        <v>976.962</v>
      </c>
      <c r="AD122" s="103">
        <f t="shared" si="138"/>
        <v>977.327</v>
      </c>
      <c r="AE122" s="103">
        <f t="shared" si="138"/>
        <v>975.227</v>
      </c>
      <c r="AF122" s="103">
        <f t="shared" si="138"/>
        <v>962.73</v>
      </c>
      <c r="AG122" s="103">
        <f t="shared" si="138"/>
        <v>972.843</v>
      </c>
      <c r="AH122" s="103">
        <f t="shared" si="138"/>
        <v>1101.548</v>
      </c>
      <c r="AI122" s="103">
        <f t="shared" si="138"/>
        <v>966.148</v>
      </c>
      <c r="AJ122" s="103">
        <f t="shared" si="138"/>
        <v>957.446</v>
      </c>
      <c r="AK122" s="103">
        <f t="shared" si="138"/>
        <v>968.548</v>
      </c>
      <c r="AL122" s="103">
        <f t="shared" si="138"/>
        <v>1011.203</v>
      </c>
      <c r="AM122" s="103">
        <f t="shared" si="138"/>
        <v>1043.846</v>
      </c>
      <c r="AN122" s="103">
        <f t="shared" si="138"/>
        <v>1049.705</v>
      </c>
      <c r="AO122" s="103">
        <f t="shared" si="138"/>
        <v>1054.263</v>
      </c>
      <c r="AP122" s="103">
        <f t="shared" si="138"/>
        <v>1065.37</v>
      </c>
      <c r="AQ122" s="103">
        <f t="shared" si="138"/>
        <v>1061.23</v>
      </c>
      <c r="AR122" s="103">
        <f t="shared" si="138"/>
        <v>1053.45</v>
      </c>
      <c r="AS122" s="103">
        <f t="shared" si="138"/>
        <v>1054.45</v>
      </c>
      <c r="AT122" s="103">
        <f t="shared" si="138"/>
        <v>989.834</v>
      </c>
      <c r="AU122" s="103">
        <f t="shared" si="138"/>
        <v>1058.886</v>
      </c>
      <c r="AV122" s="103">
        <f t="shared" si="138"/>
        <v>1103.161</v>
      </c>
      <c r="AW122" s="103">
        <f t="shared" si="138"/>
        <v>1092.215</v>
      </c>
      <c r="AX122" s="103">
        <f t="shared" si="138"/>
        <v>1216.908</v>
      </c>
      <c r="AY122" s="103">
        <f t="shared" si="138"/>
        <v>1122.436854</v>
      </c>
      <c r="AZ122" s="103">
        <f t="shared" si="138"/>
        <v>1143.988854</v>
      </c>
      <c r="BA122" s="103">
        <f t="shared" si="138"/>
        <v>1151.884402</v>
      </c>
      <c r="BB122" s="103">
        <f t="shared" si="138"/>
        <v>1171.502785</v>
      </c>
      <c r="BC122" s="103">
        <f t="shared" si="138"/>
        <v>1170.337785</v>
      </c>
      <c r="BD122" s="103">
        <f t="shared" si="138"/>
        <v>1187.499785</v>
      </c>
      <c r="BE122" s="103">
        <f t="shared" si="138"/>
        <v>1172.337785</v>
      </c>
      <c r="BF122" s="103">
        <f t="shared" si="138"/>
        <v>1173.188333</v>
      </c>
      <c r="BG122" s="103">
        <f t="shared" si="138"/>
        <v>1185.020618</v>
      </c>
      <c r="BH122" s="103">
        <f t="shared" si="138"/>
        <v>1180.418955</v>
      </c>
      <c r="BI122" s="103">
        <f t="shared" si="138"/>
        <v>1182.16583</v>
      </c>
      <c r="BJ122" s="103">
        <f t="shared" si="138"/>
        <v>1226.854594</v>
      </c>
      <c r="BK122" s="103">
        <f t="shared" si="138"/>
        <v>1250.905129</v>
      </c>
      <c r="BL122" s="103">
        <f t="shared" si="138"/>
        <v>1250.905129</v>
      </c>
      <c r="BM122" s="103">
        <f t="shared" si="138"/>
        <v>1273.297129</v>
      </c>
      <c r="BN122" s="103">
        <f t="shared" si="138"/>
        <v>1253.048214</v>
      </c>
      <c r="BO122" s="103">
        <f t="shared" si="138"/>
        <v>1256.243214</v>
      </c>
      <c r="BP122" s="103">
        <f t="shared" si="138"/>
        <v>1271.243214</v>
      </c>
      <c r="BQ122" s="103">
        <f t="shared" si="138"/>
        <v>1255.58427</v>
      </c>
      <c r="BR122" s="103">
        <f t="shared" si="138"/>
        <v>1256.461906</v>
      </c>
      <c r="BS122" s="103">
        <f t="shared" si="138"/>
        <v>1272.511422</v>
      </c>
      <c r="BT122" s="103">
        <f t="shared" si="138"/>
        <v>1257.826422</v>
      </c>
      <c r="BU122" s="103">
        <f t="shared" si="138"/>
        <v>1277.237886</v>
      </c>
      <c r="BV122" s="103">
        <f t="shared" si="138"/>
        <v>1309.871435</v>
      </c>
      <c r="BW122" s="61">
        <f t="shared" ref="BW122:DR122" si="139">+SUMIFS($E122:$M122,$E$7:$M$7,BW$7)*BW123</f>
        <v>1411.115608</v>
      </c>
      <c r="BX122" s="61">
        <f t="shared" si="139"/>
        <v>1413.838207</v>
      </c>
      <c r="BY122" s="61">
        <f t="shared" si="139"/>
        <v>1420.21542</v>
      </c>
      <c r="BZ122" s="61">
        <f t="shared" si="139"/>
        <v>1422.339177</v>
      </c>
      <c r="CA122" s="61">
        <f t="shared" si="139"/>
        <v>1422.318002</v>
      </c>
      <c r="CB122" s="61">
        <f t="shared" si="139"/>
        <v>1420.936299</v>
      </c>
      <c r="CC122" s="61">
        <f t="shared" si="139"/>
        <v>1415.481623</v>
      </c>
      <c r="CD122" s="61">
        <f t="shared" si="139"/>
        <v>1437.82933</v>
      </c>
      <c r="CE122" s="61">
        <f t="shared" si="139"/>
        <v>1418.934338</v>
      </c>
      <c r="CF122" s="61">
        <f t="shared" si="139"/>
        <v>1426.096129</v>
      </c>
      <c r="CG122" s="61">
        <f t="shared" si="139"/>
        <v>1432.879527</v>
      </c>
      <c r="CH122" s="61">
        <f t="shared" si="139"/>
        <v>1519.936819</v>
      </c>
      <c r="CI122" s="61">
        <f t="shared" si="139"/>
        <v>1667.981912</v>
      </c>
      <c r="CJ122" s="61">
        <f t="shared" si="139"/>
        <v>1678.959347</v>
      </c>
      <c r="CK122" s="61">
        <f t="shared" si="139"/>
        <v>1683.743134</v>
      </c>
      <c r="CL122" s="61">
        <f t="shared" si="139"/>
        <v>1696.08642</v>
      </c>
      <c r="CM122" s="61">
        <f t="shared" si="139"/>
        <v>1693.100916</v>
      </c>
      <c r="CN122" s="61">
        <f t="shared" si="139"/>
        <v>1690.429287</v>
      </c>
      <c r="CO122" s="61">
        <f t="shared" si="139"/>
        <v>1688.061499</v>
      </c>
      <c r="CP122" s="61">
        <f t="shared" si="139"/>
        <v>1724.923012</v>
      </c>
      <c r="CQ122" s="61">
        <f t="shared" si="139"/>
        <v>1692.572985</v>
      </c>
      <c r="CR122" s="61">
        <f t="shared" si="139"/>
        <v>1706.900661</v>
      </c>
      <c r="CS122" s="61">
        <f t="shared" si="139"/>
        <v>1709.996466</v>
      </c>
      <c r="CT122" s="61">
        <f t="shared" si="139"/>
        <v>1820.254417</v>
      </c>
      <c r="CU122" s="61">
        <f t="shared" si="139"/>
        <v>1984.129615</v>
      </c>
      <c r="CV122" s="61">
        <f t="shared" si="139"/>
        <v>1999.544702</v>
      </c>
      <c r="CW122" s="61">
        <f t="shared" si="139"/>
        <v>2015.568522</v>
      </c>
      <c r="CX122" s="61">
        <f t="shared" si="139"/>
        <v>2024.905788</v>
      </c>
      <c r="CY122" s="61">
        <f t="shared" si="139"/>
        <v>2022.825601</v>
      </c>
      <c r="CZ122" s="61">
        <f t="shared" si="139"/>
        <v>2031.808632</v>
      </c>
      <c r="DA122" s="61">
        <f t="shared" si="139"/>
        <v>2018.701484</v>
      </c>
      <c r="DB122" s="61">
        <f t="shared" si="139"/>
        <v>1999.710883</v>
      </c>
      <c r="DC122" s="61">
        <f t="shared" si="139"/>
        <v>2034.466512</v>
      </c>
      <c r="DD122" s="61">
        <f t="shared" si="139"/>
        <v>2051.888533</v>
      </c>
      <c r="DE122" s="61">
        <f t="shared" si="139"/>
        <v>2056.171825</v>
      </c>
      <c r="DF122" s="61">
        <f t="shared" si="139"/>
        <v>2180.871497</v>
      </c>
      <c r="DG122" s="61">
        <f t="shared" si="139"/>
        <v>2394.242077</v>
      </c>
      <c r="DH122" s="61">
        <f t="shared" si="139"/>
        <v>2411.313813</v>
      </c>
      <c r="DI122" s="61">
        <f t="shared" si="139"/>
        <v>2433.83892</v>
      </c>
      <c r="DJ122" s="61">
        <f t="shared" si="139"/>
        <v>2438.009293</v>
      </c>
      <c r="DK122" s="61">
        <f t="shared" si="139"/>
        <v>2438.31202</v>
      </c>
      <c r="DL122" s="61">
        <f t="shared" si="139"/>
        <v>2456.65725</v>
      </c>
      <c r="DM122" s="61">
        <f t="shared" si="139"/>
        <v>2434.867765</v>
      </c>
      <c r="DN122" s="61">
        <f t="shared" si="139"/>
        <v>2439.593779</v>
      </c>
      <c r="DO122" s="61">
        <f t="shared" si="139"/>
        <v>2455.918111</v>
      </c>
      <c r="DP122" s="61">
        <f t="shared" si="139"/>
        <v>2454.716335</v>
      </c>
      <c r="DQ122" s="61">
        <f t="shared" si="139"/>
        <v>2469.223897</v>
      </c>
      <c r="DR122" s="61">
        <f t="shared" si="139"/>
        <v>2583.222513</v>
      </c>
    </row>
    <row r="123" ht="15.75" customHeight="1">
      <c r="B123" s="70" t="s">
        <v>132</v>
      </c>
      <c r="E123" s="104">
        <f t="shared" ref="E123:M123" si="140">+E122/SUMIFS($O122:$DR122,$O$7:$DR$7,E$7)</f>
        <v>1</v>
      </c>
      <c r="F123" s="104">
        <f t="shared" si="140"/>
        <v>1</v>
      </c>
      <c r="G123" s="104">
        <f t="shared" si="140"/>
        <v>1</v>
      </c>
      <c r="H123" s="104">
        <f t="shared" si="140"/>
        <v>1</v>
      </c>
      <c r="I123" s="104">
        <f t="shared" si="140"/>
        <v>1</v>
      </c>
      <c r="J123" s="104">
        <f t="shared" si="140"/>
        <v>1</v>
      </c>
      <c r="K123" s="104">
        <f t="shared" si="140"/>
        <v>1</v>
      </c>
      <c r="L123" s="104">
        <f t="shared" si="140"/>
        <v>1</v>
      </c>
      <c r="M123" s="104">
        <f t="shared" si="140"/>
        <v>1</v>
      </c>
      <c r="O123" s="104">
        <f t="shared" ref="O123:BV123" si="141">+O122/SUMIFS($O122:$DR122,$O$7:$DR$7,O$7)</f>
        <v>0.08232223302</v>
      </c>
      <c r="P123" s="104">
        <f t="shared" si="141"/>
        <v>0.08250060981</v>
      </c>
      <c r="Q123" s="104">
        <f t="shared" si="141"/>
        <v>0.08250965402</v>
      </c>
      <c r="R123" s="104">
        <f t="shared" si="141"/>
        <v>0.08344246077</v>
      </c>
      <c r="S123" s="104">
        <f t="shared" si="141"/>
        <v>0.08372695026</v>
      </c>
      <c r="T123" s="104">
        <f t="shared" si="141"/>
        <v>0.08407904742</v>
      </c>
      <c r="U123" s="104">
        <f t="shared" si="141"/>
        <v>0.08290634538</v>
      </c>
      <c r="V123" s="104">
        <f t="shared" si="141"/>
        <v>0.08221083707</v>
      </c>
      <c r="W123" s="104">
        <f t="shared" si="141"/>
        <v>0.0828167988</v>
      </c>
      <c r="X123" s="104">
        <f t="shared" si="141"/>
        <v>0.08274122148</v>
      </c>
      <c r="Y123" s="104">
        <f t="shared" si="141"/>
        <v>0.08295792421</v>
      </c>
      <c r="Z123" s="104">
        <f t="shared" si="141"/>
        <v>0.08778591776</v>
      </c>
      <c r="AA123" s="104">
        <f t="shared" si="141"/>
        <v>0.0829199712</v>
      </c>
      <c r="AB123" s="104">
        <f t="shared" si="141"/>
        <v>0.0829199712</v>
      </c>
      <c r="AC123" s="104">
        <f t="shared" si="141"/>
        <v>0.08256779781</v>
      </c>
      <c r="AD123" s="104">
        <f t="shared" si="141"/>
        <v>0.08259864573</v>
      </c>
      <c r="AE123" s="104">
        <f t="shared" si="141"/>
        <v>0.08242116455</v>
      </c>
      <c r="AF123" s="104">
        <f t="shared" si="141"/>
        <v>0.08136498245</v>
      </c>
      <c r="AG123" s="104">
        <f t="shared" si="141"/>
        <v>0.08221968114</v>
      </c>
      <c r="AH123" s="104">
        <f t="shared" si="141"/>
        <v>0.09309716503</v>
      </c>
      <c r="AI123" s="104">
        <f t="shared" si="141"/>
        <v>0.08165385422</v>
      </c>
      <c r="AJ123" s="104">
        <f t="shared" si="141"/>
        <v>0.08091840598</v>
      </c>
      <c r="AK123" s="104">
        <f t="shared" si="141"/>
        <v>0.08185668986</v>
      </c>
      <c r="AL123" s="104">
        <f t="shared" si="141"/>
        <v>0.08546167082</v>
      </c>
      <c r="AM123" s="104">
        <f t="shared" si="141"/>
        <v>0.08127541497</v>
      </c>
      <c r="AN123" s="104">
        <f t="shared" si="141"/>
        <v>0.08173160549</v>
      </c>
      <c r="AO123" s="104">
        <f t="shared" si="141"/>
        <v>0.08208649821</v>
      </c>
      <c r="AP123" s="104">
        <f t="shared" si="141"/>
        <v>0.08295130589</v>
      </c>
      <c r="AQ123" s="104">
        <f t="shared" si="141"/>
        <v>0.08262895928</v>
      </c>
      <c r="AR123" s="104">
        <f t="shared" si="141"/>
        <v>0.08202319681</v>
      </c>
      <c r="AS123" s="104">
        <f t="shared" si="141"/>
        <v>0.08210105831</v>
      </c>
      <c r="AT123" s="104">
        <f t="shared" si="141"/>
        <v>0.07706995965</v>
      </c>
      <c r="AU123" s="104">
        <f t="shared" si="141"/>
        <v>0.08244645192</v>
      </c>
      <c r="AV123" s="104">
        <f t="shared" si="141"/>
        <v>0.08589376982</v>
      </c>
      <c r="AW123" s="104">
        <f t="shared" si="141"/>
        <v>0.08504149784</v>
      </c>
      <c r="AX123" s="104">
        <f t="shared" si="141"/>
        <v>0.09475028182</v>
      </c>
      <c r="AY123" s="104">
        <f t="shared" si="141"/>
        <v>0.07978858763</v>
      </c>
      <c r="AZ123" s="104">
        <f t="shared" si="141"/>
        <v>0.0813206147</v>
      </c>
      <c r="BA123" s="104">
        <f t="shared" si="141"/>
        <v>0.08188187091</v>
      </c>
      <c r="BB123" s="104">
        <f t="shared" si="141"/>
        <v>0.08327644648</v>
      </c>
      <c r="BC123" s="104">
        <f t="shared" si="141"/>
        <v>0.08319363229</v>
      </c>
      <c r="BD123" s="104">
        <f t="shared" si="141"/>
        <v>0.08441359556</v>
      </c>
      <c r="BE123" s="104">
        <f t="shared" si="141"/>
        <v>0.08333580258</v>
      </c>
      <c r="BF123" s="104">
        <f t="shared" si="141"/>
        <v>0.08339626393</v>
      </c>
      <c r="BG123" s="104">
        <f t="shared" si="141"/>
        <v>0.08423736364</v>
      </c>
      <c r="BH123" s="104">
        <f t="shared" si="141"/>
        <v>0.08391025373</v>
      </c>
      <c r="BI123" s="104">
        <f t="shared" si="141"/>
        <v>0.08403443059</v>
      </c>
      <c r="BJ123" s="104">
        <f t="shared" si="141"/>
        <v>0.08721113796</v>
      </c>
      <c r="BK123" s="104">
        <f t="shared" si="141"/>
        <v>0.08237694948</v>
      </c>
      <c r="BL123" s="104">
        <f t="shared" si="141"/>
        <v>0.08237694948</v>
      </c>
      <c r="BM123" s="104">
        <f t="shared" si="141"/>
        <v>0.08385154944</v>
      </c>
      <c r="BN123" s="104">
        <f t="shared" si="141"/>
        <v>0.0825180799</v>
      </c>
      <c r="BO123" s="104">
        <f t="shared" si="141"/>
        <v>0.08272848303</v>
      </c>
      <c r="BP123" s="104">
        <f t="shared" si="141"/>
        <v>0.08371629114</v>
      </c>
      <c r="BQ123" s="104">
        <f t="shared" si="141"/>
        <v>0.08268508905</v>
      </c>
      <c r="BR123" s="104">
        <f t="shared" si="141"/>
        <v>0.08274288475</v>
      </c>
      <c r="BS123" s="104">
        <f t="shared" si="141"/>
        <v>0.08379980758</v>
      </c>
      <c r="BT123" s="104">
        <f t="shared" si="141"/>
        <v>0.08283274343</v>
      </c>
      <c r="BU123" s="104">
        <f t="shared" si="141"/>
        <v>0.08411106356</v>
      </c>
      <c r="BV123" s="104">
        <f t="shared" si="141"/>
        <v>0.08626010917</v>
      </c>
      <c r="BW123" s="105">
        <f t="shared" ref="BW123:DR123" si="142">+AVERAGE(O123,AA123,AM123,BK123)</f>
        <v>0.08222364217</v>
      </c>
      <c r="BX123" s="105">
        <f t="shared" si="142"/>
        <v>0.08238228399</v>
      </c>
      <c r="BY123" s="105">
        <f t="shared" si="142"/>
        <v>0.08275387487</v>
      </c>
      <c r="BZ123" s="105">
        <f t="shared" si="142"/>
        <v>0.08287762307</v>
      </c>
      <c r="CA123" s="105">
        <f t="shared" si="142"/>
        <v>0.08287638928</v>
      </c>
      <c r="CB123" s="105">
        <f t="shared" si="142"/>
        <v>0.08279587946</v>
      </c>
      <c r="CC123" s="105">
        <f t="shared" si="142"/>
        <v>0.08247804347</v>
      </c>
      <c r="CD123" s="105">
        <f t="shared" si="142"/>
        <v>0.08378021163</v>
      </c>
      <c r="CE123" s="105">
        <f t="shared" si="142"/>
        <v>0.08267922813</v>
      </c>
      <c r="CF123" s="105">
        <f t="shared" si="142"/>
        <v>0.08309653518</v>
      </c>
      <c r="CG123" s="105">
        <f t="shared" si="142"/>
        <v>0.08349179387</v>
      </c>
      <c r="CH123" s="105">
        <f t="shared" si="142"/>
        <v>0.0885644949</v>
      </c>
      <c r="CI123" s="105">
        <f t="shared" si="142"/>
        <v>0.08155190399</v>
      </c>
      <c r="CJ123" s="105">
        <f t="shared" si="142"/>
        <v>0.08208861885</v>
      </c>
      <c r="CK123" s="105">
        <f t="shared" si="142"/>
        <v>0.08232251045</v>
      </c>
      <c r="CL123" s="105">
        <f t="shared" si="142"/>
        <v>0.08292600529</v>
      </c>
      <c r="CM123" s="105">
        <f t="shared" si="142"/>
        <v>0.08278003635</v>
      </c>
      <c r="CN123" s="105">
        <f t="shared" si="142"/>
        <v>0.08264941357</v>
      </c>
      <c r="CO123" s="105">
        <f t="shared" si="142"/>
        <v>0.08253364638</v>
      </c>
      <c r="CP123" s="105">
        <f t="shared" si="142"/>
        <v>0.08433590006</v>
      </c>
      <c r="CQ123" s="105">
        <f t="shared" si="142"/>
        <v>0.08275422448</v>
      </c>
      <c r="CR123" s="105">
        <f t="shared" si="142"/>
        <v>0.08345474118</v>
      </c>
      <c r="CS123" s="105">
        <f t="shared" si="142"/>
        <v>0.08360610304</v>
      </c>
      <c r="CT123" s="105">
        <f t="shared" si="142"/>
        <v>0.08899689637</v>
      </c>
      <c r="CU123" s="105">
        <f t="shared" si="142"/>
        <v>0.08124821402</v>
      </c>
      <c r="CV123" s="105">
        <f t="shared" si="142"/>
        <v>0.08187944713</v>
      </c>
      <c r="CW123" s="105">
        <f t="shared" si="142"/>
        <v>0.08253560725</v>
      </c>
      <c r="CX123" s="105">
        <f t="shared" si="142"/>
        <v>0.08291795939</v>
      </c>
      <c r="CY123" s="105">
        <f t="shared" si="142"/>
        <v>0.08283277773</v>
      </c>
      <c r="CZ123" s="105">
        <f t="shared" si="142"/>
        <v>0.08320062427</v>
      </c>
      <c r="DA123" s="105">
        <f t="shared" si="142"/>
        <v>0.08266389908</v>
      </c>
      <c r="DB123" s="105">
        <f t="shared" si="142"/>
        <v>0.0818862521</v>
      </c>
      <c r="DC123" s="105">
        <f t="shared" si="142"/>
        <v>0.0833094619</v>
      </c>
      <c r="DD123" s="105">
        <f t="shared" si="142"/>
        <v>0.08402287704</v>
      </c>
      <c r="DE123" s="105">
        <f t="shared" si="142"/>
        <v>0.08419827376</v>
      </c>
      <c r="DF123" s="105">
        <f t="shared" si="142"/>
        <v>0.08930460633</v>
      </c>
      <c r="DG123" s="105">
        <f t="shared" si="142"/>
        <v>0.08140934832</v>
      </c>
      <c r="DH123" s="105">
        <f t="shared" si="142"/>
        <v>0.08198982382</v>
      </c>
      <c r="DI123" s="105">
        <f t="shared" si="142"/>
        <v>0.08275572562</v>
      </c>
      <c r="DJ123" s="105">
        <f t="shared" si="142"/>
        <v>0.08289752721</v>
      </c>
      <c r="DK123" s="105">
        <f t="shared" si="142"/>
        <v>0.08290782058</v>
      </c>
      <c r="DL123" s="105">
        <f t="shared" si="142"/>
        <v>0.08353159761</v>
      </c>
      <c r="DM123" s="105">
        <f t="shared" si="142"/>
        <v>0.08279070855</v>
      </c>
      <c r="DN123" s="105">
        <f t="shared" si="142"/>
        <v>0.0829514031</v>
      </c>
      <c r="DO123" s="105">
        <f t="shared" si="142"/>
        <v>0.08350646531</v>
      </c>
      <c r="DP123" s="105">
        <f t="shared" si="142"/>
        <v>0.08346560234</v>
      </c>
      <c r="DQ123" s="105">
        <f t="shared" si="142"/>
        <v>0.08395889044</v>
      </c>
      <c r="DR123" s="105">
        <f t="shared" si="142"/>
        <v>0.08783508709</v>
      </c>
    </row>
    <row r="124" ht="15.75" customHeight="1">
      <c r="B124" s="70" t="s">
        <v>133</v>
      </c>
      <c r="E124" s="104">
        <f t="shared" ref="E124:H124" si="143">+E60/E122</f>
        <v>1</v>
      </c>
      <c r="F124" s="104">
        <f t="shared" si="143"/>
        <v>1</v>
      </c>
      <c r="G124" s="104">
        <f t="shared" si="143"/>
        <v>1</v>
      </c>
      <c r="H124" s="104">
        <f t="shared" si="143"/>
        <v>1</v>
      </c>
      <c r="I124" s="105">
        <v>0.9954339416095498</v>
      </c>
      <c r="J124" s="104">
        <f t="shared" ref="J124:M124" si="144">+J60/J122</f>
        <v>0.9209976179</v>
      </c>
      <c r="K124" s="104">
        <f t="shared" si="144"/>
        <v>0.4974487832</v>
      </c>
      <c r="L124" s="104">
        <f t="shared" si="144"/>
        <v>0.3736656859</v>
      </c>
      <c r="M124" s="104">
        <f t="shared" si="144"/>
        <v>0.2496300594</v>
      </c>
    </row>
    <row r="125" ht="4.5" customHeight="1"/>
    <row r="126" ht="15.75" customHeight="1">
      <c r="B126" s="71" t="s">
        <v>43</v>
      </c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  <c r="BC126" s="71"/>
      <c r="BD126" s="71"/>
      <c r="BE126" s="71"/>
      <c r="BF126" s="71"/>
      <c r="BG126" s="71"/>
      <c r="BH126" s="71"/>
      <c r="BI126" s="71"/>
      <c r="BJ126" s="71"/>
      <c r="BK126" s="71"/>
      <c r="BL126" s="71"/>
      <c r="BM126" s="71"/>
      <c r="BN126" s="71"/>
      <c r="BO126" s="71"/>
      <c r="BP126" s="71"/>
      <c r="BQ126" s="71"/>
      <c r="BR126" s="71"/>
      <c r="BS126" s="71"/>
      <c r="BT126" s="71"/>
      <c r="BU126" s="71"/>
      <c r="BV126" s="71"/>
      <c r="BW126" s="71"/>
      <c r="BX126" s="71"/>
      <c r="BY126" s="71"/>
      <c r="BZ126" s="71"/>
      <c r="CA126" s="71"/>
      <c r="CB126" s="71"/>
      <c r="CC126" s="71"/>
      <c r="CD126" s="71"/>
      <c r="CE126" s="71"/>
      <c r="CF126" s="71"/>
      <c r="CG126" s="71"/>
      <c r="CH126" s="71"/>
      <c r="CI126" s="71"/>
      <c r="CJ126" s="71"/>
      <c r="CK126" s="71"/>
      <c r="CL126" s="71"/>
      <c r="CM126" s="71"/>
      <c r="CN126" s="71"/>
      <c r="CO126" s="71"/>
      <c r="CP126" s="71"/>
      <c r="CQ126" s="71"/>
      <c r="CR126" s="71"/>
      <c r="CS126" s="71"/>
      <c r="CT126" s="71"/>
      <c r="CU126" s="71"/>
      <c r="CV126" s="71"/>
      <c r="CW126" s="71"/>
      <c r="CX126" s="71"/>
      <c r="CY126" s="71"/>
      <c r="CZ126" s="71"/>
      <c r="DA126" s="71"/>
      <c r="DB126" s="71"/>
      <c r="DC126" s="71"/>
      <c r="DD126" s="71"/>
      <c r="DE126" s="71"/>
      <c r="DF126" s="71"/>
      <c r="DG126" s="71"/>
      <c r="DH126" s="71"/>
      <c r="DI126" s="71"/>
      <c r="DJ126" s="71"/>
      <c r="DK126" s="71"/>
      <c r="DL126" s="71"/>
      <c r="DM126" s="71"/>
      <c r="DN126" s="71"/>
      <c r="DO126" s="71"/>
      <c r="DP126" s="71"/>
      <c r="DQ126" s="71"/>
      <c r="DR126" s="71"/>
      <c r="DS126" s="71"/>
      <c r="DT126" s="71"/>
      <c r="DU126" s="71"/>
      <c r="DV126" s="71"/>
      <c r="DW126" s="71"/>
    </row>
    <row r="127" ht="4.5" customHeight="1"/>
    <row r="128" ht="15.75" hidden="1" customHeight="1" outlineLevel="1">
      <c r="B128" s="5" t="s">
        <v>69</v>
      </c>
      <c r="C128" s="72" t="s">
        <v>70</v>
      </c>
      <c r="E128" s="50">
        <f t="shared" ref="E128:M128" si="145">+SUMIFS($O128:$DR128,$O$7:$DR$7,E$7)</f>
        <v>0</v>
      </c>
      <c r="F128" s="50">
        <f t="shared" si="145"/>
        <v>0</v>
      </c>
      <c r="G128" s="50">
        <f t="shared" si="145"/>
        <v>5.5</v>
      </c>
      <c r="H128" s="50">
        <f t="shared" si="145"/>
        <v>8.8</v>
      </c>
      <c r="I128" s="50">
        <f t="shared" si="145"/>
        <v>5</v>
      </c>
      <c r="J128" s="50">
        <f t="shared" si="145"/>
        <v>0</v>
      </c>
      <c r="K128" s="50">
        <f t="shared" si="145"/>
        <v>0</v>
      </c>
      <c r="L128" s="50">
        <f t="shared" si="145"/>
        <v>0</v>
      </c>
      <c r="M128" s="50">
        <f t="shared" si="145"/>
        <v>0</v>
      </c>
      <c r="O128" s="51">
        <v>0.0</v>
      </c>
      <c r="P128" s="51">
        <v>0.0</v>
      </c>
      <c r="Q128" s="51">
        <v>0.0</v>
      </c>
      <c r="R128" s="51">
        <v>0.0</v>
      </c>
      <c r="S128" s="51">
        <v>0.0</v>
      </c>
      <c r="T128" s="51">
        <v>0.0</v>
      </c>
      <c r="U128" s="51">
        <v>0.0</v>
      </c>
      <c r="V128" s="51">
        <v>0.0</v>
      </c>
      <c r="W128" s="51">
        <v>0.0</v>
      </c>
      <c r="X128" s="51">
        <v>0.0</v>
      </c>
      <c r="Y128" s="51">
        <v>0.0</v>
      </c>
      <c r="Z128" s="51">
        <v>0.0</v>
      </c>
      <c r="AA128" s="51">
        <v>0.0</v>
      </c>
      <c r="AB128" s="51">
        <v>0.0</v>
      </c>
      <c r="AC128" s="51">
        <v>0.0</v>
      </c>
      <c r="AD128" s="51">
        <v>0.0</v>
      </c>
      <c r="AE128" s="51">
        <v>0.0</v>
      </c>
      <c r="AF128" s="51">
        <v>0.0</v>
      </c>
      <c r="AG128" s="51">
        <v>0.0</v>
      </c>
      <c r="AH128" s="51">
        <v>0.0</v>
      </c>
      <c r="AI128" s="51">
        <v>0.0</v>
      </c>
      <c r="AJ128" s="51">
        <v>0.0</v>
      </c>
      <c r="AK128" s="51">
        <v>0.0</v>
      </c>
      <c r="AL128" s="51">
        <v>0.0</v>
      </c>
      <c r="AM128" s="51">
        <v>0.0</v>
      </c>
      <c r="AN128" s="51">
        <v>0.0</v>
      </c>
      <c r="AO128" s="51">
        <v>0.0</v>
      </c>
      <c r="AP128" s="51">
        <v>0.0</v>
      </c>
      <c r="AQ128" s="51">
        <v>0.0</v>
      </c>
      <c r="AR128" s="51">
        <v>0.0</v>
      </c>
      <c r="AS128" s="51">
        <v>0.0</v>
      </c>
      <c r="AT128" s="51">
        <v>0.0</v>
      </c>
      <c r="AU128" s="51">
        <v>0.0</v>
      </c>
      <c r="AV128" s="51">
        <v>4.4</v>
      </c>
      <c r="AW128" s="51">
        <v>1.1</v>
      </c>
      <c r="AX128" s="51">
        <v>0.0</v>
      </c>
      <c r="AY128" s="51">
        <v>0.0</v>
      </c>
      <c r="AZ128" s="51">
        <v>0.0</v>
      </c>
      <c r="BA128" s="51">
        <v>0.0</v>
      </c>
      <c r="BB128" s="51">
        <v>0.0</v>
      </c>
      <c r="BC128" s="51">
        <v>0.0</v>
      </c>
      <c r="BD128" s="51">
        <v>0.0</v>
      </c>
      <c r="BE128" s="51">
        <v>7.48</v>
      </c>
      <c r="BF128" s="51">
        <v>1.32</v>
      </c>
      <c r="BG128" s="51">
        <v>0.0</v>
      </c>
      <c r="BH128" s="51">
        <v>0.0</v>
      </c>
      <c r="BI128" s="51">
        <v>0.0</v>
      </c>
      <c r="BJ128" s="51">
        <v>0.0</v>
      </c>
      <c r="BK128" s="51">
        <v>0.0</v>
      </c>
      <c r="BL128" s="51">
        <v>0.0</v>
      </c>
      <c r="BM128" s="51">
        <v>0.0</v>
      </c>
      <c r="BN128" s="51">
        <v>0.5555555555555556</v>
      </c>
      <c r="BO128" s="51">
        <v>0.5555555555555556</v>
      </c>
      <c r="BP128" s="51">
        <v>0.5555555555555556</v>
      </c>
      <c r="BQ128" s="51">
        <v>0.5555555555555556</v>
      </c>
      <c r="BR128" s="51">
        <v>0.5555555555555556</v>
      </c>
      <c r="BS128" s="51">
        <v>0.5555555555555556</v>
      </c>
      <c r="BT128" s="51">
        <v>0.5555555555555556</v>
      </c>
      <c r="BU128" s="51">
        <v>0.5555555555555555</v>
      </c>
      <c r="BV128" s="51">
        <v>0.5555555555555557</v>
      </c>
      <c r="BW128" s="106"/>
      <c r="BX128" s="106"/>
      <c r="BY128" s="106"/>
      <c r="BZ128" s="106"/>
      <c r="CA128" s="106"/>
      <c r="CB128" s="106"/>
      <c r="CC128" s="106"/>
      <c r="CD128" s="106"/>
      <c r="CE128" s="106"/>
      <c r="CF128" s="106"/>
      <c r="CG128" s="106"/>
      <c r="CH128" s="106"/>
      <c r="CI128" s="106"/>
      <c r="CJ128" s="106"/>
      <c r="CK128" s="106"/>
      <c r="CL128" s="106"/>
      <c r="CM128" s="106"/>
      <c r="CN128" s="106"/>
      <c r="CO128" s="106"/>
      <c r="CP128" s="106"/>
      <c r="CQ128" s="106"/>
      <c r="CR128" s="106"/>
      <c r="CS128" s="106"/>
      <c r="CT128" s="106"/>
      <c r="CU128" s="106"/>
      <c r="CV128" s="106"/>
      <c r="CW128" s="106"/>
      <c r="CX128" s="106"/>
      <c r="CY128" s="106"/>
      <c r="CZ128" s="106"/>
      <c r="DA128" s="106"/>
      <c r="DB128" s="106"/>
      <c r="DC128" s="106"/>
      <c r="DD128" s="106"/>
      <c r="DE128" s="106"/>
      <c r="DF128" s="106"/>
      <c r="DG128" s="106"/>
      <c r="DH128" s="106"/>
      <c r="DI128" s="106"/>
      <c r="DJ128" s="106"/>
      <c r="DK128" s="106"/>
      <c r="DL128" s="106"/>
      <c r="DM128" s="106"/>
      <c r="DN128" s="106"/>
      <c r="DO128" s="106"/>
      <c r="DP128" s="106"/>
      <c r="DQ128" s="106"/>
      <c r="DR128" s="106"/>
      <c r="DT128" s="50">
        <f t="shared" ref="DT128:DW128" si="146">+F128-E128</f>
        <v>0</v>
      </c>
      <c r="DU128" s="50">
        <f t="shared" si="146"/>
        <v>5.5</v>
      </c>
      <c r="DV128" s="50">
        <f t="shared" si="146"/>
        <v>3.3</v>
      </c>
      <c r="DW128" s="50">
        <f t="shared" si="146"/>
        <v>-3.8</v>
      </c>
    </row>
    <row r="129" ht="15.75" hidden="1" customHeight="1" outlineLevel="1">
      <c r="B129" s="5" t="s">
        <v>71</v>
      </c>
      <c r="C129" s="72" t="s">
        <v>70</v>
      </c>
      <c r="E129" s="50">
        <f t="shared" ref="E129:M129" si="147">+SUMIFS($O129:$DR129,$O$7:$DR$7,E$7)</f>
        <v>0</v>
      </c>
      <c r="F129" s="50">
        <f t="shared" si="147"/>
        <v>0</v>
      </c>
      <c r="G129" s="50">
        <f t="shared" si="147"/>
        <v>0</v>
      </c>
      <c r="H129" s="50">
        <f t="shared" si="147"/>
        <v>75.85</v>
      </c>
      <c r="I129" s="50">
        <f t="shared" si="147"/>
        <v>40</v>
      </c>
      <c r="J129" s="50">
        <f t="shared" si="147"/>
        <v>0</v>
      </c>
      <c r="K129" s="50">
        <f t="shared" si="147"/>
        <v>0</v>
      </c>
      <c r="L129" s="50">
        <f t="shared" si="147"/>
        <v>0</v>
      </c>
      <c r="M129" s="50">
        <f t="shared" si="147"/>
        <v>0</v>
      </c>
      <c r="O129" s="51">
        <v>0.0</v>
      </c>
      <c r="P129" s="51">
        <v>0.0</v>
      </c>
      <c r="Q129" s="51">
        <v>0.0</v>
      </c>
      <c r="R129" s="51">
        <v>0.0</v>
      </c>
      <c r="S129" s="51">
        <v>0.0</v>
      </c>
      <c r="T129" s="51">
        <v>0.0</v>
      </c>
      <c r="U129" s="51">
        <v>0.0</v>
      </c>
      <c r="V129" s="51">
        <v>0.0</v>
      </c>
      <c r="W129" s="51">
        <v>0.0</v>
      </c>
      <c r="X129" s="51">
        <v>0.0</v>
      </c>
      <c r="Y129" s="51">
        <v>0.0</v>
      </c>
      <c r="Z129" s="51">
        <v>0.0</v>
      </c>
      <c r="AA129" s="51">
        <v>0.0</v>
      </c>
      <c r="AB129" s="51">
        <v>0.0</v>
      </c>
      <c r="AC129" s="51">
        <v>0.0</v>
      </c>
      <c r="AD129" s="51">
        <v>0.0</v>
      </c>
      <c r="AE129" s="51">
        <v>0.0</v>
      </c>
      <c r="AF129" s="51">
        <v>0.0</v>
      </c>
      <c r="AG129" s="51">
        <v>0.0</v>
      </c>
      <c r="AH129" s="51">
        <v>0.0</v>
      </c>
      <c r="AI129" s="51">
        <v>0.0</v>
      </c>
      <c r="AJ129" s="51">
        <v>0.0</v>
      </c>
      <c r="AK129" s="51">
        <v>0.0</v>
      </c>
      <c r="AL129" s="51">
        <v>0.0</v>
      </c>
      <c r="AM129" s="51">
        <v>0.0</v>
      </c>
      <c r="AN129" s="51">
        <v>0.0</v>
      </c>
      <c r="AO129" s="51">
        <v>0.0</v>
      </c>
      <c r="AP129" s="51">
        <v>0.0</v>
      </c>
      <c r="AQ129" s="51">
        <v>0.0</v>
      </c>
      <c r="AR129" s="51">
        <v>0.0</v>
      </c>
      <c r="AS129" s="51">
        <v>0.0</v>
      </c>
      <c r="AT129" s="51">
        <v>0.0</v>
      </c>
      <c r="AU129" s="51">
        <v>0.0</v>
      </c>
      <c r="AV129" s="51">
        <v>0.0</v>
      </c>
      <c r="AW129" s="51">
        <v>0.0</v>
      </c>
      <c r="AX129" s="51">
        <v>0.0</v>
      </c>
      <c r="AY129" s="51">
        <v>0.0</v>
      </c>
      <c r="AZ129" s="51">
        <v>0.0</v>
      </c>
      <c r="BA129" s="51">
        <v>0.0</v>
      </c>
      <c r="BB129" s="51">
        <v>0.0</v>
      </c>
      <c r="BC129" s="51">
        <v>0.0</v>
      </c>
      <c r="BD129" s="51">
        <v>9.345</v>
      </c>
      <c r="BE129" s="51">
        <v>8.593</v>
      </c>
      <c r="BF129" s="51">
        <v>4.742</v>
      </c>
      <c r="BG129" s="51">
        <v>0.0</v>
      </c>
      <c r="BH129" s="51">
        <v>7.65</v>
      </c>
      <c r="BI129" s="51">
        <v>30.33</v>
      </c>
      <c r="BJ129" s="51">
        <v>15.19</v>
      </c>
      <c r="BK129" s="51">
        <v>19.09</v>
      </c>
      <c r="BL129" s="51">
        <v>0.0</v>
      </c>
      <c r="BM129" s="51">
        <v>7.11</v>
      </c>
      <c r="BN129" s="51">
        <v>1.5333333333333332</v>
      </c>
      <c r="BO129" s="51">
        <v>1.5333333333333334</v>
      </c>
      <c r="BP129" s="51">
        <v>1.5333333333333337</v>
      </c>
      <c r="BQ129" s="51">
        <v>1.5333333333333339</v>
      </c>
      <c r="BR129" s="51">
        <v>1.5333333333333343</v>
      </c>
      <c r="BS129" s="51">
        <v>1.5333333333333339</v>
      </c>
      <c r="BT129" s="51">
        <v>1.5333333333333332</v>
      </c>
      <c r="BU129" s="51">
        <v>1.533333333333332</v>
      </c>
      <c r="BV129" s="51">
        <v>1.5333333333333286</v>
      </c>
      <c r="BW129" s="106"/>
      <c r="BX129" s="106"/>
      <c r="BY129" s="106"/>
      <c r="BZ129" s="106"/>
      <c r="CA129" s="106"/>
      <c r="CB129" s="106"/>
      <c r="CC129" s="106"/>
      <c r="CD129" s="106"/>
      <c r="CE129" s="106"/>
      <c r="CF129" s="106"/>
      <c r="CG129" s="106"/>
      <c r="CH129" s="106"/>
      <c r="CI129" s="106"/>
      <c r="CJ129" s="106"/>
      <c r="CK129" s="106"/>
      <c r="CL129" s="106"/>
      <c r="CM129" s="106"/>
      <c r="CN129" s="106"/>
      <c r="CO129" s="106"/>
      <c r="CP129" s="106"/>
      <c r="CQ129" s="106"/>
      <c r="CR129" s="106"/>
      <c r="CS129" s="106"/>
      <c r="CT129" s="106"/>
      <c r="CU129" s="106"/>
      <c r="CV129" s="106"/>
      <c r="CW129" s="106"/>
      <c r="CX129" s="106"/>
      <c r="CY129" s="106"/>
      <c r="CZ129" s="106"/>
      <c r="DA129" s="106"/>
      <c r="DB129" s="106"/>
      <c r="DC129" s="106"/>
      <c r="DD129" s="106"/>
      <c r="DE129" s="106"/>
      <c r="DF129" s="106"/>
      <c r="DG129" s="106"/>
      <c r="DH129" s="106"/>
      <c r="DI129" s="106"/>
      <c r="DJ129" s="106"/>
      <c r="DK129" s="106"/>
      <c r="DL129" s="106"/>
      <c r="DM129" s="106"/>
      <c r="DN129" s="106"/>
      <c r="DO129" s="106"/>
      <c r="DP129" s="106"/>
      <c r="DQ129" s="106"/>
      <c r="DR129" s="106"/>
      <c r="DT129" s="50">
        <f t="shared" ref="DT129:DW129" si="148">+F129-E129</f>
        <v>0</v>
      </c>
      <c r="DU129" s="50">
        <f t="shared" si="148"/>
        <v>0</v>
      </c>
      <c r="DV129" s="50">
        <f t="shared" si="148"/>
        <v>75.85</v>
      </c>
      <c r="DW129" s="50">
        <f t="shared" si="148"/>
        <v>-35.85</v>
      </c>
    </row>
    <row r="130" ht="15.75" hidden="1" customHeight="1" outlineLevel="1">
      <c r="B130" s="5" t="s">
        <v>72</v>
      </c>
      <c r="C130" s="72" t="s">
        <v>70</v>
      </c>
      <c r="E130" s="50">
        <f t="shared" ref="E130:M130" si="149">+SUMIFS($O130:$DR130,$O$7:$DR$7,E$7)</f>
        <v>0</v>
      </c>
      <c r="F130" s="50">
        <f t="shared" si="149"/>
        <v>0</v>
      </c>
      <c r="G130" s="50">
        <f t="shared" si="149"/>
        <v>0</v>
      </c>
      <c r="H130" s="50">
        <f t="shared" si="149"/>
        <v>0</v>
      </c>
      <c r="I130" s="50">
        <f t="shared" si="149"/>
        <v>40</v>
      </c>
      <c r="J130" s="50">
        <f t="shared" si="149"/>
        <v>0</v>
      </c>
      <c r="K130" s="50">
        <f t="shared" si="149"/>
        <v>0</v>
      </c>
      <c r="L130" s="50">
        <f t="shared" si="149"/>
        <v>0</v>
      </c>
      <c r="M130" s="50">
        <f t="shared" si="149"/>
        <v>0</v>
      </c>
      <c r="O130" s="51">
        <v>0.0</v>
      </c>
      <c r="P130" s="51">
        <v>0.0</v>
      </c>
      <c r="Q130" s="51">
        <v>0.0</v>
      </c>
      <c r="R130" s="51">
        <v>0.0</v>
      </c>
      <c r="S130" s="51">
        <v>0.0</v>
      </c>
      <c r="T130" s="51">
        <v>0.0</v>
      </c>
      <c r="U130" s="51">
        <v>0.0</v>
      </c>
      <c r="V130" s="51">
        <v>0.0</v>
      </c>
      <c r="W130" s="51">
        <v>0.0</v>
      </c>
      <c r="X130" s="51">
        <v>0.0</v>
      </c>
      <c r="Y130" s="51">
        <v>0.0</v>
      </c>
      <c r="Z130" s="51">
        <v>0.0</v>
      </c>
      <c r="AA130" s="51">
        <v>0.0</v>
      </c>
      <c r="AB130" s="51">
        <v>0.0</v>
      </c>
      <c r="AC130" s="51">
        <v>0.0</v>
      </c>
      <c r="AD130" s="51">
        <v>0.0</v>
      </c>
      <c r="AE130" s="51">
        <v>0.0</v>
      </c>
      <c r="AF130" s="51">
        <v>0.0</v>
      </c>
      <c r="AG130" s="51">
        <v>0.0</v>
      </c>
      <c r="AH130" s="51">
        <v>0.0</v>
      </c>
      <c r="AI130" s="51">
        <v>0.0</v>
      </c>
      <c r="AJ130" s="51">
        <v>0.0</v>
      </c>
      <c r="AK130" s="51">
        <v>0.0</v>
      </c>
      <c r="AL130" s="51">
        <v>0.0</v>
      </c>
      <c r="AM130" s="51">
        <v>0.0</v>
      </c>
      <c r="AN130" s="51">
        <v>0.0</v>
      </c>
      <c r="AO130" s="51">
        <v>0.0</v>
      </c>
      <c r="AP130" s="51">
        <v>0.0</v>
      </c>
      <c r="AQ130" s="51">
        <v>0.0</v>
      </c>
      <c r="AR130" s="51">
        <v>0.0</v>
      </c>
      <c r="AS130" s="51">
        <v>0.0</v>
      </c>
      <c r="AT130" s="51">
        <v>0.0</v>
      </c>
      <c r="AU130" s="51">
        <v>0.0</v>
      </c>
      <c r="AV130" s="51">
        <v>0.0</v>
      </c>
      <c r="AW130" s="51">
        <v>0.0</v>
      </c>
      <c r="AX130" s="51">
        <v>0.0</v>
      </c>
      <c r="AY130" s="51">
        <v>0.0</v>
      </c>
      <c r="AZ130" s="51">
        <v>0.0</v>
      </c>
      <c r="BA130" s="51">
        <v>0.0</v>
      </c>
      <c r="BB130" s="51">
        <v>0.0</v>
      </c>
      <c r="BC130" s="51">
        <v>0.0</v>
      </c>
      <c r="BD130" s="51">
        <v>0.0</v>
      </c>
      <c r="BE130" s="51">
        <v>0.0</v>
      </c>
      <c r="BF130" s="51">
        <v>0.0</v>
      </c>
      <c r="BG130" s="51">
        <v>0.0</v>
      </c>
      <c r="BH130" s="51">
        <v>0.0</v>
      </c>
      <c r="BI130" s="51">
        <v>0.0</v>
      </c>
      <c r="BJ130" s="51">
        <v>0.0</v>
      </c>
      <c r="BK130" s="51">
        <v>0.0</v>
      </c>
      <c r="BL130" s="51">
        <v>0.0</v>
      </c>
      <c r="BM130" s="51">
        <v>0.0</v>
      </c>
      <c r="BN130" s="51">
        <v>0.0</v>
      </c>
      <c r="BO130" s="51">
        <v>0.0</v>
      </c>
      <c r="BP130" s="51">
        <v>5.714285714285714</v>
      </c>
      <c r="BQ130" s="51">
        <v>5.7142857142857135</v>
      </c>
      <c r="BR130" s="51">
        <v>5.714285714285714</v>
      </c>
      <c r="BS130" s="51">
        <v>5.714285714285714</v>
      </c>
      <c r="BT130" s="51">
        <v>5.714285714285714</v>
      </c>
      <c r="BU130" s="51">
        <v>5.714285714285715</v>
      </c>
      <c r="BV130" s="51">
        <v>5.714285714285717</v>
      </c>
      <c r="BW130" s="106"/>
      <c r="BX130" s="106"/>
      <c r="BY130" s="106"/>
      <c r="BZ130" s="106"/>
      <c r="CA130" s="106"/>
      <c r="CB130" s="106"/>
      <c r="CC130" s="106"/>
      <c r="CD130" s="106"/>
      <c r="CE130" s="106"/>
      <c r="CF130" s="106"/>
      <c r="CG130" s="106"/>
      <c r="CH130" s="106"/>
      <c r="CI130" s="106"/>
      <c r="CJ130" s="106"/>
      <c r="CK130" s="106"/>
      <c r="CL130" s="106"/>
      <c r="CM130" s="106"/>
      <c r="CN130" s="106"/>
      <c r="CO130" s="106"/>
      <c r="CP130" s="106"/>
      <c r="CQ130" s="106"/>
      <c r="CR130" s="106"/>
      <c r="CS130" s="106"/>
      <c r="CT130" s="106"/>
      <c r="CU130" s="106"/>
      <c r="CV130" s="106"/>
      <c r="CW130" s="106"/>
      <c r="CX130" s="106"/>
      <c r="CY130" s="106"/>
      <c r="CZ130" s="106"/>
      <c r="DA130" s="106"/>
      <c r="DB130" s="106"/>
      <c r="DC130" s="106"/>
      <c r="DD130" s="106"/>
      <c r="DE130" s="106"/>
      <c r="DF130" s="106"/>
      <c r="DG130" s="106"/>
      <c r="DH130" s="106"/>
      <c r="DI130" s="106"/>
      <c r="DJ130" s="106"/>
      <c r="DK130" s="106"/>
      <c r="DL130" s="106"/>
      <c r="DM130" s="106"/>
      <c r="DN130" s="106"/>
      <c r="DO130" s="106"/>
      <c r="DP130" s="106"/>
      <c r="DQ130" s="106"/>
      <c r="DR130" s="106"/>
      <c r="DT130" s="50">
        <f t="shared" ref="DT130:DW130" si="150">+F130-E130</f>
        <v>0</v>
      </c>
      <c r="DU130" s="50">
        <f t="shared" si="150"/>
        <v>0</v>
      </c>
      <c r="DV130" s="50">
        <f t="shared" si="150"/>
        <v>0</v>
      </c>
      <c r="DW130" s="50">
        <f t="shared" si="150"/>
        <v>40</v>
      </c>
    </row>
    <row r="131" ht="15.75" hidden="1" customHeight="1" outlineLevel="1">
      <c r="B131" s="5" t="s">
        <v>73</v>
      </c>
      <c r="C131" s="72" t="s">
        <v>74</v>
      </c>
      <c r="E131" s="50">
        <f t="shared" ref="E131:M131" si="151">+SUMIFS($O131:$DR131,$O$7:$DR$7,E$7)</f>
        <v>0</v>
      </c>
      <c r="F131" s="50">
        <f t="shared" si="151"/>
        <v>0</v>
      </c>
      <c r="G131" s="50">
        <f t="shared" si="151"/>
        <v>39.039</v>
      </c>
      <c r="H131" s="50">
        <f t="shared" si="151"/>
        <v>374.909</v>
      </c>
      <c r="I131" s="50">
        <f t="shared" si="151"/>
        <v>219.7058824</v>
      </c>
      <c r="J131" s="50">
        <f t="shared" si="151"/>
        <v>0</v>
      </c>
      <c r="K131" s="50">
        <f t="shared" si="151"/>
        <v>0</v>
      </c>
      <c r="L131" s="50">
        <f t="shared" si="151"/>
        <v>0</v>
      </c>
      <c r="M131" s="50">
        <f t="shared" si="151"/>
        <v>0</v>
      </c>
      <c r="O131" s="51">
        <v>0.0</v>
      </c>
      <c r="P131" s="51">
        <v>0.0</v>
      </c>
      <c r="Q131" s="51">
        <v>0.0</v>
      </c>
      <c r="R131" s="51">
        <v>0.0</v>
      </c>
      <c r="S131" s="51">
        <v>0.0</v>
      </c>
      <c r="T131" s="51">
        <v>0.0</v>
      </c>
      <c r="U131" s="51">
        <v>0.0</v>
      </c>
      <c r="V131" s="51">
        <v>0.0</v>
      </c>
      <c r="W131" s="51">
        <v>0.0</v>
      </c>
      <c r="X131" s="51">
        <v>0.0</v>
      </c>
      <c r="Y131" s="51">
        <v>0.0</v>
      </c>
      <c r="Z131" s="51">
        <v>0.0</v>
      </c>
      <c r="AA131" s="51">
        <v>0.0</v>
      </c>
      <c r="AB131" s="51">
        <v>0.0</v>
      </c>
      <c r="AC131" s="51">
        <v>0.0</v>
      </c>
      <c r="AD131" s="51">
        <v>0.0</v>
      </c>
      <c r="AE131" s="51">
        <v>0.0</v>
      </c>
      <c r="AF131" s="51">
        <v>0.0</v>
      </c>
      <c r="AG131" s="51">
        <v>0.0</v>
      </c>
      <c r="AH131" s="51">
        <v>0.0</v>
      </c>
      <c r="AI131" s="51">
        <v>0.0</v>
      </c>
      <c r="AJ131" s="51">
        <v>0.0</v>
      </c>
      <c r="AK131" s="51">
        <v>0.0</v>
      </c>
      <c r="AL131" s="51">
        <v>0.0</v>
      </c>
      <c r="AM131" s="51">
        <v>0.0</v>
      </c>
      <c r="AN131" s="51">
        <v>0.0</v>
      </c>
      <c r="AO131" s="51">
        <v>0.0</v>
      </c>
      <c r="AP131" s="51">
        <v>0.0</v>
      </c>
      <c r="AQ131" s="51">
        <v>0.0</v>
      </c>
      <c r="AR131" s="51">
        <v>0.0</v>
      </c>
      <c r="AS131" s="51">
        <v>0.0</v>
      </c>
      <c r="AT131" s="51">
        <v>0.0</v>
      </c>
      <c r="AU131" s="51">
        <v>4.83</v>
      </c>
      <c r="AV131" s="51">
        <v>1.915</v>
      </c>
      <c r="AW131" s="51">
        <v>4.776</v>
      </c>
      <c r="AX131" s="51">
        <v>27.518</v>
      </c>
      <c r="AY131" s="51">
        <v>3.238</v>
      </c>
      <c r="AZ131" s="51">
        <v>11.533</v>
      </c>
      <c r="BA131" s="51">
        <v>102.165</v>
      </c>
      <c r="BB131" s="51">
        <v>94.728</v>
      </c>
      <c r="BC131" s="51">
        <v>47.135</v>
      </c>
      <c r="BD131" s="51">
        <v>43.222</v>
      </c>
      <c r="BE131" s="51">
        <v>20.09</v>
      </c>
      <c r="BF131" s="51">
        <v>6.495</v>
      </c>
      <c r="BG131" s="51">
        <v>6.515</v>
      </c>
      <c r="BH131" s="51">
        <v>26.261</v>
      </c>
      <c r="BI131" s="51">
        <v>7.082</v>
      </c>
      <c r="BJ131" s="51">
        <v>6.445</v>
      </c>
      <c r="BK131" s="51">
        <v>6.648</v>
      </c>
      <c r="BL131" s="51">
        <v>7.694</v>
      </c>
      <c r="BM131" s="51">
        <v>14.08</v>
      </c>
      <c r="BN131" s="51">
        <v>18.12838823529412</v>
      </c>
      <c r="BO131" s="51">
        <v>21.15068676470588</v>
      </c>
      <c r="BP131" s="51">
        <v>24.97221835084034</v>
      </c>
      <c r="BQ131" s="51">
        <v>24.347912892069324</v>
      </c>
      <c r="BR131" s="51">
        <v>23.617475505307247</v>
      </c>
      <c r="BS131" s="51">
        <v>22.73182017385822</v>
      </c>
      <c r="BT131" s="51">
        <v>21.59522916516531</v>
      </c>
      <c r="BU131" s="51">
        <v>17.370075632850355</v>
      </c>
      <c r="BV131" s="51">
        <v>17.370075632850355</v>
      </c>
      <c r="BW131" s="106"/>
      <c r="BX131" s="106"/>
      <c r="BY131" s="106"/>
      <c r="BZ131" s="106"/>
      <c r="CA131" s="106"/>
      <c r="CB131" s="106"/>
      <c r="CC131" s="106"/>
      <c r="CD131" s="106"/>
      <c r="CE131" s="106"/>
      <c r="CF131" s="106"/>
      <c r="CG131" s="106"/>
      <c r="CH131" s="106"/>
      <c r="CI131" s="106"/>
      <c r="CJ131" s="106"/>
      <c r="CK131" s="106"/>
      <c r="CL131" s="106"/>
      <c r="CM131" s="106"/>
      <c r="CN131" s="106"/>
      <c r="CO131" s="106"/>
      <c r="CP131" s="106"/>
      <c r="CQ131" s="106"/>
      <c r="CR131" s="106"/>
      <c r="CS131" s="106"/>
      <c r="CT131" s="106"/>
      <c r="CU131" s="106"/>
      <c r="CV131" s="106"/>
      <c r="CW131" s="106"/>
      <c r="CX131" s="106"/>
      <c r="CY131" s="106"/>
      <c r="CZ131" s="106"/>
      <c r="DA131" s="106"/>
      <c r="DB131" s="106"/>
      <c r="DC131" s="106"/>
      <c r="DD131" s="106"/>
      <c r="DE131" s="106"/>
      <c r="DF131" s="106"/>
      <c r="DG131" s="106"/>
      <c r="DH131" s="106"/>
      <c r="DI131" s="106"/>
      <c r="DJ131" s="106"/>
      <c r="DK131" s="106"/>
      <c r="DL131" s="106"/>
      <c r="DM131" s="106"/>
      <c r="DN131" s="106"/>
      <c r="DO131" s="106"/>
      <c r="DP131" s="106"/>
      <c r="DQ131" s="106"/>
      <c r="DR131" s="106"/>
      <c r="DT131" s="50">
        <f t="shared" ref="DT131:DW131" si="152">+F131-E131</f>
        <v>0</v>
      </c>
      <c r="DU131" s="50">
        <f t="shared" si="152"/>
        <v>39.039</v>
      </c>
      <c r="DV131" s="50">
        <f t="shared" si="152"/>
        <v>335.87</v>
      </c>
      <c r="DW131" s="50">
        <f t="shared" si="152"/>
        <v>-155.2031176</v>
      </c>
    </row>
    <row r="132" ht="15.75" hidden="1" customHeight="1" outlineLevel="1">
      <c r="B132" s="5" t="s">
        <v>75</v>
      </c>
      <c r="C132" s="72" t="s">
        <v>76</v>
      </c>
      <c r="E132" s="50">
        <f t="shared" ref="E132:M132" si="153">+SUMIFS($O132:$DR132,$O$7:$DR$7,E$7)</f>
        <v>176.502</v>
      </c>
      <c r="F132" s="50">
        <f t="shared" si="153"/>
        <v>222.383</v>
      </c>
      <c r="G132" s="50">
        <f t="shared" si="153"/>
        <v>123.762</v>
      </c>
      <c r="H132" s="50">
        <f t="shared" si="153"/>
        <v>461.05</v>
      </c>
      <c r="I132" s="50">
        <f t="shared" si="153"/>
        <v>175</v>
      </c>
      <c r="J132" s="50">
        <f t="shared" si="153"/>
        <v>0</v>
      </c>
      <c r="K132" s="50">
        <f t="shared" si="153"/>
        <v>0</v>
      </c>
      <c r="L132" s="50">
        <f t="shared" si="153"/>
        <v>0</v>
      </c>
      <c r="M132" s="50">
        <f t="shared" si="153"/>
        <v>0</v>
      </c>
      <c r="O132" s="51">
        <v>0.338</v>
      </c>
      <c r="P132" s="51">
        <v>4.918</v>
      </c>
      <c r="Q132" s="51">
        <v>2.624</v>
      </c>
      <c r="R132" s="51">
        <v>6.823</v>
      </c>
      <c r="S132" s="51">
        <v>1.096</v>
      </c>
      <c r="T132" s="51">
        <v>2.762</v>
      </c>
      <c r="U132" s="51">
        <v>20.101</v>
      </c>
      <c r="V132" s="51">
        <v>62.041</v>
      </c>
      <c r="W132" s="51">
        <v>28.793</v>
      </c>
      <c r="X132" s="51">
        <v>25.682</v>
      </c>
      <c r="Y132" s="51">
        <v>17.133</v>
      </c>
      <c r="Z132" s="51">
        <v>4.191</v>
      </c>
      <c r="AA132" s="51">
        <v>0.0</v>
      </c>
      <c r="AB132" s="51">
        <v>0.0</v>
      </c>
      <c r="AC132" s="51">
        <v>0.0</v>
      </c>
      <c r="AD132" s="51">
        <v>13.6</v>
      </c>
      <c r="AE132" s="51">
        <v>1.702</v>
      </c>
      <c r="AF132" s="51">
        <v>18.801</v>
      </c>
      <c r="AG132" s="51">
        <v>109.431</v>
      </c>
      <c r="AH132" s="51">
        <v>27.09</v>
      </c>
      <c r="AI132" s="51">
        <v>31.572</v>
      </c>
      <c r="AJ132" s="51">
        <v>11.418</v>
      </c>
      <c r="AK132" s="51">
        <v>2.45</v>
      </c>
      <c r="AL132" s="51">
        <v>6.319</v>
      </c>
      <c r="AM132" s="51">
        <v>10.028</v>
      </c>
      <c r="AN132" s="51">
        <v>3.997</v>
      </c>
      <c r="AO132" s="51">
        <v>17.425</v>
      </c>
      <c r="AP132" s="51">
        <v>26.763</v>
      </c>
      <c r="AQ132" s="51">
        <v>49.497</v>
      </c>
      <c r="AR132" s="51">
        <v>4.315</v>
      </c>
      <c r="AS132" s="51">
        <v>7.3</v>
      </c>
      <c r="AT132" s="51">
        <v>2.04</v>
      </c>
      <c r="AU132" s="51">
        <v>1.125</v>
      </c>
      <c r="AV132" s="51">
        <v>1.272</v>
      </c>
      <c r="AW132" s="51">
        <v>0.0</v>
      </c>
      <c r="AX132" s="51">
        <v>0.0</v>
      </c>
      <c r="AY132" s="51">
        <v>0.0</v>
      </c>
      <c r="AZ132" s="51">
        <v>0.0</v>
      </c>
      <c r="BA132" s="51">
        <v>11.15</v>
      </c>
      <c r="BB132" s="51">
        <v>21.839</v>
      </c>
      <c r="BC132" s="51">
        <v>19.734</v>
      </c>
      <c r="BD132" s="51">
        <v>26.358</v>
      </c>
      <c r="BE132" s="51">
        <v>80.795</v>
      </c>
      <c r="BF132" s="51">
        <v>89.325</v>
      </c>
      <c r="BG132" s="51">
        <v>84.318</v>
      </c>
      <c r="BH132" s="51">
        <v>71.031</v>
      </c>
      <c r="BI132" s="51">
        <v>47.879</v>
      </c>
      <c r="BJ132" s="51">
        <v>8.621</v>
      </c>
      <c r="BK132" s="51">
        <v>0.787</v>
      </c>
      <c r="BL132" s="51">
        <v>27.032</v>
      </c>
      <c r="BM132" s="51">
        <v>14.856</v>
      </c>
      <c r="BN132" s="51">
        <v>17.64333333333333</v>
      </c>
      <c r="BO132" s="51">
        <v>17.91901041666667</v>
      </c>
      <c r="BP132" s="51">
        <v>16.58788392857143</v>
      </c>
      <c r="BQ132" s="51">
        <v>16.034954464285715</v>
      </c>
      <c r="BR132" s="51">
        <v>14.752158107142858</v>
      </c>
      <c r="BS132" s="51">
        <v>14.198952178125001</v>
      </c>
      <c r="BT132" s="51">
        <v>13.489004569218753</v>
      </c>
      <c r="BU132" s="51">
        <v>11.934836651460943</v>
      </c>
      <c r="BV132" s="51">
        <v>9.76486635119532</v>
      </c>
      <c r="BW132" s="106"/>
      <c r="BX132" s="106"/>
      <c r="BY132" s="106"/>
      <c r="BZ132" s="106"/>
      <c r="CA132" s="106"/>
      <c r="CB132" s="106"/>
      <c r="CC132" s="106"/>
      <c r="CD132" s="106"/>
      <c r="CE132" s="106"/>
      <c r="CF132" s="106"/>
      <c r="CG132" s="106"/>
      <c r="CH132" s="106"/>
      <c r="CI132" s="106"/>
      <c r="CJ132" s="106"/>
      <c r="CK132" s="106"/>
      <c r="CL132" s="106"/>
      <c r="CM132" s="106"/>
      <c r="CN132" s="106"/>
      <c r="CO132" s="106"/>
      <c r="CP132" s="106"/>
      <c r="CQ132" s="106"/>
      <c r="CR132" s="106"/>
      <c r="CS132" s="106"/>
      <c r="CT132" s="106"/>
      <c r="CU132" s="106"/>
      <c r="CV132" s="106"/>
      <c r="CW132" s="106"/>
      <c r="CX132" s="106"/>
      <c r="CY132" s="106"/>
      <c r="CZ132" s="106"/>
      <c r="DA132" s="106"/>
      <c r="DB132" s="106"/>
      <c r="DC132" s="106"/>
      <c r="DD132" s="106"/>
      <c r="DE132" s="106"/>
      <c r="DF132" s="106"/>
      <c r="DG132" s="106"/>
      <c r="DH132" s="106"/>
      <c r="DI132" s="106"/>
      <c r="DJ132" s="106"/>
      <c r="DK132" s="106"/>
      <c r="DL132" s="106"/>
      <c r="DM132" s="106"/>
      <c r="DN132" s="106"/>
      <c r="DO132" s="106"/>
      <c r="DP132" s="106"/>
      <c r="DQ132" s="106"/>
      <c r="DR132" s="106"/>
      <c r="DT132" s="50">
        <f t="shared" ref="DT132:DW132" si="154">+F132-E132</f>
        <v>45.881</v>
      </c>
      <c r="DU132" s="50">
        <f t="shared" si="154"/>
        <v>-98.621</v>
      </c>
      <c r="DV132" s="50">
        <f t="shared" si="154"/>
        <v>337.288</v>
      </c>
      <c r="DW132" s="50">
        <f t="shared" si="154"/>
        <v>-286.05</v>
      </c>
    </row>
    <row r="133" ht="15.75" hidden="1" customHeight="1" outlineLevel="1">
      <c r="B133" s="5" t="s">
        <v>77</v>
      </c>
      <c r="C133" s="72" t="s">
        <v>70</v>
      </c>
      <c r="E133" s="50">
        <f t="shared" ref="E133:M133" si="155">+SUMIFS($O133:$DR133,$O$7:$DR$7,E$7)</f>
        <v>0</v>
      </c>
      <c r="F133" s="50">
        <f t="shared" si="155"/>
        <v>0</v>
      </c>
      <c r="G133" s="50">
        <f t="shared" si="155"/>
        <v>0</v>
      </c>
      <c r="H133" s="50">
        <f t="shared" si="155"/>
        <v>24.6</v>
      </c>
      <c r="I133" s="50">
        <f t="shared" si="155"/>
        <v>65</v>
      </c>
      <c r="J133" s="50">
        <f t="shared" si="155"/>
        <v>0</v>
      </c>
      <c r="K133" s="50">
        <f t="shared" si="155"/>
        <v>0</v>
      </c>
      <c r="L133" s="50">
        <f t="shared" si="155"/>
        <v>0</v>
      </c>
      <c r="M133" s="50">
        <f t="shared" si="155"/>
        <v>0</v>
      </c>
      <c r="O133" s="51">
        <v>0.0</v>
      </c>
      <c r="P133" s="51">
        <v>0.0</v>
      </c>
      <c r="Q133" s="51">
        <v>0.0</v>
      </c>
      <c r="R133" s="51">
        <v>0.0</v>
      </c>
      <c r="S133" s="51">
        <v>0.0</v>
      </c>
      <c r="T133" s="51">
        <v>0.0</v>
      </c>
      <c r="U133" s="51">
        <v>0.0</v>
      </c>
      <c r="V133" s="51">
        <v>0.0</v>
      </c>
      <c r="W133" s="51">
        <v>0.0</v>
      </c>
      <c r="X133" s="51">
        <v>0.0</v>
      </c>
      <c r="Y133" s="51">
        <v>0.0</v>
      </c>
      <c r="Z133" s="51">
        <v>0.0</v>
      </c>
      <c r="AA133" s="51">
        <v>0.0</v>
      </c>
      <c r="AB133" s="51">
        <v>0.0</v>
      </c>
      <c r="AC133" s="51">
        <v>0.0</v>
      </c>
      <c r="AD133" s="51">
        <v>0.0</v>
      </c>
      <c r="AE133" s="51">
        <v>0.0</v>
      </c>
      <c r="AF133" s="51">
        <v>0.0</v>
      </c>
      <c r="AG133" s="51">
        <v>0.0</v>
      </c>
      <c r="AH133" s="51">
        <v>0.0</v>
      </c>
      <c r="AI133" s="51">
        <v>0.0</v>
      </c>
      <c r="AJ133" s="51">
        <v>0.0</v>
      </c>
      <c r="AK133" s="51">
        <v>0.0</v>
      </c>
      <c r="AL133" s="51">
        <v>0.0</v>
      </c>
      <c r="AM133" s="51">
        <v>0.0</v>
      </c>
      <c r="AN133" s="51">
        <v>0.0</v>
      </c>
      <c r="AO133" s="51">
        <v>0.0</v>
      </c>
      <c r="AP133" s="51">
        <v>0.0</v>
      </c>
      <c r="AQ133" s="51">
        <v>0.0</v>
      </c>
      <c r="AR133" s="51">
        <v>0.0</v>
      </c>
      <c r="AS133" s="51">
        <v>0.0</v>
      </c>
      <c r="AT133" s="51">
        <v>0.0</v>
      </c>
      <c r="AU133" s="51">
        <v>0.0</v>
      </c>
      <c r="AV133" s="51">
        <v>0.0</v>
      </c>
      <c r="AW133" s="51">
        <v>0.0</v>
      </c>
      <c r="AX133" s="51">
        <v>0.0</v>
      </c>
      <c r="AY133" s="51">
        <v>0.0</v>
      </c>
      <c r="AZ133" s="51">
        <v>0.0</v>
      </c>
      <c r="BA133" s="51">
        <v>0.0</v>
      </c>
      <c r="BB133" s="51">
        <v>0.0</v>
      </c>
      <c r="BC133" s="51">
        <v>0.0</v>
      </c>
      <c r="BD133" s="51">
        <v>0.0</v>
      </c>
      <c r="BE133" s="51">
        <v>0.0</v>
      </c>
      <c r="BF133" s="51">
        <v>0.85</v>
      </c>
      <c r="BG133" s="51">
        <v>14.45</v>
      </c>
      <c r="BH133" s="51">
        <v>7.6</v>
      </c>
      <c r="BI133" s="51">
        <v>1.7</v>
      </c>
      <c r="BJ133" s="51">
        <v>0.0</v>
      </c>
      <c r="BK133" s="51">
        <v>8.46</v>
      </c>
      <c r="BL133" s="51">
        <v>1.23</v>
      </c>
      <c r="BM133" s="51">
        <v>20.81</v>
      </c>
      <c r="BN133" s="51">
        <v>3.8333333333333335</v>
      </c>
      <c r="BO133" s="51">
        <v>3.833333333333333</v>
      </c>
      <c r="BP133" s="51">
        <v>3.8333333333333326</v>
      </c>
      <c r="BQ133" s="51">
        <v>3.833333333333332</v>
      </c>
      <c r="BR133" s="51">
        <v>3.8333333333333313</v>
      </c>
      <c r="BS133" s="51">
        <v>3.833333333333332</v>
      </c>
      <c r="BT133" s="51">
        <v>3.8333333333333335</v>
      </c>
      <c r="BU133" s="51">
        <v>3.833333333333332</v>
      </c>
      <c r="BV133" s="51">
        <v>3.8333333333333286</v>
      </c>
      <c r="BW133" s="106"/>
      <c r="BX133" s="106"/>
      <c r="BY133" s="106"/>
      <c r="BZ133" s="106"/>
      <c r="CA133" s="106"/>
      <c r="CB133" s="106"/>
      <c r="CC133" s="106"/>
      <c r="CD133" s="106"/>
      <c r="CE133" s="106"/>
      <c r="CF133" s="106"/>
      <c r="CG133" s="106"/>
      <c r="CH133" s="106"/>
      <c r="CI133" s="106"/>
      <c r="CJ133" s="106"/>
      <c r="CK133" s="106"/>
      <c r="CL133" s="106"/>
      <c r="CM133" s="106"/>
      <c r="CN133" s="106"/>
      <c r="CO133" s="106"/>
      <c r="CP133" s="106"/>
      <c r="CQ133" s="106"/>
      <c r="CR133" s="106"/>
      <c r="CS133" s="106"/>
      <c r="CT133" s="106"/>
      <c r="CU133" s="106"/>
      <c r="CV133" s="106"/>
      <c r="CW133" s="106"/>
      <c r="CX133" s="106"/>
      <c r="CY133" s="106"/>
      <c r="CZ133" s="106"/>
      <c r="DA133" s="106"/>
      <c r="DB133" s="106"/>
      <c r="DC133" s="106"/>
      <c r="DD133" s="106"/>
      <c r="DE133" s="106"/>
      <c r="DF133" s="106"/>
      <c r="DG133" s="106"/>
      <c r="DH133" s="106"/>
      <c r="DI133" s="106"/>
      <c r="DJ133" s="106"/>
      <c r="DK133" s="106"/>
      <c r="DL133" s="106"/>
      <c r="DM133" s="106"/>
      <c r="DN133" s="106"/>
      <c r="DO133" s="106"/>
      <c r="DP133" s="106"/>
      <c r="DQ133" s="106"/>
      <c r="DR133" s="106"/>
      <c r="DT133" s="50">
        <f t="shared" ref="DT133:DW133" si="156">+F133-E133</f>
        <v>0</v>
      </c>
      <c r="DU133" s="50">
        <f t="shared" si="156"/>
        <v>0</v>
      </c>
      <c r="DV133" s="50">
        <f t="shared" si="156"/>
        <v>24.6</v>
      </c>
      <c r="DW133" s="50">
        <f t="shared" si="156"/>
        <v>40.4</v>
      </c>
    </row>
    <row r="134" ht="15.75" hidden="1" customHeight="1" outlineLevel="1">
      <c r="B134" s="5" t="s">
        <v>78</v>
      </c>
      <c r="C134" s="72" t="s">
        <v>70</v>
      </c>
      <c r="E134" s="50">
        <f t="shared" ref="E134:M134" si="157">+SUMIFS($O134:$DR134,$O$7:$DR$7,E$7)</f>
        <v>0</v>
      </c>
      <c r="F134" s="50">
        <f t="shared" si="157"/>
        <v>0</v>
      </c>
      <c r="G134" s="50">
        <f t="shared" si="157"/>
        <v>0</v>
      </c>
      <c r="H134" s="50">
        <f t="shared" si="157"/>
        <v>0</v>
      </c>
      <c r="I134" s="50">
        <f t="shared" si="157"/>
        <v>0</v>
      </c>
      <c r="J134" s="50">
        <f t="shared" si="157"/>
        <v>0</v>
      </c>
      <c r="K134" s="50">
        <f t="shared" si="157"/>
        <v>0</v>
      </c>
      <c r="L134" s="50">
        <f t="shared" si="157"/>
        <v>0</v>
      </c>
      <c r="M134" s="50">
        <f t="shared" si="157"/>
        <v>0</v>
      </c>
      <c r="O134" s="51">
        <v>0.0</v>
      </c>
      <c r="P134" s="51">
        <v>0.0</v>
      </c>
      <c r="Q134" s="51">
        <v>0.0</v>
      </c>
      <c r="R134" s="51">
        <v>0.0</v>
      </c>
      <c r="S134" s="51">
        <v>0.0</v>
      </c>
      <c r="T134" s="51">
        <v>0.0</v>
      </c>
      <c r="U134" s="51">
        <v>0.0</v>
      </c>
      <c r="V134" s="51">
        <v>0.0</v>
      </c>
      <c r="W134" s="51">
        <v>0.0</v>
      </c>
      <c r="X134" s="51">
        <v>0.0</v>
      </c>
      <c r="Y134" s="51">
        <v>0.0</v>
      </c>
      <c r="Z134" s="51">
        <v>0.0</v>
      </c>
      <c r="AA134" s="51">
        <v>0.0</v>
      </c>
      <c r="AB134" s="51">
        <v>0.0</v>
      </c>
      <c r="AC134" s="51">
        <v>0.0</v>
      </c>
      <c r="AD134" s="51">
        <v>0.0</v>
      </c>
      <c r="AE134" s="51">
        <v>0.0</v>
      </c>
      <c r="AF134" s="51">
        <v>0.0</v>
      </c>
      <c r="AG134" s="51">
        <v>0.0</v>
      </c>
      <c r="AH134" s="51">
        <v>0.0</v>
      </c>
      <c r="AI134" s="51">
        <v>0.0</v>
      </c>
      <c r="AJ134" s="51">
        <v>0.0</v>
      </c>
      <c r="AK134" s="51">
        <v>0.0</v>
      </c>
      <c r="AL134" s="51">
        <v>0.0</v>
      </c>
      <c r="AM134" s="51">
        <v>0.0</v>
      </c>
      <c r="AN134" s="51">
        <v>0.0</v>
      </c>
      <c r="AO134" s="51">
        <v>0.0</v>
      </c>
      <c r="AP134" s="51">
        <v>0.0</v>
      </c>
      <c r="AQ134" s="51">
        <v>0.0</v>
      </c>
      <c r="AR134" s="51">
        <v>0.0</v>
      </c>
      <c r="AS134" s="51">
        <v>0.0</v>
      </c>
      <c r="AT134" s="51">
        <v>0.0</v>
      </c>
      <c r="AU134" s="51">
        <v>0.0</v>
      </c>
      <c r="AV134" s="51">
        <v>0.0</v>
      </c>
      <c r="AW134" s="51">
        <v>0.0</v>
      </c>
      <c r="AX134" s="51">
        <v>0.0</v>
      </c>
      <c r="AY134" s="51">
        <v>0.0</v>
      </c>
      <c r="AZ134" s="51">
        <v>0.0</v>
      </c>
      <c r="BA134" s="51">
        <v>0.0</v>
      </c>
      <c r="BB134" s="51">
        <v>0.0</v>
      </c>
      <c r="BC134" s="51">
        <v>0.0</v>
      </c>
      <c r="BD134" s="51">
        <v>0.0</v>
      </c>
      <c r="BE134" s="51">
        <v>0.0</v>
      </c>
      <c r="BF134" s="51">
        <v>0.0</v>
      </c>
      <c r="BG134" s="51">
        <v>0.0</v>
      </c>
      <c r="BH134" s="51">
        <v>0.0</v>
      </c>
      <c r="BI134" s="51">
        <v>0.0</v>
      </c>
      <c r="BJ134" s="51">
        <v>0.0</v>
      </c>
      <c r="BK134" s="51">
        <v>0.0</v>
      </c>
      <c r="BL134" s="51">
        <v>0.0</v>
      </c>
      <c r="BM134" s="51">
        <v>0.0</v>
      </c>
      <c r="BN134" s="51">
        <v>0.0</v>
      </c>
      <c r="BO134" s="51">
        <v>0.0</v>
      </c>
      <c r="BP134" s="51">
        <v>0.0</v>
      </c>
      <c r="BQ134" s="51">
        <v>0.0</v>
      </c>
      <c r="BR134" s="51">
        <v>0.0</v>
      </c>
      <c r="BS134" s="51">
        <v>0.0</v>
      </c>
      <c r="BT134" s="51">
        <v>0.0</v>
      </c>
      <c r="BU134" s="51">
        <v>0.0</v>
      </c>
      <c r="BV134" s="51">
        <v>0.0</v>
      </c>
      <c r="BW134" s="106"/>
      <c r="BX134" s="106"/>
      <c r="BY134" s="106"/>
      <c r="BZ134" s="106"/>
      <c r="CA134" s="106"/>
      <c r="CB134" s="106"/>
      <c r="CC134" s="106"/>
      <c r="CD134" s="106"/>
      <c r="CE134" s="106"/>
      <c r="CF134" s="106"/>
      <c r="CG134" s="106"/>
      <c r="CH134" s="106"/>
      <c r="CI134" s="106"/>
      <c r="CJ134" s="106"/>
      <c r="CK134" s="106"/>
      <c r="CL134" s="106"/>
      <c r="CM134" s="106"/>
      <c r="CN134" s="106"/>
      <c r="CO134" s="106"/>
      <c r="CP134" s="106"/>
      <c r="CQ134" s="106"/>
      <c r="CR134" s="106"/>
      <c r="CS134" s="106"/>
      <c r="CT134" s="106"/>
      <c r="CU134" s="106"/>
      <c r="CV134" s="106"/>
      <c r="CW134" s="106"/>
      <c r="CX134" s="106"/>
      <c r="CY134" s="106"/>
      <c r="CZ134" s="106"/>
      <c r="DA134" s="106"/>
      <c r="DB134" s="106"/>
      <c r="DC134" s="106"/>
      <c r="DD134" s="106"/>
      <c r="DE134" s="106"/>
      <c r="DF134" s="106"/>
      <c r="DG134" s="106"/>
      <c r="DH134" s="106"/>
      <c r="DI134" s="106"/>
      <c r="DJ134" s="106"/>
      <c r="DK134" s="106"/>
      <c r="DL134" s="106"/>
      <c r="DM134" s="106"/>
      <c r="DN134" s="106"/>
      <c r="DO134" s="106"/>
      <c r="DP134" s="106"/>
      <c r="DQ134" s="106"/>
      <c r="DR134" s="106"/>
      <c r="DT134" s="50">
        <f t="shared" ref="DT134:DW134" si="158">+F134-E134</f>
        <v>0</v>
      </c>
      <c r="DU134" s="50">
        <f t="shared" si="158"/>
        <v>0</v>
      </c>
      <c r="DV134" s="50">
        <f t="shared" si="158"/>
        <v>0</v>
      </c>
      <c r="DW134" s="50">
        <f t="shared" si="158"/>
        <v>0</v>
      </c>
    </row>
    <row r="135" ht="15.75" hidden="1" customHeight="1" outlineLevel="1">
      <c r="B135" s="5" t="s">
        <v>79</v>
      </c>
      <c r="C135" s="72" t="s">
        <v>76</v>
      </c>
      <c r="E135" s="50">
        <f t="shared" ref="E135:M135" si="159">+SUMIFS($O135:$DR135,$O$7:$DR$7,E$7)</f>
        <v>0</v>
      </c>
      <c r="F135" s="50">
        <f t="shared" si="159"/>
        <v>0</v>
      </c>
      <c r="G135" s="50">
        <f t="shared" si="159"/>
        <v>0</v>
      </c>
      <c r="H135" s="50">
        <f t="shared" si="159"/>
        <v>0</v>
      </c>
      <c r="I135" s="50">
        <f t="shared" si="159"/>
        <v>100</v>
      </c>
      <c r="J135" s="50">
        <f t="shared" si="159"/>
        <v>0</v>
      </c>
      <c r="K135" s="50">
        <f t="shared" si="159"/>
        <v>0</v>
      </c>
      <c r="L135" s="50">
        <f t="shared" si="159"/>
        <v>0</v>
      </c>
      <c r="M135" s="50">
        <f t="shared" si="159"/>
        <v>0</v>
      </c>
      <c r="O135" s="51">
        <v>0.0</v>
      </c>
      <c r="P135" s="51">
        <v>0.0</v>
      </c>
      <c r="Q135" s="51">
        <v>0.0</v>
      </c>
      <c r="R135" s="51">
        <v>0.0</v>
      </c>
      <c r="S135" s="51">
        <v>0.0</v>
      </c>
      <c r="T135" s="51">
        <v>0.0</v>
      </c>
      <c r="U135" s="51">
        <v>0.0</v>
      </c>
      <c r="V135" s="51">
        <v>0.0</v>
      </c>
      <c r="W135" s="51">
        <v>0.0</v>
      </c>
      <c r="X135" s="51">
        <v>0.0</v>
      </c>
      <c r="Y135" s="51">
        <v>0.0</v>
      </c>
      <c r="Z135" s="51">
        <v>0.0</v>
      </c>
      <c r="AA135" s="51">
        <v>0.0</v>
      </c>
      <c r="AB135" s="51">
        <v>0.0</v>
      </c>
      <c r="AC135" s="51">
        <v>0.0</v>
      </c>
      <c r="AD135" s="51">
        <v>0.0</v>
      </c>
      <c r="AE135" s="51">
        <v>0.0</v>
      </c>
      <c r="AF135" s="51">
        <v>0.0</v>
      </c>
      <c r="AG135" s="51">
        <v>0.0</v>
      </c>
      <c r="AH135" s="51">
        <v>0.0</v>
      </c>
      <c r="AI135" s="51">
        <v>0.0</v>
      </c>
      <c r="AJ135" s="51">
        <v>0.0</v>
      </c>
      <c r="AK135" s="51">
        <v>0.0</v>
      </c>
      <c r="AL135" s="51">
        <v>0.0</v>
      </c>
      <c r="AM135" s="51">
        <v>0.0</v>
      </c>
      <c r="AN135" s="51">
        <v>0.0</v>
      </c>
      <c r="AO135" s="51">
        <v>0.0</v>
      </c>
      <c r="AP135" s="51">
        <v>0.0</v>
      </c>
      <c r="AQ135" s="51">
        <v>0.0</v>
      </c>
      <c r="AR135" s="51">
        <v>0.0</v>
      </c>
      <c r="AS135" s="51">
        <v>0.0</v>
      </c>
      <c r="AT135" s="51">
        <v>0.0</v>
      </c>
      <c r="AU135" s="51">
        <v>0.0</v>
      </c>
      <c r="AV135" s="51">
        <v>0.0</v>
      </c>
      <c r="AW135" s="51">
        <v>0.0</v>
      </c>
      <c r="AX135" s="51">
        <v>0.0</v>
      </c>
      <c r="AY135" s="51">
        <v>0.0</v>
      </c>
      <c r="AZ135" s="51">
        <v>0.0</v>
      </c>
      <c r="BA135" s="51">
        <v>0.0</v>
      </c>
      <c r="BB135" s="51">
        <v>0.0</v>
      </c>
      <c r="BC135" s="51">
        <v>0.0</v>
      </c>
      <c r="BD135" s="51">
        <v>0.0</v>
      </c>
      <c r="BE135" s="51">
        <v>0.0</v>
      </c>
      <c r="BF135" s="51">
        <v>0.0</v>
      </c>
      <c r="BG135" s="51">
        <v>0.0</v>
      </c>
      <c r="BH135" s="51">
        <v>0.0</v>
      </c>
      <c r="BI135" s="51">
        <v>0.0</v>
      </c>
      <c r="BJ135" s="51">
        <v>0.0</v>
      </c>
      <c r="BK135" s="51">
        <v>0.0</v>
      </c>
      <c r="BL135" s="51">
        <v>0.0</v>
      </c>
      <c r="BM135" s="51">
        <v>0.0</v>
      </c>
      <c r="BN135" s="51">
        <v>0.0</v>
      </c>
      <c r="BO135" s="51">
        <v>0.0</v>
      </c>
      <c r="BP135" s="51">
        <v>0.0</v>
      </c>
      <c r="BQ135" s="51">
        <v>8.333333333333334</v>
      </c>
      <c r="BR135" s="51">
        <v>18.333333333333336</v>
      </c>
      <c r="BS135" s="51">
        <v>18.333333333333332</v>
      </c>
      <c r="BT135" s="51">
        <v>20.166666666666668</v>
      </c>
      <c r="BU135" s="51">
        <v>17.416666666666664</v>
      </c>
      <c r="BV135" s="51">
        <v>17.416666666666657</v>
      </c>
      <c r="BW135" s="106"/>
      <c r="BX135" s="106"/>
      <c r="BY135" s="106"/>
      <c r="BZ135" s="106"/>
      <c r="CA135" s="106"/>
      <c r="CB135" s="106"/>
      <c r="CC135" s="106"/>
      <c r="CD135" s="106"/>
      <c r="CE135" s="106"/>
      <c r="CF135" s="106"/>
      <c r="CG135" s="106"/>
      <c r="CH135" s="106"/>
      <c r="CI135" s="106"/>
      <c r="CJ135" s="106"/>
      <c r="CK135" s="106"/>
      <c r="CL135" s="106"/>
      <c r="CM135" s="106"/>
      <c r="CN135" s="106"/>
      <c r="CO135" s="106"/>
      <c r="CP135" s="106"/>
      <c r="CQ135" s="106"/>
      <c r="CR135" s="106"/>
      <c r="CS135" s="106"/>
      <c r="CT135" s="106"/>
      <c r="CU135" s="106"/>
      <c r="CV135" s="106"/>
      <c r="CW135" s="106"/>
      <c r="CX135" s="106"/>
      <c r="CY135" s="106"/>
      <c r="CZ135" s="106"/>
      <c r="DA135" s="106"/>
      <c r="DB135" s="106"/>
      <c r="DC135" s="106"/>
      <c r="DD135" s="106"/>
      <c r="DE135" s="106"/>
      <c r="DF135" s="106"/>
      <c r="DG135" s="106"/>
      <c r="DH135" s="106"/>
      <c r="DI135" s="106"/>
      <c r="DJ135" s="106"/>
      <c r="DK135" s="106"/>
      <c r="DL135" s="106"/>
      <c r="DM135" s="106"/>
      <c r="DN135" s="106"/>
      <c r="DO135" s="106"/>
      <c r="DP135" s="106"/>
      <c r="DQ135" s="106"/>
      <c r="DR135" s="106"/>
      <c r="DT135" s="50">
        <f t="shared" ref="DT135:DW135" si="160">+F135-E135</f>
        <v>0</v>
      </c>
      <c r="DU135" s="50">
        <f t="shared" si="160"/>
        <v>0</v>
      </c>
      <c r="DV135" s="50">
        <f t="shared" si="160"/>
        <v>0</v>
      </c>
      <c r="DW135" s="50">
        <f t="shared" si="160"/>
        <v>100</v>
      </c>
    </row>
    <row r="136" ht="15.75" hidden="1" customHeight="1" outlineLevel="1">
      <c r="B136" s="5" t="s">
        <v>80</v>
      </c>
      <c r="C136" s="72" t="s">
        <v>74</v>
      </c>
      <c r="E136" s="50">
        <f t="shared" ref="E136:M136" si="161">+SUMIFS($O136:$DR136,$O$7:$DR$7,E$7)</f>
        <v>0</v>
      </c>
      <c r="F136" s="50">
        <f t="shared" si="161"/>
        <v>0</v>
      </c>
      <c r="G136" s="50">
        <f t="shared" si="161"/>
        <v>5.7</v>
      </c>
      <c r="H136" s="50">
        <f t="shared" si="161"/>
        <v>73.44</v>
      </c>
      <c r="I136" s="50">
        <f t="shared" si="161"/>
        <v>75</v>
      </c>
      <c r="J136" s="50">
        <f t="shared" si="161"/>
        <v>0</v>
      </c>
      <c r="K136" s="50">
        <f t="shared" si="161"/>
        <v>0</v>
      </c>
      <c r="L136" s="50">
        <f t="shared" si="161"/>
        <v>0</v>
      </c>
      <c r="M136" s="50">
        <f t="shared" si="161"/>
        <v>0</v>
      </c>
      <c r="O136" s="51">
        <v>0.0</v>
      </c>
      <c r="P136" s="51">
        <v>0.0</v>
      </c>
      <c r="Q136" s="51">
        <v>0.0</v>
      </c>
      <c r="R136" s="51">
        <v>0.0</v>
      </c>
      <c r="S136" s="51">
        <v>0.0</v>
      </c>
      <c r="T136" s="51">
        <v>0.0</v>
      </c>
      <c r="U136" s="51">
        <v>0.0</v>
      </c>
      <c r="V136" s="51">
        <v>0.0</v>
      </c>
      <c r="W136" s="51">
        <v>0.0</v>
      </c>
      <c r="X136" s="51">
        <v>0.0</v>
      </c>
      <c r="Y136" s="51">
        <v>0.0</v>
      </c>
      <c r="Z136" s="51">
        <v>0.0</v>
      </c>
      <c r="AA136" s="51">
        <v>0.0</v>
      </c>
      <c r="AB136" s="51">
        <v>0.0</v>
      </c>
      <c r="AC136" s="51">
        <v>0.0</v>
      </c>
      <c r="AD136" s="51">
        <v>0.0</v>
      </c>
      <c r="AE136" s="51">
        <v>0.0</v>
      </c>
      <c r="AF136" s="51">
        <v>0.0</v>
      </c>
      <c r="AG136" s="51">
        <v>0.0</v>
      </c>
      <c r="AH136" s="51">
        <v>0.0</v>
      </c>
      <c r="AI136" s="51">
        <v>0.0</v>
      </c>
      <c r="AJ136" s="51">
        <v>0.0</v>
      </c>
      <c r="AK136" s="51">
        <v>0.0</v>
      </c>
      <c r="AL136" s="51">
        <v>0.0</v>
      </c>
      <c r="AM136" s="51">
        <v>0.0</v>
      </c>
      <c r="AN136" s="51">
        <v>0.0</v>
      </c>
      <c r="AO136" s="51">
        <v>0.0</v>
      </c>
      <c r="AP136" s="51">
        <v>0.0</v>
      </c>
      <c r="AQ136" s="51">
        <v>0.0</v>
      </c>
      <c r="AR136" s="51">
        <v>0.0</v>
      </c>
      <c r="AS136" s="51">
        <v>0.0</v>
      </c>
      <c r="AT136" s="51">
        <v>0.0</v>
      </c>
      <c r="AU136" s="51">
        <v>0.0</v>
      </c>
      <c r="AV136" s="51">
        <v>1.9</v>
      </c>
      <c r="AW136" s="51">
        <v>0.95</v>
      </c>
      <c r="AX136" s="51">
        <v>2.85</v>
      </c>
      <c r="AY136" s="51">
        <v>0.0</v>
      </c>
      <c r="AZ136" s="51">
        <v>10.675</v>
      </c>
      <c r="BA136" s="51">
        <v>16.615</v>
      </c>
      <c r="BB136" s="51">
        <v>3.52</v>
      </c>
      <c r="BC136" s="51">
        <v>6.38</v>
      </c>
      <c r="BD136" s="51">
        <v>13.23</v>
      </c>
      <c r="BE136" s="51">
        <v>10.045</v>
      </c>
      <c r="BF136" s="51">
        <v>1.34</v>
      </c>
      <c r="BG136" s="51">
        <v>0.0</v>
      </c>
      <c r="BH136" s="51">
        <v>8.95</v>
      </c>
      <c r="BI136" s="51">
        <v>2.685</v>
      </c>
      <c r="BJ136" s="51">
        <v>0.0</v>
      </c>
      <c r="BK136" s="51">
        <v>0.0</v>
      </c>
      <c r="BL136" s="51">
        <v>3.3</v>
      </c>
      <c r="BM136" s="51">
        <v>0.4</v>
      </c>
      <c r="BN136" s="51">
        <v>7.9222222222222225</v>
      </c>
      <c r="BO136" s="51">
        <v>7.9222222222222225</v>
      </c>
      <c r="BP136" s="51">
        <v>7.922222222222222</v>
      </c>
      <c r="BQ136" s="51">
        <v>7.922222222222222</v>
      </c>
      <c r="BR136" s="51">
        <v>7.922222222222222</v>
      </c>
      <c r="BS136" s="51">
        <v>7.9222222222222225</v>
      </c>
      <c r="BT136" s="51">
        <v>7.922222222222223</v>
      </c>
      <c r="BU136" s="51">
        <v>7.9222222222222225</v>
      </c>
      <c r="BV136" s="51">
        <v>7.922222222222219</v>
      </c>
      <c r="BW136" s="106"/>
      <c r="BX136" s="106"/>
      <c r="BY136" s="106"/>
      <c r="BZ136" s="106"/>
      <c r="CA136" s="106"/>
      <c r="CB136" s="106"/>
      <c r="CC136" s="106"/>
      <c r="CD136" s="106"/>
      <c r="CE136" s="106"/>
      <c r="CF136" s="106"/>
      <c r="CG136" s="106"/>
      <c r="CH136" s="106"/>
      <c r="CI136" s="106"/>
      <c r="CJ136" s="106"/>
      <c r="CK136" s="106"/>
      <c r="CL136" s="106"/>
      <c r="CM136" s="106"/>
      <c r="CN136" s="106"/>
      <c r="CO136" s="106"/>
      <c r="CP136" s="106"/>
      <c r="CQ136" s="106"/>
      <c r="CR136" s="106"/>
      <c r="CS136" s="106"/>
      <c r="CT136" s="106"/>
      <c r="CU136" s="106"/>
      <c r="CV136" s="106"/>
      <c r="CW136" s="106"/>
      <c r="CX136" s="106"/>
      <c r="CY136" s="106"/>
      <c r="CZ136" s="106"/>
      <c r="DA136" s="106"/>
      <c r="DB136" s="106"/>
      <c r="DC136" s="106"/>
      <c r="DD136" s="106"/>
      <c r="DE136" s="106"/>
      <c r="DF136" s="106"/>
      <c r="DG136" s="106"/>
      <c r="DH136" s="106"/>
      <c r="DI136" s="106"/>
      <c r="DJ136" s="106"/>
      <c r="DK136" s="106"/>
      <c r="DL136" s="106"/>
      <c r="DM136" s="106"/>
      <c r="DN136" s="106"/>
      <c r="DO136" s="106"/>
      <c r="DP136" s="106"/>
      <c r="DQ136" s="106"/>
      <c r="DR136" s="106"/>
      <c r="DT136" s="50">
        <f t="shared" ref="DT136:DW136" si="162">+F136-E136</f>
        <v>0</v>
      </c>
      <c r="DU136" s="50">
        <f t="shared" si="162"/>
        <v>5.7</v>
      </c>
      <c r="DV136" s="50">
        <f t="shared" si="162"/>
        <v>67.74</v>
      </c>
      <c r="DW136" s="50">
        <f t="shared" si="162"/>
        <v>1.56</v>
      </c>
    </row>
    <row r="137" ht="15.75" hidden="1" customHeight="1" outlineLevel="1">
      <c r="B137" s="5" t="s">
        <v>81</v>
      </c>
      <c r="C137" s="72" t="s">
        <v>82</v>
      </c>
      <c r="E137" s="50">
        <f t="shared" ref="E137:M137" si="163">+SUMIFS($O137:$DR137,$O$7:$DR$7,E$7)</f>
        <v>1985.327</v>
      </c>
      <c r="F137" s="50">
        <f t="shared" si="163"/>
        <v>1997.576</v>
      </c>
      <c r="G137" s="50">
        <f t="shared" si="163"/>
        <v>1745.82</v>
      </c>
      <c r="H137" s="50">
        <f t="shared" si="163"/>
        <v>1811.915</v>
      </c>
      <c r="I137" s="50">
        <f t="shared" si="163"/>
        <v>1844</v>
      </c>
      <c r="J137" s="50">
        <f t="shared" si="163"/>
        <v>0</v>
      </c>
      <c r="K137" s="50">
        <f t="shared" si="163"/>
        <v>0</v>
      </c>
      <c r="L137" s="50">
        <f t="shared" si="163"/>
        <v>0</v>
      </c>
      <c r="M137" s="50">
        <f t="shared" si="163"/>
        <v>0</v>
      </c>
      <c r="O137" s="51">
        <v>113.894</v>
      </c>
      <c r="P137" s="51">
        <v>133.412</v>
      </c>
      <c r="Q137" s="51">
        <v>121.507</v>
      </c>
      <c r="R137" s="51">
        <v>140.542</v>
      </c>
      <c r="S137" s="51">
        <v>185.268</v>
      </c>
      <c r="T137" s="51">
        <v>193.304</v>
      </c>
      <c r="U137" s="51">
        <v>197.47</v>
      </c>
      <c r="V137" s="51">
        <v>196.875</v>
      </c>
      <c r="W137" s="51">
        <v>181.672</v>
      </c>
      <c r="X137" s="51">
        <v>170.909</v>
      </c>
      <c r="Y137" s="51">
        <v>182.677</v>
      </c>
      <c r="Z137" s="51">
        <v>167.797</v>
      </c>
      <c r="AA137" s="51">
        <v>172.142</v>
      </c>
      <c r="AB137" s="51">
        <v>131.78</v>
      </c>
      <c r="AC137" s="51">
        <v>194.192</v>
      </c>
      <c r="AD137" s="51">
        <v>136.503</v>
      </c>
      <c r="AE137" s="51">
        <v>152.135</v>
      </c>
      <c r="AF137" s="51">
        <v>155.664</v>
      </c>
      <c r="AG137" s="51">
        <v>151.005</v>
      </c>
      <c r="AH137" s="51">
        <v>197.002</v>
      </c>
      <c r="AI137" s="51">
        <v>208.296</v>
      </c>
      <c r="AJ137" s="51">
        <v>215.74</v>
      </c>
      <c r="AK137" s="51">
        <v>154.136</v>
      </c>
      <c r="AL137" s="51">
        <v>128.981</v>
      </c>
      <c r="AM137" s="51">
        <v>174.44</v>
      </c>
      <c r="AN137" s="51">
        <v>96.04</v>
      </c>
      <c r="AO137" s="51">
        <v>144.48</v>
      </c>
      <c r="AP137" s="51">
        <v>107.94</v>
      </c>
      <c r="AQ137" s="51">
        <v>105.7</v>
      </c>
      <c r="AR137" s="51">
        <v>140.98</v>
      </c>
      <c r="AS137" s="51">
        <v>172.2</v>
      </c>
      <c r="AT137" s="51">
        <v>177.52</v>
      </c>
      <c r="AU137" s="51">
        <v>182.98</v>
      </c>
      <c r="AV137" s="51">
        <v>162.54</v>
      </c>
      <c r="AW137" s="51">
        <v>122.92</v>
      </c>
      <c r="AX137" s="51">
        <v>158.08</v>
      </c>
      <c r="AY137" s="51">
        <v>150.815</v>
      </c>
      <c r="AZ137" s="51">
        <v>141.205</v>
      </c>
      <c r="BA137" s="51">
        <v>184.76</v>
      </c>
      <c r="BB137" s="51">
        <v>195.415</v>
      </c>
      <c r="BC137" s="51">
        <v>153.995</v>
      </c>
      <c r="BD137" s="51">
        <v>188.041</v>
      </c>
      <c r="BE137" s="51">
        <v>151.255</v>
      </c>
      <c r="BF137" s="51">
        <v>150.76</v>
      </c>
      <c r="BG137" s="51">
        <v>148.179</v>
      </c>
      <c r="BH137" s="51">
        <v>141.795</v>
      </c>
      <c r="BI137" s="51">
        <v>92.845</v>
      </c>
      <c r="BJ137" s="51">
        <v>112.85</v>
      </c>
      <c r="BK137" s="51">
        <v>121.96</v>
      </c>
      <c r="BL137" s="51">
        <v>128.9</v>
      </c>
      <c r="BM137" s="51">
        <v>156.06</v>
      </c>
      <c r="BN137" s="51">
        <v>152.85288888888888</v>
      </c>
      <c r="BO137" s="51">
        <v>160.72630555555557</v>
      </c>
      <c r="BP137" s="51">
        <v>160.79274900793652</v>
      </c>
      <c r="BQ137" s="51">
        <v>176.59158306051586</v>
      </c>
      <c r="BR137" s="51">
        <v>173.03787701314485</v>
      </c>
      <c r="BS137" s="51">
        <v>176.26009648626297</v>
      </c>
      <c r="BT137" s="51">
        <v>167.44709166194988</v>
      </c>
      <c r="BU137" s="51">
        <v>147.99822024147687</v>
      </c>
      <c r="BV137" s="51">
        <v>121.37318808426842</v>
      </c>
      <c r="BW137" s="106"/>
      <c r="BX137" s="106"/>
      <c r="BY137" s="106"/>
      <c r="BZ137" s="106"/>
      <c r="CA137" s="106"/>
      <c r="CB137" s="106"/>
      <c r="CC137" s="106"/>
      <c r="CD137" s="106"/>
      <c r="CE137" s="106"/>
      <c r="CF137" s="106"/>
      <c r="CG137" s="106"/>
      <c r="CH137" s="106"/>
      <c r="CI137" s="106"/>
      <c r="CJ137" s="106"/>
      <c r="CK137" s="106"/>
      <c r="CL137" s="106"/>
      <c r="CM137" s="106"/>
      <c r="CN137" s="106"/>
      <c r="CO137" s="106"/>
      <c r="CP137" s="106"/>
      <c r="CQ137" s="106"/>
      <c r="CR137" s="106"/>
      <c r="CS137" s="106"/>
      <c r="CT137" s="106"/>
      <c r="CU137" s="106"/>
      <c r="CV137" s="106"/>
      <c r="CW137" s="106"/>
      <c r="CX137" s="106"/>
      <c r="CY137" s="106"/>
      <c r="CZ137" s="106"/>
      <c r="DA137" s="106"/>
      <c r="DB137" s="106"/>
      <c r="DC137" s="106"/>
      <c r="DD137" s="106"/>
      <c r="DE137" s="106"/>
      <c r="DF137" s="106"/>
      <c r="DG137" s="106"/>
      <c r="DH137" s="106"/>
      <c r="DI137" s="106"/>
      <c r="DJ137" s="106"/>
      <c r="DK137" s="106"/>
      <c r="DL137" s="106"/>
      <c r="DM137" s="106"/>
      <c r="DN137" s="106"/>
      <c r="DO137" s="106"/>
      <c r="DP137" s="106"/>
      <c r="DQ137" s="106"/>
      <c r="DR137" s="106"/>
      <c r="DT137" s="50">
        <f t="shared" ref="DT137:DW137" si="164">+F137-E137</f>
        <v>12.249</v>
      </c>
      <c r="DU137" s="50">
        <f t="shared" si="164"/>
        <v>-251.756</v>
      </c>
      <c r="DV137" s="50">
        <f t="shared" si="164"/>
        <v>66.095</v>
      </c>
      <c r="DW137" s="50">
        <f t="shared" si="164"/>
        <v>32.085</v>
      </c>
    </row>
    <row r="138" ht="15.75" hidden="1" customHeight="1" outlineLevel="1">
      <c r="B138" s="5" t="s">
        <v>83</v>
      </c>
      <c r="C138" s="72" t="s">
        <v>70</v>
      </c>
      <c r="E138" s="50">
        <f t="shared" ref="E138:M138" si="165">+SUMIFS($O138:$DR138,$O$7:$DR$7,E$7)</f>
        <v>46.98</v>
      </c>
      <c r="F138" s="50">
        <f t="shared" si="165"/>
        <v>61.355</v>
      </c>
      <c r="G138" s="50">
        <f t="shared" si="165"/>
        <v>69.825</v>
      </c>
      <c r="H138" s="50">
        <f t="shared" si="165"/>
        <v>119.455</v>
      </c>
      <c r="I138" s="50">
        <f t="shared" si="165"/>
        <v>135</v>
      </c>
      <c r="J138" s="50">
        <f t="shared" si="165"/>
        <v>0</v>
      </c>
      <c r="K138" s="50">
        <f t="shared" si="165"/>
        <v>0</v>
      </c>
      <c r="L138" s="50">
        <f t="shared" si="165"/>
        <v>0</v>
      </c>
      <c r="M138" s="50">
        <f t="shared" si="165"/>
        <v>0</v>
      </c>
      <c r="O138" s="51">
        <v>0.0</v>
      </c>
      <c r="P138" s="51">
        <v>18.67</v>
      </c>
      <c r="Q138" s="51">
        <v>0.34</v>
      </c>
      <c r="R138" s="51">
        <v>1.221</v>
      </c>
      <c r="S138" s="51">
        <v>4.57</v>
      </c>
      <c r="T138" s="51">
        <v>1.819</v>
      </c>
      <c r="U138" s="51">
        <v>7.038</v>
      </c>
      <c r="V138" s="51">
        <v>0.969</v>
      </c>
      <c r="W138" s="51">
        <v>8.473</v>
      </c>
      <c r="X138" s="51">
        <v>2.425</v>
      </c>
      <c r="Y138" s="51">
        <v>1.455</v>
      </c>
      <c r="Z138" s="51">
        <v>0.0</v>
      </c>
      <c r="AA138" s="51">
        <v>23.513</v>
      </c>
      <c r="AB138" s="51">
        <v>4.437</v>
      </c>
      <c r="AC138" s="51">
        <v>0.8</v>
      </c>
      <c r="AD138" s="51">
        <v>0.0</v>
      </c>
      <c r="AE138" s="51">
        <v>0.738</v>
      </c>
      <c r="AF138" s="51">
        <v>2.042</v>
      </c>
      <c r="AG138" s="51">
        <v>0.695</v>
      </c>
      <c r="AH138" s="51">
        <v>0.0</v>
      </c>
      <c r="AI138" s="51">
        <v>0.0</v>
      </c>
      <c r="AJ138" s="51">
        <v>0.0</v>
      </c>
      <c r="AK138" s="51">
        <v>27.019</v>
      </c>
      <c r="AL138" s="51">
        <v>2.111</v>
      </c>
      <c r="AM138" s="51">
        <v>0.0</v>
      </c>
      <c r="AN138" s="51">
        <v>10.399</v>
      </c>
      <c r="AO138" s="51">
        <v>14.696</v>
      </c>
      <c r="AP138" s="51">
        <v>12.373</v>
      </c>
      <c r="AQ138" s="51">
        <v>11.823</v>
      </c>
      <c r="AR138" s="51">
        <v>9.647</v>
      </c>
      <c r="AS138" s="51">
        <v>0.342</v>
      </c>
      <c r="AT138" s="51">
        <v>0.0</v>
      </c>
      <c r="AU138" s="51">
        <v>0.0</v>
      </c>
      <c r="AV138" s="51">
        <v>0.0</v>
      </c>
      <c r="AW138" s="51">
        <v>4.38</v>
      </c>
      <c r="AX138" s="51">
        <v>6.165</v>
      </c>
      <c r="AY138" s="51">
        <v>5.415</v>
      </c>
      <c r="AZ138" s="51">
        <v>6.453</v>
      </c>
      <c r="BA138" s="51">
        <v>27.265</v>
      </c>
      <c r="BB138" s="51">
        <v>36.112</v>
      </c>
      <c r="BC138" s="51">
        <v>11.06</v>
      </c>
      <c r="BD138" s="51">
        <v>0.0</v>
      </c>
      <c r="BE138" s="51">
        <v>8.03</v>
      </c>
      <c r="BF138" s="51">
        <v>0.0</v>
      </c>
      <c r="BG138" s="51">
        <v>10.8</v>
      </c>
      <c r="BH138" s="51">
        <v>0.88</v>
      </c>
      <c r="BI138" s="51">
        <v>2.85</v>
      </c>
      <c r="BJ138" s="51">
        <v>10.59</v>
      </c>
      <c r="BK138" s="51">
        <v>20.82</v>
      </c>
      <c r="BL138" s="51">
        <v>19.0</v>
      </c>
      <c r="BM138" s="51">
        <v>0.0</v>
      </c>
      <c r="BN138" s="51">
        <v>10.575555555555555</v>
      </c>
      <c r="BO138" s="51">
        <v>10.575555555555555</v>
      </c>
      <c r="BP138" s="51">
        <v>10.575555555555557</v>
      </c>
      <c r="BQ138" s="51">
        <v>10.575555555555555</v>
      </c>
      <c r="BR138" s="51">
        <v>10.575555555555557</v>
      </c>
      <c r="BS138" s="51">
        <v>10.575555555555555</v>
      </c>
      <c r="BT138" s="51">
        <v>10.575555555555553</v>
      </c>
      <c r="BU138" s="51">
        <v>10.575555555555555</v>
      </c>
      <c r="BV138" s="51">
        <v>10.575555555555562</v>
      </c>
      <c r="BW138" s="106"/>
      <c r="BX138" s="106"/>
      <c r="BY138" s="106"/>
      <c r="BZ138" s="106"/>
      <c r="CA138" s="106"/>
      <c r="CB138" s="106"/>
      <c r="CC138" s="106"/>
      <c r="CD138" s="106"/>
      <c r="CE138" s="106"/>
      <c r="CF138" s="106"/>
      <c r="CG138" s="106"/>
      <c r="CH138" s="106"/>
      <c r="CI138" s="106"/>
      <c r="CJ138" s="106"/>
      <c r="CK138" s="106"/>
      <c r="CL138" s="106"/>
      <c r="CM138" s="106"/>
      <c r="CN138" s="106"/>
      <c r="CO138" s="106"/>
      <c r="CP138" s="106"/>
      <c r="CQ138" s="106"/>
      <c r="CR138" s="106"/>
      <c r="CS138" s="106"/>
      <c r="CT138" s="106"/>
      <c r="CU138" s="106"/>
      <c r="CV138" s="106"/>
      <c r="CW138" s="106"/>
      <c r="CX138" s="106"/>
      <c r="CY138" s="106"/>
      <c r="CZ138" s="106"/>
      <c r="DA138" s="106"/>
      <c r="DB138" s="106"/>
      <c r="DC138" s="106"/>
      <c r="DD138" s="106"/>
      <c r="DE138" s="106"/>
      <c r="DF138" s="106"/>
      <c r="DG138" s="106"/>
      <c r="DH138" s="106"/>
      <c r="DI138" s="106"/>
      <c r="DJ138" s="106"/>
      <c r="DK138" s="106"/>
      <c r="DL138" s="106"/>
      <c r="DM138" s="106"/>
      <c r="DN138" s="106"/>
      <c r="DO138" s="106"/>
      <c r="DP138" s="106"/>
      <c r="DQ138" s="106"/>
      <c r="DR138" s="106"/>
      <c r="DT138" s="50">
        <f t="shared" ref="DT138:DW138" si="166">+F138-E138</f>
        <v>14.375</v>
      </c>
      <c r="DU138" s="50">
        <f t="shared" si="166"/>
        <v>8.47</v>
      </c>
      <c r="DV138" s="50">
        <f t="shared" si="166"/>
        <v>49.63</v>
      </c>
      <c r="DW138" s="50">
        <f t="shared" si="166"/>
        <v>15.545</v>
      </c>
    </row>
    <row r="139" ht="15.75" hidden="1" customHeight="1" outlineLevel="1">
      <c r="B139" s="5" t="s">
        <v>84</v>
      </c>
      <c r="C139" s="72" t="s">
        <v>70</v>
      </c>
      <c r="E139" s="50">
        <f t="shared" ref="E139:M139" si="167">+SUMIFS($O139:$DR139,$O$7:$DR$7,E$7)</f>
        <v>0</v>
      </c>
      <c r="F139" s="50">
        <f t="shared" si="167"/>
        <v>42.618</v>
      </c>
      <c r="G139" s="50">
        <f t="shared" si="167"/>
        <v>3.581</v>
      </c>
      <c r="H139" s="50">
        <f t="shared" si="167"/>
        <v>2.46</v>
      </c>
      <c r="I139" s="50">
        <f t="shared" si="167"/>
        <v>2.5</v>
      </c>
      <c r="J139" s="50">
        <f t="shared" si="167"/>
        <v>0</v>
      </c>
      <c r="K139" s="50">
        <f t="shared" si="167"/>
        <v>0</v>
      </c>
      <c r="L139" s="50">
        <f t="shared" si="167"/>
        <v>0</v>
      </c>
      <c r="M139" s="50">
        <f t="shared" si="167"/>
        <v>0</v>
      </c>
      <c r="O139" s="51">
        <v>0.0</v>
      </c>
      <c r="P139" s="51">
        <v>0.0</v>
      </c>
      <c r="Q139" s="51">
        <v>0.0</v>
      </c>
      <c r="R139" s="51">
        <v>0.0</v>
      </c>
      <c r="S139" s="51">
        <v>0.0</v>
      </c>
      <c r="T139" s="51">
        <v>0.0</v>
      </c>
      <c r="U139" s="51">
        <v>0.0</v>
      </c>
      <c r="V139" s="51">
        <v>0.0</v>
      </c>
      <c r="W139" s="51">
        <v>0.0</v>
      </c>
      <c r="X139" s="51">
        <v>0.0</v>
      </c>
      <c r="Y139" s="51">
        <v>0.0</v>
      </c>
      <c r="Z139" s="51">
        <v>0.0</v>
      </c>
      <c r="AA139" s="51">
        <v>0.0</v>
      </c>
      <c r="AB139" s="51">
        <v>0.0</v>
      </c>
      <c r="AC139" s="51">
        <v>0.0</v>
      </c>
      <c r="AD139" s="51">
        <v>0.0</v>
      </c>
      <c r="AE139" s="51">
        <v>0.0</v>
      </c>
      <c r="AF139" s="51">
        <v>0.0</v>
      </c>
      <c r="AG139" s="51">
        <v>0.0</v>
      </c>
      <c r="AH139" s="51">
        <v>0.0</v>
      </c>
      <c r="AI139" s="51">
        <v>3.85</v>
      </c>
      <c r="AJ139" s="51">
        <v>29.259</v>
      </c>
      <c r="AK139" s="51">
        <v>7.545</v>
      </c>
      <c r="AL139" s="51">
        <v>1.964</v>
      </c>
      <c r="AM139" s="51">
        <v>3.581</v>
      </c>
      <c r="AN139" s="51">
        <v>0.0</v>
      </c>
      <c r="AO139" s="51">
        <v>0.0</v>
      </c>
      <c r="AP139" s="51">
        <v>0.0</v>
      </c>
      <c r="AQ139" s="51">
        <v>0.0</v>
      </c>
      <c r="AR139" s="51">
        <v>0.0</v>
      </c>
      <c r="AS139" s="51">
        <v>0.0</v>
      </c>
      <c r="AT139" s="51">
        <v>0.0</v>
      </c>
      <c r="AU139" s="51">
        <v>0.0</v>
      </c>
      <c r="AV139" s="51">
        <v>0.0</v>
      </c>
      <c r="AW139" s="51">
        <v>0.0</v>
      </c>
      <c r="AX139" s="51">
        <v>0.0</v>
      </c>
      <c r="AY139" s="51">
        <v>0.0</v>
      </c>
      <c r="AZ139" s="51">
        <v>0.0</v>
      </c>
      <c r="BA139" s="51">
        <v>0.0</v>
      </c>
      <c r="BB139" s="51">
        <v>0.0</v>
      </c>
      <c r="BC139" s="51">
        <v>1.968</v>
      </c>
      <c r="BD139" s="51">
        <v>0.492</v>
      </c>
      <c r="BE139" s="51">
        <v>0.0</v>
      </c>
      <c r="BF139" s="51">
        <v>0.0</v>
      </c>
      <c r="BG139" s="51">
        <v>0.0</v>
      </c>
      <c r="BH139" s="51">
        <v>0.0</v>
      </c>
      <c r="BI139" s="51">
        <v>0.0</v>
      </c>
      <c r="BJ139" s="51">
        <v>0.0</v>
      </c>
      <c r="BK139" s="51">
        <v>0.0</v>
      </c>
      <c r="BL139" s="51">
        <v>0.0</v>
      </c>
      <c r="BM139" s="51">
        <v>0.0</v>
      </c>
      <c r="BN139" s="51">
        <v>0.2777777777777778</v>
      </c>
      <c r="BO139" s="51">
        <v>0.2777777777777778</v>
      </c>
      <c r="BP139" s="51">
        <v>0.2777777777777778</v>
      </c>
      <c r="BQ139" s="51">
        <v>0.2777777777777778</v>
      </c>
      <c r="BR139" s="51">
        <v>0.2777777777777778</v>
      </c>
      <c r="BS139" s="51">
        <v>0.2777777777777778</v>
      </c>
      <c r="BT139" s="51">
        <v>0.2777777777777778</v>
      </c>
      <c r="BU139" s="51">
        <v>0.27777777777777773</v>
      </c>
      <c r="BV139" s="51">
        <v>0.27777777777777785</v>
      </c>
      <c r="BW139" s="106"/>
      <c r="BX139" s="106"/>
      <c r="BY139" s="106"/>
      <c r="BZ139" s="106"/>
      <c r="CA139" s="106"/>
      <c r="CB139" s="106"/>
      <c r="CC139" s="106"/>
      <c r="CD139" s="106"/>
      <c r="CE139" s="106"/>
      <c r="CF139" s="106"/>
      <c r="CG139" s="106"/>
      <c r="CH139" s="106"/>
      <c r="CI139" s="106"/>
      <c r="CJ139" s="106"/>
      <c r="CK139" s="106"/>
      <c r="CL139" s="106"/>
      <c r="CM139" s="106"/>
      <c r="CN139" s="106"/>
      <c r="CO139" s="106"/>
      <c r="CP139" s="106"/>
      <c r="CQ139" s="106"/>
      <c r="CR139" s="106"/>
      <c r="CS139" s="106"/>
      <c r="CT139" s="106"/>
      <c r="CU139" s="106"/>
      <c r="CV139" s="106"/>
      <c r="CW139" s="106"/>
      <c r="CX139" s="106"/>
      <c r="CY139" s="106"/>
      <c r="CZ139" s="106"/>
      <c r="DA139" s="106"/>
      <c r="DB139" s="106"/>
      <c r="DC139" s="106"/>
      <c r="DD139" s="106"/>
      <c r="DE139" s="106"/>
      <c r="DF139" s="106"/>
      <c r="DG139" s="106"/>
      <c r="DH139" s="106"/>
      <c r="DI139" s="106"/>
      <c r="DJ139" s="106"/>
      <c r="DK139" s="106"/>
      <c r="DL139" s="106"/>
      <c r="DM139" s="106"/>
      <c r="DN139" s="106"/>
      <c r="DO139" s="106"/>
      <c r="DP139" s="106"/>
      <c r="DQ139" s="106"/>
      <c r="DR139" s="106"/>
      <c r="DT139" s="50">
        <f t="shared" ref="DT139:DW139" si="168">+F139-E139</f>
        <v>42.618</v>
      </c>
      <c r="DU139" s="50">
        <f t="shared" si="168"/>
        <v>-39.037</v>
      </c>
      <c r="DV139" s="50">
        <f t="shared" si="168"/>
        <v>-1.121</v>
      </c>
      <c r="DW139" s="50">
        <f t="shared" si="168"/>
        <v>0.04</v>
      </c>
    </row>
    <row r="140" ht="15.75" hidden="1" customHeight="1" outlineLevel="1">
      <c r="B140" s="5" t="s">
        <v>85</v>
      </c>
      <c r="C140" s="72" t="s">
        <v>70</v>
      </c>
      <c r="E140" s="50">
        <f t="shared" ref="E140:M140" si="169">+SUMIFS($O140:$DR140,$O$7:$DR$7,E$7)</f>
        <v>0</v>
      </c>
      <c r="F140" s="50">
        <f t="shared" si="169"/>
        <v>0</v>
      </c>
      <c r="G140" s="50">
        <f t="shared" si="169"/>
        <v>0</v>
      </c>
      <c r="H140" s="50">
        <f t="shared" si="169"/>
        <v>0</v>
      </c>
      <c r="I140" s="50">
        <f t="shared" si="169"/>
        <v>0</v>
      </c>
      <c r="J140" s="50">
        <f t="shared" si="169"/>
        <v>0</v>
      </c>
      <c r="K140" s="50">
        <f t="shared" si="169"/>
        <v>0</v>
      </c>
      <c r="L140" s="50">
        <f t="shared" si="169"/>
        <v>0</v>
      </c>
      <c r="M140" s="50">
        <f t="shared" si="169"/>
        <v>0</v>
      </c>
      <c r="O140" s="51">
        <v>0.0</v>
      </c>
      <c r="P140" s="51">
        <v>0.0</v>
      </c>
      <c r="Q140" s="51">
        <v>0.0</v>
      </c>
      <c r="R140" s="51">
        <v>0.0</v>
      </c>
      <c r="S140" s="51">
        <v>0.0</v>
      </c>
      <c r="T140" s="51">
        <v>0.0</v>
      </c>
      <c r="U140" s="51">
        <v>0.0</v>
      </c>
      <c r="V140" s="51">
        <v>0.0</v>
      </c>
      <c r="W140" s="51">
        <v>0.0</v>
      </c>
      <c r="X140" s="51">
        <v>0.0</v>
      </c>
      <c r="Y140" s="51">
        <v>0.0</v>
      </c>
      <c r="Z140" s="51">
        <v>0.0</v>
      </c>
      <c r="AA140" s="51">
        <v>0.0</v>
      </c>
      <c r="AB140" s="51">
        <v>0.0</v>
      </c>
      <c r="AC140" s="51">
        <v>0.0</v>
      </c>
      <c r="AD140" s="51">
        <v>0.0</v>
      </c>
      <c r="AE140" s="51">
        <v>0.0</v>
      </c>
      <c r="AF140" s="51">
        <v>0.0</v>
      </c>
      <c r="AG140" s="51">
        <v>0.0</v>
      </c>
      <c r="AH140" s="51">
        <v>0.0</v>
      </c>
      <c r="AI140" s="51">
        <v>0.0</v>
      </c>
      <c r="AJ140" s="51">
        <v>0.0</v>
      </c>
      <c r="AK140" s="51">
        <v>0.0</v>
      </c>
      <c r="AL140" s="51">
        <v>0.0</v>
      </c>
      <c r="AM140" s="51">
        <v>0.0</v>
      </c>
      <c r="AN140" s="51">
        <v>0.0</v>
      </c>
      <c r="AO140" s="51">
        <v>0.0</v>
      </c>
      <c r="AP140" s="51">
        <v>0.0</v>
      </c>
      <c r="AQ140" s="51">
        <v>0.0</v>
      </c>
      <c r="AR140" s="51">
        <v>0.0</v>
      </c>
      <c r="AS140" s="51">
        <v>0.0</v>
      </c>
      <c r="AT140" s="51">
        <v>0.0</v>
      </c>
      <c r="AU140" s="51">
        <v>0.0</v>
      </c>
      <c r="AV140" s="51">
        <v>0.0</v>
      </c>
      <c r="AW140" s="51">
        <v>0.0</v>
      </c>
      <c r="AX140" s="51">
        <v>0.0</v>
      </c>
      <c r="AY140" s="51">
        <v>0.0</v>
      </c>
      <c r="AZ140" s="51">
        <v>0.0</v>
      </c>
      <c r="BA140" s="51">
        <v>0.0</v>
      </c>
      <c r="BB140" s="51">
        <v>0.0</v>
      </c>
      <c r="BC140" s="51">
        <v>0.0</v>
      </c>
      <c r="BD140" s="51">
        <v>0.0</v>
      </c>
      <c r="BE140" s="51">
        <v>0.0</v>
      </c>
      <c r="BF140" s="51">
        <v>0.0</v>
      </c>
      <c r="BG140" s="51">
        <v>0.0</v>
      </c>
      <c r="BH140" s="51">
        <v>0.0</v>
      </c>
      <c r="BI140" s="51">
        <v>0.0</v>
      </c>
      <c r="BJ140" s="51">
        <v>0.0</v>
      </c>
      <c r="BK140" s="51">
        <v>0.0</v>
      </c>
      <c r="BL140" s="51">
        <v>0.0</v>
      </c>
      <c r="BM140" s="51">
        <v>0.0</v>
      </c>
      <c r="BN140" s="51">
        <v>0.0</v>
      </c>
      <c r="BO140" s="51">
        <v>0.0</v>
      </c>
      <c r="BP140" s="51">
        <v>0.0</v>
      </c>
      <c r="BQ140" s="51">
        <v>0.0</v>
      </c>
      <c r="BR140" s="51">
        <v>0.0</v>
      </c>
      <c r="BS140" s="51">
        <v>0.0</v>
      </c>
      <c r="BT140" s="51">
        <v>0.0</v>
      </c>
      <c r="BU140" s="51">
        <v>0.0</v>
      </c>
      <c r="BV140" s="51">
        <v>0.0</v>
      </c>
      <c r="BW140" s="106"/>
      <c r="BX140" s="106"/>
      <c r="BY140" s="106"/>
      <c r="BZ140" s="106"/>
      <c r="CA140" s="106"/>
      <c r="CB140" s="106"/>
      <c r="CC140" s="106"/>
      <c r="CD140" s="106"/>
      <c r="CE140" s="106"/>
      <c r="CF140" s="106"/>
      <c r="CG140" s="106"/>
      <c r="CH140" s="106"/>
      <c r="CI140" s="106"/>
      <c r="CJ140" s="106"/>
      <c r="CK140" s="106"/>
      <c r="CL140" s="106"/>
      <c r="CM140" s="106"/>
      <c r="CN140" s="106"/>
      <c r="CO140" s="106"/>
      <c r="CP140" s="106"/>
      <c r="CQ140" s="106"/>
      <c r="CR140" s="106"/>
      <c r="CS140" s="106"/>
      <c r="CT140" s="106"/>
      <c r="CU140" s="106"/>
      <c r="CV140" s="106"/>
      <c r="CW140" s="106"/>
      <c r="CX140" s="106"/>
      <c r="CY140" s="106"/>
      <c r="CZ140" s="106"/>
      <c r="DA140" s="106"/>
      <c r="DB140" s="106"/>
      <c r="DC140" s="106"/>
      <c r="DD140" s="106"/>
      <c r="DE140" s="106"/>
      <c r="DF140" s="106"/>
      <c r="DG140" s="106"/>
      <c r="DH140" s="106"/>
      <c r="DI140" s="106"/>
      <c r="DJ140" s="106"/>
      <c r="DK140" s="106"/>
      <c r="DL140" s="106"/>
      <c r="DM140" s="106"/>
      <c r="DN140" s="106"/>
      <c r="DO140" s="106"/>
      <c r="DP140" s="106"/>
      <c r="DQ140" s="106"/>
      <c r="DR140" s="106"/>
      <c r="DT140" s="50">
        <f t="shared" ref="DT140:DW140" si="170">+F140-E140</f>
        <v>0</v>
      </c>
      <c r="DU140" s="50">
        <f t="shared" si="170"/>
        <v>0</v>
      </c>
      <c r="DV140" s="50">
        <f t="shared" si="170"/>
        <v>0</v>
      </c>
      <c r="DW140" s="50">
        <f t="shared" si="170"/>
        <v>0</v>
      </c>
    </row>
    <row r="141" ht="15.75" hidden="1" customHeight="1" outlineLevel="1">
      <c r="B141" s="5" t="s">
        <v>86</v>
      </c>
      <c r="C141" s="72" t="s">
        <v>70</v>
      </c>
      <c r="E141" s="50">
        <f t="shared" ref="E141:M141" si="171">+SUMIFS($O141:$DR141,$O$7:$DR$7,E$7)</f>
        <v>8.9</v>
      </c>
      <c r="F141" s="50">
        <f t="shared" si="171"/>
        <v>3.8</v>
      </c>
      <c r="G141" s="50">
        <f t="shared" si="171"/>
        <v>0</v>
      </c>
      <c r="H141" s="50">
        <f t="shared" si="171"/>
        <v>9.414</v>
      </c>
      <c r="I141" s="50">
        <f t="shared" si="171"/>
        <v>5</v>
      </c>
      <c r="J141" s="50">
        <f t="shared" si="171"/>
        <v>0</v>
      </c>
      <c r="K141" s="50">
        <f t="shared" si="171"/>
        <v>0</v>
      </c>
      <c r="L141" s="50">
        <f t="shared" si="171"/>
        <v>0</v>
      </c>
      <c r="M141" s="50">
        <f t="shared" si="171"/>
        <v>0</v>
      </c>
      <c r="O141" s="51">
        <v>0.0</v>
      </c>
      <c r="P141" s="51">
        <v>0.0</v>
      </c>
      <c r="Q141" s="51">
        <v>0.0</v>
      </c>
      <c r="R141" s="51">
        <v>0.0</v>
      </c>
      <c r="S141" s="51">
        <v>2.97</v>
      </c>
      <c r="T141" s="51">
        <v>0.33</v>
      </c>
      <c r="U141" s="51">
        <v>1.7</v>
      </c>
      <c r="V141" s="51">
        <v>0.0</v>
      </c>
      <c r="W141" s="51">
        <v>0.0</v>
      </c>
      <c r="X141" s="51">
        <v>3.705</v>
      </c>
      <c r="Y141" s="51">
        <v>0.195</v>
      </c>
      <c r="Z141" s="51">
        <v>0.0</v>
      </c>
      <c r="AA141" s="51">
        <v>0.0</v>
      </c>
      <c r="AB141" s="51">
        <v>0.0</v>
      </c>
      <c r="AC141" s="51">
        <v>3.478</v>
      </c>
      <c r="AD141" s="51">
        <v>0.322</v>
      </c>
      <c r="AE141" s="51">
        <v>0.0</v>
      </c>
      <c r="AF141" s="51">
        <v>0.0</v>
      </c>
      <c r="AG141" s="51">
        <v>0.0</v>
      </c>
      <c r="AH141" s="51">
        <v>0.0</v>
      </c>
      <c r="AI141" s="51">
        <v>0.0</v>
      </c>
      <c r="AJ141" s="51">
        <v>0.0</v>
      </c>
      <c r="AK141" s="51">
        <v>0.0</v>
      </c>
      <c r="AL141" s="51">
        <v>0.0</v>
      </c>
      <c r="AM141" s="51">
        <v>0.0</v>
      </c>
      <c r="AN141" s="51">
        <v>0.0</v>
      </c>
      <c r="AO141" s="51">
        <v>0.0</v>
      </c>
      <c r="AP141" s="51">
        <v>0.0</v>
      </c>
      <c r="AQ141" s="51">
        <v>0.0</v>
      </c>
      <c r="AR141" s="51">
        <v>0.0</v>
      </c>
      <c r="AS141" s="51">
        <v>0.0</v>
      </c>
      <c r="AT141" s="51">
        <v>0.0</v>
      </c>
      <c r="AU141" s="51">
        <v>0.0</v>
      </c>
      <c r="AV141" s="51">
        <v>0.0</v>
      </c>
      <c r="AW141" s="51">
        <v>0.0</v>
      </c>
      <c r="AX141" s="51">
        <v>0.0</v>
      </c>
      <c r="AY141" s="51">
        <v>0.0</v>
      </c>
      <c r="AZ141" s="51">
        <v>0.0</v>
      </c>
      <c r="BA141" s="51">
        <v>0.0</v>
      </c>
      <c r="BB141" s="51">
        <v>0.0</v>
      </c>
      <c r="BC141" s="51">
        <v>3.6</v>
      </c>
      <c r="BD141" s="51">
        <v>0.0</v>
      </c>
      <c r="BE141" s="51">
        <v>0.0</v>
      </c>
      <c r="BF141" s="51">
        <v>0.0</v>
      </c>
      <c r="BG141" s="51">
        <v>0.0</v>
      </c>
      <c r="BH141" s="51">
        <v>0.0</v>
      </c>
      <c r="BI141" s="51">
        <v>0.0</v>
      </c>
      <c r="BJ141" s="51">
        <v>5.814</v>
      </c>
      <c r="BK141" s="51">
        <v>2.565</v>
      </c>
      <c r="BL141" s="51">
        <v>0.081</v>
      </c>
      <c r="BM141" s="51">
        <v>0.0</v>
      </c>
      <c r="BN141" s="51">
        <v>0.26155555555555554</v>
      </c>
      <c r="BO141" s="51">
        <v>0.26155555555555554</v>
      </c>
      <c r="BP141" s="51">
        <v>0.26155555555555554</v>
      </c>
      <c r="BQ141" s="51">
        <v>0.2615555555555555</v>
      </c>
      <c r="BR141" s="51">
        <v>0.2615555555555555</v>
      </c>
      <c r="BS141" s="51">
        <v>0.26155555555555543</v>
      </c>
      <c r="BT141" s="51">
        <v>0.2615555555555554</v>
      </c>
      <c r="BU141" s="51">
        <v>0.2615555555555552</v>
      </c>
      <c r="BV141" s="51">
        <v>0.26155555555555476</v>
      </c>
      <c r="BW141" s="106"/>
      <c r="BX141" s="106"/>
      <c r="BY141" s="106"/>
      <c r="BZ141" s="106"/>
      <c r="CA141" s="106"/>
      <c r="CB141" s="106"/>
      <c r="CC141" s="106"/>
      <c r="CD141" s="106"/>
      <c r="CE141" s="106"/>
      <c r="CF141" s="106"/>
      <c r="CG141" s="106"/>
      <c r="CH141" s="106"/>
      <c r="CI141" s="106"/>
      <c r="CJ141" s="106"/>
      <c r="CK141" s="106"/>
      <c r="CL141" s="106"/>
      <c r="CM141" s="106"/>
      <c r="CN141" s="106"/>
      <c r="CO141" s="106"/>
      <c r="CP141" s="106"/>
      <c r="CQ141" s="106"/>
      <c r="CR141" s="106"/>
      <c r="CS141" s="106"/>
      <c r="CT141" s="106"/>
      <c r="CU141" s="106"/>
      <c r="CV141" s="106"/>
      <c r="CW141" s="106"/>
      <c r="CX141" s="106"/>
      <c r="CY141" s="106"/>
      <c r="CZ141" s="106"/>
      <c r="DA141" s="106"/>
      <c r="DB141" s="106"/>
      <c r="DC141" s="106"/>
      <c r="DD141" s="106"/>
      <c r="DE141" s="106"/>
      <c r="DF141" s="106"/>
      <c r="DG141" s="106"/>
      <c r="DH141" s="106"/>
      <c r="DI141" s="106"/>
      <c r="DJ141" s="106"/>
      <c r="DK141" s="106"/>
      <c r="DL141" s="106"/>
      <c r="DM141" s="106"/>
      <c r="DN141" s="106"/>
      <c r="DO141" s="106"/>
      <c r="DP141" s="106"/>
      <c r="DQ141" s="106"/>
      <c r="DR141" s="106"/>
      <c r="DT141" s="50">
        <f t="shared" ref="DT141:DW141" si="172">+F141-E141</f>
        <v>-5.1</v>
      </c>
      <c r="DU141" s="50">
        <f t="shared" si="172"/>
        <v>-3.8</v>
      </c>
      <c r="DV141" s="50">
        <f t="shared" si="172"/>
        <v>9.414</v>
      </c>
      <c r="DW141" s="50">
        <f t="shared" si="172"/>
        <v>-4.414</v>
      </c>
    </row>
    <row r="142" ht="15.75" hidden="1" customHeight="1" outlineLevel="1">
      <c r="B142" s="5" t="s">
        <v>87</v>
      </c>
      <c r="C142" s="72" t="s">
        <v>74</v>
      </c>
      <c r="E142" s="50">
        <f t="shared" ref="E142:M142" si="173">+SUMIFS($O142:$DR142,$O$7:$DR$7,E$7)</f>
        <v>46.389</v>
      </c>
      <c r="F142" s="50">
        <f t="shared" si="173"/>
        <v>0.875</v>
      </c>
      <c r="G142" s="50">
        <f t="shared" si="173"/>
        <v>90.218</v>
      </c>
      <c r="H142" s="50">
        <f t="shared" si="173"/>
        <v>109.612</v>
      </c>
      <c r="I142" s="50">
        <f t="shared" si="173"/>
        <v>90</v>
      </c>
      <c r="J142" s="50">
        <f t="shared" si="173"/>
        <v>0</v>
      </c>
      <c r="K142" s="50">
        <f t="shared" si="173"/>
        <v>0</v>
      </c>
      <c r="L142" s="50">
        <f t="shared" si="173"/>
        <v>0</v>
      </c>
      <c r="M142" s="50">
        <f t="shared" si="173"/>
        <v>0</v>
      </c>
      <c r="O142" s="51">
        <v>5.014</v>
      </c>
      <c r="P142" s="51">
        <v>6.187</v>
      </c>
      <c r="Q142" s="51">
        <v>0.883</v>
      </c>
      <c r="R142" s="51">
        <v>0.0</v>
      </c>
      <c r="S142" s="51">
        <v>0.0</v>
      </c>
      <c r="T142" s="51">
        <v>0.0</v>
      </c>
      <c r="U142" s="51">
        <v>0.99</v>
      </c>
      <c r="V142" s="51">
        <v>3.25</v>
      </c>
      <c r="W142" s="51">
        <v>6.996</v>
      </c>
      <c r="X142" s="51">
        <v>16.381</v>
      </c>
      <c r="Y142" s="51">
        <v>6.521</v>
      </c>
      <c r="Z142" s="51">
        <v>0.167</v>
      </c>
      <c r="AA142" s="51">
        <v>0.0</v>
      </c>
      <c r="AB142" s="51">
        <v>5.061</v>
      </c>
      <c r="AC142" s="51">
        <v>-5.061</v>
      </c>
      <c r="AD142" s="51">
        <v>0.0</v>
      </c>
      <c r="AE142" s="51">
        <v>0.0</v>
      </c>
      <c r="AF142" s="51">
        <v>0.0</v>
      </c>
      <c r="AG142" s="51">
        <v>0.0</v>
      </c>
      <c r="AH142" s="51">
        <v>0.0</v>
      </c>
      <c r="AI142" s="51">
        <v>0.789</v>
      </c>
      <c r="AJ142" s="51">
        <v>0.044</v>
      </c>
      <c r="AK142" s="51">
        <v>0.042</v>
      </c>
      <c r="AL142" s="51">
        <v>0.0</v>
      </c>
      <c r="AM142" s="51">
        <v>2.139</v>
      </c>
      <c r="AN142" s="51">
        <v>2.512</v>
      </c>
      <c r="AO142" s="51">
        <v>0.599</v>
      </c>
      <c r="AP142" s="51">
        <v>0.0</v>
      </c>
      <c r="AQ142" s="51">
        <v>0.0</v>
      </c>
      <c r="AR142" s="51">
        <v>4.2</v>
      </c>
      <c r="AS142" s="51">
        <v>34.201</v>
      </c>
      <c r="AT142" s="51">
        <v>5.32</v>
      </c>
      <c r="AU142" s="51">
        <v>1.33</v>
      </c>
      <c r="AV142" s="51">
        <v>24.7</v>
      </c>
      <c r="AW142" s="51">
        <v>0.0</v>
      </c>
      <c r="AX142" s="51">
        <v>15.217</v>
      </c>
      <c r="AY142" s="51">
        <v>2.852</v>
      </c>
      <c r="AZ142" s="51">
        <v>13.74</v>
      </c>
      <c r="BA142" s="51">
        <v>10.76</v>
      </c>
      <c r="BB142" s="51">
        <v>8.11</v>
      </c>
      <c r="BC142" s="51">
        <v>19.36</v>
      </c>
      <c r="BD142" s="51">
        <v>3.83</v>
      </c>
      <c r="BE142" s="51">
        <v>8.7</v>
      </c>
      <c r="BF142" s="51">
        <v>3.96</v>
      </c>
      <c r="BG142" s="51">
        <v>18.66</v>
      </c>
      <c r="BH142" s="51">
        <v>9.8</v>
      </c>
      <c r="BI142" s="51">
        <v>8.58</v>
      </c>
      <c r="BJ142" s="51">
        <v>1.26</v>
      </c>
      <c r="BK142" s="51">
        <v>0.0</v>
      </c>
      <c r="BL142" s="51">
        <v>0.0</v>
      </c>
      <c r="BM142" s="51">
        <v>0.0</v>
      </c>
      <c r="BN142" s="51">
        <v>10.0</v>
      </c>
      <c r="BO142" s="51">
        <v>10.0</v>
      </c>
      <c r="BP142" s="51">
        <v>10.0</v>
      </c>
      <c r="BQ142" s="51">
        <v>10.0</v>
      </c>
      <c r="BR142" s="51">
        <v>10.0</v>
      </c>
      <c r="BS142" s="51">
        <v>10.0</v>
      </c>
      <c r="BT142" s="51">
        <v>10.0</v>
      </c>
      <c r="BU142" s="51">
        <v>10.0</v>
      </c>
      <c r="BV142" s="51">
        <v>10.0</v>
      </c>
      <c r="BW142" s="106"/>
      <c r="BX142" s="106"/>
      <c r="BY142" s="106"/>
      <c r="BZ142" s="106"/>
      <c r="CA142" s="106"/>
      <c r="CB142" s="106"/>
      <c r="CC142" s="106"/>
      <c r="CD142" s="106"/>
      <c r="CE142" s="106"/>
      <c r="CF142" s="106"/>
      <c r="CG142" s="106"/>
      <c r="CH142" s="106"/>
      <c r="CI142" s="106"/>
      <c r="CJ142" s="106"/>
      <c r="CK142" s="106"/>
      <c r="CL142" s="106"/>
      <c r="CM142" s="106"/>
      <c r="CN142" s="106"/>
      <c r="CO142" s="106"/>
      <c r="CP142" s="106"/>
      <c r="CQ142" s="106"/>
      <c r="CR142" s="106"/>
      <c r="CS142" s="106"/>
      <c r="CT142" s="106"/>
      <c r="CU142" s="106"/>
      <c r="CV142" s="106"/>
      <c r="CW142" s="106"/>
      <c r="CX142" s="106"/>
      <c r="CY142" s="106"/>
      <c r="CZ142" s="106"/>
      <c r="DA142" s="106"/>
      <c r="DB142" s="106"/>
      <c r="DC142" s="106"/>
      <c r="DD142" s="106"/>
      <c r="DE142" s="106"/>
      <c r="DF142" s="106"/>
      <c r="DG142" s="106"/>
      <c r="DH142" s="106"/>
      <c r="DI142" s="106"/>
      <c r="DJ142" s="106"/>
      <c r="DK142" s="106"/>
      <c r="DL142" s="106"/>
      <c r="DM142" s="106"/>
      <c r="DN142" s="106"/>
      <c r="DO142" s="106"/>
      <c r="DP142" s="106"/>
      <c r="DQ142" s="106"/>
      <c r="DR142" s="106"/>
      <c r="DT142" s="50">
        <f t="shared" ref="DT142:DW142" si="174">+F142-E142</f>
        <v>-45.514</v>
      </c>
      <c r="DU142" s="50">
        <f t="shared" si="174"/>
        <v>89.343</v>
      </c>
      <c r="DV142" s="50">
        <f t="shared" si="174"/>
        <v>19.394</v>
      </c>
      <c r="DW142" s="50">
        <f t="shared" si="174"/>
        <v>-19.612</v>
      </c>
    </row>
    <row r="143" ht="15.75" hidden="1" customHeight="1" outlineLevel="1">
      <c r="B143" s="5" t="s">
        <v>88</v>
      </c>
      <c r="C143" s="72" t="s">
        <v>74</v>
      </c>
      <c r="E143" s="50">
        <f t="shared" ref="E143:M143" si="175">+SUMIFS($O143:$DR143,$O$7:$DR$7,E$7)</f>
        <v>0</v>
      </c>
      <c r="F143" s="50">
        <f t="shared" si="175"/>
        <v>29.615</v>
      </c>
      <c r="G143" s="50">
        <f t="shared" si="175"/>
        <v>92.685</v>
      </c>
      <c r="H143" s="50">
        <f t="shared" si="175"/>
        <v>19.406</v>
      </c>
      <c r="I143" s="50">
        <f t="shared" si="175"/>
        <v>50</v>
      </c>
      <c r="J143" s="50">
        <f t="shared" si="175"/>
        <v>0</v>
      </c>
      <c r="K143" s="50">
        <f t="shared" si="175"/>
        <v>0</v>
      </c>
      <c r="L143" s="50">
        <f t="shared" si="175"/>
        <v>0</v>
      </c>
      <c r="M143" s="50">
        <f t="shared" si="175"/>
        <v>0</v>
      </c>
      <c r="O143" s="51">
        <v>0.0</v>
      </c>
      <c r="P143" s="51">
        <v>0.0</v>
      </c>
      <c r="Q143" s="51">
        <v>0.0</v>
      </c>
      <c r="R143" s="51">
        <v>0.0</v>
      </c>
      <c r="S143" s="51">
        <v>0.0</v>
      </c>
      <c r="T143" s="51">
        <v>0.0</v>
      </c>
      <c r="U143" s="51">
        <v>0.0</v>
      </c>
      <c r="V143" s="51">
        <v>0.0</v>
      </c>
      <c r="W143" s="51">
        <v>0.0</v>
      </c>
      <c r="X143" s="51">
        <v>0.0</v>
      </c>
      <c r="Y143" s="51">
        <v>0.0</v>
      </c>
      <c r="Z143" s="51">
        <v>0.0</v>
      </c>
      <c r="AA143" s="51">
        <v>0.0</v>
      </c>
      <c r="AB143" s="51">
        <v>0.0</v>
      </c>
      <c r="AC143" s="51">
        <v>1.365</v>
      </c>
      <c r="AD143" s="51">
        <v>6.625</v>
      </c>
      <c r="AE143" s="51">
        <v>6.0</v>
      </c>
      <c r="AF143" s="51">
        <v>1.125</v>
      </c>
      <c r="AG143" s="51">
        <v>0.0</v>
      </c>
      <c r="AH143" s="51">
        <v>0.675</v>
      </c>
      <c r="AI143" s="51">
        <v>0.075</v>
      </c>
      <c r="AJ143" s="51">
        <v>0.0</v>
      </c>
      <c r="AK143" s="51">
        <v>0.0</v>
      </c>
      <c r="AL143" s="51">
        <v>13.75</v>
      </c>
      <c r="AM143" s="51">
        <v>1.375</v>
      </c>
      <c r="AN143" s="51">
        <v>4.125</v>
      </c>
      <c r="AO143" s="51">
        <v>5.862</v>
      </c>
      <c r="AP143" s="51">
        <v>11.211</v>
      </c>
      <c r="AQ143" s="51">
        <v>5.083</v>
      </c>
      <c r="AR143" s="51">
        <v>18.119</v>
      </c>
      <c r="AS143" s="51">
        <v>15.809</v>
      </c>
      <c r="AT143" s="51">
        <v>8.386</v>
      </c>
      <c r="AU143" s="51">
        <v>2.736</v>
      </c>
      <c r="AV143" s="51">
        <v>6.965</v>
      </c>
      <c r="AW143" s="51">
        <v>1.044</v>
      </c>
      <c r="AX143" s="51">
        <v>11.97</v>
      </c>
      <c r="AY143" s="51">
        <v>1.33</v>
      </c>
      <c r="AZ143" s="51">
        <v>0.0</v>
      </c>
      <c r="BA143" s="51">
        <v>0.0</v>
      </c>
      <c r="BB143" s="51">
        <v>2.2</v>
      </c>
      <c r="BC143" s="51">
        <v>4.955</v>
      </c>
      <c r="BD143" s="51">
        <v>0.71</v>
      </c>
      <c r="BE143" s="51">
        <v>8.33</v>
      </c>
      <c r="BF143" s="51">
        <v>0.0</v>
      </c>
      <c r="BG143" s="51">
        <v>0.0</v>
      </c>
      <c r="BH143" s="51">
        <v>1.755</v>
      </c>
      <c r="BI143" s="51">
        <v>0.0</v>
      </c>
      <c r="BJ143" s="51">
        <v>0.126</v>
      </c>
      <c r="BK143" s="51">
        <v>13.408</v>
      </c>
      <c r="BL143" s="51">
        <v>0.901</v>
      </c>
      <c r="BM143" s="51">
        <v>7.201</v>
      </c>
      <c r="BN143" s="51">
        <v>3.1655555555555557</v>
      </c>
      <c r="BO143" s="51">
        <v>3.1655555555555557</v>
      </c>
      <c r="BP143" s="51">
        <v>3.1655555555555557</v>
      </c>
      <c r="BQ143" s="51">
        <v>3.165555555555556</v>
      </c>
      <c r="BR143" s="51">
        <v>3.165555555555556</v>
      </c>
      <c r="BS143" s="51">
        <v>3.1655555555555566</v>
      </c>
      <c r="BT143" s="51">
        <v>3.165555555555557</v>
      </c>
      <c r="BU143" s="51">
        <v>3.1655555555555583</v>
      </c>
      <c r="BV143" s="51">
        <v>3.165555555555562</v>
      </c>
      <c r="BW143" s="106"/>
      <c r="BX143" s="106"/>
      <c r="BY143" s="106"/>
      <c r="BZ143" s="106"/>
      <c r="CA143" s="106"/>
      <c r="CB143" s="106"/>
      <c r="CC143" s="106"/>
      <c r="CD143" s="106"/>
      <c r="CE143" s="106"/>
      <c r="CF143" s="106"/>
      <c r="CG143" s="106"/>
      <c r="CH143" s="106"/>
      <c r="CI143" s="106"/>
      <c r="CJ143" s="106"/>
      <c r="CK143" s="106"/>
      <c r="CL143" s="106"/>
      <c r="CM143" s="106"/>
      <c r="CN143" s="106"/>
      <c r="CO143" s="106"/>
      <c r="CP143" s="106"/>
      <c r="CQ143" s="106"/>
      <c r="CR143" s="106"/>
      <c r="CS143" s="106"/>
      <c r="CT143" s="106"/>
      <c r="CU143" s="106"/>
      <c r="CV143" s="106"/>
      <c r="CW143" s="106"/>
      <c r="CX143" s="106"/>
      <c r="CY143" s="106"/>
      <c r="CZ143" s="106"/>
      <c r="DA143" s="106"/>
      <c r="DB143" s="106"/>
      <c r="DC143" s="106"/>
      <c r="DD143" s="106"/>
      <c r="DE143" s="106"/>
      <c r="DF143" s="106"/>
      <c r="DG143" s="106"/>
      <c r="DH143" s="106"/>
      <c r="DI143" s="106"/>
      <c r="DJ143" s="106"/>
      <c r="DK143" s="106"/>
      <c r="DL143" s="106"/>
      <c r="DM143" s="106"/>
      <c r="DN143" s="106"/>
      <c r="DO143" s="106"/>
      <c r="DP143" s="106"/>
      <c r="DQ143" s="106"/>
      <c r="DR143" s="106"/>
      <c r="DT143" s="50">
        <f t="shared" ref="DT143:DW143" si="176">+F143-E143</f>
        <v>29.615</v>
      </c>
      <c r="DU143" s="50">
        <f t="shared" si="176"/>
        <v>63.07</v>
      </c>
      <c r="DV143" s="50">
        <f t="shared" si="176"/>
        <v>-73.279</v>
      </c>
      <c r="DW143" s="50">
        <f t="shared" si="176"/>
        <v>30.594</v>
      </c>
    </row>
    <row r="144" ht="15.75" hidden="1" customHeight="1" outlineLevel="1">
      <c r="B144" s="5" t="s">
        <v>89</v>
      </c>
      <c r="C144" s="72" t="s">
        <v>76</v>
      </c>
      <c r="E144" s="50">
        <f t="shared" ref="E144:M144" si="177">+SUMIFS($O144:$DR144,$O$7:$DR$7,E$7)</f>
        <v>16.841</v>
      </c>
      <c r="F144" s="50">
        <f t="shared" si="177"/>
        <v>0</v>
      </c>
      <c r="G144" s="50">
        <f t="shared" si="177"/>
        <v>0</v>
      </c>
      <c r="H144" s="50">
        <f t="shared" si="177"/>
        <v>34.891</v>
      </c>
      <c r="I144" s="50">
        <f t="shared" si="177"/>
        <v>50</v>
      </c>
      <c r="J144" s="50">
        <f t="shared" si="177"/>
        <v>0</v>
      </c>
      <c r="K144" s="50">
        <f t="shared" si="177"/>
        <v>0</v>
      </c>
      <c r="L144" s="50">
        <f t="shared" si="177"/>
        <v>0</v>
      </c>
      <c r="M144" s="50">
        <f t="shared" si="177"/>
        <v>0</v>
      </c>
      <c r="O144" s="51">
        <v>10.058</v>
      </c>
      <c r="P144" s="51">
        <v>0.738</v>
      </c>
      <c r="Q144" s="51">
        <v>2.306</v>
      </c>
      <c r="R144" s="51">
        <v>0.0</v>
      </c>
      <c r="S144" s="51">
        <v>0.0</v>
      </c>
      <c r="T144" s="51">
        <v>0.0</v>
      </c>
      <c r="U144" s="51">
        <v>6.452</v>
      </c>
      <c r="V144" s="51">
        <v>-6.963</v>
      </c>
      <c r="W144" s="51">
        <v>0.0</v>
      </c>
      <c r="X144" s="51">
        <v>2.126</v>
      </c>
      <c r="Y144" s="51">
        <v>2.124</v>
      </c>
      <c r="Z144" s="51">
        <v>0.0</v>
      </c>
      <c r="AA144" s="51">
        <v>0.0</v>
      </c>
      <c r="AB144" s="51">
        <v>0.0</v>
      </c>
      <c r="AC144" s="51">
        <v>0.0</v>
      </c>
      <c r="AD144" s="51">
        <v>0.0</v>
      </c>
      <c r="AE144" s="51">
        <v>0.0</v>
      </c>
      <c r="AF144" s="51">
        <v>0.0</v>
      </c>
      <c r="AG144" s="51">
        <v>0.0</v>
      </c>
      <c r="AH144" s="51">
        <v>0.0</v>
      </c>
      <c r="AI144" s="51">
        <v>0.0</v>
      </c>
      <c r="AJ144" s="51">
        <v>0.0</v>
      </c>
      <c r="AK144" s="51">
        <v>0.0</v>
      </c>
      <c r="AL144" s="51">
        <v>0.0</v>
      </c>
      <c r="AM144" s="51">
        <v>0.0</v>
      </c>
      <c r="AN144" s="51">
        <v>0.0</v>
      </c>
      <c r="AO144" s="51">
        <v>0.0</v>
      </c>
      <c r="AP144" s="51">
        <v>0.0</v>
      </c>
      <c r="AQ144" s="51">
        <v>0.0</v>
      </c>
      <c r="AR144" s="51">
        <v>0.0</v>
      </c>
      <c r="AS144" s="51">
        <v>0.0</v>
      </c>
      <c r="AT144" s="51">
        <v>0.0</v>
      </c>
      <c r="AU144" s="51">
        <v>0.0</v>
      </c>
      <c r="AV144" s="51">
        <v>0.0</v>
      </c>
      <c r="AW144" s="51">
        <v>0.0</v>
      </c>
      <c r="AX144" s="51">
        <v>0.0</v>
      </c>
      <c r="AY144" s="51">
        <v>0.0</v>
      </c>
      <c r="AZ144" s="51">
        <v>0.0</v>
      </c>
      <c r="BA144" s="51">
        <v>1.801</v>
      </c>
      <c r="BB144" s="51">
        <v>2.0</v>
      </c>
      <c r="BC144" s="51">
        <v>0.0</v>
      </c>
      <c r="BD144" s="51">
        <v>0.199</v>
      </c>
      <c r="BE144" s="51">
        <v>3.661</v>
      </c>
      <c r="BF144" s="51">
        <v>0.139</v>
      </c>
      <c r="BG144" s="51">
        <v>0.0</v>
      </c>
      <c r="BH144" s="51">
        <v>14.481</v>
      </c>
      <c r="BI144" s="51">
        <v>12.61</v>
      </c>
      <c r="BJ144" s="51">
        <v>0.0</v>
      </c>
      <c r="BK144" s="51">
        <v>5.84</v>
      </c>
      <c r="BL144" s="51">
        <v>1.81</v>
      </c>
      <c r="BM144" s="51">
        <v>2.875</v>
      </c>
      <c r="BN144" s="51">
        <v>4.386111111111111</v>
      </c>
      <c r="BO144" s="51">
        <v>4.386111111111111</v>
      </c>
      <c r="BP144" s="51">
        <v>4.386111111111111</v>
      </c>
      <c r="BQ144" s="51">
        <v>4.38611111111111</v>
      </c>
      <c r="BR144" s="51">
        <v>4.386111111111111</v>
      </c>
      <c r="BS144" s="51">
        <v>4.386111111111111</v>
      </c>
      <c r="BT144" s="51">
        <v>4.386111111111112</v>
      </c>
      <c r="BU144" s="51">
        <v>4.386111111111113</v>
      </c>
      <c r="BV144" s="51">
        <v>4.386111111111109</v>
      </c>
      <c r="BW144" s="106"/>
      <c r="BX144" s="106"/>
      <c r="BY144" s="106"/>
      <c r="BZ144" s="106"/>
      <c r="CA144" s="106"/>
      <c r="CB144" s="106"/>
      <c r="CC144" s="106"/>
      <c r="CD144" s="106"/>
      <c r="CE144" s="106"/>
      <c r="CF144" s="106"/>
      <c r="CG144" s="106"/>
      <c r="CH144" s="106"/>
      <c r="CI144" s="106"/>
      <c r="CJ144" s="106"/>
      <c r="CK144" s="106"/>
      <c r="CL144" s="106"/>
      <c r="CM144" s="106"/>
      <c r="CN144" s="106"/>
      <c r="CO144" s="106"/>
      <c r="CP144" s="106"/>
      <c r="CQ144" s="106"/>
      <c r="CR144" s="106"/>
      <c r="CS144" s="106"/>
      <c r="CT144" s="106"/>
      <c r="CU144" s="106"/>
      <c r="CV144" s="106"/>
      <c r="CW144" s="106"/>
      <c r="CX144" s="106"/>
      <c r="CY144" s="106"/>
      <c r="CZ144" s="106"/>
      <c r="DA144" s="106"/>
      <c r="DB144" s="106"/>
      <c r="DC144" s="106"/>
      <c r="DD144" s="106"/>
      <c r="DE144" s="106"/>
      <c r="DF144" s="106"/>
      <c r="DG144" s="106"/>
      <c r="DH144" s="106"/>
      <c r="DI144" s="106"/>
      <c r="DJ144" s="106"/>
      <c r="DK144" s="106"/>
      <c r="DL144" s="106"/>
      <c r="DM144" s="106"/>
      <c r="DN144" s="106"/>
      <c r="DO144" s="106"/>
      <c r="DP144" s="106"/>
      <c r="DQ144" s="106"/>
      <c r="DR144" s="106"/>
      <c r="DT144" s="50">
        <f t="shared" ref="DT144:DW144" si="178">+F144-E144</f>
        <v>-16.841</v>
      </c>
      <c r="DU144" s="50">
        <f t="shared" si="178"/>
        <v>0</v>
      </c>
      <c r="DV144" s="50">
        <f t="shared" si="178"/>
        <v>34.891</v>
      </c>
      <c r="DW144" s="50">
        <f t="shared" si="178"/>
        <v>15.109</v>
      </c>
    </row>
    <row r="145" ht="15.75" hidden="1" customHeight="1" outlineLevel="1">
      <c r="B145" s="5" t="s">
        <v>90</v>
      </c>
      <c r="C145" s="72" t="s">
        <v>74</v>
      </c>
      <c r="E145" s="50">
        <f t="shared" ref="E145:M145" si="179">+SUMIFS($O145:$DR145,$O$7:$DR$7,E$7)</f>
        <v>0</v>
      </c>
      <c r="F145" s="50">
        <f t="shared" si="179"/>
        <v>0</v>
      </c>
      <c r="G145" s="50">
        <f t="shared" si="179"/>
        <v>18.354</v>
      </c>
      <c r="H145" s="50">
        <f t="shared" si="179"/>
        <v>77.873</v>
      </c>
      <c r="I145" s="50">
        <f t="shared" si="179"/>
        <v>75</v>
      </c>
      <c r="J145" s="50">
        <f t="shared" si="179"/>
        <v>0</v>
      </c>
      <c r="K145" s="50">
        <f t="shared" si="179"/>
        <v>0</v>
      </c>
      <c r="L145" s="50">
        <f t="shared" si="179"/>
        <v>0</v>
      </c>
      <c r="M145" s="50">
        <f t="shared" si="179"/>
        <v>0</v>
      </c>
      <c r="O145" s="51">
        <v>0.0</v>
      </c>
      <c r="P145" s="51">
        <v>0.0</v>
      </c>
      <c r="Q145" s="51">
        <v>0.0</v>
      </c>
      <c r="R145" s="51">
        <v>0.0</v>
      </c>
      <c r="S145" s="51">
        <v>0.0</v>
      </c>
      <c r="T145" s="51">
        <v>0.0</v>
      </c>
      <c r="U145" s="51">
        <v>0.0</v>
      </c>
      <c r="V145" s="51">
        <v>0.0</v>
      </c>
      <c r="W145" s="51">
        <v>0.0</v>
      </c>
      <c r="X145" s="51">
        <v>0.0</v>
      </c>
      <c r="Y145" s="51">
        <v>0.0</v>
      </c>
      <c r="Z145" s="51">
        <v>0.0</v>
      </c>
      <c r="AA145" s="51">
        <v>0.0</v>
      </c>
      <c r="AB145" s="51">
        <v>0.0</v>
      </c>
      <c r="AC145" s="51">
        <v>0.0</v>
      </c>
      <c r="AD145" s="51">
        <v>0.0</v>
      </c>
      <c r="AE145" s="51">
        <v>0.0</v>
      </c>
      <c r="AF145" s="51">
        <v>0.0</v>
      </c>
      <c r="AG145" s="51">
        <v>0.0</v>
      </c>
      <c r="AH145" s="51">
        <v>0.0</v>
      </c>
      <c r="AI145" s="51">
        <v>0.0</v>
      </c>
      <c r="AJ145" s="51">
        <v>0.0</v>
      </c>
      <c r="AK145" s="51">
        <v>0.0</v>
      </c>
      <c r="AL145" s="51">
        <v>0.0</v>
      </c>
      <c r="AM145" s="51">
        <v>0.0</v>
      </c>
      <c r="AN145" s="51">
        <v>0.0</v>
      </c>
      <c r="AO145" s="51">
        <v>0.0</v>
      </c>
      <c r="AP145" s="51">
        <v>0.0</v>
      </c>
      <c r="AQ145" s="51">
        <v>0.0</v>
      </c>
      <c r="AR145" s="51">
        <v>0.0</v>
      </c>
      <c r="AS145" s="51">
        <v>0.0</v>
      </c>
      <c r="AT145" s="51">
        <v>0.0</v>
      </c>
      <c r="AU145" s="51">
        <v>0.0</v>
      </c>
      <c r="AV145" s="51">
        <v>3.192</v>
      </c>
      <c r="AW145" s="51">
        <v>4.389</v>
      </c>
      <c r="AX145" s="51">
        <v>10.773</v>
      </c>
      <c r="AY145" s="51">
        <v>18.226</v>
      </c>
      <c r="AZ145" s="51">
        <v>4.389</v>
      </c>
      <c r="BA145" s="51">
        <v>13.706</v>
      </c>
      <c r="BB145" s="51">
        <v>11.112</v>
      </c>
      <c r="BC145" s="51">
        <v>3.475</v>
      </c>
      <c r="BD145" s="51">
        <v>9.84</v>
      </c>
      <c r="BE145" s="51">
        <v>1.7</v>
      </c>
      <c r="BF145" s="51">
        <v>0.0</v>
      </c>
      <c r="BG145" s="51">
        <v>0.0</v>
      </c>
      <c r="BH145" s="51">
        <v>0.0</v>
      </c>
      <c r="BI145" s="51">
        <v>8.17</v>
      </c>
      <c r="BJ145" s="51">
        <v>7.255</v>
      </c>
      <c r="BK145" s="51">
        <v>3.283</v>
      </c>
      <c r="BL145" s="51">
        <v>4.3</v>
      </c>
      <c r="BM145" s="51">
        <v>4.51</v>
      </c>
      <c r="BN145" s="51">
        <v>6.989666666666667</v>
      </c>
      <c r="BO145" s="51">
        <v>6.9896666666666665</v>
      </c>
      <c r="BP145" s="51">
        <v>6.9896666666666665</v>
      </c>
      <c r="BQ145" s="51">
        <v>6.989666666666667</v>
      </c>
      <c r="BR145" s="51">
        <v>6.989666666666667</v>
      </c>
      <c r="BS145" s="51">
        <v>6.989666666666668</v>
      </c>
      <c r="BT145" s="51">
        <v>6.989666666666667</v>
      </c>
      <c r="BU145" s="51">
        <v>6.989666666666668</v>
      </c>
      <c r="BV145" s="51">
        <v>6.989666666666672</v>
      </c>
      <c r="BW145" s="106"/>
      <c r="BX145" s="106"/>
      <c r="BY145" s="106"/>
      <c r="BZ145" s="106"/>
      <c r="CA145" s="106"/>
      <c r="CB145" s="106"/>
      <c r="CC145" s="106"/>
      <c r="CD145" s="106"/>
      <c r="CE145" s="106"/>
      <c r="CF145" s="106"/>
      <c r="CG145" s="106"/>
      <c r="CH145" s="106"/>
      <c r="CI145" s="106"/>
      <c r="CJ145" s="106"/>
      <c r="CK145" s="106"/>
      <c r="CL145" s="106"/>
      <c r="CM145" s="106"/>
      <c r="CN145" s="106"/>
      <c r="CO145" s="106"/>
      <c r="CP145" s="106"/>
      <c r="CQ145" s="106"/>
      <c r="CR145" s="106"/>
      <c r="CS145" s="106"/>
      <c r="CT145" s="106"/>
      <c r="CU145" s="106"/>
      <c r="CV145" s="106"/>
      <c r="CW145" s="106"/>
      <c r="CX145" s="106"/>
      <c r="CY145" s="106"/>
      <c r="CZ145" s="106"/>
      <c r="DA145" s="106"/>
      <c r="DB145" s="106"/>
      <c r="DC145" s="106"/>
      <c r="DD145" s="106"/>
      <c r="DE145" s="106"/>
      <c r="DF145" s="106"/>
      <c r="DG145" s="106"/>
      <c r="DH145" s="106"/>
      <c r="DI145" s="106"/>
      <c r="DJ145" s="106"/>
      <c r="DK145" s="106"/>
      <c r="DL145" s="106"/>
      <c r="DM145" s="106"/>
      <c r="DN145" s="106"/>
      <c r="DO145" s="106"/>
      <c r="DP145" s="106"/>
      <c r="DQ145" s="106"/>
      <c r="DR145" s="106"/>
      <c r="DT145" s="50">
        <f t="shared" ref="DT145:DW145" si="180">+F145-E145</f>
        <v>0</v>
      </c>
      <c r="DU145" s="50">
        <f t="shared" si="180"/>
        <v>18.354</v>
      </c>
      <c r="DV145" s="50">
        <f t="shared" si="180"/>
        <v>59.519</v>
      </c>
      <c r="DW145" s="50">
        <f t="shared" si="180"/>
        <v>-2.873</v>
      </c>
    </row>
    <row r="146" ht="15.75" hidden="1" customHeight="1" outlineLevel="1">
      <c r="B146" s="5" t="s">
        <v>91</v>
      </c>
      <c r="C146" s="72" t="s">
        <v>74</v>
      </c>
      <c r="E146" s="50">
        <f t="shared" ref="E146:M146" si="181">+SUMIFS($O146:$DR146,$O$7:$DR$7,E$7)</f>
        <v>22.15</v>
      </c>
      <c r="F146" s="50">
        <f t="shared" si="181"/>
        <v>27.188</v>
      </c>
      <c r="G146" s="50">
        <f t="shared" si="181"/>
        <v>20.142</v>
      </c>
      <c r="H146" s="50">
        <f t="shared" si="181"/>
        <v>135.055</v>
      </c>
      <c r="I146" s="50">
        <f t="shared" si="181"/>
        <v>65</v>
      </c>
      <c r="J146" s="50">
        <f t="shared" si="181"/>
        <v>0</v>
      </c>
      <c r="K146" s="50">
        <f t="shared" si="181"/>
        <v>0</v>
      </c>
      <c r="L146" s="50">
        <f t="shared" si="181"/>
        <v>0</v>
      </c>
      <c r="M146" s="50">
        <f t="shared" si="181"/>
        <v>0</v>
      </c>
      <c r="O146" s="51">
        <v>1.65</v>
      </c>
      <c r="P146" s="51">
        <v>0.0</v>
      </c>
      <c r="Q146" s="51">
        <v>0.0</v>
      </c>
      <c r="R146" s="51">
        <v>8.5</v>
      </c>
      <c r="S146" s="51">
        <v>4.65</v>
      </c>
      <c r="T146" s="51">
        <v>7.35</v>
      </c>
      <c r="U146" s="51">
        <v>0.0</v>
      </c>
      <c r="V146" s="51">
        <v>0.0</v>
      </c>
      <c r="W146" s="51">
        <v>0.0</v>
      </c>
      <c r="X146" s="51">
        <v>0.0</v>
      </c>
      <c r="Y146" s="51">
        <v>0.0</v>
      </c>
      <c r="Z146" s="51">
        <v>0.0</v>
      </c>
      <c r="AA146" s="51">
        <v>0.0</v>
      </c>
      <c r="AB146" s="51">
        <v>0.488</v>
      </c>
      <c r="AC146" s="51">
        <v>1.684</v>
      </c>
      <c r="AD146" s="51">
        <v>0.332</v>
      </c>
      <c r="AE146" s="51">
        <v>0.0</v>
      </c>
      <c r="AF146" s="51">
        <v>0.146</v>
      </c>
      <c r="AG146" s="51">
        <v>12.04</v>
      </c>
      <c r="AH146" s="51">
        <v>1.638</v>
      </c>
      <c r="AI146" s="51">
        <v>0.217</v>
      </c>
      <c r="AJ146" s="51">
        <v>4.846</v>
      </c>
      <c r="AK146" s="51">
        <v>1.539</v>
      </c>
      <c r="AL146" s="51">
        <v>4.258</v>
      </c>
      <c r="AM146" s="51">
        <v>0.327</v>
      </c>
      <c r="AN146" s="51">
        <v>0.0</v>
      </c>
      <c r="AO146" s="51">
        <v>0.0</v>
      </c>
      <c r="AP146" s="51">
        <v>0.0</v>
      </c>
      <c r="AQ146" s="51">
        <v>0.0</v>
      </c>
      <c r="AR146" s="51">
        <v>0.0</v>
      </c>
      <c r="AS146" s="51">
        <v>0.0</v>
      </c>
      <c r="AT146" s="51">
        <v>2.128</v>
      </c>
      <c r="AU146" s="51">
        <v>6.258</v>
      </c>
      <c r="AV146" s="51">
        <v>5.397</v>
      </c>
      <c r="AW146" s="51">
        <v>1.267</v>
      </c>
      <c r="AX146" s="51">
        <v>4.765</v>
      </c>
      <c r="AY146" s="51">
        <v>6.175</v>
      </c>
      <c r="AZ146" s="51">
        <v>0.0</v>
      </c>
      <c r="BA146" s="51">
        <v>0.0</v>
      </c>
      <c r="BB146" s="51">
        <v>0.0</v>
      </c>
      <c r="BC146" s="51">
        <v>68.578</v>
      </c>
      <c r="BD146" s="51">
        <v>0.0</v>
      </c>
      <c r="BE146" s="51">
        <v>11.351</v>
      </c>
      <c r="BF146" s="51">
        <v>3.165</v>
      </c>
      <c r="BG146" s="51">
        <v>12.661</v>
      </c>
      <c r="BH146" s="51">
        <v>19.065</v>
      </c>
      <c r="BI146" s="51">
        <v>1.96</v>
      </c>
      <c r="BJ146" s="51">
        <v>12.1</v>
      </c>
      <c r="BK146" s="51">
        <v>5.445</v>
      </c>
      <c r="BL146" s="51">
        <v>1.98</v>
      </c>
      <c r="BM146" s="51">
        <v>0.45</v>
      </c>
      <c r="BN146" s="51">
        <v>6.347222222222222</v>
      </c>
      <c r="BO146" s="51">
        <v>6.347222222222222</v>
      </c>
      <c r="BP146" s="51">
        <v>6.347222222222221</v>
      </c>
      <c r="BQ146" s="51">
        <v>6.347222222222221</v>
      </c>
      <c r="BR146" s="51">
        <v>6.347222222222221</v>
      </c>
      <c r="BS146" s="51">
        <v>6.347222222222222</v>
      </c>
      <c r="BT146" s="51">
        <v>6.347222222222223</v>
      </c>
      <c r="BU146" s="51">
        <v>6.347222222222222</v>
      </c>
      <c r="BV146" s="51">
        <v>6.347222222222219</v>
      </c>
      <c r="BW146" s="106"/>
      <c r="BX146" s="106"/>
      <c r="BY146" s="106"/>
      <c r="BZ146" s="106"/>
      <c r="CA146" s="106"/>
      <c r="CB146" s="106"/>
      <c r="CC146" s="106"/>
      <c r="CD146" s="106"/>
      <c r="CE146" s="106"/>
      <c r="CF146" s="106"/>
      <c r="CG146" s="106"/>
      <c r="CH146" s="106"/>
      <c r="CI146" s="106"/>
      <c r="CJ146" s="106"/>
      <c r="CK146" s="106"/>
      <c r="CL146" s="106"/>
      <c r="CM146" s="106"/>
      <c r="CN146" s="106"/>
      <c r="CO146" s="106"/>
      <c r="CP146" s="106"/>
      <c r="CQ146" s="106"/>
      <c r="CR146" s="106"/>
      <c r="CS146" s="106"/>
      <c r="CT146" s="106"/>
      <c r="CU146" s="106"/>
      <c r="CV146" s="106"/>
      <c r="CW146" s="106"/>
      <c r="CX146" s="106"/>
      <c r="CY146" s="106"/>
      <c r="CZ146" s="106"/>
      <c r="DA146" s="106"/>
      <c r="DB146" s="106"/>
      <c r="DC146" s="106"/>
      <c r="DD146" s="106"/>
      <c r="DE146" s="106"/>
      <c r="DF146" s="106"/>
      <c r="DG146" s="106"/>
      <c r="DH146" s="106"/>
      <c r="DI146" s="106"/>
      <c r="DJ146" s="106"/>
      <c r="DK146" s="106"/>
      <c r="DL146" s="106"/>
      <c r="DM146" s="106"/>
      <c r="DN146" s="106"/>
      <c r="DO146" s="106"/>
      <c r="DP146" s="106"/>
      <c r="DQ146" s="106"/>
      <c r="DR146" s="106"/>
      <c r="DT146" s="50">
        <f t="shared" ref="DT146:DW146" si="182">+F146-E146</f>
        <v>5.038</v>
      </c>
      <c r="DU146" s="50">
        <f t="shared" si="182"/>
        <v>-7.046</v>
      </c>
      <c r="DV146" s="50">
        <f t="shared" si="182"/>
        <v>114.913</v>
      </c>
      <c r="DW146" s="50">
        <f t="shared" si="182"/>
        <v>-70.055</v>
      </c>
    </row>
    <row r="147" ht="15.75" hidden="1" customHeight="1" outlineLevel="1">
      <c r="B147" s="5" t="s">
        <v>92</v>
      </c>
      <c r="C147" s="72" t="s">
        <v>76</v>
      </c>
      <c r="E147" s="50">
        <f t="shared" ref="E147:M147" si="183">+SUMIFS($O147:$DR147,$O$7:$DR$7,E$7)</f>
        <v>59.978</v>
      </c>
      <c r="F147" s="50">
        <f t="shared" si="183"/>
        <v>99.62</v>
      </c>
      <c r="G147" s="50">
        <f t="shared" si="183"/>
        <v>60.005</v>
      </c>
      <c r="H147" s="50">
        <f t="shared" si="183"/>
        <v>53.222</v>
      </c>
      <c r="I147" s="50">
        <f t="shared" si="183"/>
        <v>0.984</v>
      </c>
      <c r="J147" s="50">
        <f t="shared" si="183"/>
        <v>0</v>
      </c>
      <c r="K147" s="50">
        <f t="shared" si="183"/>
        <v>0</v>
      </c>
      <c r="L147" s="50">
        <f t="shared" si="183"/>
        <v>0</v>
      </c>
      <c r="M147" s="50">
        <f t="shared" si="183"/>
        <v>0</v>
      </c>
      <c r="O147" s="51">
        <v>3.0</v>
      </c>
      <c r="P147" s="51">
        <v>3.0</v>
      </c>
      <c r="Q147" s="51">
        <v>-0.4</v>
      </c>
      <c r="R147" s="51">
        <v>0.0</v>
      </c>
      <c r="S147" s="51">
        <v>0.0</v>
      </c>
      <c r="T147" s="51">
        <v>8.25</v>
      </c>
      <c r="U147" s="51">
        <v>1.793</v>
      </c>
      <c r="V147" s="51">
        <v>15.026</v>
      </c>
      <c r="W147" s="51">
        <v>9.06</v>
      </c>
      <c r="X147" s="51">
        <v>15.749</v>
      </c>
      <c r="Y147" s="51">
        <v>2.25</v>
      </c>
      <c r="Z147" s="51">
        <v>2.25</v>
      </c>
      <c r="AA147" s="51">
        <v>9.655</v>
      </c>
      <c r="AB147" s="51">
        <v>8.13</v>
      </c>
      <c r="AC147" s="51">
        <v>3.565</v>
      </c>
      <c r="AD147" s="51">
        <v>8.015</v>
      </c>
      <c r="AE147" s="51">
        <v>6.01</v>
      </c>
      <c r="AF147" s="51">
        <v>5.0</v>
      </c>
      <c r="AG147" s="51">
        <v>8.83</v>
      </c>
      <c r="AH147" s="51">
        <v>23.522</v>
      </c>
      <c r="AI147" s="51">
        <v>6.488</v>
      </c>
      <c r="AJ147" s="51">
        <v>5.715</v>
      </c>
      <c r="AK147" s="51">
        <v>12.165</v>
      </c>
      <c r="AL147" s="51">
        <v>2.525</v>
      </c>
      <c r="AM147" s="51">
        <v>1.085</v>
      </c>
      <c r="AN147" s="51">
        <v>14.37</v>
      </c>
      <c r="AO147" s="51">
        <v>10.359</v>
      </c>
      <c r="AP147" s="51">
        <v>10.22</v>
      </c>
      <c r="AQ147" s="51">
        <v>1.476</v>
      </c>
      <c r="AR147" s="51">
        <v>3.69</v>
      </c>
      <c r="AS147" s="51">
        <v>0.5</v>
      </c>
      <c r="AT147" s="51">
        <v>2.128</v>
      </c>
      <c r="AU147" s="51">
        <v>1.289</v>
      </c>
      <c r="AV147" s="51">
        <v>9.9</v>
      </c>
      <c r="AW147" s="51">
        <v>4.498</v>
      </c>
      <c r="AX147" s="51">
        <v>0.49</v>
      </c>
      <c r="AY147" s="51">
        <v>0.0</v>
      </c>
      <c r="AZ147" s="51">
        <v>5.925</v>
      </c>
      <c r="BA147" s="51">
        <v>1.58</v>
      </c>
      <c r="BB147" s="51">
        <v>6.955</v>
      </c>
      <c r="BC147" s="51">
        <v>11.465</v>
      </c>
      <c r="BD147" s="51">
        <v>0.0</v>
      </c>
      <c r="BE147" s="51">
        <v>5.346</v>
      </c>
      <c r="BF147" s="51">
        <v>3.847</v>
      </c>
      <c r="BG147" s="51">
        <v>2.4</v>
      </c>
      <c r="BH147" s="51">
        <v>13.586</v>
      </c>
      <c r="BI147" s="51">
        <v>1.134</v>
      </c>
      <c r="BJ147" s="51">
        <v>0.984</v>
      </c>
      <c r="BK147" s="51">
        <v>0.0</v>
      </c>
      <c r="BL147" s="51">
        <v>0.0</v>
      </c>
      <c r="BM147" s="51">
        <v>0.0</v>
      </c>
      <c r="BN147" s="51">
        <v>0.10933333333333332</v>
      </c>
      <c r="BO147" s="51">
        <v>0.10933333333333332</v>
      </c>
      <c r="BP147" s="51">
        <v>0.10933333333333334</v>
      </c>
      <c r="BQ147" s="51">
        <v>0.10933333333333332</v>
      </c>
      <c r="BR147" s="51">
        <v>0.10933333333333334</v>
      </c>
      <c r="BS147" s="51">
        <v>0.10933333333333334</v>
      </c>
      <c r="BT147" s="51">
        <v>0.10933333333333332</v>
      </c>
      <c r="BU147" s="51">
        <v>0.10933333333333331</v>
      </c>
      <c r="BV147" s="51">
        <v>0.10933333333333325</v>
      </c>
      <c r="BW147" s="106"/>
      <c r="BX147" s="106"/>
      <c r="BY147" s="106"/>
      <c r="BZ147" s="106"/>
      <c r="CA147" s="106"/>
      <c r="CB147" s="106"/>
      <c r="CC147" s="106"/>
      <c r="CD147" s="106"/>
      <c r="CE147" s="106"/>
      <c r="CF147" s="106"/>
      <c r="CG147" s="106"/>
      <c r="CH147" s="106"/>
      <c r="CI147" s="106"/>
      <c r="CJ147" s="106"/>
      <c r="CK147" s="106"/>
      <c r="CL147" s="106"/>
      <c r="CM147" s="106"/>
      <c r="CN147" s="106"/>
      <c r="CO147" s="106"/>
      <c r="CP147" s="106"/>
      <c r="CQ147" s="106"/>
      <c r="CR147" s="106"/>
      <c r="CS147" s="106"/>
      <c r="CT147" s="106"/>
      <c r="CU147" s="106"/>
      <c r="CV147" s="106"/>
      <c r="CW147" s="106"/>
      <c r="CX147" s="106"/>
      <c r="CY147" s="106"/>
      <c r="CZ147" s="106"/>
      <c r="DA147" s="106"/>
      <c r="DB147" s="106"/>
      <c r="DC147" s="106"/>
      <c r="DD147" s="106"/>
      <c r="DE147" s="106"/>
      <c r="DF147" s="106"/>
      <c r="DG147" s="106"/>
      <c r="DH147" s="106"/>
      <c r="DI147" s="106"/>
      <c r="DJ147" s="106"/>
      <c r="DK147" s="106"/>
      <c r="DL147" s="106"/>
      <c r="DM147" s="106"/>
      <c r="DN147" s="106"/>
      <c r="DO147" s="106"/>
      <c r="DP147" s="106"/>
      <c r="DQ147" s="106"/>
      <c r="DR147" s="106"/>
      <c r="DT147" s="50">
        <f t="shared" ref="DT147:DW147" si="184">+F147-E147</f>
        <v>39.642</v>
      </c>
      <c r="DU147" s="50">
        <f t="shared" si="184"/>
        <v>-39.615</v>
      </c>
      <c r="DV147" s="50">
        <f t="shared" si="184"/>
        <v>-6.783</v>
      </c>
      <c r="DW147" s="50">
        <f t="shared" si="184"/>
        <v>-52.238</v>
      </c>
    </row>
    <row r="148" ht="15.75" hidden="1" customHeight="1" outlineLevel="1">
      <c r="B148" s="5" t="s">
        <v>93</v>
      </c>
      <c r="C148" s="72" t="s">
        <v>74</v>
      </c>
      <c r="E148" s="50">
        <f t="shared" ref="E148:M148" si="185">+SUMIFS($O148:$DR148,$O$7:$DR$7,E$7)</f>
        <v>0</v>
      </c>
      <c r="F148" s="50">
        <f t="shared" si="185"/>
        <v>11.346</v>
      </c>
      <c r="G148" s="50">
        <f t="shared" si="185"/>
        <v>131.829</v>
      </c>
      <c r="H148" s="50">
        <f t="shared" si="185"/>
        <v>88.609</v>
      </c>
      <c r="I148" s="50">
        <f t="shared" si="185"/>
        <v>75</v>
      </c>
      <c r="J148" s="50">
        <f t="shared" si="185"/>
        <v>0</v>
      </c>
      <c r="K148" s="50">
        <f t="shared" si="185"/>
        <v>0</v>
      </c>
      <c r="L148" s="50">
        <f t="shared" si="185"/>
        <v>0</v>
      </c>
      <c r="M148" s="50">
        <f t="shared" si="185"/>
        <v>0</v>
      </c>
      <c r="O148" s="51">
        <v>0.0</v>
      </c>
      <c r="P148" s="51">
        <v>0.0</v>
      </c>
      <c r="Q148" s="51">
        <v>0.0</v>
      </c>
      <c r="R148" s="51">
        <v>0.0</v>
      </c>
      <c r="S148" s="51">
        <v>0.0</v>
      </c>
      <c r="T148" s="51">
        <v>0.0</v>
      </c>
      <c r="U148" s="51">
        <v>0.0</v>
      </c>
      <c r="V148" s="51">
        <v>0.0</v>
      </c>
      <c r="W148" s="51">
        <v>0.0</v>
      </c>
      <c r="X148" s="51">
        <v>0.0</v>
      </c>
      <c r="Y148" s="51">
        <v>0.0</v>
      </c>
      <c r="Z148" s="51">
        <v>0.0</v>
      </c>
      <c r="AA148" s="51">
        <v>0.0</v>
      </c>
      <c r="AB148" s="51">
        <v>0.0</v>
      </c>
      <c r="AC148" s="51">
        <v>0.0</v>
      </c>
      <c r="AD148" s="51">
        <v>0.0</v>
      </c>
      <c r="AE148" s="51">
        <v>0.0</v>
      </c>
      <c r="AF148" s="51">
        <v>0.0</v>
      </c>
      <c r="AG148" s="51">
        <v>0.0</v>
      </c>
      <c r="AH148" s="51">
        <v>0.0</v>
      </c>
      <c r="AI148" s="51">
        <v>0.0</v>
      </c>
      <c r="AJ148" s="51">
        <v>4.813</v>
      </c>
      <c r="AK148" s="51">
        <v>0.725</v>
      </c>
      <c r="AL148" s="51">
        <v>5.808</v>
      </c>
      <c r="AM148" s="51">
        <v>8.076</v>
      </c>
      <c r="AN148" s="51">
        <v>10.495</v>
      </c>
      <c r="AO148" s="51">
        <v>10.81</v>
      </c>
      <c r="AP148" s="51">
        <v>5.557</v>
      </c>
      <c r="AQ148" s="51">
        <v>0.754</v>
      </c>
      <c r="AR148" s="51">
        <v>9.82</v>
      </c>
      <c r="AS148" s="51">
        <v>31.211</v>
      </c>
      <c r="AT148" s="51">
        <v>13.471</v>
      </c>
      <c r="AU148" s="51">
        <v>5.398</v>
      </c>
      <c r="AV148" s="51">
        <v>10.818</v>
      </c>
      <c r="AW148" s="51">
        <v>15.041</v>
      </c>
      <c r="AX148" s="51">
        <v>10.378</v>
      </c>
      <c r="AY148" s="51">
        <v>7.575</v>
      </c>
      <c r="AZ148" s="51">
        <v>3.19</v>
      </c>
      <c r="BA148" s="51">
        <v>2.11</v>
      </c>
      <c r="BB148" s="51">
        <v>17.534</v>
      </c>
      <c r="BC148" s="51">
        <v>0.24</v>
      </c>
      <c r="BD148" s="51">
        <v>5.12</v>
      </c>
      <c r="BE148" s="51">
        <v>30.05</v>
      </c>
      <c r="BF148" s="51">
        <v>7.15</v>
      </c>
      <c r="BG148" s="51">
        <v>1.79</v>
      </c>
      <c r="BH148" s="51">
        <v>10.7</v>
      </c>
      <c r="BI148" s="51">
        <v>1.85</v>
      </c>
      <c r="BJ148" s="51">
        <v>1.3</v>
      </c>
      <c r="BK148" s="51">
        <v>0.0</v>
      </c>
      <c r="BL148" s="51">
        <v>18.8</v>
      </c>
      <c r="BM148" s="51">
        <v>4.84</v>
      </c>
      <c r="BN148" s="51">
        <v>5.706666666666667</v>
      </c>
      <c r="BO148" s="51">
        <v>5.706666666666666</v>
      </c>
      <c r="BP148" s="51">
        <v>5.706666666666666</v>
      </c>
      <c r="BQ148" s="51">
        <v>5.706666666666667</v>
      </c>
      <c r="BR148" s="51">
        <v>5.706666666666667</v>
      </c>
      <c r="BS148" s="51">
        <v>5.706666666666668</v>
      </c>
      <c r="BT148" s="51">
        <v>5.706666666666667</v>
      </c>
      <c r="BU148" s="51">
        <v>5.706666666666668</v>
      </c>
      <c r="BV148" s="51">
        <v>5.706666666666671</v>
      </c>
      <c r="BW148" s="106"/>
      <c r="BX148" s="106"/>
      <c r="BY148" s="106"/>
      <c r="BZ148" s="106"/>
      <c r="CA148" s="106"/>
      <c r="CB148" s="106"/>
      <c r="CC148" s="106"/>
      <c r="CD148" s="106"/>
      <c r="CE148" s="106"/>
      <c r="CF148" s="106"/>
      <c r="CG148" s="106"/>
      <c r="CH148" s="106"/>
      <c r="CI148" s="106"/>
      <c r="CJ148" s="106"/>
      <c r="CK148" s="106"/>
      <c r="CL148" s="106"/>
      <c r="CM148" s="106"/>
      <c r="CN148" s="106"/>
      <c r="CO148" s="106"/>
      <c r="CP148" s="106"/>
      <c r="CQ148" s="106"/>
      <c r="CR148" s="106"/>
      <c r="CS148" s="106"/>
      <c r="CT148" s="106"/>
      <c r="CU148" s="106"/>
      <c r="CV148" s="106"/>
      <c r="CW148" s="106"/>
      <c r="CX148" s="106"/>
      <c r="CY148" s="106"/>
      <c r="CZ148" s="106"/>
      <c r="DA148" s="106"/>
      <c r="DB148" s="106"/>
      <c r="DC148" s="106"/>
      <c r="DD148" s="106"/>
      <c r="DE148" s="106"/>
      <c r="DF148" s="106"/>
      <c r="DG148" s="106"/>
      <c r="DH148" s="106"/>
      <c r="DI148" s="106"/>
      <c r="DJ148" s="106"/>
      <c r="DK148" s="106"/>
      <c r="DL148" s="106"/>
      <c r="DM148" s="106"/>
      <c r="DN148" s="106"/>
      <c r="DO148" s="106"/>
      <c r="DP148" s="106"/>
      <c r="DQ148" s="106"/>
      <c r="DR148" s="106"/>
      <c r="DT148" s="50">
        <f t="shared" ref="DT148:DW148" si="186">+F148-E148</f>
        <v>11.346</v>
      </c>
      <c r="DU148" s="50">
        <f t="shared" si="186"/>
        <v>120.483</v>
      </c>
      <c r="DV148" s="50">
        <f t="shared" si="186"/>
        <v>-43.22</v>
      </c>
      <c r="DW148" s="50">
        <f t="shared" si="186"/>
        <v>-13.609</v>
      </c>
    </row>
    <row r="149" ht="15.75" hidden="1" customHeight="1" outlineLevel="1">
      <c r="B149" s="5" t="s">
        <v>94</v>
      </c>
      <c r="C149" s="72" t="s">
        <v>70</v>
      </c>
      <c r="E149" s="50">
        <f t="shared" ref="E149:M149" si="187">+SUMIFS($O149:$DR149,$O$7:$DR$7,E$7)</f>
        <v>0</v>
      </c>
      <c r="F149" s="50">
        <f t="shared" si="187"/>
        <v>0</v>
      </c>
      <c r="G149" s="50">
        <f t="shared" si="187"/>
        <v>8.1</v>
      </c>
      <c r="H149" s="50">
        <f t="shared" si="187"/>
        <v>24.225</v>
      </c>
      <c r="I149" s="50">
        <f t="shared" si="187"/>
        <v>0</v>
      </c>
      <c r="J149" s="50">
        <f t="shared" si="187"/>
        <v>0</v>
      </c>
      <c r="K149" s="50">
        <f t="shared" si="187"/>
        <v>0</v>
      </c>
      <c r="L149" s="50">
        <f t="shared" si="187"/>
        <v>0</v>
      </c>
      <c r="M149" s="50">
        <f t="shared" si="187"/>
        <v>0</v>
      </c>
      <c r="O149" s="51">
        <v>0.0</v>
      </c>
      <c r="P149" s="51">
        <v>0.0</v>
      </c>
      <c r="Q149" s="51">
        <v>0.0</v>
      </c>
      <c r="R149" s="51">
        <v>0.0</v>
      </c>
      <c r="S149" s="51">
        <v>0.0</v>
      </c>
      <c r="T149" s="51">
        <v>0.0</v>
      </c>
      <c r="U149" s="51">
        <v>0.0</v>
      </c>
      <c r="V149" s="51">
        <v>0.0</v>
      </c>
      <c r="W149" s="51">
        <v>0.0</v>
      </c>
      <c r="X149" s="51">
        <v>0.0</v>
      </c>
      <c r="Y149" s="51">
        <v>0.0</v>
      </c>
      <c r="Z149" s="51">
        <v>0.0</v>
      </c>
      <c r="AA149" s="51">
        <v>0.0</v>
      </c>
      <c r="AB149" s="51">
        <v>0.0</v>
      </c>
      <c r="AC149" s="51">
        <v>0.0</v>
      </c>
      <c r="AD149" s="51">
        <v>0.0</v>
      </c>
      <c r="AE149" s="51">
        <v>0.0</v>
      </c>
      <c r="AF149" s="51">
        <v>0.0</v>
      </c>
      <c r="AG149" s="51">
        <v>0.0</v>
      </c>
      <c r="AH149" s="51">
        <v>0.0</v>
      </c>
      <c r="AI149" s="51">
        <v>0.0</v>
      </c>
      <c r="AJ149" s="51">
        <v>0.0</v>
      </c>
      <c r="AK149" s="51">
        <v>0.0</v>
      </c>
      <c r="AL149" s="51">
        <v>0.0</v>
      </c>
      <c r="AM149" s="51">
        <v>0.0</v>
      </c>
      <c r="AN149" s="51">
        <v>0.0</v>
      </c>
      <c r="AO149" s="51">
        <v>0.0</v>
      </c>
      <c r="AP149" s="51">
        <v>0.0</v>
      </c>
      <c r="AQ149" s="51">
        <v>0.0</v>
      </c>
      <c r="AR149" s="51">
        <v>0.0</v>
      </c>
      <c r="AS149" s="51">
        <v>0.0</v>
      </c>
      <c r="AT149" s="51">
        <v>0.0</v>
      </c>
      <c r="AU149" s="51">
        <v>0.0</v>
      </c>
      <c r="AV149" s="51">
        <v>5.67</v>
      </c>
      <c r="AW149" s="51">
        <v>2.025</v>
      </c>
      <c r="AX149" s="51">
        <v>0.405</v>
      </c>
      <c r="AY149" s="51">
        <v>0.261</v>
      </c>
      <c r="AZ149" s="51">
        <v>4.964</v>
      </c>
      <c r="BA149" s="51">
        <v>15.723</v>
      </c>
      <c r="BB149" s="51">
        <v>3.277</v>
      </c>
      <c r="BC149" s="51">
        <v>0.0</v>
      </c>
      <c r="BD149" s="51">
        <v>0.0</v>
      </c>
      <c r="BE149" s="51">
        <v>0.0</v>
      </c>
      <c r="BF149" s="51">
        <v>0.0</v>
      </c>
      <c r="BG149" s="51">
        <v>0.0</v>
      </c>
      <c r="BH149" s="51">
        <v>0.0</v>
      </c>
      <c r="BI149" s="51">
        <v>0.0</v>
      </c>
      <c r="BJ149" s="51">
        <v>0.0</v>
      </c>
      <c r="BK149" s="51">
        <v>0.0</v>
      </c>
      <c r="BL149" s="51">
        <v>0.0</v>
      </c>
      <c r="BM149" s="51">
        <v>0.0</v>
      </c>
      <c r="BN149" s="51">
        <v>0.0</v>
      </c>
      <c r="BO149" s="51">
        <v>0.0</v>
      </c>
      <c r="BP149" s="51">
        <v>0.0</v>
      </c>
      <c r="BQ149" s="51">
        <v>0.0</v>
      </c>
      <c r="BR149" s="51">
        <v>0.0</v>
      </c>
      <c r="BS149" s="51">
        <v>0.0</v>
      </c>
      <c r="BT149" s="51">
        <v>0.0</v>
      </c>
      <c r="BU149" s="51">
        <v>0.0</v>
      </c>
      <c r="BV149" s="51">
        <v>0.0</v>
      </c>
      <c r="BW149" s="106"/>
      <c r="BX149" s="106"/>
      <c r="BY149" s="106"/>
      <c r="BZ149" s="106"/>
      <c r="CA149" s="106"/>
      <c r="CB149" s="106"/>
      <c r="CC149" s="106"/>
      <c r="CD149" s="106"/>
      <c r="CE149" s="106"/>
      <c r="CF149" s="106"/>
      <c r="CG149" s="106"/>
      <c r="CH149" s="106"/>
      <c r="CI149" s="106"/>
      <c r="CJ149" s="106"/>
      <c r="CK149" s="106"/>
      <c r="CL149" s="106"/>
      <c r="CM149" s="106"/>
      <c r="CN149" s="106"/>
      <c r="CO149" s="106"/>
      <c r="CP149" s="106"/>
      <c r="CQ149" s="106"/>
      <c r="CR149" s="106"/>
      <c r="CS149" s="106"/>
      <c r="CT149" s="106"/>
      <c r="CU149" s="106"/>
      <c r="CV149" s="106"/>
      <c r="CW149" s="106"/>
      <c r="CX149" s="106"/>
      <c r="CY149" s="106"/>
      <c r="CZ149" s="106"/>
      <c r="DA149" s="106"/>
      <c r="DB149" s="106"/>
      <c r="DC149" s="106"/>
      <c r="DD149" s="106"/>
      <c r="DE149" s="106"/>
      <c r="DF149" s="106"/>
      <c r="DG149" s="106"/>
      <c r="DH149" s="106"/>
      <c r="DI149" s="106"/>
      <c r="DJ149" s="106"/>
      <c r="DK149" s="106"/>
      <c r="DL149" s="106"/>
      <c r="DM149" s="106"/>
      <c r="DN149" s="106"/>
      <c r="DO149" s="106"/>
      <c r="DP149" s="106"/>
      <c r="DQ149" s="106"/>
      <c r="DR149" s="106"/>
      <c r="DT149" s="50">
        <f t="shared" ref="DT149:DW149" si="188">+F149-E149</f>
        <v>0</v>
      </c>
      <c r="DU149" s="50">
        <f t="shared" si="188"/>
        <v>8.1</v>
      </c>
      <c r="DV149" s="50">
        <f t="shared" si="188"/>
        <v>16.125</v>
      </c>
      <c r="DW149" s="50">
        <f t="shared" si="188"/>
        <v>-24.225</v>
      </c>
    </row>
    <row r="150" ht="15.75" hidden="1" customHeight="1" outlineLevel="1">
      <c r="B150" s="5" t="s">
        <v>95</v>
      </c>
      <c r="C150" s="72" t="s">
        <v>70</v>
      </c>
      <c r="E150" s="50">
        <f t="shared" ref="E150:M150" si="189">+SUMIFS($O150:$DR150,$O$7:$DR$7,E$7)</f>
        <v>0</v>
      </c>
      <c r="F150" s="50">
        <f t="shared" si="189"/>
        <v>8.406</v>
      </c>
      <c r="G150" s="50">
        <f t="shared" si="189"/>
        <v>25.059</v>
      </c>
      <c r="H150" s="50">
        <f t="shared" si="189"/>
        <v>0</v>
      </c>
      <c r="I150" s="50">
        <f t="shared" si="189"/>
        <v>0</v>
      </c>
      <c r="J150" s="50">
        <f t="shared" si="189"/>
        <v>0</v>
      </c>
      <c r="K150" s="50">
        <f t="shared" si="189"/>
        <v>0</v>
      </c>
      <c r="L150" s="50">
        <f t="shared" si="189"/>
        <v>0</v>
      </c>
      <c r="M150" s="50">
        <f t="shared" si="189"/>
        <v>0</v>
      </c>
      <c r="O150" s="51">
        <v>0.0</v>
      </c>
      <c r="P150" s="51">
        <v>0.0</v>
      </c>
      <c r="Q150" s="51">
        <v>0.0</v>
      </c>
      <c r="R150" s="51">
        <v>0.0</v>
      </c>
      <c r="S150" s="51">
        <v>0.0</v>
      </c>
      <c r="T150" s="51">
        <v>0.0</v>
      </c>
      <c r="U150" s="51">
        <v>0.0</v>
      </c>
      <c r="V150" s="51">
        <v>0.0</v>
      </c>
      <c r="W150" s="51">
        <v>0.0</v>
      </c>
      <c r="X150" s="51">
        <v>0.0</v>
      </c>
      <c r="Y150" s="51">
        <v>0.0</v>
      </c>
      <c r="Z150" s="51">
        <v>0.0</v>
      </c>
      <c r="AA150" s="51">
        <v>0.0</v>
      </c>
      <c r="AB150" s="51">
        <v>0.0</v>
      </c>
      <c r="AC150" s="51">
        <v>0.0</v>
      </c>
      <c r="AD150" s="51">
        <v>3.4</v>
      </c>
      <c r="AE150" s="51">
        <v>3.4</v>
      </c>
      <c r="AF150" s="51">
        <v>0.0</v>
      </c>
      <c r="AG150" s="51">
        <v>0.0</v>
      </c>
      <c r="AH150" s="51">
        <v>0.0</v>
      </c>
      <c r="AI150" s="51">
        <v>0.0</v>
      </c>
      <c r="AJ150" s="51">
        <v>0.0</v>
      </c>
      <c r="AK150" s="51">
        <v>0.0</v>
      </c>
      <c r="AL150" s="51">
        <v>1.606</v>
      </c>
      <c r="AM150" s="51">
        <v>9.269</v>
      </c>
      <c r="AN150" s="51">
        <v>2.48</v>
      </c>
      <c r="AO150" s="51">
        <v>1.694</v>
      </c>
      <c r="AP150" s="51">
        <v>1.016</v>
      </c>
      <c r="AQ150" s="51">
        <v>0.0</v>
      </c>
      <c r="AR150" s="51">
        <v>0.0</v>
      </c>
      <c r="AS150" s="51">
        <v>0.0</v>
      </c>
      <c r="AT150" s="51">
        <v>5.7</v>
      </c>
      <c r="AU150" s="51">
        <v>1.225</v>
      </c>
      <c r="AV150" s="51">
        <v>2.45</v>
      </c>
      <c r="AW150" s="51">
        <v>0.735</v>
      </c>
      <c r="AX150" s="51">
        <v>0.49</v>
      </c>
      <c r="AY150" s="51">
        <v>0.0</v>
      </c>
      <c r="AZ150" s="51">
        <v>0.0</v>
      </c>
      <c r="BA150" s="51">
        <v>0.0</v>
      </c>
      <c r="BB150" s="51">
        <v>0.0</v>
      </c>
      <c r="BC150" s="51">
        <v>0.0</v>
      </c>
      <c r="BD150" s="51">
        <v>0.0</v>
      </c>
      <c r="BE150" s="51">
        <v>0.0</v>
      </c>
      <c r="BF150" s="51">
        <v>0.0</v>
      </c>
      <c r="BG150" s="51">
        <v>0.0</v>
      </c>
      <c r="BH150" s="51">
        <v>0.0</v>
      </c>
      <c r="BI150" s="51">
        <v>0.0</v>
      </c>
      <c r="BJ150" s="51">
        <v>0.0</v>
      </c>
      <c r="BK150" s="51">
        <v>0.0</v>
      </c>
      <c r="BL150" s="51">
        <v>0.0</v>
      </c>
      <c r="BM150" s="51">
        <v>0.0</v>
      </c>
      <c r="BN150" s="51">
        <v>0.0</v>
      </c>
      <c r="BO150" s="51">
        <v>0.0</v>
      </c>
      <c r="BP150" s="51">
        <v>0.0</v>
      </c>
      <c r="BQ150" s="51">
        <v>0.0</v>
      </c>
      <c r="BR150" s="51">
        <v>0.0</v>
      </c>
      <c r="BS150" s="51">
        <v>0.0</v>
      </c>
      <c r="BT150" s="51">
        <v>0.0</v>
      </c>
      <c r="BU150" s="51">
        <v>0.0</v>
      </c>
      <c r="BV150" s="51">
        <v>0.0</v>
      </c>
      <c r="BW150" s="106"/>
      <c r="BX150" s="106"/>
      <c r="BY150" s="106"/>
      <c r="BZ150" s="106"/>
      <c r="CA150" s="106"/>
      <c r="CB150" s="106"/>
      <c r="CC150" s="106"/>
      <c r="CD150" s="106"/>
      <c r="CE150" s="106"/>
      <c r="CF150" s="106"/>
      <c r="CG150" s="106"/>
      <c r="CH150" s="106"/>
      <c r="CI150" s="106"/>
      <c r="CJ150" s="106"/>
      <c r="CK150" s="106"/>
      <c r="CL150" s="106"/>
      <c r="CM150" s="106"/>
      <c r="CN150" s="106"/>
      <c r="CO150" s="106"/>
      <c r="CP150" s="106"/>
      <c r="CQ150" s="106"/>
      <c r="CR150" s="106"/>
      <c r="CS150" s="106"/>
      <c r="CT150" s="106"/>
      <c r="CU150" s="106"/>
      <c r="CV150" s="106"/>
      <c r="CW150" s="106"/>
      <c r="CX150" s="106"/>
      <c r="CY150" s="106"/>
      <c r="CZ150" s="106"/>
      <c r="DA150" s="106"/>
      <c r="DB150" s="106"/>
      <c r="DC150" s="106"/>
      <c r="DD150" s="106"/>
      <c r="DE150" s="106"/>
      <c r="DF150" s="106"/>
      <c r="DG150" s="106"/>
      <c r="DH150" s="106"/>
      <c r="DI150" s="106"/>
      <c r="DJ150" s="106"/>
      <c r="DK150" s="106"/>
      <c r="DL150" s="106"/>
      <c r="DM150" s="106"/>
      <c r="DN150" s="106"/>
      <c r="DO150" s="106"/>
      <c r="DP150" s="106"/>
      <c r="DQ150" s="106"/>
      <c r="DR150" s="106"/>
      <c r="DT150" s="50">
        <f t="shared" ref="DT150:DW150" si="190">+F150-E150</f>
        <v>8.406</v>
      </c>
      <c r="DU150" s="50">
        <f t="shared" si="190"/>
        <v>16.653</v>
      </c>
      <c r="DV150" s="50">
        <f t="shared" si="190"/>
        <v>-25.059</v>
      </c>
      <c r="DW150" s="50">
        <f t="shared" si="190"/>
        <v>0</v>
      </c>
    </row>
    <row r="151" ht="15.75" hidden="1" customHeight="1" outlineLevel="1">
      <c r="B151" s="5" t="s">
        <v>96</v>
      </c>
      <c r="C151" s="72" t="s">
        <v>74</v>
      </c>
      <c r="E151" s="50">
        <f t="shared" ref="E151:M151" si="191">+SUMIFS($O151:$DR151,$O$7:$DR$7,E$7)</f>
        <v>0</v>
      </c>
      <c r="F151" s="50">
        <f t="shared" si="191"/>
        <v>0</v>
      </c>
      <c r="G151" s="50">
        <f t="shared" si="191"/>
        <v>0</v>
      </c>
      <c r="H151" s="50">
        <f t="shared" si="191"/>
        <v>0</v>
      </c>
      <c r="I151" s="50">
        <f t="shared" si="191"/>
        <v>90</v>
      </c>
      <c r="J151" s="50">
        <f t="shared" si="191"/>
        <v>0</v>
      </c>
      <c r="K151" s="50">
        <f t="shared" si="191"/>
        <v>0</v>
      </c>
      <c r="L151" s="50">
        <f t="shared" si="191"/>
        <v>0</v>
      </c>
      <c r="M151" s="50">
        <f t="shared" si="191"/>
        <v>0</v>
      </c>
      <c r="O151" s="51">
        <v>0.0</v>
      </c>
      <c r="P151" s="51">
        <v>0.0</v>
      </c>
      <c r="Q151" s="51">
        <v>0.0</v>
      </c>
      <c r="R151" s="51">
        <v>0.0</v>
      </c>
      <c r="S151" s="51">
        <v>0.0</v>
      </c>
      <c r="T151" s="51">
        <v>0.0</v>
      </c>
      <c r="U151" s="51">
        <v>0.0</v>
      </c>
      <c r="V151" s="51">
        <v>0.0</v>
      </c>
      <c r="W151" s="51">
        <v>0.0</v>
      </c>
      <c r="X151" s="51">
        <v>0.0</v>
      </c>
      <c r="Y151" s="51">
        <v>0.0</v>
      </c>
      <c r="Z151" s="51">
        <v>0.0</v>
      </c>
      <c r="AA151" s="51">
        <v>0.0</v>
      </c>
      <c r="AB151" s="51">
        <v>0.0</v>
      </c>
      <c r="AC151" s="51">
        <v>0.0</v>
      </c>
      <c r="AD151" s="51">
        <v>0.0</v>
      </c>
      <c r="AE151" s="51">
        <v>0.0</v>
      </c>
      <c r="AF151" s="51">
        <v>0.0</v>
      </c>
      <c r="AG151" s="51">
        <v>0.0</v>
      </c>
      <c r="AH151" s="51">
        <v>0.0</v>
      </c>
      <c r="AI151" s="51">
        <v>0.0</v>
      </c>
      <c r="AJ151" s="51">
        <v>0.0</v>
      </c>
      <c r="AK151" s="51">
        <v>0.0</v>
      </c>
      <c r="AL151" s="51">
        <v>0.0</v>
      </c>
      <c r="AM151" s="51">
        <v>0.0</v>
      </c>
      <c r="AN151" s="51">
        <v>0.0</v>
      </c>
      <c r="AO151" s="51">
        <v>0.0</v>
      </c>
      <c r="AP151" s="51">
        <v>0.0</v>
      </c>
      <c r="AQ151" s="51">
        <v>0.0</v>
      </c>
      <c r="AR151" s="51">
        <v>0.0</v>
      </c>
      <c r="AS151" s="51">
        <v>0.0</v>
      </c>
      <c r="AT151" s="51">
        <v>0.0</v>
      </c>
      <c r="AU151" s="51">
        <v>0.0</v>
      </c>
      <c r="AV151" s="51">
        <v>0.0</v>
      </c>
      <c r="AW151" s="51">
        <v>0.0</v>
      </c>
      <c r="AX151" s="51">
        <v>0.0</v>
      </c>
      <c r="AY151" s="51">
        <v>0.0</v>
      </c>
      <c r="AZ151" s="51">
        <v>0.0</v>
      </c>
      <c r="BA151" s="51">
        <v>0.0</v>
      </c>
      <c r="BB151" s="51">
        <v>0.0</v>
      </c>
      <c r="BC151" s="51">
        <v>0.0</v>
      </c>
      <c r="BD151" s="51">
        <v>0.0</v>
      </c>
      <c r="BE151" s="51">
        <v>0.0</v>
      </c>
      <c r="BF151" s="51">
        <v>0.0</v>
      </c>
      <c r="BG151" s="51">
        <v>0.0</v>
      </c>
      <c r="BH151" s="51">
        <v>0.0</v>
      </c>
      <c r="BI151" s="51">
        <v>0.0</v>
      </c>
      <c r="BJ151" s="51">
        <v>0.0</v>
      </c>
      <c r="BK151" s="51">
        <v>0.0</v>
      </c>
      <c r="BL151" s="51">
        <v>0.0</v>
      </c>
      <c r="BM151" s="51">
        <v>7.361</v>
      </c>
      <c r="BN151" s="51">
        <v>11.477638888888889</v>
      </c>
      <c r="BO151" s="51">
        <v>13.342755208333331</v>
      </c>
      <c r="BP151" s="51">
        <v>16.519601686507936</v>
      </c>
      <c r="BQ151" s="51">
        <v>13.766334738756612</v>
      </c>
      <c r="BR151" s="51">
        <v>11.013067791005291</v>
      </c>
      <c r="BS151" s="51">
        <v>8.259800843253965</v>
      </c>
      <c r="BT151" s="51">
        <v>4.129900421626982</v>
      </c>
      <c r="BU151" s="51">
        <v>2.064950210813491</v>
      </c>
      <c r="BV151" s="51">
        <v>2.064950210813491</v>
      </c>
      <c r="BW151" s="106"/>
      <c r="BX151" s="106"/>
      <c r="BY151" s="106"/>
      <c r="BZ151" s="106"/>
      <c r="CA151" s="106"/>
      <c r="CB151" s="106"/>
      <c r="CC151" s="106"/>
      <c r="CD151" s="106"/>
      <c r="CE151" s="106"/>
      <c r="CF151" s="106"/>
      <c r="CG151" s="106"/>
      <c r="CH151" s="106"/>
      <c r="CI151" s="106"/>
      <c r="CJ151" s="106"/>
      <c r="CK151" s="106"/>
      <c r="CL151" s="106"/>
      <c r="CM151" s="106"/>
      <c r="CN151" s="106"/>
      <c r="CO151" s="106"/>
      <c r="CP151" s="106"/>
      <c r="CQ151" s="106"/>
      <c r="CR151" s="106"/>
      <c r="CS151" s="106"/>
      <c r="CT151" s="106"/>
      <c r="CU151" s="106"/>
      <c r="CV151" s="106"/>
      <c r="CW151" s="106"/>
      <c r="CX151" s="106"/>
      <c r="CY151" s="106"/>
      <c r="CZ151" s="106"/>
      <c r="DA151" s="106"/>
      <c r="DB151" s="106"/>
      <c r="DC151" s="106"/>
      <c r="DD151" s="106"/>
      <c r="DE151" s="106"/>
      <c r="DF151" s="106"/>
      <c r="DG151" s="106"/>
      <c r="DH151" s="106"/>
      <c r="DI151" s="106"/>
      <c r="DJ151" s="106"/>
      <c r="DK151" s="106"/>
      <c r="DL151" s="106"/>
      <c r="DM151" s="106"/>
      <c r="DN151" s="106"/>
      <c r="DO151" s="106"/>
      <c r="DP151" s="106"/>
      <c r="DQ151" s="106"/>
      <c r="DR151" s="106"/>
      <c r="DT151" s="50">
        <f t="shared" ref="DT151:DW151" si="192">+F151-E151</f>
        <v>0</v>
      </c>
      <c r="DU151" s="50">
        <f t="shared" si="192"/>
        <v>0</v>
      </c>
      <c r="DV151" s="50">
        <f t="shared" si="192"/>
        <v>0</v>
      </c>
      <c r="DW151" s="50">
        <f t="shared" si="192"/>
        <v>90</v>
      </c>
    </row>
    <row r="152" ht="15.75" hidden="1" customHeight="1" outlineLevel="1">
      <c r="B152" s="5" t="s">
        <v>97</v>
      </c>
      <c r="C152" s="72" t="s">
        <v>82</v>
      </c>
      <c r="E152" s="50">
        <f t="shared" ref="E152:M152" si="193">+SUMIFS($O152:$DR152,$O$7:$DR$7,E$7)</f>
        <v>1485.798</v>
      </c>
      <c r="F152" s="50">
        <f t="shared" si="193"/>
        <v>1561.755</v>
      </c>
      <c r="G152" s="50">
        <f t="shared" si="193"/>
        <v>1684.8</v>
      </c>
      <c r="H152" s="50">
        <f t="shared" si="193"/>
        <v>1689.372</v>
      </c>
      <c r="I152" s="50">
        <f t="shared" si="193"/>
        <v>2000</v>
      </c>
      <c r="J152" s="50">
        <f t="shared" si="193"/>
        <v>0</v>
      </c>
      <c r="K152" s="50">
        <f t="shared" si="193"/>
        <v>0</v>
      </c>
      <c r="L152" s="50">
        <f t="shared" si="193"/>
        <v>0</v>
      </c>
      <c r="M152" s="50">
        <f t="shared" si="193"/>
        <v>0</v>
      </c>
      <c r="O152" s="51">
        <v>125.786</v>
      </c>
      <c r="P152" s="51">
        <v>117.242</v>
      </c>
      <c r="Q152" s="51">
        <v>121.778</v>
      </c>
      <c r="R152" s="51">
        <v>145.58</v>
      </c>
      <c r="S152" s="51">
        <v>157.271</v>
      </c>
      <c r="T152" s="51">
        <v>140.537</v>
      </c>
      <c r="U152" s="51">
        <v>125.608</v>
      </c>
      <c r="V152" s="51">
        <v>123.05</v>
      </c>
      <c r="W152" s="51">
        <v>115.384</v>
      </c>
      <c r="X152" s="51">
        <v>148.635</v>
      </c>
      <c r="Y152" s="51">
        <v>91.436</v>
      </c>
      <c r="Z152" s="51">
        <v>73.491</v>
      </c>
      <c r="AA152" s="51">
        <v>117.978</v>
      </c>
      <c r="AB152" s="51">
        <v>94.514</v>
      </c>
      <c r="AC152" s="51">
        <v>120.697</v>
      </c>
      <c r="AD152" s="51">
        <v>124.439</v>
      </c>
      <c r="AE152" s="51">
        <v>150.26</v>
      </c>
      <c r="AF152" s="51">
        <v>132.993</v>
      </c>
      <c r="AG152" s="51">
        <v>103.02</v>
      </c>
      <c r="AH152" s="51">
        <v>198.716</v>
      </c>
      <c r="AI152" s="51">
        <v>186.183</v>
      </c>
      <c r="AJ152" s="51">
        <v>185.579</v>
      </c>
      <c r="AK152" s="51">
        <v>95.281</v>
      </c>
      <c r="AL152" s="51">
        <v>52.095</v>
      </c>
      <c r="AM152" s="51">
        <v>142.896</v>
      </c>
      <c r="AN152" s="51">
        <v>160.368</v>
      </c>
      <c r="AO152" s="51">
        <v>150.072</v>
      </c>
      <c r="AP152" s="51">
        <v>163.488</v>
      </c>
      <c r="AQ152" s="51">
        <v>117.156</v>
      </c>
      <c r="AR152" s="51">
        <v>145.704</v>
      </c>
      <c r="AS152" s="51">
        <v>248.976</v>
      </c>
      <c r="AT152" s="51">
        <v>112.32</v>
      </c>
      <c r="AU152" s="51">
        <v>182.988</v>
      </c>
      <c r="AV152" s="51">
        <v>102.804</v>
      </c>
      <c r="AW152" s="51">
        <v>100.464</v>
      </c>
      <c r="AX152" s="51">
        <v>57.564</v>
      </c>
      <c r="AY152" s="51">
        <v>160.195</v>
      </c>
      <c r="AZ152" s="51">
        <v>190.946</v>
      </c>
      <c r="BA152" s="51">
        <v>218.96</v>
      </c>
      <c r="BB152" s="51">
        <v>110.607</v>
      </c>
      <c r="BC152" s="51">
        <v>104.328</v>
      </c>
      <c r="BD152" s="51">
        <v>150.374</v>
      </c>
      <c r="BE152" s="51">
        <v>189.98</v>
      </c>
      <c r="BF152" s="51">
        <v>145.383</v>
      </c>
      <c r="BG152" s="51">
        <v>115.115</v>
      </c>
      <c r="BH152" s="51">
        <v>84.203</v>
      </c>
      <c r="BI152" s="51">
        <v>126.707</v>
      </c>
      <c r="BJ152" s="51">
        <v>92.574</v>
      </c>
      <c r="BK152" s="51">
        <v>106.809</v>
      </c>
      <c r="BL152" s="51">
        <v>124.248</v>
      </c>
      <c r="BM152" s="51">
        <v>184.702</v>
      </c>
      <c r="BN152" s="51">
        <v>176.0267777777778</v>
      </c>
      <c r="BO152" s="51">
        <v>184.82811666666666</v>
      </c>
      <c r="BP152" s="51">
        <v>192.24638801587304</v>
      </c>
      <c r="BQ152" s="51">
        <v>197.63511252843912</v>
      </c>
      <c r="BR152" s="51">
        <v>191.70605915258596</v>
      </c>
      <c r="BS152" s="51">
        <v>184.51708193436403</v>
      </c>
      <c r="BT152" s="51">
        <v>175.2912278376458</v>
      </c>
      <c r="BU152" s="51">
        <v>155.0946298476561</v>
      </c>
      <c r="BV152" s="51">
        <v>126.89560623899149</v>
      </c>
      <c r="BW152" s="106"/>
      <c r="BX152" s="106"/>
      <c r="BY152" s="106"/>
      <c r="BZ152" s="106"/>
      <c r="CA152" s="106"/>
      <c r="CB152" s="106"/>
      <c r="CC152" s="106"/>
      <c r="CD152" s="106"/>
      <c r="CE152" s="106"/>
      <c r="CF152" s="106"/>
      <c r="CG152" s="106"/>
      <c r="CH152" s="106"/>
      <c r="CI152" s="106"/>
      <c r="CJ152" s="106"/>
      <c r="CK152" s="106"/>
      <c r="CL152" s="106"/>
      <c r="CM152" s="106"/>
      <c r="CN152" s="106"/>
      <c r="CO152" s="106"/>
      <c r="CP152" s="106"/>
      <c r="CQ152" s="106"/>
      <c r="CR152" s="106"/>
      <c r="CS152" s="106"/>
      <c r="CT152" s="106"/>
      <c r="CU152" s="106"/>
      <c r="CV152" s="106"/>
      <c r="CW152" s="106"/>
      <c r="CX152" s="106"/>
      <c r="CY152" s="106"/>
      <c r="CZ152" s="106"/>
      <c r="DA152" s="106"/>
      <c r="DB152" s="106"/>
      <c r="DC152" s="106"/>
      <c r="DD152" s="106"/>
      <c r="DE152" s="106"/>
      <c r="DF152" s="106"/>
      <c r="DG152" s="106"/>
      <c r="DH152" s="106"/>
      <c r="DI152" s="106"/>
      <c r="DJ152" s="106"/>
      <c r="DK152" s="106"/>
      <c r="DL152" s="106"/>
      <c r="DM152" s="106"/>
      <c r="DN152" s="106"/>
      <c r="DO152" s="106"/>
      <c r="DP152" s="106"/>
      <c r="DQ152" s="106"/>
      <c r="DR152" s="106"/>
      <c r="DT152" s="50">
        <f t="shared" ref="DT152:DW152" si="194">+F152-E152</f>
        <v>75.957</v>
      </c>
      <c r="DU152" s="50">
        <f t="shared" si="194"/>
        <v>123.045</v>
      </c>
      <c r="DV152" s="50">
        <f t="shared" si="194"/>
        <v>4.572</v>
      </c>
      <c r="DW152" s="50">
        <f t="shared" si="194"/>
        <v>310.628</v>
      </c>
    </row>
    <row r="153" ht="15.75" hidden="1" customHeight="1" outlineLevel="1">
      <c r="B153" s="5" t="s">
        <v>98</v>
      </c>
      <c r="C153" s="72" t="s">
        <v>74</v>
      </c>
      <c r="E153" s="50">
        <f t="shared" ref="E153:M153" si="195">+SUMIFS($O153:$DR153,$O$7:$DR$7,E$7)</f>
        <v>0</v>
      </c>
      <c r="F153" s="50">
        <f t="shared" si="195"/>
        <v>23.04</v>
      </c>
      <c r="G153" s="50">
        <f t="shared" si="195"/>
        <v>16.432</v>
      </c>
      <c r="H153" s="50">
        <f t="shared" si="195"/>
        <v>44.446</v>
      </c>
      <c r="I153" s="50">
        <f t="shared" si="195"/>
        <v>20</v>
      </c>
      <c r="J153" s="50">
        <f t="shared" si="195"/>
        <v>0</v>
      </c>
      <c r="K153" s="50">
        <f t="shared" si="195"/>
        <v>0</v>
      </c>
      <c r="L153" s="50">
        <f t="shared" si="195"/>
        <v>0</v>
      </c>
      <c r="M153" s="50">
        <f t="shared" si="195"/>
        <v>0</v>
      </c>
      <c r="O153" s="51">
        <v>0.0</v>
      </c>
      <c r="P153" s="51">
        <v>0.0</v>
      </c>
      <c r="Q153" s="51">
        <v>0.0</v>
      </c>
      <c r="R153" s="51">
        <v>0.0</v>
      </c>
      <c r="S153" s="51">
        <v>0.0</v>
      </c>
      <c r="T153" s="51">
        <v>0.0</v>
      </c>
      <c r="U153" s="51">
        <v>0.0</v>
      </c>
      <c r="V153" s="51">
        <v>0.0</v>
      </c>
      <c r="W153" s="51">
        <v>0.0</v>
      </c>
      <c r="X153" s="51">
        <v>0.0</v>
      </c>
      <c r="Y153" s="51">
        <v>0.0</v>
      </c>
      <c r="Z153" s="51">
        <v>0.0</v>
      </c>
      <c r="AA153" s="51">
        <v>0.0</v>
      </c>
      <c r="AB153" s="51">
        <v>0.0</v>
      </c>
      <c r="AC153" s="51">
        <v>0.0</v>
      </c>
      <c r="AD153" s="51">
        <v>0.0</v>
      </c>
      <c r="AE153" s="51">
        <v>2.25</v>
      </c>
      <c r="AF153" s="51">
        <v>6.75</v>
      </c>
      <c r="AG153" s="51">
        <v>0.75</v>
      </c>
      <c r="AH153" s="51">
        <v>3.0</v>
      </c>
      <c r="AI153" s="51">
        <v>1.5</v>
      </c>
      <c r="AJ153" s="51">
        <v>1.26</v>
      </c>
      <c r="AK153" s="51">
        <v>5.655</v>
      </c>
      <c r="AL153" s="51">
        <v>1.875</v>
      </c>
      <c r="AM153" s="51">
        <v>0.51</v>
      </c>
      <c r="AN153" s="51">
        <v>1.425</v>
      </c>
      <c r="AO153" s="51">
        <v>0.0</v>
      </c>
      <c r="AP153" s="51">
        <v>0.0</v>
      </c>
      <c r="AQ153" s="51">
        <v>0.0</v>
      </c>
      <c r="AR153" s="51">
        <v>0.0</v>
      </c>
      <c r="AS153" s="51">
        <v>0.0</v>
      </c>
      <c r="AT153" s="51">
        <v>0.0</v>
      </c>
      <c r="AU153" s="51">
        <v>5.757</v>
      </c>
      <c r="AV153" s="51">
        <v>2.584</v>
      </c>
      <c r="AW153" s="51">
        <v>3.99</v>
      </c>
      <c r="AX153" s="51">
        <v>2.166</v>
      </c>
      <c r="AY153" s="51">
        <v>4.203</v>
      </c>
      <c r="AZ153" s="51">
        <v>6.237</v>
      </c>
      <c r="BA153" s="51">
        <v>9.801</v>
      </c>
      <c r="BB153" s="51">
        <v>0.513</v>
      </c>
      <c r="BC153" s="51">
        <v>1.292</v>
      </c>
      <c r="BD153" s="51">
        <v>12.0</v>
      </c>
      <c r="BE153" s="51">
        <v>0.0</v>
      </c>
      <c r="BF153" s="51">
        <v>0.0</v>
      </c>
      <c r="BG153" s="51">
        <v>0.0</v>
      </c>
      <c r="BH153" s="51">
        <v>4.58</v>
      </c>
      <c r="BI153" s="51">
        <v>0.0</v>
      </c>
      <c r="BJ153" s="51">
        <v>5.82</v>
      </c>
      <c r="BK153" s="51">
        <v>1.52</v>
      </c>
      <c r="BL153" s="51">
        <v>0.08</v>
      </c>
      <c r="BM153" s="51">
        <v>1.386</v>
      </c>
      <c r="BN153" s="51">
        <v>1.8904444444444444</v>
      </c>
      <c r="BO153" s="51">
        <v>1.8904444444444444</v>
      </c>
      <c r="BP153" s="51">
        <v>1.8904444444444446</v>
      </c>
      <c r="BQ153" s="51">
        <v>1.8904444444444444</v>
      </c>
      <c r="BR153" s="51">
        <v>1.8904444444444446</v>
      </c>
      <c r="BS153" s="51">
        <v>1.8904444444444444</v>
      </c>
      <c r="BT153" s="51">
        <v>1.8904444444444441</v>
      </c>
      <c r="BU153" s="51">
        <v>1.8904444444444444</v>
      </c>
      <c r="BV153" s="51">
        <v>1.8904444444444453</v>
      </c>
      <c r="BW153" s="106"/>
      <c r="BX153" s="106"/>
      <c r="BY153" s="106"/>
      <c r="BZ153" s="106"/>
      <c r="CA153" s="106"/>
      <c r="CB153" s="106"/>
      <c r="CC153" s="106"/>
      <c r="CD153" s="106"/>
      <c r="CE153" s="106"/>
      <c r="CF153" s="106"/>
      <c r="CG153" s="106"/>
      <c r="CH153" s="106"/>
      <c r="CI153" s="106"/>
      <c r="CJ153" s="106"/>
      <c r="CK153" s="106"/>
      <c r="CL153" s="106"/>
      <c r="CM153" s="106"/>
      <c r="CN153" s="106"/>
      <c r="CO153" s="106"/>
      <c r="CP153" s="106"/>
      <c r="CQ153" s="106"/>
      <c r="CR153" s="106"/>
      <c r="CS153" s="106"/>
      <c r="CT153" s="106"/>
      <c r="CU153" s="106"/>
      <c r="CV153" s="106"/>
      <c r="CW153" s="106"/>
      <c r="CX153" s="106"/>
      <c r="CY153" s="106"/>
      <c r="CZ153" s="106"/>
      <c r="DA153" s="106"/>
      <c r="DB153" s="106"/>
      <c r="DC153" s="106"/>
      <c r="DD153" s="106"/>
      <c r="DE153" s="106"/>
      <c r="DF153" s="106"/>
      <c r="DG153" s="106"/>
      <c r="DH153" s="106"/>
      <c r="DI153" s="106"/>
      <c r="DJ153" s="106"/>
      <c r="DK153" s="106"/>
      <c r="DL153" s="106"/>
      <c r="DM153" s="106"/>
      <c r="DN153" s="106"/>
      <c r="DO153" s="106"/>
      <c r="DP153" s="106"/>
      <c r="DQ153" s="106"/>
      <c r="DR153" s="106"/>
      <c r="DT153" s="50">
        <f t="shared" ref="DT153:DW153" si="196">+F153-E153</f>
        <v>23.04</v>
      </c>
      <c r="DU153" s="50">
        <f t="shared" si="196"/>
        <v>-6.608</v>
      </c>
      <c r="DV153" s="50">
        <f t="shared" si="196"/>
        <v>28.014</v>
      </c>
      <c r="DW153" s="50">
        <f t="shared" si="196"/>
        <v>-24.446</v>
      </c>
    </row>
    <row r="154" ht="15.75" hidden="1" customHeight="1" outlineLevel="1">
      <c r="B154" s="5" t="s">
        <v>99</v>
      </c>
      <c r="C154" s="72" t="s">
        <v>70</v>
      </c>
      <c r="E154" s="50">
        <f t="shared" ref="E154:M154" si="197">+SUMIFS($O154:$DR154,$O$7:$DR$7,E$7)</f>
        <v>0</v>
      </c>
      <c r="F154" s="50">
        <f t="shared" si="197"/>
        <v>0</v>
      </c>
      <c r="G154" s="50">
        <f t="shared" si="197"/>
        <v>0</v>
      </c>
      <c r="H154" s="50">
        <f t="shared" si="197"/>
        <v>19.85</v>
      </c>
      <c r="I154" s="50">
        <f t="shared" si="197"/>
        <v>30</v>
      </c>
      <c r="J154" s="50">
        <f t="shared" si="197"/>
        <v>0</v>
      </c>
      <c r="K154" s="50">
        <f t="shared" si="197"/>
        <v>0</v>
      </c>
      <c r="L154" s="50">
        <f t="shared" si="197"/>
        <v>0</v>
      </c>
      <c r="M154" s="50">
        <f t="shared" si="197"/>
        <v>0</v>
      </c>
      <c r="O154" s="51">
        <v>0.0</v>
      </c>
      <c r="P154" s="51">
        <v>0.0</v>
      </c>
      <c r="Q154" s="51">
        <v>0.0</v>
      </c>
      <c r="R154" s="51">
        <v>0.0</v>
      </c>
      <c r="S154" s="51">
        <v>0.0</v>
      </c>
      <c r="T154" s="51">
        <v>0.0</v>
      </c>
      <c r="U154" s="51">
        <v>0.0</v>
      </c>
      <c r="V154" s="51">
        <v>0.0</v>
      </c>
      <c r="W154" s="51">
        <v>0.0</v>
      </c>
      <c r="X154" s="51">
        <v>0.0</v>
      </c>
      <c r="Y154" s="51">
        <v>0.0</v>
      </c>
      <c r="Z154" s="51">
        <v>0.0</v>
      </c>
      <c r="AA154" s="51">
        <v>0.0</v>
      </c>
      <c r="AB154" s="51">
        <v>0.0</v>
      </c>
      <c r="AC154" s="51">
        <v>0.0</v>
      </c>
      <c r="AD154" s="51">
        <v>0.0</v>
      </c>
      <c r="AE154" s="51">
        <v>0.0</v>
      </c>
      <c r="AF154" s="51">
        <v>0.0</v>
      </c>
      <c r="AG154" s="51">
        <v>0.0</v>
      </c>
      <c r="AH154" s="51">
        <v>0.0</v>
      </c>
      <c r="AI154" s="51">
        <v>0.0</v>
      </c>
      <c r="AJ154" s="51">
        <v>0.0</v>
      </c>
      <c r="AK154" s="51">
        <v>0.0</v>
      </c>
      <c r="AL154" s="51">
        <v>0.0</v>
      </c>
      <c r="AM154" s="51">
        <v>0.0</v>
      </c>
      <c r="AN154" s="51">
        <v>0.0</v>
      </c>
      <c r="AO154" s="51">
        <v>0.0</v>
      </c>
      <c r="AP154" s="51">
        <v>0.0</v>
      </c>
      <c r="AQ154" s="51">
        <v>0.0</v>
      </c>
      <c r="AR154" s="51">
        <v>0.0</v>
      </c>
      <c r="AS154" s="51">
        <v>0.0</v>
      </c>
      <c r="AT154" s="51">
        <v>0.0</v>
      </c>
      <c r="AU154" s="51">
        <v>0.0</v>
      </c>
      <c r="AV154" s="51">
        <v>0.0</v>
      </c>
      <c r="AW154" s="51">
        <v>0.0</v>
      </c>
      <c r="AX154" s="51">
        <v>0.0</v>
      </c>
      <c r="AY154" s="51">
        <v>0.0</v>
      </c>
      <c r="AZ154" s="51">
        <v>0.0</v>
      </c>
      <c r="BA154" s="51">
        <v>0.0</v>
      </c>
      <c r="BB154" s="51">
        <v>0.0</v>
      </c>
      <c r="BC154" s="51">
        <v>0.0</v>
      </c>
      <c r="BD154" s="51">
        <v>0.0</v>
      </c>
      <c r="BE154" s="51">
        <v>0.0</v>
      </c>
      <c r="BF154" s="51">
        <v>8.827</v>
      </c>
      <c r="BG154" s="51">
        <v>0.963</v>
      </c>
      <c r="BH154" s="51">
        <v>4.23</v>
      </c>
      <c r="BI154" s="51">
        <v>0.66</v>
      </c>
      <c r="BJ154" s="51">
        <v>5.17</v>
      </c>
      <c r="BK154" s="51">
        <v>0.0</v>
      </c>
      <c r="BL154" s="51">
        <v>6.0</v>
      </c>
      <c r="BM154" s="51">
        <v>2.145</v>
      </c>
      <c r="BN154" s="51">
        <v>2.4283333333333337</v>
      </c>
      <c r="BO154" s="51">
        <v>2.4283333333333332</v>
      </c>
      <c r="BP154" s="51">
        <v>2.4283333333333332</v>
      </c>
      <c r="BQ154" s="51">
        <v>2.4283333333333337</v>
      </c>
      <c r="BR154" s="51">
        <v>2.4283333333333337</v>
      </c>
      <c r="BS154" s="51">
        <v>2.428333333333334</v>
      </c>
      <c r="BT154" s="51">
        <v>2.4283333333333337</v>
      </c>
      <c r="BU154" s="51">
        <v>2.428333333333334</v>
      </c>
      <c r="BV154" s="51">
        <v>2.428333333333336</v>
      </c>
      <c r="BW154" s="106"/>
      <c r="BX154" s="106"/>
      <c r="BY154" s="106"/>
      <c r="BZ154" s="106"/>
      <c r="CA154" s="106"/>
      <c r="CB154" s="106"/>
      <c r="CC154" s="106"/>
      <c r="CD154" s="106"/>
      <c r="CE154" s="106"/>
      <c r="CF154" s="106"/>
      <c r="CG154" s="106"/>
      <c r="CH154" s="106"/>
      <c r="CI154" s="106"/>
      <c r="CJ154" s="106"/>
      <c r="CK154" s="106"/>
      <c r="CL154" s="106"/>
      <c r="CM154" s="106"/>
      <c r="CN154" s="106"/>
      <c r="CO154" s="106"/>
      <c r="CP154" s="106"/>
      <c r="CQ154" s="106"/>
      <c r="CR154" s="106"/>
      <c r="CS154" s="106"/>
      <c r="CT154" s="106"/>
      <c r="CU154" s="106"/>
      <c r="CV154" s="106"/>
      <c r="CW154" s="106"/>
      <c r="CX154" s="106"/>
      <c r="CY154" s="106"/>
      <c r="CZ154" s="106"/>
      <c r="DA154" s="106"/>
      <c r="DB154" s="106"/>
      <c r="DC154" s="106"/>
      <c r="DD154" s="106"/>
      <c r="DE154" s="106"/>
      <c r="DF154" s="106"/>
      <c r="DG154" s="106"/>
      <c r="DH154" s="106"/>
      <c r="DI154" s="106"/>
      <c r="DJ154" s="106"/>
      <c r="DK154" s="106"/>
      <c r="DL154" s="106"/>
      <c r="DM154" s="106"/>
      <c r="DN154" s="106"/>
      <c r="DO154" s="106"/>
      <c r="DP154" s="106"/>
      <c r="DQ154" s="106"/>
      <c r="DR154" s="106"/>
      <c r="DT154" s="50">
        <f t="shared" ref="DT154:DW154" si="198">+F154-E154</f>
        <v>0</v>
      </c>
      <c r="DU154" s="50">
        <f t="shared" si="198"/>
        <v>0</v>
      </c>
      <c r="DV154" s="50">
        <f t="shared" si="198"/>
        <v>19.85</v>
      </c>
      <c r="DW154" s="50">
        <f t="shared" si="198"/>
        <v>10.15</v>
      </c>
    </row>
    <row r="155" ht="15.75" hidden="1" customHeight="1" outlineLevel="1">
      <c r="B155" s="5" t="s">
        <v>100</v>
      </c>
      <c r="C155" s="72" t="s">
        <v>82</v>
      </c>
      <c r="E155" s="50">
        <f t="shared" ref="E155:M155" si="199">+SUMIFS($O155:$DR155,$O$7:$DR$7,E$7)</f>
        <v>767.593</v>
      </c>
      <c r="F155" s="50">
        <f t="shared" si="199"/>
        <v>712.922</v>
      </c>
      <c r="G155" s="50">
        <f t="shared" si="199"/>
        <v>1142.264</v>
      </c>
      <c r="H155" s="50">
        <f t="shared" si="199"/>
        <v>1472.135</v>
      </c>
      <c r="I155" s="50">
        <f t="shared" si="199"/>
        <v>2061.12</v>
      </c>
      <c r="J155" s="50">
        <f t="shared" si="199"/>
        <v>0</v>
      </c>
      <c r="K155" s="50">
        <f t="shared" si="199"/>
        <v>0</v>
      </c>
      <c r="L155" s="50">
        <f t="shared" si="199"/>
        <v>0</v>
      </c>
      <c r="M155" s="50">
        <f t="shared" si="199"/>
        <v>0</v>
      </c>
      <c r="O155" s="51">
        <v>52.288</v>
      </c>
      <c r="P155" s="51">
        <v>50.364</v>
      </c>
      <c r="Q155" s="51">
        <v>60.404</v>
      </c>
      <c r="R155" s="51">
        <v>101.409</v>
      </c>
      <c r="S155" s="51">
        <v>56.004</v>
      </c>
      <c r="T155" s="51">
        <v>98.133</v>
      </c>
      <c r="U155" s="51">
        <v>69.365</v>
      </c>
      <c r="V155" s="51">
        <v>46.864</v>
      </c>
      <c r="W155" s="51">
        <v>83.113</v>
      </c>
      <c r="X155" s="51">
        <v>74.009</v>
      </c>
      <c r="Y155" s="51">
        <v>22.665</v>
      </c>
      <c r="Z155" s="51">
        <v>52.975</v>
      </c>
      <c r="AA155" s="51">
        <v>89.638</v>
      </c>
      <c r="AB155" s="51">
        <v>29.925</v>
      </c>
      <c r="AC155" s="51">
        <v>52.425</v>
      </c>
      <c r="AD155" s="51">
        <v>25.183</v>
      </c>
      <c r="AE155" s="51">
        <v>53.604</v>
      </c>
      <c r="AF155" s="51">
        <v>81.273</v>
      </c>
      <c r="AG155" s="51">
        <v>55.132</v>
      </c>
      <c r="AH155" s="51">
        <v>82.186</v>
      </c>
      <c r="AI155" s="51">
        <v>38.474</v>
      </c>
      <c r="AJ155" s="51">
        <v>15.027</v>
      </c>
      <c r="AK155" s="51">
        <v>149.266</v>
      </c>
      <c r="AL155" s="51">
        <v>40.789</v>
      </c>
      <c r="AM155" s="51">
        <v>42.193</v>
      </c>
      <c r="AN155" s="51">
        <v>66.06</v>
      </c>
      <c r="AO155" s="51">
        <v>91.823</v>
      </c>
      <c r="AP155" s="51">
        <v>83.763</v>
      </c>
      <c r="AQ155" s="51">
        <v>64.359</v>
      </c>
      <c r="AR155" s="51">
        <v>134.313</v>
      </c>
      <c r="AS155" s="51">
        <v>93.505</v>
      </c>
      <c r="AT155" s="51">
        <v>83.238</v>
      </c>
      <c r="AU155" s="51">
        <v>93.172</v>
      </c>
      <c r="AV155" s="51">
        <v>107.074</v>
      </c>
      <c r="AW155" s="51">
        <v>115.477</v>
      </c>
      <c r="AX155" s="51">
        <v>167.287</v>
      </c>
      <c r="AY155" s="51">
        <v>104.708</v>
      </c>
      <c r="AZ155" s="51">
        <v>131.038</v>
      </c>
      <c r="BA155" s="51">
        <v>259.438</v>
      </c>
      <c r="BB155" s="51">
        <v>105.898</v>
      </c>
      <c r="BC155" s="51">
        <v>115.263</v>
      </c>
      <c r="BD155" s="51">
        <v>163.982</v>
      </c>
      <c r="BE155" s="51">
        <v>169.621</v>
      </c>
      <c r="BF155" s="51">
        <v>91.756</v>
      </c>
      <c r="BG155" s="51">
        <v>85.168</v>
      </c>
      <c r="BH155" s="51">
        <v>136.489</v>
      </c>
      <c r="BI155" s="51">
        <v>39.301</v>
      </c>
      <c r="BJ155" s="51">
        <v>69.473</v>
      </c>
      <c r="BK155" s="51">
        <v>188.956</v>
      </c>
      <c r="BL155" s="51">
        <v>240.349</v>
      </c>
      <c r="BM155" s="51">
        <v>259.185</v>
      </c>
      <c r="BN155" s="51">
        <v>160.14016666666666</v>
      </c>
      <c r="BO155" s="51">
        <v>162.92832135416668</v>
      </c>
      <c r="BP155" s="51">
        <v>164.93109473958336</v>
      </c>
      <c r="BQ155" s="51">
        <v>162.1822431605903</v>
      </c>
      <c r="BR155" s="51">
        <v>158.9385982973785</v>
      </c>
      <c r="BS155" s="51">
        <v>154.965133339944</v>
      </c>
      <c r="BT155" s="51">
        <v>149.79962889527917</v>
      </c>
      <c r="BU155" s="51">
        <v>142.30964745051517</v>
      </c>
      <c r="BV155" s="51">
        <v>116.43516609587614</v>
      </c>
      <c r="BW155" s="106"/>
      <c r="BX155" s="106"/>
      <c r="BY155" s="106"/>
      <c r="BZ155" s="106"/>
      <c r="CA155" s="106"/>
      <c r="CB155" s="106"/>
      <c r="CC155" s="106"/>
      <c r="CD155" s="106"/>
      <c r="CE155" s="106"/>
      <c r="CF155" s="106"/>
      <c r="CG155" s="106"/>
      <c r="CH155" s="106"/>
      <c r="CI155" s="106"/>
      <c r="CJ155" s="106"/>
      <c r="CK155" s="106"/>
      <c r="CL155" s="106"/>
      <c r="CM155" s="106"/>
      <c r="CN155" s="106"/>
      <c r="CO155" s="106"/>
      <c r="CP155" s="106"/>
      <c r="CQ155" s="106"/>
      <c r="CR155" s="106"/>
      <c r="CS155" s="106"/>
      <c r="CT155" s="106"/>
      <c r="CU155" s="106"/>
      <c r="CV155" s="106"/>
      <c r="CW155" s="106"/>
      <c r="CX155" s="106"/>
      <c r="CY155" s="106"/>
      <c r="CZ155" s="106"/>
      <c r="DA155" s="106"/>
      <c r="DB155" s="106"/>
      <c r="DC155" s="106"/>
      <c r="DD155" s="106"/>
      <c r="DE155" s="106"/>
      <c r="DF155" s="106"/>
      <c r="DG155" s="106"/>
      <c r="DH155" s="106"/>
      <c r="DI155" s="106"/>
      <c r="DJ155" s="106"/>
      <c r="DK155" s="106"/>
      <c r="DL155" s="106"/>
      <c r="DM155" s="106"/>
      <c r="DN155" s="106"/>
      <c r="DO155" s="106"/>
      <c r="DP155" s="106"/>
      <c r="DQ155" s="106"/>
      <c r="DR155" s="106"/>
      <c r="DT155" s="50">
        <f t="shared" ref="DT155:DW155" si="200">+F155-E155</f>
        <v>-54.671</v>
      </c>
      <c r="DU155" s="50">
        <f t="shared" si="200"/>
        <v>429.342</v>
      </c>
      <c r="DV155" s="50">
        <f t="shared" si="200"/>
        <v>329.871</v>
      </c>
      <c r="DW155" s="50">
        <f t="shared" si="200"/>
        <v>588.985</v>
      </c>
    </row>
    <row r="156" ht="15.75" hidden="1" customHeight="1" outlineLevel="1">
      <c r="B156" s="5" t="s">
        <v>101</v>
      </c>
      <c r="C156" s="72" t="s">
        <v>70</v>
      </c>
      <c r="E156" s="50">
        <f t="shared" ref="E156:M156" si="201">+SUMIFS($O156:$DR156,$O$7:$DR$7,E$7)</f>
        <v>0</v>
      </c>
      <c r="F156" s="50">
        <f t="shared" si="201"/>
        <v>0</v>
      </c>
      <c r="G156" s="50">
        <f t="shared" si="201"/>
        <v>20.013</v>
      </c>
      <c r="H156" s="50">
        <f t="shared" si="201"/>
        <v>2.052</v>
      </c>
      <c r="I156" s="50">
        <f t="shared" si="201"/>
        <v>3.5</v>
      </c>
      <c r="J156" s="50">
        <f t="shared" si="201"/>
        <v>0</v>
      </c>
      <c r="K156" s="50">
        <f t="shared" si="201"/>
        <v>0</v>
      </c>
      <c r="L156" s="50">
        <f t="shared" si="201"/>
        <v>0</v>
      </c>
      <c r="M156" s="50">
        <f t="shared" si="201"/>
        <v>0</v>
      </c>
      <c r="O156" s="51">
        <v>0.0</v>
      </c>
      <c r="P156" s="51">
        <v>0.0</v>
      </c>
      <c r="Q156" s="51">
        <v>0.0</v>
      </c>
      <c r="R156" s="51">
        <v>0.0</v>
      </c>
      <c r="S156" s="51">
        <v>0.0</v>
      </c>
      <c r="T156" s="51">
        <v>0.0</v>
      </c>
      <c r="U156" s="51">
        <v>0.0</v>
      </c>
      <c r="V156" s="51">
        <v>0.0</v>
      </c>
      <c r="W156" s="51">
        <v>0.0</v>
      </c>
      <c r="X156" s="51">
        <v>0.0</v>
      </c>
      <c r="Y156" s="51">
        <v>0.0</v>
      </c>
      <c r="Z156" s="51">
        <v>0.0</v>
      </c>
      <c r="AA156" s="51">
        <v>0.0</v>
      </c>
      <c r="AB156" s="51">
        <v>0.0</v>
      </c>
      <c r="AC156" s="51">
        <v>0.0</v>
      </c>
      <c r="AD156" s="51">
        <v>0.0</v>
      </c>
      <c r="AE156" s="51">
        <v>0.0</v>
      </c>
      <c r="AF156" s="51">
        <v>0.0</v>
      </c>
      <c r="AG156" s="51">
        <v>0.0</v>
      </c>
      <c r="AH156" s="51">
        <v>0.0</v>
      </c>
      <c r="AI156" s="51">
        <v>0.0</v>
      </c>
      <c r="AJ156" s="51">
        <v>0.0</v>
      </c>
      <c r="AK156" s="51">
        <v>0.0</v>
      </c>
      <c r="AL156" s="51">
        <v>0.0</v>
      </c>
      <c r="AM156" s="51">
        <v>0.0</v>
      </c>
      <c r="AN156" s="51">
        <v>0.555</v>
      </c>
      <c r="AO156" s="51">
        <v>0.0</v>
      </c>
      <c r="AP156" s="51">
        <v>1.29</v>
      </c>
      <c r="AQ156" s="51">
        <v>0.645</v>
      </c>
      <c r="AR156" s="51">
        <v>0.215</v>
      </c>
      <c r="AS156" s="51">
        <v>0.0</v>
      </c>
      <c r="AT156" s="51">
        <v>0.0</v>
      </c>
      <c r="AU156" s="51">
        <v>0.0</v>
      </c>
      <c r="AV156" s="51">
        <v>0.0</v>
      </c>
      <c r="AW156" s="51">
        <v>8.88</v>
      </c>
      <c r="AX156" s="51">
        <v>8.428</v>
      </c>
      <c r="AY156" s="51">
        <v>2.052</v>
      </c>
      <c r="AZ156" s="51">
        <v>0.0</v>
      </c>
      <c r="BA156" s="51">
        <v>0.0</v>
      </c>
      <c r="BB156" s="51">
        <v>0.0</v>
      </c>
      <c r="BC156" s="51">
        <v>0.0</v>
      </c>
      <c r="BD156" s="51">
        <v>0.0</v>
      </c>
      <c r="BE156" s="51">
        <v>0.0</v>
      </c>
      <c r="BF156" s="51">
        <v>0.0</v>
      </c>
      <c r="BG156" s="51">
        <v>0.0</v>
      </c>
      <c r="BH156" s="51">
        <v>0.0</v>
      </c>
      <c r="BI156" s="51">
        <v>0.0</v>
      </c>
      <c r="BJ156" s="51">
        <v>0.0</v>
      </c>
      <c r="BK156" s="51">
        <v>0.0</v>
      </c>
      <c r="BL156" s="51">
        <v>0.0</v>
      </c>
      <c r="BM156" s="51">
        <v>0.0</v>
      </c>
      <c r="BN156" s="51">
        <v>0.3888888888888889</v>
      </c>
      <c r="BO156" s="51">
        <v>0.3888888888888889</v>
      </c>
      <c r="BP156" s="51">
        <v>0.38888888888888884</v>
      </c>
      <c r="BQ156" s="51">
        <v>0.38888888888888884</v>
      </c>
      <c r="BR156" s="51">
        <v>0.38888888888888884</v>
      </c>
      <c r="BS156" s="51">
        <v>0.38888888888888884</v>
      </c>
      <c r="BT156" s="51">
        <v>0.38888888888888884</v>
      </c>
      <c r="BU156" s="51">
        <v>0.3888888888888889</v>
      </c>
      <c r="BV156" s="51">
        <v>0.3888888888888887</v>
      </c>
      <c r="BW156" s="106"/>
      <c r="BX156" s="106"/>
      <c r="BY156" s="106"/>
      <c r="BZ156" s="106"/>
      <c r="CA156" s="106"/>
      <c r="CB156" s="106"/>
      <c r="CC156" s="106"/>
      <c r="CD156" s="106"/>
      <c r="CE156" s="106"/>
      <c r="CF156" s="106"/>
      <c r="CG156" s="106"/>
      <c r="CH156" s="106"/>
      <c r="CI156" s="106"/>
      <c r="CJ156" s="106"/>
      <c r="CK156" s="106"/>
      <c r="CL156" s="106"/>
      <c r="CM156" s="106"/>
      <c r="CN156" s="106"/>
      <c r="CO156" s="106"/>
      <c r="CP156" s="106"/>
      <c r="CQ156" s="106"/>
      <c r="CR156" s="106"/>
      <c r="CS156" s="106"/>
      <c r="CT156" s="106"/>
      <c r="CU156" s="106"/>
      <c r="CV156" s="106"/>
      <c r="CW156" s="106"/>
      <c r="CX156" s="106"/>
      <c r="CY156" s="106"/>
      <c r="CZ156" s="106"/>
      <c r="DA156" s="106"/>
      <c r="DB156" s="106"/>
      <c r="DC156" s="106"/>
      <c r="DD156" s="106"/>
      <c r="DE156" s="106"/>
      <c r="DF156" s="106"/>
      <c r="DG156" s="106"/>
      <c r="DH156" s="106"/>
      <c r="DI156" s="106"/>
      <c r="DJ156" s="106"/>
      <c r="DK156" s="106"/>
      <c r="DL156" s="106"/>
      <c r="DM156" s="106"/>
      <c r="DN156" s="106"/>
      <c r="DO156" s="106"/>
      <c r="DP156" s="106"/>
      <c r="DQ156" s="106"/>
      <c r="DR156" s="106"/>
      <c r="DT156" s="50">
        <f t="shared" ref="DT156:DW156" si="202">+F156-E156</f>
        <v>0</v>
      </c>
      <c r="DU156" s="50">
        <f t="shared" si="202"/>
        <v>20.013</v>
      </c>
      <c r="DV156" s="50">
        <f t="shared" si="202"/>
        <v>-17.961</v>
      </c>
      <c r="DW156" s="50">
        <f t="shared" si="202"/>
        <v>1.448</v>
      </c>
    </row>
    <row r="157" ht="15.75" hidden="1" customHeight="1" outlineLevel="1">
      <c r="B157" s="5" t="s">
        <v>102</v>
      </c>
      <c r="C157" s="72" t="s">
        <v>70</v>
      </c>
      <c r="E157" s="50">
        <f t="shared" ref="E157:M157" si="203">+SUMIFS($O157:$DR157,$O$7:$DR$7,E$7)</f>
        <v>0</v>
      </c>
      <c r="F157" s="50">
        <f t="shared" si="203"/>
        <v>0</v>
      </c>
      <c r="G157" s="50">
        <f t="shared" si="203"/>
        <v>0</v>
      </c>
      <c r="H157" s="50">
        <f t="shared" si="203"/>
        <v>0</v>
      </c>
      <c r="I157" s="50">
        <f t="shared" si="203"/>
        <v>15</v>
      </c>
      <c r="J157" s="50">
        <f t="shared" si="203"/>
        <v>0</v>
      </c>
      <c r="K157" s="50">
        <f t="shared" si="203"/>
        <v>0</v>
      </c>
      <c r="L157" s="50">
        <f t="shared" si="203"/>
        <v>0</v>
      </c>
      <c r="M157" s="50">
        <f t="shared" si="203"/>
        <v>0</v>
      </c>
      <c r="O157" s="51">
        <v>0.0</v>
      </c>
      <c r="P157" s="51">
        <v>0.0</v>
      </c>
      <c r="Q157" s="51">
        <v>0.0</v>
      </c>
      <c r="R157" s="51">
        <v>0.0</v>
      </c>
      <c r="S157" s="51">
        <v>0.0</v>
      </c>
      <c r="T157" s="51">
        <v>0.0</v>
      </c>
      <c r="U157" s="51">
        <v>0.0</v>
      </c>
      <c r="V157" s="51">
        <v>0.0</v>
      </c>
      <c r="W157" s="51">
        <v>0.0</v>
      </c>
      <c r="X157" s="51">
        <v>0.0</v>
      </c>
      <c r="Y157" s="51">
        <v>0.0</v>
      </c>
      <c r="Z157" s="51">
        <v>0.0</v>
      </c>
      <c r="AA157" s="51">
        <v>0.0</v>
      </c>
      <c r="AB157" s="51">
        <v>0.0</v>
      </c>
      <c r="AC157" s="51">
        <v>0.0</v>
      </c>
      <c r="AD157" s="51">
        <v>0.0</v>
      </c>
      <c r="AE157" s="51">
        <v>0.0</v>
      </c>
      <c r="AF157" s="51">
        <v>0.0</v>
      </c>
      <c r="AG157" s="51">
        <v>0.0</v>
      </c>
      <c r="AH157" s="51">
        <v>0.0</v>
      </c>
      <c r="AI157" s="51">
        <v>0.0</v>
      </c>
      <c r="AJ157" s="51">
        <v>0.0</v>
      </c>
      <c r="AK157" s="51">
        <v>0.0</v>
      </c>
      <c r="AL157" s="51">
        <v>0.0</v>
      </c>
      <c r="AM157" s="51">
        <v>0.0</v>
      </c>
      <c r="AN157" s="51">
        <v>0.0</v>
      </c>
      <c r="AO157" s="51">
        <v>0.0</v>
      </c>
      <c r="AP157" s="51">
        <v>0.0</v>
      </c>
      <c r="AQ157" s="51">
        <v>0.0</v>
      </c>
      <c r="AR157" s="51">
        <v>0.0</v>
      </c>
      <c r="AS157" s="51">
        <v>0.0</v>
      </c>
      <c r="AT157" s="51">
        <v>0.0</v>
      </c>
      <c r="AU157" s="51">
        <v>0.0</v>
      </c>
      <c r="AV157" s="51">
        <v>0.0</v>
      </c>
      <c r="AW157" s="51">
        <v>0.0</v>
      </c>
      <c r="AX157" s="51">
        <v>0.0</v>
      </c>
      <c r="AY157" s="51">
        <v>0.0</v>
      </c>
      <c r="AZ157" s="51">
        <v>0.0</v>
      </c>
      <c r="BA157" s="51">
        <v>0.0</v>
      </c>
      <c r="BB157" s="51">
        <v>0.0</v>
      </c>
      <c r="BC157" s="51">
        <v>0.0</v>
      </c>
      <c r="BD157" s="51">
        <v>0.0</v>
      </c>
      <c r="BE157" s="51">
        <v>0.0</v>
      </c>
      <c r="BF157" s="51">
        <v>0.0</v>
      </c>
      <c r="BG157" s="51">
        <v>0.0</v>
      </c>
      <c r="BH157" s="51">
        <v>0.0</v>
      </c>
      <c r="BI157" s="51">
        <v>0.0</v>
      </c>
      <c r="BJ157" s="51">
        <v>0.0</v>
      </c>
      <c r="BK157" s="51">
        <v>0.0</v>
      </c>
      <c r="BL157" s="51">
        <v>0.0</v>
      </c>
      <c r="BM157" s="51">
        <v>0.0</v>
      </c>
      <c r="BN157" s="51">
        <v>0.0</v>
      </c>
      <c r="BO157" s="51">
        <v>0.0</v>
      </c>
      <c r="BP157" s="51">
        <v>0.0</v>
      </c>
      <c r="BQ157" s="51">
        <v>2.5</v>
      </c>
      <c r="BR157" s="51">
        <v>2.5</v>
      </c>
      <c r="BS157" s="51">
        <v>2.5</v>
      </c>
      <c r="BT157" s="51">
        <v>2.5</v>
      </c>
      <c r="BU157" s="51">
        <v>2.5</v>
      </c>
      <c r="BV157" s="51">
        <v>2.5</v>
      </c>
      <c r="BW157" s="106"/>
      <c r="BX157" s="106"/>
      <c r="BY157" s="106"/>
      <c r="BZ157" s="106"/>
      <c r="CA157" s="106"/>
      <c r="CB157" s="106"/>
      <c r="CC157" s="106"/>
      <c r="CD157" s="106"/>
      <c r="CE157" s="106"/>
      <c r="CF157" s="106"/>
      <c r="CG157" s="106"/>
      <c r="CH157" s="106"/>
      <c r="CI157" s="106"/>
      <c r="CJ157" s="106"/>
      <c r="CK157" s="106"/>
      <c r="CL157" s="106"/>
      <c r="CM157" s="106"/>
      <c r="CN157" s="106"/>
      <c r="CO157" s="106"/>
      <c r="CP157" s="106"/>
      <c r="CQ157" s="106"/>
      <c r="CR157" s="106"/>
      <c r="CS157" s="106"/>
      <c r="CT157" s="106"/>
      <c r="CU157" s="106"/>
      <c r="CV157" s="106"/>
      <c r="CW157" s="106"/>
      <c r="CX157" s="106"/>
      <c r="CY157" s="106"/>
      <c r="CZ157" s="106"/>
      <c r="DA157" s="106"/>
      <c r="DB157" s="106"/>
      <c r="DC157" s="106"/>
      <c r="DD157" s="106"/>
      <c r="DE157" s="106"/>
      <c r="DF157" s="106"/>
      <c r="DG157" s="106"/>
      <c r="DH157" s="106"/>
      <c r="DI157" s="106"/>
      <c r="DJ157" s="106"/>
      <c r="DK157" s="106"/>
      <c r="DL157" s="106"/>
      <c r="DM157" s="106"/>
      <c r="DN157" s="106"/>
      <c r="DO157" s="106"/>
      <c r="DP157" s="106"/>
      <c r="DQ157" s="106"/>
      <c r="DR157" s="106"/>
      <c r="DT157" s="50">
        <f t="shared" ref="DT157:DW157" si="204">+F157-E157</f>
        <v>0</v>
      </c>
      <c r="DU157" s="50">
        <f t="shared" si="204"/>
        <v>0</v>
      </c>
      <c r="DV157" s="50">
        <f t="shared" si="204"/>
        <v>0</v>
      </c>
      <c r="DW157" s="50">
        <f t="shared" si="204"/>
        <v>15</v>
      </c>
    </row>
    <row r="158" ht="15.75" hidden="1" customHeight="1" outlineLevel="1">
      <c r="B158" s="5" t="s">
        <v>103</v>
      </c>
      <c r="C158" s="72" t="s">
        <v>70</v>
      </c>
      <c r="E158" s="50">
        <f t="shared" ref="E158:M158" si="205">+SUMIFS($O158:$DR158,$O$7:$DR$7,E$7)</f>
        <v>0</v>
      </c>
      <c r="F158" s="50">
        <f t="shared" si="205"/>
        <v>0</v>
      </c>
      <c r="G158" s="50">
        <f t="shared" si="205"/>
        <v>15.6</v>
      </c>
      <c r="H158" s="50">
        <f t="shared" si="205"/>
        <v>31.95</v>
      </c>
      <c r="I158" s="50">
        <f t="shared" si="205"/>
        <v>50</v>
      </c>
      <c r="J158" s="50">
        <f t="shared" si="205"/>
        <v>0</v>
      </c>
      <c r="K158" s="50">
        <f t="shared" si="205"/>
        <v>0</v>
      </c>
      <c r="L158" s="50">
        <f t="shared" si="205"/>
        <v>0</v>
      </c>
      <c r="M158" s="50">
        <f t="shared" si="205"/>
        <v>0</v>
      </c>
      <c r="O158" s="51">
        <v>0.0</v>
      </c>
      <c r="P158" s="51">
        <v>0.0</v>
      </c>
      <c r="Q158" s="51">
        <v>0.0</v>
      </c>
      <c r="R158" s="51">
        <v>0.0</v>
      </c>
      <c r="S158" s="51">
        <v>0.0</v>
      </c>
      <c r="T158" s="51">
        <v>0.0</v>
      </c>
      <c r="U158" s="51">
        <v>0.0</v>
      </c>
      <c r="V158" s="51">
        <v>0.0</v>
      </c>
      <c r="W158" s="51">
        <v>0.0</v>
      </c>
      <c r="X158" s="51">
        <v>0.0</v>
      </c>
      <c r="Y158" s="51">
        <v>0.0</v>
      </c>
      <c r="Z158" s="51">
        <v>0.0</v>
      </c>
      <c r="AA158" s="51">
        <v>0.0</v>
      </c>
      <c r="AB158" s="51">
        <v>0.0</v>
      </c>
      <c r="AC158" s="51">
        <v>0.0</v>
      </c>
      <c r="AD158" s="51">
        <v>0.0</v>
      </c>
      <c r="AE158" s="51">
        <v>0.0</v>
      </c>
      <c r="AF158" s="51">
        <v>0.0</v>
      </c>
      <c r="AG158" s="51">
        <v>0.0</v>
      </c>
      <c r="AH158" s="51">
        <v>0.0</v>
      </c>
      <c r="AI158" s="51">
        <v>0.0</v>
      </c>
      <c r="AJ158" s="51">
        <v>0.0</v>
      </c>
      <c r="AK158" s="51">
        <v>0.0</v>
      </c>
      <c r="AL158" s="51">
        <v>0.0</v>
      </c>
      <c r="AM158" s="51">
        <v>0.0</v>
      </c>
      <c r="AN158" s="51">
        <v>0.0</v>
      </c>
      <c r="AO158" s="51">
        <v>0.0</v>
      </c>
      <c r="AP158" s="51">
        <v>0.0</v>
      </c>
      <c r="AQ158" s="51">
        <v>0.0</v>
      </c>
      <c r="AR158" s="51">
        <v>0.0</v>
      </c>
      <c r="AS158" s="51">
        <v>0.0</v>
      </c>
      <c r="AT158" s="51">
        <v>9.12</v>
      </c>
      <c r="AU158" s="51">
        <v>4.58</v>
      </c>
      <c r="AV158" s="51">
        <v>1.9</v>
      </c>
      <c r="AW158" s="51">
        <v>0.0</v>
      </c>
      <c r="AX158" s="51">
        <v>0.0</v>
      </c>
      <c r="AY158" s="51">
        <v>0.0</v>
      </c>
      <c r="AZ158" s="51">
        <v>5.13</v>
      </c>
      <c r="BA158" s="51">
        <v>1.07</v>
      </c>
      <c r="BB158" s="51">
        <v>3.47</v>
      </c>
      <c r="BC158" s="51">
        <v>3.28</v>
      </c>
      <c r="BD158" s="51">
        <v>15.35</v>
      </c>
      <c r="BE158" s="51">
        <v>1.4</v>
      </c>
      <c r="BF158" s="51">
        <v>0.0</v>
      </c>
      <c r="BG158" s="51">
        <v>0.0</v>
      </c>
      <c r="BH158" s="51">
        <v>2.25</v>
      </c>
      <c r="BI158" s="51">
        <v>0.0</v>
      </c>
      <c r="BJ158" s="51">
        <v>0.0</v>
      </c>
      <c r="BK158" s="51">
        <v>0.25</v>
      </c>
      <c r="BL158" s="51">
        <v>0.0</v>
      </c>
      <c r="BM158" s="51">
        <v>0.438</v>
      </c>
      <c r="BN158" s="51">
        <v>5.479111111111111</v>
      </c>
      <c r="BO158" s="51">
        <v>5.479111111111111</v>
      </c>
      <c r="BP158" s="51">
        <v>5.479111111111111</v>
      </c>
      <c r="BQ158" s="51">
        <v>5.47911111111111</v>
      </c>
      <c r="BR158" s="51">
        <v>5.479111111111111</v>
      </c>
      <c r="BS158" s="51">
        <v>5.479111111111111</v>
      </c>
      <c r="BT158" s="51">
        <v>5.479111111111112</v>
      </c>
      <c r="BU158" s="51">
        <v>5.479111111111113</v>
      </c>
      <c r="BV158" s="51">
        <v>5.479111111111109</v>
      </c>
      <c r="BW158" s="106"/>
      <c r="BX158" s="106"/>
      <c r="BY158" s="106"/>
      <c r="BZ158" s="106"/>
      <c r="CA158" s="106"/>
      <c r="CB158" s="106"/>
      <c r="CC158" s="106"/>
      <c r="CD158" s="106"/>
      <c r="CE158" s="106"/>
      <c r="CF158" s="106"/>
      <c r="CG158" s="106"/>
      <c r="CH158" s="106"/>
      <c r="CI158" s="106"/>
      <c r="CJ158" s="106"/>
      <c r="CK158" s="106"/>
      <c r="CL158" s="106"/>
      <c r="CM158" s="106"/>
      <c r="CN158" s="106"/>
      <c r="CO158" s="106"/>
      <c r="CP158" s="106"/>
      <c r="CQ158" s="106"/>
      <c r="CR158" s="106"/>
      <c r="CS158" s="106"/>
      <c r="CT158" s="106"/>
      <c r="CU158" s="106"/>
      <c r="CV158" s="106"/>
      <c r="CW158" s="106"/>
      <c r="CX158" s="106"/>
      <c r="CY158" s="106"/>
      <c r="CZ158" s="106"/>
      <c r="DA158" s="106"/>
      <c r="DB158" s="106"/>
      <c r="DC158" s="106"/>
      <c r="DD158" s="106"/>
      <c r="DE158" s="106"/>
      <c r="DF158" s="106"/>
      <c r="DG158" s="106"/>
      <c r="DH158" s="106"/>
      <c r="DI158" s="106"/>
      <c r="DJ158" s="106"/>
      <c r="DK158" s="106"/>
      <c r="DL158" s="106"/>
      <c r="DM158" s="106"/>
      <c r="DN158" s="106"/>
      <c r="DO158" s="106"/>
      <c r="DP158" s="106"/>
      <c r="DQ158" s="106"/>
      <c r="DR158" s="106"/>
      <c r="DT158" s="50">
        <f t="shared" ref="DT158:DW158" si="206">+F158-E158</f>
        <v>0</v>
      </c>
      <c r="DU158" s="50">
        <f t="shared" si="206"/>
        <v>15.6</v>
      </c>
      <c r="DV158" s="50">
        <f t="shared" si="206"/>
        <v>16.35</v>
      </c>
      <c r="DW158" s="50">
        <f t="shared" si="206"/>
        <v>18.05</v>
      </c>
    </row>
    <row r="159" ht="15.75" hidden="1" customHeight="1" outlineLevel="1">
      <c r="B159" s="5" t="s">
        <v>104</v>
      </c>
      <c r="C159" s="72" t="s">
        <v>76</v>
      </c>
      <c r="E159" s="50">
        <f t="shared" ref="E159:M159" si="207">+SUMIFS($O159:$DR159,$O$7:$DR$7,E$7)</f>
        <v>307.038</v>
      </c>
      <c r="F159" s="50">
        <f t="shared" si="207"/>
        <v>291.387</v>
      </c>
      <c r="G159" s="50">
        <f t="shared" si="207"/>
        <v>327.615</v>
      </c>
      <c r="H159" s="50">
        <f t="shared" si="207"/>
        <v>205.101</v>
      </c>
      <c r="I159" s="50">
        <f t="shared" si="207"/>
        <v>300</v>
      </c>
      <c r="J159" s="50">
        <f t="shared" si="207"/>
        <v>0</v>
      </c>
      <c r="K159" s="50">
        <f t="shared" si="207"/>
        <v>0</v>
      </c>
      <c r="L159" s="50">
        <f t="shared" si="207"/>
        <v>0</v>
      </c>
      <c r="M159" s="50">
        <f t="shared" si="207"/>
        <v>0</v>
      </c>
      <c r="O159" s="51">
        <v>7.74</v>
      </c>
      <c r="P159" s="51">
        <v>25.083</v>
      </c>
      <c r="Q159" s="51">
        <v>22.352</v>
      </c>
      <c r="R159" s="51">
        <v>28.83</v>
      </c>
      <c r="S159" s="51">
        <v>30.384</v>
      </c>
      <c r="T159" s="51">
        <v>18.443</v>
      </c>
      <c r="U159" s="51">
        <v>39.675</v>
      </c>
      <c r="V159" s="51">
        <v>29.925</v>
      </c>
      <c r="W159" s="51">
        <v>25.982</v>
      </c>
      <c r="X159" s="51">
        <v>37.904</v>
      </c>
      <c r="Y159" s="51">
        <v>2.79</v>
      </c>
      <c r="Z159" s="51">
        <v>37.93</v>
      </c>
      <c r="AA159" s="51">
        <v>1.8</v>
      </c>
      <c r="AB159" s="51">
        <v>7.83</v>
      </c>
      <c r="AC159" s="51">
        <v>31.128</v>
      </c>
      <c r="AD159" s="51">
        <v>26.717</v>
      </c>
      <c r="AE159" s="51">
        <v>20.806</v>
      </c>
      <c r="AF159" s="51">
        <v>23.969</v>
      </c>
      <c r="AG159" s="51">
        <v>43.045</v>
      </c>
      <c r="AH159" s="51">
        <v>15.167</v>
      </c>
      <c r="AI159" s="51">
        <v>16.55</v>
      </c>
      <c r="AJ159" s="51">
        <v>33.95</v>
      </c>
      <c r="AK159" s="51">
        <v>47.351</v>
      </c>
      <c r="AL159" s="51">
        <v>23.074</v>
      </c>
      <c r="AM159" s="51">
        <v>18.241</v>
      </c>
      <c r="AN159" s="51">
        <v>35.764</v>
      </c>
      <c r="AO159" s="51">
        <v>32.353</v>
      </c>
      <c r="AP159" s="51">
        <v>39.747</v>
      </c>
      <c r="AQ159" s="51">
        <v>7.776</v>
      </c>
      <c r="AR159" s="51">
        <v>31.515</v>
      </c>
      <c r="AS159" s="51">
        <v>21.21</v>
      </c>
      <c r="AT159" s="51">
        <v>47.635</v>
      </c>
      <c r="AU159" s="51">
        <v>17.625</v>
      </c>
      <c r="AV159" s="51">
        <v>44.109</v>
      </c>
      <c r="AW159" s="51">
        <v>1.95</v>
      </c>
      <c r="AX159" s="51">
        <v>29.69</v>
      </c>
      <c r="AY159" s="51">
        <v>1.95</v>
      </c>
      <c r="AZ159" s="51">
        <v>14.941</v>
      </c>
      <c r="BA159" s="51">
        <v>5.62</v>
      </c>
      <c r="BB159" s="51">
        <v>17.41</v>
      </c>
      <c r="BC159" s="51">
        <v>29.03</v>
      </c>
      <c r="BD159" s="51">
        <v>44.5</v>
      </c>
      <c r="BE159" s="51">
        <v>29.51</v>
      </c>
      <c r="BF159" s="51">
        <v>35.97</v>
      </c>
      <c r="BG159" s="51">
        <v>6.573</v>
      </c>
      <c r="BH159" s="51">
        <v>7.046</v>
      </c>
      <c r="BI159" s="51">
        <v>4.95</v>
      </c>
      <c r="BJ159" s="51">
        <v>7.601</v>
      </c>
      <c r="BK159" s="51">
        <v>5.01</v>
      </c>
      <c r="BL159" s="51">
        <v>27.66</v>
      </c>
      <c r="BM159" s="51">
        <v>12.7</v>
      </c>
      <c r="BN159" s="51">
        <v>25.463</v>
      </c>
      <c r="BO159" s="51">
        <v>28.645875</v>
      </c>
      <c r="BP159" s="51">
        <v>30.07816875</v>
      </c>
      <c r="BQ159" s="51">
        <v>32.66823328125</v>
      </c>
      <c r="BR159" s="51">
        <v>31.6881862828125</v>
      </c>
      <c r="BS159" s="51">
        <v>30.499879297207027</v>
      </c>
      <c r="BT159" s="51">
        <v>28.97488533234668</v>
      </c>
      <c r="BU159" s="51">
        <v>23.30588602819189</v>
      </c>
      <c r="BV159" s="51">
        <v>23.30588602819189</v>
      </c>
      <c r="BW159" s="106"/>
      <c r="BX159" s="106"/>
      <c r="BY159" s="106"/>
      <c r="BZ159" s="106"/>
      <c r="CA159" s="106"/>
      <c r="CB159" s="106"/>
      <c r="CC159" s="106"/>
      <c r="CD159" s="106"/>
      <c r="CE159" s="106"/>
      <c r="CF159" s="106"/>
      <c r="CG159" s="106"/>
      <c r="CH159" s="106"/>
      <c r="CI159" s="106"/>
      <c r="CJ159" s="106"/>
      <c r="CK159" s="106"/>
      <c r="CL159" s="106"/>
      <c r="CM159" s="106"/>
      <c r="CN159" s="106"/>
      <c r="CO159" s="106"/>
      <c r="CP159" s="106"/>
      <c r="CQ159" s="106"/>
      <c r="CR159" s="106"/>
      <c r="CS159" s="106"/>
      <c r="CT159" s="106"/>
      <c r="CU159" s="106"/>
      <c r="CV159" s="106"/>
      <c r="CW159" s="106"/>
      <c r="CX159" s="106"/>
      <c r="CY159" s="106"/>
      <c r="CZ159" s="106"/>
      <c r="DA159" s="106"/>
      <c r="DB159" s="106"/>
      <c r="DC159" s="106"/>
      <c r="DD159" s="106"/>
      <c r="DE159" s="106"/>
      <c r="DF159" s="106"/>
      <c r="DG159" s="106"/>
      <c r="DH159" s="106"/>
      <c r="DI159" s="106"/>
      <c r="DJ159" s="106"/>
      <c r="DK159" s="106"/>
      <c r="DL159" s="106"/>
      <c r="DM159" s="106"/>
      <c r="DN159" s="106"/>
      <c r="DO159" s="106"/>
      <c r="DP159" s="106"/>
      <c r="DQ159" s="106"/>
      <c r="DR159" s="106"/>
      <c r="DT159" s="50">
        <f t="shared" ref="DT159:DW159" si="208">+F159-E159</f>
        <v>-15.651</v>
      </c>
      <c r="DU159" s="50">
        <f t="shared" si="208"/>
        <v>36.228</v>
      </c>
      <c r="DV159" s="50">
        <f t="shared" si="208"/>
        <v>-122.514</v>
      </c>
      <c r="DW159" s="50">
        <f t="shared" si="208"/>
        <v>94.899</v>
      </c>
    </row>
    <row r="160" ht="15.75" hidden="1" customHeight="1" outlineLevel="1">
      <c r="B160" s="5" t="s">
        <v>105</v>
      </c>
      <c r="C160" s="72" t="s">
        <v>74</v>
      </c>
      <c r="E160" s="50">
        <f t="shared" ref="E160:M160" si="209">+SUMIFS($O160:$DR160,$O$7:$DR$7,E$7)</f>
        <v>0</v>
      </c>
      <c r="F160" s="50">
        <f t="shared" si="209"/>
        <v>0</v>
      </c>
      <c r="G160" s="50">
        <f t="shared" si="209"/>
        <v>26.599</v>
      </c>
      <c r="H160" s="50">
        <f t="shared" si="209"/>
        <v>22.551</v>
      </c>
      <c r="I160" s="50">
        <f t="shared" si="209"/>
        <v>45</v>
      </c>
      <c r="J160" s="50">
        <f t="shared" si="209"/>
        <v>0</v>
      </c>
      <c r="K160" s="50">
        <f t="shared" si="209"/>
        <v>0</v>
      </c>
      <c r="L160" s="50">
        <f t="shared" si="209"/>
        <v>0</v>
      </c>
      <c r="M160" s="50">
        <f t="shared" si="209"/>
        <v>0</v>
      </c>
      <c r="O160" s="51">
        <v>0.0</v>
      </c>
      <c r="P160" s="51">
        <v>0.0</v>
      </c>
      <c r="Q160" s="51">
        <v>0.0</v>
      </c>
      <c r="R160" s="51">
        <v>0.0</v>
      </c>
      <c r="S160" s="51">
        <v>0.0</v>
      </c>
      <c r="T160" s="51">
        <v>0.0</v>
      </c>
      <c r="U160" s="51">
        <v>0.0</v>
      </c>
      <c r="V160" s="51">
        <v>0.0</v>
      </c>
      <c r="W160" s="51">
        <v>0.0</v>
      </c>
      <c r="X160" s="51">
        <v>0.0</v>
      </c>
      <c r="Y160" s="51">
        <v>0.0</v>
      </c>
      <c r="Z160" s="51">
        <v>0.0</v>
      </c>
      <c r="AA160" s="51">
        <v>0.0</v>
      </c>
      <c r="AB160" s="51">
        <v>0.0</v>
      </c>
      <c r="AC160" s="51">
        <v>0.0</v>
      </c>
      <c r="AD160" s="51">
        <v>0.0</v>
      </c>
      <c r="AE160" s="51">
        <v>0.0</v>
      </c>
      <c r="AF160" s="51">
        <v>0.0</v>
      </c>
      <c r="AG160" s="51">
        <v>0.0</v>
      </c>
      <c r="AH160" s="51">
        <v>0.0</v>
      </c>
      <c r="AI160" s="51">
        <v>0.0</v>
      </c>
      <c r="AJ160" s="51">
        <v>0.0</v>
      </c>
      <c r="AK160" s="51">
        <v>0.0</v>
      </c>
      <c r="AL160" s="51">
        <v>0.0</v>
      </c>
      <c r="AM160" s="51">
        <v>0.0</v>
      </c>
      <c r="AN160" s="51">
        <v>0.0</v>
      </c>
      <c r="AO160" s="51">
        <v>0.0</v>
      </c>
      <c r="AP160" s="51">
        <v>0.0</v>
      </c>
      <c r="AQ160" s="51">
        <v>0.0</v>
      </c>
      <c r="AR160" s="51">
        <v>0.712</v>
      </c>
      <c r="AS160" s="51">
        <v>0.0</v>
      </c>
      <c r="AT160" s="51">
        <v>1.188</v>
      </c>
      <c r="AU160" s="51">
        <v>0.95</v>
      </c>
      <c r="AV160" s="51">
        <v>12.92</v>
      </c>
      <c r="AW160" s="51">
        <v>1.187</v>
      </c>
      <c r="AX160" s="51">
        <v>9.642</v>
      </c>
      <c r="AY160" s="51">
        <v>2.851</v>
      </c>
      <c r="AZ160" s="51">
        <v>0.0</v>
      </c>
      <c r="BA160" s="51">
        <v>5.7</v>
      </c>
      <c r="BB160" s="51">
        <v>0.0</v>
      </c>
      <c r="BC160" s="51">
        <v>1.0</v>
      </c>
      <c r="BD160" s="51">
        <v>4.54</v>
      </c>
      <c r="BE160" s="51">
        <v>0.04</v>
      </c>
      <c r="BF160" s="51">
        <v>7.82</v>
      </c>
      <c r="BG160" s="51">
        <v>0.0</v>
      </c>
      <c r="BH160" s="51">
        <v>0.0</v>
      </c>
      <c r="BI160" s="51">
        <v>0.6</v>
      </c>
      <c r="BJ160" s="51">
        <v>0.0</v>
      </c>
      <c r="BK160" s="51">
        <v>0.0</v>
      </c>
      <c r="BL160" s="51">
        <v>0.0</v>
      </c>
      <c r="BM160" s="51">
        <v>0.0</v>
      </c>
      <c r="BN160" s="51">
        <v>5.0</v>
      </c>
      <c r="BO160" s="51">
        <v>5.0</v>
      </c>
      <c r="BP160" s="51">
        <v>5.0</v>
      </c>
      <c r="BQ160" s="51">
        <v>5.0</v>
      </c>
      <c r="BR160" s="51">
        <v>5.0</v>
      </c>
      <c r="BS160" s="51">
        <v>5.0</v>
      </c>
      <c r="BT160" s="51">
        <v>5.0</v>
      </c>
      <c r="BU160" s="51">
        <v>5.0</v>
      </c>
      <c r="BV160" s="51">
        <v>5.0</v>
      </c>
      <c r="BW160" s="106"/>
      <c r="BX160" s="106"/>
      <c r="BY160" s="106"/>
      <c r="BZ160" s="106"/>
      <c r="CA160" s="106"/>
      <c r="CB160" s="106"/>
      <c r="CC160" s="106"/>
      <c r="CD160" s="106"/>
      <c r="CE160" s="106"/>
      <c r="CF160" s="106"/>
      <c r="CG160" s="106"/>
      <c r="CH160" s="106"/>
      <c r="CI160" s="106"/>
      <c r="CJ160" s="106"/>
      <c r="CK160" s="106"/>
      <c r="CL160" s="106"/>
      <c r="CM160" s="106"/>
      <c r="CN160" s="106"/>
      <c r="CO160" s="106"/>
      <c r="CP160" s="106"/>
      <c r="CQ160" s="106"/>
      <c r="CR160" s="106"/>
      <c r="CS160" s="106"/>
      <c r="CT160" s="106"/>
      <c r="CU160" s="106"/>
      <c r="CV160" s="106"/>
      <c r="CW160" s="106"/>
      <c r="CX160" s="106"/>
      <c r="CY160" s="106"/>
      <c r="CZ160" s="106"/>
      <c r="DA160" s="106"/>
      <c r="DB160" s="106"/>
      <c r="DC160" s="106"/>
      <c r="DD160" s="106"/>
      <c r="DE160" s="106"/>
      <c r="DF160" s="106"/>
      <c r="DG160" s="106"/>
      <c r="DH160" s="106"/>
      <c r="DI160" s="106"/>
      <c r="DJ160" s="106"/>
      <c r="DK160" s="106"/>
      <c r="DL160" s="106"/>
      <c r="DM160" s="106"/>
      <c r="DN160" s="106"/>
      <c r="DO160" s="106"/>
      <c r="DP160" s="106"/>
      <c r="DQ160" s="106"/>
      <c r="DR160" s="106"/>
      <c r="DT160" s="50">
        <f t="shared" ref="DT160:DW160" si="210">+F160-E160</f>
        <v>0</v>
      </c>
      <c r="DU160" s="50">
        <f t="shared" si="210"/>
        <v>26.599</v>
      </c>
      <c r="DV160" s="50">
        <f t="shared" si="210"/>
        <v>-4.048</v>
      </c>
      <c r="DW160" s="50">
        <f t="shared" si="210"/>
        <v>22.449</v>
      </c>
    </row>
    <row r="161" ht="15.75" hidden="1" customHeight="1" outlineLevel="1">
      <c r="B161" s="5" t="s">
        <v>106</v>
      </c>
      <c r="C161" s="72" t="s">
        <v>70</v>
      </c>
      <c r="E161" s="50">
        <f t="shared" ref="E161:M161" si="211">+SUMIFS($O161:$DR161,$O$7:$DR$7,E$7)</f>
        <v>0</v>
      </c>
      <c r="F161" s="50">
        <f t="shared" si="211"/>
        <v>0</v>
      </c>
      <c r="G161" s="50">
        <f t="shared" si="211"/>
        <v>1.187</v>
      </c>
      <c r="H161" s="50">
        <f t="shared" si="211"/>
        <v>12.779</v>
      </c>
      <c r="I161" s="50">
        <f t="shared" si="211"/>
        <v>25</v>
      </c>
      <c r="J161" s="50">
        <f t="shared" si="211"/>
        <v>0</v>
      </c>
      <c r="K161" s="50">
        <f t="shared" si="211"/>
        <v>0</v>
      </c>
      <c r="L161" s="50">
        <f t="shared" si="211"/>
        <v>0</v>
      </c>
      <c r="M161" s="50">
        <f t="shared" si="211"/>
        <v>0</v>
      </c>
      <c r="O161" s="51">
        <v>0.0</v>
      </c>
      <c r="P161" s="51">
        <v>0.0</v>
      </c>
      <c r="Q161" s="51">
        <v>0.0</v>
      </c>
      <c r="R161" s="51">
        <v>0.0</v>
      </c>
      <c r="S161" s="51">
        <v>0.0</v>
      </c>
      <c r="T161" s="51">
        <v>0.0</v>
      </c>
      <c r="U161" s="51">
        <v>0.0</v>
      </c>
      <c r="V161" s="51">
        <v>0.0</v>
      </c>
      <c r="W161" s="51">
        <v>0.0</v>
      </c>
      <c r="X161" s="51">
        <v>0.0</v>
      </c>
      <c r="Y161" s="51">
        <v>0.0</v>
      </c>
      <c r="Z161" s="51">
        <v>0.0</v>
      </c>
      <c r="AA161" s="51">
        <v>0.0</v>
      </c>
      <c r="AB161" s="51">
        <v>0.0</v>
      </c>
      <c r="AC161" s="51">
        <v>0.0</v>
      </c>
      <c r="AD161" s="51">
        <v>0.0</v>
      </c>
      <c r="AE161" s="51">
        <v>0.0</v>
      </c>
      <c r="AF161" s="51">
        <v>0.0</v>
      </c>
      <c r="AG161" s="51">
        <v>0.0</v>
      </c>
      <c r="AH161" s="51">
        <v>0.0</v>
      </c>
      <c r="AI161" s="51">
        <v>0.0</v>
      </c>
      <c r="AJ161" s="51">
        <v>0.0</v>
      </c>
      <c r="AK161" s="51">
        <v>0.0</v>
      </c>
      <c r="AL161" s="51">
        <v>0.0</v>
      </c>
      <c r="AM161" s="51">
        <v>0.0</v>
      </c>
      <c r="AN161" s="51">
        <v>0.0</v>
      </c>
      <c r="AO161" s="51">
        <v>0.0</v>
      </c>
      <c r="AP161" s="51">
        <v>0.0</v>
      </c>
      <c r="AQ161" s="51">
        <v>0.0</v>
      </c>
      <c r="AR161" s="51">
        <v>0.0</v>
      </c>
      <c r="AS161" s="51">
        <v>0.0</v>
      </c>
      <c r="AT161" s="51">
        <v>0.0</v>
      </c>
      <c r="AU161" s="51">
        <v>0.0</v>
      </c>
      <c r="AV161" s="51">
        <v>0.0</v>
      </c>
      <c r="AW161" s="51">
        <v>0.0</v>
      </c>
      <c r="AX161" s="51">
        <v>1.187</v>
      </c>
      <c r="AY161" s="51">
        <v>3.563</v>
      </c>
      <c r="AZ161" s="51">
        <v>4.0</v>
      </c>
      <c r="BA161" s="51">
        <v>0.0</v>
      </c>
      <c r="BB161" s="51">
        <v>0.16</v>
      </c>
      <c r="BC161" s="51">
        <v>3.04</v>
      </c>
      <c r="BD161" s="51">
        <v>0.0</v>
      </c>
      <c r="BE161" s="51">
        <v>0.0</v>
      </c>
      <c r="BF161" s="51">
        <v>0.0</v>
      </c>
      <c r="BG161" s="51">
        <v>0.0</v>
      </c>
      <c r="BH161" s="51">
        <v>0.0</v>
      </c>
      <c r="BI161" s="51">
        <v>0.0</v>
      </c>
      <c r="BJ161" s="51">
        <v>2.016</v>
      </c>
      <c r="BK161" s="51">
        <v>0.0</v>
      </c>
      <c r="BL161" s="51">
        <v>8.064</v>
      </c>
      <c r="BM161" s="51">
        <v>1.08</v>
      </c>
      <c r="BN161" s="51">
        <v>1.7617777777777779</v>
      </c>
      <c r="BO161" s="51">
        <v>1.7617777777777779</v>
      </c>
      <c r="BP161" s="51">
        <v>1.7617777777777779</v>
      </c>
      <c r="BQ161" s="51">
        <v>1.761777777777778</v>
      </c>
      <c r="BR161" s="51">
        <v>1.761777777777778</v>
      </c>
      <c r="BS161" s="51">
        <v>1.7617777777777783</v>
      </c>
      <c r="BT161" s="51">
        <v>1.7617777777777786</v>
      </c>
      <c r="BU161" s="51">
        <v>1.7617777777777792</v>
      </c>
      <c r="BV161" s="51">
        <v>1.761777777777781</v>
      </c>
      <c r="BW161" s="106"/>
      <c r="BX161" s="106"/>
      <c r="BY161" s="106"/>
      <c r="BZ161" s="106"/>
      <c r="CA161" s="106"/>
      <c r="CB161" s="106"/>
      <c r="CC161" s="106"/>
      <c r="CD161" s="106"/>
      <c r="CE161" s="106"/>
      <c r="CF161" s="106"/>
      <c r="CG161" s="106"/>
      <c r="CH161" s="106"/>
      <c r="CI161" s="106"/>
      <c r="CJ161" s="106"/>
      <c r="CK161" s="106"/>
      <c r="CL161" s="106"/>
      <c r="CM161" s="106"/>
      <c r="CN161" s="106"/>
      <c r="CO161" s="106"/>
      <c r="CP161" s="106"/>
      <c r="CQ161" s="106"/>
      <c r="CR161" s="106"/>
      <c r="CS161" s="106"/>
      <c r="CT161" s="106"/>
      <c r="CU161" s="106"/>
      <c r="CV161" s="106"/>
      <c r="CW161" s="106"/>
      <c r="CX161" s="106"/>
      <c r="CY161" s="106"/>
      <c r="CZ161" s="106"/>
      <c r="DA161" s="106"/>
      <c r="DB161" s="106"/>
      <c r="DC161" s="106"/>
      <c r="DD161" s="106"/>
      <c r="DE161" s="106"/>
      <c r="DF161" s="106"/>
      <c r="DG161" s="106"/>
      <c r="DH161" s="106"/>
      <c r="DI161" s="106"/>
      <c r="DJ161" s="106"/>
      <c r="DK161" s="106"/>
      <c r="DL161" s="106"/>
      <c r="DM161" s="106"/>
      <c r="DN161" s="106"/>
      <c r="DO161" s="106"/>
      <c r="DP161" s="106"/>
      <c r="DQ161" s="106"/>
      <c r="DR161" s="106"/>
      <c r="DT161" s="50">
        <f t="shared" ref="DT161:DW161" si="212">+F161-E161</f>
        <v>0</v>
      </c>
      <c r="DU161" s="50">
        <f t="shared" si="212"/>
        <v>1.187</v>
      </c>
      <c r="DV161" s="50">
        <f t="shared" si="212"/>
        <v>11.592</v>
      </c>
      <c r="DW161" s="50">
        <f t="shared" si="212"/>
        <v>12.221</v>
      </c>
    </row>
    <row r="162" ht="15.75" hidden="1" customHeight="1" outlineLevel="1">
      <c r="B162" s="5" t="s">
        <v>107</v>
      </c>
      <c r="C162" s="72" t="s">
        <v>82</v>
      </c>
      <c r="E162" s="50">
        <f t="shared" ref="E162:M162" si="213">+SUMIFS($O162:$DR162,$O$7:$DR$7,E$7)</f>
        <v>1339.988</v>
      </c>
      <c r="F162" s="50">
        <f t="shared" si="213"/>
        <v>1498.935</v>
      </c>
      <c r="G162" s="50">
        <f t="shared" si="213"/>
        <v>399.765</v>
      </c>
      <c r="H162" s="50">
        <f t="shared" si="213"/>
        <v>908.038</v>
      </c>
      <c r="I162" s="50">
        <f t="shared" si="213"/>
        <v>905</v>
      </c>
      <c r="J162" s="50">
        <f t="shared" si="213"/>
        <v>0</v>
      </c>
      <c r="K162" s="50">
        <f t="shared" si="213"/>
        <v>0</v>
      </c>
      <c r="L162" s="50">
        <f t="shared" si="213"/>
        <v>0</v>
      </c>
      <c r="M162" s="50">
        <f t="shared" si="213"/>
        <v>0</v>
      </c>
      <c r="O162" s="51">
        <v>13.124</v>
      </c>
      <c r="P162" s="51">
        <v>73.265</v>
      </c>
      <c r="Q162" s="51">
        <v>63.005</v>
      </c>
      <c r="R162" s="51">
        <v>71.376</v>
      </c>
      <c r="S162" s="51">
        <v>27.488</v>
      </c>
      <c r="T162" s="51">
        <v>150.206</v>
      </c>
      <c r="U162" s="51">
        <v>134.018</v>
      </c>
      <c r="V162" s="51">
        <v>121.216</v>
      </c>
      <c r="W162" s="51">
        <v>99.642</v>
      </c>
      <c r="X162" s="51">
        <v>191.702</v>
      </c>
      <c r="Y162" s="51">
        <v>256.196</v>
      </c>
      <c r="Z162" s="51">
        <v>138.75</v>
      </c>
      <c r="AA162" s="51">
        <v>309.792</v>
      </c>
      <c r="AB162" s="51">
        <v>116.597</v>
      </c>
      <c r="AC162" s="51">
        <v>108.255</v>
      </c>
      <c r="AD162" s="51">
        <v>61.708</v>
      </c>
      <c r="AE162" s="51">
        <v>156.226</v>
      </c>
      <c r="AF162" s="51">
        <v>145.365</v>
      </c>
      <c r="AG162" s="51">
        <v>108.897</v>
      </c>
      <c r="AH162" s="51">
        <v>40.4</v>
      </c>
      <c r="AI162" s="51">
        <v>118.526</v>
      </c>
      <c r="AJ162" s="51">
        <v>133.516</v>
      </c>
      <c r="AK162" s="51">
        <v>90.533</v>
      </c>
      <c r="AL162" s="51">
        <v>109.12</v>
      </c>
      <c r="AM162" s="51">
        <v>55.911</v>
      </c>
      <c r="AN162" s="51">
        <v>72.189</v>
      </c>
      <c r="AO162" s="51">
        <v>46.788</v>
      </c>
      <c r="AP162" s="51">
        <v>16.326</v>
      </c>
      <c r="AQ162" s="51">
        <v>15.456</v>
      </c>
      <c r="AR162" s="51">
        <v>1.059</v>
      </c>
      <c r="AS162" s="51">
        <v>7.758</v>
      </c>
      <c r="AT162" s="51">
        <v>28.024</v>
      </c>
      <c r="AU162" s="51">
        <v>13.918</v>
      </c>
      <c r="AV162" s="51">
        <v>21.878</v>
      </c>
      <c r="AW162" s="51">
        <v>27.128</v>
      </c>
      <c r="AX162" s="51">
        <v>93.33</v>
      </c>
      <c r="AY162" s="51">
        <v>40.339</v>
      </c>
      <c r="AZ162" s="51">
        <v>61.324</v>
      </c>
      <c r="BA162" s="51">
        <v>106.095</v>
      </c>
      <c r="BB162" s="51">
        <v>107.33</v>
      </c>
      <c r="BC162" s="51">
        <v>79.296</v>
      </c>
      <c r="BD162" s="51">
        <v>81.951</v>
      </c>
      <c r="BE162" s="51">
        <v>110.979</v>
      </c>
      <c r="BF162" s="51">
        <v>120.183</v>
      </c>
      <c r="BG162" s="51">
        <v>74.517</v>
      </c>
      <c r="BH162" s="51">
        <v>54.162</v>
      </c>
      <c r="BI162" s="51">
        <v>30.798</v>
      </c>
      <c r="BJ162" s="51">
        <v>41.064</v>
      </c>
      <c r="BK162" s="51">
        <v>86.518</v>
      </c>
      <c r="BL162" s="51">
        <v>124.89</v>
      </c>
      <c r="BM162" s="51">
        <v>165.434</v>
      </c>
      <c r="BN162" s="51">
        <v>102.69738888888888</v>
      </c>
      <c r="BO162" s="51">
        <v>93.06950868055556</v>
      </c>
      <c r="BP162" s="51">
        <v>83.09777560763888</v>
      </c>
      <c r="BQ162" s="51">
        <v>72.71055365668401</v>
      </c>
      <c r="BR162" s="51">
        <v>40.6140378282335</v>
      </c>
      <c r="BS162" s="51">
        <v>39.09101140967476</v>
      </c>
      <c r="BT162" s="51">
        <v>37.136460839191024</v>
      </c>
      <c r="BU162" s="51">
        <v>29.870631544566713</v>
      </c>
      <c r="BV162" s="51">
        <v>29.870631544566713</v>
      </c>
      <c r="BW162" s="106"/>
      <c r="BX162" s="106"/>
      <c r="BY162" s="106"/>
      <c r="BZ162" s="106"/>
      <c r="CA162" s="106"/>
      <c r="CB162" s="106"/>
      <c r="CC162" s="106"/>
      <c r="CD162" s="106"/>
      <c r="CE162" s="106"/>
      <c r="CF162" s="106"/>
      <c r="CG162" s="106"/>
      <c r="CH162" s="106"/>
      <c r="CI162" s="106"/>
      <c r="CJ162" s="106"/>
      <c r="CK162" s="106"/>
      <c r="CL162" s="106"/>
      <c r="CM162" s="106"/>
      <c r="CN162" s="106"/>
      <c r="CO162" s="106"/>
      <c r="CP162" s="106"/>
      <c r="CQ162" s="106"/>
      <c r="CR162" s="106"/>
      <c r="CS162" s="106"/>
      <c r="CT162" s="106"/>
      <c r="CU162" s="106"/>
      <c r="CV162" s="106"/>
      <c r="CW162" s="106"/>
      <c r="CX162" s="106"/>
      <c r="CY162" s="106"/>
      <c r="CZ162" s="106"/>
      <c r="DA162" s="106"/>
      <c r="DB162" s="106"/>
      <c r="DC162" s="106"/>
      <c r="DD162" s="106"/>
      <c r="DE162" s="106"/>
      <c r="DF162" s="106"/>
      <c r="DG162" s="106"/>
      <c r="DH162" s="106"/>
      <c r="DI162" s="106"/>
      <c r="DJ162" s="106"/>
      <c r="DK162" s="106"/>
      <c r="DL162" s="106"/>
      <c r="DM162" s="106"/>
      <c r="DN162" s="106"/>
      <c r="DO162" s="106"/>
      <c r="DP162" s="106"/>
      <c r="DQ162" s="106"/>
      <c r="DR162" s="106"/>
      <c r="DT162" s="50">
        <f t="shared" ref="DT162:DW162" si="214">+F162-E162</f>
        <v>158.947</v>
      </c>
      <c r="DU162" s="50">
        <f t="shared" si="214"/>
        <v>-1099.17</v>
      </c>
      <c r="DV162" s="50">
        <f t="shared" si="214"/>
        <v>508.273</v>
      </c>
      <c r="DW162" s="50">
        <f t="shared" si="214"/>
        <v>-3.038</v>
      </c>
    </row>
    <row r="163" ht="15.75" hidden="1" customHeight="1" outlineLevel="1">
      <c r="B163" s="5" t="s">
        <v>108</v>
      </c>
      <c r="C163" s="72" t="s">
        <v>70</v>
      </c>
      <c r="E163" s="50">
        <f t="shared" ref="E163:M163" si="215">+SUMIFS($O163:$DR163,$O$7:$DR$7,E$7)</f>
        <v>0</v>
      </c>
      <c r="F163" s="50">
        <f t="shared" si="215"/>
        <v>0</v>
      </c>
      <c r="G163" s="50">
        <f t="shared" si="215"/>
        <v>0</v>
      </c>
      <c r="H163" s="50">
        <f t="shared" si="215"/>
        <v>0</v>
      </c>
      <c r="I163" s="50">
        <f t="shared" si="215"/>
        <v>0</v>
      </c>
      <c r="J163" s="50">
        <f t="shared" si="215"/>
        <v>0</v>
      </c>
      <c r="K163" s="50">
        <f t="shared" si="215"/>
        <v>0</v>
      </c>
      <c r="L163" s="50">
        <f t="shared" si="215"/>
        <v>0</v>
      </c>
      <c r="M163" s="50">
        <f t="shared" si="215"/>
        <v>0</v>
      </c>
      <c r="O163" s="51">
        <v>0.0</v>
      </c>
      <c r="P163" s="51">
        <v>0.0</v>
      </c>
      <c r="Q163" s="51">
        <v>0.0</v>
      </c>
      <c r="R163" s="51">
        <v>0.0</v>
      </c>
      <c r="S163" s="51">
        <v>0.0</v>
      </c>
      <c r="T163" s="51">
        <v>0.0</v>
      </c>
      <c r="U163" s="51">
        <v>0.0</v>
      </c>
      <c r="V163" s="51">
        <v>0.0</v>
      </c>
      <c r="W163" s="51">
        <v>0.0</v>
      </c>
      <c r="X163" s="51">
        <v>0.0</v>
      </c>
      <c r="Y163" s="51">
        <v>0.0</v>
      </c>
      <c r="Z163" s="51">
        <v>0.0</v>
      </c>
      <c r="AA163" s="51">
        <v>0.0</v>
      </c>
      <c r="AB163" s="51">
        <v>0.0</v>
      </c>
      <c r="AC163" s="51">
        <v>0.0</v>
      </c>
      <c r="AD163" s="51">
        <v>0.0</v>
      </c>
      <c r="AE163" s="51">
        <v>0.0</v>
      </c>
      <c r="AF163" s="51">
        <v>0.0</v>
      </c>
      <c r="AG163" s="51">
        <v>0.0</v>
      </c>
      <c r="AH163" s="51">
        <v>0.0</v>
      </c>
      <c r="AI163" s="51">
        <v>0.0</v>
      </c>
      <c r="AJ163" s="51">
        <v>0.0</v>
      </c>
      <c r="AK163" s="51">
        <v>0.0</v>
      </c>
      <c r="AL163" s="51">
        <v>0.0</v>
      </c>
      <c r="AM163" s="51">
        <v>0.0</v>
      </c>
      <c r="AN163" s="51">
        <v>0.0</v>
      </c>
      <c r="AO163" s="51">
        <v>0.0</v>
      </c>
      <c r="AP163" s="51">
        <v>0.0</v>
      </c>
      <c r="AQ163" s="51">
        <v>0.0</v>
      </c>
      <c r="AR163" s="51">
        <v>0.0</v>
      </c>
      <c r="AS163" s="51">
        <v>0.0</v>
      </c>
      <c r="AT163" s="51">
        <v>0.0</v>
      </c>
      <c r="AU163" s="51">
        <v>0.0</v>
      </c>
      <c r="AV163" s="51">
        <v>0.0</v>
      </c>
      <c r="AW163" s="51">
        <v>0.0</v>
      </c>
      <c r="AX163" s="51">
        <v>0.0</v>
      </c>
      <c r="AY163" s="51">
        <v>0.0</v>
      </c>
      <c r="AZ163" s="51">
        <v>0.0</v>
      </c>
      <c r="BA163" s="51">
        <v>0.0</v>
      </c>
      <c r="BB163" s="51">
        <v>0.0</v>
      </c>
      <c r="BC163" s="51">
        <v>0.0</v>
      </c>
      <c r="BD163" s="51">
        <v>0.0</v>
      </c>
      <c r="BE163" s="51">
        <v>0.0</v>
      </c>
      <c r="BF163" s="51">
        <v>0.0</v>
      </c>
      <c r="BG163" s="51">
        <v>0.0</v>
      </c>
      <c r="BH163" s="51">
        <v>0.0</v>
      </c>
      <c r="BI163" s="51">
        <v>0.0</v>
      </c>
      <c r="BJ163" s="51">
        <v>0.0</v>
      </c>
      <c r="BK163" s="51">
        <v>0.0</v>
      </c>
      <c r="BL163" s="51">
        <v>0.0</v>
      </c>
      <c r="BM163" s="51">
        <v>0.0</v>
      </c>
      <c r="BN163" s="51">
        <v>0.0</v>
      </c>
      <c r="BO163" s="51">
        <v>0.0</v>
      </c>
      <c r="BP163" s="51">
        <v>0.0</v>
      </c>
      <c r="BQ163" s="51">
        <v>0.0</v>
      </c>
      <c r="BR163" s="51">
        <v>0.0</v>
      </c>
      <c r="BS163" s="51">
        <v>0.0</v>
      </c>
      <c r="BT163" s="51">
        <v>0.0</v>
      </c>
      <c r="BU163" s="51">
        <v>0.0</v>
      </c>
      <c r="BV163" s="51">
        <v>0.0</v>
      </c>
      <c r="BW163" s="106"/>
      <c r="BX163" s="106"/>
      <c r="BY163" s="106"/>
      <c r="BZ163" s="106"/>
      <c r="CA163" s="106"/>
      <c r="CB163" s="106"/>
      <c r="CC163" s="106"/>
      <c r="CD163" s="106"/>
      <c r="CE163" s="106"/>
      <c r="CF163" s="106"/>
      <c r="CG163" s="106"/>
      <c r="CH163" s="106"/>
      <c r="CI163" s="106"/>
      <c r="CJ163" s="106"/>
      <c r="CK163" s="106"/>
      <c r="CL163" s="106"/>
      <c r="CM163" s="106"/>
      <c r="CN163" s="106"/>
      <c r="CO163" s="106"/>
      <c r="CP163" s="106"/>
      <c r="CQ163" s="106"/>
      <c r="CR163" s="106"/>
      <c r="CS163" s="106"/>
      <c r="CT163" s="106"/>
      <c r="CU163" s="106"/>
      <c r="CV163" s="106"/>
      <c r="CW163" s="106"/>
      <c r="CX163" s="106"/>
      <c r="CY163" s="106"/>
      <c r="CZ163" s="106"/>
      <c r="DA163" s="106"/>
      <c r="DB163" s="106"/>
      <c r="DC163" s="106"/>
      <c r="DD163" s="106"/>
      <c r="DE163" s="106"/>
      <c r="DF163" s="106"/>
      <c r="DG163" s="106"/>
      <c r="DH163" s="106"/>
      <c r="DI163" s="106"/>
      <c r="DJ163" s="106"/>
      <c r="DK163" s="106"/>
      <c r="DL163" s="106"/>
      <c r="DM163" s="106"/>
      <c r="DN163" s="106"/>
      <c r="DO163" s="106"/>
      <c r="DP163" s="106"/>
      <c r="DQ163" s="106"/>
      <c r="DR163" s="106"/>
      <c r="DT163" s="50">
        <f t="shared" ref="DT163:DW163" si="216">+F163-E163</f>
        <v>0</v>
      </c>
      <c r="DU163" s="50">
        <f t="shared" si="216"/>
        <v>0</v>
      </c>
      <c r="DV163" s="50">
        <f t="shared" si="216"/>
        <v>0</v>
      </c>
      <c r="DW163" s="50">
        <f t="shared" si="216"/>
        <v>0</v>
      </c>
    </row>
    <row r="164" ht="15.75" hidden="1" customHeight="1" outlineLevel="1">
      <c r="B164" s="5" t="s">
        <v>109</v>
      </c>
      <c r="C164" s="72" t="s">
        <v>70</v>
      </c>
      <c r="E164" s="50">
        <f t="shared" ref="E164:M164" si="217">+SUMIFS($O164:$DR164,$O$7:$DR$7,E$7)</f>
        <v>93.944</v>
      </c>
      <c r="F164" s="50">
        <f t="shared" si="217"/>
        <v>84.625</v>
      </c>
      <c r="G164" s="50">
        <f t="shared" si="217"/>
        <v>21.55</v>
      </c>
      <c r="H164" s="50">
        <f t="shared" si="217"/>
        <v>0</v>
      </c>
      <c r="I164" s="50">
        <f t="shared" si="217"/>
        <v>0</v>
      </c>
      <c r="J164" s="50">
        <f t="shared" si="217"/>
        <v>0</v>
      </c>
      <c r="K164" s="50">
        <f t="shared" si="217"/>
        <v>0</v>
      </c>
      <c r="L164" s="50">
        <f t="shared" si="217"/>
        <v>0</v>
      </c>
      <c r="M164" s="50">
        <f t="shared" si="217"/>
        <v>0</v>
      </c>
      <c r="O164" s="51">
        <v>0.0</v>
      </c>
      <c r="P164" s="51">
        <v>0.0</v>
      </c>
      <c r="Q164" s="51">
        <v>0.545</v>
      </c>
      <c r="R164" s="51">
        <v>0.0</v>
      </c>
      <c r="S164" s="51">
        <v>0.0</v>
      </c>
      <c r="T164" s="51">
        <v>3.594</v>
      </c>
      <c r="U164" s="51">
        <v>11.617</v>
      </c>
      <c r="V164" s="51">
        <v>13.972</v>
      </c>
      <c r="W164" s="51">
        <v>0.889</v>
      </c>
      <c r="X164" s="51">
        <v>34.708</v>
      </c>
      <c r="Y164" s="51">
        <v>24.531</v>
      </c>
      <c r="Z164" s="51">
        <v>4.088</v>
      </c>
      <c r="AA164" s="51">
        <v>14.998</v>
      </c>
      <c r="AB164" s="51">
        <v>12.213</v>
      </c>
      <c r="AC164" s="51">
        <v>7.514</v>
      </c>
      <c r="AD164" s="51">
        <v>8.427</v>
      </c>
      <c r="AE164" s="51">
        <v>5.089</v>
      </c>
      <c r="AF164" s="51">
        <v>0.0</v>
      </c>
      <c r="AG164" s="51">
        <v>7.111</v>
      </c>
      <c r="AH164" s="51">
        <v>9.495</v>
      </c>
      <c r="AI164" s="51">
        <v>16.176</v>
      </c>
      <c r="AJ164" s="51">
        <v>3.602</v>
      </c>
      <c r="AK164" s="51">
        <v>0.0</v>
      </c>
      <c r="AL164" s="51">
        <v>0.0</v>
      </c>
      <c r="AM164" s="51">
        <v>0.0</v>
      </c>
      <c r="AN164" s="51">
        <v>0.0</v>
      </c>
      <c r="AO164" s="51">
        <v>1.991</v>
      </c>
      <c r="AP164" s="51">
        <v>0.324</v>
      </c>
      <c r="AQ164" s="51">
        <v>17.24</v>
      </c>
      <c r="AR164" s="51">
        <v>0.997</v>
      </c>
      <c r="AS164" s="51">
        <v>0.0</v>
      </c>
      <c r="AT164" s="51">
        <v>0.998</v>
      </c>
      <c r="AU164" s="51">
        <v>0.0</v>
      </c>
      <c r="AV164" s="51">
        <v>0.0</v>
      </c>
      <c r="AW164" s="51">
        <v>0.0</v>
      </c>
      <c r="AX164" s="51">
        <v>0.0</v>
      </c>
      <c r="AY164" s="51">
        <v>0.0</v>
      </c>
      <c r="AZ164" s="51">
        <v>0.0</v>
      </c>
      <c r="BA164" s="51">
        <v>0.0</v>
      </c>
      <c r="BB164" s="51">
        <v>0.0</v>
      </c>
      <c r="BC164" s="51">
        <v>0.0</v>
      </c>
      <c r="BD164" s="51">
        <v>0.0</v>
      </c>
      <c r="BE164" s="51">
        <v>0.0</v>
      </c>
      <c r="BF164" s="51">
        <v>0.0</v>
      </c>
      <c r="BG164" s="51">
        <v>0.0</v>
      </c>
      <c r="BH164" s="51">
        <v>0.0</v>
      </c>
      <c r="BI164" s="51">
        <v>0.0</v>
      </c>
      <c r="BJ164" s="51">
        <v>0.0</v>
      </c>
      <c r="BK164" s="51">
        <v>0.0</v>
      </c>
      <c r="BL164" s="51">
        <v>0.0</v>
      </c>
      <c r="BM164" s="51">
        <v>0.0</v>
      </c>
      <c r="BN164" s="51">
        <v>0.0</v>
      </c>
      <c r="BO164" s="51">
        <v>0.0</v>
      </c>
      <c r="BP164" s="51">
        <v>0.0</v>
      </c>
      <c r="BQ164" s="51">
        <v>0.0</v>
      </c>
      <c r="BR164" s="51">
        <v>0.0</v>
      </c>
      <c r="BS164" s="51">
        <v>0.0</v>
      </c>
      <c r="BT164" s="51">
        <v>0.0</v>
      </c>
      <c r="BU164" s="51">
        <v>0.0</v>
      </c>
      <c r="BV164" s="51">
        <v>0.0</v>
      </c>
      <c r="BW164" s="106"/>
      <c r="BX164" s="106"/>
      <c r="BY164" s="106"/>
      <c r="BZ164" s="106"/>
      <c r="CA164" s="106"/>
      <c r="CB164" s="106"/>
      <c r="CC164" s="106"/>
      <c r="CD164" s="106"/>
      <c r="CE164" s="106"/>
      <c r="CF164" s="106"/>
      <c r="CG164" s="106"/>
      <c r="CH164" s="106"/>
      <c r="CI164" s="106"/>
      <c r="CJ164" s="106"/>
      <c r="CK164" s="106"/>
      <c r="CL164" s="106"/>
      <c r="CM164" s="106"/>
      <c r="CN164" s="106"/>
      <c r="CO164" s="106"/>
      <c r="CP164" s="106"/>
      <c r="CQ164" s="106"/>
      <c r="CR164" s="106"/>
      <c r="CS164" s="106"/>
      <c r="CT164" s="106"/>
      <c r="CU164" s="106"/>
      <c r="CV164" s="106"/>
      <c r="CW164" s="106"/>
      <c r="CX164" s="106"/>
      <c r="CY164" s="106"/>
      <c r="CZ164" s="106"/>
      <c r="DA164" s="106"/>
      <c r="DB164" s="106"/>
      <c r="DC164" s="106"/>
      <c r="DD164" s="106"/>
      <c r="DE164" s="106"/>
      <c r="DF164" s="106"/>
      <c r="DG164" s="106"/>
      <c r="DH164" s="106"/>
      <c r="DI164" s="106"/>
      <c r="DJ164" s="106"/>
      <c r="DK164" s="106"/>
      <c r="DL164" s="106"/>
      <c r="DM164" s="106"/>
      <c r="DN164" s="106"/>
      <c r="DO164" s="106"/>
      <c r="DP164" s="106"/>
      <c r="DQ164" s="106"/>
      <c r="DR164" s="106"/>
      <c r="DT164" s="50">
        <f t="shared" ref="DT164:DW164" si="218">+F164-E164</f>
        <v>-9.319</v>
      </c>
      <c r="DU164" s="50">
        <f t="shared" si="218"/>
        <v>-63.075</v>
      </c>
      <c r="DV164" s="50">
        <f t="shared" si="218"/>
        <v>-21.55</v>
      </c>
      <c r="DW164" s="50">
        <f t="shared" si="218"/>
        <v>0</v>
      </c>
    </row>
    <row r="165" ht="15.75" hidden="1" customHeight="1" outlineLevel="1">
      <c r="B165" s="5" t="s">
        <v>110</v>
      </c>
      <c r="C165" s="72" t="s">
        <v>70</v>
      </c>
      <c r="E165" s="50">
        <f t="shared" ref="E165:M165" si="219">+SUMIFS($O165:$DR165,$O$7:$DR$7,E$7)</f>
        <v>0</v>
      </c>
      <c r="F165" s="50">
        <f t="shared" si="219"/>
        <v>4</v>
      </c>
      <c r="G165" s="50">
        <f t="shared" si="219"/>
        <v>8</v>
      </c>
      <c r="H165" s="50">
        <f t="shared" si="219"/>
        <v>0</v>
      </c>
      <c r="I165" s="50">
        <f t="shared" si="219"/>
        <v>0</v>
      </c>
      <c r="J165" s="50">
        <f t="shared" si="219"/>
        <v>0</v>
      </c>
      <c r="K165" s="50">
        <f t="shared" si="219"/>
        <v>0</v>
      </c>
      <c r="L165" s="50">
        <f t="shared" si="219"/>
        <v>0</v>
      </c>
      <c r="M165" s="50">
        <f t="shared" si="219"/>
        <v>0</v>
      </c>
      <c r="O165" s="51">
        <v>0.0</v>
      </c>
      <c r="P165" s="51">
        <v>0.0</v>
      </c>
      <c r="Q165" s="51">
        <v>0.0</v>
      </c>
      <c r="R165" s="51">
        <v>0.0</v>
      </c>
      <c r="S165" s="51">
        <v>0.0</v>
      </c>
      <c r="T165" s="51">
        <v>0.0</v>
      </c>
      <c r="U165" s="51">
        <v>0.0</v>
      </c>
      <c r="V165" s="51">
        <v>0.0</v>
      </c>
      <c r="W165" s="51">
        <v>0.0</v>
      </c>
      <c r="X165" s="51">
        <v>0.0</v>
      </c>
      <c r="Y165" s="51">
        <v>0.0</v>
      </c>
      <c r="Z165" s="51">
        <v>0.0</v>
      </c>
      <c r="AA165" s="51">
        <v>4.0</v>
      </c>
      <c r="AB165" s="51">
        <v>0.0</v>
      </c>
      <c r="AC165" s="51">
        <v>0.0</v>
      </c>
      <c r="AD165" s="51">
        <v>0.0</v>
      </c>
      <c r="AE165" s="51">
        <v>0.0</v>
      </c>
      <c r="AF165" s="51">
        <v>0.0</v>
      </c>
      <c r="AG165" s="51">
        <v>0.0</v>
      </c>
      <c r="AH165" s="51">
        <v>0.0</v>
      </c>
      <c r="AI165" s="51">
        <v>0.0</v>
      </c>
      <c r="AJ165" s="51">
        <v>0.0</v>
      </c>
      <c r="AK165" s="51">
        <v>0.0</v>
      </c>
      <c r="AL165" s="51">
        <v>0.0</v>
      </c>
      <c r="AM165" s="51">
        <v>0.0</v>
      </c>
      <c r="AN165" s="51">
        <v>0.0</v>
      </c>
      <c r="AO165" s="51">
        <v>0.0</v>
      </c>
      <c r="AP165" s="51">
        <v>0.0</v>
      </c>
      <c r="AQ165" s="51">
        <v>8.0</v>
      </c>
      <c r="AR165" s="51">
        <v>0.0</v>
      </c>
      <c r="AS165" s="51">
        <v>0.0</v>
      </c>
      <c r="AT165" s="51">
        <v>0.0</v>
      </c>
      <c r="AU165" s="51">
        <v>0.0</v>
      </c>
      <c r="AV165" s="51">
        <v>0.0</v>
      </c>
      <c r="AW165" s="51">
        <v>0.0</v>
      </c>
      <c r="AX165" s="51">
        <v>0.0</v>
      </c>
      <c r="AY165" s="51">
        <v>0.0</v>
      </c>
      <c r="AZ165" s="51">
        <v>0.0</v>
      </c>
      <c r="BA165" s="51">
        <v>0.0</v>
      </c>
      <c r="BB165" s="51">
        <v>0.0</v>
      </c>
      <c r="BC165" s="51">
        <v>0.0</v>
      </c>
      <c r="BD165" s="51">
        <v>0.0</v>
      </c>
      <c r="BE165" s="51">
        <v>0.0</v>
      </c>
      <c r="BF165" s="51">
        <v>0.0</v>
      </c>
      <c r="BG165" s="51">
        <v>0.0</v>
      </c>
      <c r="BH165" s="51">
        <v>0.0</v>
      </c>
      <c r="BI165" s="51">
        <v>0.0</v>
      </c>
      <c r="BJ165" s="51">
        <v>0.0</v>
      </c>
      <c r="BK165" s="51">
        <v>0.0</v>
      </c>
      <c r="BL165" s="51">
        <v>0.0</v>
      </c>
      <c r="BM165" s="51">
        <v>0.0</v>
      </c>
      <c r="BN165" s="51">
        <v>0.0</v>
      </c>
      <c r="BO165" s="51">
        <v>0.0</v>
      </c>
      <c r="BP165" s="51">
        <v>0.0</v>
      </c>
      <c r="BQ165" s="51">
        <v>0.0</v>
      </c>
      <c r="BR165" s="51">
        <v>0.0</v>
      </c>
      <c r="BS165" s="51">
        <v>0.0</v>
      </c>
      <c r="BT165" s="51">
        <v>0.0</v>
      </c>
      <c r="BU165" s="51">
        <v>0.0</v>
      </c>
      <c r="BV165" s="51">
        <v>0.0</v>
      </c>
      <c r="BW165" s="106"/>
      <c r="BX165" s="106"/>
      <c r="BY165" s="106"/>
      <c r="BZ165" s="106"/>
      <c r="CA165" s="106"/>
      <c r="CB165" s="106"/>
      <c r="CC165" s="106"/>
      <c r="CD165" s="106"/>
      <c r="CE165" s="106"/>
      <c r="CF165" s="106"/>
      <c r="CG165" s="106"/>
      <c r="CH165" s="106"/>
      <c r="CI165" s="106"/>
      <c r="CJ165" s="106"/>
      <c r="CK165" s="106"/>
      <c r="CL165" s="106"/>
      <c r="CM165" s="106"/>
      <c r="CN165" s="106"/>
      <c r="CO165" s="106"/>
      <c r="CP165" s="106"/>
      <c r="CQ165" s="106"/>
      <c r="CR165" s="106"/>
      <c r="CS165" s="106"/>
      <c r="CT165" s="106"/>
      <c r="CU165" s="106"/>
      <c r="CV165" s="106"/>
      <c r="CW165" s="106"/>
      <c r="CX165" s="106"/>
      <c r="CY165" s="106"/>
      <c r="CZ165" s="106"/>
      <c r="DA165" s="106"/>
      <c r="DB165" s="106"/>
      <c r="DC165" s="106"/>
      <c r="DD165" s="106"/>
      <c r="DE165" s="106"/>
      <c r="DF165" s="106"/>
      <c r="DG165" s="106"/>
      <c r="DH165" s="106"/>
      <c r="DI165" s="106"/>
      <c r="DJ165" s="106"/>
      <c r="DK165" s="106"/>
      <c r="DL165" s="106"/>
      <c r="DM165" s="106"/>
      <c r="DN165" s="106"/>
      <c r="DO165" s="106"/>
      <c r="DP165" s="106"/>
      <c r="DQ165" s="106"/>
      <c r="DR165" s="106"/>
      <c r="DT165" s="50">
        <f t="shared" ref="DT165:DW165" si="220">+F165-E165</f>
        <v>4</v>
      </c>
      <c r="DU165" s="50">
        <f t="shared" si="220"/>
        <v>4</v>
      </c>
      <c r="DV165" s="50">
        <f t="shared" si="220"/>
        <v>-8</v>
      </c>
      <c r="DW165" s="50">
        <f t="shared" si="220"/>
        <v>0</v>
      </c>
    </row>
    <row r="166" ht="15.75" hidden="1" customHeight="1" outlineLevel="1">
      <c r="B166" s="5" t="s">
        <v>111</v>
      </c>
      <c r="C166" s="72" t="s">
        <v>70</v>
      </c>
      <c r="E166" s="50">
        <f t="shared" ref="E166:M166" si="221">+SUMIFS($O166:$DR166,$O$7:$DR$7,E$7)</f>
        <v>28.395</v>
      </c>
      <c r="F166" s="50">
        <f t="shared" si="221"/>
        <v>1.275</v>
      </c>
      <c r="G166" s="50">
        <f t="shared" si="221"/>
        <v>0</v>
      </c>
      <c r="H166" s="50">
        <f t="shared" si="221"/>
        <v>0</v>
      </c>
      <c r="I166" s="50">
        <f t="shared" si="221"/>
        <v>0</v>
      </c>
      <c r="J166" s="50">
        <f t="shared" si="221"/>
        <v>0</v>
      </c>
      <c r="K166" s="50">
        <f t="shared" si="221"/>
        <v>0</v>
      </c>
      <c r="L166" s="50">
        <f t="shared" si="221"/>
        <v>0</v>
      </c>
      <c r="M166" s="50">
        <f t="shared" si="221"/>
        <v>0</v>
      </c>
      <c r="O166" s="51">
        <v>5.506</v>
      </c>
      <c r="P166" s="51">
        <v>3.674</v>
      </c>
      <c r="Q166" s="51">
        <v>2.75</v>
      </c>
      <c r="R166" s="51">
        <v>0.749</v>
      </c>
      <c r="S166" s="51">
        <v>4.241</v>
      </c>
      <c r="T166" s="51">
        <v>0.0</v>
      </c>
      <c r="U166" s="51">
        <v>0.0</v>
      </c>
      <c r="V166" s="51">
        <v>0.0</v>
      </c>
      <c r="W166" s="51">
        <v>0.0</v>
      </c>
      <c r="X166" s="51">
        <v>0.0</v>
      </c>
      <c r="Y166" s="51">
        <v>1.913</v>
      </c>
      <c r="Z166" s="51">
        <v>9.562</v>
      </c>
      <c r="AA166" s="51">
        <v>1.275</v>
      </c>
      <c r="AB166" s="51">
        <v>0.0</v>
      </c>
      <c r="AC166" s="51">
        <v>0.0</v>
      </c>
      <c r="AD166" s="51">
        <v>0.0</v>
      </c>
      <c r="AE166" s="51">
        <v>0.0</v>
      </c>
      <c r="AF166" s="51">
        <v>0.0</v>
      </c>
      <c r="AG166" s="51">
        <v>0.0</v>
      </c>
      <c r="AH166" s="51">
        <v>0.0</v>
      </c>
      <c r="AI166" s="51">
        <v>0.0</v>
      </c>
      <c r="AJ166" s="51">
        <v>0.0</v>
      </c>
      <c r="AK166" s="51">
        <v>0.0</v>
      </c>
      <c r="AL166" s="51">
        <v>0.0</v>
      </c>
      <c r="AM166" s="51">
        <v>0.0</v>
      </c>
      <c r="AN166" s="51">
        <v>0.0</v>
      </c>
      <c r="AO166" s="51">
        <v>0.0</v>
      </c>
      <c r="AP166" s="51">
        <v>0.0</v>
      </c>
      <c r="AQ166" s="51">
        <v>0.0</v>
      </c>
      <c r="AR166" s="51">
        <v>0.0</v>
      </c>
      <c r="AS166" s="51">
        <v>0.0</v>
      </c>
      <c r="AT166" s="51">
        <v>0.0</v>
      </c>
      <c r="AU166" s="51">
        <v>0.0</v>
      </c>
      <c r="AV166" s="51">
        <v>0.0</v>
      </c>
      <c r="AW166" s="51">
        <v>0.0</v>
      </c>
      <c r="AX166" s="51">
        <v>0.0</v>
      </c>
      <c r="AY166" s="51">
        <v>0.0</v>
      </c>
      <c r="AZ166" s="51">
        <v>0.0</v>
      </c>
      <c r="BA166" s="51">
        <v>0.0</v>
      </c>
      <c r="BB166" s="51">
        <v>0.0</v>
      </c>
      <c r="BC166" s="51">
        <v>0.0</v>
      </c>
      <c r="BD166" s="51">
        <v>0.0</v>
      </c>
      <c r="BE166" s="51">
        <v>0.0</v>
      </c>
      <c r="BF166" s="51">
        <v>0.0</v>
      </c>
      <c r="BG166" s="51">
        <v>0.0</v>
      </c>
      <c r="BH166" s="51">
        <v>0.0</v>
      </c>
      <c r="BI166" s="51">
        <v>0.0</v>
      </c>
      <c r="BJ166" s="51">
        <v>0.0</v>
      </c>
      <c r="BK166" s="51">
        <v>0.0</v>
      </c>
      <c r="BL166" s="51">
        <v>0.0</v>
      </c>
      <c r="BM166" s="51">
        <v>0.0</v>
      </c>
      <c r="BN166" s="51">
        <v>0.0</v>
      </c>
      <c r="BO166" s="51">
        <v>0.0</v>
      </c>
      <c r="BP166" s="51">
        <v>0.0</v>
      </c>
      <c r="BQ166" s="51">
        <v>0.0</v>
      </c>
      <c r="BR166" s="51">
        <v>0.0</v>
      </c>
      <c r="BS166" s="51">
        <v>0.0</v>
      </c>
      <c r="BT166" s="51">
        <v>0.0</v>
      </c>
      <c r="BU166" s="51">
        <v>0.0</v>
      </c>
      <c r="BV166" s="51">
        <v>0.0</v>
      </c>
      <c r="BW166" s="106"/>
      <c r="BX166" s="106"/>
      <c r="BY166" s="106"/>
      <c r="BZ166" s="106"/>
      <c r="CA166" s="106"/>
      <c r="CB166" s="106"/>
      <c r="CC166" s="106"/>
      <c r="CD166" s="106"/>
      <c r="CE166" s="106"/>
      <c r="CF166" s="106"/>
      <c r="CG166" s="106"/>
      <c r="CH166" s="106"/>
      <c r="CI166" s="106"/>
      <c r="CJ166" s="106"/>
      <c r="CK166" s="106"/>
      <c r="CL166" s="106"/>
      <c r="CM166" s="106"/>
      <c r="CN166" s="106"/>
      <c r="CO166" s="106"/>
      <c r="CP166" s="106"/>
      <c r="CQ166" s="106"/>
      <c r="CR166" s="106"/>
      <c r="CS166" s="106"/>
      <c r="CT166" s="106"/>
      <c r="CU166" s="106"/>
      <c r="CV166" s="106"/>
      <c r="CW166" s="106"/>
      <c r="CX166" s="106"/>
      <c r="CY166" s="106"/>
      <c r="CZ166" s="106"/>
      <c r="DA166" s="106"/>
      <c r="DB166" s="106"/>
      <c r="DC166" s="106"/>
      <c r="DD166" s="106"/>
      <c r="DE166" s="106"/>
      <c r="DF166" s="106"/>
      <c r="DG166" s="106"/>
      <c r="DH166" s="106"/>
      <c r="DI166" s="106"/>
      <c r="DJ166" s="106"/>
      <c r="DK166" s="106"/>
      <c r="DL166" s="106"/>
      <c r="DM166" s="106"/>
      <c r="DN166" s="106"/>
      <c r="DO166" s="106"/>
      <c r="DP166" s="106"/>
      <c r="DQ166" s="106"/>
      <c r="DR166" s="106"/>
      <c r="DT166" s="50">
        <f t="shared" ref="DT166:DW166" si="222">+F166-E166</f>
        <v>-27.12</v>
      </c>
      <c r="DU166" s="50">
        <f t="shared" si="222"/>
        <v>-1.275</v>
      </c>
      <c r="DV166" s="50">
        <f t="shared" si="222"/>
        <v>0</v>
      </c>
      <c r="DW166" s="50">
        <f t="shared" si="222"/>
        <v>0</v>
      </c>
    </row>
    <row r="167" ht="15.75" hidden="1" customHeight="1" outlineLevel="1">
      <c r="B167" s="5" t="s">
        <v>112</v>
      </c>
      <c r="C167" s="72" t="s">
        <v>70</v>
      </c>
      <c r="E167" s="50">
        <f t="shared" ref="E167:M167" si="223">+SUMIFS($O167:$DR167,$O$7:$DR$7,E$7)</f>
        <v>28.71</v>
      </c>
      <c r="F167" s="50">
        <f t="shared" si="223"/>
        <v>0</v>
      </c>
      <c r="G167" s="50">
        <f t="shared" si="223"/>
        <v>0</v>
      </c>
      <c r="H167" s="50">
        <f t="shared" si="223"/>
        <v>0</v>
      </c>
      <c r="I167" s="50">
        <f t="shared" si="223"/>
        <v>0</v>
      </c>
      <c r="J167" s="50">
        <f t="shared" si="223"/>
        <v>0</v>
      </c>
      <c r="K167" s="50">
        <f t="shared" si="223"/>
        <v>0</v>
      </c>
      <c r="L167" s="50">
        <f t="shared" si="223"/>
        <v>0</v>
      </c>
      <c r="M167" s="50">
        <f t="shared" si="223"/>
        <v>0</v>
      </c>
      <c r="O167" s="51">
        <v>6.297</v>
      </c>
      <c r="P167" s="51">
        <v>3.611</v>
      </c>
      <c r="Q167" s="51">
        <v>4.906</v>
      </c>
      <c r="R167" s="51">
        <v>3.674</v>
      </c>
      <c r="S167" s="51">
        <v>1.496</v>
      </c>
      <c r="T167" s="51">
        <v>5.076</v>
      </c>
      <c r="U167" s="51">
        <v>3.65</v>
      </c>
      <c r="V167" s="51">
        <v>0.0</v>
      </c>
      <c r="W167" s="51">
        <v>0.0</v>
      </c>
      <c r="X167" s="51">
        <v>0.0</v>
      </c>
      <c r="Y167" s="51">
        <v>0.0</v>
      </c>
      <c r="Z167" s="51">
        <v>0.0</v>
      </c>
      <c r="AA167" s="51">
        <v>0.0</v>
      </c>
      <c r="AB167" s="51">
        <v>0.0</v>
      </c>
      <c r="AC167" s="51">
        <v>0.0</v>
      </c>
      <c r="AD167" s="51">
        <v>0.0</v>
      </c>
      <c r="AE167" s="51">
        <v>0.0</v>
      </c>
      <c r="AF167" s="51">
        <v>0.0</v>
      </c>
      <c r="AG167" s="51">
        <v>0.0</v>
      </c>
      <c r="AH167" s="51">
        <v>0.0</v>
      </c>
      <c r="AI167" s="51">
        <v>0.0</v>
      </c>
      <c r="AJ167" s="51">
        <v>0.0</v>
      </c>
      <c r="AK167" s="51">
        <v>0.0</v>
      </c>
      <c r="AL167" s="51">
        <v>0.0</v>
      </c>
      <c r="AM167" s="51">
        <v>0.0</v>
      </c>
      <c r="AN167" s="51">
        <v>0.0</v>
      </c>
      <c r="AO167" s="51">
        <v>0.0</v>
      </c>
      <c r="AP167" s="51">
        <v>0.0</v>
      </c>
      <c r="AQ167" s="51">
        <v>0.0</v>
      </c>
      <c r="AR167" s="51">
        <v>0.0</v>
      </c>
      <c r="AS167" s="51">
        <v>0.0</v>
      </c>
      <c r="AT167" s="51">
        <v>0.0</v>
      </c>
      <c r="AU167" s="51">
        <v>0.0</v>
      </c>
      <c r="AV167" s="51">
        <v>0.0</v>
      </c>
      <c r="AW167" s="51">
        <v>0.0</v>
      </c>
      <c r="AX167" s="51">
        <v>0.0</v>
      </c>
      <c r="AY167" s="51">
        <v>0.0</v>
      </c>
      <c r="AZ167" s="51">
        <v>0.0</v>
      </c>
      <c r="BA167" s="51">
        <v>0.0</v>
      </c>
      <c r="BB167" s="51">
        <v>0.0</v>
      </c>
      <c r="BC167" s="51">
        <v>0.0</v>
      </c>
      <c r="BD167" s="51">
        <v>0.0</v>
      </c>
      <c r="BE167" s="51">
        <v>0.0</v>
      </c>
      <c r="BF167" s="51">
        <v>0.0</v>
      </c>
      <c r="BG167" s="51">
        <v>0.0</v>
      </c>
      <c r="BH167" s="51">
        <v>0.0</v>
      </c>
      <c r="BI167" s="51">
        <v>0.0</v>
      </c>
      <c r="BJ167" s="51">
        <v>0.0</v>
      </c>
      <c r="BK167" s="51">
        <v>0.0</v>
      </c>
      <c r="BL167" s="51">
        <v>0.0</v>
      </c>
      <c r="BM167" s="51">
        <v>0.0</v>
      </c>
      <c r="BN167" s="51">
        <v>0.0</v>
      </c>
      <c r="BO167" s="51">
        <v>0.0</v>
      </c>
      <c r="BP167" s="51">
        <v>0.0</v>
      </c>
      <c r="BQ167" s="51">
        <v>0.0</v>
      </c>
      <c r="BR167" s="51">
        <v>0.0</v>
      </c>
      <c r="BS167" s="51">
        <v>0.0</v>
      </c>
      <c r="BT167" s="51">
        <v>0.0</v>
      </c>
      <c r="BU167" s="51">
        <v>0.0</v>
      </c>
      <c r="BV167" s="51">
        <v>0.0</v>
      </c>
      <c r="BW167" s="106"/>
      <c r="BX167" s="106"/>
      <c r="BY167" s="106"/>
      <c r="BZ167" s="106"/>
      <c r="CA167" s="106"/>
      <c r="CB167" s="106"/>
      <c r="CC167" s="106"/>
      <c r="CD167" s="106"/>
      <c r="CE167" s="106"/>
      <c r="CF167" s="106"/>
      <c r="CG167" s="106"/>
      <c r="CH167" s="106"/>
      <c r="CI167" s="106"/>
      <c r="CJ167" s="106"/>
      <c r="CK167" s="106"/>
      <c r="CL167" s="106"/>
      <c r="CM167" s="106"/>
      <c r="CN167" s="106"/>
      <c r="CO167" s="106"/>
      <c r="CP167" s="106"/>
      <c r="CQ167" s="106"/>
      <c r="CR167" s="106"/>
      <c r="CS167" s="106"/>
      <c r="CT167" s="106"/>
      <c r="CU167" s="106"/>
      <c r="CV167" s="106"/>
      <c r="CW167" s="106"/>
      <c r="CX167" s="106"/>
      <c r="CY167" s="106"/>
      <c r="CZ167" s="106"/>
      <c r="DA167" s="106"/>
      <c r="DB167" s="106"/>
      <c r="DC167" s="106"/>
      <c r="DD167" s="106"/>
      <c r="DE167" s="106"/>
      <c r="DF167" s="106"/>
      <c r="DG167" s="106"/>
      <c r="DH167" s="106"/>
      <c r="DI167" s="106"/>
      <c r="DJ167" s="106"/>
      <c r="DK167" s="106"/>
      <c r="DL167" s="106"/>
      <c r="DM167" s="106"/>
      <c r="DN167" s="106"/>
      <c r="DO167" s="106"/>
      <c r="DP167" s="106"/>
      <c r="DQ167" s="106"/>
      <c r="DR167" s="106"/>
      <c r="DT167" s="50">
        <f t="shared" ref="DT167:DW167" si="224">+F167-E167</f>
        <v>-28.71</v>
      </c>
      <c r="DU167" s="50">
        <f t="shared" si="224"/>
        <v>0</v>
      </c>
      <c r="DV167" s="50">
        <f t="shared" si="224"/>
        <v>0</v>
      </c>
      <c r="DW167" s="50">
        <f t="shared" si="224"/>
        <v>0</v>
      </c>
    </row>
    <row r="168" ht="15.75" hidden="1" customHeight="1" outlineLevel="1">
      <c r="B168" s="5" t="s">
        <v>113</v>
      </c>
      <c r="C168" s="72" t="s">
        <v>70</v>
      </c>
      <c r="E168" s="50">
        <f t="shared" ref="E168:M168" si="225">+SUMIFS($O168:$DR168,$O$7:$DR$7,E$7)</f>
        <v>0</v>
      </c>
      <c r="F168" s="50">
        <f t="shared" si="225"/>
        <v>0</v>
      </c>
      <c r="G168" s="50">
        <f t="shared" si="225"/>
        <v>9.726</v>
      </c>
      <c r="H168" s="50">
        <f t="shared" si="225"/>
        <v>0</v>
      </c>
      <c r="I168" s="50">
        <f t="shared" si="225"/>
        <v>0</v>
      </c>
      <c r="J168" s="50">
        <f t="shared" si="225"/>
        <v>0</v>
      </c>
      <c r="K168" s="50">
        <f t="shared" si="225"/>
        <v>0</v>
      </c>
      <c r="L168" s="50">
        <f t="shared" si="225"/>
        <v>0</v>
      </c>
      <c r="M168" s="50">
        <f t="shared" si="225"/>
        <v>0</v>
      </c>
      <c r="O168" s="51">
        <v>0.0</v>
      </c>
      <c r="P168" s="51">
        <v>0.0</v>
      </c>
      <c r="Q168" s="51">
        <v>0.0</v>
      </c>
      <c r="R168" s="51">
        <v>0.0</v>
      </c>
      <c r="S168" s="51">
        <v>0.0</v>
      </c>
      <c r="T168" s="51">
        <v>0.0</v>
      </c>
      <c r="U168" s="51">
        <v>0.0</v>
      </c>
      <c r="V168" s="51">
        <v>0.0</v>
      </c>
      <c r="W168" s="51">
        <v>0.0</v>
      </c>
      <c r="X168" s="51">
        <v>0.0</v>
      </c>
      <c r="Y168" s="51">
        <v>0.0</v>
      </c>
      <c r="Z168" s="51">
        <v>0.0</v>
      </c>
      <c r="AA168" s="51">
        <v>0.0</v>
      </c>
      <c r="AB168" s="51">
        <v>0.0</v>
      </c>
      <c r="AC168" s="51">
        <v>0.0</v>
      </c>
      <c r="AD168" s="51">
        <v>0.0</v>
      </c>
      <c r="AE168" s="51">
        <v>0.0</v>
      </c>
      <c r="AF168" s="51">
        <v>0.0</v>
      </c>
      <c r="AG168" s="51">
        <v>0.0</v>
      </c>
      <c r="AH168" s="51">
        <v>0.0</v>
      </c>
      <c r="AI168" s="51">
        <v>0.0</v>
      </c>
      <c r="AJ168" s="51">
        <v>0.0</v>
      </c>
      <c r="AK168" s="51">
        <v>0.0</v>
      </c>
      <c r="AL168" s="51">
        <v>0.0</v>
      </c>
      <c r="AM168" s="51">
        <v>0.0</v>
      </c>
      <c r="AN168" s="51">
        <v>0.0</v>
      </c>
      <c r="AO168" s="51">
        <v>0.973</v>
      </c>
      <c r="AP168" s="51">
        <v>0.0</v>
      </c>
      <c r="AQ168" s="51">
        <v>0.0</v>
      </c>
      <c r="AR168" s="51">
        <v>1.458</v>
      </c>
      <c r="AS168" s="51">
        <v>0.0</v>
      </c>
      <c r="AT168" s="51">
        <v>2.918</v>
      </c>
      <c r="AU168" s="51">
        <v>2.432</v>
      </c>
      <c r="AV168" s="51">
        <v>1.459</v>
      </c>
      <c r="AW168" s="51">
        <v>0.0</v>
      </c>
      <c r="AX168" s="51">
        <v>0.486</v>
      </c>
      <c r="AY168" s="51">
        <v>0.0</v>
      </c>
      <c r="AZ168" s="51">
        <v>0.0</v>
      </c>
      <c r="BA168" s="51">
        <v>0.0</v>
      </c>
      <c r="BB168" s="51">
        <v>0.0</v>
      </c>
      <c r="BC168" s="51">
        <v>0.0</v>
      </c>
      <c r="BD168" s="51">
        <v>0.0</v>
      </c>
      <c r="BE168" s="51">
        <v>0.0</v>
      </c>
      <c r="BF168" s="51">
        <v>0.0</v>
      </c>
      <c r="BG168" s="51">
        <v>0.0</v>
      </c>
      <c r="BH168" s="51">
        <v>0.0</v>
      </c>
      <c r="BI168" s="51">
        <v>0.0</v>
      </c>
      <c r="BJ168" s="51">
        <v>0.0</v>
      </c>
      <c r="BK168" s="51">
        <v>0.0</v>
      </c>
      <c r="BL168" s="51">
        <v>0.0</v>
      </c>
      <c r="BM168" s="51">
        <v>0.0</v>
      </c>
      <c r="BN168" s="51">
        <v>0.0</v>
      </c>
      <c r="BO168" s="51">
        <v>0.0</v>
      </c>
      <c r="BP168" s="51">
        <v>0.0</v>
      </c>
      <c r="BQ168" s="51">
        <v>0.0</v>
      </c>
      <c r="BR168" s="51">
        <v>0.0</v>
      </c>
      <c r="BS168" s="51">
        <v>0.0</v>
      </c>
      <c r="BT168" s="51">
        <v>0.0</v>
      </c>
      <c r="BU168" s="51">
        <v>0.0</v>
      </c>
      <c r="BV168" s="51">
        <v>0.0</v>
      </c>
      <c r="BW168" s="106"/>
      <c r="BX168" s="106"/>
      <c r="BY168" s="106"/>
      <c r="BZ168" s="106"/>
      <c r="CA168" s="106"/>
      <c r="CB168" s="106"/>
      <c r="CC168" s="106"/>
      <c r="CD168" s="106"/>
      <c r="CE168" s="106"/>
      <c r="CF168" s="106"/>
      <c r="CG168" s="106"/>
      <c r="CH168" s="106"/>
      <c r="CI168" s="106"/>
      <c r="CJ168" s="106"/>
      <c r="CK168" s="106"/>
      <c r="CL168" s="106"/>
      <c r="CM168" s="106"/>
      <c r="CN168" s="106"/>
      <c r="CO168" s="106"/>
      <c r="CP168" s="106"/>
      <c r="CQ168" s="106"/>
      <c r="CR168" s="106"/>
      <c r="CS168" s="106"/>
      <c r="CT168" s="106"/>
      <c r="CU168" s="106"/>
      <c r="CV168" s="106"/>
      <c r="CW168" s="106"/>
      <c r="CX168" s="106"/>
      <c r="CY168" s="106"/>
      <c r="CZ168" s="106"/>
      <c r="DA168" s="106"/>
      <c r="DB168" s="106"/>
      <c r="DC168" s="106"/>
      <c r="DD168" s="106"/>
      <c r="DE168" s="106"/>
      <c r="DF168" s="106"/>
      <c r="DG168" s="106"/>
      <c r="DH168" s="106"/>
      <c r="DI168" s="106"/>
      <c r="DJ168" s="106"/>
      <c r="DK168" s="106"/>
      <c r="DL168" s="106"/>
      <c r="DM168" s="106"/>
      <c r="DN168" s="106"/>
      <c r="DO168" s="106"/>
      <c r="DP168" s="106"/>
      <c r="DQ168" s="106"/>
      <c r="DR168" s="106"/>
      <c r="DT168" s="50">
        <f t="shared" ref="DT168:DW168" si="226">+F168-E168</f>
        <v>0</v>
      </c>
      <c r="DU168" s="50">
        <f t="shared" si="226"/>
        <v>9.726</v>
      </c>
      <c r="DV168" s="50">
        <f t="shared" si="226"/>
        <v>-9.726</v>
      </c>
      <c r="DW168" s="50">
        <f t="shared" si="226"/>
        <v>0</v>
      </c>
    </row>
    <row r="169" ht="15.75" hidden="1" customHeight="1" outlineLevel="1">
      <c r="B169" s="5" t="s">
        <v>114</v>
      </c>
      <c r="C169" s="72" t="s">
        <v>70</v>
      </c>
      <c r="E169" s="50">
        <f t="shared" ref="E169:M169" si="227">+SUMIFS($O169:$DR169,$O$7:$DR$7,E$7)</f>
        <v>3.926</v>
      </c>
      <c r="F169" s="50">
        <f t="shared" si="227"/>
        <v>3.18</v>
      </c>
      <c r="G169" s="50">
        <f t="shared" si="227"/>
        <v>3.18</v>
      </c>
      <c r="H169" s="50">
        <f t="shared" si="227"/>
        <v>2.65</v>
      </c>
      <c r="I169" s="50">
        <f t="shared" si="227"/>
        <v>0</v>
      </c>
      <c r="J169" s="50">
        <f t="shared" si="227"/>
        <v>0</v>
      </c>
      <c r="K169" s="50">
        <f t="shared" si="227"/>
        <v>0</v>
      </c>
      <c r="L169" s="50">
        <f t="shared" si="227"/>
        <v>0</v>
      </c>
      <c r="M169" s="50">
        <f t="shared" si="227"/>
        <v>0</v>
      </c>
      <c r="O169" s="51">
        <v>0.0</v>
      </c>
      <c r="P169" s="51">
        <v>0.0</v>
      </c>
      <c r="Q169" s="51">
        <v>0.0</v>
      </c>
      <c r="R169" s="51">
        <v>0.0</v>
      </c>
      <c r="S169" s="51">
        <v>0.0</v>
      </c>
      <c r="T169" s="51">
        <v>0.0</v>
      </c>
      <c r="U169" s="51">
        <v>0.0</v>
      </c>
      <c r="V169" s="51">
        <v>0.0</v>
      </c>
      <c r="W169" s="51">
        <v>0.265</v>
      </c>
      <c r="X169" s="51">
        <v>0.265</v>
      </c>
      <c r="Y169" s="51">
        <v>3.131</v>
      </c>
      <c r="Z169" s="51">
        <v>0.265</v>
      </c>
      <c r="AA169" s="51">
        <v>0.265</v>
      </c>
      <c r="AB169" s="51">
        <v>0.265</v>
      </c>
      <c r="AC169" s="51">
        <v>0.265</v>
      </c>
      <c r="AD169" s="51">
        <v>0.265</v>
      </c>
      <c r="AE169" s="51">
        <v>0.265</v>
      </c>
      <c r="AF169" s="51">
        <v>0.265</v>
      </c>
      <c r="AG169" s="51">
        <v>0.265</v>
      </c>
      <c r="AH169" s="51">
        <v>0.265</v>
      </c>
      <c r="AI169" s="51">
        <v>0.265</v>
      </c>
      <c r="AJ169" s="51">
        <v>0.265</v>
      </c>
      <c r="AK169" s="51">
        <v>0.265</v>
      </c>
      <c r="AL169" s="51">
        <v>0.265</v>
      </c>
      <c r="AM169" s="51">
        <v>0.265</v>
      </c>
      <c r="AN169" s="51">
        <v>0.265</v>
      </c>
      <c r="AO169" s="51">
        <v>0.265</v>
      </c>
      <c r="AP169" s="51">
        <v>0.265</v>
      </c>
      <c r="AQ169" s="51">
        <v>0.265</v>
      </c>
      <c r="AR169" s="51">
        <v>0.265</v>
      </c>
      <c r="AS169" s="51">
        <v>0.265</v>
      </c>
      <c r="AT169" s="51">
        <v>0.265</v>
      </c>
      <c r="AU169" s="51">
        <v>0.265</v>
      </c>
      <c r="AV169" s="51">
        <v>0.265</v>
      </c>
      <c r="AW169" s="51">
        <v>0.265</v>
      </c>
      <c r="AX169" s="51">
        <v>0.265</v>
      </c>
      <c r="AY169" s="51">
        <v>0.265</v>
      </c>
      <c r="AZ169" s="51">
        <v>0.265</v>
      </c>
      <c r="BA169" s="51">
        <v>0.265</v>
      </c>
      <c r="BB169" s="51">
        <v>0.265</v>
      </c>
      <c r="BC169" s="51">
        <v>0.265</v>
      </c>
      <c r="BD169" s="51">
        <v>0.265</v>
      </c>
      <c r="BE169" s="51">
        <v>0.265</v>
      </c>
      <c r="BF169" s="51">
        <v>0.265</v>
      </c>
      <c r="BG169" s="51">
        <v>0.265</v>
      </c>
      <c r="BH169" s="51">
        <v>0.265</v>
      </c>
      <c r="BI169" s="51">
        <v>0.0</v>
      </c>
      <c r="BJ169" s="51">
        <v>0.0</v>
      </c>
      <c r="BK169" s="51">
        <v>0.0</v>
      </c>
      <c r="BL169" s="51">
        <v>0.0</v>
      </c>
      <c r="BM169" s="51">
        <v>0.0</v>
      </c>
      <c r="BN169" s="51">
        <v>0.0</v>
      </c>
      <c r="BO169" s="51">
        <v>0.0</v>
      </c>
      <c r="BP169" s="51">
        <v>0.0</v>
      </c>
      <c r="BQ169" s="51">
        <v>0.0</v>
      </c>
      <c r="BR169" s="51">
        <v>0.0</v>
      </c>
      <c r="BS169" s="51">
        <v>0.0</v>
      </c>
      <c r="BT169" s="51">
        <v>0.0</v>
      </c>
      <c r="BU169" s="51">
        <v>0.0</v>
      </c>
      <c r="BV169" s="51">
        <v>0.0</v>
      </c>
      <c r="BW169" s="106"/>
      <c r="BX169" s="106"/>
      <c r="BY169" s="106"/>
      <c r="BZ169" s="106"/>
      <c r="CA169" s="106"/>
      <c r="CB169" s="106"/>
      <c r="CC169" s="106"/>
      <c r="CD169" s="106"/>
      <c r="CE169" s="106"/>
      <c r="CF169" s="106"/>
      <c r="CG169" s="106"/>
      <c r="CH169" s="106"/>
      <c r="CI169" s="106"/>
      <c r="CJ169" s="106"/>
      <c r="CK169" s="106"/>
      <c r="CL169" s="106"/>
      <c r="CM169" s="106"/>
      <c r="CN169" s="106"/>
      <c r="CO169" s="106"/>
      <c r="CP169" s="106"/>
      <c r="CQ169" s="106"/>
      <c r="CR169" s="106"/>
      <c r="CS169" s="106"/>
      <c r="CT169" s="106"/>
      <c r="CU169" s="106"/>
      <c r="CV169" s="106"/>
      <c r="CW169" s="106"/>
      <c r="CX169" s="106"/>
      <c r="CY169" s="106"/>
      <c r="CZ169" s="106"/>
      <c r="DA169" s="106"/>
      <c r="DB169" s="106"/>
      <c r="DC169" s="106"/>
      <c r="DD169" s="106"/>
      <c r="DE169" s="106"/>
      <c r="DF169" s="106"/>
      <c r="DG169" s="106"/>
      <c r="DH169" s="106"/>
      <c r="DI169" s="106"/>
      <c r="DJ169" s="106"/>
      <c r="DK169" s="106"/>
      <c r="DL169" s="106"/>
      <c r="DM169" s="106"/>
      <c r="DN169" s="106"/>
      <c r="DO169" s="106"/>
      <c r="DP169" s="106"/>
      <c r="DQ169" s="106"/>
      <c r="DR169" s="106"/>
      <c r="DT169" s="50">
        <f t="shared" ref="DT169:DW169" si="228">+F169-E169</f>
        <v>-0.746</v>
      </c>
      <c r="DU169" s="50">
        <f t="shared" si="228"/>
        <v>0</v>
      </c>
      <c r="DV169" s="50">
        <f t="shared" si="228"/>
        <v>-0.53</v>
      </c>
      <c r="DW169" s="50">
        <f t="shared" si="228"/>
        <v>-2.65</v>
      </c>
    </row>
    <row r="170" ht="15.75" hidden="1" customHeight="1" outlineLevel="1">
      <c r="B170" s="5" t="s">
        <v>115</v>
      </c>
      <c r="C170" s="72" t="s">
        <v>74</v>
      </c>
      <c r="E170" s="50">
        <f t="shared" ref="E170:M170" si="229">+SUMIFS($O170:$DR170,$O$7:$DR$7,E$7)</f>
        <v>82.236</v>
      </c>
      <c r="F170" s="50">
        <f t="shared" si="229"/>
        <v>48.862</v>
      </c>
      <c r="G170" s="50">
        <f t="shared" si="229"/>
        <v>0</v>
      </c>
      <c r="H170" s="50">
        <f t="shared" si="229"/>
        <v>0</v>
      </c>
      <c r="I170" s="50">
        <f t="shared" si="229"/>
        <v>0</v>
      </c>
      <c r="J170" s="50">
        <f t="shared" si="229"/>
        <v>0</v>
      </c>
      <c r="K170" s="50">
        <f t="shared" si="229"/>
        <v>0</v>
      </c>
      <c r="L170" s="50">
        <f t="shared" si="229"/>
        <v>0</v>
      </c>
      <c r="M170" s="50">
        <f t="shared" si="229"/>
        <v>0</v>
      </c>
      <c r="O170" s="51">
        <v>7.323</v>
      </c>
      <c r="P170" s="51">
        <v>5.821</v>
      </c>
      <c r="Q170" s="51">
        <v>5.965</v>
      </c>
      <c r="R170" s="51">
        <v>8.682</v>
      </c>
      <c r="S170" s="51">
        <v>7.886</v>
      </c>
      <c r="T170" s="51">
        <v>5.609</v>
      </c>
      <c r="U170" s="51">
        <v>8.146</v>
      </c>
      <c r="V170" s="51">
        <v>6.149</v>
      </c>
      <c r="W170" s="51">
        <v>5.929</v>
      </c>
      <c r="X170" s="51">
        <v>7.436</v>
      </c>
      <c r="Y170" s="51">
        <v>6.46</v>
      </c>
      <c r="Z170" s="51">
        <v>6.83</v>
      </c>
      <c r="AA170" s="51">
        <v>4.09</v>
      </c>
      <c r="AB170" s="51">
        <v>3.959</v>
      </c>
      <c r="AC170" s="51">
        <v>6.298</v>
      </c>
      <c r="AD170" s="51">
        <v>6.553</v>
      </c>
      <c r="AE170" s="51">
        <v>4.683</v>
      </c>
      <c r="AF170" s="51">
        <v>4.528</v>
      </c>
      <c r="AG170" s="51">
        <v>6.343</v>
      </c>
      <c r="AH170" s="51">
        <v>6.348</v>
      </c>
      <c r="AI170" s="51">
        <v>6.06</v>
      </c>
      <c r="AJ170" s="51">
        <v>0.0</v>
      </c>
      <c r="AK170" s="51">
        <v>0.0</v>
      </c>
      <c r="AL170" s="51">
        <v>0.0</v>
      </c>
      <c r="AM170" s="51">
        <v>0.0</v>
      </c>
      <c r="AN170" s="51">
        <v>0.0</v>
      </c>
      <c r="AO170" s="51">
        <v>0.0</v>
      </c>
      <c r="AP170" s="51">
        <v>0.0</v>
      </c>
      <c r="AQ170" s="51">
        <v>0.0</v>
      </c>
      <c r="AR170" s="51">
        <v>0.0</v>
      </c>
      <c r="AS170" s="51">
        <v>0.0</v>
      </c>
      <c r="AT170" s="51">
        <v>0.0</v>
      </c>
      <c r="AU170" s="51">
        <v>0.0</v>
      </c>
      <c r="AV170" s="51">
        <v>0.0</v>
      </c>
      <c r="AW170" s="51">
        <v>0.0</v>
      </c>
      <c r="AX170" s="51">
        <v>0.0</v>
      </c>
      <c r="AY170" s="51">
        <v>0.0</v>
      </c>
      <c r="AZ170" s="51">
        <v>0.0</v>
      </c>
      <c r="BA170" s="51">
        <v>0.0</v>
      </c>
      <c r="BB170" s="51">
        <v>0.0</v>
      </c>
      <c r="BC170" s="51">
        <v>0.0</v>
      </c>
      <c r="BD170" s="51">
        <v>0.0</v>
      </c>
      <c r="BE170" s="51">
        <v>0.0</v>
      </c>
      <c r="BF170" s="51">
        <v>0.0</v>
      </c>
      <c r="BG170" s="51">
        <v>0.0</v>
      </c>
      <c r="BH170" s="51">
        <v>0.0</v>
      </c>
      <c r="BI170" s="51">
        <v>0.0</v>
      </c>
      <c r="BJ170" s="51">
        <v>0.0</v>
      </c>
      <c r="BK170" s="51">
        <v>0.0</v>
      </c>
      <c r="BL170" s="51">
        <v>0.0</v>
      </c>
      <c r="BM170" s="51">
        <v>0.0</v>
      </c>
      <c r="BN170" s="51">
        <v>0.0</v>
      </c>
      <c r="BO170" s="51">
        <v>0.0</v>
      </c>
      <c r="BP170" s="51">
        <v>0.0</v>
      </c>
      <c r="BQ170" s="51">
        <v>0.0</v>
      </c>
      <c r="BR170" s="51">
        <v>0.0</v>
      </c>
      <c r="BS170" s="51">
        <v>0.0</v>
      </c>
      <c r="BT170" s="51">
        <v>0.0</v>
      </c>
      <c r="BU170" s="51">
        <v>0.0</v>
      </c>
      <c r="BV170" s="51">
        <v>0.0</v>
      </c>
      <c r="BW170" s="106"/>
      <c r="BX170" s="106"/>
      <c r="BY170" s="106"/>
      <c r="BZ170" s="106"/>
      <c r="CA170" s="106"/>
      <c r="CB170" s="106"/>
      <c r="CC170" s="106"/>
      <c r="CD170" s="106"/>
      <c r="CE170" s="106"/>
      <c r="CF170" s="106"/>
      <c r="CG170" s="106"/>
      <c r="CH170" s="106"/>
      <c r="CI170" s="106"/>
      <c r="CJ170" s="106"/>
      <c r="CK170" s="106"/>
      <c r="CL170" s="106"/>
      <c r="CM170" s="106"/>
      <c r="CN170" s="106"/>
      <c r="CO170" s="106"/>
      <c r="CP170" s="106"/>
      <c r="CQ170" s="106"/>
      <c r="CR170" s="106"/>
      <c r="CS170" s="106"/>
      <c r="CT170" s="106"/>
      <c r="CU170" s="106"/>
      <c r="CV170" s="106"/>
      <c r="CW170" s="106"/>
      <c r="CX170" s="106"/>
      <c r="CY170" s="106"/>
      <c r="CZ170" s="106"/>
      <c r="DA170" s="106"/>
      <c r="DB170" s="106"/>
      <c r="DC170" s="106"/>
      <c r="DD170" s="106"/>
      <c r="DE170" s="106"/>
      <c r="DF170" s="106"/>
      <c r="DG170" s="106"/>
      <c r="DH170" s="106"/>
      <c r="DI170" s="106"/>
      <c r="DJ170" s="106"/>
      <c r="DK170" s="106"/>
      <c r="DL170" s="106"/>
      <c r="DM170" s="106"/>
      <c r="DN170" s="106"/>
      <c r="DO170" s="106"/>
      <c r="DP170" s="106"/>
      <c r="DQ170" s="106"/>
      <c r="DR170" s="106"/>
      <c r="DT170" s="50">
        <f t="shared" ref="DT170:DW170" si="230">+F170-E170</f>
        <v>-33.374</v>
      </c>
      <c r="DU170" s="50">
        <f t="shared" si="230"/>
        <v>-48.862</v>
      </c>
      <c r="DV170" s="50">
        <f t="shared" si="230"/>
        <v>0</v>
      </c>
      <c r="DW170" s="50">
        <f t="shared" si="230"/>
        <v>0</v>
      </c>
    </row>
    <row r="171" ht="15.75" hidden="1" customHeight="1" outlineLevel="1">
      <c r="B171" s="5" t="s">
        <v>116</v>
      </c>
      <c r="C171" s="72"/>
      <c r="E171" s="50">
        <f t="shared" ref="E171:M171" si="231">+SUMIFS($O171:$DR171,$O$7:$DR$7,E$7)</f>
        <v>0</v>
      </c>
      <c r="F171" s="50">
        <f t="shared" si="231"/>
        <v>0</v>
      </c>
      <c r="G171" s="50">
        <f t="shared" si="231"/>
        <v>0</v>
      </c>
      <c r="H171" s="50">
        <f t="shared" si="231"/>
        <v>0</v>
      </c>
      <c r="I171" s="50">
        <f t="shared" si="231"/>
        <v>425</v>
      </c>
      <c r="J171" s="50">
        <f t="shared" si="231"/>
        <v>0</v>
      </c>
      <c r="K171" s="50">
        <f t="shared" si="231"/>
        <v>0</v>
      </c>
      <c r="L171" s="50">
        <f t="shared" si="231"/>
        <v>0</v>
      </c>
      <c r="M171" s="50">
        <f t="shared" si="231"/>
        <v>0</v>
      </c>
      <c r="O171" s="51">
        <v>0.0</v>
      </c>
      <c r="P171" s="51">
        <v>0.0</v>
      </c>
      <c r="Q171" s="51">
        <v>0.0</v>
      </c>
      <c r="R171" s="51">
        <v>0.0</v>
      </c>
      <c r="S171" s="51">
        <v>0.0</v>
      </c>
      <c r="T171" s="51">
        <v>0.0</v>
      </c>
      <c r="U171" s="51">
        <v>0.0</v>
      </c>
      <c r="V171" s="51">
        <v>0.0</v>
      </c>
      <c r="W171" s="51">
        <v>0.0</v>
      </c>
      <c r="X171" s="51">
        <v>0.0</v>
      </c>
      <c r="Y171" s="51">
        <v>0.0</v>
      </c>
      <c r="Z171" s="51">
        <v>0.0</v>
      </c>
      <c r="AA171" s="51">
        <v>0.0</v>
      </c>
      <c r="AB171" s="51">
        <v>0.0</v>
      </c>
      <c r="AC171" s="51">
        <v>0.0</v>
      </c>
      <c r="AD171" s="51">
        <v>0.0</v>
      </c>
      <c r="AE171" s="51">
        <v>0.0</v>
      </c>
      <c r="AF171" s="51">
        <v>0.0</v>
      </c>
      <c r="AG171" s="51">
        <v>0.0</v>
      </c>
      <c r="AH171" s="51">
        <v>0.0</v>
      </c>
      <c r="AI171" s="51">
        <v>0.0</v>
      </c>
      <c r="AJ171" s="51">
        <v>0.0</v>
      </c>
      <c r="AK171" s="51">
        <v>0.0</v>
      </c>
      <c r="AL171" s="51">
        <v>0.0</v>
      </c>
      <c r="AM171" s="51">
        <v>0.0</v>
      </c>
      <c r="AN171" s="51">
        <v>0.0</v>
      </c>
      <c r="AO171" s="51">
        <v>0.0</v>
      </c>
      <c r="AP171" s="51">
        <v>0.0</v>
      </c>
      <c r="AQ171" s="51">
        <v>0.0</v>
      </c>
      <c r="AR171" s="51">
        <v>0.0</v>
      </c>
      <c r="AS171" s="51">
        <v>0.0</v>
      </c>
      <c r="AT171" s="51">
        <v>0.0</v>
      </c>
      <c r="AU171" s="51">
        <v>0.0</v>
      </c>
      <c r="AV171" s="51">
        <v>0.0</v>
      </c>
      <c r="AW171" s="51">
        <v>0.0</v>
      </c>
      <c r="AX171" s="51">
        <v>0.0</v>
      </c>
      <c r="AY171" s="51">
        <v>0.0</v>
      </c>
      <c r="AZ171" s="51">
        <v>0.0</v>
      </c>
      <c r="BA171" s="51">
        <v>0.0</v>
      </c>
      <c r="BB171" s="51">
        <v>0.0</v>
      </c>
      <c r="BC171" s="51">
        <v>0.0</v>
      </c>
      <c r="BD171" s="51">
        <v>0.0</v>
      </c>
      <c r="BE171" s="51">
        <v>0.0</v>
      </c>
      <c r="BF171" s="51">
        <v>0.0</v>
      </c>
      <c r="BG171" s="51">
        <v>0.0</v>
      </c>
      <c r="BH171" s="51">
        <v>0.0</v>
      </c>
      <c r="BI171" s="51">
        <v>0.0</v>
      </c>
      <c r="BJ171" s="51">
        <v>0.0</v>
      </c>
      <c r="BK171" s="51">
        <v>0.0</v>
      </c>
      <c r="BL171" s="51">
        <v>0.0</v>
      </c>
      <c r="BM171" s="51">
        <v>0.0</v>
      </c>
      <c r="BN171" s="51">
        <v>0.0</v>
      </c>
      <c r="BO171" s="51">
        <v>0.0</v>
      </c>
      <c r="BP171" s="51">
        <v>0.0</v>
      </c>
      <c r="BQ171" s="51">
        <v>33.333333333333336</v>
      </c>
      <c r="BR171" s="51">
        <v>69.00000000000001</v>
      </c>
      <c r="BS171" s="51">
        <v>91.44166666666665</v>
      </c>
      <c r="BT171" s="51">
        <v>91.68999999999998</v>
      </c>
      <c r="BU171" s="51">
        <v>76.69425</v>
      </c>
      <c r="BV171" s="51">
        <v>62.84075</v>
      </c>
      <c r="BW171" s="106"/>
      <c r="BX171" s="106"/>
      <c r="BY171" s="106"/>
      <c r="BZ171" s="106"/>
      <c r="CA171" s="106"/>
      <c r="CB171" s="106"/>
      <c r="CC171" s="106"/>
      <c r="CD171" s="106"/>
      <c r="CE171" s="106"/>
      <c r="CF171" s="106"/>
      <c r="CG171" s="106"/>
      <c r="CH171" s="106"/>
      <c r="CI171" s="106"/>
      <c r="CJ171" s="106"/>
      <c r="CK171" s="106"/>
      <c r="CL171" s="106"/>
      <c r="CM171" s="106"/>
      <c r="CN171" s="106"/>
      <c r="CO171" s="106"/>
      <c r="CP171" s="106"/>
      <c r="CQ171" s="106"/>
      <c r="CR171" s="106"/>
      <c r="CS171" s="106"/>
      <c r="CT171" s="106"/>
      <c r="CU171" s="106"/>
      <c r="CV171" s="106"/>
      <c r="CW171" s="106"/>
      <c r="CX171" s="106"/>
      <c r="CY171" s="106"/>
      <c r="CZ171" s="106"/>
      <c r="DA171" s="106"/>
      <c r="DB171" s="106"/>
      <c r="DC171" s="106"/>
      <c r="DD171" s="106"/>
      <c r="DE171" s="106"/>
      <c r="DF171" s="106"/>
      <c r="DG171" s="106"/>
      <c r="DH171" s="106"/>
      <c r="DI171" s="106"/>
      <c r="DJ171" s="106"/>
      <c r="DK171" s="106"/>
      <c r="DL171" s="106"/>
      <c r="DM171" s="106"/>
      <c r="DN171" s="106"/>
      <c r="DO171" s="106"/>
      <c r="DP171" s="106"/>
      <c r="DQ171" s="106"/>
      <c r="DR171" s="106"/>
      <c r="DT171" s="50">
        <f t="shared" ref="DT171:DW171" si="232">+F171-E171</f>
        <v>0</v>
      </c>
      <c r="DU171" s="50">
        <f t="shared" si="232"/>
        <v>0</v>
      </c>
      <c r="DV171" s="50">
        <f t="shared" si="232"/>
        <v>0</v>
      </c>
      <c r="DW171" s="50">
        <f t="shared" si="232"/>
        <v>425</v>
      </c>
    </row>
    <row r="172" ht="15.75" hidden="1" customHeight="1" outlineLevel="1">
      <c r="B172" s="5" t="s">
        <v>117</v>
      </c>
      <c r="C172" s="72" t="s">
        <v>70</v>
      </c>
      <c r="E172" s="50">
        <f t="shared" ref="E172:M172" si="233">+SUMIFS($O172:$DR172,$O$7:$DR$7,E$7)</f>
        <v>0</v>
      </c>
      <c r="F172" s="50">
        <f t="shared" si="233"/>
        <v>0</v>
      </c>
      <c r="G172" s="50">
        <f t="shared" si="233"/>
        <v>0</v>
      </c>
      <c r="H172" s="50">
        <f t="shared" si="233"/>
        <v>0</v>
      </c>
      <c r="I172" s="50">
        <f t="shared" si="233"/>
        <v>0</v>
      </c>
      <c r="J172" s="50">
        <f t="shared" si="233"/>
        <v>0</v>
      </c>
      <c r="K172" s="50">
        <f t="shared" si="233"/>
        <v>0</v>
      </c>
      <c r="L172" s="50">
        <f t="shared" si="233"/>
        <v>0</v>
      </c>
      <c r="M172" s="50">
        <f t="shared" si="233"/>
        <v>0</v>
      </c>
      <c r="O172" s="51">
        <v>0.0</v>
      </c>
      <c r="P172" s="51">
        <v>0.0</v>
      </c>
      <c r="Q172" s="51">
        <v>0.0</v>
      </c>
      <c r="R172" s="51">
        <v>0.0</v>
      </c>
      <c r="S172" s="51">
        <v>0.0</v>
      </c>
      <c r="T172" s="51">
        <v>0.0</v>
      </c>
      <c r="U172" s="51">
        <v>0.0</v>
      </c>
      <c r="V172" s="51">
        <v>0.0</v>
      </c>
      <c r="W172" s="51">
        <v>0.0</v>
      </c>
      <c r="X172" s="51">
        <v>0.0</v>
      </c>
      <c r="Y172" s="51">
        <v>0.0</v>
      </c>
      <c r="Z172" s="51">
        <v>0.0</v>
      </c>
      <c r="AA172" s="51">
        <v>0.0</v>
      </c>
      <c r="AB172" s="51">
        <v>0.0</v>
      </c>
      <c r="AC172" s="51">
        <v>0.0</v>
      </c>
      <c r="AD172" s="51">
        <v>0.0</v>
      </c>
      <c r="AE172" s="51">
        <v>0.0</v>
      </c>
      <c r="AF172" s="51">
        <v>0.0</v>
      </c>
      <c r="AG172" s="51">
        <v>0.0</v>
      </c>
      <c r="AH172" s="51">
        <v>0.0</v>
      </c>
      <c r="AI172" s="51">
        <v>0.0</v>
      </c>
      <c r="AJ172" s="51">
        <v>0.0</v>
      </c>
      <c r="AK172" s="51">
        <v>0.0</v>
      </c>
      <c r="AL172" s="51">
        <v>0.0</v>
      </c>
      <c r="AM172" s="51">
        <v>0.0</v>
      </c>
      <c r="AN172" s="51">
        <v>0.0</v>
      </c>
      <c r="AO172" s="51">
        <v>0.0</v>
      </c>
      <c r="AP172" s="51">
        <v>0.0</v>
      </c>
      <c r="AQ172" s="51">
        <v>0.0</v>
      </c>
      <c r="AR172" s="51">
        <v>0.0</v>
      </c>
      <c r="AS172" s="51">
        <v>0.0</v>
      </c>
      <c r="AT172" s="51">
        <v>0.0</v>
      </c>
      <c r="AU172" s="51">
        <v>0.0</v>
      </c>
      <c r="AV172" s="51">
        <v>0.0</v>
      </c>
      <c r="AW172" s="51">
        <v>0.0</v>
      </c>
      <c r="AX172" s="51">
        <v>0.0</v>
      </c>
      <c r="AY172" s="51">
        <v>0.0</v>
      </c>
      <c r="AZ172" s="51">
        <v>0.0</v>
      </c>
      <c r="BA172" s="51">
        <v>0.0</v>
      </c>
      <c r="BB172" s="51">
        <v>0.0</v>
      </c>
      <c r="BC172" s="51">
        <v>0.0</v>
      </c>
      <c r="BD172" s="51">
        <v>0.0</v>
      </c>
      <c r="BE172" s="51">
        <v>0.0</v>
      </c>
      <c r="BF172" s="51">
        <v>0.0</v>
      </c>
      <c r="BG172" s="51">
        <v>0.0</v>
      </c>
      <c r="BH172" s="51">
        <v>0.0</v>
      </c>
      <c r="BI172" s="51">
        <v>0.0</v>
      </c>
      <c r="BJ172" s="51">
        <v>0.0</v>
      </c>
      <c r="BK172" s="51">
        <v>0.0</v>
      </c>
      <c r="BL172" s="51">
        <v>0.0</v>
      </c>
      <c r="BM172" s="51">
        <v>0.0</v>
      </c>
      <c r="BN172" s="51">
        <v>0.0</v>
      </c>
      <c r="BO172" s="51">
        <v>0.0</v>
      </c>
      <c r="BP172" s="51">
        <v>0.0</v>
      </c>
      <c r="BQ172" s="51">
        <v>0.0</v>
      </c>
      <c r="BR172" s="51">
        <v>0.0</v>
      </c>
      <c r="BS172" s="51">
        <v>0.0</v>
      </c>
      <c r="BT172" s="51">
        <v>0.0</v>
      </c>
      <c r="BU172" s="51">
        <v>0.0</v>
      </c>
      <c r="BV172" s="51">
        <v>0.0</v>
      </c>
      <c r="BW172" s="106"/>
      <c r="BX172" s="106"/>
      <c r="BY172" s="106"/>
      <c r="BZ172" s="106"/>
      <c r="CA172" s="106"/>
      <c r="CB172" s="106"/>
      <c r="CC172" s="106"/>
      <c r="CD172" s="106"/>
      <c r="CE172" s="106"/>
      <c r="CF172" s="106"/>
      <c r="CG172" s="106"/>
      <c r="CH172" s="106"/>
      <c r="CI172" s="106"/>
      <c r="CJ172" s="106"/>
      <c r="CK172" s="106"/>
      <c r="CL172" s="106"/>
      <c r="CM172" s="106"/>
      <c r="CN172" s="106"/>
      <c r="CO172" s="106"/>
      <c r="CP172" s="106"/>
      <c r="CQ172" s="106"/>
      <c r="CR172" s="106"/>
      <c r="CS172" s="106"/>
      <c r="CT172" s="106"/>
      <c r="CU172" s="106"/>
      <c r="CV172" s="106"/>
      <c r="CW172" s="106"/>
      <c r="CX172" s="106"/>
      <c r="CY172" s="106"/>
      <c r="CZ172" s="106"/>
      <c r="DA172" s="106"/>
      <c r="DB172" s="106"/>
      <c r="DC172" s="106"/>
      <c r="DD172" s="106"/>
      <c r="DE172" s="106"/>
      <c r="DF172" s="106"/>
      <c r="DG172" s="106"/>
      <c r="DH172" s="106"/>
      <c r="DI172" s="106"/>
      <c r="DJ172" s="106"/>
      <c r="DK172" s="106"/>
      <c r="DL172" s="106"/>
      <c r="DM172" s="106"/>
      <c r="DN172" s="106"/>
      <c r="DO172" s="106"/>
      <c r="DP172" s="106"/>
      <c r="DQ172" s="106"/>
      <c r="DR172" s="106"/>
      <c r="DT172" s="50">
        <f t="shared" ref="DT172:DW172" si="234">+F172-E172</f>
        <v>0</v>
      </c>
      <c r="DU172" s="50">
        <f t="shared" si="234"/>
        <v>0</v>
      </c>
      <c r="DV172" s="50">
        <f t="shared" si="234"/>
        <v>0</v>
      </c>
      <c r="DW172" s="50">
        <f t="shared" si="234"/>
        <v>0</v>
      </c>
    </row>
    <row r="173" ht="15.75" hidden="1" customHeight="1" outlineLevel="1">
      <c r="B173" s="5" t="s">
        <v>118</v>
      </c>
      <c r="C173" s="72" t="s">
        <v>70</v>
      </c>
      <c r="E173" s="50">
        <f t="shared" ref="E173:M173" si="235">+SUMIFS($O173:$DR173,$O$7:$DR$7,E$7)</f>
        <v>0</v>
      </c>
      <c r="F173" s="50">
        <f t="shared" si="235"/>
        <v>0</v>
      </c>
      <c r="G173" s="50">
        <f t="shared" si="235"/>
        <v>0</v>
      </c>
      <c r="H173" s="50">
        <f t="shared" si="235"/>
        <v>0</v>
      </c>
      <c r="I173" s="50">
        <f t="shared" si="235"/>
        <v>0</v>
      </c>
      <c r="J173" s="50">
        <f t="shared" si="235"/>
        <v>0</v>
      </c>
      <c r="K173" s="50">
        <f t="shared" si="235"/>
        <v>0</v>
      </c>
      <c r="L173" s="50">
        <f t="shared" si="235"/>
        <v>0</v>
      </c>
      <c r="M173" s="50">
        <f t="shared" si="235"/>
        <v>0</v>
      </c>
      <c r="O173" s="51">
        <v>0.0</v>
      </c>
      <c r="P173" s="51">
        <v>0.0</v>
      </c>
      <c r="Q173" s="51">
        <v>0.0</v>
      </c>
      <c r="R173" s="51">
        <v>0.0</v>
      </c>
      <c r="S173" s="51">
        <v>0.0</v>
      </c>
      <c r="T173" s="51">
        <v>0.0</v>
      </c>
      <c r="U173" s="51">
        <v>0.0</v>
      </c>
      <c r="V173" s="51">
        <v>0.0</v>
      </c>
      <c r="W173" s="51">
        <v>0.0</v>
      </c>
      <c r="X173" s="51">
        <v>0.0</v>
      </c>
      <c r="Y173" s="51">
        <v>0.0</v>
      </c>
      <c r="Z173" s="51">
        <v>0.0</v>
      </c>
      <c r="AA173" s="51">
        <v>0.0</v>
      </c>
      <c r="AB173" s="51">
        <v>0.0</v>
      </c>
      <c r="AC173" s="51">
        <v>0.0</v>
      </c>
      <c r="AD173" s="51">
        <v>0.0</v>
      </c>
      <c r="AE173" s="51">
        <v>0.0</v>
      </c>
      <c r="AF173" s="51">
        <v>0.0</v>
      </c>
      <c r="AG173" s="51">
        <v>0.0</v>
      </c>
      <c r="AH173" s="51">
        <v>0.0</v>
      </c>
      <c r="AI173" s="51">
        <v>0.0</v>
      </c>
      <c r="AJ173" s="51">
        <v>0.0</v>
      </c>
      <c r="AK173" s="51">
        <v>0.0</v>
      </c>
      <c r="AL173" s="51">
        <v>0.0</v>
      </c>
      <c r="AM173" s="51">
        <v>0.0</v>
      </c>
      <c r="AN173" s="51">
        <v>0.0</v>
      </c>
      <c r="AO173" s="51">
        <v>0.0</v>
      </c>
      <c r="AP173" s="51">
        <v>0.0</v>
      </c>
      <c r="AQ173" s="51">
        <v>0.0</v>
      </c>
      <c r="AR173" s="51">
        <v>0.0</v>
      </c>
      <c r="AS173" s="51">
        <v>0.0</v>
      </c>
      <c r="AT173" s="51">
        <v>0.0</v>
      </c>
      <c r="AU173" s="51">
        <v>0.0</v>
      </c>
      <c r="AV173" s="51">
        <v>0.0</v>
      </c>
      <c r="AW173" s="51">
        <v>0.0</v>
      </c>
      <c r="AX173" s="51">
        <v>0.0</v>
      </c>
      <c r="AY173" s="51">
        <v>0.0</v>
      </c>
      <c r="AZ173" s="51">
        <v>0.0</v>
      </c>
      <c r="BA173" s="51">
        <v>0.0</v>
      </c>
      <c r="BB173" s="51">
        <v>0.0</v>
      </c>
      <c r="BC173" s="51">
        <v>0.0</v>
      </c>
      <c r="BD173" s="51">
        <v>0.0</v>
      </c>
      <c r="BE173" s="51">
        <v>0.0</v>
      </c>
      <c r="BF173" s="51">
        <v>0.0</v>
      </c>
      <c r="BG173" s="51">
        <v>0.0</v>
      </c>
      <c r="BH173" s="51">
        <v>0.0</v>
      </c>
      <c r="BI173" s="51">
        <v>0.0</v>
      </c>
      <c r="BJ173" s="51">
        <v>0.0</v>
      </c>
      <c r="BK173" s="51">
        <v>0.0</v>
      </c>
      <c r="BL173" s="51">
        <v>0.0</v>
      </c>
      <c r="BM173" s="51">
        <v>0.0</v>
      </c>
      <c r="BN173" s="51">
        <v>0.0</v>
      </c>
      <c r="BO173" s="51">
        <v>0.0</v>
      </c>
      <c r="BP173" s="51">
        <v>0.0</v>
      </c>
      <c r="BQ173" s="51">
        <v>0.0</v>
      </c>
      <c r="BR173" s="51">
        <v>0.0</v>
      </c>
      <c r="BS173" s="51">
        <v>0.0</v>
      </c>
      <c r="BT173" s="51">
        <v>0.0</v>
      </c>
      <c r="BU173" s="51">
        <v>0.0</v>
      </c>
      <c r="BV173" s="51">
        <v>0.0</v>
      </c>
      <c r="BW173" s="106"/>
      <c r="BX173" s="106"/>
      <c r="BY173" s="106"/>
      <c r="BZ173" s="106"/>
      <c r="CA173" s="106"/>
      <c r="CB173" s="106"/>
      <c r="CC173" s="106"/>
      <c r="CD173" s="106"/>
      <c r="CE173" s="106"/>
      <c r="CF173" s="106"/>
      <c r="CG173" s="106"/>
      <c r="CH173" s="106"/>
      <c r="CI173" s="106"/>
      <c r="CJ173" s="106"/>
      <c r="CK173" s="106"/>
      <c r="CL173" s="106"/>
      <c r="CM173" s="106"/>
      <c r="CN173" s="106"/>
      <c r="CO173" s="106"/>
      <c r="CP173" s="106"/>
      <c r="CQ173" s="106"/>
      <c r="CR173" s="106"/>
      <c r="CS173" s="106"/>
      <c r="CT173" s="106"/>
      <c r="CU173" s="106"/>
      <c r="CV173" s="106"/>
      <c r="CW173" s="106"/>
      <c r="CX173" s="106"/>
      <c r="CY173" s="106"/>
      <c r="CZ173" s="106"/>
      <c r="DA173" s="106"/>
      <c r="DB173" s="106"/>
      <c r="DC173" s="106"/>
      <c r="DD173" s="106"/>
      <c r="DE173" s="106"/>
      <c r="DF173" s="106"/>
      <c r="DG173" s="106"/>
      <c r="DH173" s="106"/>
      <c r="DI173" s="106"/>
      <c r="DJ173" s="106"/>
      <c r="DK173" s="106"/>
      <c r="DL173" s="106"/>
      <c r="DM173" s="106"/>
      <c r="DN173" s="106"/>
      <c r="DO173" s="106"/>
      <c r="DP173" s="106"/>
      <c r="DQ173" s="106"/>
      <c r="DR173" s="106"/>
      <c r="DT173" s="50">
        <f t="shared" ref="DT173:DW173" si="236">+F173-E173</f>
        <v>0</v>
      </c>
      <c r="DU173" s="50">
        <f t="shared" si="236"/>
        <v>0</v>
      </c>
      <c r="DV173" s="50">
        <f t="shared" si="236"/>
        <v>0</v>
      </c>
      <c r="DW173" s="50">
        <f t="shared" si="236"/>
        <v>0</v>
      </c>
    </row>
    <row r="174" ht="4.5" hidden="1" customHeight="1" outlineLevel="1">
      <c r="E174" s="50"/>
      <c r="F174" s="50"/>
      <c r="G174" s="50"/>
      <c r="H174" s="50"/>
      <c r="I174" s="50"/>
      <c r="J174" s="50"/>
      <c r="K174" s="50"/>
      <c r="L174" s="50"/>
      <c r="M174" s="50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51"/>
      <c r="BC174" s="51"/>
      <c r="BD174" s="51"/>
      <c r="BE174" s="51"/>
      <c r="BF174" s="51"/>
      <c r="BG174" s="51"/>
      <c r="BH174" s="51"/>
      <c r="BI174" s="51"/>
      <c r="BJ174" s="51"/>
      <c r="BK174" s="51"/>
      <c r="BL174" s="51"/>
      <c r="BM174" s="51"/>
      <c r="BN174" s="51"/>
      <c r="BO174" s="51"/>
      <c r="BP174" s="51"/>
      <c r="BQ174" s="51"/>
      <c r="BR174" s="51"/>
      <c r="BS174" s="51"/>
      <c r="BT174" s="51"/>
      <c r="BU174" s="51"/>
      <c r="BV174" s="51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  <c r="CG174" s="73"/>
      <c r="CH174" s="73"/>
      <c r="CI174" s="73"/>
      <c r="CJ174" s="73"/>
      <c r="CK174" s="73"/>
      <c r="CL174" s="73"/>
      <c r="CM174" s="73"/>
      <c r="CN174" s="73"/>
      <c r="CO174" s="73"/>
      <c r="CP174" s="73"/>
      <c r="CQ174" s="73"/>
      <c r="CR174" s="73"/>
      <c r="CS174" s="73"/>
      <c r="CT174" s="73"/>
      <c r="CU174" s="73"/>
      <c r="CV174" s="73"/>
      <c r="CW174" s="73"/>
      <c r="CX174" s="73"/>
      <c r="CY174" s="73"/>
      <c r="CZ174" s="73"/>
      <c r="DA174" s="73"/>
      <c r="DB174" s="73"/>
      <c r="DC174" s="73"/>
      <c r="DD174" s="73"/>
      <c r="DE174" s="73"/>
      <c r="DF174" s="73"/>
      <c r="DG174" s="73"/>
      <c r="DH174" s="73"/>
      <c r="DI174" s="73"/>
      <c r="DJ174" s="73"/>
      <c r="DK174" s="73"/>
      <c r="DL174" s="73"/>
      <c r="DM174" s="73"/>
      <c r="DN174" s="73"/>
      <c r="DO174" s="73"/>
      <c r="DP174" s="73"/>
      <c r="DQ174" s="73"/>
      <c r="DR174" s="73"/>
      <c r="DT174" s="73"/>
      <c r="DU174" s="73"/>
      <c r="DV174" s="73"/>
      <c r="DW174" s="73"/>
    </row>
    <row r="175" ht="15.75" hidden="1" customHeight="1" outlineLevel="1">
      <c r="A175" s="4"/>
      <c r="B175" s="74" t="s">
        <v>134</v>
      </c>
      <c r="C175" s="74"/>
      <c r="D175" s="4"/>
      <c r="E175" s="55">
        <f t="shared" ref="E175:M175" si="237">+SUMIFS($O175:$DR175,$O$7:$DR$7,E$7)</f>
        <v>6500.695</v>
      </c>
      <c r="F175" s="55">
        <f t="shared" si="237"/>
        <v>6734.763</v>
      </c>
      <c r="G175" s="55">
        <f t="shared" si="237"/>
        <v>6116.35</v>
      </c>
      <c r="H175" s="55">
        <f t="shared" si="237"/>
        <v>7915.71</v>
      </c>
      <c r="I175" s="55">
        <f t="shared" si="237"/>
        <v>9081.809882</v>
      </c>
      <c r="J175" s="55">
        <f t="shared" si="237"/>
        <v>0</v>
      </c>
      <c r="K175" s="55">
        <f t="shared" si="237"/>
        <v>0</v>
      </c>
      <c r="L175" s="55">
        <f t="shared" si="237"/>
        <v>0</v>
      </c>
      <c r="M175" s="55">
        <f t="shared" si="237"/>
        <v>0</v>
      </c>
      <c r="N175" s="4"/>
      <c r="O175" s="75">
        <f t="shared" ref="O175:DR175" si="238">SUM(O128:O174)</f>
        <v>352.018</v>
      </c>
      <c r="P175" s="75">
        <f t="shared" si="238"/>
        <v>445.985</v>
      </c>
      <c r="Q175" s="75">
        <f t="shared" si="238"/>
        <v>408.965</v>
      </c>
      <c r="R175" s="75">
        <f t="shared" si="238"/>
        <v>517.386</v>
      </c>
      <c r="S175" s="75">
        <f t="shared" si="238"/>
        <v>483.324</v>
      </c>
      <c r="T175" s="75">
        <f t="shared" si="238"/>
        <v>635.413</v>
      </c>
      <c r="U175" s="75">
        <f t="shared" si="238"/>
        <v>627.623</v>
      </c>
      <c r="V175" s="75">
        <f t="shared" si="238"/>
        <v>612.374</v>
      </c>
      <c r="W175" s="75">
        <f t="shared" si="238"/>
        <v>566.198</v>
      </c>
      <c r="X175" s="75">
        <f t="shared" si="238"/>
        <v>731.636</v>
      </c>
      <c r="Y175" s="75">
        <f t="shared" si="238"/>
        <v>621.477</v>
      </c>
      <c r="Z175" s="75">
        <f t="shared" si="238"/>
        <v>498.296</v>
      </c>
      <c r="AA175" s="75">
        <f t="shared" si="238"/>
        <v>749.146</v>
      </c>
      <c r="AB175" s="75">
        <f t="shared" si="238"/>
        <v>415.199</v>
      </c>
      <c r="AC175" s="75">
        <f t="shared" si="238"/>
        <v>526.605</v>
      </c>
      <c r="AD175" s="75">
        <f t="shared" si="238"/>
        <v>422.089</v>
      </c>
      <c r="AE175" s="75">
        <f t="shared" si="238"/>
        <v>563.168</v>
      </c>
      <c r="AF175" s="75">
        <f t="shared" si="238"/>
        <v>577.921</v>
      </c>
      <c r="AG175" s="75">
        <f t="shared" si="238"/>
        <v>606.564</v>
      </c>
      <c r="AH175" s="75">
        <f t="shared" si="238"/>
        <v>605.504</v>
      </c>
      <c r="AI175" s="75">
        <f t="shared" si="238"/>
        <v>635.021</v>
      </c>
      <c r="AJ175" s="75">
        <f t="shared" si="238"/>
        <v>645.034</v>
      </c>
      <c r="AK175" s="75">
        <f t="shared" si="238"/>
        <v>593.972</v>
      </c>
      <c r="AL175" s="75">
        <f t="shared" si="238"/>
        <v>394.54</v>
      </c>
      <c r="AM175" s="75">
        <f t="shared" si="238"/>
        <v>470.336</v>
      </c>
      <c r="AN175" s="75">
        <f t="shared" si="238"/>
        <v>481.044</v>
      </c>
      <c r="AO175" s="75">
        <f t="shared" si="238"/>
        <v>530.19</v>
      </c>
      <c r="AP175" s="75">
        <f t="shared" si="238"/>
        <v>480.283</v>
      </c>
      <c r="AQ175" s="75">
        <f t="shared" si="238"/>
        <v>405.23</v>
      </c>
      <c r="AR175" s="75">
        <f t="shared" si="238"/>
        <v>507.009</v>
      </c>
      <c r="AS175" s="75">
        <f t="shared" si="238"/>
        <v>633.277</v>
      </c>
      <c r="AT175" s="75">
        <f t="shared" si="238"/>
        <v>502.399</v>
      </c>
      <c r="AU175" s="75">
        <f t="shared" si="238"/>
        <v>528.858</v>
      </c>
      <c r="AV175" s="75">
        <f t="shared" si="238"/>
        <v>536.112</v>
      </c>
      <c r="AW175" s="75">
        <f t="shared" si="238"/>
        <v>422.466</v>
      </c>
      <c r="AX175" s="75">
        <f t="shared" si="238"/>
        <v>619.146</v>
      </c>
      <c r="AY175" s="75">
        <f t="shared" si="238"/>
        <v>516.013</v>
      </c>
      <c r="AZ175" s="75">
        <f t="shared" si="238"/>
        <v>615.955</v>
      </c>
      <c r="BA175" s="75">
        <f t="shared" si="238"/>
        <v>994.584</v>
      </c>
      <c r="BB175" s="75">
        <f t="shared" si="238"/>
        <v>748.455</v>
      </c>
      <c r="BC175" s="75">
        <f t="shared" si="238"/>
        <v>688.739</v>
      </c>
      <c r="BD175" s="75">
        <f t="shared" si="238"/>
        <v>773.349</v>
      </c>
      <c r="BE175" s="75">
        <f t="shared" si="238"/>
        <v>857.221</v>
      </c>
      <c r="BF175" s="75">
        <f t="shared" si="238"/>
        <v>683.297</v>
      </c>
      <c r="BG175" s="75">
        <f t="shared" si="238"/>
        <v>582.374</v>
      </c>
      <c r="BH175" s="75">
        <f t="shared" si="238"/>
        <v>626.779</v>
      </c>
      <c r="BI175" s="75">
        <f t="shared" si="238"/>
        <v>422.691</v>
      </c>
      <c r="BJ175" s="75">
        <f t="shared" si="238"/>
        <v>406.253</v>
      </c>
      <c r="BK175" s="75">
        <f t="shared" si="238"/>
        <v>597.369</v>
      </c>
      <c r="BL175" s="75">
        <f t="shared" si="238"/>
        <v>746.319</v>
      </c>
      <c r="BM175" s="75">
        <f t="shared" si="238"/>
        <v>867.623</v>
      </c>
      <c r="BN175" s="75">
        <f t="shared" si="238"/>
        <v>743.0420271</v>
      </c>
      <c r="BO175" s="75">
        <f t="shared" si="238"/>
        <v>761.2230241</v>
      </c>
      <c r="BP175" s="75">
        <f t="shared" si="238"/>
        <v>773.5526102</v>
      </c>
      <c r="BQ175" s="75">
        <f t="shared" si="238"/>
        <v>824.4303246</v>
      </c>
      <c r="BR175" s="75">
        <f t="shared" si="238"/>
        <v>819.5275235</v>
      </c>
      <c r="BS175" s="75">
        <f t="shared" si="238"/>
        <v>827.1255058</v>
      </c>
      <c r="BT175" s="75">
        <f t="shared" si="238"/>
        <v>796.5468255</v>
      </c>
      <c r="BU175" s="75">
        <f t="shared" si="238"/>
        <v>710.8865244</v>
      </c>
      <c r="BV175" s="75">
        <f t="shared" si="238"/>
        <v>614.164517</v>
      </c>
      <c r="BW175" s="75">
        <f t="shared" si="238"/>
        <v>0</v>
      </c>
      <c r="BX175" s="75">
        <f t="shared" si="238"/>
        <v>0</v>
      </c>
      <c r="BY175" s="75">
        <f t="shared" si="238"/>
        <v>0</v>
      </c>
      <c r="BZ175" s="75">
        <f t="shared" si="238"/>
        <v>0</v>
      </c>
      <c r="CA175" s="75">
        <f t="shared" si="238"/>
        <v>0</v>
      </c>
      <c r="CB175" s="75">
        <f t="shared" si="238"/>
        <v>0</v>
      </c>
      <c r="CC175" s="75">
        <f t="shared" si="238"/>
        <v>0</v>
      </c>
      <c r="CD175" s="75">
        <f t="shared" si="238"/>
        <v>0</v>
      </c>
      <c r="CE175" s="75">
        <f t="shared" si="238"/>
        <v>0</v>
      </c>
      <c r="CF175" s="75">
        <f t="shared" si="238"/>
        <v>0</v>
      </c>
      <c r="CG175" s="75">
        <f t="shared" si="238"/>
        <v>0</v>
      </c>
      <c r="CH175" s="75">
        <f t="shared" si="238"/>
        <v>0</v>
      </c>
      <c r="CI175" s="75">
        <f t="shared" si="238"/>
        <v>0</v>
      </c>
      <c r="CJ175" s="75">
        <f t="shared" si="238"/>
        <v>0</v>
      </c>
      <c r="CK175" s="75">
        <f t="shared" si="238"/>
        <v>0</v>
      </c>
      <c r="CL175" s="75">
        <f t="shared" si="238"/>
        <v>0</v>
      </c>
      <c r="CM175" s="75">
        <f t="shared" si="238"/>
        <v>0</v>
      </c>
      <c r="CN175" s="75">
        <f t="shared" si="238"/>
        <v>0</v>
      </c>
      <c r="CO175" s="75">
        <f t="shared" si="238"/>
        <v>0</v>
      </c>
      <c r="CP175" s="75">
        <f t="shared" si="238"/>
        <v>0</v>
      </c>
      <c r="CQ175" s="75">
        <f t="shared" si="238"/>
        <v>0</v>
      </c>
      <c r="CR175" s="75">
        <f t="shared" si="238"/>
        <v>0</v>
      </c>
      <c r="CS175" s="75">
        <f t="shared" si="238"/>
        <v>0</v>
      </c>
      <c r="CT175" s="75">
        <f t="shared" si="238"/>
        <v>0</v>
      </c>
      <c r="CU175" s="75">
        <f t="shared" si="238"/>
        <v>0</v>
      </c>
      <c r="CV175" s="75">
        <f t="shared" si="238"/>
        <v>0</v>
      </c>
      <c r="CW175" s="75">
        <f t="shared" si="238"/>
        <v>0</v>
      </c>
      <c r="CX175" s="75">
        <f t="shared" si="238"/>
        <v>0</v>
      </c>
      <c r="CY175" s="75">
        <f t="shared" si="238"/>
        <v>0</v>
      </c>
      <c r="CZ175" s="75">
        <f t="shared" si="238"/>
        <v>0</v>
      </c>
      <c r="DA175" s="75">
        <f t="shared" si="238"/>
        <v>0</v>
      </c>
      <c r="DB175" s="75">
        <f t="shared" si="238"/>
        <v>0</v>
      </c>
      <c r="DC175" s="75">
        <f t="shared" si="238"/>
        <v>0</v>
      </c>
      <c r="DD175" s="75">
        <f t="shared" si="238"/>
        <v>0</v>
      </c>
      <c r="DE175" s="75">
        <f t="shared" si="238"/>
        <v>0</v>
      </c>
      <c r="DF175" s="75">
        <f t="shared" si="238"/>
        <v>0</v>
      </c>
      <c r="DG175" s="75">
        <f t="shared" si="238"/>
        <v>0</v>
      </c>
      <c r="DH175" s="75">
        <f t="shared" si="238"/>
        <v>0</v>
      </c>
      <c r="DI175" s="75">
        <f t="shared" si="238"/>
        <v>0</v>
      </c>
      <c r="DJ175" s="75">
        <f t="shared" si="238"/>
        <v>0</v>
      </c>
      <c r="DK175" s="75">
        <f t="shared" si="238"/>
        <v>0</v>
      </c>
      <c r="DL175" s="75">
        <f t="shared" si="238"/>
        <v>0</v>
      </c>
      <c r="DM175" s="75">
        <f t="shared" si="238"/>
        <v>0</v>
      </c>
      <c r="DN175" s="75">
        <f t="shared" si="238"/>
        <v>0</v>
      </c>
      <c r="DO175" s="75">
        <f t="shared" si="238"/>
        <v>0</v>
      </c>
      <c r="DP175" s="75">
        <f t="shared" si="238"/>
        <v>0</v>
      </c>
      <c r="DQ175" s="75">
        <f t="shared" si="238"/>
        <v>0</v>
      </c>
      <c r="DR175" s="75">
        <f t="shared" si="238"/>
        <v>0</v>
      </c>
      <c r="DS175" s="4"/>
      <c r="DT175" s="67"/>
      <c r="DU175" s="67"/>
      <c r="DV175" s="67"/>
      <c r="DW175" s="67"/>
      <c r="DX175" s="4"/>
    </row>
    <row r="176" ht="15.75" hidden="1" customHeight="1" outlineLevel="1">
      <c r="A176" s="107"/>
      <c r="B176" s="76" t="s">
        <v>30</v>
      </c>
      <c r="C176" s="107"/>
      <c r="D176" s="107"/>
      <c r="E176" s="73"/>
      <c r="F176" s="73"/>
      <c r="G176" s="73"/>
      <c r="H176" s="73"/>
      <c r="I176" s="73"/>
      <c r="J176" s="73"/>
      <c r="K176" s="73"/>
      <c r="L176" s="73"/>
      <c r="M176" s="73"/>
      <c r="N176" s="107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/>
      <c r="AH176" s="108"/>
      <c r="AI176" s="108"/>
      <c r="AJ176" s="108"/>
      <c r="AK176" s="108"/>
      <c r="AL176" s="108"/>
      <c r="AM176" s="108"/>
      <c r="AN176" s="108"/>
      <c r="AO176" s="108"/>
      <c r="AP176" s="108"/>
      <c r="AQ176" s="108"/>
      <c r="AR176" s="108"/>
      <c r="AS176" s="108"/>
      <c r="AT176" s="108"/>
      <c r="AU176" s="108"/>
      <c r="AV176" s="108"/>
      <c r="AW176" s="108"/>
      <c r="AX176" s="108"/>
      <c r="AY176" s="108"/>
      <c r="AZ176" s="108"/>
      <c r="BA176" s="108"/>
      <c r="BB176" s="108"/>
      <c r="BC176" s="108"/>
      <c r="BD176" s="108"/>
      <c r="BE176" s="108"/>
      <c r="BF176" s="108"/>
      <c r="BG176" s="108"/>
      <c r="BH176" s="108"/>
      <c r="BI176" s="108"/>
      <c r="BJ176" s="108"/>
      <c r="BK176" s="108">
        <v>0.0</v>
      </c>
      <c r="BL176" s="108">
        <v>0.0</v>
      </c>
      <c r="BM176" s="108">
        <v>0.0</v>
      </c>
      <c r="BN176" s="108">
        <v>0.0</v>
      </c>
      <c r="BO176" s="108">
        <v>0.0</v>
      </c>
      <c r="BP176" s="108">
        <v>0.0</v>
      </c>
      <c r="BQ176" s="108">
        <v>0.0</v>
      </c>
      <c r="BR176" s="108">
        <v>0.0</v>
      </c>
      <c r="BS176" s="108">
        <v>0.0</v>
      </c>
      <c r="BT176" s="108">
        <v>0.0</v>
      </c>
      <c r="BU176" s="108">
        <v>0.0</v>
      </c>
      <c r="BV176" s="108">
        <v>0.0</v>
      </c>
      <c r="BW176" s="108"/>
      <c r="BX176" s="108"/>
      <c r="BY176" s="108"/>
      <c r="BZ176" s="108"/>
      <c r="CA176" s="108"/>
      <c r="CB176" s="108"/>
      <c r="CC176" s="108"/>
      <c r="CD176" s="108"/>
      <c r="CE176" s="108"/>
      <c r="CF176" s="108"/>
      <c r="CG176" s="108"/>
      <c r="CH176" s="108"/>
      <c r="CI176" s="108"/>
      <c r="CJ176" s="108"/>
      <c r="CK176" s="108"/>
      <c r="CL176" s="108"/>
      <c r="CM176" s="108"/>
      <c r="CN176" s="108"/>
      <c r="CO176" s="108"/>
      <c r="CP176" s="108"/>
      <c r="CQ176" s="108"/>
      <c r="CR176" s="108"/>
      <c r="CS176" s="108"/>
      <c r="CT176" s="108"/>
      <c r="CU176" s="108"/>
      <c r="CV176" s="108"/>
      <c r="CW176" s="108"/>
      <c r="CX176" s="108"/>
      <c r="CY176" s="108"/>
      <c r="CZ176" s="108"/>
      <c r="DA176" s="108"/>
      <c r="DB176" s="108"/>
      <c r="DC176" s="108"/>
      <c r="DD176" s="108"/>
      <c r="DE176" s="108"/>
      <c r="DF176" s="108"/>
      <c r="DG176" s="108"/>
      <c r="DH176" s="108"/>
      <c r="DI176" s="108"/>
      <c r="DJ176" s="108"/>
      <c r="DK176" s="108"/>
      <c r="DL176" s="108"/>
      <c r="DM176" s="108"/>
      <c r="DN176" s="108"/>
      <c r="DO176" s="108"/>
      <c r="DP176" s="108"/>
      <c r="DQ176" s="108"/>
      <c r="DR176" s="108"/>
      <c r="DS176" s="107"/>
      <c r="DT176" s="108"/>
      <c r="DU176" s="108"/>
      <c r="DV176" s="108"/>
      <c r="DW176" s="108"/>
      <c r="DX176" s="107"/>
    </row>
    <row r="177" ht="4.5" hidden="1" customHeight="1" outlineLevel="1"/>
    <row r="178" ht="15.75" customHeight="1" collapsed="1">
      <c r="B178" s="78" t="s">
        <v>120</v>
      </c>
      <c r="C178" s="79"/>
      <c r="D178" s="79"/>
      <c r="E178" s="79"/>
      <c r="F178" s="80">
        <f t="shared" ref="F178:H178" si="239">+E184</f>
        <v>6500.695</v>
      </c>
      <c r="G178" s="80">
        <f t="shared" si="239"/>
        <v>6734.763</v>
      </c>
      <c r="H178" s="81">
        <f t="shared" si="239"/>
        <v>6116.35</v>
      </c>
      <c r="I178" s="50"/>
      <c r="J178" s="50"/>
      <c r="K178" s="50"/>
      <c r="L178" s="50"/>
      <c r="M178" s="50"/>
    </row>
    <row r="179" ht="15.75" customHeight="1">
      <c r="B179" s="82" t="s">
        <v>121</v>
      </c>
      <c r="C179" s="83"/>
      <c r="D179" s="83"/>
      <c r="E179" s="83"/>
      <c r="F179" s="84">
        <f t="shared" ref="F179:H179" si="240">+SUMIF(DT$128:DT$173,"&lt;0")</f>
        <v>-237.046</v>
      </c>
      <c r="G179" s="84">
        <f t="shared" si="240"/>
        <v>-1658.865</v>
      </c>
      <c r="H179" s="85">
        <f t="shared" si="240"/>
        <v>-333.791</v>
      </c>
      <c r="I179" s="50"/>
      <c r="J179" s="50"/>
      <c r="K179" s="50"/>
    </row>
    <row r="180" ht="15.75" customHeight="1">
      <c r="B180" s="78" t="s">
        <v>122</v>
      </c>
      <c r="C180" s="79"/>
      <c r="D180" s="83"/>
      <c r="E180" s="79"/>
      <c r="F180" s="80">
        <f t="shared" ref="F180:H180" si="241">SUM(F178:F179)</f>
        <v>6263.649</v>
      </c>
      <c r="G180" s="80">
        <f t="shared" si="241"/>
        <v>5075.898</v>
      </c>
      <c r="H180" s="81">
        <f t="shared" si="241"/>
        <v>5782.559</v>
      </c>
    </row>
    <row r="181" ht="15.75" customHeight="1">
      <c r="B181" s="82" t="s">
        <v>123</v>
      </c>
      <c r="C181" s="83"/>
      <c r="D181" s="83"/>
      <c r="E181" s="83"/>
      <c r="F181" s="84">
        <f t="shared" ref="F181:H181" si="242">+SUMIF(DT$128:DT$173,"&gt;0")-F183</f>
        <v>352.089</v>
      </c>
      <c r="G181" s="84">
        <f t="shared" si="242"/>
        <v>890.634</v>
      </c>
      <c r="H181" s="85">
        <f t="shared" si="242"/>
        <v>1968.546</v>
      </c>
    </row>
    <row r="182" ht="15.75" customHeight="1">
      <c r="B182" s="78" t="s">
        <v>124</v>
      </c>
      <c r="C182" s="79"/>
      <c r="D182" s="83"/>
      <c r="E182" s="79"/>
      <c r="F182" s="80">
        <f t="shared" ref="F182:H182" si="243">+SUM(F180:F181)</f>
        <v>6615.738</v>
      </c>
      <c r="G182" s="80">
        <f t="shared" si="243"/>
        <v>5966.532</v>
      </c>
      <c r="H182" s="81">
        <f t="shared" si="243"/>
        <v>7751.105</v>
      </c>
    </row>
    <row r="183" ht="15.75" customHeight="1">
      <c r="B183" s="82" t="s">
        <v>125</v>
      </c>
      <c r="C183" s="83"/>
      <c r="D183" s="83"/>
      <c r="E183" s="83"/>
      <c r="F183" s="84">
        <f t="shared" ref="F183:H183" si="244">+SUMIFS(F$128:F$173,E$128:E$173,0)</f>
        <v>119.025</v>
      </c>
      <c r="G183" s="84">
        <f t="shared" si="244"/>
        <v>149.818</v>
      </c>
      <c r="H183" s="85">
        <f t="shared" si="244"/>
        <v>164.605</v>
      </c>
    </row>
    <row r="184" ht="15.75" customHeight="1">
      <c r="B184" s="86" t="s">
        <v>126</v>
      </c>
      <c r="C184" s="87"/>
      <c r="D184" s="88"/>
      <c r="E184" s="89">
        <f>+E175</f>
        <v>6500.695</v>
      </c>
      <c r="F184" s="89">
        <f t="shared" ref="F184:H184" si="245">+SUM(F182:F183)</f>
        <v>6734.763</v>
      </c>
      <c r="G184" s="89">
        <f t="shared" si="245"/>
        <v>6116.35</v>
      </c>
      <c r="H184" s="90">
        <f t="shared" si="245"/>
        <v>7915.71</v>
      </c>
    </row>
    <row r="185" ht="4.5" customHeight="1"/>
    <row r="186" ht="15.75" customHeight="1">
      <c r="B186" s="91" t="s">
        <v>122</v>
      </c>
      <c r="C186" s="92"/>
      <c r="D186" s="92"/>
      <c r="E186" s="92"/>
      <c r="F186" s="93">
        <f t="shared" ref="F186:H186" si="246">+F180/F178</f>
        <v>0.9635352835</v>
      </c>
      <c r="G186" s="93">
        <f t="shared" si="246"/>
        <v>0.7536862099</v>
      </c>
      <c r="H186" s="94">
        <f t="shared" si="246"/>
        <v>0.945426439</v>
      </c>
    </row>
    <row r="187" ht="15.75" customHeight="1">
      <c r="B187" s="95" t="s">
        <v>124</v>
      </c>
      <c r="C187" s="96"/>
      <c r="D187" s="96"/>
      <c r="E187" s="96"/>
      <c r="F187" s="97">
        <f t="shared" ref="F187:H187" si="247">+F182/F178</f>
        <v>1.017697031</v>
      </c>
      <c r="G187" s="97">
        <f t="shared" si="247"/>
        <v>0.8859305071</v>
      </c>
      <c r="H187" s="98">
        <f t="shared" si="247"/>
        <v>1.267276235</v>
      </c>
    </row>
    <row r="188" ht="4.5" customHeight="1"/>
    <row r="189" ht="15.75" customHeight="1">
      <c r="B189" s="99" t="s">
        <v>82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100"/>
      <c r="AU189" s="100"/>
      <c r="AV189" s="100"/>
      <c r="AW189" s="100"/>
      <c r="AX189" s="100"/>
      <c r="AY189" s="100"/>
      <c r="AZ189" s="100"/>
      <c r="BA189" s="100"/>
      <c r="BB189" s="100"/>
      <c r="BC189" s="100"/>
      <c r="BD189" s="100"/>
      <c r="BE189" s="100"/>
      <c r="BF189" s="100"/>
      <c r="BG189" s="100"/>
      <c r="BH189" s="100"/>
      <c r="BI189" s="100"/>
      <c r="BJ189" s="100"/>
      <c r="BK189" s="100"/>
      <c r="BL189" s="100"/>
      <c r="BM189" s="100"/>
      <c r="BN189" s="100"/>
      <c r="BO189" s="100"/>
      <c r="BP189" s="100"/>
      <c r="BQ189" s="100"/>
      <c r="BR189" s="100"/>
      <c r="BS189" s="100"/>
      <c r="BT189" s="100"/>
      <c r="BU189" s="100"/>
      <c r="BV189" s="100"/>
      <c r="BW189" s="100"/>
      <c r="BX189" s="100"/>
      <c r="BY189" s="100"/>
      <c r="BZ189" s="100"/>
      <c r="CA189" s="100"/>
      <c r="CB189" s="100"/>
      <c r="CC189" s="100"/>
      <c r="CD189" s="100"/>
      <c r="CE189" s="100"/>
      <c r="CF189" s="100"/>
      <c r="CG189" s="100"/>
      <c r="CH189" s="100"/>
      <c r="CI189" s="100"/>
      <c r="CJ189" s="100"/>
      <c r="CK189" s="100"/>
      <c r="CL189" s="100"/>
      <c r="CM189" s="100"/>
      <c r="CN189" s="100"/>
      <c r="CO189" s="100"/>
      <c r="CP189" s="100"/>
      <c r="CQ189" s="100"/>
      <c r="CR189" s="100"/>
      <c r="CS189" s="100"/>
      <c r="CT189" s="100"/>
      <c r="CU189" s="100"/>
      <c r="CV189" s="100"/>
      <c r="CW189" s="100"/>
      <c r="CX189" s="100"/>
      <c r="CY189" s="100"/>
      <c r="CZ189" s="100"/>
      <c r="DA189" s="100"/>
      <c r="DB189" s="100"/>
      <c r="DC189" s="100"/>
      <c r="DD189" s="100"/>
      <c r="DE189" s="100"/>
      <c r="DF189" s="100"/>
      <c r="DG189" s="100"/>
      <c r="DH189" s="100"/>
      <c r="DI189" s="100"/>
      <c r="DJ189" s="100"/>
      <c r="DK189" s="100"/>
      <c r="DL189" s="100"/>
      <c r="DM189" s="100"/>
      <c r="DN189" s="100"/>
      <c r="DO189" s="100"/>
      <c r="DP189" s="100"/>
      <c r="DQ189" s="100"/>
      <c r="DR189" s="100"/>
    </row>
    <row r="190" ht="15.75" customHeight="1">
      <c r="B190" s="5" t="s">
        <v>135</v>
      </c>
      <c r="E190" s="50">
        <f t="shared" ref="E190:M190" si="248">+E84</f>
        <v>7304.549</v>
      </c>
      <c r="F190" s="50">
        <f t="shared" si="248"/>
        <v>7916.045</v>
      </c>
      <c r="G190" s="50">
        <f t="shared" si="248"/>
        <v>8245.29</v>
      </c>
      <c r="H190" s="50">
        <f t="shared" si="248"/>
        <v>8781.099592</v>
      </c>
      <c r="I190" s="50">
        <f t="shared" si="248"/>
        <v>9075.523268</v>
      </c>
      <c r="J190" s="50">
        <f t="shared" si="248"/>
        <v>9607.489548</v>
      </c>
      <c r="K190" s="50">
        <f t="shared" si="248"/>
        <v>11031.68272</v>
      </c>
      <c r="L190" s="50">
        <f t="shared" si="248"/>
        <v>12578.99559</v>
      </c>
      <c r="M190" s="50">
        <f t="shared" si="248"/>
        <v>14258.43917</v>
      </c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  <c r="AQ190" s="100"/>
      <c r="AR190" s="100"/>
      <c r="AS190" s="100"/>
      <c r="AT190" s="100"/>
      <c r="AU190" s="100"/>
      <c r="AV190" s="100"/>
      <c r="AW190" s="100"/>
      <c r="AX190" s="100"/>
      <c r="AY190" s="100"/>
      <c r="AZ190" s="100"/>
      <c r="BA190" s="100"/>
      <c r="BB190" s="100"/>
      <c r="BC190" s="100"/>
      <c r="BD190" s="100"/>
      <c r="BE190" s="100"/>
      <c r="BF190" s="100"/>
      <c r="BG190" s="100"/>
      <c r="BH190" s="100"/>
      <c r="BI190" s="100"/>
      <c r="BJ190" s="100"/>
      <c r="BK190" s="100"/>
      <c r="BL190" s="100"/>
      <c r="BM190" s="100"/>
      <c r="BN190" s="100"/>
      <c r="BO190" s="100"/>
      <c r="BP190" s="100"/>
      <c r="BQ190" s="100"/>
      <c r="BR190" s="100"/>
      <c r="BS190" s="100"/>
      <c r="BT190" s="100"/>
      <c r="BU190" s="100"/>
      <c r="BV190" s="100"/>
      <c r="BW190" s="100"/>
      <c r="BX190" s="100"/>
      <c r="BY190" s="100"/>
      <c r="BZ190" s="100"/>
      <c r="CA190" s="100"/>
      <c r="CB190" s="100"/>
      <c r="CC190" s="100"/>
      <c r="CD190" s="100"/>
      <c r="CE190" s="100"/>
      <c r="CF190" s="100"/>
      <c r="CG190" s="100"/>
      <c r="CH190" s="100"/>
      <c r="CI190" s="100"/>
      <c r="CJ190" s="100"/>
      <c r="CK190" s="100"/>
      <c r="CL190" s="100"/>
      <c r="CM190" s="100"/>
      <c r="CN190" s="100"/>
      <c r="CO190" s="100"/>
      <c r="CP190" s="100"/>
      <c r="CQ190" s="100"/>
      <c r="CR190" s="100"/>
      <c r="CS190" s="100"/>
      <c r="CT190" s="100"/>
      <c r="CU190" s="100"/>
      <c r="CV190" s="100"/>
      <c r="CW190" s="100"/>
      <c r="CX190" s="100"/>
      <c r="CY190" s="100"/>
      <c r="CZ190" s="100"/>
      <c r="DA190" s="100"/>
      <c r="DB190" s="100"/>
      <c r="DC190" s="100"/>
      <c r="DD190" s="100"/>
      <c r="DE190" s="100"/>
      <c r="DF190" s="100"/>
      <c r="DG190" s="100"/>
      <c r="DH190" s="100"/>
      <c r="DI190" s="100"/>
      <c r="DJ190" s="100"/>
      <c r="DK190" s="100"/>
      <c r="DL190" s="100"/>
      <c r="DM190" s="100"/>
      <c r="DN190" s="100"/>
      <c r="DO190" s="100"/>
      <c r="DP190" s="100"/>
      <c r="DQ190" s="100"/>
      <c r="DR190" s="100"/>
    </row>
    <row r="191" ht="15.75" customHeight="1">
      <c r="B191" s="5" t="s">
        <v>136</v>
      </c>
      <c r="E191" s="49">
        <f t="shared" ref="E191:I191" si="249">+E192/E190</f>
        <v>0.7637303823</v>
      </c>
      <c r="F191" s="49">
        <f t="shared" si="249"/>
        <v>0.729049418</v>
      </c>
      <c r="G191" s="49">
        <f t="shared" si="249"/>
        <v>0.6030896427</v>
      </c>
      <c r="H191" s="49">
        <f t="shared" si="249"/>
        <v>0.6697862766</v>
      </c>
      <c r="I191" s="49">
        <f t="shared" si="249"/>
        <v>0.7503831789</v>
      </c>
      <c r="J191" s="109">
        <f>+Revenue_Assumptions!J43</f>
        <v>0.75</v>
      </c>
      <c r="K191" s="109">
        <f>+Revenue_Assumptions!K43</f>
        <v>0.75</v>
      </c>
      <c r="L191" s="109">
        <f>+Revenue_Assumptions!L43</f>
        <v>0.75</v>
      </c>
      <c r="M191" s="109">
        <f>+Revenue_Assumptions!M43</f>
        <v>0.75</v>
      </c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  <c r="AQ191" s="100"/>
      <c r="AR191" s="100"/>
      <c r="AS191" s="100"/>
      <c r="AT191" s="100"/>
      <c r="AU191" s="100"/>
      <c r="AV191" s="100"/>
      <c r="AW191" s="100"/>
      <c r="AX191" s="100"/>
      <c r="AY191" s="100"/>
      <c r="AZ191" s="100"/>
      <c r="BA191" s="100"/>
      <c r="BB191" s="100"/>
      <c r="BC191" s="100"/>
      <c r="BD191" s="100"/>
      <c r="BE191" s="100"/>
      <c r="BF191" s="100"/>
      <c r="BG191" s="100"/>
      <c r="BH191" s="100"/>
      <c r="BI191" s="100"/>
      <c r="BJ191" s="100"/>
      <c r="BK191" s="100"/>
      <c r="BL191" s="100"/>
      <c r="BM191" s="100"/>
      <c r="BN191" s="100"/>
      <c r="BO191" s="100"/>
      <c r="BP191" s="100"/>
      <c r="BQ191" s="100"/>
      <c r="BR191" s="100"/>
      <c r="BS191" s="100"/>
      <c r="BT191" s="100"/>
      <c r="BU191" s="100"/>
      <c r="BV191" s="100"/>
      <c r="BW191" s="100"/>
      <c r="BX191" s="100"/>
      <c r="BY191" s="100"/>
      <c r="BZ191" s="100"/>
      <c r="CA191" s="100"/>
      <c r="CB191" s="100"/>
      <c r="CC191" s="100"/>
      <c r="CD191" s="100"/>
      <c r="CE191" s="100"/>
      <c r="CF191" s="100"/>
      <c r="CG191" s="100"/>
      <c r="CH191" s="100"/>
      <c r="CI191" s="100"/>
      <c r="CJ191" s="100"/>
      <c r="CK191" s="100"/>
      <c r="CL191" s="100"/>
      <c r="CM191" s="100"/>
      <c r="CN191" s="100"/>
      <c r="CO191" s="100"/>
      <c r="CP191" s="100"/>
      <c r="CQ191" s="100"/>
      <c r="CR191" s="100"/>
      <c r="CS191" s="100"/>
      <c r="CT191" s="100"/>
      <c r="CU191" s="100"/>
      <c r="CV191" s="100"/>
      <c r="CW191" s="100"/>
      <c r="CX191" s="100"/>
      <c r="CY191" s="100"/>
      <c r="CZ191" s="100"/>
      <c r="DA191" s="100"/>
      <c r="DB191" s="100"/>
      <c r="DC191" s="100"/>
      <c r="DD191" s="100"/>
      <c r="DE191" s="100"/>
      <c r="DF191" s="100"/>
      <c r="DG191" s="100"/>
      <c r="DH191" s="100"/>
      <c r="DI191" s="100"/>
      <c r="DJ191" s="100"/>
      <c r="DK191" s="100"/>
      <c r="DL191" s="100"/>
      <c r="DM191" s="100"/>
      <c r="DN191" s="100"/>
      <c r="DO191" s="100"/>
      <c r="DP191" s="100"/>
      <c r="DQ191" s="100"/>
      <c r="DR191" s="100"/>
    </row>
    <row r="192" ht="15.75" customHeight="1">
      <c r="B192" s="54" t="s">
        <v>137</v>
      </c>
      <c r="C192" s="54"/>
      <c r="E192" s="55">
        <f t="shared" ref="E192:I192" si="250">+SUMIFS(E$128:E$173,$C$128:$C$173,$B189)</f>
        <v>5578.706</v>
      </c>
      <c r="F192" s="55">
        <f t="shared" si="250"/>
        <v>5771.188</v>
      </c>
      <c r="G192" s="55">
        <f t="shared" si="250"/>
        <v>4972.649</v>
      </c>
      <c r="H192" s="55">
        <f t="shared" si="250"/>
        <v>5881.46</v>
      </c>
      <c r="I192" s="55">
        <f t="shared" si="250"/>
        <v>6810.12</v>
      </c>
      <c r="J192" s="55">
        <f t="shared" ref="J192:M192" si="251">+J190*J191</f>
        <v>7205.617161</v>
      </c>
      <c r="K192" s="55">
        <f t="shared" si="251"/>
        <v>8273.762042</v>
      </c>
      <c r="L192" s="55">
        <f t="shared" si="251"/>
        <v>9434.246689</v>
      </c>
      <c r="M192" s="55">
        <f t="shared" si="251"/>
        <v>10693.82938</v>
      </c>
      <c r="N192" s="5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  <c r="AM192" s="100"/>
      <c r="AN192" s="100"/>
      <c r="AO192" s="100"/>
      <c r="AP192" s="100"/>
      <c r="AQ192" s="100"/>
      <c r="AR192" s="100"/>
      <c r="AS192" s="100"/>
      <c r="AT192" s="100"/>
      <c r="AU192" s="100"/>
      <c r="AV192" s="100"/>
      <c r="AW192" s="100"/>
      <c r="AX192" s="100"/>
      <c r="AY192" s="100"/>
      <c r="AZ192" s="100"/>
      <c r="BA192" s="100"/>
      <c r="BB192" s="100"/>
      <c r="BC192" s="100"/>
      <c r="BD192" s="100"/>
      <c r="BE192" s="100"/>
      <c r="BF192" s="100"/>
      <c r="BG192" s="100"/>
      <c r="BH192" s="100"/>
      <c r="BI192" s="100"/>
      <c r="BJ192" s="100"/>
      <c r="BK192" s="100"/>
      <c r="BL192" s="100"/>
      <c r="BM192" s="100"/>
      <c r="BN192" s="100"/>
      <c r="BO192" s="100"/>
      <c r="BP192" s="100"/>
      <c r="BQ192" s="100"/>
      <c r="BR192" s="100"/>
      <c r="BS192" s="100"/>
      <c r="BT192" s="100"/>
      <c r="BU192" s="100"/>
      <c r="BV192" s="100"/>
      <c r="BW192" s="100"/>
      <c r="BX192" s="100"/>
      <c r="BY192" s="100"/>
      <c r="BZ192" s="100"/>
      <c r="CA192" s="100"/>
      <c r="CB192" s="100"/>
      <c r="CC192" s="100"/>
      <c r="CD192" s="100"/>
      <c r="CE192" s="100"/>
      <c r="CF192" s="100"/>
      <c r="CG192" s="100"/>
      <c r="CH192" s="100"/>
      <c r="CI192" s="100"/>
      <c r="CJ192" s="100"/>
      <c r="CK192" s="100"/>
      <c r="CL192" s="100"/>
      <c r="CM192" s="100"/>
      <c r="CN192" s="100"/>
      <c r="CO192" s="100"/>
      <c r="CP192" s="100"/>
      <c r="CQ192" s="100"/>
      <c r="CR192" s="100"/>
      <c r="CS192" s="100"/>
      <c r="CT192" s="100"/>
      <c r="CU192" s="100"/>
      <c r="CV192" s="100"/>
      <c r="CW192" s="100"/>
      <c r="CX192" s="100"/>
      <c r="CY192" s="100"/>
      <c r="CZ192" s="100"/>
      <c r="DA192" s="100"/>
      <c r="DB192" s="100"/>
      <c r="DC192" s="100"/>
      <c r="DD192" s="100"/>
      <c r="DE192" s="100"/>
      <c r="DF192" s="100"/>
      <c r="DG192" s="100"/>
      <c r="DH192" s="100"/>
      <c r="DI192" s="100"/>
      <c r="DJ192" s="100"/>
      <c r="DK192" s="100"/>
      <c r="DL192" s="100"/>
      <c r="DM192" s="100"/>
      <c r="DN192" s="100"/>
      <c r="DO192" s="100"/>
      <c r="DP192" s="100"/>
      <c r="DQ192" s="100"/>
      <c r="DR192" s="100"/>
    </row>
    <row r="193" ht="4.5" customHeight="1"/>
    <row r="194" ht="15.75" customHeight="1">
      <c r="B194" s="99" t="s">
        <v>76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  <c r="AM194" s="100"/>
      <c r="AN194" s="100"/>
      <c r="AO194" s="100"/>
      <c r="AP194" s="100"/>
      <c r="AQ194" s="100"/>
      <c r="AR194" s="100"/>
      <c r="AS194" s="100"/>
      <c r="AT194" s="100"/>
      <c r="AU194" s="100"/>
      <c r="AV194" s="100"/>
      <c r="AW194" s="100"/>
      <c r="AX194" s="100"/>
      <c r="AY194" s="100"/>
      <c r="AZ194" s="100"/>
      <c r="BA194" s="100"/>
      <c r="BB194" s="100"/>
      <c r="BC194" s="100"/>
      <c r="BD194" s="100"/>
      <c r="BE194" s="100"/>
      <c r="BF194" s="100"/>
      <c r="BG194" s="100"/>
      <c r="BH194" s="100"/>
      <c r="BI194" s="100"/>
      <c r="BJ194" s="100"/>
      <c r="BK194" s="100"/>
      <c r="BL194" s="100"/>
      <c r="BM194" s="100"/>
      <c r="BN194" s="100"/>
      <c r="BO194" s="100"/>
      <c r="BP194" s="100"/>
      <c r="BQ194" s="100"/>
      <c r="BR194" s="100"/>
      <c r="BS194" s="100"/>
      <c r="BT194" s="100"/>
      <c r="BU194" s="100"/>
      <c r="BV194" s="100"/>
      <c r="BW194" s="100"/>
      <c r="BX194" s="100"/>
      <c r="BY194" s="100"/>
      <c r="BZ194" s="100"/>
      <c r="CA194" s="100"/>
      <c r="CB194" s="100"/>
      <c r="CC194" s="100"/>
      <c r="CD194" s="100"/>
      <c r="CE194" s="100"/>
      <c r="CF194" s="100"/>
      <c r="CG194" s="100"/>
      <c r="CH194" s="100"/>
      <c r="CI194" s="100"/>
      <c r="CJ194" s="100"/>
      <c r="CK194" s="100"/>
      <c r="CL194" s="100"/>
      <c r="CM194" s="100"/>
      <c r="CN194" s="100"/>
      <c r="CO194" s="100"/>
      <c r="CP194" s="100"/>
      <c r="CQ194" s="100"/>
      <c r="CR194" s="100"/>
      <c r="CS194" s="100"/>
      <c r="CT194" s="100"/>
      <c r="CU194" s="100"/>
      <c r="CV194" s="100"/>
      <c r="CW194" s="100"/>
      <c r="CX194" s="100"/>
      <c r="CY194" s="100"/>
      <c r="CZ194" s="100"/>
      <c r="DA194" s="100"/>
      <c r="DB194" s="100"/>
      <c r="DC194" s="100"/>
      <c r="DD194" s="100"/>
      <c r="DE194" s="100"/>
      <c r="DF194" s="100"/>
      <c r="DG194" s="100"/>
      <c r="DH194" s="100"/>
      <c r="DI194" s="100"/>
      <c r="DJ194" s="100"/>
      <c r="DK194" s="100"/>
      <c r="DL194" s="100"/>
      <c r="DM194" s="100"/>
      <c r="DN194" s="100"/>
      <c r="DO194" s="100"/>
      <c r="DP194" s="100"/>
      <c r="DQ194" s="100"/>
      <c r="DR194" s="100"/>
    </row>
    <row r="195" ht="15.75" customHeight="1">
      <c r="B195" s="5" t="s">
        <v>135</v>
      </c>
      <c r="E195" s="50">
        <f t="shared" ref="E195:M195" si="252">+E96</f>
        <v>1750.371</v>
      </c>
      <c r="F195" s="50">
        <f t="shared" si="252"/>
        <v>1771.212</v>
      </c>
      <c r="G195" s="50">
        <f t="shared" si="252"/>
        <v>1842.559</v>
      </c>
      <c r="H195" s="50">
        <f t="shared" si="252"/>
        <v>1905.0657</v>
      </c>
      <c r="I195" s="50">
        <f t="shared" si="252"/>
        <v>2067.560393</v>
      </c>
      <c r="J195" s="50">
        <f t="shared" si="252"/>
        <v>2432.239016</v>
      </c>
      <c r="K195" s="50">
        <f t="shared" si="252"/>
        <v>2936.485857</v>
      </c>
      <c r="L195" s="50">
        <f t="shared" si="252"/>
        <v>3488.903133</v>
      </c>
      <c r="M195" s="50">
        <f t="shared" si="252"/>
        <v>4093.276853</v>
      </c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  <c r="AM195" s="100"/>
      <c r="AN195" s="100"/>
      <c r="AO195" s="100"/>
      <c r="AP195" s="100"/>
      <c r="AQ195" s="100"/>
      <c r="AR195" s="100"/>
      <c r="AS195" s="100"/>
      <c r="AT195" s="100"/>
      <c r="AU195" s="100"/>
      <c r="AV195" s="100"/>
      <c r="AW195" s="100"/>
      <c r="AX195" s="100"/>
      <c r="AY195" s="100"/>
      <c r="AZ195" s="100"/>
      <c r="BA195" s="100"/>
      <c r="BB195" s="100"/>
      <c r="BC195" s="100"/>
      <c r="BD195" s="100"/>
      <c r="BE195" s="100"/>
      <c r="BF195" s="100"/>
      <c r="BG195" s="100"/>
      <c r="BH195" s="100"/>
      <c r="BI195" s="100"/>
      <c r="BJ195" s="100"/>
      <c r="BK195" s="100"/>
      <c r="BL195" s="100"/>
      <c r="BM195" s="100"/>
      <c r="BN195" s="100"/>
      <c r="BO195" s="100"/>
      <c r="BP195" s="100"/>
      <c r="BQ195" s="100"/>
      <c r="BR195" s="100"/>
      <c r="BS195" s="100"/>
      <c r="BT195" s="100"/>
      <c r="BU195" s="100"/>
      <c r="BV195" s="100"/>
      <c r="BW195" s="100"/>
      <c r="BX195" s="100"/>
      <c r="BY195" s="100"/>
      <c r="BZ195" s="100"/>
      <c r="CA195" s="100"/>
      <c r="CB195" s="100"/>
      <c r="CC195" s="100"/>
      <c r="CD195" s="100"/>
      <c r="CE195" s="100"/>
      <c r="CF195" s="100"/>
      <c r="CG195" s="100"/>
      <c r="CH195" s="100"/>
      <c r="CI195" s="100"/>
      <c r="CJ195" s="100"/>
      <c r="CK195" s="100"/>
      <c r="CL195" s="100"/>
      <c r="CM195" s="100"/>
      <c r="CN195" s="100"/>
      <c r="CO195" s="100"/>
      <c r="CP195" s="100"/>
      <c r="CQ195" s="100"/>
      <c r="CR195" s="100"/>
      <c r="CS195" s="100"/>
      <c r="CT195" s="100"/>
      <c r="CU195" s="100"/>
      <c r="CV195" s="100"/>
      <c r="CW195" s="100"/>
      <c r="CX195" s="100"/>
      <c r="CY195" s="100"/>
      <c r="CZ195" s="100"/>
      <c r="DA195" s="100"/>
      <c r="DB195" s="100"/>
      <c r="DC195" s="100"/>
      <c r="DD195" s="100"/>
      <c r="DE195" s="100"/>
      <c r="DF195" s="100"/>
      <c r="DG195" s="100"/>
      <c r="DH195" s="100"/>
      <c r="DI195" s="100"/>
      <c r="DJ195" s="100"/>
      <c r="DK195" s="100"/>
      <c r="DL195" s="100"/>
      <c r="DM195" s="100"/>
      <c r="DN195" s="100"/>
      <c r="DO195" s="100"/>
      <c r="DP195" s="100"/>
      <c r="DQ195" s="100"/>
      <c r="DR195" s="100"/>
    </row>
    <row r="196" ht="15.75" customHeight="1">
      <c r="B196" s="5" t="s">
        <v>136</v>
      </c>
      <c r="E196" s="49">
        <f t="shared" ref="E196:I196" si="253">+E197/E195</f>
        <v>0.3201372738</v>
      </c>
      <c r="F196" s="49">
        <f t="shared" si="253"/>
        <v>0.3463108877</v>
      </c>
      <c r="G196" s="49">
        <f t="shared" si="253"/>
        <v>0.2775390096</v>
      </c>
      <c r="H196" s="49">
        <f t="shared" si="253"/>
        <v>0.3959254529</v>
      </c>
      <c r="I196" s="49">
        <f t="shared" si="253"/>
        <v>0.302764554</v>
      </c>
      <c r="J196" s="109">
        <f>+Revenue_Assumptions!J44</f>
        <v>0.46</v>
      </c>
      <c r="K196" s="109">
        <f>+Revenue_Assumptions!K44</f>
        <v>0.45</v>
      </c>
      <c r="L196" s="109">
        <f>+Revenue_Assumptions!L44</f>
        <v>0.44</v>
      </c>
      <c r="M196" s="109">
        <f>+Revenue_Assumptions!M44</f>
        <v>0.43</v>
      </c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  <c r="AM196" s="100"/>
      <c r="AN196" s="100"/>
      <c r="AO196" s="100"/>
      <c r="AP196" s="100"/>
      <c r="AQ196" s="100"/>
      <c r="AR196" s="100"/>
      <c r="AS196" s="100"/>
      <c r="AT196" s="100"/>
      <c r="AU196" s="100"/>
      <c r="AV196" s="100"/>
      <c r="AW196" s="100"/>
      <c r="AX196" s="100"/>
      <c r="AY196" s="100"/>
      <c r="AZ196" s="100"/>
      <c r="BA196" s="100"/>
      <c r="BB196" s="100"/>
      <c r="BC196" s="100"/>
      <c r="BD196" s="100"/>
      <c r="BE196" s="100"/>
      <c r="BF196" s="100"/>
      <c r="BG196" s="100"/>
      <c r="BH196" s="100"/>
      <c r="BI196" s="100"/>
      <c r="BJ196" s="100"/>
      <c r="BK196" s="100"/>
      <c r="BL196" s="100"/>
      <c r="BM196" s="100"/>
      <c r="BN196" s="100"/>
      <c r="BO196" s="100"/>
      <c r="BP196" s="100"/>
      <c r="BQ196" s="100"/>
      <c r="BR196" s="100"/>
      <c r="BS196" s="100"/>
      <c r="BT196" s="100"/>
      <c r="BU196" s="100"/>
      <c r="BV196" s="100"/>
      <c r="BW196" s="100"/>
      <c r="BX196" s="100"/>
      <c r="BY196" s="100"/>
      <c r="BZ196" s="100"/>
      <c r="CA196" s="100"/>
      <c r="CB196" s="100"/>
      <c r="CC196" s="100"/>
      <c r="CD196" s="100"/>
      <c r="CE196" s="100"/>
      <c r="CF196" s="100"/>
      <c r="CG196" s="100"/>
      <c r="CH196" s="100"/>
      <c r="CI196" s="100"/>
      <c r="CJ196" s="100"/>
      <c r="CK196" s="100"/>
      <c r="CL196" s="100"/>
      <c r="CM196" s="100"/>
      <c r="CN196" s="100"/>
      <c r="CO196" s="100"/>
      <c r="CP196" s="100"/>
      <c r="CQ196" s="100"/>
      <c r="CR196" s="100"/>
      <c r="CS196" s="100"/>
      <c r="CT196" s="100"/>
      <c r="CU196" s="100"/>
      <c r="CV196" s="100"/>
      <c r="CW196" s="100"/>
      <c r="CX196" s="100"/>
      <c r="CY196" s="100"/>
      <c r="CZ196" s="100"/>
      <c r="DA196" s="100"/>
      <c r="DB196" s="100"/>
      <c r="DC196" s="100"/>
      <c r="DD196" s="100"/>
      <c r="DE196" s="100"/>
      <c r="DF196" s="100"/>
      <c r="DG196" s="100"/>
      <c r="DH196" s="100"/>
      <c r="DI196" s="100"/>
      <c r="DJ196" s="100"/>
      <c r="DK196" s="100"/>
      <c r="DL196" s="100"/>
      <c r="DM196" s="100"/>
      <c r="DN196" s="100"/>
      <c r="DO196" s="100"/>
      <c r="DP196" s="100"/>
      <c r="DQ196" s="100"/>
      <c r="DR196" s="100"/>
    </row>
    <row r="197" ht="15.75" customHeight="1">
      <c r="B197" s="54" t="s">
        <v>137</v>
      </c>
      <c r="C197" s="54"/>
      <c r="E197" s="55">
        <f t="shared" ref="E197:I197" si="254">+SUMIFS(E$128:E$173,$C$128:$C$173,$B194)</f>
        <v>560.359</v>
      </c>
      <c r="F197" s="55">
        <f t="shared" si="254"/>
        <v>613.39</v>
      </c>
      <c r="G197" s="55">
        <f t="shared" si="254"/>
        <v>511.382</v>
      </c>
      <c r="H197" s="55">
        <f t="shared" si="254"/>
        <v>754.264</v>
      </c>
      <c r="I197" s="55">
        <f t="shared" si="254"/>
        <v>625.984</v>
      </c>
      <c r="J197" s="55">
        <f t="shared" ref="J197:M197" si="255">+J195*J196</f>
        <v>1118.829947</v>
      </c>
      <c r="K197" s="55">
        <f t="shared" si="255"/>
        <v>1321.418636</v>
      </c>
      <c r="L197" s="55">
        <f t="shared" si="255"/>
        <v>1535.117379</v>
      </c>
      <c r="M197" s="55">
        <f t="shared" si="255"/>
        <v>1760.109047</v>
      </c>
      <c r="N197" s="5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  <c r="AN197" s="100"/>
      <c r="AO197" s="100"/>
      <c r="AP197" s="100"/>
      <c r="AQ197" s="100"/>
      <c r="AR197" s="100"/>
      <c r="AS197" s="100"/>
      <c r="AT197" s="100"/>
      <c r="AU197" s="100"/>
      <c r="AV197" s="100"/>
      <c r="AW197" s="100"/>
      <c r="AX197" s="100"/>
      <c r="AY197" s="100"/>
      <c r="AZ197" s="100"/>
      <c r="BA197" s="100"/>
      <c r="BB197" s="100"/>
      <c r="BC197" s="100"/>
      <c r="BD197" s="100"/>
      <c r="BE197" s="100"/>
      <c r="BF197" s="100"/>
      <c r="BG197" s="100"/>
      <c r="BH197" s="100"/>
      <c r="BI197" s="100"/>
      <c r="BJ197" s="100"/>
      <c r="BK197" s="100"/>
      <c r="BL197" s="100"/>
      <c r="BM197" s="100"/>
      <c r="BN197" s="100"/>
      <c r="BO197" s="100"/>
      <c r="BP197" s="100"/>
      <c r="BQ197" s="100"/>
      <c r="BR197" s="100"/>
      <c r="BS197" s="100"/>
      <c r="BT197" s="100"/>
      <c r="BU197" s="100"/>
      <c r="BV197" s="100"/>
      <c r="BW197" s="100"/>
      <c r="BX197" s="100"/>
      <c r="BY197" s="100"/>
      <c r="BZ197" s="100"/>
      <c r="CA197" s="100"/>
      <c r="CB197" s="100"/>
      <c r="CC197" s="100"/>
      <c r="CD197" s="100"/>
      <c r="CE197" s="100"/>
      <c r="CF197" s="100"/>
      <c r="CG197" s="100"/>
      <c r="CH197" s="100"/>
      <c r="CI197" s="100"/>
      <c r="CJ197" s="100"/>
      <c r="CK197" s="100"/>
      <c r="CL197" s="100"/>
      <c r="CM197" s="100"/>
      <c r="CN197" s="100"/>
      <c r="CO197" s="100"/>
      <c r="CP197" s="100"/>
      <c r="CQ197" s="100"/>
      <c r="CR197" s="100"/>
      <c r="CS197" s="100"/>
      <c r="CT197" s="100"/>
      <c r="CU197" s="100"/>
      <c r="CV197" s="100"/>
      <c r="CW197" s="100"/>
      <c r="CX197" s="100"/>
      <c r="CY197" s="100"/>
      <c r="CZ197" s="100"/>
      <c r="DA197" s="100"/>
      <c r="DB197" s="100"/>
      <c r="DC197" s="100"/>
      <c r="DD197" s="100"/>
      <c r="DE197" s="100"/>
      <c r="DF197" s="100"/>
      <c r="DG197" s="100"/>
      <c r="DH197" s="100"/>
      <c r="DI197" s="100"/>
      <c r="DJ197" s="100"/>
      <c r="DK197" s="100"/>
      <c r="DL197" s="100"/>
      <c r="DM197" s="100"/>
      <c r="DN197" s="100"/>
      <c r="DO197" s="100"/>
      <c r="DP197" s="100"/>
      <c r="DQ197" s="100"/>
      <c r="DR197" s="100"/>
    </row>
    <row r="198" ht="4.5" customHeight="1"/>
    <row r="199" ht="15.75" customHeight="1">
      <c r="B199" s="99" t="s">
        <v>74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  <c r="AM199" s="100"/>
      <c r="AN199" s="100"/>
      <c r="AO199" s="100"/>
      <c r="AP199" s="100"/>
      <c r="AQ199" s="100"/>
      <c r="AR199" s="100"/>
      <c r="AS199" s="100"/>
      <c r="AT199" s="100"/>
      <c r="AU199" s="100"/>
      <c r="AV199" s="100"/>
      <c r="AW199" s="100"/>
      <c r="AX199" s="100"/>
      <c r="AY199" s="100"/>
      <c r="AZ199" s="100"/>
      <c r="BA199" s="100"/>
      <c r="BB199" s="100"/>
      <c r="BC199" s="100"/>
      <c r="BD199" s="100"/>
      <c r="BE199" s="100"/>
      <c r="BF199" s="100"/>
      <c r="BG199" s="100"/>
      <c r="BH199" s="100"/>
      <c r="BI199" s="100"/>
      <c r="BJ199" s="100"/>
      <c r="BK199" s="100"/>
      <c r="BL199" s="100"/>
      <c r="BM199" s="100"/>
      <c r="BN199" s="100"/>
      <c r="BO199" s="100"/>
      <c r="BP199" s="100"/>
      <c r="BQ199" s="100"/>
      <c r="BR199" s="100"/>
      <c r="BS199" s="100"/>
      <c r="BT199" s="100"/>
      <c r="BU199" s="100"/>
      <c r="BV199" s="100"/>
      <c r="BW199" s="100"/>
      <c r="BX199" s="100"/>
      <c r="BY199" s="100"/>
      <c r="BZ199" s="100"/>
      <c r="CA199" s="100"/>
      <c r="CB199" s="100"/>
      <c r="CC199" s="100"/>
      <c r="CD199" s="100"/>
      <c r="CE199" s="100"/>
      <c r="CF199" s="100"/>
      <c r="CG199" s="100"/>
      <c r="CH199" s="100"/>
      <c r="CI199" s="100"/>
      <c r="CJ199" s="100"/>
      <c r="CK199" s="100"/>
      <c r="CL199" s="100"/>
      <c r="CM199" s="100"/>
      <c r="CN199" s="100"/>
      <c r="CO199" s="100"/>
      <c r="CP199" s="100"/>
      <c r="CQ199" s="100"/>
      <c r="CR199" s="100"/>
      <c r="CS199" s="100"/>
      <c r="CT199" s="100"/>
      <c r="CU199" s="100"/>
      <c r="CV199" s="100"/>
      <c r="CW199" s="100"/>
      <c r="CX199" s="100"/>
      <c r="CY199" s="100"/>
      <c r="CZ199" s="100"/>
      <c r="DA199" s="100"/>
      <c r="DB199" s="100"/>
      <c r="DC199" s="100"/>
      <c r="DD199" s="100"/>
      <c r="DE199" s="100"/>
      <c r="DF199" s="100"/>
      <c r="DG199" s="100"/>
      <c r="DH199" s="100"/>
      <c r="DI199" s="100"/>
      <c r="DJ199" s="100"/>
      <c r="DK199" s="100"/>
      <c r="DL199" s="100"/>
      <c r="DM199" s="100"/>
      <c r="DN199" s="100"/>
      <c r="DO199" s="100"/>
      <c r="DP199" s="100"/>
      <c r="DQ199" s="100"/>
      <c r="DR199" s="100"/>
    </row>
    <row r="200" ht="15.75" customHeight="1">
      <c r="B200" s="5" t="s">
        <v>135</v>
      </c>
      <c r="E200" s="50">
        <f t="shared" ref="E200:M200" si="256">+E108</f>
        <v>788.562</v>
      </c>
      <c r="F200" s="50">
        <f t="shared" si="256"/>
        <v>1021.766</v>
      </c>
      <c r="G200" s="50">
        <f t="shared" si="256"/>
        <v>1442.292</v>
      </c>
      <c r="H200" s="50">
        <f t="shared" si="256"/>
        <v>2048.712523</v>
      </c>
      <c r="I200" s="50">
        <f t="shared" si="256"/>
        <v>2199.974695</v>
      </c>
      <c r="J200" s="50">
        <f t="shared" si="256"/>
        <v>2835.721911</v>
      </c>
      <c r="K200" s="50">
        <f t="shared" si="256"/>
        <v>3625.401322</v>
      </c>
      <c r="L200" s="50">
        <f t="shared" si="256"/>
        <v>4699.476717</v>
      </c>
      <c r="M200" s="50">
        <f t="shared" si="256"/>
        <v>6259.728687</v>
      </c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00"/>
      <c r="AN200" s="100"/>
      <c r="AO200" s="100"/>
      <c r="AP200" s="100"/>
      <c r="AQ200" s="100"/>
      <c r="AR200" s="100"/>
      <c r="AS200" s="100"/>
      <c r="AT200" s="100"/>
      <c r="AU200" s="100"/>
      <c r="AV200" s="100"/>
      <c r="AW200" s="100"/>
      <c r="AX200" s="100"/>
      <c r="AY200" s="100"/>
      <c r="AZ200" s="100"/>
      <c r="BA200" s="100"/>
      <c r="BB200" s="100"/>
      <c r="BC200" s="100"/>
      <c r="BD200" s="100"/>
      <c r="BE200" s="100"/>
      <c r="BF200" s="100"/>
      <c r="BG200" s="100"/>
      <c r="BH200" s="100"/>
      <c r="BI200" s="100"/>
      <c r="BJ200" s="100"/>
      <c r="BK200" s="100"/>
      <c r="BL200" s="100"/>
      <c r="BM200" s="100"/>
      <c r="BN200" s="100"/>
      <c r="BO200" s="100"/>
      <c r="BP200" s="100"/>
      <c r="BQ200" s="100"/>
      <c r="BR200" s="100"/>
      <c r="BS200" s="100"/>
      <c r="BT200" s="100"/>
      <c r="BU200" s="100"/>
      <c r="BV200" s="100"/>
      <c r="BW200" s="100"/>
      <c r="BX200" s="100"/>
      <c r="BY200" s="100"/>
      <c r="BZ200" s="100"/>
      <c r="CA200" s="100"/>
      <c r="CB200" s="100"/>
      <c r="CC200" s="100"/>
      <c r="CD200" s="100"/>
      <c r="CE200" s="100"/>
      <c r="CF200" s="100"/>
      <c r="CG200" s="100"/>
      <c r="CH200" s="100"/>
      <c r="CI200" s="100"/>
      <c r="CJ200" s="100"/>
      <c r="CK200" s="100"/>
      <c r="CL200" s="100"/>
      <c r="CM200" s="100"/>
      <c r="CN200" s="100"/>
      <c r="CO200" s="100"/>
      <c r="CP200" s="100"/>
      <c r="CQ200" s="100"/>
      <c r="CR200" s="100"/>
      <c r="CS200" s="100"/>
      <c r="CT200" s="100"/>
      <c r="CU200" s="100"/>
      <c r="CV200" s="100"/>
      <c r="CW200" s="100"/>
      <c r="CX200" s="100"/>
      <c r="CY200" s="100"/>
      <c r="CZ200" s="100"/>
      <c r="DA200" s="100"/>
      <c r="DB200" s="100"/>
      <c r="DC200" s="100"/>
      <c r="DD200" s="100"/>
      <c r="DE200" s="100"/>
      <c r="DF200" s="100"/>
      <c r="DG200" s="100"/>
      <c r="DH200" s="100"/>
      <c r="DI200" s="100"/>
      <c r="DJ200" s="100"/>
      <c r="DK200" s="100"/>
      <c r="DL200" s="100"/>
      <c r="DM200" s="100"/>
      <c r="DN200" s="100"/>
      <c r="DO200" s="100"/>
      <c r="DP200" s="100"/>
      <c r="DQ200" s="100"/>
      <c r="DR200" s="100"/>
    </row>
    <row r="201" ht="15.75" customHeight="1">
      <c r="B201" s="5" t="s">
        <v>136</v>
      </c>
      <c r="E201" s="49">
        <f t="shared" ref="E201:I201" si="257">+E202/E200</f>
        <v>0.1912024673</v>
      </c>
      <c r="F201" s="49">
        <f t="shared" si="257"/>
        <v>0.1379239474</v>
      </c>
      <c r="G201" s="49">
        <f t="shared" si="257"/>
        <v>0.30576194</v>
      </c>
      <c r="H201" s="49">
        <f t="shared" si="257"/>
        <v>0.46170509</v>
      </c>
      <c r="I201" s="49">
        <f t="shared" si="257"/>
        <v>0.3657796084</v>
      </c>
      <c r="J201" s="109">
        <f>+Revenue_Assumptions!J45</f>
        <v>0.41</v>
      </c>
      <c r="K201" s="109">
        <f>+Revenue_Assumptions!K45</f>
        <v>0.4</v>
      </c>
      <c r="L201" s="109">
        <f>+Revenue_Assumptions!L45</f>
        <v>0.39</v>
      </c>
      <c r="M201" s="109">
        <f>+Revenue_Assumptions!M45</f>
        <v>0.38</v>
      </c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00"/>
      <c r="AN201" s="100"/>
      <c r="AO201" s="100"/>
      <c r="AP201" s="100"/>
      <c r="AQ201" s="100"/>
      <c r="AR201" s="100"/>
      <c r="AS201" s="100"/>
      <c r="AT201" s="100"/>
      <c r="AU201" s="100"/>
      <c r="AV201" s="100"/>
      <c r="AW201" s="100"/>
      <c r="AX201" s="100"/>
      <c r="AY201" s="100"/>
      <c r="AZ201" s="100"/>
      <c r="BA201" s="100"/>
      <c r="BB201" s="100"/>
      <c r="BC201" s="100"/>
      <c r="BD201" s="100"/>
      <c r="BE201" s="100"/>
      <c r="BF201" s="100"/>
      <c r="BG201" s="100"/>
      <c r="BH201" s="100"/>
      <c r="BI201" s="100"/>
      <c r="BJ201" s="100"/>
      <c r="BK201" s="100"/>
      <c r="BL201" s="100"/>
      <c r="BM201" s="100"/>
      <c r="BN201" s="100"/>
      <c r="BO201" s="100"/>
      <c r="BP201" s="100"/>
      <c r="BQ201" s="100"/>
      <c r="BR201" s="100"/>
      <c r="BS201" s="100"/>
      <c r="BT201" s="100"/>
      <c r="BU201" s="100"/>
      <c r="BV201" s="100"/>
      <c r="BW201" s="100"/>
      <c r="BX201" s="100"/>
      <c r="BY201" s="100"/>
      <c r="BZ201" s="100"/>
      <c r="CA201" s="100"/>
      <c r="CB201" s="100"/>
      <c r="CC201" s="100"/>
      <c r="CD201" s="100"/>
      <c r="CE201" s="100"/>
      <c r="CF201" s="100"/>
      <c r="CG201" s="100"/>
      <c r="CH201" s="100"/>
      <c r="CI201" s="100"/>
      <c r="CJ201" s="100"/>
      <c r="CK201" s="100"/>
      <c r="CL201" s="100"/>
      <c r="CM201" s="100"/>
      <c r="CN201" s="100"/>
      <c r="CO201" s="100"/>
      <c r="CP201" s="100"/>
      <c r="CQ201" s="100"/>
      <c r="CR201" s="100"/>
      <c r="CS201" s="100"/>
      <c r="CT201" s="100"/>
      <c r="CU201" s="100"/>
      <c r="CV201" s="100"/>
      <c r="CW201" s="100"/>
      <c r="CX201" s="100"/>
      <c r="CY201" s="100"/>
      <c r="CZ201" s="100"/>
      <c r="DA201" s="100"/>
      <c r="DB201" s="100"/>
      <c r="DC201" s="100"/>
      <c r="DD201" s="100"/>
      <c r="DE201" s="100"/>
      <c r="DF201" s="100"/>
      <c r="DG201" s="100"/>
      <c r="DH201" s="100"/>
      <c r="DI201" s="100"/>
      <c r="DJ201" s="100"/>
      <c r="DK201" s="100"/>
      <c r="DL201" s="100"/>
      <c r="DM201" s="100"/>
      <c r="DN201" s="100"/>
      <c r="DO201" s="100"/>
      <c r="DP201" s="100"/>
      <c r="DQ201" s="100"/>
      <c r="DR201" s="100"/>
    </row>
    <row r="202" ht="15.75" customHeight="1">
      <c r="B202" s="54" t="s">
        <v>137</v>
      </c>
      <c r="C202" s="54"/>
      <c r="E202" s="55">
        <f t="shared" ref="E202:I202" si="258">+SUMIFS(E$128:E$173,$C$128:$C$173,$B199)</f>
        <v>150.775</v>
      </c>
      <c r="F202" s="55">
        <f t="shared" si="258"/>
        <v>140.926</v>
      </c>
      <c r="G202" s="55">
        <f t="shared" si="258"/>
        <v>440.998</v>
      </c>
      <c r="H202" s="55">
        <f t="shared" si="258"/>
        <v>945.901</v>
      </c>
      <c r="I202" s="55">
        <f t="shared" si="258"/>
        <v>804.7058824</v>
      </c>
      <c r="J202" s="55">
        <f t="shared" ref="J202:M202" si="259">+J200*J201</f>
        <v>1162.645984</v>
      </c>
      <c r="K202" s="55">
        <f t="shared" si="259"/>
        <v>1450.160529</v>
      </c>
      <c r="L202" s="55">
        <f t="shared" si="259"/>
        <v>1832.79592</v>
      </c>
      <c r="M202" s="55">
        <f t="shared" si="259"/>
        <v>2378.696901</v>
      </c>
      <c r="N202" s="5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  <c r="AQ202" s="100"/>
      <c r="AR202" s="100"/>
      <c r="AS202" s="100"/>
      <c r="AT202" s="100"/>
      <c r="AU202" s="100"/>
      <c r="AV202" s="100"/>
      <c r="AW202" s="100"/>
      <c r="AX202" s="100"/>
      <c r="AY202" s="100"/>
      <c r="AZ202" s="100"/>
      <c r="BA202" s="100"/>
      <c r="BB202" s="100"/>
      <c r="BC202" s="100"/>
      <c r="BD202" s="100"/>
      <c r="BE202" s="100"/>
      <c r="BF202" s="100"/>
      <c r="BG202" s="100"/>
      <c r="BH202" s="100"/>
      <c r="BI202" s="100"/>
      <c r="BJ202" s="100"/>
      <c r="BK202" s="100"/>
      <c r="BL202" s="100"/>
      <c r="BM202" s="100"/>
      <c r="BN202" s="100"/>
      <c r="BO202" s="100"/>
      <c r="BP202" s="100"/>
      <c r="BQ202" s="100"/>
      <c r="BR202" s="100"/>
      <c r="BS202" s="100"/>
      <c r="BT202" s="100"/>
      <c r="BU202" s="100"/>
      <c r="BV202" s="100"/>
      <c r="BW202" s="100"/>
      <c r="BX202" s="100"/>
      <c r="BY202" s="100"/>
      <c r="BZ202" s="100"/>
      <c r="CA202" s="100"/>
      <c r="CB202" s="100"/>
      <c r="CC202" s="100"/>
      <c r="CD202" s="100"/>
      <c r="CE202" s="100"/>
      <c r="CF202" s="100"/>
      <c r="CG202" s="100"/>
      <c r="CH202" s="100"/>
      <c r="CI202" s="100"/>
      <c r="CJ202" s="100"/>
      <c r="CK202" s="100"/>
      <c r="CL202" s="100"/>
      <c r="CM202" s="100"/>
      <c r="CN202" s="100"/>
      <c r="CO202" s="100"/>
      <c r="CP202" s="100"/>
      <c r="CQ202" s="100"/>
      <c r="CR202" s="100"/>
      <c r="CS202" s="100"/>
      <c r="CT202" s="100"/>
      <c r="CU202" s="100"/>
      <c r="CV202" s="100"/>
      <c r="CW202" s="100"/>
      <c r="CX202" s="100"/>
      <c r="CY202" s="100"/>
      <c r="CZ202" s="100"/>
      <c r="DA202" s="100"/>
      <c r="DB202" s="100"/>
      <c r="DC202" s="100"/>
      <c r="DD202" s="100"/>
      <c r="DE202" s="100"/>
      <c r="DF202" s="100"/>
      <c r="DG202" s="100"/>
      <c r="DH202" s="100"/>
      <c r="DI202" s="100"/>
      <c r="DJ202" s="100"/>
      <c r="DK202" s="100"/>
      <c r="DL202" s="100"/>
      <c r="DM202" s="100"/>
      <c r="DN202" s="100"/>
      <c r="DO202" s="100"/>
      <c r="DP202" s="100"/>
      <c r="DQ202" s="100"/>
      <c r="DR202" s="100"/>
    </row>
    <row r="203" ht="4.5" customHeight="1"/>
    <row r="204" ht="15.75" customHeight="1">
      <c r="B204" s="99" t="s">
        <v>70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00"/>
      <c r="AN204" s="100"/>
      <c r="AO204" s="100"/>
      <c r="AP204" s="100"/>
      <c r="AQ204" s="100"/>
      <c r="AR204" s="100"/>
      <c r="AS204" s="100"/>
      <c r="AT204" s="100"/>
      <c r="AU204" s="100"/>
      <c r="AV204" s="100"/>
      <c r="AW204" s="100"/>
      <c r="AX204" s="100"/>
      <c r="AY204" s="100"/>
      <c r="AZ204" s="100"/>
      <c r="BA204" s="100"/>
      <c r="BB204" s="100"/>
      <c r="BC204" s="100"/>
      <c r="BD204" s="100"/>
      <c r="BE204" s="100"/>
      <c r="BF204" s="100"/>
      <c r="BG204" s="100"/>
      <c r="BH204" s="100"/>
      <c r="BI204" s="100"/>
      <c r="BJ204" s="100"/>
      <c r="BK204" s="100"/>
      <c r="BL204" s="100"/>
      <c r="BM204" s="100"/>
      <c r="BN204" s="100"/>
      <c r="BO204" s="100"/>
      <c r="BP204" s="100"/>
      <c r="BQ204" s="100"/>
      <c r="BR204" s="100"/>
      <c r="BS204" s="100"/>
      <c r="BT204" s="100"/>
      <c r="BU204" s="100"/>
      <c r="BV204" s="100"/>
      <c r="BW204" s="100"/>
      <c r="BX204" s="100"/>
      <c r="BY204" s="100"/>
      <c r="BZ204" s="100"/>
      <c r="CA204" s="100"/>
      <c r="CB204" s="100"/>
      <c r="CC204" s="100"/>
      <c r="CD204" s="100"/>
      <c r="CE204" s="100"/>
      <c r="CF204" s="100"/>
      <c r="CG204" s="100"/>
      <c r="CH204" s="100"/>
      <c r="CI204" s="100"/>
      <c r="CJ204" s="100"/>
      <c r="CK204" s="100"/>
      <c r="CL204" s="100"/>
      <c r="CM204" s="100"/>
      <c r="CN204" s="100"/>
      <c r="CO204" s="100"/>
      <c r="CP204" s="100"/>
      <c r="CQ204" s="100"/>
      <c r="CR204" s="100"/>
      <c r="CS204" s="100"/>
      <c r="CT204" s="100"/>
      <c r="CU204" s="100"/>
      <c r="CV204" s="100"/>
      <c r="CW204" s="100"/>
      <c r="CX204" s="100"/>
      <c r="CY204" s="100"/>
      <c r="CZ204" s="100"/>
      <c r="DA204" s="100"/>
      <c r="DB204" s="100"/>
      <c r="DC204" s="100"/>
      <c r="DD204" s="100"/>
      <c r="DE204" s="100"/>
      <c r="DF204" s="100"/>
      <c r="DG204" s="100"/>
      <c r="DH204" s="100"/>
      <c r="DI204" s="100"/>
      <c r="DJ204" s="100"/>
      <c r="DK204" s="100"/>
      <c r="DL204" s="100"/>
      <c r="DM204" s="100"/>
      <c r="DN204" s="100"/>
      <c r="DO204" s="100"/>
      <c r="DP204" s="100"/>
      <c r="DQ204" s="100"/>
      <c r="DR204" s="100"/>
    </row>
    <row r="205" ht="15.75" customHeight="1">
      <c r="B205" s="5" t="s">
        <v>135</v>
      </c>
      <c r="E205" s="50">
        <f t="shared" ref="E205:M205" si="260">+E120</f>
        <v>1323.89</v>
      </c>
      <c r="F205" s="50">
        <f t="shared" si="260"/>
        <v>1123.217</v>
      </c>
      <c r="G205" s="50">
        <f t="shared" si="260"/>
        <v>1313.177</v>
      </c>
      <c r="H205" s="50">
        <f t="shared" si="260"/>
        <v>1332.758762</v>
      </c>
      <c r="I205" s="50">
        <f t="shared" si="260"/>
        <v>1821.764513</v>
      </c>
      <c r="J205" s="50">
        <f t="shared" si="260"/>
        <v>2286.470004</v>
      </c>
      <c r="K205" s="50">
        <f t="shared" si="260"/>
        <v>2859.440155</v>
      </c>
      <c r="L205" s="50">
        <f t="shared" si="260"/>
        <v>3653.218156</v>
      </c>
      <c r="M205" s="50">
        <f t="shared" si="260"/>
        <v>4798.471065</v>
      </c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  <c r="AM205" s="100"/>
      <c r="AN205" s="100"/>
      <c r="AO205" s="100"/>
      <c r="AP205" s="100"/>
      <c r="AQ205" s="100"/>
      <c r="AR205" s="100"/>
      <c r="AS205" s="100"/>
      <c r="AT205" s="100"/>
      <c r="AU205" s="100"/>
      <c r="AV205" s="100"/>
      <c r="AW205" s="100"/>
      <c r="AX205" s="100"/>
      <c r="AY205" s="100"/>
      <c r="AZ205" s="100"/>
      <c r="BA205" s="100"/>
      <c r="BB205" s="100"/>
      <c r="BC205" s="100"/>
      <c r="BD205" s="100"/>
      <c r="BE205" s="100"/>
      <c r="BF205" s="100"/>
      <c r="BG205" s="100"/>
      <c r="BH205" s="100"/>
      <c r="BI205" s="100"/>
      <c r="BJ205" s="100"/>
      <c r="BK205" s="100"/>
      <c r="BL205" s="100"/>
      <c r="BM205" s="100"/>
      <c r="BN205" s="100"/>
      <c r="BO205" s="100"/>
      <c r="BP205" s="100"/>
      <c r="BQ205" s="100"/>
      <c r="BR205" s="100"/>
      <c r="BS205" s="100"/>
      <c r="BT205" s="100"/>
      <c r="BU205" s="100"/>
      <c r="BV205" s="100"/>
      <c r="BW205" s="100"/>
      <c r="BX205" s="100"/>
      <c r="BY205" s="100"/>
      <c r="BZ205" s="100"/>
      <c r="CA205" s="100"/>
      <c r="CB205" s="100"/>
      <c r="CC205" s="100"/>
      <c r="CD205" s="100"/>
      <c r="CE205" s="100"/>
      <c r="CF205" s="100"/>
      <c r="CG205" s="100"/>
      <c r="CH205" s="100"/>
      <c r="CI205" s="100"/>
      <c r="CJ205" s="100"/>
      <c r="CK205" s="100"/>
      <c r="CL205" s="100"/>
      <c r="CM205" s="100"/>
      <c r="CN205" s="100"/>
      <c r="CO205" s="100"/>
      <c r="CP205" s="100"/>
      <c r="CQ205" s="100"/>
      <c r="CR205" s="100"/>
      <c r="CS205" s="100"/>
      <c r="CT205" s="100"/>
      <c r="CU205" s="100"/>
      <c r="CV205" s="100"/>
      <c r="CW205" s="100"/>
      <c r="CX205" s="100"/>
      <c r="CY205" s="100"/>
      <c r="CZ205" s="100"/>
      <c r="DA205" s="100"/>
      <c r="DB205" s="100"/>
      <c r="DC205" s="100"/>
      <c r="DD205" s="100"/>
      <c r="DE205" s="100"/>
      <c r="DF205" s="100"/>
      <c r="DG205" s="100"/>
      <c r="DH205" s="100"/>
      <c r="DI205" s="100"/>
      <c r="DJ205" s="100"/>
      <c r="DK205" s="100"/>
      <c r="DL205" s="100"/>
      <c r="DM205" s="100"/>
      <c r="DN205" s="100"/>
      <c r="DO205" s="100"/>
      <c r="DP205" s="100"/>
      <c r="DQ205" s="100"/>
      <c r="DR205" s="100"/>
    </row>
    <row r="206" ht="15.75" customHeight="1">
      <c r="B206" s="5" t="s">
        <v>136</v>
      </c>
      <c r="E206" s="49">
        <f t="shared" ref="E206:I206" si="261">+E207/E205</f>
        <v>0.1592692746</v>
      </c>
      <c r="F206" s="49">
        <f t="shared" si="261"/>
        <v>0.18630327</v>
      </c>
      <c r="G206" s="49">
        <f t="shared" si="261"/>
        <v>0.145693231</v>
      </c>
      <c r="H206" s="49">
        <f t="shared" si="261"/>
        <v>0.2506717716</v>
      </c>
      <c r="I206" s="49">
        <f t="shared" si="261"/>
        <v>0.2283500403</v>
      </c>
      <c r="J206" s="109">
        <f>+Revenue_Assumptions!J46</f>
        <v>0.31</v>
      </c>
      <c r="K206" s="109">
        <f>+Revenue_Assumptions!K46</f>
        <v>0.3</v>
      </c>
      <c r="L206" s="109">
        <f>+Revenue_Assumptions!L46</f>
        <v>0.29</v>
      </c>
      <c r="M206" s="109">
        <f>+Revenue_Assumptions!M46</f>
        <v>0.28</v>
      </c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  <c r="AM206" s="100"/>
      <c r="AN206" s="100"/>
      <c r="AO206" s="100"/>
      <c r="AP206" s="100"/>
      <c r="AQ206" s="100"/>
      <c r="AR206" s="100"/>
      <c r="AS206" s="100"/>
      <c r="AT206" s="100"/>
      <c r="AU206" s="100"/>
      <c r="AV206" s="100"/>
      <c r="AW206" s="100"/>
      <c r="AX206" s="100"/>
      <c r="AY206" s="100"/>
      <c r="AZ206" s="100"/>
      <c r="BA206" s="100"/>
      <c r="BB206" s="100"/>
      <c r="BC206" s="100"/>
      <c r="BD206" s="100"/>
      <c r="BE206" s="100"/>
      <c r="BF206" s="100"/>
      <c r="BG206" s="100"/>
      <c r="BH206" s="100"/>
      <c r="BI206" s="100"/>
      <c r="BJ206" s="100"/>
      <c r="BK206" s="100"/>
      <c r="BL206" s="100"/>
      <c r="BM206" s="100"/>
      <c r="BN206" s="100"/>
      <c r="BO206" s="100"/>
      <c r="BP206" s="100"/>
      <c r="BQ206" s="100"/>
      <c r="BR206" s="100"/>
      <c r="BS206" s="100"/>
      <c r="BT206" s="100"/>
      <c r="BU206" s="100"/>
      <c r="BV206" s="100"/>
      <c r="BW206" s="100"/>
      <c r="BX206" s="100"/>
      <c r="BY206" s="100"/>
      <c r="BZ206" s="100"/>
      <c r="CA206" s="100"/>
      <c r="CB206" s="100"/>
      <c r="CC206" s="100"/>
      <c r="CD206" s="100"/>
      <c r="CE206" s="100"/>
      <c r="CF206" s="100"/>
      <c r="CG206" s="100"/>
      <c r="CH206" s="100"/>
      <c r="CI206" s="100"/>
      <c r="CJ206" s="100"/>
      <c r="CK206" s="100"/>
      <c r="CL206" s="100"/>
      <c r="CM206" s="100"/>
      <c r="CN206" s="100"/>
      <c r="CO206" s="100"/>
      <c r="CP206" s="100"/>
      <c r="CQ206" s="100"/>
      <c r="CR206" s="100"/>
      <c r="CS206" s="100"/>
      <c r="CT206" s="100"/>
      <c r="CU206" s="100"/>
      <c r="CV206" s="100"/>
      <c r="CW206" s="100"/>
      <c r="CX206" s="100"/>
      <c r="CY206" s="100"/>
      <c r="CZ206" s="100"/>
      <c r="DA206" s="100"/>
      <c r="DB206" s="100"/>
      <c r="DC206" s="100"/>
      <c r="DD206" s="100"/>
      <c r="DE206" s="100"/>
      <c r="DF206" s="100"/>
      <c r="DG206" s="100"/>
      <c r="DH206" s="100"/>
      <c r="DI206" s="100"/>
      <c r="DJ206" s="100"/>
      <c r="DK206" s="100"/>
      <c r="DL206" s="100"/>
      <c r="DM206" s="100"/>
      <c r="DN206" s="100"/>
      <c r="DO206" s="100"/>
      <c r="DP206" s="100"/>
      <c r="DQ206" s="100"/>
      <c r="DR206" s="100"/>
    </row>
    <row r="207" ht="15.75" customHeight="1">
      <c r="B207" s="54" t="s">
        <v>137</v>
      </c>
      <c r="C207" s="54"/>
      <c r="E207" s="55">
        <f t="shared" ref="E207:I207" si="262">+SUMIFS(E$128:E$173,$C$128:$C$173,$B204)</f>
        <v>210.855</v>
      </c>
      <c r="F207" s="55">
        <f t="shared" si="262"/>
        <v>209.259</v>
      </c>
      <c r="G207" s="55">
        <f t="shared" si="262"/>
        <v>191.321</v>
      </c>
      <c r="H207" s="55">
        <f t="shared" si="262"/>
        <v>334.085</v>
      </c>
      <c r="I207" s="55">
        <f t="shared" si="262"/>
        <v>416</v>
      </c>
      <c r="J207" s="55">
        <f t="shared" ref="J207:M207" si="263">+J205*J206</f>
        <v>708.8057014</v>
      </c>
      <c r="K207" s="55">
        <f t="shared" si="263"/>
        <v>857.8320465</v>
      </c>
      <c r="L207" s="55">
        <f t="shared" si="263"/>
        <v>1059.433265</v>
      </c>
      <c r="M207" s="55">
        <f t="shared" si="263"/>
        <v>1343.571898</v>
      </c>
      <c r="N207" s="5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  <c r="AM207" s="100"/>
      <c r="AN207" s="100"/>
      <c r="AO207" s="100"/>
      <c r="AP207" s="100"/>
      <c r="AQ207" s="100"/>
      <c r="AR207" s="100"/>
      <c r="AS207" s="100"/>
      <c r="AT207" s="100"/>
      <c r="AU207" s="100"/>
      <c r="AV207" s="100"/>
      <c r="AW207" s="100"/>
      <c r="AX207" s="100"/>
      <c r="AY207" s="100"/>
      <c r="AZ207" s="100"/>
      <c r="BA207" s="100"/>
      <c r="BB207" s="100"/>
      <c r="BC207" s="100"/>
      <c r="BD207" s="100"/>
      <c r="BE207" s="100"/>
      <c r="BF207" s="100"/>
      <c r="BG207" s="100"/>
      <c r="BH207" s="100"/>
      <c r="BI207" s="100"/>
      <c r="BJ207" s="100"/>
      <c r="BK207" s="100"/>
      <c r="BL207" s="100"/>
      <c r="BM207" s="100"/>
      <c r="BN207" s="100"/>
      <c r="BO207" s="100"/>
      <c r="BP207" s="100"/>
      <c r="BQ207" s="100"/>
      <c r="BR207" s="100"/>
      <c r="BS207" s="100"/>
      <c r="BT207" s="100"/>
      <c r="BU207" s="100"/>
      <c r="BV207" s="100"/>
      <c r="BW207" s="100"/>
      <c r="BX207" s="100"/>
      <c r="BY207" s="100"/>
      <c r="BZ207" s="100"/>
      <c r="CA207" s="100"/>
      <c r="CB207" s="100"/>
      <c r="CC207" s="100"/>
      <c r="CD207" s="100"/>
      <c r="CE207" s="100"/>
      <c r="CF207" s="100"/>
      <c r="CG207" s="100"/>
      <c r="CH207" s="100"/>
      <c r="CI207" s="100"/>
      <c r="CJ207" s="100"/>
      <c r="CK207" s="100"/>
      <c r="CL207" s="100"/>
      <c r="CM207" s="100"/>
      <c r="CN207" s="100"/>
      <c r="CO207" s="100"/>
      <c r="CP207" s="100"/>
      <c r="CQ207" s="100"/>
      <c r="CR207" s="100"/>
      <c r="CS207" s="100"/>
      <c r="CT207" s="100"/>
      <c r="CU207" s="100"/>
      <c r="CV207" s="100"/>
      <c r="CW207" s="100"/>
      <c r="CX207" s="100"/>
      <c r="CY207" s="100"/>
      <c r="CZ207" s="100"/>
      <c r="DA207" s="100"/>
      <c r="DB207" s="100"/>
      <c r="DC207" s="100"/>
      <c r="DD207" s="100"/>
      <c r="DE207" s="100"/>
      <c r="DF207" s="100"/>
      <c r="DG207" s="100"/>
      <c r="DH207" s="100"/>
      <c r="DI207" s="100"/>
      <c r="DJ207" s="100"/>
      <c r="DK207" s="100"/>
      <c r="DL207" s="100"/>
      <c r="DM207" s="100"/>
      <c r="DN207" s="100"/>
      <c r="DO207" s="100"/>
      <c r="DP207" s="100"/>
      <c r="DQ207" s="100"/>
      <c r="DR207" s="100"/>
    </row>
    <row r="208" ht="4.5" customHeight="1"/>
    <row r="209" ht="15.75" customHeight="1">
      <c r="B209" s="60" t="s">
        <v>138</v>
      </c>
      <c r="C209" s="60"/>
      <c r="E209" s="61">
        <f t="shared" ref="E209:H209" si="264">+SUM(E192,E197,E202,E207)</f>
        <v>6500.695</v>
      </c>
      <c r="F209" s="61">
        <f t="shared" si="264"/>
        <v>6734.763</v>
      </c>
      <c r="G209" s="61">
        <f t="shared" si="264"/>
        <v>6116.35</v>
      </c>
      <c r="H209" s="61">
        <f t="shared" si="264"/>
        <v>7915.71</v>
      </c>
      <c r="I209" s="103">
        <f>+SUMIFS($O209:$DR209,$O$7:$DR$7,I$7)</f>
        <v>9081.809882</v>
      </c>
      <c r="J209" s="61">
        <f t="shared" ref="J209:M209" si="265">+SUM(J192,J197,J202,J207)</f>
        <v>10195.89879</v>
      </c>
      <c r="K209" s="61">
        <f t="shared" si="265"/>
        <v>11903.17325</v>
      </c>
      <c r="L209" s="61">
        <f t="shared" si="265"/>
        <v>13861.59325</v>
      </c>
      <c r="M209" s="61">
        <f t="shared" si="265"/>
        <v>16176.20722</v>
      </c>
      <c r="O209" s="61">
        <f t="shared" ref="O209:BV209" si="266">+O175</f>
        <v>352.018</v>
      </c>
      <c r="P209" s="61">
        <f t="shared" si="266"/>
        <v>445.985</v>
      </c>
      <c r="Q209" s="61">
        <f t="shared" si="266"/>
        <v>408.965</v>
      </c>
      <c r="R209" s="61">
        <f t="shared" si="266"/>
        <v>517.386</v>
      </c>
      <c r="S209" s="61">
        <f t="shared" si="266"/>
        <v>483.324</v>
      </c>
      <c r="T209" s="61">
        <f t="shared" si="266"/>
        <v>635.413</v>
      </c>
      <c r="U209" s="61">
        <f t="shared" si="266"/>
        <v>627.623</v>
      </c>
      <c r="V209" s="61">
        <f t="shared" si="266"/>
        <v>612.374</v>
      </c>
      <c r="W209" s="61">
        <f t="shared" si="266"/>
        <v>566.198</v>
      </c>
      <c r="X209" s="61">
        <f t="shared" si="266"/>
        <v>731.636</v>
      </c>
      <c r="Y209" s="61">
        <f t="shared" si="266"/>
        <v>621.477</v>
      </c>
      <c r="Z209" s="61">
        <f t="shared" si="266"/>
        <v>498.296</v>
      </c>
      <c r="AA209" s="61">
        <f t="shared" si="266"/>
        <v>749.146</v>
      </c>
      <c r="AB209" s="61">
        <f t="shared" si="266"/>
        <v>415.199</v>
      </c>
      <c r="AC209" s="61">
        <f t="shared" si="266"/>
        <v>526.605</v>
      </c>
      <c r="AD209" s="61">
        <f t="shared" si="266"/>
        <v>422.089</v>
      </c>
      <c r="AE209" s="61">
        <f t="shared" si="266"/>
        <v>563.168</v>
      </c>
      <c r="AF209" s="61">
        <f t="shared" si="266"/>
        <v>577.921</v>
      </c>
      <c r="AG209" s="61">
        <f t="shared" si="266"/>
        <v>606.564</v>
      </c>
      <c r="AH209" s="61">
        <f t="shared" si="266"/>
        <v>605.504</v>
      </c>
      <c r="AI209" s="61">
        <f t="shared" si="266"/>
        <v>635.021</v>
      </c>
      <c r="AJ209" s="61">
        <f t="shared" si="266"/>
        <v>645.034</v>
      </c>
      <c r="AK209" s="61">
        <f t="shared" si="266"/>
        <v>593.972</v>
      </c>
      <c r="AL209" s="61">
        <f t="shared" si="266"/>
        <v>394.54</v>
      </c>
      <c r="AM209" s="61">
        <f t="shared" si="266"/>
        <v>470.336</v>
      </c>
      <c r="AN209" s="61">
        <f t="shared" si="266"/>
        <v>481.044</v>
      </c>
      <c r="AO209" s="61">
        <f t="shared" si="266"/>
        <v>530.19</v>
      </c>
      <c r="AP209" s="61">
        <f t="shared" si="266"/>
        <v>480.283</v>
      </c>
      <c r="AQ209" s="61">
        <f t="shared" si="266"/>
        <v>405.23</v>
      </c>
      <c r="AR209" s="61">
        <f t="shared" si="266"/>
        <v>507.009</v>
      </c>
      <c r="AS209" s="61">
        <f t="shared" si="266"/>
        <v>633.277</v>
      </c>
      <c r="AT209" s="61">
        <f t="shared" si="266"/>
        <v>502.399</v>
      </c>
      <c r="AU209" s="61">
        <f t="shared" si="266"/>
        <v>528.858</v>
      </c>
      <c r="AV209" s="61">
        <f t="shared" si="266"/>
        <v>536.112</v>
      </c>
      <c r="AW209" s="61">
        <f t="shared" si="266"/>
        <v>422.466</v>
      </c>
      <c r="AX209" s="61">
        <f t="shared" si="266"/>
        <v>619.146</v>
      </c>
      <c r="AY209" s="61">
        <f t="shared" si="266"/>
        <v>516.013</v>
      </c>
      <c r="AZ209" s="61">
        <f t="shared" si="266"/>
        <v>615.955</v>
      </c>
      <c r="BA209" s="61">
        <f t="shared" si="266"/>
        <v>994.584</v>
      </c>
      <c r="BB209" s="61">
        <f t="shared" si="266"/>
        <v>748.455</v>
      </c>
      <c r="BC209" s="61">
        <f t="shared" si="266"/>
        <v>688.739</v>
      </c>
      <c r="BD209" s="61">
        <f t="shared" si="266"/>
        <v>773.349</v>
      </c>
      <c r="BE209" s="61">
        <f t="shared" si="266"/>
        <v>857.221</v>
      </c>
      <c r="BF209" s="61">
        <f t="shared" si="266"/>
        <v>683.297</v>
      </c>
      <c r="BG209" s="61">
        <f t="shared" si="266"/>
        <v>582.374</v>
      </c>
      <c r="BH209" s="61">
        <f t="shared" si="266"/>
        <v>626.779</v>
      </c>
      <c r="BI209" s="61">
        <f t="shared" si="266"/>
        <v>422.691</v>
      </c>
      <c r="BJ209" s="61">
        <f t="shared" si="266"/>
        <v>406.253</v>
      </c>
      <c r="BK209" s="61">
        <f t="shared" si="266"/>
        <v>597.369</v>
      </c>
      <c r="BL209" s="61">
        <f t="shared" si="266"/>
        <v>746.319</v>
      </c>
      <c r="BM209" s="61">
        <f t="shared" si="266"/>
        <v>867.623</v>
      </c>
      <c r="BN209" s="61">
        <f t="shared" si="266"/>
        <v>743.0420271</v>
      </c>
      <c r="BO209" s="61">
        <f t="shared" si="266"/>
        <v>761.2230241</v>
      </c>
      <c r="BP209" s="61">
        <f t="shared" si="266"/>
        <v>773.5526102</v>
      </c>
      <c r="BQ209" s="61">
        <f t="shared" si="266"/>
        <v>824.4303246</v>
      </c>
      <c r="BR209" s="61">
        <f t="shared" si="266"/>
        <v>819.5275235</v>
      </c>
      <c r="BS209" s="61">
        <f t="shared" si="266"/>
        <v>827.1255058</v>
      </c>
      <c r="BT209" s="61">
        <f t="shared" si="266"/>
        <v>796.5468255</v>
      </c>
      <c r="BU209" s="61">
        <f t="shared" si="266"/>
        <v>710.8865244</v>
      </c>
      <c r="BV209" s="61">
        <f t="shared" si="266"/>
        <v>614.164517</v>
      </c>
      <c r="BW209" s="103">
        <f t="shared" ref="BW209:DR209" si="267">+SUMIFS($E209:$M209,$E$7:$M$7,BW$7)*BW210</f>
        <v>785.2399254</v>
      </c>
      <c r="BX209" s="103">
        <f t="shared" si="267"/>
        <v>741.9608545</v>
      </c>
      <c r="BY209" s="103">
        <f t="shared" si="267"/>
        <v>824.1376345</v>
      </c>
      <c r="BZ209" s="103">
        <f t="shared" si="267"/>
        <v>771.3286018</v>
      </c>
      <c r="CA209" s="103">
        <f t="shared" si="267"/>
        <v>785.1928942</v>
      </c>
      <c r="CB209" s="103">
        <f t="shared" si="267"/>
        <v>896.2886156</v>
      </c>
      <c r="CC209" s="103">
        <f t="shared" si="267"/>
        <v>970.9765536</v>
      </c>
      <c r="CD209" s="103">
        <f t="shared" si="267"/>
        <v>908.6769457</v>
      </c>
      <c r="CE209" s="103">
        <f t="shared" si="267"/>
        <v>914.9018051</v>
      </c>
      <c r="CF209" s="103">
        <f t="shared" si="267"/>
        <v>978.0017221</v>
      </c>
      <c r="CG209" s="103">
        <f t="shared" si="267"/>
        <v>844.0777111</v>
      </c>
      <c r="CH209" s="103">
        <f t="shared" si="267"/>
        <v>775.1155299</v>
      </c>
      <c r="CI209" s="103">
        <f t="shared" si="267"/>
        <v>983.0163566</v>
      </c>
      <c r="CJ209" s="103">
        <f t="shared" si="267"/>
        <v>865.6099489</v>
      </c>
      <c r="CK209" s="103">
        <f t="shared" si="267"/>
        <v>1105.070569</v>
      </c>
      <c r="CL209" s="103">
        <f t="shared" si="267"/>
        <v>926.6668101</v>
      </c>
      <c r="CM209" s="103">
        <f t="shared" si="267"/>
        <v>934.0848802</v>
      </c>
      <c r="CN209" s="103">
        <f t="shared" si="267"/>
        <v>1054.354673</v>
      </c>
      <c r="CO209" s="103">
        <f t="shared" si="267"/>
        <v>1181.773015</v>
      </c>
      <c r="CP209" s="103">
        <f t="shared" si="267"/>
        <v>1034.061442</v>
      </c>
      <c r="CQ209" s="103">
        <f t="shared" si="267"/>
        <v>1023.853117</v>
      </c>
      <c r="CR209" s="103">
        <f t="shared" si="267"/>
        <v>1066.916567</v>
      </c>
      <c r="CS209" s="103">
        <f t="shared" si="267"/>
        <v>873.2510934</v>
      </c>
      <c r="CT209" s="103">
        <f t="shared" si="267"/>
        <v>854.5147822</v>
      </c>
      <c r="CU209" s="103">
        <f t="shared" si="267"/>
        <v>1006.516062</v>
      </c>
      <c r="CV209" s="103">
        <f t="shared" si="267"/>
        <v>1078.991254</v>
      </c>
      <c r="CW209" s="103">
        <f t="shared" si="267"/>
        <v>1388.59677</v>
      </c>
      <c r="CX209" s="103">
        <f t="shared" si="267"/>
        <v>1153.092132</v>
      </c>
      <c r="CY209" s="103">
        <f t="shared" si="267"/>
        <v>1093.522797</v>
      </c>
      <c r="CZ209" s="103">
        <f t="shared" si="267"/>
        <v>1227.948976</v>
      </c>
      <c r="DA209" s="103">
        <f t="shared" si="267"/>
        <v>1392.717236</v>
      </c>
      <c r="DB209" s="103">
        <f t="shared" si="267"/>
        <v>1197.548308</v>
      </c>
      <c r="DC209" s="103">
        <f t="shared" si="267"/>
        <v>1168.283846</v>
      </c>
      <c r="DD209" s="103">
        <f t="shared" si="267"/>
        <v>1192.702843</v>
      </c>
      <c r="DE209" s="103">
        <f t="shared" si="267"/>
        <v>949.8980234</v>
      </c>
      <c r="DF209" s="103">
        <f t="shared" si="267"/>
        <v>1011.775006</v>
      </c>
      <c r="DG209" s="103">
        <f t="shared" si="267"/>
        <v>1134.728688</v>
      </c>
      <c r="DH209" s="103">
        <f t="shared" si="267"/>
        <v>1256.092424</v>
      </c>
      <c r="DI209" s="103">
        <f t="shared" si="267"/>
        <v>1626.465658</v>
      </c>
      <c r="DJ209" s="103">
        <f t="shared" si="267"/>
        <v>1355.592901</v>
      </c>
      <c r="DK209" s="103">
        <f t="shared" si="267"/>
        <v>1321.30048</v>
      </c>
      <c r="DL209" s="103">
        <f t="shared" si="267"/>
        <v>1453.299731</v>
      </c>
      <c r="DM209" s="103">
        <f t="shared" si="267"/>
        <v>1596.498642</v>
      </c>
      <c r="DN209" s="103">
        <f t="shared" si="267"/>
        <v>1423.809759</v>
      </c>
      <c r="DO209" s="103">
        <f t="shared" si="267"/>
        <v>1369.563826</v>
      </c>
      <c r="DP209" s="103">
        <f t="shared" si="267"/>
        <v>1410.785211</v>
      </c>
      <c r="DQ209" s="103">
        <f t="shared" si="267"/>
        <v>1144.418949</v>
      </c>
      <c r="DR209" s="103">
        <f t="shared" si="267"/>
        <v>1083.650954</v>
      </c>
    </row>
    <row r="210" ht="15.75" customHeight="1">
      <c r="B210" s="70" t="s">
        <v>132</v>
      </c>
      <c r="E210" s="104">
        <f t="shared" ref="E210:M210" si="268">+E209/SUMIFS($O209:$DR209,$O$7:$DR$7,E$7)</f>
        <v>1</v>
      </c>
      <c r="F210" s="104">
        <f t="shared" si="268"/>
        <v>1</v>
      </c>
      <c r="G210" s="104">
        <f t="shared" si="268"/>
        <v>1</v>
      </c>
      <c r="H210" s="104">
        <f t="shared" si="268"/>
        <v>1</v>
      </c>
      <c r="I210" s="104">
        <f t="shared" si="268"/>
        <v>1</v>
      </c>
      <c r="J210" s="104">
        <f t="shared" si="268"/>
        <v>1</v>
      </c>
      <c r="K210" s="104">
        <f t="shared" si="268"/>
        <v>1</v>
      </c>
      <c r="L210" s="104">
        <f t="shared" si="268"/>
        <v>1</v>
      </c>
      <c r="M210" s="104">
        <f t="shared" si="268"/>
        <v>1</v>
      </c>
      <c r="O210" s="104">
        <f t="shared" ref="O210:BV210" si="269">+O209/SUMIFS($O209:$DR209,$O$7:$DR$7,O$7)</f>
        <v>0.05415082541</v>
      </c>
      <c r="P210" s="104">
        <f t="shared" si="269"/>
        <v>0.06860574139</v>
      </c>
      <c r="Q210" s="104">
        <f t="shared" si="269"/>
        <v>0.06291096567</v>
      </c>
      <c r="R210" s="104">
        <f t="shared" si="269"/>
        <v>0.07958933622</v>
      </c>
      <c r="S210" s="104">
        <f t="shared" si="269"/>
        <v>0.07434958877</v>
      </c>
      <c r="T210" s="104">
        <f t="shared" si="269"/>
        <v>0.09774539492</v>
      </c>
      <c r="U210" s="104">
        <f t="shared" si="269"/>
        <v>0.09654706151</v>
      </c>
      <c r="V210" s="104">
        <f t="shared" si="269"/>
        <v>0.09420131232</v>
      </c>
      <c r="W210" s="104">
        <f t="shared" si="269"/>
        <v>0.08709807182</v>
      </c>
      <c r="X210" s="104">
        <f t="shared" si="269"/>
        <v>0.1125473507</v>
      </c>
      <c r="Y210" s="104">
        <f t="shared" si="269"/>
        <v>0.09560162413</v>
      </c>
      <c r="Z210" s="104">
        <f t="shared" si="269"/>
        <v>0.07665272713</v>
      </c>
      <c r="AA210" s="104">
        <f t="shared" si="269"/>
        <v>0.1112356886</v>
      </c>
      <c r="AB210" s="104">
        <f t="shared" si="269"/>
        <v>0.06165012785</v>
      </c>
      <c r="AC210" s="104">
        <f t="shared" si="269"/>
        <v>0.0781920611</v>
      </c>
      <c r="AD210" s="104">
        <f t="shared" si="269"/>
        <v>0.06267317796</v>
      </c>
      <c r="AE210" s="104">
        <f t="shared" si="269"/>
        <v>0.0836210569</v>
      </c>
      <c r="AF210" s="104">
        <f t="shared" si="269"/>
        <v>0.08581163138</v>
      </c>
      <c r="AG210" s="104">
        <f t="shared" si="269"/>
        <v>0.09006463925</v>
      </c>
      <c r="AH210" s="104">
        <f t="shared" si="269"/>
        <v>0.08990724692</v>
      </c>
      <c r="AI210" s="104">
        <f t="shared" si="269"/>
        <v>0.09429002921</v>
      </c>
      <c r="AJ210" s="104">
        <f t="shared" si="269"/>
        <v>0.09577679274</v>
      </c>
      <c r="AK210" s="104">
        <f t="shared" si="269"/>
        <v>0.08819493722</v>
      </c>
      <c r="AL210" s="104">
        <f t="shared" si="269"/>
        <v>0.05858261085</v>
      </c>
      <c r="AM210" s="104">
        <f t="shared" si="269"/>
        <v>0.07689815004</v>
      </c>
      <c r="AN210" s="104">
        <f t="shared" si="269"/>
        <v>0.07864886738</v>
      </c>
      <c r="AO210" s="104">
        <f t="shared" si="269"/>
        <v>0.08668405176</v>
      </c>
      <c r="AP210" s="104">
        <f t="shared" si="269"/>
        <v>0.07852444677</v>
      </c>
      <c r="AQ210" s="104">
        <f t="shared" si="269"/>
        <v>0.06625356626</v>
      </c>
      <c r="AR210" s="104">
        <f t="shared" si="269"/>
        <v>0.08289404629</v>
      </c>
      <c r="AS210" s="104">
        <f t="shared" si="269"/>
        <v>0.1035383848</v>
      </c>
      <c r="AT210" s="104">
        <f t="shared" si="269"/>
        <v>0.08214032879</v>
      </c>
      <c r="AU210" s="104">
        <f t="shared" si="269"/>
        <v>0.08646627482</v>
      </c>
      <c r="AV210" s="104">
        <f t="shared" si="269"/>
        <v>0.08765227628</v>
      </c>
      <c r="AW210" s="104">
        <f t="shared" si="269"/>
        <v>0.06907158681</v>
      </c>
      <c r="AX210" s="104">
        <f t="shared" si="269"/>
        <v>0.10122802</v>
      </c>
      <c r="AY210" s="104">
        <f t="shared" si="269"/>
        <v>0.06518846699</v>
      </c>
      <c r="AZ210" s="104">
        <f t="shared" si="269"/>
        <v>0.07781424534</v>
      </c>
      <c r="BA210" s="104">
        <f t="shared" si="269"/>
        <v>0.1256468466</v>
      </c>
      <c r="BB210" s="104">
        <f t="shared" si="269"/>
        <v>0.09455311021</v>
      </c>
      <c r="BC210" s="104">
        <f t="shared" si="269"/>
        <v>0.08700912489</v>
      </c>
      <c r="BD210" s="104">
        <f t="shared" si="269"/>
        <v>0.09769799551</v>
      </c>
      <c r="BE210" s="104">
        <f t="shared" si="269"/>
        <v>0.1082936338</v>
      </c>
      <c r="BF210" s="104">
        <f t="shared" si="269"/>
        <v>0.08632163129</v>
      </c>
      <c r="BG210" s="104">
        <f t="shared" si="269"/>
        <v>0.07357192216</v>
      </c>
      <c r="BH210" s="104">
        <f t="shared" si="269"/>
        <v>0.07918165269</v>
      </c>
      <c r="BI210" s="104">
        <f t="shared" si="269"/>
        <v>0.05339900022</v>
      </c>
      <c r="BJ210" s="104">
        <f t="shared" si="269"/>
        <v>0.05132237032</v>
      </c>
      <c r="BK210" s="104">
        <f t="shared" si="269"/>
        <v>0.06577642648</v>
      </c>
      <c r="BL210" s="104">
        <f t="shared" si="269"/>
        <v>0.08217734237</v>
      </c>
      <c r="BM210" s="104">
        <f t="shared" si="269"/>
        <v>0.09553415137</v>
      </c>
      <c r="BN210" s="104">
        <f t="shared" si="269"/>
        <v>0.08181651419</v>
      </c>
      <c r="BO210" s="104">
        <f t="shared" si="269"/>
        <v>0.0838184276</v>
      </c>
      <c r="BP210" s="104">
        <f t="shared" si="269"/>
        <v>0.08517604093</v>
      </c>
      <c r="BQ210" s="104">
        <f t="shared" si="269"/>
        <v>0.09077819678</v>
      </c>
      <c r="BR210" s="104">
        <f t="shared" si="269"/>
        <v>0.09023834831</v>
      </c>
      <c r="BS210" s="104">
        <f t="shared" si="269"/>
        <v>0.09107496375</v>
      </c>
      <c r="BT210" s="104">
        <f t="shared" si="269"/>
        <v>0.08770793882</v>
      </c>
      <c r="BU210" s="104">
        <f t="shared" si="269"/>
        <v>0.07827586501</v>
      </c>
      <c r="BV210" s="104">
        <f t="shared" si="269"/>
        <v>0.06762578439</v>
      </c>
      <c r="BW210" s="105">
        <f t="shared" ref="BW210:DR210" si="270">+AVERAGE(O210,AA210,AM210,BK210)</f>
        <v>0.07701527264</v>
      </c>
      <c r="BX210" s="105">
        <f t="shared" si="270"/>
        <v>0.07277051975</v>
      </c>
      <c r="BY210" s="105">
        <f t="shared" si="270"/>
        <v>0.08083030748</v>
      </c>
      <c r="BZ210" s="105">
        <f t="shared" si="270"/>
        <v>0.07565086878</v>
      </c>
      <c r="CA210" s="105">
        <f t="shared" si="270"/>
        <v>0.07701065988</v>
      </c>
      <c r="CB210" s="105">
        <f t="shared" si="270"/>
        <v>0.08790677838</v>
      </c>
      <c r="CC210" s="105">
        <f t="shared" si="270"/>
        <v>0.09523207059</v>
      </c>
      <c r="CD210" s="105">
        <f t="shared" si="270"/>
        <v>0.08912180909</v>
      </c>
      <c r="CE210" s="105">
        <f t="shared" si="270"/>
        <v>0.0897323349</v>
      </c>
      <c r="CF210" s="105">
        <f t="shared" si="270"/>
        <v>0.09592108964</v>
      </c>
      <c r="CG210" s="105">
        <f t="shared" si="270"/>
        <v>0.0827860033</v>
      </c>
      <c r="CH210" s="105">
        <f t="shared" si="270"/>
        <v>0.07602228559</v>
      </c>
      <c r="CI210" s="105">
        <f t="shared" si="270"/>
        <v>0.08258439457</v>
      </c>
      <c r="CJ210" s="105">
        <f t="shared" si="270"/>
        <v>0.07272094008</v>
      </c>
      <c r="CK210" s="105">
        <f t="shared" si="270"/>
        <v>0.09283831673</v>
      </c>
      <c r="CL210" s="105">
        <f t="shared" si="270"/>
        <v>0.07785040093</v>
      </c>
      <c r="CM210" s="105">
        <f t="shared" si="270"/>
        <v>0.07847360198</v>
      </c>
      <c r="CN210" s="105">
        <f t="shared" si="270"/>
        <v>0.08857761289</v>
      </c>
      <c r="CO210" s="105">
        <f t="shared" si="270"/>
        <v>0.09928218211</v>
      </c>
      <c r="CP210" s="105">
        <f t="shared" si="270"/>
        <v>0.08687275402</v>
      </c>
      <c r="CQ210" s="105">
        <f t="shared" si="270"/>
        <v>0.08601514027</v>
      </c>
      <c r="CR210" s="105">
        <f t="shared" si="270"/>
        <v>0.08963295283</v>
      </c>
      <c r="CS210" s="105">
        <f t="shared" si="270"/>
        <v>0.07336288189</v>
      </c>
      <c r="CT210" s="105">
        <f t="shared" si="270"/>
        <v>0.07178882169</v>
      </c>
      <c r="CU210" s="105">
        <f t="shared" si="270"/>
        <v>0.07261185952</v>
      </c>
      <c r="CV210" s="105">
        <f t="shared" si="270"/>
        <v>0.07784034879</v>
      </c>
      <c r="CW210" s="105">
        <f t="shared" si="270"/>
        <v>0.1001758416</v>
      </c>
      <c r="CX210" s="105">
        <f t="shared" si="270"/>
        <v>0.08318611802</v>
      </c>
      <c r="CY210" s="105">
        <f t="shared" si="270"/>
        <v>0.07888868018</v>
      </c>
      <c r="CZ210" s="105">
        <f t="shared" si="270"/>
        <v>0.0885864239</v>
      </c>
      <c r="DA210" s="105">
        <f t="shared" si="270"/>
        <v>0.1004730994</v>
      </c>
      <c r="DB210" s="105">
        <f t="shared" si="270"/>
        <v>0.0863932656</v>
      </c>
      <c r="DC210" s="105">
        <f t="shared" si="270"/>
        <v>0.08428207525</v>
      </c>
      <c r="DD210" s="105">
        <f t="shared" si="270"/>
        <v>0.08604370516</v>
      </c>
      <c r="DE210" s="105">
        <f t="shared" si="270"/>
        <v>0.06852733348</v>
      </c>
      <c r="DF210" s="105">
        <f t="shared" si="270"/>
        <v>0.0729912491</v>
      </c>
      <c r="DG210" s="105">
        <f t="shared" si="270"/>
        <v>0.0701480064</v>
      </c>
      <c r="DH210" s="105">
        <f t="shared" si="270"/>
        <v>0.07765061406</v>
      </c>
      <c r="DI210" s="105">
        <f t="shared" si="270"/>
        <v>0.1005467868</v>
      </c>
      <c r="DJ210" s="105">
        <f t="shared" si="270"/>
        <v>0.0838016528</v>
      </c>
      <c r="DK210" s="105">
        <f t="shared" si="270"/>
        <v>0.08168172314</v>
      </c>
      <c r="DL210" s="105">
        <f t="shared" si="270"/>
        <v>0.08984180968</v>
      </c>
      <c r="DM210" s="105">
        <f t="shared" si="270"/>
        <v>0.09869425014</v>
      </c>
      <c r="DN210" s="105">
        <f t="shared" si="270"/>
        <v>0.08801876357</v>
      </c>
      <c r="DO210" s="105">
        <f t="shared" si="270"/>
        <v>0.08466532402</v>
      </c>
      <c r="DP210" s="105">
        <f t="shared" si="270"/>
        <v>0.08721359658</v>
      </c>
      <c r="DQ210" s="105">
        <f t="shared" si="270"/>
        <v>0.0707470505</v>
      </c>
      <c r="DR210" s="105">
        <f t="shared" si="270"/>
        <v>0.06699042235</v>
      </c>
    </row>
    <row r="211" ht="4.5" customHeight="1"/>
    <row r="212" ht="15.75" customHeight="1">
      <c r="B212" s="71" t="s">
        <v>44</v>
      </c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  <c r="AK212" s="71"/>
      <c r="AL212" s="71"/>
      <c r="AM212" s="71"/>
      <c r="AN212" s="71"/>
      <c r="AO212" s="71"/>
      <c r="AP212" s="71"/>
      <c r="AQ212" s="71"/>
      <c r="AR212" s="71"/>
      <c r="AS212" s="71"/>
      <c r="AT212" s="71"/>
      <c r="AU212" s="71"/>
      <c r="AV212" s="71"/>
      <c r="AW212" s="71"/>
      <c r="AX212" s="71"/>
      <c r="AY212" s="71"/>
      <c r="AZ212" s="71"/>
      <c r="BA212" s="71"/>
      <c r="BB212" s="71"/>
      <c r="BC212" s="71"/>
      <c r="BD212" s="71"/>
      <c r="BE212" s="71"/>
      <c r="BF212" s="71"/>
      <c r="BG212" s="71"/>
      <c r="BH212" s="71"/>
      <c r="BI212" s="71"/>
      <c r="BJ212" s="71"/>
      <c r="BK212" s="71"/>
      <c r="BL212" s="71"/>
      <c r="BM212" s="71"/>
      <c r="BN212" s="71"/>
      <c r="BO212" s="71"/>
      <c r="BP212" s="71"/>
      <c r="BQ212" s="71"/>
      <c r="BR212" s="71"/>
      <c r="BS212" s="71"/>
      <c r="BT212" s="71"/>
      <c r="BU212" s="71"/>
      <c r="BV212" s="71"/>
      <c r="BW212" s="71"/>
      <c r="BX212" s="71"/>
      <c r="BY212" s="71"/>
      <c r="BZ212" s="71"/>
      <c r="CA212" s="71"/>
      <c r="CB212" s="71"/>
      <c r="CC212" s="71"/>
      <c r="CD212" s="71"/>
      <c r="CE212" s="71"/>
      <c r="CF212" s="71"/>
      <c r="CG212" s="71"/>
      <c r="CH212" s="71"/>
      <c r="CI212" s="71"/>
      <c r="CJ212" s="71"/>
      <c r="CK212" s="71"/>
      <c r="CL212" s="71"/>
      <c r="CM212" s="71"/>
      <c r="CN212" s="71"/>
      <c r="CO212" s="71"/>
      <c r="CP212" s="71"/>
      <c r="CQ212" s="71"/>
      <c r="CR212" s="71"/>
      <c r="CS212" s="71"/>
      <c r="CT212" s="71"/>
      <c r="CU212" s="71"/>
      <c r="CV212" s="71"/>
      <c r="CW212" s="71"/>
      <c r="CX212" s="71"/>
      <c r="CY212" s="71"/>
      <c r="CZ212" s="71"/>
      <c r="DA212" s="71"/>
      <c r="DB212" s="71"/>
      <c r="DC212" s="71"/>
      <c r="DD212" s="71"/>
      <c r="DE212" s="71"/>
      <c r="DF212" s="71"/>
      <c r="DG212" s="71"/>
      <c r="DH212" s="71"/>
      <c r="DI212" s="71"/>
      <c r="DJ212" s="71"/>
      <c r="DK212" s="71"/>
      <c r="DL212" s="71"/>
      <c r="DM212" s="71"/>
      <c r="DN212" s="71"/>
      <c r="DO212" s="71"/>
      <c r="DP212" s="71"/>
      <c r="DQ212" s="71"/>
      <c r="DR212" s="71"/>
      <c r="DS212" s="71"/>
      <c r="DT212" s="71"/>
      <c r="DU212" s="71"/>
      <c r="DV212" s="71"/>
      <c r="DW212" s="71"/>
    </row>
    <row r="213" ht="4.5" customHeight="1"/>
    <row r="214" ht="15.75" hidden="1" customHeight="1" outlineLevel="1">
      <c r="B214" s="5" t="s">
        <v>69</v>
      </c>
      <c r="C214" s="72" t="s">
        <v>70</v>
      </c>
      <c r="E214" s="50">
        <f t="shared" ref="E214:M214" si="271">+SUMIFS($O214:$DR214,$O$7:$DR$7,E$7)</f>
        <v>0</v>
      </c>
      <c r="F214" s="50">
        <f t="shared" si="271"/>
        <v>9.449</v>
      </c>
      <c r="G214" s="50">
        <f t="shared" si="271"/>
        <v>0.497</v>
      </c>
      <c r="H214" s="50">
        <f t="shared" si="271"/>
        <v>0</v>
      </c>
      <c r="I214" s="50">
        <f t="shared" si="271"/>
        <v>0</v>
      </c>
      <c r="J214" s="50">
        <f t="shared" si="271"/>
        <v>0</v>
      </c>
      <c r="K214" s="50">
        <f t="shared" si="271"/>
        <v>0</v>
      </c>
      <c r="L214" s="50">
        <f t="shared" si="271"/>
        <v>0</v>
      </c>
      <c r="M214" s="50">
        <f t="shared" si="271"/>
        <v>0</v>
      </c>
      <c r="O214" s="51">
        <v>0.0</v>
      </c>
      <c r="P214" s="51">
        <v>0.0</v>
      </c>
      <c r="Q214" s="51">
        <v>0.0</v>
      </c>
      <c r="R214" s="51">
        <v>0.0</v>
      </c>
      <c r="S214" s="51">
        <v>0.0</v>
      </c>
      <c r="T214" s="51">
        <v>0.0</v>
      </c>
      <c r="U214" s="51">
        <v>0.0</v>
      </c>
      <c r="V214" s="51">
        <v>0.0</v>
      </c>
      <c r="W214" s="51">
        <v>0.0</v>
      </c>
      <c r="X214" s="51">
        <v>0.0</v>
      </c>
      <c r="Y214" s="51">
        <v>0.0</v>
      </c>
      <c r="Z214" s="51">
        <v>0.0</v>
      </c>
      <c r="AA214" s="51">
        <v>0.0</v>
      </c>
      <c r="AB214" s="51">
        <v>0.0</v>
      </c>
      <c r="AC214" s="51">
        <v>0.0</v>
      </c>
      <c r="AD214" s="51">
        <v>0.0</v>
      </c>
      <c r="AE214" s="51">
        <v>0.0</v>
      </c>
      <c r="AF214" s="51">
        <v>0.0</v>
      </c>
      <c r="AG214" s="51">
        <v>0.0</v>
      </c>
      <c r="AH214" s="51">
        <v>0.0</v>
      </c>
      <c r="AI214" s="51">
        <v>4.973</v>
      </c>
      <c r="AJ214" s="51">
        <v>1.657</v>
      </c>
      <c r="AK214" s="51">
        <v>1.658</v>
      </c>
      <c r="AL214" s="51">
        <v>1.161</v>
      </c>
      <c r="AM214" s="51">
        <v>0.497</v>
      </c>
      <c r="AN214" s="51">
        <v>0.0</v>
      </c>
      <c r="AO214" s="51">
        <v>0.0</v>
      </c>
      <c r="AP214" s="51">
        <v>0.0</v>
      </c>
      <c r="AQ214" s="51">
        <v>0.0</v>
      </c>
      <c r="AR214" s="51">
        <v>0.0</v>
      </c>
      <c r="AS214" s="51">
        <v>0.0</v>
      </c>
      <c r="AT214" s="51">
        <v>0.0</v>
      </c>
      <c r="AU214" s="51">
        <v>0.0</v>
      </c>
      <c r="AV214" s="51">
        <v>0.0</v>
      </c>
      <c r="AW214" s="51">
        <v>0.0</v>
      </c>
      <c r="AX214" s="51">
        <v>0.0</v>
      </c>
      <c r="AY214" s="51">
        <v>0.0</v>
      </c>
      <c r="AZ214" s="51">
        <v>0.0</v>
      </c>
      <c r="BA214" s="51">
        <v>0.0</v>
      </c>
      <c r="BB214" s="51">
        <v>0.0</v>
      </c>
      <c r="BC214" s="51">
        <v>0.0</v>
      </c>
      <c r="BD214" s="51">
        <v>0.0</v>
      </c>
      <c r="BE214" s="51">
        <v>0.0</v>
      </c>
      <c r="BF214" s="51">
        <v>0.0</v>
      </c>
      <c r="BG214" s="51">
        <v>0.0</v>
      </c>
      <c r="BH214" s="51">
        <v>0.0</v>
      </c>
      <c r="BI214" s="51">
        <v>0.0</v>
      </c>
      <c r="BJ214" s="51">
        <v>0.0</v>
      </c>
      <c r="BK214" s="51">
        <v>0.0</v>
      </c>
      <c r="BL214" s="51">
        <v>0.0</v>
      </c>
      <c r="BM214" s="51">
        <v>0.0</v>
      </c>
      <c r="BN214" s="51">
        <v>0.0</v>
      </c>
      <c r="BO214" s="51">
        <v>0.0</v>
      </c>
      <c r="BP214" s="51">
        <v>0.0</v>
      </c>
      <c r="BQ214" s="51">
        <v>0.0</v>
      </c>
      <c r="BR214" s="51">
        <v>0.0</v>
      </c>
      <c r="BS214" s="51">
        <v>0.0</v>
      </c>
      <c r="BT214" s="51">
        <v>0.0</v>
      </c>
      <c r="BU214" s="51">
        <v>0.0</v>
      </c>
      <c r="BV214" s="51">
        <v>0.0</v>
      </c>
      <c r="BW214" s="106"/>
      <c r="BX214" s="106"/>
      <c r="BY214" s="106"/>
      <c r="BZ214" s="106"/>
      <c r="CA214" s="106"/>
      <c r="CB214" s="106"/>
      <c r="CC214" s="106"/>
      <c r="CD214" s="106"/>
      <c r="CE214" s="106"/>
      <c r="CF214" s="106"/>
      <c r="CG214" s="106"/>
      <c r="CH214" s="106"/>
      <c r="CI214" s="106"/>
      <c r="CJ214" s="106"/>
      <c r="CK214" s="106"/>
      <c r="CL214" s="106"/>
      <c r="CM214" s="106"/>
      <c r="CN214" s="106"/>
      <c r="CO214" s="106"/>
      <c r="CP214" s="106"/>
      <c r="CQ214" s="106"/>
      <c r="CR214" s="106"/>
      <c r="CS214" s="106"/>
      <c r="CT214" s="106"/>
      <c r="CU214" s="106"/>
      <c r="CV214" s="106"/>
      <c r="CW214" s="106"/>
      <c r="CX214" s="106"/>
      <c r="CY214" s="106"/>
      <c r="CZ214" s="106"/>
      <c r="DA214" s="106"/>
      <c r="DB214" s="106"/>
      <c r="DC214" s="106"/>
      <c r="DD214" s="106"/>
      <c r="DE214" s="106"/>
      <c r="DF214" s="106"/>
      <c r="DG214" s="106"/>
      <c r="DH214" s="106"/>
      <c r="DI214" s="106"/>
      <c r="DJ214" s="106"/>
      <c r="DK214" s="106"/>
      <c r="DL214" s="106"/>
      <c r="DM214" s="106"/>
      <c r="DN214" s="106"/>
      <c r="DO214" s="106"/>
      <c r="DP214" s="106"/>
      <c r="DQ214" s="106"/>
      <c r="DR214" s="106"/>
      <c r="DT214" s="50"/>
      <c r="DU214" s="50"/>
      <c r="DV214" s="50"/>
      <c r="DW214" s="50"/>
    </row>
    <row r="215" ht="15.75" hidden="1" customHeight="1" outlineLevel="1">
      <c r="B215" s="5" t="s">
        <v>71</v>
      </c>
      <c r="C215" s="72" t="s">
        <v>70</v>
      </c>
      <c r="E215" s="50">
        <f t="shared" ref="E215:M215" si="272">+SUMIFS($O215:$DR215,$O$7:$DR$7,E$7)</f>
        <v>0</v>
      </c>
      <c r="F215" s="50">
        <f t="shared" si="272"/>
        <v>0</v>
      </c>
      <c r="G215" s="50">
        <f t="shared" si="272"/>
        <v>0</v>
      </c>
      <c r="H215" s="50">
        <f t="shared" si="272"/>
        <v>175.779</v>
      </c>
      <c r="I215" s="50">
        <f t="shared" si="272"/>
        <v>24.633</v>
      </c>
      <c r="J215" s="50">
        <f t="shared" si="272"/>
        <v>0</v>
      </c>
      <c r="K215" s="50">
        <f t="shared" si="272"/>
        <v>0</v>
      </c>
      <c r="L215" s="50">
        <f t="shared" si="272"/>
        <v>0</v>
      </c>
      <c r="M215" s="50">
        <f t="shared" si="272"/>
        <v>0</v>
      </c>
      <c r="O215" s="51">
        <v>0.0</v>
      </c>
      <c r="P215" s="51">
        <v>0.0</v>
      </c>
      <c r="Q215" s="51">
        <v>0.0</v>
      </c>
      <c r="R215" s="51">
        <v>0.0</v>
      </c>
      <c r="S215" s="51">
        <v>0.0</v>
      </c>
      <c r="T215" s="51">
        <v>0.0</v>
      </c>
      <c r="U215" s="51">
        <v>0.0</v>
      </c>
      <c r="V215" s="51">
        <v>0.0</v>
      </c>
      <c r="W215" s="51">
        <v>0.0</v>
      </c>
      <c r="X215" s="51">
        <v>0.0</v>
      </c>
      <c r="Y215" s="51">
        <v>0.0</v>
      </c>
      <c r="Z215" s="51">
        <v>0.0</v>
      </c>
      <c r="AA215" s="51">
        <v>0.0</v>
      </c>
      <c r="AB215" s="51">
        <v>0.0</v>
      </c>
      <c r="AC215" s="51">
        <v>0.0</v>
      </c>
      <c r="AD215" s="51">
        <v>0.0</v>
      </c>
      <c r="AE215" s="51">
        <v>0.0</v>
      </c>
      <c r="AF215" s="51">
        <v>0.0</v>
      </c>
      <c r="AG215" s="51">
        <v>0.0</v>
      </c>
      <c r="AH215" s="51">
        <v>0.0</v>
      </c>
      <c r="AI215" s="51">
        <v>0.0</v>
      </c>
      <c r="AJ215" s="51">
        <v>0.0</v>
      </c>
      <c r="AK215" s="51">
        <v>0.0</v>
      </c>
      <c r="AL215" s="51">
        <v>0.0</v>
      </c>
      <c r="AM215" s="51">
        <v>0.0</v>
      </c>
      <c r="AN215" s="51">
        <v>0.0</v>
      </c>
      <c r="AO215" s="51">
        <v>0.0</v>
      </c>
      <c r="AP215" s="51">
        <v>0.0</v>
      </c>
      <c r="AQ215" s="51">
        <v>0.0</v>
      </c>
      <c r="AR215" s="51">
        <v>0.0</v>
      </c>
      <c r="AS215" s="51">
        <v>0.0</v>
      </c>
      <c r="AT215" s="51">
        <v>0.0</v>
      </c>
      <c r="AU215" s="51">
        <v>0.0</v>
      </c>
      <c r="AV215" s="51">
        <v>0.0</v>
      </c>
      <c r="AW215" s="51">
        <v>0.0</v>
      </c>
      <c r="AX215" s="51">
        <v>0.0</v>
      </c>
      <c r="AY215" s="51">
        <v>0.0</v>
      </c>
      <c r="AZ215" s="51">
        <v>0.0</v>
      </c>
      <c r="BA215" s="51">
        <v>0.0</v>
      </c>
      <c r="BB215" s="51">
        <v>33.033</v>
      </c>
      <c r="BC215" s="51">
        <v>13.234</v>
      </c>
      <c r="BD215" s="51">
        <v>26.07</v>
      </c>
      <c r="BE215" s="51">
        <v>37.15</v>
      </c>
      <c r="BF215" s="51">
        <v>12.516</v>
      </c>
      <c r="BG215" s="51">
        <v>20.727</v>
      </c>
      <c r="BH215" s="51">
        <v>19.227</v>
      </c>
      <c r="BI215" s="51">
        <v>11.017</v>
      </c>
      <c r="BJ215" s="51">
        <v>2.805</v>
      </c>
      <c r="BK215" s="51">
        <v>8.211</v>
      </c>
      <c r="BL215" s="51">
        <v>16.422</v>
      </c>
      <c r="BM215" s="51">
        <v>0.0</v>
      </c>
      <c r="BN215" s="51">
        <v>0.0</v>
      </c>
      <c r="BO215" s="51">
        <v>0.0</v>
      </c>
      <c r="BP215" s="51">
        <v>0.0</v>
      </c>
      <c r="BQ215" s="51">
        <v>0.0</v>
      </c>
      <c r="BR215" s="51">
        <v>0.0</v>
      </c>
      <c r="BS215" s="51">
        <v>0.0</v>
      </c>
      <c r="BT215" s="51">
        <v>0.0</v>
      </c>
      <c r="BU215" s="51">
        <v>0.0</v>
      </c>
      <c r="BV215" s="51">
        <v>0.0</v>
      </c>
      <c r="BW215" s="106"/>
      <c r="BX215" s="106"/>
      <c r="BY215" s="106"/>
      <c r="BZ215" s="106"/>
      <c r="CA215" s="106"/>
      <c r="CB215" s="106"/>
      <c r="CC215" s="106"/>
      <c r="CD215" s="106"/>
      <c r="CE215" s="106"/>
      <c r="CF215" s="106"/>
      <c r="CG215" s="106"/>
      <c r="CH215" s="106"/>
      <c r="CI215" s="106"/>
      <c r="CJ215" s="106"/>
      <c r="CK215" s="106"/>
      <c r="CL215" s="106"/>
      <c r="CM215" s="106"/>
      <c r="CN215" s="106"/>
      <c r="CO215" s="106"/>
      <c r="CP215" s="106"/>
      <c r="CQ215" s="106"/>
      <c r="CR215" s="106"/>
      <c r="CS215" s="106"/>
      <c r="CT215" s="106"/>
      <c r="CU215" s="106"/>
      <c r="CV215" s="106"/>
      <c r="CW215" s="106"/>
      <c r="CX215" s="106"/>
      <c r="CY215" s="106"/>
      <c r="CZ215" s="106"/>
      <c r="DA215" s="106"/>
      <c r="DB215" s="106"/>
      <c r="DC215" s="106"/>
      <c r="DD215" s="106"/>
      <c r="DE215" s="106"/>
      <c r="DF215" s="106"/>
      <c r="DG215" s="106"/>
      <c r="DH215" s="106"/>
      <c r="DI215" s="106"/>
      <c r="DJ215" s="106"/>
      <c r="DK215" s="106"/>
      <c r="DL215" s="106"/>
      <c r="DM215" s="106"/>
      <c r="DN215" s="106"/>
      <c r="DO215" s="106"/>
      <c r="DP215" s="106"/>
      <c r="DQ215" s="106"/>
      <c r="DR215" s="106"/>
      <c r="DT215" s="50"/>
      <c r="DU215" s="50"/>
      <c r="DV215" s="50"/>
      <c r="DW215" s="50"/>
    </row>
    <row r="216" ht="15.75" hidden="1" customHeight="1" outlineLevel="1">
      <c r="B216" s="5" t="s">
        <v>72</v>
      </c>
      <c r="C216" s="72" t="s">
        <v>70</v>
      </c>
      <c r="E216" s="50">
        <f t="shared" ref="E216:M216" si="273">+SUMIFS($O216:$DR216,$O$7:$DR$7,E$7)</f>
        <v>0</v>
      </c>
      <c r="F216" s="50">
        <f t="shared" si="273"/>
        <v>0</v>
      </c>
      <c r="G216" s="50">
        <f t="shared" si="273"/>
        <v>0</v>
      </c>
      <c r="H216" s="50">
        <f t="shared" si="273"/>
        <v>0</v>
      </c>
      <c r="I216" s="50">
        <f t="shared" si="273"/>
        <v>221.674</v>
      </c>
      <c r="J216" s="50">
        <f t="shared" si="273"/>
        <v>0</v>
      </c>
      <c r="K216" s="50">
        <f t="shared" si="273"/>
        <v>0</v>
      </c>
      <c r="L216" s="50">
        <f t="shared" si="273"/>
        <v>0</v>
      </c>
      <c r="M216" s="50">
        <f t="shared" si="273"/>
        <v>0</v>
      </c>
      <c r="O216" s="51">
        <v>0.0</v>
      </c>
      <c r="P216" s="51">
        <v>0.0</v>
      </c>
      <c r="Q216" s="51">
        <v>0.0</v>
      </c>
      <c r="R216" s="51">
        <v>0.0</v>
      </c>
      <c r="S216" s="51">
        <v>0.0</v>
      </c>
      <c r="T216" s="51">
        <v>0.0</v>
      </c>
      <c r="U216" s="51">
        <v>0.0</v>
      </c>
      <c r="V216" s="51">
        <v>0.0</v>
      </c>
      <c r="W216" s="51">
        <v>0.0</v>
      </c>
      <c r="X216" s="51">
        <v>0.0</v>
      </c>
      <c r="Y216" s="51">
        <v>0.0</v>
      </c>
      <c r="Z216" s="51">
        <v>0.0</v>
      </c>
      <c r="AA216" s="51">
        <v>0.0</v>
      </c>
      <c r="AB216" s="51">
        <v>0.0</v>
      </c>
      <c r="AC216" s="51">
        <v>0.0</v>
      </c>
      <c r="AD216" s="51">
        <v>0.0</v>
      </c>
      <c r="AE216" s="51">
        <v>0.0</v>
      </c>
      <c r="AF216" s="51">
        <v>0.0</v>
      </c>
      <c r="AG216" s="51">
        <v>0.0</v>
      </c>
      <c r="AH216" s="51">
        <v>0.0</v>
      </c>
      <c r="AI216" s="51">
        <v>0.0</v>
      </c>
      <c r="AJ216" s="51">
        <v>0.0</v>
      </c>
      <c r="AK216" s="51">
        <v>0.0</v>
      </c>
      <c r="AL216" s="51">
        <v>0.0</v>
      </c>
      <c r="AM216" s="51">
        <v>0.0</v>
      </c>
      <c r="AN216" s="51">
        <v>0.0</v>
      </c>
      <c r="AO216" s="51">
        <v>0.0</v>
      </c>
      <c r="AP216" s="51">
        <v>0.0</v>
      </c>
      <c r="AQ216" s="51">
        <v>0.0</v>
      </c>
      <c r="AR216" s="51">
        <v>0.0</v>
      </c>
      <c r="AS216" s="51">
        <v>0.0</v>
      </c>
      <c r="AT216" s="51">
        <v>0.0</v>
      </c>
      <c r="AU216" s="51">
        <v>0.0</v>
      </c>
      <c r="AV216" s="51">
        <v>0.0</v>
      </c>
      <c r="AW216" s="51">
        <v>0.0</v>
      </c>
      <c r="AX216" s="51">
        <v>0.0</v>
      </c>
      <c r="AY216" s="51">
        <v>0.0</v>
      </c>
      <c r="AZ216" s="51">
        <v>0.0</v>
      </c>
      <c r="BA216" s="51">
        <v>0.0</v>
      </c>
      <c r="BB216" s="51">
        <v>0.0</v>
      </c>
      <c r="BC216" s="51">
        <v>0.0</v>
      </c>
      <c r="BD216" s="51">
        <v>0.0</v>
      </c>
      <c r="BE216" s="51">
        <v>0.0</v>
      </c>
      <c r="BF216" s="51">
        <v>0.0</v>
      </c>
      <c r="BG216" s="51">
        <v>0.0</v>
      </c>
      <c r="BH216" s="51">
        <v>0.0</v>
      </c>
      <c r="BI216" s="51">
        <v>0.0</v>
      </c>
      <c r="BJ216" s="51">
        <v>0.0</v>
      </c>
      <c r="BK216" s="51">
        <v>0.0</v>
      </c>
      <c r="BL216" s="51">
        <v>0.0</v>
      </c>
      <c r="BM216" s="51">
        <v>33.251</v>
      </c>
      <c r="BN216" s="51">
        <v>25.12306666666667</v>
      </c>
      <c r="BO216" s="51">
        <v>24.49499</v>
      </c>
      <c r="BP216" s="51">
        <v>23.79513314285714</v>
      </c>
      <c r="BQ216" s="51">
        <v>23.001962038095236</v>
      </c>
      <c r="BR216" s="51">
        <v>22.081883556571427</v>
      </c>
      <c r="BS216" s="51">
        <v>20.977789378742855</v>
      </c>
      <c r="BT216" s="51">
        <v>19.57927008682666</v>
      </c>
      <c r="BU216" s="51">
        <v>17.621343078143994</v>
      </c>
      <c r="BV216" s="51">
        <v>11.747562052096008</v>
      </c>
      <c r="BW216" s="106"/>
      <c r="BX216" s="106"/>
      <c r="BY216" s="106"/>
      <c r="BZ216" s="106"/>
      <c r="CA216" s="106"/>
      <c r="CB216" s="106"/>
      <c r="CC216" s="106"/>
      <c r="CD216" s="106"/>
      <c r="CE216" s="106"/>
      <c r="CF216" s="106"/>
      <c r="CG216" s="106"/>
      <c r="CH216" s="106"/>
      <c r="CI216" s="106"/>
      <c r="CJ216" s="106"/>
      <c r="CK216" s="106"/>
      <c r="CL216" s="106"/>
      <c r="CM216" s="106"/>
      <c r="CN216" s="106"/>
      <c r="CO216" s="106"/>
      <c r="CP216" s="106"/>
      <c r="CQ216" s="106"/>
      <c r="CR216" s="106"/>
      <c r="CS216" s="106"/>
      <c r="CT216" s="106"/>
      <c r="CU216" s="106"/>
      <c r="CV216" s="106"/>
      <c r="CW216" s="106"/>
      <c r="CX216" s="106"/>
      <c r="CY216" s="106"/>
      <c r="CZ216" s="106"/>
      <c r="DA216" s="106"/>
      <c r="DB216" s="106"/>
      <c r="DC216" s="106"/>
      <c r="DD216" s="106"/>
      <c r="DE216" s="106"/>
      <c r="DF216" s="106"/>
      <c r="DG216" s="106"/>
      <c r="DH216" s="106"/>
      <c r="DI216" s="106"/>
      <c r="DJ216" s="106"/>
      <c r="DK216" s="106"/>
      <c r="DL216" s="106"/>
      <c r="DM216" s="106"/>
      <c r="DN216" s="106"/>
      <c r="DO216" s="106"/>
      <c r="DP216" s="106"/>
      <c r="DQ216" s="106"/>
      <c r="DR216" s="106"/>
      <c r="DT216" s="50"/>
      <c r="DU216" s="50"/>
      <c r="DV216" s="50"/>
      <c r="DW216" s="50"/>
    </row>
    <row r="217" ht="15.75" hidden="1" customHeight="1" outlineLevel="1">
      <c r="B217" s="5" t="s">
        <v>73</v>
      </c>
      <c r="C217" s="72" t="s">
        <v>74</v>
      </c>
      <c r="E217" s="50">
        <f t="shared" ref="E217:M217" si="274">+SUMIFS($O217:$DR217,$O$7:$DR$7,E$7)</f>
        <v>0</v>
      </c>
      <c r="F217" s="50">
        <f t="shared" si="274"/>
        <v>0</v>
      </c>
      <c r="G217" s="50">
        <f t="shared" si="274"/>
        <v>146.921</v>
      </c>
      <c r="H217" s="50">
        <f t="shared" si="274"/>
        <v>25.927</v>
      </c>
      <c r="I217" s="50">
        <f t="shared" si="274"/>
        <v>0</v>
      </c>
      <c r="J217" s="50">
        <f t="shared" si="274"/>
        <v>0</v>
      </c>
      <c r="K217" s="50">
        <f t="shared" si="274"/>
        <v>0</v>
      </c>
      <c r="L217" s="50">
        <f t="shared" si="274"/>
        <v>0</v>
      </c>
      <c r="M217" s="50">
        <f t="shared" si="274"/>
        <v>0</v>
      </c>
      <c r="O217" s="51">
        <v>0.0</v>
      </c>
      <c r="P217" s="51">
        <v>0.0</v>
      </c>
      <c r="Q217" s="51">
        <v>0.0</v>
      </c>
      <c r="R217" s="51">
        <v>0.0</v>
      </c>
      <c r="S217" s="51">
        <v>0.0</v>
      </c>
      <c r="T217" s="51">
        <v>0.0</v>
      </c>
      <c r="U217" s="51">
        <v>0.0</v>
      </c>
      <c r="V217" s="51">
        <v>0.0</v>
      </c>
      <c r="W217" s="51">
        <v>0.0</v>
      </c>
      <c r="X217" s="51">
        <v>0.0</v>
      </c>
      <c r="Y217" s="51">
        <v>0.0</v>
      </c>
      <c r="Z217" s="51">
        <v>0.0</v>
      </c>
      <c r="AA217" s="51">
        <v>0.0</v>
      </c>
      <c r="AB217" s="51">
        <v>0.0</v>
      </c>
      <c r="AC217" s="51">
        <v>0.0</v>
      </c>
      <c r="AD217" s="51">
        <v>0.0</v>
      </c>
      <c r="AE217" s="51">
        <v>0.0</v>
      </c>
      <c r="AF217" s="51">
        <v>0.0</v>
      </c>
      <c r="AG217" s="51">
        <v>0.0</v>
      </c>
      <c r="AH217" s="51">
        <v>0.0</v>
      </c>
      <c r="AI217" s="51">
        <v>0.0</v>
      </c>
      <c r="AJ217" s="51">
        <v>0.0</v>
      </c>
      <c r="AK217" s="51">
        <v>0.0</v>
      </c>
      <c r="AL217" s="51">
        <v>0.0</v>
      </c>
      <c r="AM217" s="51">
        <v>0.0</v>
      </c>
      <c r="AN217" s="51">
        <v>0.0</v>
      </c>
      <c r="AO217" s="51">
        <v>0.0</v>
      </c>
      <c r="AP217" s="51">
        <v>0.0</v>
      </c>
      <c r="AQ217" s="51">
        <v>0.0</v>
      </c>
      <c r="AR217" s="51">
        <v>17.285</v>
      </c>
      <c r="AS217" s="51">
        <v>8.642</v>
      </c>
      <c r="AT217" s="51">
        <v>0.0</v>
      </c>
      <c r="AU217" s="51">
        <v>43.212</v>
      </c>
      <c r="AV217" s="51">
        <v>34.57</v>
      </c>
      <c r="AW217" s="51">
        <v>0.0</v>
      </c>
      <c r="AX217" s="51">
        <v>43.212</v>
      </c>
      <c r="AY217" s="51">
        <v>0.0</v>
      </c>
      <c r="AZ217" s="51">
        <v>0.0</v>
      </c>
      <c r="BA217" s="51">
        <v>0.0</v>
      </c>
      <c r="BB217" s="51">
        <v>8.642</v>
      </c>
      <c r="BC217" s="51">
        <v>8.643</v>
      </c>
      <c r="BD217" s="51">
        <v>8.642</v>
      </c>
      <c r="BE217" s="51">
        <v>0.0</v>
      </c>
      <c r="BF217" s="51">
        <v>0.0</v>
      </c>
      <c r="BG217" s="51">
        <v>0.0</v>
      </c>
      <c r="BH217" s="51">
        <v>0.0</v>
      </c>
      <c r="BI217" s="51">
        <v>0.0</v>
      </c>
      <c r="BJ217" s="51">
        <v>0.0</v>
      </c>
      <c r="BK217" s="51">
        <v>0.0</v>
      </c>
      <c r="BL217" s="51">
        <v>0.0</v>
      </c>
      <c r="BM217" s="51">
        <v>0.0</v>
      </c>
      <c r="BN217" s="51">
        <v>0.0</v>
      </c>
      <c r="BO217" s="51">
        <v>0.0</v>
      </c>
      <c r="BP217" s="51">
        <v>0.0</v>
      </c>
      <c r="BQ217" s="51">
        <v>0.0</v>
      </c>
      <c r="BR217" s="51">
        <v>0.0</v>
      </c>
      <c r="BS217" s="51">
        <v>0.0</v>
      </c>
      <c r="BT217" s="51">
        <v>0.0</v>
      </c>
      <c r="BU217" s="51">
        <v>0.0</v>
      </c>
      <c r="BV217" s="51">
        <v>0.0</v>
      </c>
      <c r="BW217" s="106"/>
      <c r="BX217" s="106"/>
      <c r="BY217" s="106"/>
      <c r="BZ217" s="106"/>
      <c r="CA217" s="106"/>
      <c r="CB217" s="106"/>
      <c r="CC217" s="106"/>
      <c r="CD217" s="106"/>
      <c r="CE217" s="106"/>
      <c r="CF217" s="106"/>
      <c r="CG217" s="106"/>
      <c r="CH217" s="106"/>
      <c r="CI217" s="106"/>
      <c r="CJ217" s="106"/>
      <c r="CK217" s="106"/>
      <c r="CL217" s="106"/>
      <c r="CM217" s="106"/>
      <c r="CN217" s="106"/>
      <c r="CO217" s="106"/>
      <c r="CP217" s="106"/>
      <c r="CQ217" s="106"/>
      <c r="CR217" s="106"/>
      <c r="CS217" s="106"/>
      <c r="CT217" s="106"/>
      <c r="CU217" s="106"/>
      <c r="CV217" s="106"/>
      <c r="CW217" s="106"/>
      <c r="CX217" s="106"/>
      <c r="CY217" s="106"/>
      <c r="CZ217" s="106"/>
      <c r="DA217" s="106"/>
      <c r="DB217" s="106"/>
      <c r="DC217" s="106"/>
      <c r="DD217" s="106"/>
      <c r="DE217" s="106"/>
      <c r="DF217" s="106"/>
      <c r="DG217" s="106"/>
      <c r="DH217" s="106"/>
      <c r="DI217" s="106"/>
      <c r="DJ217" s="106"/>
      <c r="DK217" s="106"/>
      <c r="DL217" s="106"/>
      <c r="DM217" s="106"/>
      <c r="DN217" s="106"/>
      <c r="DO217" s="106"/>
      <c r="DP217" s="106"/>
      <c r="DQ217" s="106"/>
      <c r="DR217" s="106"/>
      <c r="DT217" s="50"/>
      <c r="DU217" s="50"/>
      <c r="DV217" s="50"/>
      <c r="DW217" s="50"/>
    </row>
    <row r="218" ht="15.75" hidden="1" customHeight="1" outlineLevel="1">
      <c r="B218" s="5" t="s">
        <v>75</v>
      </c>
      <c r="C218" s="72" t="s">
        <v>76</v>
      </c>
      <c r="E218" s="50">
        <f t="shared" ref="E218:M218" si="275">+SUMIFS($O218:$DR218,$O$7:$DR$7,E$7)</f>
        <v>0</v>
      </c>
      <c r="F218" s="50">
        <f t="shared" si="275"/>
        <v>0</v>
      </c>
      <c r="G218" s="50">
        <f t="shared" si="275"/>
        <v>0</v>
      </c>
      <c r="H218" s="50">
        <f t="shared" si="275"/>
        <v>288</v>
      </c>
      <c r="I218" s="50">
        <f t="shared" si="275"/>
        <v>0</v>
      </c>
      <c r="J218" s="50">
        <f t="shared" si="275"/>
        <v>0</v>
      </c>
      <c r="K218" s="50">
        <f t="shared" si="275"/>
        <v>0</v>
      </c>
      <c r="L218" s="50">
        <f t="shared" si="275"/>
        <v>0</v>
      </c>
      <c r="M218" s="50">
        <f t="shared" si="275"/>
        <v>0</v>
      </c>
      <c r="O218" s="51">
        <v>0.0</v>
      </c>
      <c r="P218" s="51">
        <v>0.0</v>
      </c>
      <c r="Q218" s="51">
        <v>0.0</v>
      </c>
      <c r="R218" s="51">
        <v>0.0</v>
      </c>
      <c r="S218" s="51">
        <v>0.0</v>
      </c>
      <c r="T218" s="51">
        <v>0.0</v>
      </c>
      <c r="U218" s="51">
        <v>0.0</v>
      </c>
      <c r="V218" s="51">
        <v>0.0</v>
      </c>
      <c r="W218" s="51">
        <v>0.0</v>
      </c>
      <c r="X218" s="51">
        <v>0.0</v>
      </c>
      <c r="Y218" s="51">
        <v>0.0</v>
      </c>
      <c r="Z218" s="51">
        <v>0.0</v>
      </c>
      <c r="AA218" s="51">
        <v>0.0</v>
      </c>
      <c r="AB218" s="51">
        <v>0.0</v>
      </c>
      <c r="AC218" s="51">
        <v>0.0</v>
      </c>
      <c r="AD218" s="51">
        <v>0.0</v>
      </c>
      <c r="AE218" s="51">
        <v>0.0</v>
      </c>
      <c r="AF218" s="51">
        <v>0.0</v>
      </c>
      <c r="AG218" s="51">
        <v>0.0</v>
      </c>
      <c r="AH218" s="51">
        <v>0.0</v>
      </c>
      <c r="AI218" s="51">
        <v>0.0</v>
      </c>
      <c r="AJ218" s="51">
        <v>0.0</v>
      </c>
      <c r="AK218" s="51">
        <v>0.0</v>
      </c>
      <c r="AL218" s="51">
        <v>0.0</v>
      </c>
      <c r="AM218" s="51">
        <v>0.0</v>
      </c>
      <c r="AN218" s="51">
        <v>0.0</v>
      </c>
      <c r="AO218" s="51">
        <v>0.0</v>
      </c>
      <c r="AP218" s="51">
        <v>0.0</v>
      </c>
      <c r="AQ218" s="51">
        <v>0.0</v>
      </c>
      <c r="AR218" s="51">
        <v>0.0</v>
      </c>
      <c r="AS218" s="51">
        <v>0.0</v>
      </c>
      <c r="AT218" s="51">
        <v>0.0</v>
      </c>
      <c r="AU218" s="51">
        <v>0.0</v>
      </c>
      <c r="AV218" s="51">
        <v>0.0</v>
      </c>
      <c r="AW218" s="51">
        <v>0.0</v>
      </c>
      <c r="AX218" s="51">
        <v>0.0</v>
      </c>
      <c r="AY218" s="51">
        <v>0.0</v>
      </c>
      <c r="AZ218" s="51">
        <v>14.4</v>
      </c>
      <c r="BA218" s="51">
        <v>43.2</v>
      </c>
      <c r="BB218" s="51">
        <v>28.8</v>
      </c>
      <c r="BC218" s="51">
        <v>0.0</v>
      </c>
      <c r="BD218" s="51">
        <v>57.6</v>
      </c>
      <c r="BE218" s="51">
        <v>43.2</v>
      </c>
      <c r="BF218" s="51">
        <v>0.0</v>
      </c>
      <c r="BG218" s="51">
        <v>28.8</v>
      </c>
      <c r="BH218" s="51">
        <v>28.8</v>
      </c>
      <c r="BI218" s="51">
        <v>43.2</v>
      </c>
      <c r="BJ218" s="51">
        <v>0.0</v>
      </c>
      <c r="BK218" s="51">
        <v>0.0</v>
      </c>
      <c r="BL218" s="51">
        <v>0.0</v>
      </c>
      <c r="BM218" s="51">
        <v>0.0</v>
      </c>
      <c r="BN218" s="51">
        <v>0.0</v>
      </c>
      <c r="BO218" s="51">
        <v>0.0</v>
      </c>
      <c r="BP218" s="51">
        <v>0.0</v>
      </c>
      <c r="BQ218" s="51">
        <v>0.0</v>
      </c>
      <c r="BR218" s="51">
        <v>0.0</v>
      </c>
      <c r="BS218" s="51">
        <v>0.0</v>
      </c>
      <c r="BT218" s="51">
        <v>0.0</v>
      </c>
      <c r="BU218" s="51">
        <v>0.0</v>
      </c>
      <c r="BV218" s="51">
        <v>0.0</v>
      </c>
      <c r="BW218" s="106"/>
      <c r="BX218" s="106"/>
      <c r="BY218" s="106"/>
      <c r="BZ218" s="106"/>
      <c r="CA218" s="106"/>
      <c r="CB218" s="106"/>
      <c r="CC218" s="106"/>
      <c r="CD218" s="106"/>
      <c r="CE218" s="106"/>
      <c r="CF218" s="106"/>
      <c r="CG218" s="106"/>
      <c r="CH218" s="106"/>
      <c r="CI218" s="106"/>
      <c r="CJ218" s="106"/>
      <c r="CK218" s="106"/>
      <c r="CL218" s="106"/>
      <c r="CM218" s="106"/>
      <c r="CN218" s="106"/>
      <c r="CO218" s="106"/>
      <c r="CP218" s="106"/>
      <c r="CQ218" s="106"/>
      <c r="CR218" s="106"/>
      <c r="CS218" s="106"/>
      <c r="CT218" s="106"/>
      <c r="CU218" s="106"/>
      <c r="CV218" s="106"/>
      <c r="CW218" s="106"/>
      <c r="CX218" s="106"/>
      <c r="CY218" s="106"/>
      <c r="CZ218" s="106"/>
      <c r="DA218" s="106"/>
      <c r="DB218" s="106"/>
      <c r="DC218" s="106"/>
      <c r="DD218" s="106"/>
      <c r="DE218" s="106"/>
      <c r="DF218" s="106"/>
      <c r="DG218" s="106"/>
      <c r="DH218" s="106"/>
      <c r="DI218" s="106"/>
      <c r="DJ218" s="106"/>
      <c r="DK218" s="106"/>
      <c r="DL218" s="106"/>
      <c r="DM218" s="106"/>
      <c r="DN218" s="106"/>
      <c r="DO218" s="106"/>
      <c r="DP218" s="106"/>
      <c r="DQ218" s="106"/>
      <c r="DR218" s="106"/>
      <c r="DT218" s="50"/>
      <c r="DU218" s="50"/>
      <c r="DV218" s="50"/>
      <c r="DW218" s="50"/>
    </row>
    <row r="219" ht="15.75" hidden="1" customHeight="1" outlineLevel="1">
      <c r="B219" s="5" t="s">
        <v>77</v>
      </c>
      <c r="C219" s="72" t="s">
        <v>70</v>
      </c>
      <c r="E219" s="50">
        <f t="shared" ref="E219:M219" si="276">+SUMIFS($O219:$DR219,$O$7:$DR$7,E$7)</f>
        <v>0</v>
      </c>
      <c r="F219" s="50">
        <f t="shared" si="276"/>
        <v>0</v>
      </c>
      <c r="G219" s="50">
        <f t="shared" si="276"/>
        <v>0</v>
      </c>
      <c r="H219" s="50">
        <f t="shared" si="276"/>
        <v>142.703</v>
      </c>
      <c r="I219" s="50">
        <f t="shared" si="276"/>
        <v>61.158</v>
      </c>
      <c r="J219" s="50">
        <f t="shared" si="276"/>
        <v>0</v>
      </c>
      <c r="K219" s="50">
        <f t="shared" si="276"/>
        <v>0</v>
      </c>
      <c r="L219" s="50">
        <f t="shared" si="276"/>
        <v>0</v>
      </c>
      <c r="M219" s="50">
        <f t="shared" si="276"/>
        <v>0</v>
      </c>
      <c r="O219" s="51">
        <v>0.0</v>
      </c>
      <c r="P219" s="51">
        <v>0.0</v>
      </c>
      <c r="Q219" s="51">
        <v>0.0</v>
      </c>
      <c r="R219" s="51">
        <v>0.0</v>
      </c>
      <c r="S219" s="51">
        <v>0.0</v>
      </c>
      <c r="T219" s="51">
        <v>0.0</v>
      </c>
      <c r="U219" s="51">
        <v>0.0</v>
      </c>
      <c r="V219" s="51">
        <v>0.0</v>
      </c>
      <c r="W219" s="51">
        <v>0.0</v>
      </c>
      <c r="X219" s="51">
        <v>0.0</v>
      </c>
      <c r="Y219" s="51">
        <v>0.0</v>
      </c>
      <c r="Z219" s="51">
        <v>0.0</v>
      </c>
      <c r="AA219" s="51">
        <v>0.0</v>
      </c>
      <c r="AB219" s="51">
        <v>0.0</v>
      </c>
      <c r="AC219" s="51">
        <v>0.0</v>
      </c>
      <c r="AD219" s="51">
        <v>0.0</v>
      </c>
      <c r="AE219" s="51">
        <v>0.0</v>
      </c>
      <c r="AF219" s="51">
        <v>0.0</v>
      </c>
      <c r="AG219" s="51">
        <v>0.0</v>
      </c>
      <c r="AH219" s="51">
        <v>0.0</v>
      </c>
      <c r="AI219" s="51">
        <v>0.0</v>
      </c>
      <c r="AJ219" s="51">
        <v>0.0</v>
      </c>
      <c r="AK219" s="51">
        <v>0.0</v>
      </c>
      <c r="AL219" s="51">
        <v>0.0</v>
      </c>
      <c r="AM219" s="51">
        <v>0.0</v>
      </c>
      <c r="AN219" s="51">
        <v>0.0</v>
      </c>
      <c r="AO219" s="51">
        <v>0.0</v>
      </c>
      <c r="AP219" s="51">
        <v>0.0</v>
      </c>
      <c r="AQ219" s="51">
        <v>0.0</v>
      </c>
      <c r="AR219" s="51">
        <v>0.0</v>
      </c>
      <c r="AS219" s="51">
        <v>0.0</v>
      </c>
      <c r="AT219" s="51">
        <v>0.0</v>
      </c>
      <c r="AU219" s="51">
        <v>0.0</v>
      </c>
      <c r="AV219" s="51">
        <v>0.0</v>
      </c>
      <c r="AW219" s="51">
        <v>0.0</v>
      </c>
      <c r="AX219" s="51">
        <v>0.0</v>
      </c>
      <c r="AY219" s="51">
        <v>0.0</v>
      </c>
      <c r="AZ219" s="51">
        <v>0.0</v>
      </c>
      <c r="BA219" s="51">
        <v>0.0</v>
      </c>
      <c r="BB219" s="51">
        <v>10.193</v>
      </c>
      <c r="BC219" s="51">
        <v>0.0</v>
      </c>
      <c r="BD219" s="51">
        <v>10.193</v>
      </c>
      <c r="BE219" s="51">
        <v>20.387</v>
      </c>
      <c r="BF219" s="51">
        <v>30.579</v>
      </c>
      <c r="BG219" s="51">
        <v>30.579</v>
      </c>
      <c r="BH219" s="51">
        <v>10.193</v>
      </c>
      <c r="BI219" s="51">
        <v>20.386</v>
      </c>
      <c r="BJ219" s="51">
        <v>10.193</v>
      </c>
      <c r="BK219" s="51">
        <v>10.193</v>
      </c>
      <c r="BL219" s="51">
        <v>20.386</v>
      </c>
      <c r="BM219" s="51">
        <v>10.193</v>
      </c>
      <c r="BN219" s="51">
        <v>10.193</v>
      </c>
      <c r="BO219" s="51">
        <v>10.193</v>
      </c>
      <c r="BP219" s="51">
        <v>0.0</v>
      </c>
      <c r="BQ219" s="51">
        <v>0.0</v>
      </c>
      <c r="BR219" s="51">
        <v>0.0</v>
      </c>
      <c r="BS219" s="51">
        <v>0.0</v>
      </c>
      <c r="BT219" s="51">
        <v>0.0</v>
      </c>
      <c r="BU219" s="51">
        <v>0.0</v>
      </c>
      <c r="BV219" s="51">
        <v>0.0</v>
      </c>
      <c r="BW219" s="106"/>
      <c r="BX219" s="106"/>
      <c r="BY219" s="106"/>
      <c r="BZ219" s="106"/>
      <c r="CA219" s="106"/>
      <c r="CB219" s="106"/>
      <c r="CC219" s="106"/>
      <c r="CD219" s="106"/>
      <c r="CE219" s="106"/>
      <c r="CF219" s="106"/>
      <c r="CG219" s="106"/>
      <c r="CH219" s="106"/>
      <c r="CI219" s="106"/>
      <c r="CJ219" s="106"/>
      <c r="CK219" s="106"/>
      <c r="CL219" s="106"/>
      <c r="CM219" s="106"/>
      <c r="CN219" s="106"/>
      <c r="CO219" s="106"/>
      <c r="CP219" s="106"/>
      <c r="CQ219" s="106"/>
      <c r="CR219" s="106"/>
      <c r="CS219" s="106"/>
      <c r="CT219" s="106"/>
      <c r="CU219" s="106"/>
      <c r="CV219" s="106"/>
      <c r="CW219" s="106"/>
      <c r="CX219" s="106"/>
      <c r="CY219" s="106"/>
      <c r="CZ219" s="106"/>
      <c r="DA219" s="106"/>
      <c r="DB219" s="106"/>
      <c r="DC219" s="106"/>
      <c r="DD219" s="106"/>
      <c r="DE219" s="106"/>
      <c r="DF219" s="106"/>
      <c r="DG219" s="106"/>
      <c r="DH219" s="106"/>
      <c r="DI219" s="106"/>
      <c r="DJ219" s="106"/>
      <c r="DK219" s="106"/>
      <c r="DL219" s="106"/>
      <c r="DM219" s="106"/>
      <c r="DN219" s="106"/>
      <c r="DO219" s="106"/>
      <c r="DP219" s="106"/>
      <c r="DQ219" s="106"/>
      <c r="DR219" s="106"/>
      <c r="DT219" s="50"/>
      <c r="DU219" s="50"/>
      <c r="DV219" s="50"/>
      <c r="DW219" s="50"/>
    </row>
    <row r="220" ht="15.75" hidden="1" customHeight="1" outlineLevel="1">
      <c r="B220" s="5" t="s">
        <v>78</v>
      </c>
      <c r="C220" s="72" t="s">
        <v>70</v>
      </c>
      <c r="E220" s="50">
        <f t="shared" ref="E220:M220" si="277">+SUMIFS($O220:$DR220,$O$7:$DR$7,E$7)</f>
        <v>0</v>
      </c>
      <c r="F220" s="50">
        <f t="shared" si="277"/>
        <v>0</v>
      </c>
      <c r="G220" s="50">
        <f t="shared" si="277"/>
        <v>0</v>
      </c>
      <c r="H220" s="50">
        <f t="shared" si="277"/>
        <v>0</v>
      </c>
      <c r="I220" s="50">
        <f t="shared" si="277"/>
        <v>0</v>
      </c>
      <c r="J220" s="50">
        <f t="shared" si="277"/>
        <v>0</v>
      </c>
      <c r="K220" s="50">
        <f t="shared" si="277"/>
        <v>0</v>
      </c>
      <c r="L220" s="50">
        <f t="shared" si="277"/>
        <v>0</v>
      </c>
      <c r="M220" s="50">
        <f t="shared" si="277"/>
        <v>0</v>
      </c>
      <c r="O220" s="51">
        <v>0.0</v>
      </c>
      <c r="P220" s="51">
        <v>0.0</v>
      </c>
      <c r="Q220" s="51">
        <v>0.0</v>
      </c>
      <c r="R220" s="51">
        <v>0.0</v>
      </c>
      <c r="S220" s="51">
        <v>0.0</v>
      </c>
      <c r="T220" s="51">
        <v>0.0</v>
      </c>
      <c r="U220" s="51">
        <v>0.0</v>
      </c>
      <c r="V220" s="51">
        <v>0.0</v>
      </c>
      <c r="W220" s="51">
        <v>0.0</v>
      </c>
      <c r="X220" s="51">
        <v>0.0</v>
      </c>
      <c r="Y220" s="51">
        <v>0.0</v>
      </c>
      <c r="Z220" s="51">
        <v>0.0</v>
      </c>
      <c r="AA220" s="51">
        <v>0.0</v>
      </c>
      <c r="AB220" s="51">
        <v>0.0</v>
      </c>
      <c r="AC220" s="51">
        <v>0.0</v>
      </c>
      <c r="AD220" s="51">
        <v>0.0</v>
      </c>
      <c r="AE220" s="51">
        <v>0.0</v>
      </c>
      <c r="AF220" s="51">
        <v>0.0</v>
      </c>
      <c r="AG220" s="51">
        <v>0.0</v>
      </c>
      <c r="AH220" s="51">
        <v>0.0</v>
      </c>
      <c r="AI220" s="51">
        <v>0.0</v>
      </c>
      <c r="AJ220" s="51">
        <v>0.0</v>
      </c>
      <c r="AK220" s="51">
        <v>0.0</v>
      </c>
      <c r="AL220" s="51">
        <v>0.0</v>
      </c>
      <c r="AM220" s="51">
        <v>0.0</v>
      </c>
      <c r="AN220" s="51">
        <v>0.0</v>
      </c>
      <c r="AO220" s="51">
        <v>0.0</v>
      </c>
      <c r="AP220" s="51">
        <v>0.0</v>
      </c>
      <c r="AQ220" s="51">
        <v>0.0</v>
      </c>
      <c r="AR220" s="51">
        <v>0.0</v>
      </c>
      <c r="AS220" s="51">
        <v>0.0</v>
      </c>
      <c r="AT220" s="51">
        <v>0.0</v>
      </c>
      <c r="AU220" s="51">
        <v>0.0</v>
      </c>
      <c r="AV220" s="51">
        <v>0.0</v>
      </c>
      <c r="AW220" s="51">
        <v>0.0</v>
      </c>
      <c r="AX220" s="51">
        <v>0.0</v>
      </c>
      <c r="AY220" s="51">
        <v>0.0</v>
      </c>
      <c r="AZ220" s="51">
        <v>0.0</v>
      </c>
      <c r="BA220" s="51">
        <v>0.0</v>
      </c>
      <c r="BB220" s="51">
        <v>0.0</v>
      </c>
      <c r="BC220" s="51">
        <v>0.0</v>
      </c>
      <c r="BD220" s="51">
        <v>0.0</v>
      </c>
      <c r="BE220" s="51">
        <v>0.0</v>
      </c>
      <c r="BF220" s="51">
        <v>0.0</v>
      </c>
      <c r="BG220" s="51">
        <v>0.0</v>
      </c>
      <c r="BH220" s="51">
        <v>0.0</v>
      </c>
      <c r="BI220" s="51">
        <v>0.0</v>
      </c>
      <c r="BJ220" s="51">
        <v>0.0</v>
      </c>
      <c r="BK220" s="51">
        <v>0.0</v>
      </c>
      <c r="BL220" s="51">
        <v>0.0</v>
      </c>
      <c r="BM220" s="51">
        <v>0.0</v>
      </c>
      <c r="BN220" s="51">
        <v>0.0</v>
      </c>
      <c r="BO220" s="51">
        <v>0.0</v>
      </c>
      <c r="BP220" s="51">
        <v>0.0</v>
      </c>
      <c r="BQ220" s="51">
        <v>0.0</v>
      </c>
      <c r="BR220" s="51">
        <v>0.0</v>
      </c>
      <c r="BS220" s="51">
        <v>0.0</v>
      </c>
      <c r="BT220" s="51">
        <v>0.0</v>
      </c>
      <c r="BU220" s="51">
        <v>0.0</v>
      </c>
      <c r="BV220" s="51">
        <v>0.0</v>
      </c>
      <c r="BW220" s="106"/>
      <c r="BX220" s="106"/>
      <c r="BY220" s="106"/>
      <c r="BZ220" s="106"/>
      <c r="CA220" s="106"/>
      <c r="CB220" s="106"/>
      <c r="CC220" s="106"/>
      <c r="CD220" s="106"/>
      <c r="CE220" s="106"/>
      <c r="CF220" s="106"/>
      <c r="CG220" s="106"/>
      <c r="CH220" s="106"/>
      <c r="CI220" s="106"/>
      <c r="CJ220" s="106"/>
      <c r="CK220" s="106"/>
      <c r="CL220" s="106"/>
      <c r="CM220" s="106"/>
      <c r="CN220" s="106"/>
      <c r="CO220" s="106"/>
      <c r="CP220" s="106"/>
      <c r="CQ220" s="106"/>
      <c r="CR220" s="106"/>
      <c r="CS220" s="106"/>
      <c r="CT220" s="106"/>
      <c r="CU220" s="106"/>
      <c r="CV220" s="106"/>
      <c r="CW220" s="106"/>
      <c r="CX220" s="106"/>
      <c r="CY220" s="106"/>
      <c r="CZ220" s="106"/>
      <c r="DA220" s="106"/>
      <c r="DB220" s="106"/>
      <c r="DC220" s="106"/>
      <c r="DD220" s="106"/>
      <c r="DE220" s="106"/>
      <c r="DF220" s="106"/>
      <c r="DG220" s="106"/>
      <c r="DH220" s="106"/>
      <c r="DI220" s="106"/>
      <c r="DJ220" s="106"/>
      <c r="DK220" s="106"/>
      <c r="DL220" s="106"/>
      <c r="DM220" s="106"/>
      <c r="DN220" s="106"/>
      <c r="DO220" s="106"/>
      <c r="DP220" s="106"/>
      <c r="DQ220" s="106"/>
      <c r="DR220" s="106"/>
      <c r="DT220" s="50"/>
      <c r="DU220" s="50"/>
      <c r="DV220" s="50"/>
      <c r="DW220" s="50"/>
    </row>
    <row r="221" ht="15.75" hidden="1" customHeight="1" outlineLevel="1">
      <c r="B221" s="5" t="s">
        <v>79</v>
      </c>
      <c r="C221" s="72" t="s">
        <v>76</v>
      </c>
      <c r="E221" s="50">
        <f t="shared" ref="E221:M221" si="278">+SUMIFS($O221:$DR221,$O$7:$DR$7,E$7)</f>
        <v>0</v>
      </c>
      <c r="F221" s="50">
        <f t="shared" si="278"/>
        <v>0</v>
      </c>
      <c r="G221" s="50">
        <f t="shared" si="278"/>
        <v>0</v>
      </c>
      <c r="H221" s="50">
        <f t="shared" si="278"/>
        <v>0</v>
      </c>
      <c r="I221" s="50">
        <f t="shared" si="278"/>
        <v>87.82936364</v>
      </c>
      <c r="J221" s="50">
        <f t="shared" si="278"/>
        <v>0</v>
      </c>
      <c r="K221" s="50">
        <f t="shared" si="278"/>
        <v>0</v>
      </c>
      <c r="L221" s="50">
        <f t="shared" si="278"/>
        <v>0</v>
      </c>
      <c r="M221" s="50">
        <f t="shared" si="278"/>
        <v>0</v>
      </c>
      <c r="O221" s="51">
        <v>0.0</v>
      </c>
      <c r="P221" s="51">
        <v>0.0</v>
      </c>
      <c r="Q221" s="51">
        <v>0.0</v>
      </c>
      <c r="R221" s="51">
        <v>0.0</v>
      </c>
      <c r="S221" s="51">
        <v>0.0</v>
      </c>
      <c r="T221" s="51">
        <v>0.0</v>
      </c>
      <c r="U221" s="51">
        <v>0.0</v>
      </c>
      <c r="V221" s="51">
        <v>0.0</v>
      </c>
      <c r="W221" s="51">
        <v>0.0</v>
      </c>
      <c r="X221" s="51">
        <v>0.0</v>
      </c>
      <c r="Y221" s="51">
        <v>0.0</v>
      </c>
      <c r="Z221" s="51">
        <v>0.0</v>
      </c>
      <c r="AA221" s="51">
        <v>0.0</v>
      </c>
      <c r="AB221" s="51">
        <v>0.0</v>
      </c>
      <c r="AC221" s="51">
        <v>0.0</v>
      </c>
      <c r="AD221" s="51">
        <v>0.0</v>
      </c>
      <c r="AE221" s="51">
        <v>0.0</v>
      </c>
      <c r="AF221" s="51">
        <v>0.0</v>
      </c>
      <c r="AG221" s="51">
        <v>0.0</v>
      </c>
      <c r="AH221" s="51">
        <v>0.0</v>
      </c>
      <c r="AI221" s="51">
        <v>0.0</v>
      </c>
      <c r="AJ221" s="51">
        <v>0.0</v>
      </c>
      <c r="AK221" s="51">
        <v>0.0</v>
      </c>
      <c r="AL221" s="51">
        <v>0.0</v>
      </c>
      <c r="AM221" s="51">
        <v>0.0</v>
      </c>
      <c r="AN221" s="51">
        <v>0.0</v>
      </c>
      <c r="AO221" s="51">
        <v>0.0</v>
      </c>
      <c r="AP221" s="51">
        <v>0.0</v>
      </c>
      <c r="AQ221" s="51">
        <v>0.0</v>
      </c>
      <c r="AR221" s="51">
        <v>0.0</v>
      </c>
      <c r="AS221" s="51">
        <v>0.0</v>
      </c>
      <c r="AT221" s="51">
        <v>0.0</v>
      </c>
      <c r="AU221" s="51">
        <v>0.0</v>
      </c>
      <c r="AV221" s="51">
        <v>0.0</v>
      </c>
      <c r="AW221" s="51">
        <v>0.0</v>
      </c>
      <c r="AX221" s="51">
        <v>0.0</v>
      </c>
      <c r="AY221" s="51">
        <v>0.0</v>
      </c>
      <c r="AZ221" s="51">
        <v>0.0</v>
      </c>
      <c r="BA221" s="51">
        <v>0.0</v>
      </c>
      <c r="BB221" s="51">
        <v>0.0</v>
      </c>
      <c r="BC221" s="51">
        <v>0.0</v>
      </c>
      <c r="BD221" s="51">
        <v>0.0</v>
      </c>
      <c r="BE221" s="51">
        <v>0.0</v>
      </c>
      <c r="BF221" s="51">
        <v>0.0</v>
      </c>
      <c r="BG221" s="51">
        <v>0.0</v>
      </c>
      <c r="BH221" s="51">
        <v>0.0</v>
      </c>
      <c r="BI221" s="51">
        <v>0.0</v>
      </c>
      <c r="BJ221" s="51">
        <v>0.0</v>
      </c>
      <c r="BK221" s="51">
        <v>0.0</v>
      </c>
      <c r="BL221" s="51">
        <v>0.0</v>
      </c>
      <c r="BM221" s="51">
        <v>0.0</v>
      </c>
      <c r="BN221" s="51">
        <v>9.758818181818182</v>
      </c>
      <c r="BO221" s="51">
        <v>9.758818181818182</v>
      </c>
      <c r="BP221" s="51">
        <v>9.758818181818182</v>
      </c>
      <c r="BQ221" s="51">
        <v>9.758818181818182</v>
      </c>
      <c r="BR221" s="51">
        <v>9.758818181818182</v>
      </c>
      <c r="BS221" s="51">
        <v>9.758818181818182</v>
      </c>
      <c r="BT221" s="51">
        <v>9.758818181818182</v>
      </c>
      <c r="BU221" s="51">
        <v>9.758818181818182</v>
      </c>
      <c r="BV221" s="51">
        <v>9.758818181818182</v>
      </c>
      <c r="BW221" s="106"/>
      <c r="BX221" s="106"/>
      <c r="BY221" s="106"/>
      <c r="BZ221" s="106"/>
      <c r="CA221" s="106"/>
      <c r="CB221" s="106"/>
      <c r="CC221" s="106"/>
      <c r="CD221" s="106"/>
      <c r="CE221" s="106"/>
      <c r="CF221" s="106"/>
      <c r="CG221" s="106"/>
      <c r="CH221" s="106"/>
      <c r="CI221" s="106"/>
      <c r="CJ221" s="106"/>
      <c r="CK221" s="106"/>
      <c r="CL221" s="106"/>
      <c r="CM221" s="106"/>
      <c r="CN221" s="106"/>
      <c r="CO221" s="106"/>
      <c r="CP221" s="106"/>
      <c r="CQ221" s="106"/>
      <c r="CR221" s="106"/>
      <c r="CS221" s="106"/>
      <c r="CT221" s="106"/>
      <c r="CU221" s="106"/>
      <c r="CV221" s="106"/>
      <c r="CW221" s="106"/>
      <c r="CX221" s="106"/>
      <c r="CY221" s="106"/>
      <c r="CZ221" s="106"/>
      <c r="DA221" s="106"/>
      <c r="DB221" s="106"/>
      <c r="DC221" s="106"/>
      <c r="DD221" s="106"/>
      <c r="DE221" s="106"/>
      <c r="DF221" s="106"/>
      <c r="DG221" s="106"/>
      <c r="DH221" s="106"/>
      <c r="DI221" s="106"/>
      <c r="DJ221" s="106"/>
      <c r="DK221" s="106"/>
      <c r="DL221" s="106"/>
      <c r="DM221" s="106"/>
      <c r="DN221" s="106"/>
      <c r="DO221" s="106"/>
      <c r="DP221" s="106"/>
      <c r="DQ221" s="106"/>
      <c r="DR221" s="106"/>
      <c r="DT221" s="50"/>
      <c r="DU221" s="50"/>
      <c r="DV221" s="50"/>
      <c r="DW221" s="50"/>
    </row>
    <row r="222" ht="15.75" hidden="1" customHeight="1" outlineLevel="1">
      <c r="B222" s="5" t="s">
        <v>80</v>
      </c>
      <c r="C222" s="72" t="s">
        <v>74</v>
      </c>
      <c r="E222" s="50">
        <f t="shared" ref="E222:M222" si="279">+SUMIFS($O222:$DR222,$O$7:$DR$7,E$7)</f>
        <v>0</v>
      </c>
      <c r="F222" s="50">
        <f t="shared" si="279"/>
        <v>49.188</v>
      </c>
      <c r="G222" s="50">
        <f t="shared" si="279"/>
        <v>49.933</v>
      </c>
      <c r="H222" s="50">
        <f t="shared" si="279"/>
        <v>0</v>
      </c>
      <c r="I222" s="50">
        <f t="shared" si="279"/>
        <v>0</v>
      </c>
      <c r="J222" s="50">
        <f t="shared" si="279"/>
        <v>0</v>
      </c>
      <c r="K222" s="50">
        <f t="shared" si="279"/>
        <v>0</v>
      </c>
      <c r="L222" s="50">
        <f t="shared" si="279"/>
        <v>0</v>
      </c>
      <c r="M222" s="50">
        <f t="shared" si="279"/>
        <v>0</v>
      </c>
      <c r="O222" s="51">
        <v>0.0</v>
      </c>
      <c r="P222" s="51">
        <v>0.0</v>
      </c>
      <c r="Q222" s="51">
        <v>0.0</v>
      </c>
      <c r="R222" s="51">
        <v>0.0</v>
      </c>
      <c r="S222" s="51">
        <v>0.0</v>
      </c>
      <c r="T222" s="51">
        <v>0.0</v>
      </c>
      <c r="U222" s="51">
        <v>0.0</v>
      </c>
      <c r="V222" s="51">
        <v>0.0</v>
      </c>
      <c r="W222" s="51">
        <v>0.0</v>
      </c>
      <c r="X222" s="51">
        <v>0.0</v>
      </c>
      <c r="Y222" s="51">
        <v>0.0</v>
      </c>
      <c r="Z222" s="51">
        <v>0.0</v>
      </c>
      <c r="AA222" s="51">
        <v>0.0</v>
      </c>
      <c r="AB222" s="51">
        <v>0.0</v>
      </c>
      <c r="AC222" s="51">
        <v>0.0</v>
      </c>
      <c r="AD222" s="51">
        <v>0.0</v>
      </c>
      <c r="AE222" s="51">
        <v>0.0</v>
      </c>
      <c r="AF222" s="51">
        <v>0.0</v>
      </c>
      <c r="AG222" s="51">
        <v>0.0</v>
      </c>
      <c r="AH222" s="51">
        <v>0.0</v>
      </c>
      <c r="AI222" s="51">
        <v>0.0</v>
      </c>
      <c r="AJ222" s="51">
        <v>0.0</v>
      </c>
      <c r="AK222" s="51">
        <v>0.0</v>
      </c>
      <c r="AL222" s="51">
        <v>49.188</v>
      </c>
      <c r="AM222" s="51">
        <v>0.001</v>
      </c>
      <c r="AN222" s="51">
        <v>3.509</v>
      </c>
      <c r="AO222" s="51">
        <v>0.0</v>
      </c>
      <c r="AP222" s="51">
        <v>24.997</v>
      </c>
      <c r="AQ222" s="51">
        <v>3.513</v>
      </c>
      <c r="AR222" s="51">
        <v>3.791</v>
      </c>
      <c r="AS222" s="51">
        <v>0.0</v>
      </c>
      <c r="AT222" s="51">
        <v>0.0</v>
      </c>
      <c r="AU222" s="51">
        <v>0.0</v>
      </c>
      <c r="AV222" s="51">
        <v>3.582</v>
      </c>
      <c r="AW222" s="51">
        <v>10.54</v>
      </c>
      <c r="AX222" s="51">
        <v>0.0</v>
      </c>
      <c r="AY222" s="51">
        <v>0.0</v>
      </c>
      <c r="AZ222" s="51">
        <v>0.0</v>
      </c>
      <c r="BA222" s="51">
        <v>0.0</v>
      </c>
      <c r="BB222" s="51">
        <v>0.0</v>
      </c>
      <c r="BC222" s="51">
        <v>0.0</v>
      </c>
      <c r="BD222" s="51">
        <v>0.0</v>
      </c>
      <c r="BE222" s="51">
        <v>0.0</v>
      </c>
      <c r="BF222" s="51">
        <v>0.0</v>
      </c>
      <c r="BG222" s="51">
        <v>0.0</v>
      </c>
      <c r="BH222" s="51">
        <v>0.0</v>
      </c>
      <c r="BI222" s="51">
        <v>0.0</v>
      </c>
      <c r="BJ222" s="51">
        <v>0.0</v>
      </c>
      <c r="BK222" s="51">
        <v>0.0</v>
      </c>
      <c r="BL222" s="51">
        <v>0.0</v>
      </c>
      <c r="BM222" s="51">
        <v>0.0</v>
      </c>
      <c r="BN222" s="51">
        <v>0.0</v>
      </c>
      <c r="BO222" s="51">
        <v>0.0</v>
      </c>
      <c r="BP222" s="51">
        <v>0.0</v>
      </c>
      <c r="BQ222" s="51">
        <v>0.0</v>
      </c>
      <c r="BR222" s="51">
        <v>0.0</v>
      </c>
      <c r="BS222" s="51">
        <v>0.0</v>
      </c>
      <c r="BT222" s="51">
        <v>0.0</v>
      </c>
      <c r="BU222" s="51">
        <v>0.0</v>
      </c>
      <c r="BV222" s="51">
        <v>0.0</v>
      </c>
      <c r="BW222" s="106"/>
      <c r="BX222" s="106"/>
      <c r="BY222" s="106"/>
      <c r="BZ222" s="106"/>
      <c r="CA222" s="106"/>
      <c r="CB222" s="106"/>
      <c r="CC222" s="106"/>
      <c r="CD222" s="106"/>
      <c r="CE222" s="106"/>
      <c r="CF222" s="106"/>
      <c r="CG222" s="106"/>
      <c r="CH222" s="106"/>
      <c r="CI222" s="106"/>
      <c r="CJ222" s="106"/>
      <c r="CK222" s="106"/>
      <c r="CL222" s="106"/>
      <c r="CM222" s="106"/>
      <c r="CN222" s="106"/>
      <c r="CO222" s="106"/>
      <c r="CP222" s="106"/>
      <c r="CQ222" s="106"/>
      <c r="CR222" s="106"/>
      <c r="CS222" s="106"/>
      <c r="CT222" s="106"/>
      <c r="CU222" s="106"/>
      <c r="CV222" s="106"/>
      <c r="CW222" s="106"/>
      <c r="CX222" s="106"/>
      <c r="CY222" s="106"/>
      <c r="CZ222" s="106"/>
      <c r="DA222" s="106"/>
      <c r="DB222" s="106"/>
      <c r="DC222" s="106"/>
      <c r="DD222" s="106"/>
      <c r="DE222" s="106"/>
      <c r="DF222" s="106"/>
      <c r="DG222" s="106"/>
      <c r="DH222" s="106"/>
      <c r="DI222" s="106"/>
      <c r="DJ222" s="106"/>
      <c r="DK222" s="106"/>
      <c r="DL222" s="106"/>
      <c r="DM222" s="106"/>
      <c r="DN222" s="106"/>
      <c r="DO222" s="106"/>
      <c r="DP222" s="106"/>
      <c r="DQ222" s="106"/>
      <c r="DR222" s="106"/>
      <c r="DT222" s="50"/>
      <c r="DU222" s="50"/>
      <c r="DV222" s="50"/>
      <c r="DW222" s="50"/>
    </row>
    <row r="223" ht="15.75" hidden="1" customHeight="1" outlineLevel="1">
      <c r="B223" s="5" t="s">
        <v>81</v>
      </c>
      <c r="C223" s="72" t="s">
        <v>82</v>
      </c>
      <c r="E223" s="50">
        <f t="shared" ref="E223:M223" si="280">+SUMIFS($O223:$DR223,$O$7:$DR$7,E$7)</f>
        <v>0</v>
      </c>
      <c r="F223" s="50">
        <f t="shared" si="280"/>
        <v>35</v>
      </c>
      <c r="G223" s="50">
        <f t="shared" si="280"/>
        <v>150</v>
      </c>
      <c r="H223" s="50">
        <f t="shared" si="280"/>
        <v>0</v>
      </c>
      <c r="I223" s="50">
        <f t="shared" si="280"/>
        <v>0</v>
      </c>
      <c r="J223" s="50">
        <f t="shared" si="280"/>
        <v>0</v>
      </c>
      <c r="K223" s="50">
        <f t="shared" si="280"/>
        <v>0</v>
      </c>
      <c r="L223" s="50">
        <f t="shared" si="280"/>
        <v>0</v>
      </c>
      <c r="M223" s="50">
        <f t="shared" si="280"/>
        <v>0</v>
      </c>
      <c r="O223" s="51">
        <v>0.0</v>
      </c>
      <c r="P223" s="51">
        <v>0.0</v>
      </c>
      <c r="Q223" s="51">
        <v>0.0</v>
      </c>
      <c r="R223" s="51">
        <v>0.0</v>
      </c>
      <c r="S223" s="51">
        <v>0.0</v>
      </c>
      <c r="T223" s="51">
        <v>0.0</v>
      </c>
      <c r="U223" s="51">
        <v>0.0</v>
      </c>
      <c r="V223" s="51">
        <v>0.0</v>
      </c>
      <c r="W223" s="51">
        <v>0.0</v>
      </c>
      <c r="X223" s="51">
        <v>0.0</v>
      </c>
      <c r="Y223" s="51">
        <v>0.0</v>
      </c>
      <c r="Z223" s="51">
        <v>0.0</v>
      </c>
      <c r="AA223" s="51">
        <v>0.0</v>
      </c>
      <c r="AB223" s="51">
        <v>0.0</v>
      </c>
      <c r="AC223" s="51">
        <v>0.0</v>
      </c>
      <c r="AD223" s="51">
        <v>0.0</v>
      </c>
      <c r="AE223" s="51">
        <v>0.0</v>
      </c>
      <c r="AF223" s="51">
        <v>0.0</v>
      </c>
      <c r="AG223" s="51">
        <v>0.0</v>
      </c>
      <c r="AH223" s="51">
        <v>0.0</v>
      </c>
      <c r="AI223" s="51">
        <v>0.0</v>
      </c>
      <c r="AJ223" s="51">
        <v>35.0</v>
      </c>
      <c r="AK223" s="51">
        <v>0.0</v>
      </c>
      <c r="AL223" s="51">
        <v>0.0</v>
      </c>
      <c r="AM223" s="51">
        <v>0.0</v>
      </c>
      <c r="AN223" s="51">
        <v>0.0</v>
      </c>
      <c r="AO223" s="51">
        <v>0.0</v>
      </c>
      <c r="AP223" s="51">
        <v>0.0</v>
      </c>
      <c r="AQ223" s="51">
        <v>0.0</v>
      </c>
      <c r="AR223" s="51">
        <v>0.0</v>
      </c>
      <c r="AS223" s="51">
        <v>15.0</v>
      </c>
      <c r="AT223" s="51">
        <v>37.5</v>
      </c>
      <c r="AU223" s="51">
        <v>15.0</v>
      </c>
      <c r="AV223" s="51">
        <v>37.5</v>
      </c>
      <c r="AW223" s="51">
        <v>45.0</v>
      </c>
      <c r="AX223" s="51">
        <v>0.0</v>
      </c>
      <c r="AY223" s="51">
        <v>0.0</v>
      </c>
      <c r="AZ223" s="51">
        <v>0.0</v>
      </c>
      <c r="BA223" s="51">
        <v>0.0</v>
      </c>
      <c r="BB223" s="51">
        <v>0.0</v>
      </c>
      <c r="BC223" s="51">
        <v>0.0</v>
      </c>
      <c r="BD223" s="51">
        <v>0.0</v>
      </c>
      <c r="BE223" s="51">
        <v>0.0</v>
      </c>
      <c r="BF223" s="51">
        <v>0.0</v>
      </c>
      <c r="BG223" s="51">
        <v>0.0</v>
      </c>
      <c r="BH223" s="51">
        <v>0.0</v>
      </c>
      <c r="BI223" s="51">
        <v>0.0</v>
      </c>
      <c r="BJ223" s="51">
        <v>0.0</v>
      </c>
      <c r="BK223" s="51">
        <v>0.0</v>
      </c>
      <c r="BL223" s="51">
        <v>0.0</v>
      </c>
      <c r="BM223" s="51">
        <v>0.0</v>
      </c>
      <c r="BN223" s="51">
        <v>0.0</v>
      </c>
      <c r="BO223" s="51">
        <v>0.0</v>
      </c>
      <c r="BP223" s="51">
        <v>0.0</v>
      </c>
      <c r="BQ223" s="51">
        <v>0.0</v>
      </c>
      <c r="BR223" s="51">
        <v>0.0</v>
      </c>
      <c r="BS223" s="51">
        <v>0.0</v>
      </c>
      <c r="BT223" s="51">
        <v>0.0</v>
      </c>
      <c r="BU223" s="51">
        <v>0.0</v>
      </c>
      <c r="BV223" s="51">
        <v>0.0</v>
      </c>
      <c r="BW223" s="106"/>
      <c r="BX223" s="106"/>
      <c r="BY223" s="106"/>
      <c r="BZ223" s="106"/>
      <c r="CA223" s="106"/>
      <c r="CB223" s="106"/>
      <c r="CC223" s="106"/>
      <c r="CD223" s="106"/>
      <c r="CE223" s="106"/>
      <c r="CF223" s="106"/>
      <c r="CG223" s="106"/>
      <c r="CH223" s="106"/>
      <c r="CI223" s="106"/>
      <c r="CJ223" s="106"/>
      <c r="CK223" s="106"/>
      <c r="CL223" s="106"/>
      <c r="CM223" s="106"/>
      <c r="CN223" s="106"/>
      <c r="CO223" s="106"/>
      <c r="CP223" s="106"/>
      <c r="CQ223" s="106"/>
      <c r="CR223" s="106"/>
      <c r="CS223" s="106"/>
      <c r="CT223" s="106"/>
      <c r="CU223" s="106"/>
      <c r="CV223" s="106"/>
      <c r="CW223" s="106"/>
      <c r="CX223" s="106"/>
      <c r="CY223" s="106"/>
      <c r="CZ223" s="106"/>
      <c r="DA223" s="106"/>
      <c r="DB223" s="106"/>
      <c r="DC223" s="106"/>
      <c r="DD223" s="106"/>
      <c r="DE223" s="106"/>
      <c r="DF223" s="106"/>
      <c r="DG223" s="106"/>
      <c r="DH223" s="106"/>
      <c r="DI223" s="106"/>
      <c r="DJ223" s="106"/>
      <c r="DK223" s="106"/>
      <c r="DL223" s="106"/>
      <c r="DM223" s="106"/>
      <c r="DN223" s="106"/>
      <c r="DO223" s="106"/>
      <c r="DP223" s="106"/>
      <c r="DQ223" s="106"/>
      <c r="DR223" s="106"/>
      <c r="DT223" s="50"/>
      <c r="DU223" s="50"/>
      <c r="DV223" s="50"/>
      <c r="DW223" s="50"/>
    </row>
    <row r="224" ht="15.75" hidden="1" customHeight="1" outlineLevel="1">
      <c r="B224" s="5" t="s">
        <v>83</v>
      </c>
      <c r="C224" s="72" t="s">
        <v>70</v>
      </c>
      <c r="E224" s="50">
        <f t="shared" ref="E224:M224" si="281">+SUMIFS($O224:$DR224,$O$7:$DR$7,E$7)</f>
        <v>11.25</v>
      </c>
      <c r="F224" s="50">
        <f t="shared" si="281"/>
        <v>0</v>
      </c>
      <c r="G224" s="50">
        <f t="shared" si="281"/>
        <v>0</v>
      </c>
      <c r="H224" s="50">
        <f t="shared" si="281"/>
        <v>0</v>
      </c>
      <c r="I224" s="50">
        <f t="shared" si="281"/>
        <v>0</v>
      </c>
      <c r="J224" s="50">
        <f t="shared" si="281"/>
        <v>0</v>
      </c>
      <c r="K224" s="50">
        <f t="shared" si="281"/>
        <v>0</v>
      </c>
      <c r="L224" s="50">
        <f t="shared" si="281"/>
        <v>0</v>
      </c>
      <c r="M224" s="50">
        <f t="shared" si="281"/>
        <v>0</v>
      </c>
      <c r="O224" s="51">
        <v>5.625</v>
      </c>
      <c r="P224" s="51">
        <v>3.375</v>
      </c>
      <c r="Q224" s="51">
        <v>2.25</v>
      </c>
      <c r="R224" s="51">
        <v>0.0</v>
      </c>
      <c r="S224" s="51">
        <v>0.0</v>
      </c>
      <c r="T224" s="51">
        <v>0.0</v>
      </c>
      <c r="U224" s="51">
        <v>0.0</v>
      </c>
      <c r="V224" s="51">
        <v>0.0</v>
      </c>
      <c r="W224" s="51">
        <v>0.0</v>
      </c>
      <c r="X224" s="51">
        <v>0.0</v>
      </c>
      <c r="Y224" s="51">
        <v>0.0</v>
      </c>
      <c r="Z224" s="51">
        <v>0.0</v>
      </c>
      <c r="AA224" s="51">
        <v>0.0</v>
      </c>
      <c r="AB224" s="51">
        <v>0.0</v>
      </c>
      <c r="AC224" s="51">
        <v>0.0</v>
      </c>
      <c r="AD224" s="51">
        <v>0.0</v>
      </c>
      <c r="AE224" s="51">
        <v>0.0</v>
      </c>
      <c r="AF224" s="51">
        <v>0.0</v>
      </c>
      <c r="AG224" s="51">
        <v>0.0</v>
      </c>
      <c r="AH224" s="51">
        <v>0.0</v>
      </c>
      <c r="AI224" s="51">
        <v>0.0</v>
      </c>
      <c r="AJ224" s="51">
        <v>0.0</v>
      </c>
      <c r="AK224" s="51">
        <v>0.0</v>
      </c>
      <c r="AL224" s="51">
        <v>0.0</v>
      </c>
      <c r="AM224" s="51">
        <v>0.0</v>
      </c>
      <c r="AN224" s="51">
        <v>0.0</v>
      </c>
      <c r="AO224" s="51">
        <v>0.0</v>
      </c>
      <c r="AP224" s="51">
        <v>0.0</v>
      </c>
      <c r="AQ224" s="51">
        <v>0.0</v>
      </c>
      <c r="AR224" s="51">
        <v>0.0</v>
      </c>
      <c r="AS224" s="51">
        <v>0.0</v>
      </c>
      <c r="AT224" s="51">
        <v>0.0</v>
      </c>
      <c r="AU224" s="51">
        <v>0.0</v>
      </c>
      <c r="AV224" s="51">
        <v>0.0</v>
      </c>
      <c r="AW224" s="51">
        <v>0.0</v>
      </c>
      <c r="AX224" s="51">
        <v>0.0</v>
      </c>
      <c r="AY224" s="51">
        <v>0.0</v>
      </c>
      <c r="AZ224" s="51">
        <v>0.0</v>
      </c>
      <c r="BA224" s="51">
        <v>0.0</v>
      </c>
      <c r="BB224" s="51">
        <v>0.0</v>
      </c>
      <c r="BC224" s="51">
        <v>0.0</v>
      </c>
      <c r="BD224" s="51">
        <v>0.0</v>
      </c>
      <c r="BE224" s="51">
        <v>0.0</v>
      </c>
      <c r="BF224" s="51">
        <v>0.0</v>
      </c>
      <c r="BG224" s="51">
        <v>0.0</v>
      </c>
      <c r="BH224" s="51">
        <v>0.0</v>
      </c>
      <c r="BI224" s="51">
        <v>0.0</v>
      </c>
      <c r="BJ224" s="51">
        <v>0.0</v>
      </c>
      <c r="BK224" s="51">
        <v>0.0</v>
      </c>
      <c r="BL224" s="51">
        <v>0.0</v>
      </c>
      <c r="BM224" s="51">
        <v>0.0</v>
      </c>
      <c r="BN224" s="51">
        <v>0.0</v>
      </c>
      <c r="BO224" s="51">
        <v>0.0</v>
      </c>
      <c r="BP224" s="51">
        <v>0.0</v>
      </c>
      <c r="BQ224" s="51">
        <v>0.0</v>
      </c>
      <c r="BR224" s="51">
        <v>0.0</v>
      </c>
      <c r="BS224" s="51">
        <v>0.0</v>
      </c>
      <c r="BT224" s="51">
        <v>0.0</v>
      </c>
      <c r="BU224" s="51">
        <v>0.0</v>
      </c>
      <c r="BV224" s="51">
        <v>0.0</v>
      </c>
      <c r="BW224" s="106"/>
      <c r="BX224" s="106"/>
      <c r="BY224" s="106"/>
      <c r="BZ224" s="106"/>
      <c r="CA224" s="106"/>
      <c r="CB224" s="106"/>
      <c r="CC224" s="106"/>
      <c r="CD224" s="106"/>
      <c r="CE224" s="106"/>
      <c r="CF224" s="106"/>
      <c r="CG224" s="106"/>
      <c r="CH224" s="106"/>
      <c r="CI224" s="106"/>
      <c r="CJ224" s="106"/>
      <c r="CK224" s="106"/>
      <c r="CL224" s="106"/>
      <c r="CM224" s="106"/>
      <c r="CN224" s="106"/>
      <c r="CO224" s="106"/>
      <c r="CP224" s="106"/>
      <c r="CQ224" s="106"/>
      <c r="CR224" s="106"/>
      <c r="CS224" s="106"/>
      <c r="CT224" s="106"/>
      <c r="CU224" s="106"/>
      <c r="CV224" s="106"/>
      <c r="CW224" s="106"/>
      <c r="CX224" s="106"/>
      <c r="CY224" s="106"/>
      <c r="CZ224" s="106"/>
      <c r="DA224" s="106"/>
      <c r="DB224" s="106"/>
      <c r="DC224" s="106"/>
      <c r="DD224" s="106"/>
      <c r="DE224" s="106"/>
      <c r="DF224" s="106"/>
      <c r="DG224" s="106"/>
      <c r="DH224" s="106"/>
      <c r="DI224" s="106"/>
      <c r="DJ224" s="106"/>
      <c r="DK224" s="106"/>
      <c r="DL224" s="106"/>
      <c r="DM224" s="106"/>
      <c r="DN224" s="106"/>
      <c r="DO224" s="106"/>
      <c r="DP224" s="106"/>
      <c r="DQ224" s="106"/>
      <c r="DR224" s="106"/>
      <c r="DT224" s="50"/>
      <c r="DU224" s="50"/>
      <c r="DV224" s="50"/>
      <c r="DW224" s="50"/>
    </row>
    <row r="225" ht="15.75" hidden="1" customHeight="1" outlineLevel="1">
      <c r="B225" s="5" t="s">
        <v>84</v>
      </c>
      <c r="C225" s="72" t="s">
        <v>70</v>
      </c>
      <c r="E225" s="50">
        <f t="shared" ref="E225:M225" si="282">+SUMIFS($O225:$DR225,$O$7:$DR$7,E$7)</f>
        <v>0</v>
      </c>
      <c r="F225" s="50">
        <f t="shared" si="282"/>
        <v>0</v>
      </c>
      <c r="G225" s="50">
        <f t="shared" si="282"/>
        <v>0</v>
      </c>
      <c r="H225" s="50">
        <f t="shared" si="282"/>
        <v>102.408</v>
      </c>
      <c r="I225" s="50">
        <f t="shared" si="282"/>
        <v>0</v>
      </c>
      <c r="J225" s="50">
        <f t="shared" si="282"/>
        <v>0</v>
      </c>
      <c r="K225" s="50">
        <f t="shared" si="282"/>
        <v>0</v>
      </c>
      <c r="L225" s="50">
        <f t="shared" si="282"/>
        <v>0</v>
      </c>
      <c r="M225" s="50">
        <f t="shared" si="282"/>
        <v>0</v>
      </c>
      <c r="O225" s="51">
        <v>0.0</v>
      </c>
      <c r="P225" s="51">
        <v>0.0</v>
      </c>
      <c r="Q225" s="51">
        <v>0.0</v>
      </c>
      <c r="R225" s="51">
        <v>0.0</v>
      </c>
      <c r="S225" s="51">
        <v>0.0</v>
      </c>
      <c r="T225" s="51">
        <v>0.0</v>
      </c>
      <c r="U225" s="51">
        <v>0.0</v>
      </c>
      <c r="V225" s="51">
        <v>0.0</v>
      </c>
      <c r="W225" s="51">
        <v>0.0</v>
      </c>
      <c r="X225" s="51">
        <v>0.0</v>
      </c>
      <c r="Y225" s="51">
        <v>0.0</v>
      </c>
      <c r="Z225" s="51">
        <v>0.0</v>
      </c>
      <c r="AA225" s="51">
        <v>0.0</v>
      </c>
      <c r="AB225" s="51">
        <v>0.0</v>
      </c>
      <c r="AC225" s="51">
        <v>0.0</v>
      </c>
      <c r="AD225" s="51">
        <v>0.0</v>
      </c>
      <c r="AE225" s="51">
        <v>0.0</v>
      </c>
      <c r="AF225" s="51">
        <v>0.0</v>
      </c>
      <c r="AG225" s="51">
        <v>0.0</v>
      </c>
      <c r="AH225" s="51">
        <v>0.0</v>
      </c>
      <c r="AI225" s="51">
        <v>0.0</v>
      </c>
      <c r="AJ225" s="51">
        <v>0.0</v>
      </c>
      <c r="AK225" s="51">
        <v>0.0</v>
      </c>
      <c r="AL225" s="51">
        <v>0.0</v>
      </c>
      <c r="AM225" s="51">
        <v>0.0</v>
      </c>
      <c r="AN225" s="51">
        <v>0.0</v>
      </c>
      <c r="AO225" s="51">
        <v>0.0</v>
      </c>
      <c r="AP225" s="51">
        <v>0.0</v>
      </c>
      <c r="AQ225" s="51">
        <v>0.0</v>
      </c>
      <c r="AR225" s="51">
        <v>0.0</v>
      </c>
      <c r="AS225" s="51">
        <v>0.0</v>
      </c>
      <c r="AT225" s="51">
        <v>0.0</v>
      </c>
      <c r="AU225" s="51">
        <v>0.0</v>
      </c>
      <c r="AV225" s="51">
        <v>0.0</v>
      </c>
      <c r="AW225" s="51">
        <v>0.0</v>
      </c>
      <c r="AX225" s="51">
        <v>0.0</v>
      </c>
      <c r="AY225" s="51">
        <v>0.0</v>
      </c>
      <c r="AZ225" s="51">
        <v>6.803</v>
      </c>
      <c r="BA225" s="51">
        <v>10.802</v>
      </c>
      <c r="BB225" s="51">
        <v>6.804</v>
      </c>
      <c r="BC225" s="51">
        <v>14.8</v>
      </c>
      <c r="BD225" s="51">
        <v>18.798</v>
      </c>
      <c r="BE225" s="51">
        <v>6.804</v>
      </c>
      <c r="BF225" s="51">
        <v>10.802</v>
      </c>
      <c r="BG225" s="51">
        <v>26.795</v>
      </c>
      <c r="BH225" s="51">
        <v>0.0</v>
      </c>
      <c r="BI225" s="51">
        <v>0.0</v>
      </c>
      <c r="BJ225" s="51">
        <v>0.0</v>
      </c>
      <c r="BK225" s="51">
        <v>0.0</v>
      </c>
      <c r="BL225" s="51">
        <v>0.0</v>
      </c>
      <c r="BM225" s="51">
        <v>0.0</v>
      </c>
      <c r="BN225" s="51">
        <v>0.0</v>
      </c>
      <c r="BO225" s="51">
        <v>0.0</v>
      </c>
      <c r="BP225" s="51">
        <v>0.0</v>
      </c>
      <c r="BQ225" s="51">
        <v>0.0</v>
      </c>
      <c r="BR225" s="51">
        <v>0.0</v>
      </c>
      <c r="BS225" s="51">
        <v>0.0</v>
      </c>
      <c r="BT225" s="51">
        <v>0.0</v>
      </c>
      <c r="BU225" s="51">
        <v>0.0</v>
      </c>
      <c r="BV225" s="51">
        <v>0.0</v>
      </c>
      <c r="BW225" s="106"/>
      <c r="BX225" s="106"/>
      <c r="BY225" s="106"/>
      <c r="BZ225" s="106"/>
      <c r="CA225" s="106"/>
      <c r="CB225" s="106"/>
      <c r="CC225" s="106"/>
      <c r="CD225" s="106"/>
      <c r="CE225" s="106"/>
      <c r="CF225" s="106"/>
      <c r="CG225" s="106"/>
      <c r="CH225" s="106"/>
      <c r="CI225" s="106"/>
      <c r="CJ225" s="106"/>
      <c r="CK225" s="106"/>
      <c r="CL225" s="106"/>
      <c r="CM225" s="106"/>
      <c r="CN225" s="106"/>
      <c r="CO225" s="106"/>
      <c r="CP225" s="106"/>
      <c r="CQ225" s="106"/>
      <c r="CR225" s="106"/>
      <c r="CS225" s="106"/>
      <c r="CT225" s="106"/>
      <c r="CU225" s="106"/>
      <c r="CV225" s="106"/>
      <c r="CW225" s="106"/>
      <c r="CX225" s="106"/>
      <c r="CY225" s="106"/>
      <c r="CZ225" s="106"/>
      <c r="DA225" s="106"/>
      <c r="DB225" s="106"/>
      <c r="DC225" s="106"/>
      <c r="DD225" s="106"/>
      <c r="DE225" s="106"/>
      <c r="DF225" s="106"/>
      <c r="DG225" s="106"/>
      <c r="DH225" s="106"/>
      <c r="DI225" s="106"/>
      <c r="DJ225" s="106"/>
      <c r="DK225" s="106"/>
      <c r="DL225" s="106"/>
      <c r="DM225" s="106"/>
      <c r="DN225" s="106"/>
      <c r="DO225" s="106"/>
      <c r="DP225" s="106"/>
      <c r="DQ225" s="106"/>
      <c r="DR225" s="106"/>
      <c r="DT225" s="50"/>
      <c r="DU225" s="50"/>
      <c r="DV225" s="50"/>
      <c r="DW225" s="50"/>
    </row>
    <row r="226" ht="15.75" hidden="1" customHeight="1" outlineLevel="1">
      <c r="B226" s="5" t="s">
        <v>85</v>
      </c>
      <c r="C226" s="72" t="s">
        <v>70</v>
      </c>
      <c r="E226" s="50">
        <f t="shared" ref="E226:M226" si="283">+SUMIFS($O226:$DR226,$O$7:$DR$7,E$7)</f>
        <v>0</v>
      </c>
      <c r="F226" s="50">
        <f t="shared" si="283"/>
        <v>0</v>
      </c>
      <c r="G226" s="50">
        <f t="shared" si="283"/>
        <v>0</v>
      </c>
      <c r="H226" s="50">
        <f t="shared" si="283"/>
        <v>22.045</v>
      </c>
      <c r="I226" s="50">
        <f t="shared" si="283"/>
        <v>88.179</v>
      </c>
      <c r="J226" s="50">
        <f t="shared" si="283"/>
        <v>0</v>
      </c>
      <c r="K226" s="50">
        <f t="shared" si="283"/>
        <v>0</v>
      </c>
      <c r="L226" s="50">
        <f t="shared" si="283"/>
        <v>0</v>
      </c>
      <c r="M226" s="50">
        <f t="shared" si="283"/>
        <v>0</v>
      </c>
      <c r="O226" s="51">
        <v>0.0</v>
      </c>
      <c r="P226" s="51">
        <v>0.0</v>
      </c>
      <c r="Q226" s="51">
        <v>0.0</v>
      </c>
      <c r="R226" s="51">
        <v>0.0</v>
      </c>
      <c r="S226" s="51">
        <v>0.0</v>
      </c>
      <c r="T226" s="51">
        <v>0.0</v>
      </c>
      <c r="U226" s="51">
        <v>0.0</v>
      </c>
      <c r="V226" s="51">
        <v>0.0</v>
      </c>
      <c r="W226" s="51">
        <v>0.0</v>
      </c>
      <c r="X226" s="51">
        <v>0.0</v>
      </c>
      <c r="Y226" s="51">
        <v>0.0</v>
      </c>
      <c r="Z226" s="51">
        <v>0.0</v>
      </c>
      <c r="AA226" s="51">
        <v>0.0</v>
      </c>
      <c r="AB226" s="51">
        <v>0.0</v>
      </c>
      <c r="AC226" s="51">
        <v>0.0</v>
      </c>
      <c r="AD226" s="51">
        <v>0.0</v>
      </c>
      <c r="AE226" s="51">
        <v>0.0</v>
      </c>
      <c r="AF226" s="51">
        <v>0.0</v>
      </c>
      <c r="AG226" s="51">
        <v>0.0</v>
      </c>
      <c r="AH226" s="51">
        <v>0.0</v>
      </c>
      <c r="AI226" s="51">
        <v>0.0</v>
      </c>
      <c r="AJ226" s="51">
        <v>0.0</v>
      </c>
      <c r="AK226" s="51">
        <v>0.0</v>
      </c>
      <c r="AL226" s="51">
        <v>0.0</v>
      </c>
      <c r="AM226" s="51">
        <v>0.0</v>
      </c>
      <c r="AN226" s="51">
        <v>0.0</v>
      </c>
      <c r="AO226" s="51">
        <v>0.0</v>
      </c>
      <c r="AP226" s="51">
        <v>0.0</v>
      </c>
      <c r="AQ226" s="51">
        <v>0.0</v>
      </c>
      <c r="AR226" s="51">
        <v>0.0</v>
      </c>
      <c r="AS226" s="51">
        <v>0.0</v>
      </c>
      <c r="AT226" s="51">
        <v>0.0</v>
      </c>
      <c r="AU226" s="51">
        <v>0.0</v>
      </c>
      <c r="AV226" s="51">
        <v>0.0</v>
      </c>
      <c r="AW226" s="51">
        <v>0.0</v>
      </c>
      <c r="AX226" s="51">
        <v>0.0</v>
      </c>
      <c r="AY226" s="51">
        <v>0.0</v>
      </c>
      <c r="AZ226" s="51">
        <v>0.0</v>
      </c>
      <c r="BA226" s="51">
        <v>0.0</v>
      </c>
      <c r="BB226" s="51">
        <v>0.0</v>
      </c>
      <c r="BC226" s="51">
        <v>0.0</v>
      </c>
      <c r="BD226" s="51">
        <v>0.0</v>
      </c>
      <c r="BE226" s="51">
        <v>0.0</v>
      </c>
      <c r="BF226" s="51">
        <v>0.0</v>
      </c>
      <c r="BG226" s="51">
        <v>0.0</v>
      </c>
      <c r="BH226" s="51">
        <v>11.022</v>
      </c>
      <c r="BI226" s="51">
        <v>5.512</v>
      </c>
      <c r="BJ226" s="51">
        <v>5.511</v>
      </c>
      <c r="BK226" s="51">
        <v>16.533</v>
      </c>
      <c r="BL226" s="51">
        <v>27.556</v>
      </c>
      <c r="BM226" s="51">
        <v>22.045</v>
      </c>
      <c r="BN226" s="51">
        <v>11.0225</v>
      </c>
      <c r="BO226" s="51">
        <v>11.0225</v>
      </c>
      <c r="BP226" s="51">
        <v>0.0</v>
      </c>
      <c r="BQ226" s="51">
        <v>0.0</v>
      </c>
      <c r="BR226" s="51">
        <v>0.0</v>
      </c>
      <c r="BS226" s="51">
        <v>0.0</v>
      </c>
      <c r="BT226" s="51">
        <v>0.0</v>
      </c>
      <c r="BU226" s="51">
        <v>0.0</v>
      </c>
      <c r="BV226" s="51">
        <v>0.0</v>
      </c>
      <c r="BW226" s="106"/>
      <c r="BX226" s="106"/>
      <c r="BY226" s="106"/>
      <c r="BZ226" s="106"/>
      <c r="CA226" s="106"/>
      <c r="CB226" s="106"/>
      <c r="CC226" s="106"/>
      <c r="CD226" s="106"/>
      <c r="CE226" s="106"/>
      <c r="CF226" s="106"/>
      <c r="CG226" s="106"/>
      <c r="CH226" s="106"/>
      <c r="CI226" s="106"/>
      <c r="CJ226" s="106"/>
      <c r="CK226" s="106"/>
      <c r="CL226" s="106"/>
      <c r="CM226" s="106"/>
      <c r="CN226" s="106"/>
      <c r="CO226" s="106"/>
      <c r="CP226" s="106"/>
      <c r="CQ226" s="106"/>
      <c r="CR226" s="106"/>
      <c r="CS226" s="106"/>
      <c r="CT226" s="106"/>
      <c r="CU226" s="106"/>
      <c r="CV226" s="106"/>
      <c r="CW226" s="106"/>
      <c r="CX226" s="106"/>
      <c r="CY226" s="106"/>
      <c r="CZ226" s="106"/>
      <c r="DA226" s="106"/>
      <c r="DB226" s="106"/>
      <c r="DC226" s="106"/>
      <c r="DD226" s="106"/>
      <c r="DE226" s="106"/>
      <c r="DF226" s="106"/>
      <c r="DG226" s="106"/>
      <c r="DH226" s="106"/>
      <c r="DI226" s="106"/>
      <c r="DJ226" s="106"/>
      <c r="DK226" s="106"/>
      <c r="DL226" s="106"/>
      <c r="DM226" s="106"/>
      <c r="DN226" s="106"/>
      <c r="DO226" s="106"/>
      <c r="DP226" s="106"/>
      <c r="DQ226" s="106"/>
      <c r="DR226" s="106"/>
      <c r="DT226" s="50"/>
      <c r="DU226" s="50"/>
      <c r="DV226" s="50"/>
      <c r="DW226" s="50"/>
    </row>
    <row r="227" ht="15.75" hidden="1" customHeight="1" outlineLevel="1">
      <c r="B227" s="5" t="s">
        <v>86</v>
      </c>
      <c r="C227" s="72" t="s">
        <v>70</v>
      </c>
      <c r="E227" s="50">
        <f t="shared" ref="E227:M227" si="284">+SUMIFS($O227:$DR227,$O$7:$DR$7,E$7)</f>
        <v>0</v>
      </c>
      <c r="F227" s="50">
        <f t="shared" si="284"/>
        <v>0</v>
      </c>
      <c r="G227" s="50">
        <f t="shared" si="284"/>
        <v>0</v>
      </c>
      <c r="H227" s="50">
        <f t="shared" si="284"/>
        <v>0</v>
      </c>
      <c r="I227" s="50">
        <f t="shared" si="284"/>
        <v>0</v>
      </c>
      <c r="J227" s="50">
        <f t="shared" si="284"/>
        <v>0</v>
      </c>
      <c r="K227" s="50">
        <f t="shared" si="284"/>
        <v>0</v>
      </c>
      <c r="L227" s="50">
        <f t="shared" si="284"/>
        <v>0</v>
      </c>
      <c r="M227" s="50">
        <f t="shared" si="284"/>
        <v>0</v>
      </c>
      <c r="O227" s="51">
        <v>0.0</v>
      </c>
      <c r="P227" s="51">
        <v>0.0</v>
      </c>
      <c r="Q227" s="51">
        <v>0.0</v>
      </c>
      <c r="R227" s="51">
        <v>0.0</v>
      </c>
      <c r="S227" s="51">
        <v>0.0</v>
      </c>
      <c r="T227" s="51">
        <v>0.0</v>
      </c>
      <c r="U227" s="51">
        <v>0.0</v>
      </c>
      <c r="V227" s="51">
        <v>0.0</v>
      </c>
      <c r="W227" s="51">
        <v>0.0</v>
      </c>
      <c r="X227" s="51">
        <v>0.0</v>
      </c>
      <c r="Y227" s="51">
        <v>0.0</v>
      </c>
      <c r="Z227" s="51">
        <v>0.0</v>
      </c>
      <c r="AA227" s="51">
        <v>0.0</v>
      </c>
      <c r="AB227" s="51">
        <v>0.0</v>
      </c>
      <c r="AC227" s="51">
        <v>0.0</v>
      </c>
      <c r="AD227" s="51">
        <v>0.0</v>
      </c>
      <c r="AE227" s="51">
        <v>0.0</v>
      </c>
      <c r="AF227" s="51">
        <v>0.0</v>
      </c>
      <c r="AG227" s="51">
        <v>0.0</v>
      </c>
      <c r="AH227" s="51">
        <v>0.0</v>
      </c>
      <c r="AI227" s="51">
        <v>0.0</v>
      </c>
      <c r="AJ227" s="51">
        <v>0.0</v>
      </c>
      <c r="AK227" s="51">
        <v>0.0</v>
      </c>
      <c r="AL227" s="51">
        <v>0.0</v>
      </c>
      <c r="AM227" s="51">
        <v>0.0</v>
      </c>
      <c r="AN227" s="51">
        <v>0.0</v>
      </c>
      <c r="AO227" s="51">
        <v>0.0</v>
      </c>
      <c r="AP227" s="51">
        <v>0.0</v>
      </c>
      <c r="AQ227" s="51">
        <v>0.0</v>
      </c>
      <c r="AR227" s="51">
        <v>0.0</v>
      </c>
      <c r="AS227" s="51">
        <v>0.0</v>
      </c>
      <c r="AT227" s="51">
        <v>0.0</v>
      </c>
      <c r="AU227" s="51">
        <v>0.0</v>
      </c>
      <c r="AV227" s="51">
        <v>0.0</v>
      </c>
      <c r="AW227" s="51">
        <v>0.0</v>
      </c>
      <c r="AX227" s="51">
        <v>0.0</v>
      </c>
      <c r="AY227" s="51">
        <v>0.0</v>
      </c>
      <c r="AZ227" s="51">
        <v>0.0</v>
      </c>
      <c r="BA227" s="51">
        <v>0.0</v>
      </c>
      <c r="BB227" s="51">
        <v>0.0</v>
      </c>
      <c r="BC227" s="51">
        <v>0.0</v>
      </c>
      <c r="BD227" s="51">
        <v>0.0</v>
      </c>
      <c r="BE227" s="51">
        <v>0.0</v>
      </c>
      <c r="BF227" s="51">
        <v>0.0</v>
      </c>
      <c r="BG227" s="51">
        <v>0.0</v>
      </c>
      <c r="BH227" s="51">
        <v>0.0</v>
      </c>
      <c r="BI227" s="51">
        <v>0.0</v>
      </c>
      <c r="BJ227" s="51">
        <v>0.0</v>
      </c>
      <c r="BK227" s="51">
        <v>0.0</v>
      </c>
      <c r="BL227" s="51">
        <v>0.0</v>
      </c>
      <c r="BM227" s="51">
        <v>0.0</v>
      </c>
      <c r="BN227" s="51">
        <v>0.0</v>
      </c>
      <c r="BO227" s="51">
        <v>0.0</v>
      </c>
      <c r="BP227" s="51">
        <v>0.0</v>
      </c>
      <c r="BQ227" s="51">
        <v>0.0</v>
      </c>
      <c r="BR227" s="51">
        <v>0.0</v>
      </c>
      <c r="BS227" s="51">
        <v>0.0</v>
      </c>
      <c r="BT227" s="51">
        <v>0.0</v>
      </c>
      <c r="BU227" s="51">
        <v>0.0</v>
      </c>
      <c r="BV227" s="51">
        <v>0.0</v>
      </c>
      <c r="BW227" s="106"/>
      <c r="BX227" s="106"/>
      <c r="BY227" s="106"/>
      <c r="BZ227" s="106"/>
      <c r="CA227" s="106"/>
      <c r="CB227" s="106"/>
      <c r="CC227" s="106"/>
      <c r="CD227" s="106"/>
      <c r="CE227" s="106"/>
      <c r="CF227" s="106"/>
      <c r="CG227" s="106"/>
      <c r="CH227" s="106"/>
      <c r="CI227" s="106"/>
      <c r="CJ227" s="106"/>
      <c r="CK227" s="106"/>
      <c r="CL227" s="106"/>
      <c r="CM227" s="106"/>
      <c r="CN227" s="106"/>
      <c r="CO227" s="106"/>
      <c r="CP227" s="106"/>
      <c r="CQ227" s="106"/>
      <c r="CR227" s="106"/>
      <c r="CS227" s="106"/>
      <c r="CT227" s="106"/>
      <c r="CU227" s="106"/>
      <c r="CV227" s="106"/>
      <c r="CW227" s="106"/>
      <c r="CX227" s="106"/>
      <c r="CY227" s="106"/>
      <c r="CZ227" s="106"/>
      <c r="DA227" s="106"/>
      <c r="DB227" s="106"/>
      <c r="DC227" s="106"/>
      <c r="DD227" s="106"/>
      <c r="DE227" s="106"/>
      <c r="DF227" s="106"/>
      <c r="DG227" s="106"/>
      <c r="DH227" s="106"/>
      <c r="DI227" s="106"/>
      <c r="DJ227" s="106"/>
      <c r="DK227" s="106"/>
      <c r="DL227" s="106"/>
      <c r="DM227" s="106"/>
      <c r="DN227" s="106"/>
      <c r="DO227" s="106"/>
      <c r="DP227" s="106"/>
      <c r="DQ227" s="106"/>
      <c r="DR227" s="106"/>
      <c r="DT227" s="50"/>
      <c r="DU227" s="50"/>
      <c r="DV227" s="50"/>
      <c r="DW227" s="50"/>
    </row>
    <row r="228" ht="15.75" hidden="1" customHeight="1" outlineLevel="1">
      <c r="B228" s="5" t="s">
        <v>87</v>
      </c>
      <c r="C228" s="72" t="s">
        <v>74</v>
      </c>
      <c r="E228" s="50">
        <f t="shared" ref="E228:M228" si="285">+SUMIFS($O228:$DR228,$O$7:$DR$7,E$7)</f>
        <v>0</v>
      </c>
      <c r="F228" s="50">
        <f t="shared" si="285"/>
        <v>0</v>
      </c>
      <c r="G228" s="50">
        <f t="shared" si="285"/>
        <v>0</v>
      </c>
      <c r="H228" s="50">
        <f t="shared" si="285"/>
        <v>0</v>
      </c>
      <c r="I228" s="50">
        <f t="shared" si="285"/>
        <v>0</v>
      </c>
      <c r="J228" s="50">
        <f t="shared" si="285"/>
        <v>0</v>
      </c>
      <c r="K228" s="50">
        <f t="shared" si="285"/>
        <v>0</v>
      </c>
      <c r="L228" s="50">
        <f t="shared" si="285"/>
        <v>0</v>
      </c>
      <c r="M228" s="50">
        <f t="shared" si="285"/>
        <v>0</v>
      </c>
      <c r="O228" s="51">
        <v>0.0</v>
      </c>
      <c r="P228" s="51">
        <v>0.0</v>
      </c>
      <c r="Q228" s="51">
        <v>0.0</v>
      </c>
      <c r="R228" s="51">
        <v>0.0</v>
      </c>
      <c r="S228" s="51">
        <v>0.0</v>
      </c>
      <c r="T228" s="51">
        <v>0.0</v>
      </c>
      <c r="U228" s="51">
        <v>0.0</v>
      </c>
      <c r="V228" s="51">
        <v>0.0</v>
      </c>
      <c r="W228" s="51">
        <v>0.0</v>
      </c>
      <c r="X228" s="51">
        <v>0.0</v>
      </c>
      <c r="Y228" s="51">
        <v>0.0</v>
      </c>
      <c r="Z228" s="51">
        <v>0.0</v>
      </c>
      <c r="AA228" s="51">
        <v>0.0</v>
      </c>
      <c r="AB228" s="51">
        <v>0.0</v>
      </c>
      <c r="AC228" s="51">
        <v>0.0</v>
      </c>
      <c r="AD228" s="51">
        <v>0.0</v>
      </c>
      <c r="AE228" s="51">
        <v>0.0</v>
      </c>
      <c r="AF228" s="51">
        <v>0.0</v>
      </c>
      <c r="AG228" s="51">
        <v>0.0</v>
      </c>
      <c r="AH228" s="51">
        <v>0.0</v>
      </c>
      <c r="AI228" s="51">
        <v>0.0</v>
      </c>
      <c r="AJ228" s="51">
        <v>0.0</v>
      </c>
      <c r="AK228" s="51">
        <v>0.0</v>
      </c>
      <c r="AL228" s="51">
        <v>0.0</v>
      </c>
      <c r="AM228" s="51">
        <v>0.0</v>
      </c>
      <c r="AN228" s="51">
        <v>0.0</v>
      </c>
      <c r="AO228" s="51">
        <v>0.0</v>
      </c>
      <c r="AP228" s="51">
        <v>0.0</v>
      </c>
      <c r="AQ228" s="51">
        <v>0.0</v>
      </c>
      <c r="AR228" s="51">
        <v>0.0</v>
      </c>
      <c r="AS228" s="51">
        <v>0.0</v>
      </c>
      <c r="AT228" s="51">
        <v>0.0</v>
      </c>
      <c r="AU228" s="51">
        <v>0.0</v>
      </c>
      <c r="AV228" s="51">
        <v>0.0</v>
      </c>
      <c r="AW228" s="51">
        <v>0.0</v>
      </c>
      <c r="AX228" s="51">
        <v>0.0</v>
      </c>
      <c r="AY228" s="51">
        <v>0.0</v>
      </c>
      <c r="AZ228" s="51">
        <v>0.0</v>
      </c>
      <c r="BA228" s="51">
        <v>0.0</v>
      </c>
      <c r="BB228" s="51">
        <v>0.0</v>
      </c>
      <c r="BC228" s="51">
        <v>0.0</v>
      </c>
      <c r="BD228" s="51">
        <v>0.0</v>
      </c>
      <c r="BE228" s="51">
        <v>0.0</v>
      </c>
      <c r="BF228" s="51">
        <v>0.0</v>
      </c>
      <c r="BG228" s="51">
        <v>0.0</v>
      </c>
      <c r="BH228" s="51">
        <v>0.0</v>
      </c>
      <c r="BI228" s="51">
        <v>0.0</v>
      </c>
      <c r="BJ228" s="51">
        <v>0.0</v>
      </c>
      <c r="BK228" s="51">
        <v>0.0</v>
      </c>
      <c r="BL228" s="51">
        <v>0.0</v>
      </c>
      <c r="BM228" s="51">
        <v>0.0</v>
      </c>
      <c r="BN228" s="51">
        <v>0.0</v>
      </c>
      <c r="BO228" s="51">
        <v>0.0</v>
      </c>
      <c r="BP228" s="51">
        <v>0.0</v>
      </c>
      <c r="BQ228" s="51">
        <v>0.0</v>
      </c>
      <c r="BR228" s="51">
        <v>0.0</v>
      </c>
      <c r="BS228" s="51">
        <v>0.0</v>
      </c>
      <c r="BT228" s="51">
        <v>0.0</v>
      </c>
      <c r="BU228" s="51">
        <v>0.0</v>
      </c>
      <c r="BV228" s="51">
        <v>0.0</v>
      </c>
      <c r="BW228" s="106"/>
      <c r="BX228" s="106"/>
      <c r="BY228" s="106"/>
      <c r="BZ228" s="106"/>
      <c r="CA228" s="106"/>
      <c r="CB228" s="106"/>
      <c r="CC228" s="106"/>
      <c r="CD228" s="106"/>
      <c r="CE228" s="106"/>
      <c r="CF228" s="106"/>
      <c r="CG228" s="106"/>
      <c r="CH228" s="106"/>
      <c r="CI228" s="106"/>
      <c r="CJ228" s="106"/>
      <c r="CK228" s="106"/>
      <c r="CL228" s="106"/>
      <c r="CM228" s="106"/>
      <c r="CN228" s="106"/>
      <c r="CO228" s="106"/>
      <c r="CP228" s="106"/>
      <c r="CQ228" s="106"/>
      <c r="CR228" s="106"/>
      <c r="CS228" s="106"/>
      <c r="CT228" s="106"/>
      <c r="CU228" s="106"/>
      <c r="CV228" s="106"/>
      <c r="CW228" s="106"/>
      <c r="CX228" s="106"/>
      <c r="CY228" s="106"/>
      <c r="CZ228" s="106"/>
      <c r="DA228" s="106"/>
      <c r="DB228" s="106"/>
      <c r="DC228" s="106"/>
      <c r="DD228" s="106"/>
      <c r="DE228" s="106"/>
      <c r="DF228" s="106"/>
      <c r="DG228" s="106"/>
      <c r="DH228" s="106"/>
      <c r="DI228" s="106"/>
      <c r="DJ228" s="106"/>
      <c r="DK228" s="106"/>
      <c r="DL228" s="106"/>
      <c r="DM228" s="106"/>
      <c r="DN228" s="106"/>
      <c r="DO228" s="106"/>
      <c r="DP228" s="106"/>
      <c r="DQ228" s="106"/>
      <c r="DR228" s="106"/>
      <c r="DT228" s="50"/>
      <c r="DU228" s="50"/>
      <c r="DV228" s="50"/>
      <c r="DW228" s="50"/>
    </row>
    <row r="229" ht="15.75" hidden="1" customHeight="1" outlineLevel="1">
      <c r="B229" s="5" t="s">
        <v>88</v>
      </c>
      <c r="C229" s="72" t="s">
        <v>74</v>
      </c>
      <c r="E229" s="50">
        <f t="shared" ref="E229:M229" si="286">+SUMIFS($O229:$DR229,$O$7:$DR$7,E$7)</f>
        <v>100</v>
      </c>
      <c r="F229" s="50">
        <f t="shared" si="286"/>
        <v>0</v>
      </c>
      <c r="G229" s="50">
        <f t="shared" si="286"/>
        <v>0</v>
      </c>
      <c r="H229" s="50">
        <f t="shared" si="286"/>
        <v>0</v>
      </c>
      <c r="I229" s="50">
        <f t="shared" si="286"/>
        <v>0</v>
      </c>
      <c r="J229" s="50">
        <f t="shared" si="286"/>
        <v>0</v>
      </c>
      <c r="K229" s="50">
        <f t="shared" si="286"/>
        <v>0</v>
      </c>
      <c r="L229" s="50">
        <f t="shared" si="286"/>
        <v>0</v>
      </c>
      <c r="M229" s="50">
        <f t="shared" si="286"/>
        <v>0</v>
      </c>
      <c r="O229" s="51">
        <v>0.0</v>
      </c>
      <c r="P229" s="51">
        <v>0.0</v>
      </c>
      <c r="Q229" s="51">
        <v>0.0</v>
      </c>
      <c r="R229" s="51">
        <v>0.0</v>
      </c>
      <c r="S229" s="51">
        <v>0.0</v>
      </c>
      <c r="T229" s="51">
        <v>5.0</v>
      </c>
      <c r="U229" s="51">
        <v>20.0</v>
      </c>
      <c r="V229" s="51">
        <v>5.0</v>
      </c>
      <c r="W229" s="51">
        <v>15.0</v>
      </c>
      <c r="X229" s="51">
        <v>25.0</v>
      </c>
      <c r="Y229" s="51">
        <v>25.0</v>
      </c>
      <c r="Z229" s="51">
        <v>5.0</v>
      </c>
      <c r="AA229" s="51">
        <v>0.0</v>
      </c>
      <c r="AB229" s="51">
        <v>0.0</v>
      </c>
      <c r="AC229" s="51">
        <v>0.0</v>
      </c>
      <c r="AD229" s="51">
        <v>0.0</v>
      </c>
      <c r="AE229" s="51">
        <v>0.0</v>
      </c>
      <c r="AF229" s="51">
        <v>0.0</v>
      </c>
      <c r="AG229" s="51">
        <v>0.0</v>
      </c>
      <c r="AH229" s="51">
        <v>0.0</v>
      </c>
      <c r="AI229" s="51">
        <v>0.0</v>
      </c>
      <c r="AJ229" s="51">
        <v>0.0</v>
      </c>
      <c r="AK229" s="51">
        <v>0.0</v>
      </c>
      <c r="AL229" s="51">
        <v>0.0</v>
      </c>
      <c r="AM229" s="51">
        <v>0.0</v>
      </c>
      <c r="AN229" s="51">
        <v>0.0</v>
      </c>
      <c r="AO229" s="51">
        <v>0.0</v>
      </c>
      <c r="AP229" s="51">
        <v>0.0</v>
      </c>
      <c r="AQ229" s="51">
        <v>0.0</v>
      </c>
      <c r="AR229" s="51">
        <v>0.0</v>
      </c>
      <c r="AS229" s="51">
        <v>0.0</v>
      </c>
      <c r="AT229" s="51">
        <v>0.0</v>
      </c>
      <c r="AU229" s="51">
        <v>0.0</v>
      </c>
      <c r="AV229" s="51">
        <v>0.0</v>
      </c>
      <c r="AW229" s="51">
        <v>0.0</v>
      </c>
      <c r="AX229" s="51">
        <v>0.0</v>
      </c>
      <c r="AY229" s="51">
        <v>0.0</v>
      </c>
      <c r="AZ229" s="51">
        <v>0.0</v>
      </c>
      <c r="BA229" s="51">
        <v>0.0</v>
      </c>
      <c r="BB229" s="51">
        <v>0.0</v>
      </c>
      <c r="BC229" s="51">
        <v>0.0</v>
      </c>
      <c r="BD229" s="51">
        <v>0.0</v>
      </c>
      <c r="BE229" s="51">
        <v>0.0</v>
      </c>
      <c r="BF229" s="51">
        <v>0.0</v>
      </c>
      <c r="BG229" s="51">
        <v>0.0</v>
      </c>
      <c r="BH229" s="51">
        <v>0.0</v>
      </c>
      <c r="BI229" s="51">
        <v>0.0</v>
      </c>
      <c r="BJ229" s="51">
        <v>0.0</v>
      </c>
      <c r="BK229" s="51">
        <v>0.0</v>
      </c>
      <c r="BL229" s="51">
        <v>0.0</v>
      </c>
      <c r="BM229" s="51">
        <v>0.0</v>
      </c>
      <c r="BN229" s="51">
        <v>0.0</v>
      </c>
      <c r="BO229" s="51">
        <v>0.0</v>
      </c>
      <c r="BP229" s="51">
        <v>0.0</v>
      </c>
      <c r="BQ229" s="51">
        <v>0.0</v>
      </c>
      <c r="BR229" s="51">
        <v>0.0</v>
      </c>
      <c r="BS229" s="51">
        <v>0.0</v>
      </c>
      <c r="BT229" s="51">
        <v>0.0</v>
      </c>
      <c r="BU229" s="51">
        <v>0.0</v>
      </c>
      <c r="BV229" s="51">
        <v>0.0</v>
      </c>
      <c r="BW229" s="106"/>
      <c r="BX229" s="106"/>
      <c r="BY229" s="106"/>
      <c r="BZ229" s="106"/>
      <c r="CA229" s="106"/>
      <c r="CB229" s="106"/>
      <c r="CC229" s="106"/>
      <c r="CD229" s="106"/>
      <c r="CE229" s="106"/>
      <c r="CF229" s="106"/>
      <c r="CG229" s="106"/>
      <c r="CH229" s="106"/>
      <c r="CI229" s="106"/>
      <c r="CJ229" s="106"/>
      <c r="CK229" s="106"/>
      <c r="CL229" s="106"/>
      <c r="CM229" s="106"/>
      <c r="CN229" s="106"/>
      <c r="CO229" s="106"/>
      <c r="CP229" s="106"/>
      <c r="CQ229" s="106"/>
      <c r="CR229" s="106"/>
      <c r="CS229" s="106"/>
      <c r="CT229" s="106"/>
      <c r="CU229" s="106"/>
      <c r="CV229" s="106"/>
      <c r="CW229" s="106"/>
      <c r="CX229" s="106"/>
      <c r="CY229" s="106"/>
      <c r="CZ229" s="106"/>
      <c r="DA229" s="106"/>
      <c r="DB229" s="106"/>
      <c r="DC229" s="106"/>
      <c r="DD229" s="106"/>
      <c r="DE229" s="106"/>
      <c r="DF229" s="106"/>
      <c r="DG229" s="106"/>
      <c r="DH229" s="106"/>
      <c r="DI229" s="106"/>
      <c r="DJ229" s="106"/>
      <c r="DK229" s="106"/>
      <c r="DL229" s="106"/>
      <c r="DM229" s="106"/>
      <c r="DN229" s="106"/>
      <c r="DO229" s="106"/>
      <c r="DP229" s="106"/>
      <c r="DQ229" s="106"/>
      <c r="DR229" s="106"/>
      <c r="DT229" s="50"/>
      <c r="DU229" s="50"/>
      <c r="DV229" s="50"/>
      <c r="DW229" s="50"/>
    </row>
    <row r="230" ht="15.75" hidden="1" customHeight="1" outlineLevel="1">
      <c r="B230" s="5" t="s">
        <v>89</v>
      </c>
      <c r="C230" s="72" t="s">
        <v>76</v>
      </c>
      <c r="E230" s="50">
        <f t="shared" ref="E230:M230" si="287">+SUMIFS($O230:$DR230,$O$7:$DR$7,E$7)</f>
        <v>118.658</v>
      </c>
      <c r="F230" s="50">
        <f t="shared" si="287"/>
        <v>220.36</v>
      </c>
      <c r="G230" s="50">
        <f t="shared" si="287"/>
        <v>0</v>
      </c>
      <c r="H230" s="50">
        <f t="shared" si="287"/>
        <v>0</v>
      </c>
      <c r="I230" s="50">
        <f t="shared" si="287"/>
        <v>0</v>
      </c>
      <c r="J230" s="50">
        <f t="shared" si="287"/>
        <v>0</v>
      </c>
      <c r="K230" s="50">
        <f t="shared" si="287"/>
        <v>0</v>
      </c>
      <c r="L230" s="50">
        <f t="shared" si="287"/>
        <v>0</v>
      </c>
      <c r="M230" s="50">
        <f t="shared" si="287"/>
        <v>0</v>
      </c>
      <c r="O230" s="51">
        <v>0.0</v>
      </c>
      <c r="P230" s="51">
        <v>0.0</v>
      </c>
      <c r="Q230" s="51">
        <v>0.0</v>
      </c>
      <c r="R230" s="51">
        <v>0.0</v>
      </c>
      <c r="S230" s="51">
        <v>0.0</v>
      </c>
      <c r="T230" s="51">
        <v>0.0</v>
      </c>
      <c r="U230" s="51">
        <v>16.951</v>
      </c>
      <c r="V230" s="51">
        <v>16.951</v>
      </c>
      <c r="W230" s="51">
        <v>33.902</v>
      </c>
      <c r="X230" s="51">
        <v>16.951</v>
      </c>
      <c r="Y230" s="51">
        <v>33.903</v>
      </c>
      <c r="Z230" s="51">
        <v>0.0</v>
      </c>
      <c r="AA230" s="51">
        <v>50.853</v>
      </c>
      <c r="AB230" s="51">
        <v>28.252</v>
      </c>
      <c r="AC230" s="51">
        <v>0.0</v>
      </c>
      <c r="AD230" s="51">
        <v>28.23</v>
      </c>
      <c r="AE230" s="51">
        <v>28.274</v>
      </c>
      <c r="AF230" s="51">
        <v>0.0</v>
      </c>
      <c r="AG230" s="51">
        <v>16.952</v>
      </c>
      <c r="AH230" s="51">
        <v>16.946</v>
      </c>
      <c r="AI230" s="51">
        <v>16.951</v>
      </c>
      <c r="AJ230" s="51">
        <v>16.951</v>
      </c>
      <c r="AK230" s="51">
        <v>16.951</v>
      </c>
      <c r="AL230" s="51">
        <v>0.0</v>
      </c>
      <c r="AM230" s="51">
        <v>0.0</v>
      </c>
      <c r="AN230" s="51">
        <v>0.0</v>
      </c>
      <c r="AO230" s="51">
        <v>0.0</v>
      </c>
      <c r="AP230" s="51">
        <v>0.0</v>
      </c>
      <c r="AQ230" s="51">
        <v>0.0</v>
      </c>
      <c r="AR230" s="51">
        <v>0.0</v>
      </c>
      <c r="AS230" s="51">
        <v>0.0</v>
      </c>
      <c r="AT230" s="51">
        <v>0.0</v>
      </c>
      <c r="AU230" s="51">
        <v>0.0</v>
      </c>
      <c r="AV230" s="51">
        <v>0.0</v>
      </c>
      <c r="AW230" s="51">
        <v>0.0</v>
      </c>
      <c r="AX230" s="51">
        <v>0.0</v>
      </c>
      <c r="AY230" s="51">
        <v>0.0</v>
      </c>
      <c r="AZ230" s="51">
        <v>0.0</v>
      </c>
      <c r="BA230" s="51">
        <v>0.0</v>
      </c>
      <c r="BB230" s="51">
        <v>0.0</v>
      </c>
      <c r="BC230" s="51">
        <v>0.0</v>
      </c>
      <c r="BD230" s="51">
        <v>0.0</v>
      </c>
      <c r="BE230" s="51">
        <v>0.0</v>
      </c>
      <c r="BF230" s="51">
        <v>0.0</v>
      </c>
      <c r="BG230" s="51">
        <v>0.0</v>
      </c>
      <c r="BH230" s="51">
        <v>0.0</v>
      </c>
      <c r="BI230" s="51">
        <v>0.0</v>
      </c>
      <c r="BJ230" s="51">
        <v>0.0</v>
      </c>
      <c r="BK230" s="51">
        <v>0.0</v>
      </c>
      <c r="BL230" s="51">
        <v>0.0</v>
      </c>
      <c r="BM230" s="51">
        <v>0.0</v>
      </c>
      <c r="BN230" s="51">
        <v>0.0</v>
      </c>
      <c r="BO230" s="51">
        <v>0.0</v>
      </c>
      <c r="BP230" s="51">
        <v>0.0</v>
      </c>
      <c r="BQ230" s="51">
        <v>0.0</v>
      </c>
      <c r="BR230" s="51">
        <v>0.0</v>
      </c>
      <c r="BS230" s="51">
        <v>0.0</v>
      </c>
      <c r="BT230" s="51">
        <v>0.0</v>
      </c>
      <c r="BU230" s="51">
        <v>0.0</v>
      </c>
      <c r="BV230" s="51">
        <v>0.0</v>
      </c>
      <c r="BW230" s="106"/>
      <c r="BX230" s="106"/>
      <c r="BY230" s="106"/>
      <c r="BZ230" s="106"/>
      <c r="CA230" s="106"/>
      <c r="CB230" s="106"/>
      <c r="CC230" s="106"/>
      <c r="CD230" s="106"/>
      <c r="CE230" s="106"/>
      <c r="CF230" s="106"/>
      <c r="CG230" s="106"/>
      <c r="CH230" s="106"/>
      <c r="CI230" s="106"/>
      <c r="CJ230" s="106"/>
      <c r="CK230" s="106"/>
      <c r="CL230" s="106"/>
      <c r="CM230" s="106"/>
      <c r="CN230" s="106"/>
      <c r="CO230" s="106"/>
      <c r="CP230" s="106"/>
      <c r="CQ230" s="106"/>
      <c r="CR230" s="106"/>
      <c r="CS230" s="106"/>
      <c r="CT230" s="106"/>
      <c r="CU230" s="106"/>
      <c r="CV230" s="106"/>
      <c r="CW230" s="106"/>
      <c r="CX230" s="106"/>
      <c r="CY230" s="106"/>
      <c r="CZ230" s="106"/>
      <c r="DA230" s="106"/>
      <c r="DB230" s="106"/>
      <c r="DC230" s="106"/>
      <c r="DD230" s="106"/>
      <c r="DE230" s="106"/>
      <c r="DF230" s="106"/>
      <c r="DG230" s="106"/>
      <c r="DH230" s="106"/>
      <c r="DI230" s="106"/>
      <c r="DJ230" s="106"/>
      <c r="DK230" s="106"/>
      <c r="DL230" s="106"/>
      <c r="DM230" s="106"/>
      <c r="DN230" s="106"/>
      <c r="DO230" s="106"/>
      <c r="DP230" s="106"/>
      <c r="DQ230" s="106"/>
      <c r="DR230" s="106"/>
      <c r="DT230" s="50"/>
      <c r="DU230" s="50"/>
      <c r="DV230" s="50"/>
      <c r="DW230" s="50"/>
    </row>
    <row r="231" ht="15.75" hidden="1" customHeight="1" outlineLevel="1">
      <c r="B231" s="5" t="s">
        <v>90</v>
      </c>
      <c r="C231" s="72" t="s">
        <v>74</v>
      </c>
      <c r="E231" s="50">
        <f t="shared" ref="E231:M231" si="288">+SUMIFS($O231:$DR231,$O$7:$DR$7,E$7)</f>
        <v>0</v>
      </c>
      <c r="F231" s="50">
        <f t="shared" si="288"/>
        <v>0</v>
      </c>
      <c r="G231" s="50">
        <f t="shared" si="288"/>
        <v>61.061</v>
      </c>
      <c r="H231" s="50">
        <f t="shared" si="288"/>
        <v>34.859</v>
      </c>
      <c r="I231" s="50">
        <f t="shared" si="288"/>
        <v>0</v>
      </c>
      <c r="J231" s="50">
        <f t="shared" si="288"/>
        <v>0</v>
      </c>
      <c r="K231" s="50">
        <f t="shared" si="288"/>
        <v>0</v>
      </c>
      <c r="L231" s="50">
        <f t="shared" si="288"/>
        <v>0</v>
      </c>
      <c r="M231" s="50">
        <f t="shared" si="288"/>
        <v>0</v>
      </c>
      <c r="O231" s="51">
        <v>0.0</v>
      </c>
      <c r="P231" s="51">
        <v>0.0</v>
      </c>
      <c r="Q231" s="51">
        <v>0.0</v>
      </c>
      <c r="R231" s="51">
        <v>0.0</v>
      </c>
      <c r="S231" s="51">
        <v>0.0</v>
      </c>
      <c r="T231" s="51">
        <v>0.0</v>
      </c>
      <c r="U231" s="51">
        <v>0.0</v>
      </c>
      <c r="V231" s="51">
        <v>0.0</v>
      </c>
      <c r="W231" s="51">
        <v>0.0</v>
      </c>
      <c r="X231" s="51">
        <v>0.0</v>
      </c>
      <c r="Y231" s="51">
        <v>0.0</v>
      </c>
      <c r="Z231" s="51">
        <v>0.0</v>
      </c>
      <c r="AA231" s="51">
        <v>0.0</v>
      </c>
      <c r="AB231" s="51">
        <v>0.0</v>
      </c>
      <c r="AC231" s="51">
        <v>0.0</v>
      </c>
      <c r="AD231" s="51">
        <v>0.0</v>
      </c>
      <c r="AE231" s="51">
        <v>0.0</v>
      </c>
      <c r="AF231" s="51">
        <v>0.0</v>
      </c>
      <c r="AG231" s="51">
        <v>0.0</v>
      </c>
      <c r="AH231" s="51">
        <v>0.0</v>
      </c>
      <c r="AI231" s="51">
        <v>0.0</v>
      </c>
      <c r="AJ231" s="51">
        <v>0.0</v>
      </c>
      <c r="AK231" s="51">
        <v>0.0</v>
      </c>
      <c r="AL231" s="51">
        <v>0.0</v>
      </c>
      <c r="AM231" s="51">
        <v>0.0</v>
      </c>
      <c r="AN231" s="51">
        <v>0.0</v>
      </c>
      <c r="AO231" s="51">
        <v>0.0</v>
      </c>
      <c r="AP231" s="51">
        <v>0.0</v>
      </c>
      <c r="AQ231" s="51">
        <v>0.0</v>
      </c>
      <c r="AR231" s="51">
        <v>0.0</v>
      </c>
      <c r="AS231" s="51">
        <v>0.0</v>
      </c>
      <c r="AT231" s="51">
        <v>0.0</v>
      </c>
      <c r="AU231" s="51">
        <v>30.53</v>
      </c>
      <c r="AV231" s="51">
        <v>30.531</v>
      </c>
      <c r="AW231" s="51">
        <v>0.0</v>
      </c>
      <c r="AX231" s="51">
        <v>0.0</v>
      </c>
      <c r="AY231" s="51">
        <v>3.055</v>
      </c>
      <c r="AZ231" s="51">
        <v>9.864</v>
      </c>
      <c r="BA231" s="51">
        <v>2.756</v>
      </c>
      <c r="BB231" s="51">
        <v>19.184</v>
      </c>
      <c r="BC231" s="51">
        <v>0.0</v>
      </c>
      <c r="BD231" s="51">
        <v>0.0</v>
      </c>
      <c r="BE231" s="51">
        <v>0.0</v>
      </c>
      <c r="BF231" s="51">
        <v>0.0</v>
      </c>
      <c r="BG231" s="51">
        <v>0.0</v>
      </c>
      <c r="BH231" s="51">
        <v>0.0</v>
      </c>
      <c r="BI231" s="51">
        <v>0.0</v>
      </c>
      <c r="BJ231" s="51">
        <v>0.0</v>
      </c>
      <c r="BK231" s="51">
        <v>0.0</v>
      </c>
      <c r="BL231" s="51">
        <v>0.0</v>
      </c>
      <c r="BM231" s="51">
        <v>0.0</v>
      </c>
      <c r="BN231" s="51">
        <v>0.0</v>
      </c>
      <c r="BO231" s="51">
        <v>0.0</v>
      </c>
      <c r="BP231" s="51">
        <v>0.0</v>
      </c>
      <c r="BQ231" s="51">
        <v>0.0</v>
      </c>
      <c r="BR231" s="51">
        <v>0.0</v>
      </c>
      <c r="BS231" s="51">
        <v>0.0</v>
      </c>
      <c r="BT231" s="51">
        <v>0.0</v>
      </c>
      <c r="BU231" s="51">
        <v>0.0</v>
      </c>
      <c r="BV231" s="51">
        <v>0.0</v>
      </c>
      <c r="BW231" s="106"/>
      <c r="BX231" s="106"/>
      <c r="BY231" s="106"/>
      <c r="BZ231" s="106"/>
      <c r="CA231" s="106"/>
      <c r="CB231" s="106"/>
      <c r="CC231" s="106"/>
      <c r="CD231" s="106"/>
      <c r="CE231" s="106"/>
      <c r="CF231" s="106"/>
      <c r="CG231" s="106"/>
      <c r="CH231" s="106"/>
      <c r="CI231" s="106"/>
      <c r="CJ231" s="106"/>
      <c r="CK231" s="106"/>
      <c r="CL231" s="106"/>
      <c r="CM231" s="106"/>
      <c r="CN231" s="106"/>
      <c r="CO231" s="106"/>
      <c r="CP231" s="106"/>
      <c r="CQ231" s="106"/>
      <c r="CR231" s="106"/>
      <c r="CS231" s="106"/>
      <c r="CT231" s="106"/>
      <c r="CU231" s="106"/>
      <c r="CV231" s="106"/>
      <c r="CW231" s="106"/>
      <c r="CX231" s="106"/>
      <c r="CY231" s="106"/>
      <c r="CZ231" s="106"/>
      <c r="DA231" s="106"/>
      <c r="DB231" s="106"/>
      <c r="DC231" s="106"/>
      <c r="DD231" s="106"/>
      <c r="DE231" s="106"/>
      <c r="DF231" s="106"/>
      <c r="DG231" s="106"/>
      <c r="DH231" s="106"/>
      <c r="DI231" s="106"/>
      <c r="DJ231" s="106"/>
      <c r="DK231" s="106"/>
      <c r="DL231" s="106"/>
      <c r="DM231" s="106"/>
      <c r="DN231" s="106"/>
      <c r="DO231" s="106"/>
      <c r="DP231" s="106"/>
      <c r="DQ231" s="106"/>
      <c r="DR231" s="106"/>
      <c r="DT231" s="50"/>
      <c r="DU231" s="50"/>
      <c r="DV231" s="50"/>
      <c r="DW231" s="50"/>
    </row>
    <row r="232" ht="15.75" hidden="1" customHeight="1" outlineLevel="1">
      <c r="B232" s="5" t="s">
        <v>91</v>
      </c>
      <c r="C232" s="72" t="s">
        <v>74</v>
      </c>
      <c r="E232" s="50">
        <f t="shared" ref="E232:M232" si="289">+SUMIFS($O232:$DR232,$O$7:$DR$7,E$7)</f>
        <v>25.032</v>
      </c>
      <c r="F232" s="50">
        <f t="shared" si="289"/>
        <v>0</v>
      </c>
      <c r="G232" s="50">
        <f t="shared" si="289"/>
        <v>0</v>
      </c>
      <c r="H232" s="50">
        <f t="shared" si="289"/>
        <v>0</v>
      </c>
      <c r="I232" s="50">
        <f t="shared" si="289"/>
        <v>0</v>
      </c>
      <c r="J232" s="50">
        <f t="shared" si="289"/>
        <v>0</v>
      </c>
      <c r="K232" s="50">
        <f t="shared" si="289"/>
        <v>0</v>
      </c>
      <c r="L232" s="50">
        <f t="shared" si="289"/>
        <v>0</v>
      </c>
      <c r="M232" s="50">
        <f t="shared" si="289"/>
        <v>0</v>
      </c>
      <c r="O232" s="51">
        <v>17.5</v>
      </c>
      <c r="P232" s="51">
        <v>0.0</v>
      </c>
      <c r="Q232" s="51">
        <v>14.0</v>
      </c>
      <c r="R232" s="51">
        <v>3.5</v>
      </c>
      <c r="S232" s="51">
        <v>-9.968</v>
      </c>
      <c r="T232" s="51">
        <v>0.0</v>
      </c>
      <c r="U232" s="51">
        <v>0.0</v>
      </c>
      <c r="V232" s="51">
        <v>0.0</v>
      </c>
      <c r="W232" s="51">
        <v>0.0</v>
      </c>
      <c r="X232" s="51">
        <v>0.0</v>
      </c>
      <c r="Y232" s="51">
        <v>0.0</v>
      </c>
      <c r="Z232" s="51">
        <v>0.0</v>
      </c>
      <c r="AA232" s="51">
        <v>0.0</v>
      </c>
      <c r="AB232" s="51">
        <v>0.0</v>
      </c>
      <c r="AC232" s="51">
        <v>0.0</v>
      </c>
      <c r="AD232" s="51">
        <v>0.0</v>
      </c>
      <c r="AE232" s="51">
        <v>0.0</v>
      </c>
      <c r="AF232" s="51">
        <v>0.0</v>
      </c>
      <c r="AG232" s="51">
        <v>0.0</v>
      </c>
      <c r="AH232" s="51">
        <v>0.0</v>
      </c>
      <c r="AI232" s="51">
        <v>0.0</v>
      </c>
      <c r="AJ232" s="51">
        <v>0.0</v>
      </c>
      <c r="AK232" s="51">
        <v>0.0</v>
      </c>
      <c r="AL232" s="51">
        <v>0.0</v>
      </c>
      <c r="AM232" s="51">
        <v>0.0</v>
      </c>
      <c r="AN232" s="51">
        <v>0.0</v>
      </c>
      <c r="AO232" s="51">
        <v>0.0</v>
      </c>
      <c r="AP232" s="51">
        <v>0.0</v>
      </c>
      <c r="AQ232" s="51">
        <v>0.0</v>
      </c>
      <c r="AR232" s="51">
        <v>0.0</v>
      </c>
      <c r="AS232" s="51">
        <v>0.0</v>
      </c>
      <c r="AT232" s="51">
        <v>0.0</v>
      </c>
      <c r="AU232" s="51">
        <v>0.0</v>
      </c>
      <c r="AV232" s="51">
        <v>0.0</v>
      </c>
      <c r="AW232" s="51">
        <v>0.0</v>
      </c>
      <c r="AX232" s="51">
        <v>0.0</v>
      </c>
      <c r="AY232" s="51">
        <v>0.0</v>
      </c>
      <c r="AZ232" s="51">
        <v>0.0</v>
      </c>
      <c r="BA232" s="51">
        <v>0.0</v>
      </c>
      <c r="BB232" s="51">
        <v>0.0</v>
      </c>
      <c r="BC232" s="51">
        <v>0.0</v>
      </c>
      <c r="BD232" s="51">
        <v>0.0</v>
      </c>
      <c r="BE232" s="51">
        <v>0.0</v>
      </c>
      <c r="BF232" s="51">
        <v>0.0</v>
      </c>
      <c r="BG232" s="51">
        <v>0.0</v>
      </c>
      <c r="BH232" s="51">
        <v>0.0</v>
      </c>
      <c r="BI232" s="51">
        <v>0.0</v>
      </c>
      <c r="BJ232" s="51">
        <v>0.0</v>
      </c>
      <c r="BK232" s="51">
        <v>0.0</v>
      </c>
      <c r="BL232" s="51">
        <v>0.0</v>
      </c>
      <c r="BM232" s="51">
        <v>0.0</v>
      </c>
      <c r="BN232" s="51">
        <v>0.0</v>
      </c>
      <c r="BO232" s="51">
        <v>0.0</v>
      </c>
      <c r="BP232" s="51">
        <v>0.0</v>
      </c>
      <c r="BQ232" s="51">
        <v>0.0</v>
      </c>
      <c r="BR232" s="51">
        <v>0.0</v>
      </c>
      <c r="BS232" s="51">
        <v>0.0</v>
      </c>
      <c r="BT232" s="51">
        <v>0.0</v>
      </c>
      <c r="BU232" s="51">
        <v>0.0</v>
      </c>
      <c r="BV232" s="51">
        <v>0.0</v>
      </c>
      <c r="BW232" s="106"/>
      <c r="BX232" s="106"/>
      <c r="BY232" s="106"/>
      <c r="BZ232" s="106"/>
      <c r="CA232" s="106"/>
      <c r="CB232" s="106"/>
      <c r="CC232" s="106"/>
      <c r="CD232" s="106"/>
      <c r="CE232" s="106"/>
      <c r="CF232" s="106"/>
      <c r="CG232" s="106"/>
      <c r="CH232" s="106"/>
      <c r="CI232" s="106"/>
      <c r="CJ232" s="106"/>
      <c r="CK232" s="106"/>
      <c r="CL232" s="106"/>
      <c r="CM232" s="106"/>
      <c r="CN232" s="106"/>
      <c r="CO232" s="106"/>
      <c r="CP232" s="106"/>
      <c r="CQ232" s="106"/>
      <c r="CR232" s="106"/>
      <c r="CS232" s="106"/>
      <c r="CT232" s="106"/>
      <c r="CU232" s="106"/>
      <c r="CV232" s="106"/>
      <c r="CW232" s="106"/>
      <c r="CX232" s="106"/>
      <c r="CY232" s="106"/>
      <c r="CZ232" s="106"/>
      <c r="DA232" s="106"/>
      <c r="DB232" s="106"/>
      <c r="DC232" s="106"/>
      <c r="DD232" s="106"/>
      <c r="DE232" s="106"/>
      <c r="DF232" s="106"/>
      <c r="DG232" s="106"/>
      <c r="DH232" s="106"/>
      <c r="DI232" s="106"/>
      <c r="DJ232" s="106"/>
      <c r="DK232" s="106"/>
      <c r="DL232" s="106"/>
      <c r="DM232" s="106"/>
      <c r="DN232" s="106"/>
      <c r="DO232" s="106"/>
      <c r="DP232" s="106"/>
      <c r="DQ232" s="106"/>
      <c r="DR232" s="106"/>
      <c r="DT232" s="50"/>
      <c r="DU232" s="50"/>
      <c r="DV232" s="50"/>
      <c r="DW232" s="50"/>
    </row>
    <row r="233" ht="15.75" hidden="1" customHeight="1" outlineLevel="1">
      <c r="B233" s="5" t="s">
        <v>92</v>
      </c>
      <c r="C233" s="72" t="s">
        <v>76</v>
      </c>
      <c r="E233" s="50">
        <f t="shared" ref="E233:M233" si="290">+SUMIFS($O233:$DR233,$O$7:$DR$7,E$7)</f>
        <v>59.037</v>
      </c>
      <c r="F233" s="50">
        <f t="shared" si="290"/>
        <v>-0.005</v>
      </c>
      <c r="G233" s="50">
        <f t="shared" si="290"/>
        <v>0.001</v>
      </c>
      <c r="H233" s="50">
        <f t="shared" si="290"/>
        <v>0</v>
      </c>
      <c r="I233" s="50">
        <f t="shared" si="290"/>
        <v>0</v>
      </c>
      <c r="J233" s="50">
        <f t="shared" si="290"/>
        <v>0</v>
      </c>
      <c r="K233" s="50">
        <f t="shared" si="290"/>
        <v>0</v>
      </c>
      <c r="L233" s="50">
        <f t="shared" si="290"/>
        <v>0</v>
      </c>
      <c r="M233" s="50">
        <f t="shared" si="290"/>
        <v>0</v>
      </c>
      <c r="O233" s="51">
        <v>15.76</v>
      </c>
      <c r="P233" s="51">
        <v>6.379</v>
      </c>
      <c r="Q233" s="51">
        <v>29.519</v>
      </c>
      <c r="R233" s="51">
        <v>7.379</v>
      </c>
      <c r="S233" s="51">
        <v>0.0</v>
      </c>
      <c r="T233" s="51">
        <v>0.0</v>
      </c>
      <c r="U233" s="51">
        <v>0.0</v>
      </c>
      <c r="V233" s="51">
        <v>0.0</v>
      </c>
      <c r="W233" s="51">
        <v>0.0</v>
      </c>
      <c r="X233" s="51">
        <v>0.0</v>
      </c>
      <c r="Y233" s="51">
        <v>0.0</v>
      </c>
      <c r="Z233" s="51">
        <v>0.0</v>
      </c>
      <c r="AA233" s="51">
        <v>0.0</v>
      </c>
      <c r="AB233" s="51">
        <v>0.0</v>
      </c>
      <c r="AC233" s="51">
        <v>0.0</v>
      </c>
      <c r="AD233" s="51">
        <v>0.0</v>
      </c>
      <c r="AE233" s="51">
        <v>0.0</v>
      </c>
      <c r="AF233" s="51">
        <v>0.0</v>
      </c>
      <c r="AG233" s="51">
        <v>0.0</v>
      </c>
      <c r="AH233" s="51">
        <v>-0.006</v>
      </c>
      <c r="AI233" s="51">
        <v>0.0</v>
      </c>
      <c r="AJ233" s="51">
        <v>0.001</v>
      </c>
      <c r="AK233" s="51">
        <v>0.0</v>
      </c>
      <c r="AL233" s="51">
        <v>0.0</v>
      </c>
      <c r="AM233" s="51">
        <v>0.0</v>
      </c>
      <c r="AN233" s="51">
        <v>0.001</v>
      </c>
      <c r="AO233" s="51">
        <v>-0.001</v>
      </c>
      <c r="AP233" s="51">
        <v>-0.001</v>
      </c>
      <c r="AQ233" s="51">
        <v>0.001</v>
      </c>
      <c r="AR233" s="51">
        <v>0.0</v>
      </c>
      <c r="AS233" s="51">
        <v>0.0</v>
      </c>
      <c r="AT233" s="51">
        <v>0.001</v>
      </c>
      <c r="AU233" s="51">
        <v>0.0</v>
      </c>
      <c r="AV233" s="51">
        <v>-0.001</v>
      </c>
      <c r="AW233" s="51">
        <v>0.001</v>
      </c>
      <c r="AX233" s="51">
        <v>0.0</v>
      </c>
      <c r="AY233" s="51">
        <v>0.0</v>
      </c>
      <c r="AZ233" s="51">
        <v>0.0</v>
      </c>
      <c r="BA233" s="51">
        <v>0.0</v>
      </c>
      <c r="BB233" s="51">
        <v>0.0</v>
      </c>
      <c r="BC233" s="51">
        <v>0.0</v>
      </c>
      <c r="BD233" s="51">
        <v>0.0</v>
      </c>
      <c r="BE233" s="51">
        <v>0.0</v>
      </c>
      <c r="BF233" s="51">
        <v>0.0</v>
      </c>
      <c r="BG233" s="51">
        <v>0.0</v>
      </c>
      <c r="BH233" s="51">
        <v>0.0</v>
      </c>
      <c r="BI233" s="51">
        <v>0.0</v>
      </c>
      <c r="BJ233" s="51">
        <v>0.0</v>
      </c>
      <c r="BK233" s="51">
        <v>0.0</v>
      </c>
      <c r="BL233" s="51">
        <v>0.0</v>
      </c>
      <c r="BM233" s="51">
        <v>0.0</v>
      </c>
      <c r="BN233" s="51">
        <v>0.0</v>
      </c>
      <c r="BO233" s="51">
        <v>0.0</v>
      </c>
      <c r="BP233" s="51">
        <v>0.0</v>
      </c>
      <c r="BQ233" s="51">
        <v>0.0</v>
      </c>
      <c r="BR233" s="51">
        <v>0.0</v>
      </c>
      <c r="BS233" s="51">
        <v>0.0</v>
      </c>
      <c r="BT233" s="51">
        <v>0.0</v>
      </c>
      <c r="BU233" s="51">
        <v>0.0</v>
      </c>
      <c r="BV233" s="51">
        <v>0.0</v>
      </c>
      <c r="BW233" s="106"/>
      <c r="BX233" s="106"/>
      <c r="BY233" s="106"/>
      <c r="BZ233" s="106"/>
      <c r="CA233" s="106"/>
      <c r="CB233" s="106"/>
      <c r="CC233" s="106"/>
      <c r="CD233" s="106"/>
      <c r="CE233" s="106"/>
      <c r="CF233" s="106"/>
      <c r="CG233" s="106"/>
      <c r="CH233" s="106"/>
      <c r="CI233" s="106"/>
      <c r="CJ233" s="106"/>
      <c r="CK233" s="106"/>
      <c r="CL233" s="106"/>
      <c r="CM233" s="106"/>
      <c r="CN233" s="106"/>
      <c r="CO233" s="106"/>
      <c r="CP233" s="106"/>
      <c r="CQ233" s="106"/>
      <c r="CR233" s="106"/>
      <c r="CS233" s="106"/>
      <c r="CT233" s="106"/>
      <c r="CU233" s="106"/>
      <c r="CV233" s="106"/>
      <c r="CW233" s="106"/>
      <c r="CX233" s="106"/>
      <c r="CY233" s="106"/>
      <c r="CZ233" s="106"/>
      <c r="DA233" s="106"/>
      <c r="DB233" s="106"/>
      <c r="DC233" s="106"/>
      <c r="DD233" s="106"/>
      <c r="DE233" s="106"/>
      <c r="DF233" s="106"/>
      <c r="DG233" s="106"/>
      <c r="DH233" s="106"/>
      <c r="DI233" s="106"/>
      <c r="DJ233" s="106"/>
      <c r="DK233" s="106"/>
      <c r="DL233" s="106"/>
      <c r="DM233" s="106"/>
      <c r="DN233" s="106"/>
      <c r="DO233" s="106"/>
      <c r="DP233" s="106"/>
      <c r="DQ233" s="106"/>
      <c r="DR233" s="106"/>
      <c r="DT233" s="50"/>
      <c r="DU233" s="50"/>
      <c r="DV233" s="50"/>
      <c r="DW233" s="50"/>
    </row>
    <row r="234" ht="15.75" hidden="1" customHeight="1" outlineLevel="1">
      <c r="B234" s="5" t="s">
        <v>93</v>
      </c>
      <c r="C234" s="72" t="s">
        <v>74</v>
      </c>
      <c r="E234" s="50">
        <f t="shared" ref="E234:M234" si="291">+SUMIFS($O234:$DR234,$O$7:$DR$7,E$7)</f>
        <v>0</v>
      </c>
      <c r="F234" s="50">
        <f t="shared" si="291"/>
        <v>152.761</v>
      </c>
      <c r="G234" s="50">
        <f t="shared" si="291"/>
        <v>0</v>
      </c>
      <c r="H234" s="50">
        <f t="shared" si="291"/>
        <v>0</v>
      </c>
      <c r="I234" s="50">
        <f t="shared" si="291"/>
        <v>0</v>
      </c>
      <c r="J234" s="50">
        <f t="shared" si="291"/>
        <v>0</v>
      </c>
      <c r="K234" s="50">
        <f t="shared" si="291"/>
        <v>0</v>
      </c>
      <c r="L234" s="50">
        <f t="shared" si="291"/>
        <v>0</v>
      </c>
      <c r="M234" s="50">
        <f t="shared" si="291"/>
        <v>0</v>
      </c>
      <c r="O234" s="51">
        <v>0.0</v>
      </c>
      <c r="P234" s="51">
        <v>0.0</v>
      </c>
      <c r="Q234" s="51">
        <v>0.0</v>
      </c>
      <c r="R234" s="51">
        <v>0.0</v>
      </c>
      <c r="S234" s="51">
        <v>0.0</v>
      </c>
      <c r="T234" s="51">
        <v>0.0</v>
      </c>
      <c r="U234" s="51">
        <v>0.0</v>
      </c>
      <c r="V234" s="51">
        <v>0.0</v>
      </c>
      <c r="W234" s="51">
        <v>0.0</v>
      </c>
      <c r="X234" s="51">
        <v>0.0</v>
      </c>
      <c r="Y234" s="51">
        <v>0.0</v>
      </c>
      <c r="Z234" s="51">
        <v>0.0</v>
      </c>
      <c r="AA234" s="51">
        <v>0.0</v>
      </c>
      <c r="AB234" s="51">
        <v>0.0</v>
      </c>
      <c r="AC234" s="51">
        <v>18.0</v>
      </c>
      <c r="AD234" s="51">
        <v>12.756</v>
      </c>
      <c r="AE234" s="51">
        <v>12.744</v>
      </c>
      <c r="AF234" s="51">
        <v>13.512</v>
      </c>
      <c r="AG234" s="51">
        <v>8.988</v>
      </c>
      <c r="AH234" s="51">
        <v>18.084</v>
      </c>
      <c r="AI234" s="51">
        <v>14.014</v>
      </c>
      <c r="AJ234" s="51">
        <v>21.663</v>
      </c>
      <c r="AK234" s="51">
        <v>17.724</v>
      </c>
      <c r="AL234" s="51">
        <v>15.276</v>
      </c>
      <c r="AM234" s="51">
        <v>0.0</v>
      </c>
      <c r="AN234" s="51">
        <v>0.0</v>
      </c>
      <c r="AO234" s="51">
        <v>0.0</v>
      </c>
      <c r="AP234" s="51">
        <v>0.0</v>
      </c>
      <c r="AQ234" s="51">
        <v>0.0</v>
      </c>
      <c r="AR234" s="51">
        <v>0.0</v>
      </c>
      <c r="AS234" s="51">
        <v>0.0</v>
      </c>
      <c r="AT234" s="51">
        <v>0.0</v>
      </c>
      <c r="AU234" s="51">
        <v>0.0</v>
      </c>
      <c r="AV234" s="51">
        <v>0.0</v>
      </c>
      <c r="AW234" s="51">
        <v>0.0</v>
      </c>
      <c r="AX234" s="51">
        <v>0.0</v>
      </c>
      <c r="AY234" s="51">
        <v>0.0</v>
      </c>
      <c r="AZ234" s="51">
        <v>0.0</v>
      </c>
      <c r="BA234" s="51">
        <v>0.0</v>
      </c>
      <c r="BB234" s="51">
        <v>0.0</v>
      </c>
      <c r="BC234" s="51">
        <v>0.0</v>
      </c>
      <c r="BD234" s="51">
        <v>0.0</v>
      </c>
      <c r="BE234" s="51">
        <v>0.0</v>
      </c>
      <c r="BF234" s="51">
        <v>0.0</v>
      </c>
      <c r="BG234" s="51">
        <v>0.0</v>
      </c>
      <c r="BH234" s="51">
        <v>0.0</v>
      </c>
      <c r="BI234" s="51">
        <v>0.0</v>
      </c>
      <c r="BJ234" s="51">
        <v>0.0</v>
      </c>
      <c r="BK234" s="51">
        <v>0.0</v>
      </c>
      <c r="BL234" s="51">
        <v>0.0</v>
      </c>
      <c r="BM234" s="51">
        <v>0.0</v>
      </c>
      <c r="BN234" s="51">
        <v>0.0</v>
      </c>
      <c r="BO234" s="51">
        <v>0.0</v>
      </c>
      <c r="BP234" s="51">
        <v>0.0</v>
      </c>
      <c r="BQ234" s="51">
        <v>0.0</v>
      </c>
      <c r="BR234" s="51">
        <v>0.0</v>
      </c>
      <c r="BS234" s="51">
        <v>0.0</v>
      </c>
      <c r="BT234" s="51">
        <v>0.0</v>
      </c>
      <c r="BU234" s="51">
        <v>0.0</v>
      </c>
      <c r="BV234" s="51">
        <v>0.0</v>
      </c>
      <c r="BW234" s="106"/>
      <c r="BX234" s="106"/>
      <c r="BY234" s="106"/>
      <c r="BZ234" s="106"/>
      <c r="CA234" s="106"/>
      <c r="CB234" s="106"/>
      <c r="CC234" s="106"/>
      <c r="CD234" s="106"/>
      <c r="CE234" s="106"/>
      <c r="CF234" s="106"/>
      <c r="CG234" s="106"/>
      <c r="CH234" s="106"/>
      <c r="CI234" s="106"/>
      <c r="CJ234" s="106"/>
      <c r="CK234" s="106"/>
      <c r="CL234" s="106"/>
      <c r="CM234" s="106"/>
      <c r="CN234" s="106"/>
      <c r="CO234" s="106"/>
      <c r="CP234" s="106"/>
      <c r="CQ234" s="106"/>
      <c r="CR234" s="106"/>
      <c r="CS234" s="106"/>
      <c r="CT234" s="106"/>
      <c r="CU234" s="106"/>
      <c r="CV234" s="106"/>
      <c r="CW234" s="106"/>
      <c r="CX234" s="106"/>
      <c r="CY234" s="106"/>
      <c r="CZ234" s="106"/>
      <c r="DA234" s="106"/>
      <c r="DB234" s="106"/>
      <c r="DC234" s="106"/>
      <c r="DD234" s="106"/>
      <c r="DE234" s="106"/>
      <c r="DF234" s="106"/>
      <c r="DG234" s="106"/>
      <c r="DH234" s="106"/>
      <c r="DI234" s="106"/>
      <c r="DJ234" s="106"/>
      <c r="DK234" s="106"/>
      <c r="DL234" s="106"/>
      <c r="DM234" s="106"/>
      <c r="DN234" s="106"/>
      <c r="DO234" s="106"/>
      <c r="DP234" s="106"/>
      <c r="DQ234" s="106"/>
      <c r="DR234" s="106"/>
      <c r="DT234" s="50"/>
      <c r="DU234" s="50"/>
      <c r="DV234" s="50"/>
      <c r="DW234" s="50"/>
    </row>
    <row r="235" ht="15.75" hidden="1" customHeight="1" outlineLevel="1">
      <c r="B235" s="5" t="s">
        <v>94</v>
      </c>
      <c r="C235" s="72" t="s">
        <v>70</v>
      </c>
      <c r="E235" s="50">
        <f t="shared" ref="E235:M235" si="292">+SUMIFS($O235:$DR235,$O$7:$DR$7,E$7)</f>
        <v>0</v>
      </c>
      <c r="F235" s="50">
        <f t="shared" si="292"/>
        <v>0</v>
      </c>
      <c r="G235" s="50">
        <f t="shared" si="292"/>
        <v>70</v>
      </c>
      <c r="H235" s="50">
        <f t="shared" si="292"/>
        <v>0</v>
      </c>
      <c r="I235" s="50">
        <f t="shared" si="292"/>
        <v>0</v>
      </c>
      <c r="J235" s="50">
        <f t="shared" si="292"/>
        <v>0</v>
      </c>
      <c r="K235" s="50">
        <f t="shared" si="292"/>
        <v>0</v>
      </c>
      <c r="L235" s="50">
        <f t="shared" si="292"/>
        <v>0</v>
      </c>
      <c r="M235" s="50">
        <f t="shared" si="292"/>
        <v>0</v>
      </c>
      <c r="O235" s="51">
        <v>0.0</v>
      </c>
      <c r="P235" s="51">
        <v>0.0</v>
      </c>
      <c r="Q235" s="51">
        <v>0.0</v>
      </c>
      <c r="R235" s="51">
        <v>0.0</v>
      </c>
      <c r="S235" s="51">
        <v>0.0</v>
      </c>
      <c r="T235" s="51">
        <v>0.0</v>
      </c>
      <c r="U235" s="51">
        <v>0.0</v>
      </c>
      <c r="V235" s="51">
        <v>0.0</v>
      </c>
      <c r="W235" s="51">
        <v>0.0</v>
      </c>
      <c r="X235" s="51">
        <v>0.0</v>
      </c>
      <c r="Y235" s="51">
        <v>0.0</v>
      </c>
      <c r="Z235" s="51">
        <v>0.0</v>
      </c>
      <c r="AA235" s="51">
        <v>0.0</v>
      </c>
      <c r="AB235" s="51">
        <v>0.0</v>
      </c>
      <c r="AC235" s="51">
        <v>0.0</v>
      </c>
      <c r="AD235" s="51">
        <v>0.0</v>
      </c>
      <c r="AE235" s="51">
        <v>0.0</v>
      </c>
      <c r="AF235" s="51">
        <v>0.0</v>
      </c>
      <c r="AG235" s="51">
        <v>0.0</v>
      </c>
      <c r="AH235" s="51">
        <v>0.0</v>
      </c>
      <c r="AI235" s="51">
        <v>0.0</v>
      </c>
      <c r="AJ235" s="51">
        <v>0.0</v>
      </c>
      <c r="AK235" s="51">
        <v>0.0</v>
      </c>
      <c r="AL235" s="51">
        <v>0.0</v>
      </c>
      <c r="AM235" s="51">
        <v>0.0</v>
      </c>
      <c r="AN235" s="51">
        <v>0.0</v>
      </c>
      <c r="AO235" s="51">
        <v>0.0</v>
      </c>
      <c r="AP235" s="51">
        <v>0.0</v>
      </c>
      <c r="AQ235" s="51">
        <v>0.0</v>
      </c>
      <c r="AR235" s="51">
        <v>0.0</v>
      </c>
      <c r="AS235" s="51">
        <v>0.0</v>
      </c>
      <c r="AT235" s="51">
        <v>0.0</v>
      </c>
      <c r="AU235" s="51">
        <v>14.0</v>
      </c>
      <c r="AV235" s="51">
        <v>28.0</v>
      </c>
      <c r="AW235" s="51">
        <v>7.0</v>
      </c>
      <c r="AX235" s="51">
        <v>21.0</v>
      </c>
      <c r="AY235" s="51">
        <v>0.0</v>
      </c>
      <c r="AZ235" s="51">
        <v>0.0</v>
      </c>
      <c r="BA235" s="51">
        <v>0.0</v>
      </c>
      <c r="BB235" s="51">
        <v>0.0</v>
      </c>
      <c r="BC235" s="51">
        <v>0.0</v>
      </c>
      <c r="BD235" s="51">
        <v>0.0</v>
      </c>
      <c r="BE235" s="51">
        <v>0.0</v>
      </c>
      <c r="BF235" s="51">
        <v>0.0</v>
      </c>
      <c r="BG235" s="51">
        <v>0.0</v>
      </c>
      <c r="BH235" s="51">
        <v>0.0</v>
      </c>
      <c r="BI235" s="51">
        <v>0.0</v>
      </c>
      <c r="BJ235" s="51">
        <v>0.0</v>
      </c>
      <c r="BK235" s="51">
        <v>0.0</v>
      </c>
      <c r="BL235" s="51">
        <v>0.0</v>
      </c>
      <c r="BM235" s="51">
        <v>0.0</v>
      </c>
      <c r="BN235" s="51">
        <v>0.0</v>
      </c>
      <c r="BO235" s="51">
        <v>0.0</v>
      </c>
      <c r="BP235" s="51">
        <v>0.0</v>
      </c>
      <c r="BQ235" s="51">
        <v>0.0</v>
      </c>
      <c r="BR235" s="51">
        <v>0.0</v>
      </c>
      <c r="BS235" s="51">
        <v>0.0</v>
      </c>
      <c r="BT235" s="51">
        <v>0.0</v>
      </c>
      <c r="BU235" s="51">
        <v>0.0</v>
      </c>
      <c r="BV235" s="51">
        <v>0.0</v>
      </c>
      <c r="BW235" s="106"/>
      <c r="BX235" s="106"/>
      <c r="BY235" s="106"/>
      <c r="BZ235" s="106"/>
      <c r="CA235" s="106"/>
      <c r="CB235" s="106"/>
      <c r="CC235" s="106"/>
      <c r="CD235" s="106"/>
      <c r="CE235" s="106"/>
      <c r="CF235" s="106"/>
      <c r="CG235" s="106"/>
      <c r="CH235" s="106"/>
      <c r="CI235" s="106"/>
      <c r="CJ235" s="106"/>
      <c r="CK235" s="106"/>
      <c r="CL235" s="106"/>
      <c r="CM235" s="106"/>
      <c r="CN235" s="106"/>
      <c r="CO235" s="106"/>
      <c r="CP235" s="106"/>
      <c r="CQ235" s="106"/>
      <c r="CR235" s="106"/>
      <c r="CS235" s="106"/>
      <c r="CT235" s="106"/>
      <c r="CU235" s="106"/>
      <c r="CV235" s="106"/>
      <c r="CW235" s="106"/>
      <c r="CX235" s="106"/>
      <c r="CY235" s="106"/>
      <c r="CZ235" s="106"/>
      <c r="DA235" s="106"/>
      <c r="DB235" s="106"/>
      <c r="DC235" s="106"/>
      <c r="DD235" s="106"/>
      <c r="DE235" s="106"/>
      <c r="DF235" s="106"/>
      <c r="DG235" s="106"/>
      <c r="DH235" s="106"/>
      <c r="DI235" s="106"/>
      <c r="DJ235" s="106"/>
      <c r="DK235" s="106"/>
      <c r="DL235" s="106"/>
      <c r="DM235" s="106"/>
      <c r="DN235" s="106"/>
      <c r="DO235" s="106"/>
      <c r="DP235" s="106"/>
      <c r="DQ235" s="106"/>
      <c r="DR235" s="106"/>
      <c r="DT235" s="50"/>
      <c r="DU235" s="50"/>
      <c r="DV235" s="50"/>
      <c r="DW235" s="50"/>
    </row>
    <row r="236" ht="15.75" hidden="1" customHeight="1" outlineLevel="1">
      <c r="B236" s="5" t="s">
        <v>95</v>
      </c>
      <c r="C236" s="72" t="s">
        <v>70</v>
      </c>
      <c r="E236" s="50">
        <f t="shared" ref="E236:M236" si="293">+SUMIFS($O236:$DR236,$O$7:$DR$7,E$7)</f>
        <v>421.397</v>
      </c>
      <c r="F236" s="50">
        <f t="shared" si="293"/>
        <v>-0.003</v>
      </c>
      <c r="G236" s="50">
        <f t="shared" si="293"/>
        <v>0.001</v>
      </c>
      <c r="H236" s="50">
        <f t="shared" si="293"/>
        <v>0</v>
      </c>
      <c r="I236" s="50">
        <f t="shared" si="293"/>
        <v>0</v>
      </c>
      <c r="J236" s="50">
        <f t="shared" si="293"/>
        <v>0</v>
      </c>
      <c r="K236" s="50">
        <f t="shared" si="293"/>
        <v>0</v>
      </c>
      <c r="L236" s="50">
        <f t="shared" si="293"/>
        <v>0</v>
      </c>
      <c r="M236" s="50">
        <f t="shared" si="293"/>
        <v>0</v>
      </c>
      <c r="O236" s="51">
        <v>17.026</v>
      </c>
      <c r="P236" s="51">
        <v>42.565</v>
      </c>
      <c r="Q236" s="51">
        <v>78.022</v>
      </c>
      <c r="R236" s="51">
        <v>113.521</v>
      </c>
      <c r="S236" s="51">
        <v>63.848</v>
      </c>
      <c r="T236" s="51">
        <v>63.848</v>
      </c>
      <c r="U236" s="51">
        <v>21.282</v>
      </c>
      <c r="V236" s="51">
        <v>0.001</v>
      </c>
      <c r="W236" s="51">
        <v>0.001</v>
      </c>
      <c r="X236" s="51">
        <v>0.001</v>
      </c>
      <c r="Y236" s="51">
        <v>0.001</v>
      </c>
      <c r="Z236" s="51">
        <v>21.281</v>
      </c>
      <c r="AA236" s="51">
        <v>0.0</v>
      </c>
      <c r="AB236" s="51">
        <v>0.0</v>
      </c>
      <c r="AC236" s="51">
        <v>0.0</v>
      </c>
      <c r="AD236" s="51">
        <v>0.0</v>
      </c>
      <c r="AE236" s="51">
        <v>0.0</v>
      </c>
      <c r="AF236" s="51">
        <v>0.0</v>
      </c>
      <c r="AG236" s="51">
        <v>0.0</v>
      </c>
      <c r="AH236" s="51">
        <v>-0.004</v>
      </c>
      <c r="AI236" s="51">
        <v>0.001</v>
      </c>
      <c r="AJ236" s="51">
        <v>0.0</v>
      </c>
      <c r="AK236" s="51">
        <v>0.0</v>
      </c>
      <c r="AL236" s="51">
        <v>0.0</v>
      </c>
      <c r="AM236" s="51">
        <v>0.0</v>
      </c>
      <c r="AN236" s="51">
        <v>0.0</v>
      </c>
      <c r="AO236" s="51">
        <v>0.0</v>
      </c>
      <c r="AP236" s="51">
        <v>0.0</v>
      </c>
      <c r="AQ236" s="51">
        <v>0.001</v>
      </c>
      <c r="AR236" s="51">
        <v>0.0</v>
      </c>
      <c r="AS236" s="51">
        <v>0.0</v>
      </c>
      <c r="AT236" s="51">
        <v>0.0</v>
      </c>
      <c r="AU236" s="51">
        <v>0.0</v>
      </c>
      <c r="AV236" s="51">
        <v>0.0</v>
      </c>
      <c r="AW236" s="51">
        <v>0.0</v>
      </c>
      <c r="AX236" s="51">
        <v>0.0</v>
      </c>
      <c r="AY236" s="51">
        <v>0.0</v>
      </c>
      <c r="AZ236" s="51">
        <v>0.0</v>
      </c>
      <c r="BA236" s="51">
        <v>0.0</v>
      </c>
      <c r="BB236" s="51">
        <v>0.0</v>
      </c>
      <c r="BC236" s="51">
        <v>0.0</v>
      </c>
      <c r="BD236" s="51">
        <v>0.0</v>
      </c>
      <c r="BE236" s="51">
        <v>0.0</v>
      </c>
      <c r="BF236" s="51">
        <v>0.0</v>
      </c>
      <c r="BG236" s="51">
        <v>0.0</v>
      </c>
      <c r="BH236" s="51">
        <v>0.0</v>
      </c>
      <c r="BI236" s="51">
        <v>0.0</v>
      </c>
      <c r="BJ236" s="51">
        <v>0.0</v>
      </c>
      <c r="BK236" s="51">
        <v>0.0</v>
      </c>
      <c r="BL236" s="51">
        <v>0.0</v>
      </c>
      <c r="BM236" s="51">
        <v>0.0</v>
      </c>
      <c r="BN236" s="51">
        <v>0.0</v>
      </c>
      <c r="BO236" s="51">
        <v>0.0</v>
      </c>
      <c r="BP236" s="51">
        <v>0.0</v>
      </c>
      <c r="BQ236" s="51">
        <v>0.0</v>
      </c>
      <c r="BR236" s="51">
        <v>0.0</v>
      </c>
      <c r="BS236" s="51">
        <v>0.0</v>
      </c>
      <c r="BT236" s="51">
        <v>0.0</v>
      </c>
      <c r="BU236" s="51">
        <v>0.0</v>
      </c>
      <c r="BV236" s="51">
        <v>0.0</v>
      </c>
      <c r="BW236" s="106"/>
      <c r="BX236" s="106"/>
      <c r="BY236" s="106"/>
      <c r="BZ236" s="106"/>
      <c r="CA236" s="106"/>
      <c r="CB236" s="106"/>
      <c r="CC236" s="106"/>
      <c r="CD236" s="106"/>
      <c r="CE236" s="106"/>
      <c r="CF236" s="106"/>
      <c r="CG236" s="106"/>
      <c r="CH236" s="106"/>
      <c r="CI236" s="106"/>
      <c r="CJ236" s="106"/>
      <c r="CK236" s="106"/>
      <c r="CL236" s="106"/>
      <c r="CM236" s="106"/>
      <c r="CN236" s="106"/>
      <c r="CO236" s="106"/>
      <c r="CP236" s="106"/>
      <c r="CQ236" s="106"/>
      <c r="CR236" s="106"/>
      <c r="CS236" s="106"/>
      <c r="CT236" s="106"/>
      <c r="CU236" s="106"/>
      <c r="CV236" s="106"/>
      <c r="CW236" s="106"/>
      <c r="CX236" s="106"/>
      <c r="CY236" s="106"/>
      <c r="CZ236" s="106"/>
      <c r="DA236" s="106"/>
      <c r="DB236" s="106"/>
      <c r="DC236" s="106"/>
      <c r="DD236" s="106"/>
      <c r="DE236" s="106"/>
      <c r="DF236" s="106"/>
      <c r="DG236" s="106"/>
      <c r="DH236" s="106"/>
      <c r="DI236" s="106"/>
      <c r="DJ236" s="106"/>
      <c r="DK236" s="106"/>
      <c r="DL236" s="106"/>
      <c r="DM236" s="106"/>
      <c r="DN236" s="106"/>
      <c r="DO236" s="106"/>
      <c r="DP236" s="106"/>
      <c r="DQ236" s="106"/>
      <c r="DR236" s="106"/>
      <c r="DT236" s="50"/>
      <c r="DU236" s="50"/>
      <c r="DV236" s="50"/>
      <c r="DW236" s="50"/>
    </row>
    <row r="237" ht="15.75" hidden="1" customHeight="1" outlineLevel="1">
      <c r="B237" s="5" t="s">
        <v>96</v>
      </c>
      <c r="C237" s="72" t="s">
        <v>74</v>
      </c>
      <c r="E237" s="50">
        <f t="shared" ref="E237:M237" si="294">+SUMIFS($O237:$DR237,$O$7:$DR$7,E$7)</f>
        <v>0</v>
      </c>
      <c r="F237" s="50">
        <f t="shared" si="294"/>
        <v>0</v>
      </c>
      <c r="G237" s="50">
        <f t="shared" si="294"/>
        <v>0</v>
      </c>
      <c r="H237" s="50">
        <f t="shared" si="294"/>
        <v>67.004</v>
      </c>
      <c r="I237" s="50">
        <f t="shared" si="294"/>
        <v>354.9659238</v>
      </c>
      <c r="J237" s="50">
        <f t="shared" si="294"/>
        <v>0</v>
      </c>
      <c r="K237" s="50">
        <f t="shared" si="294"/>
        <v>0</v>
      </c>
      <c r="L237" s="50">
        <f t="shared" si="294"/>
        <v>0</v>
      </c>
      <c r="M237" s="50">
        <f t="shared" si="294"/>
        <v>0</v>
      </c>
      <c r="O237" s="51">
        <v>0.0</v>
      </c>
      <c r="P237" s="51">
        <v>0.0</v>
      </c>
      <c r="Q237" s="51">
        <v>0.0</v>
      </c>
      <c r="R237" s="51">
        <v>0.0</v>
      </c>
      <c r="S237" s="51">
        <v>0.0</v>
      </c>
      <c r="T237" s="51">
        <v>0.0</v>
      </c>
      <c r="U237" s="51">
        <v>0.0</v>
      </c>
      <c r="V237" s="51">
        <v>0.0</v>
      </c>
      <c r="W237" s="51">
        <v>0.0</v>
      </c>
      <c r="X237" s="51">
        <v>0.0</v>
      </c>
      <c r="Y237" s="51">
        <v>0.0</v>
      </c>
      <c r="Z237" s="51">
        <v>0.0</v>
      </c>
      <c r="AA237" s="51">
        <v>0.0</v>
      </c>
      <c r="AB237" s="51">
        <v>0.0</v>
      </c>
      <c r="AC237" s="51">
        <v>0.0</v>
      </c>
      <c r="AD237" s="51">
        <v>0.0</v>
      </c>
      <c r="AE237" s="51">
        <v>0.0</v>
      </c>
      <c r="AF237" s="51">
        <v>0.0</v>
      </c>
      <c r="AG237" s="51">
        <v>0.0</v>
      </c>
      <c r="AH237" s="51">
        <v>0.0</v>
      </c>
      <c r="AI237" s="51">
        <v>0.0</v>
      </c>
      <c r="AJ237" s="51">
        <v>0.0</v>
      </c>
      <c r="AK237" s="51">
        <v>0.0</v>
      </c>
      <c r="AL237" s="51">
        <v>0.0</v>
      </c>
      <c r="AM237" s="51">
        <v>0.0</v>
      </c>
      <c r="AN237" s="51">
        <v>0.0</v>
      </c>
      <c r="AO237" s="51">
        <v>0.0</v>
      </c>
      <c r="AP237" s="51">
        <v>0.0</v>
      </c>
      <c r="AQ237" s="51">
        <v>0.0</v>
      </c>
      <c r="AR237" s="51">
        <v>0.0</v>
      </c>
      <c r="AS237" s="51">
        <v>0.0</v>
      </c>
      <c r="AT237" s="51">
        <v>0.0</v>
      </c>
      <c r="AU237" s="51">
        <v>0.0</v>
      </c>
      <c r="AV237" s="51">
        <v>0.0</v>
      </c>
      <c r="AW237" s="51">
        <v>0.0</v>
      </c>
      <c r="AX237" s="51">
        <v>0.0</v>
      </c>
      <c r="AY237" s="51">
        <v>0.0</v>
      </c>
      <c r="AZ237" s="51">
        <v>0.0</v>
      </c>
      <c r="BA237" s="51">
        <v>0.0</v>
      </c>
      <c r="BB237" s="51">
        <v>0.0</v>
      </c>
      <c r="BC237" s="51">
        <v>0.0</v>
      </c>
      <c r="BD237" s="51">
        <v>0.0</v>
      </c>
      <c r="BE237" s="51">
        <v>22.335</v>
      </c>
      <c r="BF237" s="51">
        <v>0.0</v>
      </c>
      <c r="BG237" s="51">
        <v>0.0</v>
      </c>
      <c r="BH237" s="51">
        <v>22.334</v>
      </c>
      <c r="BI237" s="51">
        <v>22.335</v>
      </c>
      <c r="BJ237" s="51">
        <v>0.0</v>
      </c>
      <c r="BK237" s="51">
        <v>22.334</v>
      </c>
      <c r="BL237" s="51">
        <v>25.526</v>
      </c>
      <c r="BM237" s="51">
        <v>63.813</v>
      </c>
      <c r="BN237" s="51">
        <v>28.34776153846154</v>
      </c>
      <c r="BO237" s="51">
        <v>30.667123846153846</v>
      </c>
      <c r="BP237" s="51">
        <v>30.109539776223777</v>
      </c>
      <c r="BQ237" s="51">
        <v>29.5073489806993</v>
      </c>
      <c r="BR237" s="51">
        <v>31.255932623999996</v>
      </c>
      <c r="BS237" s="51">
        <v>30.083835150599995</v>
      </c>
      <c r="BT237" s="51">
        <v>26.579564242947683</v>
      </c>
      <c r="BU237" s="51">
        <v>19.270184076137074</v>
      </c>
      <c r="BV237" s="51">
        <v>17.471633562364282</v>
      </c>
      <c r="BW237" s="106"/>
      <c r="BX237" s="106"/>
      <c r="BY237" s="106"/>
      <c r="BZ237" s="106"/>
      <c r="CA237" s="106"/>
      <c r="CB237" s="106"/>
      <c r="CC237" s="106"/>
      <c r="CD237" s="106"/>
      <c r="CE237" s="106"/>
      <c r="CF237" s="106"/>
      <c r="CG237" s="106"/>
      <c r="CH237" s="106"/>
      <c r="CI237" s="106"/>
      <c r="CJ237" s="106"/>
      <c r="CK237" s="106"/>
      <c r="CL237" s="106"/>
      <c r="CM237" s="106"/>
      <c r="CN237" s="106"/>
      <c r="CO237" s="106"/>
      <c r="CP237" s="106"/>
      <c r="CQ237" s="106"/>
      <c r="CR237" s="106"/>
      <c r="CS237" s="106"/>
      <c r="CT237" s="106"/>
      <c r="CU237" s="106"/>
      <c r="CV237" s="106"/>
      <c r="CW237" s="106"/>
      <c r="CX237" s="106"/>
      <c r="CY237" s="106"/>
      <c r="CZ237" s="106"/>
      <c r="DA237" s="106"/>
      <c r="DB237" s="106"/>
      <c r="DC237" s="106"/>
      <c r="DD237" s="106"/>
      <c r="DE237" s="106"/>
      <c r="DF237" s="106"/>
      <c r="DG237" s="106"/>
      <c r="DH237" s="106"/>
      <c r="DI237" s="106"/>
      <c r="DJ237" s="106"/>
      <c r="DK237" s="106"/>
      <c r="DL237" s="106"/>
      <c r="DM237" s="106"/>
      <c r="DN237" s="106"/>
      <c r="DO237" s="106"/>
      <c r="DP237" s="106"/>
      <c r="DQ237" s="106"/>
      <c r="DR237" s="106"/>
      <c r="DT237" s="50"/>
      <c r="DU237" s="50"/>
      <c r="DV237" s="50"/>
      <c r="DW237" s="50"/>
    </row>
    <row r="238" ht="15.75" hidden="1" customHeight="1" outlineLevel="1">
      <c r="B238" s="5" t="s">
        <v>97</v>
      </c>
      <c r="C238" s="72" t="s">
        <v>82</v>
      </c>
      <c r="E238" s="50">
        <f t="shared" ref="E238:M238" si="295">+SUMIFS($O238:$DR238,$O$7:$DR$7,E$7)</f>
        <v>0</v>
      </c>
      <c r="F238" s="50">
        <f t="shared" si="295"/>
        <v>0</v>
      </c>
      <c r="G238" s="50">
        <f t="shared" si="295"/>
        <v>0</v>
      </c>
      <c r="H238" s="50">
        <f t="shared" si="295"/>
        <v>0</v>
      </c>
      <c r="I238" s="50">
        <f t="shared" si="295"/>
        <v>0</v>
      </c>
      <c r="J238" s="50">
        <f t="shared" si="295"/>
        <v>0</v>
      </c>
      <c r="K238" s="50">
        <f t="shared" si="295"/>
        <v>0</v>
      </c>
      <c r="L238" s="50">
        <f t="shared" si="295"/>
        <v>0</v>
      </c>
      <c r="M238" s="50">
        <f t="shared" si="295"/>
        <v>0</v>
      </c>
      <c r="O238" s="51">
        <v>0.0</v>
      </c>
      <c r="P238" s="51">
        <v>0.0</v>
      </c>
      <c r="Q238" s="51">
        <v>0.0</v>
      </c>
      <c r="R238" s="51">
        <v>0.0</v>
      </c>
      <c r="S238" s="51">
        <v>0.0</v>
      </c>
      <c r="T238" s="51">
        <v>0.0</v>
      </c>
      <c r="U238" s="51">
        <v>0.0</v>
      </c>
      <c r="V238" s="51">
        <v>0.0</v>
      </c>
      <c r="W238" s="51">
        <v>0.0</v>
      </c>
      <c r="X238" s="51">
        <v>0.0</v>
      </c>
      <c r="Y238" s="51">
        <v>0.0</v>
      </c>
      <c r="Z238" s="51">
        <v>0.0</v>
      </c>
      <c r="AA238" s="51">
        <v>0.0</v>
      </c>
      <c r="AB238" s="51">
        <v>0.0</v>
      </c>
      <c r="AC238" s="51">
        <v>0.0</v>
      </c>
      <c r="AD238" s="51">
        <v>0.0</v>
      </c>
      <c r="AE238" s="51">
        <v>0.0</v>
      </c>
      <c r="AF238" s="51">
        <v>0.0</v>
      </c>
      <c r="AG238" s="51">
        <v>0.0</v>
      </c>
      <c r="AH238" s="51">
        <v>0.0</v>
      </c>
      <c r="AI238" s="51">
        <v>0.0</v>
      </c>
      <c r="AJ238" s="51">
        <v>0.0</v>
      </c>
      <c r="AK238" s="51">
        <v>0.0</v>
      </c>
      <c r="AL238" s="51">
        <v>0.0</v>
      </c>
      <c r="AM238" s="51">
        <v>0.0</v>
      </c>
      <c r="AN238" s="51">
        <v>0.0</v>
      </c>
      <c r="AO238" s="51">
        <v>0.0</v>
      </c>
      <c r="AP238" s="51">
        <v>0.0</v>
      </c>
      <c r="AQ238" s="51">
        <v>0.0</v>
      </c>
      <c r="AR238" s="51">
        <v>0.0</v>
      </c>
      <c r="AS238" s="51">
        <v>0.0</v>
      </c>
      <c r="AT238" s="51">
        <v>0.0</v>
      </c>
      <c r="AU238" s="51">
        <v>0.0</v>
      </c>
      <c r="AV238" s="51">
        <v>0.0</v>
      </c>
      <c r="AW238" s="51">
        <v>0.0</v>
      </c>
      <c r="AX238" s="51">
        <v>0.0</v>
      </c>
      <c r="AY238" s="51">
        <v>0.0</v>
      </c>
      <c r="AZ238" s="51">
        <v>0.0</v>
      </c>
      <c r="BA238" s="51">
        <v>0.0</v>
      </c>
      <c r="BB238" s="51">
        <v>0.0</v>
      </c>
      <c r="BC238" s="51">
        <v>0.0</v>
      </c>
      <c r="BD238" s="51">
        <v>0.0</v>
      </c>
      <c r="BE238" s="51">
        <v>0.0</v>
      </c>
      <c r="BF238" s="51">
        <v>0.0</v>
      </c>
      <c r="BG238" s="51">
        <v>0.0</v>
      </c>
      <c r="BH238" s="51">
        <v>0.0</v>
      </c>
      <c r="BI238" s="51">
        <v>0.0</v>
      </c>
      <c r="BJ238" s="51">
        <v>0.0</v>
      </c>
      <c r="BK238" s="51">
        <v>0.0</v>
      </c>
      <c r="BL238" s="51">
        <v>0.0</v>
      </c>
      <c r="BM238" s="51">
        <v>0.0</v>
      </c>
      <c r="BN238" s="51">
        <v>0.0</v>
      </c>
      <c r="BO238" s="51">
        <v>0.0</v>
      </c>
      <c r="BP238" s="51">
        <v>0.0</v>
      </c>
      <c r="BQ238" s="51">
        <v>0.0</v>
      </c>
      <c r="BR238" s="51">
        <v>0.0</v>
      </c>
      <c r="BS238" s="51">
        <v>0.0</v>
      </c>
      <c r="BT238" s="51">
        <v>0.0</v>
      </c>
      <c r="BU238" s="51">
        <v>0.0</v>
      </c>
      <c r="BV238" s="51">
        <v>0.0</v>
      </c>
      <c r="BW238" s="106"/>
      <c r="BX238" s="106"/>
      <c r="BY238" s="106"/>
      <c r="BZ238" s="106"/>
      <c r="CA238" s="106"/>
      <c r="CB238" s="106"/>
      <c r="CC238" s="106"/>
      <c r="CD238" s="106"/>
      <c r="CE238" s="106"/>
      <c r="CF238" s="106"/>
      <c r="CG238" s="106"/>
      <c r="CH238" s="106"/>
      <c r="CI238" s="106"/>
      <c r="CJ238" s="106"/>
      <c r="CK238" s="106"/>
      <c r="CL238" s="106"/>
      <c r="CM238" s="106"/>
      <c r="CN238" s="106"/>
      <c r="CO238" s="106"/>
      <c r="CP238" s="106"/>
      <c r="CQ238" s="106"/>
      <c r="CR238" s="106"/>
      <c r="CS238" s="106"/>
      <c r="CT238" s="106"/>
      <c r="CU238" s="106"/>
      <c r="CV238" s="106"/>
      <c r="CW238" s="106"/>
      <c r="CX238" s="106"/>
      <c r="CY238" s="106"/>
      <c r="CZ238" s="106"/>
      <c r="DA238" s="106"/>
      <c r="DB238" s="106"/>
      <c r="DC238" s="106"/>
      <c r="DD238" s="106"/>
      <c r="DE238" s="106"/>
      <c r="DF238" s="106"/>
      <c r="DG238" s="106"/>
      <c r="DH238" s="106"/>
      <c r="DI238" s="106"/>
      <c r="DJ238" s="106"/>
      <c r="DK238" s="106"/>
      <c r="DL238" s="106"/>
      <c r="DM238" s="106"/>
      <c r="DN238" s="106"/>
      <c r="DO238" s="106"/>
      <c r="DP238" s="106"/>
      <c r="DQ238" s="106"/>
      <c r="DR238" s="106"/>
      <c r="DT238" s="50"/>
      <c r="DU238" s="50"/>
      <c r="DV238" s="50"/>
      <c r="DW238" s="50"/>
    </row>
    <row r="239" ht="15.75" hidden="1" customHeight="1" outlineLevel="1">
      <c r="B239" s="5" t="s">
        <v>98</v>
      </c>
      <c r="C239" s="72" t="s">
        <v>74</v>
      </c>
      <c r="E239" s="50">
        <f t="shared" ref="E239:M239" si="296">+SUMIFS($O239:$DR239,$O$7:$DR$7,E$7)</f>
        <v>97.5</v>
      </c>
      <c r="F239" s="50">
        <f t="shared" si="296"/>
        <v>14.5</v>
      </c>
      <c r="G239" s="50">
        <f t="shared" si="296"/>
        <v>62.75</v>
      </c>
      <c r="H239" s="50">
        <f t="shared" si="296"/>
        <v>12.75</v>
      </c>
      <c r="I239" s="50">
        <f t="shared" si="296"/>
        <v>0</v>
      </c>
      <c r="J239" s="50">
        <f t="shared" si="296"/>
        <v>0</v>
      </c>
      <c r="K239" s="50">
        <f t="shared" si="296"/>
        <v>0</v>
      </c>
      <c r="L239" s="50">
        <f t="shared" si="296"/>
        <v>0</v>
      </c>
      <c r="M239" s="50">
        <f t="shared" si="296"/>
        <v>0</v>
      </c>
      <c r="O239" s="51">
        <v>0.0</v>
      </c>
      <c r="P239" s="51">
        <v>0.0</v>
      </c>
      <c r="Q239" s="51">
        <v>0.0</v>
      </c>
      <c r="R239" s="51">
        <v>0.0</v>
      </c>
      <c r="S239" s="51">
        <v>0.0</v>
      </c>
      <c r="T239" s="51">
        <v>0.0</v>
      </c>
      <c r="U239" s="51">
        <v>0.0</v>
      </c>
      <c r="V239" s="51">
        <v>0.0</v>
      </c>
      <c r="W239" s="51">
        <v>60.0</v>
      </c>
      <c r="X239" s="51">
        <v>15.0</v>
      </c>
      <c r="Y239" s="51">
        <v>22.5</v>
      </c>
      <c r="Z239" s="51">
        <v>0.0</v>
      </c>
      <c r="AA239" s="51">
        <v>0.0</v>
      </c>
      <c r="AB239" s="51">
        <v>0.0</v>
      </c>
      <c r="AC239" s="51">
        <v>0.0</v>
      </c>
      <c r="AD239" s="51">
        <v>0.0</v>
      </c>
      <c r="AE239" s="51">
        <v>2.5</v>
      </c>
      <c r="AF239" s="51">
        <v>0.0</v>
      </c>
      <c r="AG239" s="51">
        <v>0.0</v>
      </c>
      <c r="AH239" s="51">
        <v>0.0</v>
      </c>
      <c r="AI239" s="51">
        <v>0.0</v>
      </c>
      <c r="AJ239" s="51">
        <v>0.0</v>
      </c>
      <c r="AK239" s="51">
        <v>0.0</v>
      </c>
      <c r="AL239" s="51">
        <v>12.0</v>
      </c>
      <c r="AM239" s="51">
        <v>4.0</v>
      </c>
      <c r="AN239" s="51">
        <v>7.95</v>
      </c>
      <c r="AO239" s="51">
        <v>4.3</v>
      </c>
      <c r="AP239" s="51">
        <v>3.3</v>
      </c>
      <c r="AQ239" s="51">
        <v>0.825</v>
      </c>
      <c r="AR239" s="51">
        <v>24.525</v>
      </c>
      <c r="AS239" s="51">
        <v>0.0</v>
      </c>
      <c r="AT239" s="51">
        <v>2.55</v>
      </c>
      <c r="AU239" s="51">
        <v>7.65</v>
      </c>
      <c r="AV239" s="51">
        <v>0.0</v>
      </c>
      <c r="AW239" s="51">
        <v>5.1</v>
      </c>
      <c r="AX239" s="51">
        <v>2.55</v>
      </c>
      <c r="AY239" s="51">
        <v>5.1</v>
      </c>
      <c r="AZ239" s="51">
        <v>0.0</v>
      </c>
      <c r="BA239" s="51">
        <v>7.65</v>
      </c>
      <c r="BB239" s="51">
        <v>0.0</v>
      </c>
      <c r="BC239" s="51">
        <v>0.0</v>
      </c>
      <c r="BD239" s="51">
        <v>0.0</v>
      </c>
      <c r="BE239" s="51">
        <v>0.0</v>
      </c>
      <c r="BF239" s="51">
        <v>0.0</v>
      </c>
      <c r="BG239" s="51">
        <v>0.0</v>
      </c>
      <c r="BH239" s="51">
        <v>0.0</v>
      </c>
      <c r="BI239" s="51">
        <v>0.0</v>
      </c>
      <c r="BJ239" s="51">
        <v>0.0</v>
      </c>
      <c r="BK239" s="51">
        <v>0.0</v>
      </c>
      <c r="BL239" s="51">
        <v>0.0</v>
      </c>
      <c r="BM239" s="51">
        <v>0.0</v>
      </c>
      <c r="BN239" s="51">
        <v>0.0</v>
      </c>
      <c r="BO239" s="51">
        <v>0.0</v>
      </c>
      <c r="BP239" s="51">
        <v>0.0</v>
      </c>
      <c r="BQ239" s="51">
        <v>0.0</v>
      </c>
      <c r="BR239" s="51">
        <v>0.0</v>
      </c>
      <c r="BS239" s="51">
        <v>0.0</v>
      </c>
      <c r="BT239" s="51">
        <v>0.0</v>
      </c>
      <c r="BU239" s="51">
        <v>0.0</v>
      </c>
      <c r="BV239" s="51">
        <v>0.0</v>
      </c>
      <c r="BW239" s="106"/>
      <c r="BX239" s="106"/>
      <c r="BY239" s="106"/>
      <c r="BZ239" s="106"/>
      <c r="CA239" s="106"/>
      <c r="CB239" s="106"/>
      <c r="CC239" s="106"/>
      <c r="CD239" s="106"/>
      <c r="CE239" s="106"/>
      <c r="CF239" s="106"/>
      <c r="CG239" s="106"/>
      <c r="CH239" s="106"/>
      <c r="CI239" s="106"/>
      <c r="CJ239" s="106"/>
      <c r="CK239" s="106"/>
      <c r="CL239" s="106"/>
      <c r="CM239" s="106"/>
      <c r="CN239" s="106"/>
      <c r="CO239" s="106"/>
      <c r="CP239" s="106"/>
      <c r="CQ239" s="106"/>
      <c r="CR239" s="106"/>
      <c r="CS239" s="106"/>
      <c r="CT239" s="106"/>
      <c r="CU239" s="106"/>
      <c r="CV239" s="106"/>
      <c r="CW239" s="106"/>
      <c r="CX239" s="106"/>
      <c r="CY239" s="106"/>
      <c r="CZ239" s="106"/>
      <c r="DA239" s="106"/>
      <c r="DB239" s="106"/>
      <c r="DC239" s="106"/>
      <c r="DD239" s="106"/>
      <c r="DE239" s="106"/>
      <c r="DF239" s="106"/>
      <c r="DG239" s="106"/>
      <c r="DH239" s="106"/>
      <c r="DI239" s="106"/>
      <c r="DJ239" s="106"/>
      <c r="DK239" s="106"/>
      <c r="DL239" s="106"/>
      <c r="DM239" s="106"/>
      <c r="DN239" s="106"/>
      <c r="DO239" s="106"/>
      <c r="DP239" s="106"/>
      <c r="DQ239" s="106"/>
      <c r="DR239" s="106"/>
      <c r="DT239" s="50"/>
      <c r="DU239" s="50"/>
      <c r="DV239" s="50"/>
      <c r="DW239" s="50"/>
    </row>
    <row r="240" ht="15.75" hidden="1" customHeight="1" outlineLevel="1">
      <c r="B240" s="5" t="s">
        <v>99</v>
      </c>
      <c r="C240" s="72" t="s">
        <v>70</v>
      </c>
      <c r="E240" s="50">
        <f t="shared" ref="E240:M240" si="297">+SUMIFS($O240:$DR240,$O$7:$DR$7,E$7)</f>
        <v>0</v>
      </c>
      <c r="F240" s="50">
        <f t="shared" si="297"/>
        <v>0</v>
      </c>
      <c r="G240" s="50">
        <f t="shared" si="297"/>
        <v>0</v>
      </c>
      <c r="H240" s="50">
        <f t="shared" si="297"/>
        <v>83.338</v>
      </c>
      <c r="I240" s="50">
        <f t="shared" si="297"/>
        <v>0</v>
      </c>
      <c r="J240" s="50">
        <f t="shared" si="297"/>
        <v>0</v>
      </c>
      <c r="K240" s="50">
        <f t="shared" si="297"/>
        <v>0</v>
      </c>
      <c r="L240" s="50">
        <f t="shared" si="297"/>
        <v>0</v>
      </c>
      <c r="M240" s="50">
        <f t="shared" si="297"/>
        <v>0</v>
      </c>
      <c r="O240" s="51">
        <v>0.0</v>
      </c>
      <c r="P240" s="51">
        <v>0.0</v>
      </c>
      <c r="Q240" s="51">
        <v>0.0</v>
      </c>
      <c r="R240" s="51">
        <v>0.0</v>
      </c>
      <c r="S240" s="51">
        <v>0.0</v>
      </c>
      <c r="T240" s="51">
        <v>0.0</v>
      </c>
      <c r="U240" s="51">
        <v>0.0</v>
      </c>
      <c r="V240" s="51">
        <v>0.0</v>
      </c>
      <c r="W240" s="51">
        <v>0.0</v>
      </c>
      <c r="X240" s="51">
        <v>0.0</v>
      </c>
      <c r="Y240" s="51">
        <v>0.0</v>
      </c>
      <c r="Z240" s="51">
        <v>0.0</v>
      </c>
      <c r="AA240" s="51">
        <v>0.0</v>
      </c>
      <c r="AB240" s="51">
        <v>0.0</v>
      </c>
      <c r="AC240" s="51">
        <v>0.0</v>
      </c>
      <c r="AD240" s="51">
        <v>0.0</v>
      </c>
      <c r="AE240" s="51">
        <v>0.0</v>
      </c>
      <c r="AF240" s="51">
        <v>0.0</v>
      </c>
      <c r="AG240" s="51">
        <v>0.0</v>
      </c>
      <c r="AH240" s="51">
        <v>0.0</v>
      </c>
      <c r="AI240" s="51">
        <v>0.0</v>
      </c>
      <c r="AJ240" s="51">
        <v>0.0</v>
      </c>
      <c r="AK240" s="51">
        <v>0.0</v>
      </c>
      <c r="AL240" s="51">
        <v>0.0</v>
      </c>
      <c r="AM240" s="51">
        <v>0.0</v>
      </c>
      <c r="AN240" s="51">
        <v>0.0</v>
      </c>
      <c r="AO240" s="51">
        <v>0.0</v>
      </c>
      <c r="AP240" s="51">
        <v>0.0</v>
      </c>
      <c r="AQ240" s="51">
        <v>0.0</v>
      </c>
      <c r="AR240" s="51">
        <v>0.0</v>
      </c>
      <c r="AS240" s="51">
        <v>0.0</v>
      </c>
      <c r="AT240" s="51">
        <v>0.0</v>
      </c>
      <c r="AU240" s="51">
        <v>0.0</v>
      </c>
      <c r="AV240" s="51">
        <v>0.0</v>
      </c>
      <c r="AW240" s="51">
        <v>0.0</v>
      </c>
      <c r="AX240" s="51">
        <v>0.0</v>
      </c>
      <c r="AY240" s="51">
        <v>0.0</v>
      </c>
      <c r="AZ240" s="51">
        <v>0.0</v>
      </c>
      <c r="BA240" s="51">
        <v>0.0</v>
      </c>
      <c r="BB240" s="51">
        <v>8.334</v>
      </c>
      <c r="BC240" s="51">
        <v>20.834</v>
      </c>
      <c r="BD240" s="51">
        <v>16.668</v>
      </c>
      <c r="BE240" s="51">
        <v>12.501</v>
      </c>
      <c r="BF240" s="51">
        <v>4.167</v>
      </c>
      <c r="BG240" s="51">
        <v>20.834</v>
      </c>
      <c r="BH240" s="51">
        <v>0.0</v>
      </c>
      <c r="BI240" s="51">
        <v>0.0</v>
      </c>
      <c r="BJ240" s="51">
        <v>0.0</v>
      </c>
      <c r="BK240" s="51">
        <v>0.0</v>
      </c>
      <c r="BL240" s="51">
        <v>0.0</v>
      </c>
      <c r="BM240" s="51">
        <v>0.0</v>
      </c>
      <c r="BN240" s="51">
        <v>0.0</v>
      </c>
      <c r="BO240" s="51">
        <v>0.0</v>
      </c>
      <c r="BP240" s="51">
        <v>0.0</v>
      </c>
      <c r="BQ240" s="51">
        <v>0.0</v>
      </c>
      <c r="BR240" s="51">
        <v>0.0</v>
      </c>
      <c r="BS240" s="51">
        <v>0.0</v>
      </c>
      <c r="BT240" s="51">
        <v>0.0</v>
      </c>
      <c r="BU240" s="51">
        <v>0.0</v>
      </c>
      <c r="BV240" s="51">
        <v>0.0</v>
      </c>
      <c r="BW240" s="106"/>
      <c r="BX240" s="106"/>
      <c r="BY240" s="106"/>
      <c r="BZ240" s="106"/>
      <c r="CA240" s="106"/>
      <c r="CB240" s="106"/>
      <c r="CC240" s="106"/>
      <c r="CD240" s="106"/>
      <c r="CE240" s="106"/>
      <c r="CF240" s="106"/>
      <c r="CG240" s="106"/>
      <c r="CH240" s="106"/>
      <c r="CI240" s="106"/>
      <c r="CJ240" s="106"/>
      <c r="CK240" s="106"/>
      <c r="CL240" s="106"/>
      <c r="CM240" s="106"/>
      <c r="CN240" s="106"/>
      <c r="CO240" s="106"/>
      <c r="CP240" s="106"/>
      <c r="CQ240" s="106"/>
      <c r="CR240" s="106"/>
      <c r="CS240" s="106"/>
      <c r="CT240" s="106"/>
      <c r="CU240" s="106"/>
      <c r="CV240" s="106"/>
      <c r="CW240" s="106"/>
      <c r="CX240" s="106"/>
      <c r="CY240" s="106"/>
      <c r="CZ240" s="106"/>
      <c r="DA240" s="106"/>
      <c r="DB240" s="106"/>
      <c r="DC240" s="106"/>
      <c r="DD240" s="106"/>
      <c r="DE240" s="106"/>
      <c r="DF240" s="106"/>
      <c r="DG240" s="106"/>
      <c r="DH240" s="106"/>
      <c r="DI240" s="106"/>
      <c r="DJ240" s="106"/>
      <c r="DK240" s="106"/>
      <c r="DL240" s="106"/>
      <c r="DM240" s="106"/>
      <c r="DN240" s="106"/>
      <c r="DO240" s="106"/>
      <c r="DP240" s="106"/>
      <c r="DQ240" s="106"/>
      <c r="DR240" s="106"/>
      <c r="DT240" s="50"/>
      <c r="DU240" s="50"/>
      <c r="DV240" s="50"/>
      <c r="DW240" s="50"/>
    </row>
    <row r="241" ht="15.75" hidden="1" customHeight="1" outlineLevel="1">
      <c r="B241" s="5" t="s">
        <v>100</v>
      </c>
      <c r="C241" s="72" t="s">
        <v>82</v>
      </c>
      <c r="E241" s="50">
        <f t="shared" ref="E241:M241" si="298">+SUMIFS($O241:$DR241,$O$7:$DR$7,E$7)</f>
        <v>16.853</v>
      </c>
      <c r="F241" s="50">
        <f t="shared" si="298"/>
        <v>159.439</v>
      </c>
      <c r="G241" s="50">
        <f t="shared" si="298"/>
        <v>368.909</v>
      </c>
      <c r="H241" s="50">
        <f t="shared" si="298"/>
        <v>151.934</v>
      </c>
      <c r="I241" s="50">
        <f t="shared" si="298"/>
        <v>37.408</v>
      </c>
      <c r="J241" s="50">
        <f t="shared" si="298"/>
        <v>0</v>
      </c>
      <c r="K241" s="50">
        <f t="shared" si="298"/>
        <v>0</v>
      </c>
      <c r="L241" s="50">
        <f t="shared" si="298"/>
        <v>0</v>
      </c>
      <c r="M241" s="50">
        <f t="shared" si="298"/>
        <v>0</v>
      </c>
      <c r="O241" s="51">
        <v>13.701</v>
      </c>
      <c r="P241" s="51">
        <v>40.949</v>
      </c>
      <c r="Q241" s="51">
        <v>0.0</v>
      </c>
      <c r="R241" s="51">
        <v>0.0</v>
      </c>
      <c r="S241" s="51">
        <v>0.0</v>
      </c>
      <c r="T241" s="51">
        <v>0.0</v>
      </c>
      <c r="U241" s="51">
        <v>0.0</v>
      </c>
      <c r="V241" s="51">
        <v>0.0</v>
      </c>
      <c r="W241" s="51">
        <v>0.0</v>
      </c>
      <c r="X241" s="51">
        <v>0.0</v>
      </c>
      <c r="Y241" s="51">
        <v>0.0</v>
      </c>
      <c r="Z241" s="51">
        <v>-37.797</v>
      </c>
      <c r="AA241" s="51">
        <v>12.5</v>
      </c>
      <c r="AB241" s="51">
        <v>12.5</v>
      </c>
      <c r="AC241" s="51">
        <v>12.5</v>
      </c>
      <c r="AD241" s="51">
        <v>12.5</v>
      </c>
      <c r="AE241" s="51">
        <v>12.5</v>
      </c>
      <c r="AF241" s="51">
        <v>12.971</v>
      </c>
      <c r="AG241" s="51">
        <v>12.5</v>
      </c>
      <c r="AH241" s="51">
        <v>21.468</v>
      </c>
      <c r="AI241" s="51">
        <v>12.5</v>
      </c>
      <c r="AJ241" s="51">
        <v>12.5</v>
      </c>
      <c r="AK241" s="51">
        <v>12.5</v>
      </c>
      <c r="AL241" s="51">
        <v>12.5</v>
      </c>
      <c r="AM241" s="51">
        <v>25.0</v>
      </c>
      <c r="AN241" s="51">
        <v>25.0</v>
      </c>
      <c r="AO241" s="51">
        <v>25.0</v>
      </c>
      <c r="AP241" s="51">
        <v>25.0</v>
      </c>
      <c r="AQ241" s="51">
        <v>25.0</v>
      </c>
      <c r="AR241" s="51">
        <v>25.0</v>
      </c>
      <c r="AS241" s="51">
        <v>41.667</v>
      </c>
      <c r="AT241" s="51">
        <v>41.667</v>
      </c>
      <c r="AU241" s="51">
        <v>41.667</v>
      </c>
      <c r="AV241" s="51">
        <v>41.667</v>
      </c>
      <c r="AW241" s="51">
        <v>41.667</v>
      </c>
      <c r="AX241" s="51">
        <v>10.574</v>
      </c>
      <c r="AY241" s="51">
        <v>1.71</v>
      </c>
      <c r="AZ241" s="51">
        <v>20.511</v>
      </c>
      <c r="BA241" s="51">
        <v>20.512</v>
      </c>
      <c r="BB241" s="51">
        <v>20.511</v>
      </c>
      <c r="BC241" s="51">
        <v>23.929</v>
      </c>
      <c r="BD241" s="51">
        <v>17.283</v>
      </c>
      <c r="BE241" s="51">
        <v>20.125</v>
      </c>
      <c r="BF241" s="51">
        <v>8.362</v>
      </c>
      <c r="BG241" s="51">
        <v>9.496</v>
      </c>
      <c r="BH241" s="51">
        <v>9.495</v>
      </c>
      <c r="BI241" s="51">
        <v>0.0</v>
      </c>
      <c r="BJ241" s="51">
        <v>0.0</v>
      </c>
      <c r="BK241" s="51">
        <v>0.0</v>
      </c>
      <c r="BL241" s="51">
        <v>0.0</v>
      </c>
      <c r="BM241" s="51">
        <v>0.0</v>
      </c>
      <c r="BN241" s="51">
        <v>0.0</v>
      </c>
      <c r="BO241" s="51">
        <v>12.469333333333333</v>
      </c>
      <c r="BP241" s="51">
        <v>12.469333333333333</v>
      </c>
      <c r="BQ241" s="51">
        <v>12.469333333333333</v>
      </c>
      <c r="BR241" s="51">
        <v>0.0</v>
      </c>
      <c r="BS241" s="51">
        <v>0.0</v>
      </c>
      <c r="BT241" s="51">
        <v>0.0</v>
      </c>
      <c r="BU241" s="51">
        <v>0.0</v>
      </c>
      <c r="BV241" s="51">
        <v>0.0</v>
      </c>
      <c r="BW241" s="106"/>
      <c r="BX241" s="106"/>
      <c r="BY241" s="106"/>
      <c r="BZ241" s="106"/>
      <c r="CA241" s="106"/>
      <c r="CB241" s="106"/>
      <c r="CC241" s="106"/>
      <c r="CD241" s="106"/>
      <c r="CE241" s="106"/>
      <c r="CF241" s="106"/>
      <c r="CG241" s="106"/>
      <c r="CH241" s="106"/>
      <c r="CI241" s="106"/>
      <c r="CJ241" s="106"/>
      <c r="CK241" s="106"/>
      <c r="CL241" s="106"/>
      <c r="CM241" s="106"/>
      <c r="CN241" s="106"/>
      <c r="CO241" s="106"/>
      <c r="CP241" s="106"/>
      <c r="CQ241" s="106"/>
      <c r="CR241" s="106"/>
      <c r="CS241" s="106"/>
      <c r="CT241" s="106"/>
      <c r="CU241" s="106"/>
      <c r="CV241" s="106"/>
      <c r="CW241" s="106"/>
      <c r="CX241" s="106"/>
      <c r="CY241" s="106"/>
      <c r="CZ241" s="106"/>
      <c r="DA241" s="106"/>
      <c r="DB241" s="106"/>
      <c r="DC241" s="106"/>
      <c r="DD241" s="106"/>
      <c r="DE241" s="106"/>
      <c r="DF241" s="106"/>
      <c r="DG241" s="106"/>
      <c r="DH241" s="106"/>
      <c r="DI241" s="106"/>
      <c r="DJ241" s="106"/>
      <c r="DK241" s="106"/>
      <c r="DL241" s="106"/>
      <c r="DM241" s="106"/>
      <c r="DN241" s="106"/>
      <c r="DO241" s="106"/>
      <c r="DP241" s="106"/>
      <c r="DQ241" s="106"/>
      <c r="DR241" s="106"/>
      <c r="DT241" s="50"/>
      <c r="DU241" s="50"/>
      <c r="DV241" s="50"/>
      <c r="DW241" s="50"/>
    </row>
    <row r="242" ht="15.75" hidden="1" customHeight="1" outlineLevel="1">
      <c r="B242" s="5" t="s">
        <v>101</v>
      </c>
      <c r="C242" s="72" t="s">
        <v>70</v>
      </c>
      <c r="E242" s="50">
        <f t="shared" ref="E242:M242" si="299">+SUMIFS($O242:$DR242,$O$7:$DR$7,E$7)</f>
        <v>0</v>
      </c>
      <c r="F242" s="50">
        <f t="shared" si="299"/>
        <v>89.896</v>
      </c>
      <c r="G242" s="50">
        <f t="shared" si="299"/>
        <v>4.731</v>
      </c>
      <c r="H242" s="50">
        <f t="shared" si="299"/>
        <v>0</v>
      </c>
      <c r="I242" s="50">
        <f t="shared" si="299"/>
        <v>0</v>
      </c>
      <c r="J242" s="50">
        <f t="shared" si="299"/>
        <v>0</v>
      </c>
      <c r="K242" s="50">
        <f t="shared" si="299"/>
        <v>0</v>
      </c>
      <c r="L242" s="50">
        <f t="shared" si="299"/>
        <v>0</v>
      </c>
      <c r="M242" s="50">
        <f t="shared" si="299"/>
        <v>0</v>
      </c>
      <c r="O242" s="51">
        <v>0.0</v>
      </c>
      <c r="P242" s="51">
        <v>0.0</v>
      </c>
      <c r="Q242" s="51">
        <v>0.0</v>
      </c>
      <c r="R242" s="51">
        <v>0.0</v>
      </c>
      <c r="S242" s="51">
        <v>0.0</v>
      </c>
      <c r="T242" s="51">
        <v>0.0</v>
      </c>
      <c r="U242" s="51">
        <v>0.0</v>
      </c>
      <c r="V242" s="51">
        <v>0.0</v>
      </c>
      <c r="W242" s="51">
        <v>0.0</v>
      </c>
      <c r="X242" s="51">
        <v>0.0</v>
      </c>
      <c r="Y242" s="51">
        <v>0.0</v>
      </c>
      <c r="Z242" s="51">
        <v>0.0</v>
      </c>
      <c r="AA242" s="51">
        <v>0.0</v>
      </c>
      <c r="AB242" s="51">
        <v>0.0</v>
      </c>
      <c r="AC242" s="51">
        <v>0.0</v>
      </c>
      <c r="AD242" s="51">
        <v>4.732</v>
      </c>
      <c r="AE242" s="51">
        <v>4.751</v>
      </c>
      <c r="AF242" s="51">
        <v>14.174</v>
      </c>
      <c r="AG242" s="51">
        <v>9.463</v>
      </c>
      <c r="AH242" s="51">
        <v>12.302</v>
      </c>
      <c r="AI242" s="51">
        <v>12.301</v>
      </c>
      <c r="AJ242" s="51">
        <v>12.301</v>
      </c>
      <c r="AK242" s="51">
        <v>12.301</v>
      </c>
      <c r="AL242" s="51">
        <v>7.571</v>
      </c>
      <c r="AM242" s="51">
        <v>0.0</v>
      </c>
      <c r="AN242" s="51">
        <v>4.731</v>
      </c>
      <c r="AO242" s="51">
        <v>0.0</v>
      </c>
      <c r="AP242" s="51">
        <v>0.0</v>
      </c>
      <c r="AQ242" s="51">
        <v>0.0</v>
      </c>
      <c r="AR242" s="51">
        <v>0.0</v>
      </c>
      <c r="AS242" s="51">
        <v>0.0</v>
      </c>
      <c r="AT242" s="51">
        <v>0.0</v>
      </c>
      <c r="AU242" s="51">
        <v>0.0</v>
      </c>
      <c r="AV242" s="51">
        <v>0.0</v>
      </c>
      <c r="AW242" s="51">
        <v>0.0</v>
      </c>
      <c r="AX242" s="51">
        <v>0.0</v>
      </c>
      <c r="AY242" s="51">
        <v>0.0</v>
      </c>
      <c r="AZ242" s="51">
        <v>0.0</v>
      </c>
      <c r="BA242" s="51">
        <v>0.0</v>
      </c>
      <c r="BB242" s="51">
        <v>0.0</v>
      </c>
      <c r="BC242" s="51">
        <v>0.0</v>
      </c>
      <c r="BD242" s="51">
        <v>0.0</v>
      </c>
      <c r="BE242" s="51">
        <v>0.0</v>
      </c>
      <c r="BF242" s="51">
        <v>0.0</v>
      </c>
      <c r="BG242" s="51">
        <v>0.0</v>
      </c>
      <c r="BH242" s="51">
        <v>0.0</v>
      </c>
      <c r="BI242" s="51">
        <v>0.0</v>
      </c>
      <c r="BJ242" s="51">
        <v>0.0</v>
      </c>
      <c r="BK242" s="51">
        <v>0.0</v>
      </c>
      <c r="BL242" s="51">
        <v>0.0</v>
      </c>
      <c r="BM242" s="51">
        <v>0.0</v>
      </c>
      <c r="BN242" s="51">
        <v>0.0</v>
      </c>
      <c r="BO242" s="51">
        <v>0.0</v>
      </c>
      <c r="BP242" s="51">
        <v>0.0</v>
      </c>
      <c r="BQ242" s="51">
        <v>0.0</v>
      </c>
      <c r="BR242" s="51">
        <v>0.0</v>
      </c>
      <c r="BS242" s="51">
        <v>0.0</v>
      </c>
      <c r="BT242" s="51">
        <v>0.0</v>
      </c>
      <c r="BU242" s="51">
        <v>0.0</v>
      </c>
      <c r="BV242" s="51">
        <v>0.0</v>
      </c>
      <c r="BW242" s="106"/>
      <c r="BX242" s="106"/>
      <c r="BY242" s="106"/>
      <c r="BZ242" s="106"/>
      <c r="CA242" s="106"/>
      <c r="CB242" s="106"/>
      <c r="CC242" s="106"/>
      <c r="CD242" s="106"/>
      <c r="CE242" s="106"/>
      <c r="CF242" s="106"/>
      <c r="CG242" s="106"/>
      <c r="CH242" s="106"/>
      <c r="CI242" s="106"/>
      <c r="CJ242" s="106"/>
      <c r="CK242" s="106"/>
      <c r="CL242" s="106"/>
      <c r="CM242" s="106"/>
      <c r="CN242" s="106"/>
      <c r="CO242" s="106"/>
      <c r="CP242" s="106"/>
      <c r="CQ242" s="106"/>
      <c r="CR242" s="106"/>
      <c r="CS242" s="106"/>
      <c r="CT242" s="106"/>
      <c r="CU242" s="106"/>
      <c r="CV242" s="106"/>
      <c r="CW242" s="106"/>
      <c r="CX242" s="106"/>
      <c r="CY242" s="106"/>
      <c r="CZ242" s="106"/>
      <c r="DA242" s="106"/>
      <c r="DB242" s="106"/>
      <c r="DC242" s="106"/>
      <c r="DD242" s="106"/>
      <c r="DE242" s="106"/>
      <c r="DF242" s="106"/>
      <c r="DG242" s="106"/>
      <c r="DH242" s="106"/>
      <c r="DI242" s="106"/>
      <c r="DJ242" s="106"/>
      <c r="DK242" s="106"/>
      <c r="DL242" s="106"/>
      <c r="DM242" s="106"/>
      <c r="DN242" s="106"/>
      <c r="DO242" s="106"/>
      <c r="DP242" s="106"/>
      <c r="DQ242" s="106"/>
      <c r="DR242" s="106"/>
      <c r="DT242" s="50"/>
      <c r="DU242" s="50"/>
      <c r="DV242" s="50"/>
      <c r="DW242" s="50"/>
    </row>
    <row r="243" ht="15.75" hidden="1" customHeight="1" outlineLevel="1">
      <c r="B243" s="5" t="s">
        <v>102</v>
      </c>
      <c r="C243" s="72" t="s">
        <v>70</v>
      </c>
      <c r="E243" s="50">
        <f t="shared" ref="E243:M243" si="300">+SUMIFS($O243:$DR243,$O$7:$DR$7,E$7)</f>
        <v>0</v>
      </c>
      <c r="F243" s="50">
        <f t="shared" si="300"/>
        <v>0</v>
      </c>
      <c r="G243" s="50">
        <f t="shared" si="300"/>
        <v>0</v>
      </c>
      <c r="H243" s="50">
        <f t="shared" si="300"/>
        <v>0</v>
      </c>
      <c r="I243" s="50">
        <f t="shared" si="300"/>
        <v>300.688</v>
      </c>
      <c r="J243" s="50">
        <f t="shared" si="300"/>
        <v>0</v>
      </c>
      <c r="K243" s="50">
        <f t="shared" si="300"/>
        <v>0</v>
      </c>
      <c r="L243" s="50">
        <f t="shared" si="300"/>
        <v>0</v>
      </c>
      <c r="M243" s="50">
        <f t="shared" si="300"/>
        <v>0</v>
      </c>
      <c r="O243" s="51">
        <v>0.0</v>
      </c>
      <c r="P243" s="51">
        <v>0.0</v>
      </c>
      <c r="Q243" s="51">
        <v>0.0</v>
      </c>
      <c r="R243" s="51">
        <v>0.0</v>
      </c>
      <c r="S243" s="51">
        <v>0.0</v>
      </c>
      <c r="T243" s="51">
        <v>0.0</v>
      </c>
      <c r="U243" s="51">
        <v>0.0</v>
      </c>
      <c r="V243" s="51">
        <v>0.0</v>
      </c>
      <c r="W243" s="51">
        <v>0.0</v>
      </c>
      <c r="X243" s="51">
        <v>0.0</v>
      </c>
      <c r="Y243" s="51">
        <v>0.0</v>
      </c>
      <c r="Z243" s="51">
        <v>0.0</v>
      </c>
      <c r="AA243" s="51">
        <v>0.0</v>
      </c>
      <c r="AB243" s="51">
        <v>0.0</v>
      </c>
      <c r="AC243" s="51">
        <v>0.0</v>
      </c>
      <c r="AD243" s="51">
        <v>0.0</v>
      </c>
      <c r="AE243" s="51">
        <v>0.0</v>
      </c>
      <c r="AF243" s="51">
        <v>0.0</v>
      </c>
      <c r="AG243" s="51">
        <v>0.0</v>
      </c>
      <c r="AH243" s="51">
        <v>0.0</v>
      </c>
      <c r="AI243" s="51">
        <v>0.0</v>
      </c>
      <c r="AJ243" s="51">
        <v>0.0</v>
      </c>
      <c r="AK243" s="51">
        <v>0.0</v>
      </c>
      <c r="AL243" s="51">
        <v>0.0</v>
      </c>
      <c r="AM243" s="51">
        <v>0.0</v>
      </c>
      <c r="AN243" s="51">
        <v>0.0</v>
      </c>
      <c r="AO243" s="51">
        <v>0.0</v>
      </c>
      <c r="AP243" s="51">
        <v>0.0</v>
      </c>
      <c r="AQ243" s="51">
        <v>0.0</v>
      </c>
      <c r="AR243" s="51">
        <v>0.0</v>
      </c>
      <c r="AS243" s="51">
        <v>0.0</v>
      </c>
      <c r="AT243" s="51">
        <v>0.0</v>
      </c>
      <c r="AU243" s="51">
        <v>0.0</v>
      </c>
      <c r="AV243" s="51">
        <v>0.0</v>
      </c>
      <c r="AW243" s="51">
        <v>0.0</v>
      </c>
      <c r="AX243" s="51">
        <v>0.0</v>
      </c>
      <c r="AY243" s="51">
        <v>0.0</v>
      </c>
      <c r="AZ243" s="51">
        <v>0.0</v>
      </c>
      <c r="BA243" s="51">
        <v>0.0</v>
      </c>
      <c r="BB243" s="51">
        <v>0.0</v>
      </c>
      <c r="BC243" s="51">
        <v>0.0</v>
      </c>
      <c r="BD243" s="51">
        <v>0.0</v>
      </c>
      <c r="BE243" s="51">
        <v>0.0</v>
      </c>
      <c r="BF243" s="51">
        <v>0.0</v>
      </c>
      <c r="BG243" s="51">
        <v>0.0</v>
      </c>
      <c r="BH243" s="51">
        <v>0.0</v>
      </c>
      <c r="BI243" s="51">
        <v>0.0</v>
      </c>
      <c r="BJ243" s="51">
        <v>0.0</v>
      </c>
      <c r="BK243" s="51">
        <v>0.0</v>
      </c>
      <c r="BL243" s="51">
        <v>0.0</v>
      </c>
      <c r="BM243" s="51">
        <v>0.0</v>
      </c>
      <c r="BN243" s="51">
        <v>8.352444444444446</v>
      </c>
      <c r="BO243" s="51">
        <v>33.409777777777784</v>
      </c>
      <c r="BP243" s="51">
        <v>33.409777777777784</v>
      </c>
      <c r="BQ243" s="51">
        <v>36.75075555555556</v>
      </c>
      <c r="BR243" s="51">
        <v>38.42124444444445</v>
      </c>
      <c r="BS243" s="51">
        <v>38.42124444444445</v>
      </c>
      <c r="BT243" s="51">
        <v>38.42124444444445</v>
      </c>
      <c r="BU243" s="51">
        <v>36.75075555555556</v>
      </c>
      <c r="BV243" s="51">
        <v>36.75075555555556</v>
      </c>
      <c r="BW243" s="106"/>
      <c r="BX243" s="106"/>
      <c r="BY243" s="106"/>
      <c r="BZ243" s="106"/>
      <c r="CA243" s="106"/>
      <c r="CB243" s="106"/>
      <c r="CC243" s="106"/>
      <c r="CD243" s="106"/>
      <c r="CE243" s="106"/>
      <c r="CF243" s="106"/>
      <c r="CG243" s="106"/>
      <c r="CH243" s="106"/>
      <c r="CI243" s="106"/>
      <c r="CJ243" s="106"/>
      <c r="CK243" s="106"/>
      <c r="CL243" s="106"/>
      <c r="CM243" s="106"/>
      <c r="CN243" s="106"/>
      <c r="CO243" s="106"/>
      <c r="CP243" s="106"/>
      <c r="CQ243" s="106"/>
      <c r="CR243" s="106"/>
      <c r="CS243" s="106"/>
      <c r="CT243" s="106"/>
      <c r="CU243" s="106"/>
      <c r="CV243" s="106"/>
      <c r="CW243" s="106"/>
      <c r="CX243" s="106"/>
      <c r="CY243" s="106"/>
      <c r="CZ243" s="106"/>
      <c r="DA243" s="106"/>
      <c r="DB243" s="106"/>
      <c r="DC243" s="106"/>
      <c r="DD243" s="106"/>
      <c r="DE243" s="106"/>
      <c r="DF243" s="106"/>
      <c r="DG243" s="106"/>
      <c r="DH243" s="106"/>
      <c r="DI243" s="106"/>
      <c r="DJ243" s="106"/>
      <c r="DK243" s="106"/>
      <c r="DL243" s="106"/>
      <c r="DM243" s="106"/>
      <c r="DN243" s="106"/>
      <c r="DO243" s="106"/>
      <c r="DP243" s="106"/>
      <c r="DQ243" s="106"/>
      <c r="DR243" s="106"/>
      <c r="DT243" s="50"/>
      <c r="DU243" s="50"/>
      <c r="DV243" s="50"/>
      <c r="DW243" s="50"/>
    </row>
    <row r="244" ht="15.75" hidden="1" customHeight="1" outlineLevel="1">
      <c r="B244" s="5" t="s">
        <v>103</v>
      </c>
      <c r="C244" s="72" t="s">
        <v>70</v>
      </c>
      <c r="E244" s="50">
        <f t="shared" ref="E244:M244" si="301">+SUMIFS($O244:$DR244,$O$7:$DR$7,E$7)</f>
        <v>0</v>
      </c>
      <c r="F244" s="50">
        <f t="shared" si="301"/>
        <v>40.096</v>
      </c>
      <c r="G244" s="50">
        <f t="shared" si="301"/>
        <v>10.024</v>
      </c>
      <c r="H244" s="50">
        <f t="shared" si="301"/>
        <v>0</v>
      </c>
      <c r="I244" s="50">
        <f t="shared" si="301"/>
        <v>0</v>
      </c>
      <c r="J244" s="50">
        <f t="shared" si="301"/>
        <v>0</v>
      </c>
      <c r="K244" s="50">
        <f t="shared" si="301"/>
        <v>0</v>
      </c>
      <c r="L244" s="50">
        <f t="shared" si="301"/>
        <v>0</v>
      </c>
      <c r="M244" s="50">
        <f t="shared" si="301"/>
        <v>0</v>
      </c>
      <c r="O244" s="51">
        <v>0.0</v>
      </c>
      <c r="P244" s="51">
        <v>0.0</v>
      </c>
      <c r="Q244" s="51">
        <v>0.0</v>
      </c>
      <c r="R244" s="51">
        <v>0.0</v>
      </c>
      <c r="S244" s="51">
        <v>0.0</v>
      </c>
      <c r="T244" s="51">
        <v>0.0</v>
      </c>
      <c r="U244" s="51">
        <v>0.0</v>
      </c>
      <c r="V244" s="51">
        <v>0.0</v>
      </c>
      <c r="W244" s="51">
        <v>0.0</v>
      </c>
      <c r="X244" s="51">
        <v>0.0</v>
      </c>
      <c r="Y244" s="51">
        <v>0.0</v>
      </c>
      <c r="Z244" s="51">
        <v>0.0</v>
      </c>
      <c r="AA244" s="51">
        <v>0.0</v>
      </c>
      <c r="AB244" s="51">
        <v>0.0</v>
      </c>
      <c r="AC244" s="51">
        <v>0.0</v>
      </c>
      <c r="AD244" s="51">
        <v>0.0</v>
      </c>
      <c r="AE244" s="51">
        <v>0.679</v>
      </c>
      <c r="AF244" s="51">
        <v>6.981</v>
      </c>
      <c r="AG244" s="51">
        <v>0.529</v>
      </c>
      <c r="AH244" s="51">
        <v>6.558</v>
      </c>
      <c r="AI244" s="51">
        <v>6.558</v>
      </c>
      <c r="AJ244" s="51">
        <v>6.558</v>
      </c>
      <c r="AK244" s="51">
        <v>0.826</v>
      </c>
      <c r="AL244" s="51">
        <v>11.407</v>
      </c>
      <c r="AM244" s="51">
        <v>2.506</v>
      </c>
      <c r="AN244" s="51">
        <v>5.012</v>
      </c>
      <c r="AO244" s="51">
        <v>2.506</v>
      </c>
      <c r="AP244" s="51">
        <v>0.0</v>
      </c>
      <c r="AQ244" s="51">
        <v>0.0</v>
      </c>
      <c r="AR244" s="51">
        <v>0.0</v>
      </c>
      <c r="AS244" s="51">
        <v>0.0</v>
      </c>
      <c r="AT244" s="51">
        <v>0.0</v>
      </c>
      <c r="AU244" s="51">
        <v>0.0</v>
      </c>
      <c r="AV244" s="51">
        <v>0.0</v>
      </c>
      <c r="AW244" s="51">
        <v>0.0</v>
      </c>
      <c r="AX244" s="51">
        <v>0.0</v>
      </c>
      <c r="AY244" s="51">
        <v>0.0</v>
      </c>
      <c r="AZ244" s="51">
        <v>0.0</v>
      </c>
      <c r="BA244" s="51">
        <v>0.0</v>
      </c>
      <c r="BB244" s="51">
        <v>0.0</v>
      </c>
      <c r="BC244" s="51">
        <v>0.0</v>
      </c>
      <c r="BD244" s="51">
        <v>0.0</v>
      </c>
      <c r="BE244" s="51">
        <v>0.0</v>
      </c>
      <c r="BF244" s="51">
        <v>0.0</v>
      </c>
      <c r="BG244" s="51">
        <v>0.0</v>
      </c>
      <c r="BH244" s="51">
        <v>0.0</v>
      </c>
      <c r="BI244" s="51">
        <v>0.0</v>
      </c>
      <c r="BJ244" s="51">
        <v>0.0</v>
      </c>
      <c r="BK244" s="51">
        <v>0.0</v>
      </c>
      <c r="BL244" s="51">
        <v>0.0</v>
      </c>
      <c r="BM244" s="51">
        <v>0.0</v>
      </c>
      <c r="BN244" s="51">
        <v>0.0</v>
      </c>
      <c r="BO244" s="51">
        <v>0.0</v>
      </c>
      <c r="BP244" s="51">
        <v>0.0</v>
      </c>
      <c r="BQ244" s="51">
        <v>0.0</v>
      </c>
      <c r="BR244" s="51">
        <v>0.0</v>
      </c>
      <c r="BS244" s="51">
        <v>0.0</v>
      </c>
      <c r="BT244" s="51">
        <v>0.0</v>
      </c>
      <c r="BU244" s="51">
        <v>0.0</v>
      </c>
      <c r="BV244" s="51">
        <v>0.0</v>
      </c>
      <c r="BW244" s="106"/>
      <c r="BX244" s="106"/>
      <c r="BY244" s="106"/>
      <c r="BZ244" s="106"/>
      <c r="CA244" s="106"/>
      <c r="CB244" s="106"/>
      <c r="CC244" s="106"/>
      <c r="CD244" s="106"/>
      <c r="CE244" s="106"/>
      <c r="CF244" s="106"/>
      <c r="CG244" s="106"/>
      <c r="CH244" s="106"/>
      <c r="CI244" s="106"/>
      <c r="CJ244" s="106"/>
      <c r="CK244" s="106"/>
      <c r="CL244" s="106"/>
      <c r="CM244" s="106"/>
      <c r="CN244" s="106"/>
      <c r="CO244" s="106"/>
      <c r="CP244" s="106"/>
      <c r="CQ244" s="106"/>
      <c r="CR244" s="106"/>
      <c r="CS244" s="106"/>
      <c r="CT244" s="106"/>
      <c r="CU244" s="106"/>
      <c r="CV244" s="106"/>
      <c r="CW244" s="106"/>
      <c r="CX244" s="106"/>
      <c r="CY244" s="106"/>
      <c r="CZ244" s="106"/>
      <c r="DA244" s="106"/>
      <c r="DB244" s="106"/>
      <c r="DC244" s="106"/>
      <c r="DD244" s="106"/>
      <c r="DE244" s="106"/>
      <c r="DF244" s="106"/>
      <c r="DG244" s="106"/>
      <c r="DH244" s="106"/>
      <c r="DI244" s="106"/>
      <c r="DJ244" s="106"/>
      <c r="DK244" s="106"/>
      <c r="DL244" s="106"/>
      <c r="DM244" s="106"/>
      <c r="DN244" s="106"/>
      <c r="DO244" s="106"/>
      <c r="DP244" s="106"/>
      <c r="DQ244" s="106"/>
      <c r="DR244" s="106"/>
      <c r="DT244" s="50"/>
      <c r="DU244" s="50"/>
      <c r="DV244" s="50"/>
      <c r="DW244" s="50"/>
    </row>
    <row r="245" ht="15.75" hidden="1" customHeight="1" outlineLevel="1">
      <c r="B245" s="5" t="s">
        <v>104</v>
      </c>
      <c r="C245" s="72" t="s">
        <v>76</v>
      </c>
      <c r="E245" s="50">
        <f t="shared" ref="E245:M245" si="302">+SUMIFS($O245:$DR245,$O$7:$DR$7,E$7)</f>
        <v>0</v>
      </c>
      <c r="F245" s="50">
        <f t="shared" si="302"/>
        <v>0</v>
      </c>
      <c r="G245" s="50">
        <f t="shared" si="302"/>
        <v>0</v>
      </c>
      <c r="H245" s="50">
        <f t="shared" si="302"/>
        <v>0</v>
      </c>
      <c r="I245" s="50">
        <f t="shared" si="302"/>
        <v>0</v>
      </c>
      <c r="J245" s="50">
        <f t="shared" si="302"/>
        <v>0</v>
      </c>
      <c r="K245" s="50">
        <f t="shared" si="302"/>
        <v>0</v>
      </c>
      <c r="L245" s="50">
        <f t="shared" si="302"/>
        <v>0</v>
      </c>
      <c r="M245" s="50">
        <f t="shared" si="302"/>
        <v>0</v>
      </c>
      <c r="O245" s="51">
        <v>0.0</v>
      </c>
      <c r="P245" s="51">
        <v>0.0</v>
      </c>
      <c r="Q245" s="51">
        <v>0.0</v>
      </c>
      <c r="R245" s="51">
        <v>0.0</v>
      </c>
      <c r="S245" s="51">
        <v>0.0</v>
      </c>
      <c r="T245" s="51">
        <v>0.0</v>
      </c>
      <c r="U245" s="51">
        <v>0.0</v>
      </c>
      <c r="V245" s="51">
        <v>0.0</v>
      </c>
      <c r="W245" s="51">
        <v>0.0</v>
      </c>
      <c r="X245" s="51">
        <v>0.0</v>
      </c>
      <c r="Y245" s="51">
        <v>0.0</v>
      </c>
      <c r="Z245" s="51">
        <v>0.0</v>
      </c>
      <c r="AA245" s="51">
        <v>0.0</v>
      </c>
      <c r="AB245" s="51">
        <v>0.0</v>
      </c>
      <c r="AC245" s="51">
        <v>0.0</v>
      </c>
      <c r="AD245" s="51">
        <v>0.0</v>
      </c>
      <c r="AE245" s="51">
        <v>0.0</v>
      </c>
      <c r="AF245" s="51">
        <v>0.0</v>
      </c>
      <c r="AG245" s="51">
        <v>0.0</v>
      </c>
      <c r="AH245" s="51">
        <v>0.0</v>
      </c>
      <c r="AI245" s="51">
        <v>0.0</v>
      </c>
      <c r="AJ245" s="51">
        <v>0.0</v>
      </c>
      <c r="AK245" s="51">
        <v>0.0</v>
      </c>
      <c r="AL245" s="51">
        <v>0.0</v>
      </c>
      <c r="AM245" s="51">
        <v>0.0</v>
      </c>
      <c r="AN245" s="51">
        <v>0.0</v>
      </c>
      <c r="AO245" s="51">
        <v>0.0</v>
      </c>
      <c r="AP245" s="51">
        <v>0.0</v>
      </c>
      <c r="AQ245" s="51">
        <v>0.0</v>
      </c>
      <c r="AR245" s="51">
        <v>0.0</v>
      </c>
      <c r="AS245" s="51">
        <v>0.0</v>
      </c>
      <c r="AT245" s="51">
        <v>0.0</v>
      </c>
      <c r="AU245" s="51">
        <v>0.0</v>
      </c>
      <c r="AV245" s="51">
        <v>0.0</v>
      </c>
      <c r="AW245" s="51">
        <v>0.0</v>
      </c>
      <c r="AX245" s="51">
        <v>0.0</v>
      </c>
      <c r="AY245" s="51">
        <v>0.0</v>
      </c>
      <c r="AZ245" s="51">
        <v>0.0</v>
      </c>
      <c r="BA245" s="51">
        <v>0.0</v>
      </c>
      <c r="BB245" s="51">
        <v>0.0</v>
      </c>
      <c r="BC245" s="51">
        <v>0.0</v>
      </c>
      <c r="BD245" s="51">
        <v>0.0</v>
      </c>
      <c r="BE245" s="51">
        <v>0.0</v>
      </c>
      <c r="BF245" s="51">
        <v>0.0</v>
      </c>
      <c r="BG245" s="51">
        <v>0.0</v>
      </c>
      <c r="BH245" s="51">
        <v>0.0</v>
      </c>
      <c r="BI245" s="51">
        <v>0.0</v>
      </c>
      <c r="BJ245" s="51">
        <v>0.0</v>
      </c>
      <c r="BK245" s="51">
        <v>0.0</v>
      </c>
      <c r="BL245" s="51">
        <v>0.0</v>
      </c>
      <c r="BM245" s="51">
        <v>0.0</v>
      </c>
      <c r="BN245" s="51">
        <v>0.0</v>
      </c>
      <c r="BO245" s="51">
        <v>0.0</v>
      </c>
      <c r="BP245" s="51">
        <v>0.0</v>
      </c>
      <c r="BQ245" s="51">
        <v>0.0</v>
      </c>
      <c r="BR245" s="51">
        <v>0.0</v>
      </c>
      <c r="BS245" s="51">
        <v>0.0</v>
      </c>
      <c r="BT245" s="51">
        <v>0.0</v>
      </c>
      <c r="BU245" s="51">
        <v>0.0</v>
      </c>
      <c r="BV245" s="51">
        <v>0.0</v>
      </c>
      <c r="BW245" s="106"/>
      <c r="BX245" s="106"/>
      <c r="BY245" s="106"/>
      <c r="BZ245" s="106"/>
      <c r="CA245" s="106"/>
      <c r="CB245" s="106"/>
      <c r="CC245" s="106"/>
      <c r="CD245" s="106"/>
      <c r="CE245" s="106"/>
      <c r="CF245" s="106"/>
      <c r="CG245" s="106"/>
      <c r="CH245" s="106"/>
      <c r="CI245" s="106"/>
      <c r="CJ245" s="106"/>
      <c r="CK245" s="106"/>
      <c r="CL245" s="106"/>
      <c r="CM245" s="106"/>
      <c r="CN245" s="106"/>
      <c r="CO245" s="106"/>
      <c r="CP245" s="106"/>
      <c r="CQ245" s="106"/>
      <c r="CR245" s="106"/>
      <c r="CS245" s="106"/>
      <c r="CT245" s="106"/>
      <c r="CU245" s="106"/>
      <c r="CV245" s="106"/>
      <c r="CW245" s="106"/>
      <c r="CX245" s="106"/>
      <c r="CY245" s="106"/>
      <c r="CZ245" s="106"/>
      <c r="DA245" s="106"/>
      <c r="DB245" s="106"/>
      <c r="DC245" s="106"/>
      <c r="DD245" s="106"/>
      <c r="DE245" s="106"/>
      <c r="DF245" s="106"/>
      <c r="DG245" s="106"/>
      <c r="DH245" s="106"/>
      <c r="DI245" s="106"/>
      <c r="DJ245" s="106"/>
      <c r="DK245" s="106"/>
      <c r="DL245" s="106"/>
      <c r="DM245" s="106"/>
      <c r="DN245" s="106"/>
      <c r="DO245" s="106"/>
      <c r="DP245" s="106"/>
      <c r="DQ245" s="106"/>
      <c r="DR245" s="106"/>
      <c r="DT245" s="50"/>
      <c r="DU245" s="50"/>
      <c r="DV245" s="50"/>
      <c r="DW245" s="50"/>
    </row>
    <row r="246" ht="15.75" hidden="1" customHeight="1" outlineLevel="1">
      <c r="B246" s="5" t="s">
        <v>105</v>
      </c>
      <c r="C246" s="72" t="s">
        <v>74</v>
      </c>
      <c r="E246" s="50">
        <f t="shared" ref="E246:M246" si="303">+SUMIFS($O246:$DR246,$O$7:$DR$7,E$7)</f>
        <v>0</v>
      </c>
      <c r="F246" s="50">
        <f t="shared" si="303"/>
        <v>4.782</v>
      </c>
      <c r="G246" s="50">
        <f t="shared" si="303"/>
        <v>155.913</v>
      </c>
      <c r="H246" s="50">
        <f t="shared" si="303"/>
        <v>12.541</v>
      </c>
      <c r="I246" s="50">
        <f t="shared" si="303"/>
        <v>0</v>
      </c>
      <c r="J246" s="50">
        <f t="shared" si="303"/>
        <v>0</v>
      </c>
      <c r="K246" s="50">
        <f t="shared" si="303"/>
        <v>0</v>
      </c>
      <c r="L246" s="50">
        <f t="shared" si="303"/>
        <v>0</v>
      </c>
      <c r="M246" s="50">
        <f t="shared" si="303"/>
        <v>0</v>
      </c>
      <c r="O246" s="51">
        <v>0.0</v>
      </c>
      <c r="P246" s="51">
        <v>0.0</v>
      </c>
      <c r="Q246" s="51">
        <v>0.0</v>
      </c>
      <c r="R246" s="51">
        <v>0.0</v>
      </c>
      <c r="S246" s="51">
        <v>0.0</v>
      </c>
      <c r="T246" s="51">
        <v>0.0</v>
      </c>
      <c r="U246" s="51">
        <v>0.0</v>
      </c>
      <c r="V246" s="51">
        <v>0.0</v>
      </c>
      <c r="W246" s="51">
        <v>0.0</v>
      </c>
      <c r="X246" s="51">
        <v>0.0</v>
      </c>
      <c r="Y246" s="51">
        <v>0.0</v>
      </c>
      <c r="Z246" s="51">
        <v>0.0</v>
      </c>
      <c r="AA246" s="51">
        <v>0.0</v>
      </c>
      <c r="AB246" s="51">
        <v>0.0</v>
      </c>
      <c r="AC246" s="51">
        <v>0.0</v>
      </c>
      <c r="AD246" s="51">
        <v>0.0</v>
      </c>
      <c r="AE246" s="51">
        <v>0.0</v>
      </c>
      <c r="AF246" s="51">
        <v>0.0</v>
      </c>
      <c r="AG246" s="51">
        <v>0.0</v>
      </c>
      <c r="AH246" s="51">
        <v>0.0</v>
      </c>
      <c r="AI246" s="51">
        <v>0.0</v>
      </c>
      <c r="AJ246" s="51">
        <v>0.0</v>
      </c>
      <c r="AK246" s="51">
        <v>4.782</v>
      </c>
      <c r="AL246" s="51">
        <v>0.0</v>
      </c>
      <c r="AM246" s="51">
        <v>4.783</v>
      </c>
      <c r="AN246" s="51">
        <v>0.0</v>
      </c>
      <c r="AO246" s="51">
        <v>4.782</v>
      </c>
      <c r="AP246" s="51">
        <v>42.406</v>
      </c>
      <c r="AQ246" s="51">
        <v>17.324</v>
      </c>
      <c r="AR246" s="51">
        <v>17.323</v>
      </c>
      <c r="AS246" s="51">
        <v>17.324</v>
      </c>
      <c r="AT246" s="51">
        <v>8.662</v>
      </c>
      <c r="AU246" s="51">
        <v>8.662</v>
      </c>
      <c r="AV246" s="51">
        <v>8.661</v>
      </c>
      <c r="AW246" s="51">
        <v>17.324</v>
      </c>
      <c r="AX246" s="51">
        <v>8.662</v>
      </c>
      <c r="AY246" s="51">
        <v>12.541</v>
      </c>
      <c r="AZ246" s="51">
        <v>0.0</v>
      </c>
      <c r="BA246" s="51">
        <v>0.0</v>
      </c>
      <c r="BB246" s="51">
        <v>0.0</v>
      </c>
      <c r="BC246" s="51">
        <v>0.0</v>
      </c>
      <c r="BD246" s="51">
        <v>0.0</v>
      </c>
      <c r="BE246" s="51">
        <v>0.0</v>
      </c>
      <c r="BF246" s="51">
        <v>0.0</v>
      </c>
      <c r="BG246" s="51">
        <v>0.0</v>
      </c>
      <c r="BH246" s="51">
        <v>0.0</v>
      </c>
      <c r="BI246" s="51">
        <v>0.0</v>
      </c>
      <c r="BJ246" s="51">
        <v>0.0</v>
      </c>
      <c r="BK246" s="51">
        <v>0.0</v>
      </c>
      <c r="BL246" s="51">
        <v>0.0</v>
      </c>
      <c r="BM246" s="51">
        <v>0.0</v>
      </c>
      <c r="BN246" s="51">
        <v>0.0</v>
      </c>
      <c r="BO246" s="51">
        <v>0.0</v>
      </c>
      <c r="BP246" s="51">
        <v>0.0</v>
      </c>
      <c r="BQ246" s="51">
        <v>0.0</v>
      </c>
      <c r="BR246" s="51">
        <v>0.0</v>
      </c>
      <c r="BS246" s="51">
        <v>0.0</v>
      </c>
      <c r="BT246" s="51">
        <v>0.0</v>
      </c>
      <c r="BU246" s="51">
        <v>0.0</v>
      </c>
      <c r="BV246" s="51">
        <v>0.0</v>
      </c>
      <c r="BW246" s="106"/>
      <c r="BX246" s="106"/>
      <c r="BY246" s="106"/>
      <c r="BZ246" s="106"/>
      <c r="CA246" s="106"/>
      <c r="CB246" s="106"/>
      <c r="CC246" s="106"/>
      <c r="CD246" s="106"/>
      <c r="CE246" s="106"/>
      <c r="CF246" s="106"/>
      <c r="CG246" s="106"/>
      <c r="CH246" s="106"/>
      <c r="CI246" s="106"/>
      <c r="CJ246" s="106"/>
      <c r="CK246" s="106"/>
      <c r="CL246" s="106"/>
      <c r="CM246" s="106"/>
      <c r="CN246" s="106"/>
      <c r="CO246" s="106"/>
      <c r="CP246" s="106"/>
      <c r="CQ246" s="106"/>
      <c r="CR246" s="106"/>
      <c r="CS246" s="106"/>
      <c r="CT246" s="106"/>
      <c r="CU246" s="106"/>
      <c r="CV246" s="106"/>
      <c r="CW246" s="106"/>
      <c r="CX246" s="106"/>
      <c r="CY246" s="106"/>
      <c r="CZ246" s="106"/>
      <c r="DA246" s="106"/>
      <c r="DB246" s="106"/>
      <c r="DC246" s="106"/>
      <c r="DD246" s="106"/>
      <c r="DE246" s="106"/>
      <c r="DF246" s="106"/>
      <c r="DG246" s="106"/>
      <c r="DH246" s="106"/>
      <c r="DI246" s="106"/>
      <c r="DJ246" s="106"/>
      <c r="DK246" s="106"/>
      <c r="DL246" s="106"/>
      <c r="DM246" s="106"/>
      <c r="DN246" s="106"/>
      <c r="DO246" s="106"/>
      <c r="DP246" s="106"/>
      <c r="DQ246" s="106"/>
      <c r="DR246" s="106"/>
      <c r="DT246" s="50"/>
      <c r="DU246" s="50"/>
      <c r="DV246" s="50"/>
      <c r="DW246" s="50"/>
    </row>
    <row r="247" ht="15.75" hidden="1" customHeight="1" outlineLevel="1">
      <c r="B247" s="5" t="s">
        <v>106</v>
      </c>
      <c r="C247" s="72" t="s">
        <v>70</v>
      </c>
      <c r="E247" s="50">
        <f t="shared" ref="E247:M247" si="304">+SUMIFS($O247:$DR247,$O$7:$DR$7,E$7)</f>
        <v>0</v>
      </c>
      <c r="F247" s="50">
        <f t="shared" si="304"/>
        <v>44.517</v>
      </c>
      <c r="G247" s="50">
        <f t="shared" si="304"/>
        <v>26.035</v>
      </c>
      <c r="H247" s="50">
        <f t="shared" si="304"/>
        <v>0</v>
      </c>
      <c r="I247" s="50">
        <f t="shared" si="304"/>
        <v>0</v>
      </c>
      <c r="J247" s="50">
        <f t="shared" si="304"/>
        <v>0</v>
      </c>
      <c r="K247" s="50">
        <f t="shared" si="304"/>
        <v>0</v>
      </c>
      <c r="L247" s="50">
        <f t="shared" si="304"/>
        <v>0</v>
      </c>
      <c r="M247" s="50">
        <f t="shared" si="304"/>
        <v>0</v>
      </c>
      <c r="O247" s="51">
        <v>0.0</v>
      </c>
      <c r="P247" s="51">
        <v>0.0</v>
      </c>
      <c r="Q247" s="51">
        <v>0.0</v>
      </c>
      <c r="R247" s="51">
        <v>0.0</v>
      </c>
      <c r="S247" s="51">
        <v>0.0</v>
      </c>
      <c r="T247" s="51">
        <v>0.0</v>
      </c>
      <c r="U247" s="51">
        <v>0.0</v>
      </c>
      <c r="V247" s="51">
        <v>0.0</v>
      </c>
      <c r="W247" s="51">
        <v>0.0</v>
      </c>
      <c r="X247" s="51">
        <v>0.0</v>
      </c>
      <c r="Y247" s="51">
        <v>0.0</v>
      </c>
      <c r="Z247" s="51">
        <v>0.0</v>
      </c>
      <c r="AA247" s="51">
        <v>0.0</v>
      </c>
      <c r="AB247" s="51">
        <v>0.0</v>
      </c>
      <c r="AC247" s="51">
        <v>0.0</v>
      </c>
      <c r="AD247" s="51">
        <v>0.0</v>
      </c>
      <c r="AE247" s="51">
        <v>0.0</v>
      </c>
      <c r="AF247" s="51">
        <v>0.0</v>
      </c>
      <c r="AG247" s="51">
        <v>0.0</v>
      </c>
      <c r="AH247" s="51">
        <v>0.0</v>
      </c>
      <c r="AI247" s="51">
        <v>0.0</v>
      </c>
      <c r="AJ247" s="51">
        <v>20.235</v>
      </c>
      <c r="AK247" s="51">
        <v>20.235</v>
      </c>
      <c r="AL247" s="51">
        <v>4.047</v>
      </c>
      <c r="AM247" s="51">
        <v>4.047</v>
      </c>
      <c r="AN247" s="51">
        <v>13.566</v>
      </c>
      <c r="AO247" s="51">
        <v>1.094</v>
      </c>
      <c r="AP247" s="51">
        <v>3.456</v>
      </c>
      <c r="AQ247" s="51">
        <v>3.456</v>
      </c>
      <c r="AR247" s="51">
        <v>3.457</v>
      </c>
      <c r="AS247" s="51">
        <v>0.0</v>
      </c>
      <c r="AT247" s="51">
        <v>0.0</v>
      </c>
      <c r="AU247" s="51">
        <v>0.0</v>
      </c>
      <c r="AV247" s="51">
        <v>-6.497</v>
      </c>
      <c r="AW247" s="51">
        <v>0.0</v>
      </c>
      <c r="AX247" s="51">
        <v>3.456</v>
      </c>
      <c r="AY247" s="51">
        <v>0.0</v>
      </c>
      <c r="AZ247" s="51">
        <v>0.0</v>
      </c>
      <c r="BA247" s="51">
        <v>0.0</v>
      </c>
      <c r="BB247" s="51">
        <v>0.0</v>
      </c>
      <c r="BC247" s="51">
        <v>0.0</v>
      </c>
      <c r="BD247" s="51">
        <v>0.0</v>
      </c>
      <c r="BE247" s="51">
        <v>0.0</v>
      </c>
      <c r="BF247" s="51">
        <v>0.0</v>
      </c>
      <c r="BG247" s="51">
        <v>0.0</v>
      </c>
      <c r="BH247" s="51">
        <v>0.0</v>
      </c>
      <c r="BI247" s="51">
        <v>0.0</v>
      </c>
      <c r="BJ247" s="51">
        <v>0.0</v>
      </c>
      <c r="BK247" s="51">
        <v>0.0</v>
      </c>
      <c r="BL247" s="51">
        <v>0.0</v>
      </c>
      <c r="BM247" s="51">
        <v>0.0</v>
      </c>
      <c r="BN247" s="51">
        <v>0.0</v>
      </c>
      <c r="BO247" s="51">
        <v>0.0</v>
      </c>
      <c r="BP247" s="51">
        <v>0.0</v>
      </c>
      <c r="BQ247" s="51">
        <v>0.0</v>
      </c>
      <c r="BR247" s="51">
        <v>0.0</v>
      </c>
      <c r="BS247" s="51">
        <v>0.0</v>
      </c>
      <c r="BT247" s="51">
        <v>0.0</v>
      </c>
      <c r="BU247" s="51">
        <v>0.0</v>
      </c>
      <c r="BV247" s="51">
        <v>0.0</v>
      </c>
      <c r="BW247" s="106"/>
      <c r="BX247" s="106"/>
      <c r="BY247" s="106"/>
      <c r="BZ247" s="106"/>
      <c r="CA247" s="106"/>
      <c r="CB247" s="106"/>
      <c r="CC247" s="106"/>
      <c r="CD247" s="106"/>
      <c r="CE247" s="106"/>
      <c r="CF247" s="106"/>
      <c r="CG247" s="106"/>
      <c r="CH247" s="106"/>
      <c r="CI247" s="106"/>
      <c r="CJ247" s="106"/>
      <c r="CK247" s="106"/>
      <c r="CL247" s="106"/>
      <c r="CM247" s="106"/>
      <c r="CN247" s="106"/>
      <c r="CO247" s="106"/>
      <c r="CP247" s="106"/>
      <c r="CQ247" s="106"/>
      <c r="CR247" s="106"/>
      <c r="CS247" s="106"/>
      <c r="CT247" s="106"/>
      <c r="CU247" s="106"/>
      <c r="CV247" s="106"/>
      <c r="CW247" s="106"/>
      <c r="CX247" s="106"/>
      <c r="CY247" s="106"/>
      <c r="CZ247" s="106"/>
      <c r="DA247" s="106"/>
      <c r="DB247" s="106"/>
      <c r="DC247" s="106"/>
      <c r="DD247" s="106"/>
      <c r="DE247" s="106"/>
      <c r="DF247" s="106"/>
      <c r="DG247" s="106"/>
      <c r="DH247" s="106"/>
      <c r="DI247" s="106"/>
      <c r="DJ247" s="106"/>
      <c r="DK247" s="106"/>
      <c r="DL247" s="106"/>
      <c r="DM247" s="106"/>
      <c r="DN247" s="106"/>
      <c r="DO247" s="106"/>
      <c r="DP247" s="106"/>
      <c r="DQ247" s="106"/>
      <c r="DR247" s="106"/>
      <c r="DT247" s="50"/>
      <c r="DU247" s="50"/>
      <c r="DV247" s="50"/>
      <c r="DW247" s="50"/>
    </row>
    <row r="248" ht="15.75" hidden="1" customHeight="1" outlineLevel="1">
      <c r="B248" s="5" t="s">
        <v>107</v>
      </c>
      <c r="C248" s="72" t="s">
        <v>82</v>
      </c>
      <c r="E248" s="50">
        <f t="shared" ref="E248:M248" si="305">+SUMIFS($O248:$DR248,$O$7:$DR$7,E$7)</f>
        <v>0</v>
      </c>
      <c r="F248" s="50">
        <f t="shared" si="305"/>
        <v>0</v>
      </c>
      <c r="G248" s="50">
        <f t="shared" si="305"/>
        <v>0</v>
      </c>
      <c r="H248" s="50">
        <f t="shared" si="305"/>
        <v>0</v>
      </c>
      <c r="I248" s="50">
        <f t="shared" si="305"/>
        <v>0</v>
      </c>
      <c r="J248" s="50">
        <f t="shared" si="305"/>
        <v>0</v>
      </c>
      <c r="K248" s="50">
        <f t="shared" si="305"/>
        <v>0</v>
      </c>
      <c r="L248" s="50">
        <f t="shared" si="305"/>
        <v>0</v>
      </c>
      <c r="M248" s="50">
        <f t="shared" si="305"/>
        <v>0</v>
      </c>
      <c r="O248" s="51">
        <v>0.0</v>
      </c>
      <c r="P248" s="51">
        <v>0.0</v>
      </c>
      <c r="Q248" s="51">
        <v>0.0</v>
      </c>
      <c r="R248" s="51">
        <v>0.0</v>
      </c>
      <c r="S248" s="51">
        <v>0.0</v>
      </c>
      <c r="T248" s="51">
        <v>0.0</v>
      </c>
      <c r="U248" s="51">
        <v>0.0</v>
      </c>
      <c r="V248" s="51">
        <v>0.0</v>
      </c>
      <c r="W248" s="51">
        <v>0.0</v>
      </c>
      <c r="X248" s="51">
        <v>0.0</v>
      </c>
      <c r="Y248" s="51">
        <v>0.0</v>
      </c>
      <c r="Z248" s="51">
        <v>0.0</v>
      </c>
      <c r="AA248" s="51">
        <v>0.0</v>
      </c>
      <c r="AB248" s="51">
        <v>0.0</v>
      </c>
      <c r="AC248" s="51">
        <v>0.0</v>
      </c>
      <c r="AD248" s="51">
        <v>0.0</v>
      </c>
      <c r="AE248" s="51">
        <v>0.0</v>
      </c>
      <c r="AF248" s="51">
        <v>0.0</v>
      </c>
      <c r="AG248" s="51">
        <v>0.0</v>
      </c>
      <c r="AH248" s="51">
        <v>0.0</v>
      </c>
      <c r="AI248" s="51">
        <v>0.0</v>
      </c>
      <c r="AJ248" s="51">
        <v>0.0</v>
      </c>
      <c r="AK248" s="51">
        <v>0.0</v>
      </c>
      <c r="AL248" s="51">
        <v>0.0</v>
      </c>
      <c r="AM248" s="51">
        <v>0.0</v>
      </c>
      <c r="AN248" s="51">
        <v>0.0</v>
      </c>
      <c r="AO248" s="51">
        <v>0.0</v>
      </c>
      <c r="AP248" s="51">
        <v>0.0</v>
      </c>
      <c r="AQ248" s="51">
        <v>0.0</v>
      </c>
      <c r="AR248" s="51">
        <v>0.0</v>
      </c>
      <c r="AS248" s="51">
        <v>0.0</v>
      </c>
      <c r="AT248" s="51">
        <v>0.0</v>
      </c>
      <c r="AU248" s="51">
        <v>0.0</v>
      </c>
      <c r="AV248" s="51">
        <v>0.0</v>
      </c>
      <c r="AW248" s="51">
        <v>0.0</v>
      </c>
      <c r="AX248" s="51">
        <v>0.0</v>
      </c>
      <c r="AY248" s="51">
        <v>0.0</v>
      </c>
      <c r="AZ248" s="51">
        <v>0.0</v>
      </c>
      <c r="BA248" s="51">
        <v>0.0</v>
      </c>
      <c r="BB248" s="51">
        <v>0.0</v>
      </c>
      <c r="BC248" s="51">
        <v>0.0</v>
      </c>
      <c r="BD248" s="51">
        <v>0.0</v>
      </c>
      <c r="BE248" s="51">
        <v>0.0</v>
      </c>
      <c r="BF248" s="51">
        <v>0.0</v>
      </c>
      <c r="BG248" s="51">
        <v>0.0</v>
      </c>
      <c r="BH248" s="51">
        <v>0.0</v>
      </c>
      <c r="BI248" s="51">
        <v>0.0</v>
      </c>
      <c r="BJ248" s="51">
        <v>0.0</v>
      </c>
      <c r="BK248" s="51">
        <v>0.0</v>
      </c>
      <c r="BL248" s="51">
        <v>0.0</v>
      </c>
      <c r="BM248" s="51">
        <v>0.0</v>
      </c>
      <c r="BN248" s="51">
        <v>0.0</v>
      </c>
      <c r="BO248" s="51">
        <v>0.0</v>
      </c>
      <c r="BP248" s="51">
        <v>0.0</v>
      </c>
      <c r="BQ248" s="51">
        <v>0.0</v>
      </c>
      <c r="BR248" s="51">
        <v>0.0</v>
      </c>
      <c r="BS248" s="51">
        <v>0.0</v>
      </c>
      <c r="BT248" s="51">
        <v>0.0</v>
      </c>
      <c r="BU248" s="51">
        <v>0.0</v>
      </c>
      <c r="BV248" s="51">
        <v>0.0</v>
      </c>
      <c r="BW248" s="106"/>
      <c r="BX248" s="106"/>
      <c r="BY248" s="106"/>
      <c r="BZ248" s="106"/>
      <c r="CA248" s="106"/>
      <c r="CB248" s="106"/>
      <c r="CC248" s="106"/>
      <c r="CD248" s="106"/>
      <c r="CE248" s="106"/>
      <c r="CF248" s="106"/>
      <c r="CG248" s="106"/>
      <c r="CH248" s="106"/>
      <c r="CI248" s="106"/>
      <c r="CJ248" s="106"/>
      <c r="CK248" s="106"/>
      <c r="CL248" s="106"/>
      <c r="CM248" s="106"/>
      <c r="CN248" s="106"/>
      <c r="CO248" s="106"/>
      <c r="CP248" s="106"/>
      <c r="CQ248" s="106"/>
      <c r="CR248" s="106"/>
      <c r="CS248" s="106"/>
      <c r="CT248" s="106"/>
      <c r="CU248" s="106"/>
      <c r="CV248" s="106"/>
      <c r="CW248" s="106"/>
      <c r="CX248" s="106"/>
      <c r="CY248" s="106"/>
      <c r="CZ248" s="106"/>
      <c r="DA248" s="106"/>
      <c r="DB248" s="106"/>
      <c r="DC248" s="106"/>
      <c r="DD248" s="106"/>
      <c r="DE248" s="106"/>
      <c r="DF248" s="106"/>
      <c r="DG248" s="106"/>
      <c r="DH248" s="106"/>
      <c r="DI248" s="106"/>
      <c r="DJ248" s="106"/>
      <c r="DK248" s="106"/>
      <c r="DL248" s="106"/>
      <c r="DM248" s="106"/>
      <c r="DN248" s="106"/>
      <c r="DO248" s="106"/>
      <c r="DP248" s="106"/>
      <c r="DQ248" s="106"/>
      <c r="DR248" s="106"/>
      <c r="DT248" s="50"/>
      <c r="DU248" s="50"/>
      <c r="DV248" s="50"/>
      <c r="DW248" s="50"/>
    </row>
    <row r="249" ht="15.75" hidden="1" customHeight="1" outlineLevel="1">
      <c r="B249" s="5" t="s">
        <v>108</v>
      </c>
      <c r="C249" s="72" t="s">
        <v>70</v>
      </c>
      <c r="E249" s="50">
        <f t="shared" ref="E249:M249" si="306">+SUMIFS($O249:$DR249,$O$7:$DR$7,E$7)</f>
        <v>0</v>
      </c>
      <c r="F249" s="50">
        <f t="shared" si="306"/>
        <v>0</v>
      </c>
      <c r="G249" s="50">
        <f t="shared" si="306"/>
        <v>0</v>
      </c>
      <c r="H249" s="50">
        <f t="shared" si="306"/>
        <v>0</v>
      </c>
      <c r="I249" s="50">
        <f t="shared" si="306"/>
        <v>0</v>
      </c>
      <c r="J249" s="50">
        <f t="shared" si="306"/>
        <v>0</v>
      </c>
      <c r="K249" s="50">
        <f t="shared" si="306"/>
        <v>0</v>
      </c>
      <c r="L249" s="50">
        <f t="shared" si="306"/>
        <v>0</v>
      </c>
      <c r="M249" s="50">
        <f t="shared" si="306"/>
        <v>0</v>
      </c>
      <c r="O249" s="51">
        <v>0.0</v>
      </c>
      <c r="P249" s="51">
        <v>0.0</v>
      </c>
      <c r="Q249" s="51">
        <v>0.0</v>
      </c>
      <c r="R249" s="51">
        <v>0.0</v>
      </c>
      <c r="S249" s="51">
        <v>0.0</v>
      </c>
      <c r="T249" s="51">
        <v>0.0</v>
      </c>
      <c r="U249" s="51">
        <v>0.0</v>
      </c>
      <c r="V249" s="51">
        <v>0.0</v>
      </c>
      <c r="W249" s="51">
        <v>0.0</v>
      </c>
      <c r="X249" s="51">
        <v>0.0</v>
      </c>
      <c r="Y249" s="51">
        <v>0.0</v>
      </c>
      <c r="Z249" s="51">
        <v>0.0</v>
      </c>
      <c r="AA249" s="51">
        <v>0.0</v>
      </c>
      <c r="AB249" s="51">
        <v>0.0</v>
      </c>
      <c r="AC249" s="51">
        <v>0.0</v>
      </c>
      <c r="AD249" s="51">
        <v>0.0</v>
      </c>
      <c r="AE249" s="51">
        <v>0.0</v>
      </c>
      <c r="AF249" s="51">
        <v>0.0</v>
      </c>
      <c r="AG249" s="51">
        <v>0.0</v>
      </c>
      <c r="AH249" s="51">
        <v>0.0</v>
      </c>
      <c r="AI249" s="51">
        <v>0.0</v>
      </c>
      <c r="AJ249" s="51">
        <v>0.0</v>
      </c>
      <c r="AK249" s="51">
        <v>0.0</v>
      </c>
      <c r="AL249" s="51">
        <v>0.0</v>
      </c>
      <c r="AM249" s="51">
        <v>0.0</v>
      </c>
      <c r="AN249" s="51">
        <v>0.0</v>
      </c>
      <c r="AO249" s="51">
        <v>0.0</v>
      </c>
      <c r="AP249" s="51">
        <v>0.0</v>
      </c>
      <c r="AQ249" s="51">
        <v>0.0</v>
      </c>
      <c r="AR249" s="51">
        <v>0.0</v>
      </c>
      <c r="AS249" s="51">
        <v>0.0</v>
      </c>
      <c r="AT249" s="51">
        <v>0.0</v>
      </c>
      <c r="AU249" s="51">
        <v>0.0</v>
      </c>
      <c r="AV249" s="51">
        <v>0.0</v>
      </c>
      <c r="AW249" s="51">
        <v>0.0</v>
      </c>
      <c r="AX249" s="51">
        <v>0.0</v>
      </c>
      <c r="AY249" s="51">
        <v>0.0</v>
      </c>
      <c r="AZ249" s="51">
        <v>0.0</v>
      </c>
      <c r="BA249" s="51">
        <v>0.0</v>
      </c>
      <c r="BB249" s="51">
        <v>0.0</v>
      </c>
      <c r="BC249" s="51">
        <v>0.0</v>
      </c>
      <c r="BD249" s="51">
        <v>0.0</v>
      </c>
      <c r="BE249" s="51">
        <v>0.0</v>
      </c>
      <c r="BF249" s="51">
        <v>0.0</v>
      </c>
      <c r="BG249" s="51">
        <v>0.0</v>
      </c>
      <c r="BH249" s="51">
        <v>0.0</v>
      </c>
      <c r="BI249" s="51">
        <v>0.0</v>
      </c>
      <c r="BJ249" s="51">
        <v>0.0</v>
      </c>
      <c r="BK249" s="51">
        <v>0.0</v>
      </c>
      <c r="BL249" s="51">
        <v>0.0</v>
      </c>
      <c r="BM249" s="51">
        <v>0.0</v>
      </c>
      <c r="BN249" s="51">
        <v>0.0</v>
      </c>
      <c r="BO249" s="51">
        <v>0.0</v>
      </c>
      <c r="BP249" s="51">
        <v>0.0</v>
      </c>
      <c r="BQ249" s="51">
        <v>0.0</v>
      </c>
      <c r="BR249" s="51">
        <v>0.0</v>
      </c>
      <c r="BS249" s="51">
        <v>0.0</v>
      </c>
      <c r="BT249" s="51">
        <v>0.0</v>
      </c>
      <c r="BU249" s="51">
        <v>0.0</v>
      </c>
      <c r="BV249" s="51">
        <v>0.0</v>
      </c>
      <c r="BW249" s="106"/>
      <c r="BX249" s="106"/>
      <c r="BY249" s="106"/>
      <c r="BZ249" s="106"/>
      <c r="CA249" s="106"/>
      <c r="CB249" s="106"/>
      <c r="CC249" s="106"/>
      <c r="CD249" s="106"/>
      <c r="CE249" s="106"/>
      <c r="CF249" s="106"/>
      <c r="CG249" s="106"/>
      <c r="CH249" s="106"/>
      <c r="CI249" s="106"/>
      <c r="CJ249" s="106"/>
      <c r="CK249" s="106"/>
      <c r="CL249" s="106"/>
      <c r="CM249" s="106"/>
      <c r="CN249" s="106"/>
      <c r="CO249" s="106"/>
      <c r="CP249" s="106"/>
      <c r="CQ249" s="106"/>
      <c r="CR249" s="106"/>
      <c r="CS249" s="106"/>
      <c r="CT249" s="106"/>
      <c r="CU249" s="106"/>
      <c r="CV249" s="106"/>
      <c r="CW249" s="106"/>
      <c r="CX249" s="106"/>
      <c r="CY249" s="106"/>
      <c r="CZ249" s="106"/>
      <c r="DA249" s="106"/>
      <c r="DB249" s="106"/>
      <c r="DC249" s="106"/>
      <c r="DD249" s="106"/>
      <c r="DE249" s="106"/>
      <c r="DF249" s="106"/>
      <c r="DG249" s="106"/>
      <c r="DH249" s="106"/>
      <c r="DI249" s="106"/>
      <c r="DJ249" s="106"/>
      <c r="DK249" s="106"/>
      <c r="DL249" s="106"/>
      <c r="DM249" s="106"/>
      <c r="DN249" s="106"/>
      <c r="DO249" s="106"/>
      <c r="DP249" s="106"/>
      <c r="DQ249" s="106"/>
      <c r="DR249" s="106"/>
      <c r="DT249" s="50"/>
      <c r="DU249" s="50"/>
      <c r="DV249" s="50"/>
      <c r="DW249" s="50"/>
    </row>
    <row r="250" ht="15.75" hidden="1" customHeight="1" outlineLevel="1">
      <c r="B250" s="5" t="s">
        <v>109</v>
      </c>
      <c r="C250" s="72" t="s">
        <v>70</v>
      </c>
      <c r="E250" s="50">
        <f t="shared" ref="E250:M250" si="307">+SUMIFS($O250:$DR250,$O$7:$DR$7,E$7)</f>
        <v>0</v>
      </c>
      <c r="F250" s="50">
        <f t="shared" si="307"/>
        <v>0</v>
      </c>
      <c r="G250" s="50">
        <f t="shared" si="307"/>
        <v>0</v>
      </c>
      <c r="H250" s="50">
        <f t="shared" si="307"/>
        <v>0</v>
      </c>
      <c r="I250" s="50">
        <f t="shared" si="307"/>
        <v>0</v>
      </c>
      <c r="J250" s="50">
        <f t="shared" si="307"/>
        <v>0</v>
      </c>
      <c r="K250" s="50">
        <f t="shared" si="307"/>
        <v>0</v>
      </c>
      <c r="L250" s="50">
        <f t="shared" si="307"/>
        <v>0</v>
      </c>
      <c r="M250" s="50">
        <f t="shared" si="307"/>
        <v>0</v>
      </c>
      <c r="O250" s="51">
        <v>0.0</v>
      </c>
      <c r="P250" s="51">
        <v>0.0</v>
      </c>
      <c r="Q250" s="51">
        <v>0.0</v>
      </c>
      <c r="R250" s="51">
        <v>0.0</v>
      </c>
      <c r="S250" s="51">
        <v>0.0</v>
      </c>
      <c r="T250" s="51">
        <v>0.0</v>
      </c>
      <c r="U250" s="51">
        <v>0.0</v>
      </c>
      <c r="V250" s="51">
        <v>0.0</v>
      </c>
      <c r="W250" s="51">
        <v>0.0</v>
      </c>
      <c r="X250" s="51">
        <v>0.0</v>
      </c>
      <c r="Y250" s="51">
        <v>0.0</v>
      </c>
      <c r="Z250" s="51">
        <v>0.0</v>
      </c>
      <c r="AA250" s="51">
        <v>0.0</v>
      </c>
      <c r="AB250" s="51">
        <v>0.0</v>
      </c>
      <c r="AC250" s="51">
        <v>0.0</v>
      </c>
      <c r="AD250" s="51">
        <v>0.0</v>
      </c>
      <c r="AE250" s="51">
        <v>0.0</v>
      </c>
      <c r="AF250" s="51">
        <v>0.0</v>
      </c>
      <c r="AG250" s="51">
        <v>0.0</v>
      </c>
      <c r="AH250" s="51">
        <v>0.0</v>
      </c>
      <c r="AI250" s="51">
        <v>0.0</v>
      </c>
      <c r="AJ250" s="51">
        <v>0.0</v>
      </c>
      <c r="AK250" s="51">
        <v>0.0</v>
      </c>
      <c r="AL250" s="51">
        <v>0.0</v>
      </c>
      <c r="AM250" s="51">
        <v>0.0</v>
      </c>
      <c r="AN250" s="51">
        <v>0.0</v>
      </c>
      <c r="AO250" s="51">
        <v>0.0</v>
      </c>
      <c r="AP250" s="51">
        <v>0.0</v>
      </c>
      <c r="AQ250" s="51">
        <v>0.0</v>
      </c>
      <c r="AR250" s="51">
        <v>0.0</v>
      </c>
      <c r="AS250" s="51">
        <v>0.0</v>
      </c>
      <c r="AT250" s="51">
        <v>0.0</v>
      </c>
      <c r="AU250" s="51">
        <v>0.0</v>
      </c>
      <c r="AV250" s="51">
        <v>0.0</v>
      </c>
      <c r="AW250" s="51">
        <v>0.0</v>
      </c>
      <c r="AX250" s="51">
        <v>0.0</v>
      </c>
      <c r="AY250" s="51">
        <v>0.0</v>
      </c>
      <c r="AZ250" s="51">
        <v>0.0</v>
      </c>
      <c r="BA250" s="51">
        <v>0.0</v>
      </c>
      <c r="BB250" s="51">
        <v>0.0</v>
      </c>
      <c r="BC250" s="51">
        <v>0.0</v>
      </c>
      <c r="BD250" s="51">
        <v>0.0</v>
      </c>
      <c r="BE250" s="51">
        <v>0.0</v>
      </c>
      <c r="BF250" s="51">
        <v>0.0</v>
      </c>
      <c r="BG250" s="51">
        <v>0.0</v>
      </c>
      <c r="BH250" s="51">
        <v>0.0</v>
      </c>
      <c r="BI250" s="51">
        <v>0.0</v>
      </c>
      <c r="BJ250" s="51">
        <v>0.0</v>
      </c>
      <c r="BK250" s="51">
        <v>0.0</v>
      </c>
      <c r="BL250" s="51">
        <v>0.0</v>
      </c>
      <c r="BM250" s="51">
        <v>0.0</v>
      </c>
      <c r="BN250" s="51">
        <v>0.0</v>
      </c>
      <c r="BO250" s="51">
        <v>0.0</v>
      </c>
      <c r="BP250" s="51">
        <v>0.0</v>
      </c>
      <c r="BQ250" s="51">
        <v>0.0</v>
      </c>
      <c r="BR250" s="51">
        <v>0.0</v>
      </c>
      <c r="BS250" s="51">
        <v>0.0</v>
      </c>
      <c r="BT250" s="51">
        <v>0.0</v>
      </c>
      <c r="BU250" s="51">
        <v>0.0</v>
      </c>
      <c r="BV250" s="51">
        <v>0.0</v>
      </c>
      <c r="BW250" s="106"/>
      <c r="BX250" s="106"/>
      <c r="BY250" s="106"/>
      <c r="BZ250" s="106"/>
      <c r="CA250" s="106"/>
      <c r="CB250" s="106"/>
      <c r="CC250" s="106"/>
      <c r="CD250" s="106"/>
      <c r="CE250" s="106"/>
      <c r="CF250" s="106"/>
      <c r="CG250" s="106"/>
      <c r="CH250" s="106"/>
      <c r="CI250" s="106"/>
      <c r="CJ250" s="106"/>
      <c r="CK250" s="106"/>
      <c r="CL250" s="106"/>
      <c r="CM250" s="106"/>
      <c r="CN250" s="106"/>
      <c r="CO250" s="106"/>
      <c r="CP250" s="106"/>
      <c r="CQ250" s="106"/>
      <c r="CR250" s="106"/>
      <c r="CS250" s="106"/>
      <c r="CT250" s="106"/>
      <c r="CU250" s="106"/>
      <c r="CV250" s="106"/>
      <c r="CW250" s="106"/>
      <c r="CX250" s="106"/>
      <c r="CY250" s="106"/>
      <c r="CZ250" s="106"/>
      <c r="DA250" s="106"/>
      <c r="DB250" s="106"/>
      <c r="DC250" s="106"/>
      <c r="DD250" s="106"/>
      <c r="DE250" s="106"/>
      <c r="DF250" s="106"/>
      <c r="DG250" s="106"/>
      <c r="DH250" s="106"/>
      <c r="DI250" s="106"/>
      <c r="DJ250" s="106"/>
      <c r="DK250" s="106"/>
      <c r="DL250" s="106"/>
      <c r="DM250" s="106"/>
      <c r="DN250" s="106"/>
      <c r="DO250" s="106"/>
      <c r="DP250" s="106"/>
      <c r="DQ250" s="106"/>
      <c r="DR250" s="106"/>
      <c r="DT250" s="50"/>
      <c r="DU250" s="50"/>
      <c r="DV250" s="50"/>
      <c r="DW250" s="50"/>
    </row>
    <row r="251" ht="15.75" hidden="1" customHeight="1" outlineLevel="1">
      <c r="B251" s="5" t="s">
        <v>110</v>
      </c>
      <c r="C251" s="72" t="s">
        <v>70</v>
      </c>
      <c r="E251" s="50">
        <f t="shared" ref="E251:M251" si="308">+SUMIFS($O251:$DR251,$O$7:$DR$7,E$7)</f>
        <v>0</v>
      </c>
      <c r="F251" s="50">
        <f t="shared" si="308"/>
        <v>0</v>
      </c>
      <c r="G251" s="50">
        <f t="shared" si="308"/>
        <v>0</v>
      </c>
      <c r="H251" s="50">
        <f t="shared" si="308"/>
        <v>0</v>
      </c>
      <c r="I251" s="50">
        <f t="shared" si="308"/>
        <v>0</v>
      </c>
      <c r="J251" s="50">
        <f t="shared" si="308"/>
        <v>0</v>
      </c>
      <c r="K251" s="50">
        <f t="shared" si="308"/>
        <v>0</v>
      </c>
      <c r="L251" s="50">
        <f t="shared" si="308"/>
        <v>0</v>
      </c>
      <c r="M251" s="50">
        <f t="shared" si="308"/>
        <v>0</v>
      </c>
      <c r="O251" s="51">
        <v>0.0</v>
      </c>
      <c r="P251" s="51">
        <v>0.0</v>
      </c>
      <c r="Q251" s="51">
        <v>0.0</v>
      </c>
      <c r="R251" s="51">
        <v>0.0</v>
      </c>
      <c r="S251" s="51">
        <v>0.0</v>
      </c>
      <c r="T251" s="51">
        <v>0.0</v>
      </c>
      <c r="U251" s="51">
        <v>0.0</v>
      </c>
      <c r="V251" s="51">
        <v>0.0</v>
      </c>
      <c r="W251" s="51">
        <v>0.0</v>
      </c>
      <c r="X251" s="51">
        <v>0.0</v>
      </c>
      <c r="Y251" s="51">
        <v>0.0</v>
      </c>
      <c r="Z251" s="51">
        <v>0.0</v>
      </c>
      <c r="AA251" s="51">
        <v>0.0</v>
      </c>
      <c r="AB251" s="51">
        <v>0.0</v>
      </c>
      <c r="AC251" s="51">
        <v>0.0</v>
      </c>
      <c r="AD251" s="51">
        <v>0.0</v>
      </c>
      <c r="AE251" s="51">
        <v>0.0</v>
      </c>
      <c r="AF251" s="51">
        <v>0.0</v>
      </c>
      <c r="AG251" s="51">
        <v>0.0</v>
      </c>
      <c r="AH251" s="51">
        <v>0.0</v>
      </c>
      <c r="AI251" s="51">
        <v>0.0</v>
      </c>
      <c r="AJ251" s="51">
        <v>0.0</v>
      </c>
      <c r="AK251" s="51">
        <v>0.0</v>
      </c>
      <c r="AL251" s="51">
        <v>0.0</v>
      </c>
      <c r="AM251" s="51">
        <v>0.0</v>
      </c>
      <c r="AN251" s="51">
        <v>0.0</v>
      </c>
      <c r="AO251" s="51">
        <v>0.0</v>
      </c>
      <c r="AP251" s="51">
        <v>0.0</v>
      </c>
      <c r="AQ251" s="51">
        <v>0.0</v>
      </c>
      <c r="AR251" s="51">
        <v>0.0</v>
      </c>
      <c r="AS251" s="51">
        <v>0.0</v>
      </c>
      <c r="AT251" s="51">
        <v>0.0</v>
      </c>
      <c r="AU251" s="51">
        <v>0.0</v>
      </c>
      <c r="AV251" s="51">
        <v>0.0</v>
      </c>
      <c r="AW251" s="51">
        <v>0.0</v>
      </c>
      <c r="AX251" s="51">
        <v>0.0</v>
      </c>
      <c r="AY251" s="51">
        <v>0.0</v>
      </c>
      <c r="AZ251" s="51">
        <v>0.0</v>
      </c>
      <c r="BA251" s="51">
        <v>0.0</v>
      </c>
      <c r="BB251" s="51">
        <v>0.0</v>
      </c>
      <c r="BC251" s="51">
        <v>0.0</v>
      </c>
      <c r="BD251" s="51">
        <v>0.0</v>
      </c>
      <c r="BE251" s="51">
        <v>0.0</v>
      </c>
      <c r="BF251" s="51">
        <v>0.0</v>
      </c>
      <c r="BG251" s="51">
        <v>0.0</v>
      </c>
      <c r="BH251" s="51">
        <v>0.0</v>
      </c>
      <c r="BI251" s="51">
        <v>0.0</v>
      </c>
      <c r="BJ251" s="51">
        <v>0.0</v>
      </c>
      <c r="BK251" s="51">
        <v>0.0</v>
      </c>
      <c r="BL251" s="51">
        <v>0.0</v>
      </c>
      <c r="BM251" s="51">
        <v>0.0</v>
      </c>
      <c r="BN251" s="51">
        <v>0.0</v>
      </c>
      <c r="BO251" s="51">
        <v>0.0</v>
      </c>
      <c r="BP251" s="51">
        <v>0.0</v>
      </c>
      <c r="BQ251" s="51">
        <v>0.0</v>
      </c>
      <c r="BR251" s="51">
        <v>0.0</v>
      </c>
      <c r="BS251" s="51">
        <v>0.0</v>
      </c>
      <c r="BT251" s="51">
        <v>0.0</v>
      </c>
      <c r="BU251" s="51">
        <v>0.0</v>
      </c>
      <c r="BV251" s="51">
        <v>0.0</v>
      </c>
      <c r="BW251" s="106"/>
      <c r="BX251" s="106"/>
      <c r="BY251" s="106"/>
      <c r="BZ251" s="106"/>
      <c r="CA251" s="106"/>
      <c r="CB251" s="106"/>
      <c r="CC251" s="106"/>
      <c r="CD251" s="106"/>
      <c r="CE251" s="106"/>
      <c r="CF251" s="106"/>
      <c r="CG251" s="106"/>
      <c r="CH251" s="106"/>
      <c r="CI251" s="106"/>
      <c r="CJ251" s="106"/>
      <c r="CK251" s="106"/>
      <c r="CL251" s="106"/>
      <c r="CM251" s="106"/>
      <c r="CN251" s="106"/>
      <c r="CO251" s="106"/>
      <c r="CP251" s="106"/>
      <c r="CQ251" s="106"/>
      <c r="CR251" s="106"/>
      <c r="CS251" s="106"/>
      <c r="CT251" s="106"/>
      <c r="CU251" s="106"/>
      <c r="CV251" s="106"/>
      <c r="CW251" s="106"/>
      <c r="CX251" s="106"/>
      <c r="CY251" s="106"/>
      <c r="CZ251" s="106"/>
      <c r="DA251" s="106"/>
      <c r="DB251" s="106"/>
      <c r="DC251" s="106"/>
      <c r="DD251" s="106"/>
      <c r="DE251" s="106"/>
      <c r="DF251" s="106"/>
      <c r="DG251" s="106"/>
      <c r="DH251" s="106"/>
      <c r="DI251" s="106"/>
      <c r="DJ251" s="106"/>
      <c r="DK251" s="106"/>
      <c r="DL251" s="106"/>
      <c r="DM251" s="106"/>
      <c r="DN251" s="106"/>
      <c r="DO251" s="106"/>
      <c r="DP251" s="106"/>
      <c r="DQ251" s="106"/>
      <c r="DR251" s="106"/>
      <c r="DT251" s="50"/>
      <c r="DU251" s="50"/>
      <c r="DV251" s="50"/>
      <c r="DW251" s="50"/>
    </row>
    <row r="252" ht="15.75" hidden="1" customHeight="1" outlineLevel="1">
      <c r="B252" s="5" t="s">
        <v>111</v>
      </c>
      <c r="C252" s="72" t="s">
        <v>70</v>
      </c>
      <c r="E252" s="50">
        <f t="shared" ref="E252:M252" si="309">+SUMIFS($O252:$DR252,$O$7:$DR$7,E$7)</f>
        <v>0</v>
      </c>
      <c r="F252" s="50">
        <f t="shared" si="309"/>
        <v>0</v>
      </c>
      <c r="G252" s="50">
        <f t="shared" si="309"/>
        <v>0</v>
      </c>
      <c r="H252" s="50">
        <f t="shared" si="309"/>
        <v>0</v>
      </c>
      <c r="I252" s="50">
        <f t="shared" si="309"/>
        <v>0</v>
      </c>
      <c r="J252" s="50">
        <f t="shared" si="309"/>
        <v>0</v>
      </c>
      <c r="K252" s="50">
        <f t="shared" si="309"/>
        <v>0</v>
      </c>
      <c r="L252" s="50">
        <f t="shared" si="309"/>
        <v>0</v>
      </c>
      <c r="M252" s="50">
        <f t="shared" si="309"/>
        <v>0</v>
      </c>
      <c r="O252" s="51">
        <v>0.0</v>
      </c>
      <c r="P252" s="51">
        <v>0.0</v>
      </c>
      <c r="Q252" s="51">
        <v>0.0</v>
      </c>
      <c r="R252" s="51">
        <v>0.0</v>
      </c>
      <c r="S252" s="51">
        <v>0.0</v>
      </c>
      <c r="T252" s="51">
        <v>0.0</v>
      </c>
      <c r="U252" s="51">
        <v>0.0</v>
      </c>
      <c r="V252" s="51">
        <v>0.0</v>
      </c>
      <c r="W252" s="51">
        <v>0.0</v>
      </c>
      <c r="X252" s="51">
        <v>0.0</v>
      </c>
      <c r="Y252" s="51">
        <v>0.0</v>
      </c>
      <c r="Z252" s="51">
        <v>0.0</v>
      </c>
      <c r="AA252" s="51">
        <v>0.0</v>
      </c>
      <c r="AB252" s="51">
        <v>0.0</v>
      </c>
      <c r="AC252" s="51">
        <v>0.0</v>
      </c>
      <c r="AD252" s="51">
        <v>0.0</v>
      </c>
      <c r="AE252" s="51">
        <v>0.0</v>
      </c>
      <c r="AF252" s="51">
        <v>0.0</v>
      </c>
      <c r="AG252" s="51">
        <v>0.0</v>
      </c>
      <c r="AH252" s="51">
        <v>0.0</v>
      </c>
      <c r="AI252" s="51">
        <v>0.0</v>
      </c>
      <c r="AJ252" s="51">
        <v>0.0</v>
      </c>
      <c r="AK252" s="51">
        <v>0.0</v>
      </c>
      <c r="AL252" s="51">
        <v>0.0</v>
      </c>
      <c r="AM252" s="51">
        <v>0.0</v>
      </c>
      <c r="AN252" s="51">
        <v>0.0</v>
      </c>
      <c r="AO252" s="51">
        <v>0.0</v>
      </c>
      <c r="AP252" s="51">
        <v>0.0</v>
      </c>
      <c r="AQ252" s="51">
        <v>0.0</v>
      </c>
      <c r="AR252" s="51">
        <v>0.0</v>
      </c>
      <c r="AS252" s="51">
        <v>0.0</v>
      </c>
      <c r="AT252" s="51">
        <v>0.0</v>
      </c>
      <c r="AU252" s="51">
        <v>0.0</v>
      </c>
      <c r="AV252" s="51">
        <v>0.0</v>
      </c>
      <c r="AW252" s="51">
        <v>0.0</v>
      </c>
      <c r="AX252" s="51">
        <v>0.0</v>
      </c>
      <c r="AY252" s="51">
        <v>0.0</v>
      </c>
      <c r="AZ252" s="51">
        <v>0.0</v>
      </c>
      <c r="BA252" s="51">
        <v>0.0</v>
      </c>
      <c r="BB252" s="51">
        <v>0.0</v>
      </c>
      <c r="BC252" s="51">
        <v>0.0</v>
      </c>
      <c r="BD252" s="51">
        <v>0.0</v>
      </c>
      <c r="BE252" s="51">
        <v>0.0</v>
      </c>
      <c r="BF252" s="51">
        <v>0.0</v>
      </c>
      <c r="BG252" s="51">
        <v>0.0</v>
      </c>
      <c r="BH252" s="51">
        <v>0.0</v>
      </c>
      <c r="BI252" s="51">
        <v>0.0</v>
      </c>
      <c r="BJ252" s="51">
        <v>0.0</v>
      </c>
      <c r="BK252" s="51">
        <v>0.0</v>
      </c>
      <c r="BL252" s="51">
        <v>0.0</v>
      </c>
      <c r="BM252" s="51">
        <v>0.0</v>
      </c>
      <c r="BN252" s="51">
        <v>0.0</v>
      </c>
      <c r="BO252" s="51">
        <v>0.0</v>
      </c>
      <c r="BP252" s="51">
        <v>0.0</v>
      </c>
      <c r="BQ252" s="51">
        <v>0.0</v>
      </c>
      <c r="BR252" s="51">
        <v>0.0</v>
      </c>
      <c r="BS252" s="51">
        <v>0.0</v>
      </c>
      <c r="BT252" s="51">
        <v>0.0</v>
      </c>
      <c r="BU252" s="51">
        <v>0.0</v>
      </c>
      <c r="BV252" s="51">
        <v>0.0</v>
      </c>
      <c r="BW252" s="106"/>
      <c r="BX252" s="106"/>
      <c r="BY252" s="106"/>
      <c r="BZ252" s="106"/>
      <c r="CA252" s="106"/>
      <c r="CB252" s="106"/>
      <c r="CC252" s="106"/>
      <c r="CD252" s="106"/>
      <c r="CE252" s="106"/>
      <c r="CF252" s="106"/>
      <c r="CG252" s="106"/>
      <c r="CH252" s="106"/>
      <c r="CI252" s="106"/>
      <c r="CJ252" s="106"/>
      <c r="CK252" s="106"/>
      <c r="CL252" s="106"/>
      <c r="CM252" s="106"/>
      <c r="CN252" s="106"/>
      <c r="CO252" s="106"/>
      <c r="CP252" s="106"/>
      <c r="CQ252" s="106"/>
      <c r="CR252" s="106"/>
      <c r="CS252" s="106"/>
      <c r="CT252" s="106"/>
      <c r="CU252" s="106"/>
      <c r="CV252" s="106"/>
      <c r="CW252" s="106"/>
      <c r="CX252" s="106"/>
      <c r="CY252" s="106"/>
      <c r="CZ252" s="106"/>
      <c r="DA252" s="106"/>
      <c r="DB252" s="106"/>
      <c r="DC252" s="106"/>
      <c r="DD252" s="106"/>
      <c r="DE252" s="106"/>
      <c r="DF252" s="106"/>
      <c r="DG252" s="106"/>
      <c r="DH252" s="106"/>
      <c r="DI252" s="106"/>
      <c r="DJ252" s="106"/>
      <c r="DK252" s="106"/>
      <c r="DL252" s="106"/>
      <c r="DM252" s="106"/>
      <c r="DN252" s="106"/>
      <c r="DO252" s="106"/>
      <c r="DP252" s="106"/>
      <c r="DQ252" s="106"/>
      <c r="DR252" s="106"/>
      <c r="DT252" s="50"/>
      <c r="DU252" s="50"/>
      <c r="DV252" s="50"/>
      <c r="DW252" s="50"/>
    </row>
    <row r="253" ht="15.75" hidden="1" customHeight="1" outlineLevel="1">
      <c r="B253" s="5" t="s">
        <v>112</v>
      </c>
      <c r="C253" s="72" t="s">
        <v>70</v>
      </c>
      <c r="E253" s="50">
        <f t="shared" ref="E253:M253" si="310">+SUMIFS($O253:$DR253,$O$7:$DR$7,E$7)</f>
        <v>0</v>
      </c>
      <c r="F253" s="50">
        <f t="shared" si="310"/>
        <v>0</v>
      </c>
      <c r="G253" s="50">
        <f t="shared" si="310"/>
        <v>0</v>
      </c>
      <c r="H253" s="50">
        <f t="shared" si="310"/>
        <v>0</v>
      </c>
      <c r="I253" s="50">
        <f t="shared" si="310"/>
        <v>0</v>
      </c>
      <c r="J253" s="50">
        <f t="shared" si="310"/>
        <v>0</v>
      </c>
      <c r="K253" s="50">
        <f t="shared" si="310"/>
        <v>0</v>
      </c>
      <c r="L253" s="50">
        <f t="shared" si="310"/>
        <v>0</v>
      </c>
      <c r="M253" s="50">
        <f t="shared" si="310"/>
        <v>0</v>
      </c>
      <c r="O253" s="51">
        <v>0.0</v>
      </c>
      <c r="P253" s="51">
        <v>0.0</v>
      </c>
      <c r="Q253" s="51">
        <v>0.0</v>
      </c>
      <c r="R253" s="51">
        <v>0.0</v>
      </c>
      <c r="S253" s="51">
        <v>0.0</v>
      </c>
      <c r="T253" s="51">
        <v>0.0</v>
      </c>
      <c r="U253" s="51">
        <v>0.0</v>
      </c>
      <c r="V253" s="51">
        <v>0.0</v>
      </c>
      <c r="W253" s="51">
        <v>0.0</v>
      </c>
      <c r="X253" s="51">
        <v>0.0</v>
      </c>
      <c r="Y253" s="51">
        <v>0.0</v>
      </c>
      <c r="Z253" s="51">
        <v>0.0</v>
      </c>
      <c r="AA253" s="51">
        <v>0.0</v>
      </c>
      <c r="AB253" s="51">
        <v>0.0</v>
      </c>
      <c r="AC253" s="51">
        <v>0.0</v>
      </c>
      <c r="AD253" s="51">
        <v>0.0</v>
      </c>
      <c r="AE253" s="51">
        <v>0.0</v>
      </c>
      <c r="AF253" s="51">
        <v>0.0</v>
      </c>
      <c r="AG253" s="51">
        <v>0.0</v>
      </c>
      <c r="AH253" s="51">
        <v>0.0</v>
      </c>
      <c r="AI253" s="51">
        <v>0.0</v>
      </c>
      <c r="AJ253" s="51">
        <v>0.0</v>
      </c>
      <c r="AK253" s="51">
        <v>0.0</v>
      </c>
      <c r="AL253" s="51">
        <v>0.0</v>
      </c>
      <c r="AM253" s="51">
        <v>0.0</v>
      </c>
      <c r="AN253" s="51">
        <v>0.0</v>
      </c>
      <c r="AO253" s="51">
        <v>0.0</v>
      </c>
      <c r="AP253" s="51">
        <v>0.0</v>
      </c>
      <c r="AQ253" s="51">
        <v>0.0</v>
      </c>
      <c r="AR253" s="51">
        <v>0.0</v>
      </c>
      <c r="AS253" s="51">
        <v>0.0</v>
      </c>
      <c r="AT253" s="51">
        <v>0.0</v>
      </c>
      <c r="AU253" s="51">
        <v>0.0</v>
      </c>
      <c r="AV253" s="51">
        <v>0.0</v>
      </c>
      <c r="AW253" s="51">
        <v>0.0</v>
      </c>
      <c r="AX253" s="51">
        <v>0.0</v>
      </c>
      <c r="AY253" s="51">
        <v>0.0</v>
      </c>
      <c r="AZ253" s="51">
        <v>0.0</v>
      </c>
      <c r="BA253" s="51">
        <v>0.0</v>
      </c>
      <c r="BB253" s="51">
        <v>0.0</v>
      </c>
      <c r="BC253" s="51">
        <v>0.0</v>
      </c>
      <c r="BD253" s="51">
        <v>0.0</v>
      </c>
      <c r="BE253" s="51">
        <v>0.0</v>
      </c>
      <c r="BF253" s="51">
        <v>0.0</v>
      </c>
      <c r="BG253" s="51">
        <v>0.0</v>
      </c>
      <c r="BH253" s="51">
        <v>0.0</v>
      </c>
      <c r="BI253" s="51">
        <v>0.0</v>
      </c>
      <c r="BJ253" s="51">
        <v>0.0</v>
      </c>
      <c r="BK253" s="51">
        <v>0.0</v>
      </c>
      <c r="BL253" s="51">
        <v>0.0</v>
      </c>
      <c r="BM253" s="51">
        <v>0.0</v>
      </c>
      <c r="BN253" s="51">
        <v>0.0</v>
      </c>
      <c r="BO253" s="51">
        <v>0.0</v>
      </c>
      <c r="BP253" s="51">
        <v>0.0</v>
      </c>
      <c r="BQ253" s="51">
        <v>0.0</v>
      </c>
      <c r="BR253" s="51">
        <v>0.0</v>
      </c>
      <c r="BS253" s="51">
        <v>0.0</v>
      </c>
      <c r="BT253" s="51">
        <v>0.0</v>
      </c>
      <c r="BU253" s="51">
        <v>0.0</v>
      </c>
      <c r="BV253" s="51">
        <v>0.0</v>
      </c>
      <c r="BW253" s="106"/>
      <c r="BX253" s="106"/>
      <c r="BY253" s="106"/>
      <c r="BZ253" s="106"/>
      <c r="CA253" s="106"/>
      <c r="CB253" s="106"/>
      <c r="CC253" s="106"/>
      <c r="CD253" s="106"/>
      <c r="CE253" s="106"/>
      <c r="CF253" s="106"/>
      <c r="CG253" s="106"/>
      <c r="CH253" s="106"/>
      <c r="CI253" s="106"/>
      <c r="CJ253" s="106"/>
      <c r="CK253" s="106"/>
      <c r="CL253" s="106"/>
      <c r="CM253" s="106"/>
      <c r="CN253" s="106"/>
      <c r="CO253" s="106"/>
      <c r="CP253" s="106"/>
      <c r="CQ253" s="106"/>
      <c r="CR253" s="106"/>
      <c r="CS253" s="106"/>
      <c r="CT253" s="106"/>
      <c r="CU253" s="106"/>
      <c r="CV253" s="106"/>
      <c r="CW253" s="106"/>
      <c r="CX253" s="106"/>
      <c r="CY253" s="106"/>
      <c r="CZ253" s="106"/>
      <c r="DA253" s="106"/>
      <c r="DB253" s="106"/>
      <c r="DC253" s="106"/>
      <c r="DD253" s="106"/>
      <c r="DE253" s="106"/>
      <c r="DF253" s="106"/>
      <c r="DG253" s="106"/>
      <c r="DH253" s="106"/>
      <c r="DI253" s="106"/>
      <c r="DJ253" s="106"/>
      <c r="DK253" s="106"/>
      <c r="DL253" s="106"/>
      <c r="DM253" s="106"/>
      <c r="DN253" s="106"/>
      <c r="DO253" s="106"/>
      <c r="DP253" s="106"/>
      <c r="DQ253" s="106"/>
      <c r="DR253" s="106"/>
      <c r="DT253" s="50"/>
      <c r="DU253" s="50"/>
      <c r="DV253" s="50"/>
      <c r="DW253" s="50"/>
    </row>
    <row r="254" ht="15.75" hidden="1" customHeight="1" outlineLevel="1">
      <c r="B254" s="5" t="s">
        <v>113</v>
      </c>
      <c r="C254" s="72" t="s">
        <v>70</v>
      </c>
      <c r="E254" s="50">
        <f t="shared" ref="E254:M254" si="311">+SUMIFS($O254:$DR254,$O$7:$DR$7,E$7)</f>
        <v>0</v>
      </c>
      <c r="F254" s="50">
        <f t="shared" si="311"/>
        <v>0</v>
      </c>
      <c r="G254" s="50">
        <f t="shared" si="311"/>
        <v>0</v>
      </c>
      <c r="H254" s="50">
        <f t="shared" si="311"/>
        <v>0</v>
      </c>
      <c r="I254" s="50">
        <f t="shared" si="311"/>
        <v>0</v>
      </c>
      <c r="J254" s="50">
        <f t="shared" si="311"/>
        <v>0</v>
      </c>
      <c r="K254" s="50">
        <f t="shared" si="311"/>
        <v>0</v>
      </c>
      <c r="L254" s="50">
        <f t="shared" si="311"/>
        <v>0</v>
      </c>
      <c r="M254" s="50">
        <f t="shared" si="311"/>
        <v>0</v>
      </c>
      <c r="O254" s="51">
        <v>0.0</v>
      </c>
      <c r="P254" s="51">
        <v>0.0</v>
      </c>
      <c r="Q254" s="51">
        <v>0.0</v>
      </c>
      <c r="R254" s="51">
        <v>0.0</v>
      </c>
      <c r="S254" s="51">
        <v>0.0</v>
      </c>
      <c r="T254" s="51">
        <v>0.0</v>
      </c>
      <c r="U254" s="51">
        <v>0.0</v>
      </c>
      <c r="V254" s="51">
        <v>0.0</v>
      </c>
      <c r="W254" s="51">
        <v>0.0</v>
      </c>
      <c r="X254" s="51">
        <v>0.0</v>
      </c>
      <c r="Y254" s="51">
        <v>0.0</v>
      </c>
      <c r="Z254" s="51">
        <v>0.0</v>
      </c>
      <c r="AA254" s="51">
        <v>0.0</v>
      </c>
      <c r="AB254" s="51">
        <v>0.0</v>
      </c>
      <c r="AC254" s="51">
        <v>0.0</v>
      </c>
      <c r="AD254" s="51">
        <v>0.0</v>
      </c>
      <c r="AE254" s="51">
        <v>0.0</v>
      </c>
      <c r="AF254" s="51">
        <v>0.0</v>
      </c>
      <c r="AG254" s="51">
        <v>0.0</v>
      </c>
      <c r="AH254" s="51">
        <v>0.0</v>
      </c>
      <c r="AI254" s="51">
        <v>0.0</v>
      </c>
      <c r="AJ254" s="51">
        <v>0.0</v>
      </c>
      <c r="AK254" s="51">
        <v>0.0</v>
      </c>
      <c r="AL254" s="51">
        <v>0.0</v>
      </c>
      <c r="AM254" s="51">
        <v>0.0</v>
      </c>
      <c r="AN254" s="51">
        <v>0.0</v>
      </c>
      <c r="AO254" s="51">
        <v>0.0</v>
      </c>
      <c r="AP254" s="51">
        <v>0.0</v>
      </c>
      <c r="AQ254" s="51">
        <v>0.0</v>
      </c>
      <c r="AR254" s="51">
        <v>0.0</v>
      </c>
      <c r="AS254" s="51">
        <v>0.0</v>
      </c>
      <c r="AT254" s="51">
        <v>0.0</v>
      </c>
      <c r="AU254" s="51">
        <v>0.0</v>
      </c>
      <c r="AV254" s="51">
        <v>0.0</v>
      </c>
      <c r="AW254" s="51">
        <v>0.0</v>
      </c>
      <c r="AX254" s="51">
        <v>0.0</v>
      </c>
      <c r="AY254" s="51">
        <v>0.0</v>
      </c>
      <c r="AZ254" s="51">
        <v>0.0</v>
      </c>
      <c r="BA254" s="51">
        <v>0.0</v>
      </c>
      <c r="BB254" s="51">
        <v>0.0</v>
      </c>
      <c r="BC254" s="51">
        <v>0.0</v>
      </c>
      <c r="BD254" s="51">
        <v>0.0</v>
      </c>
      <c r="BE254" s="51">
        <v>0.0</v>
      </c>
      <c r="BF254" s="51">
        <v>0.0</v>
      </c>
      <c r="BG254" s="51">
        <v>0.0</v>
      </c>
      <c r="BH254" s="51">
        <v>0.0</v>
      </c>
      <c r="BI254" s="51">
        <v>0.0</v>
      </c>
      <c r="BJ254" s="51">
        <v>0.0</v>
      </c>
      <c r="BK254" s="51">
        <v>0.0</v>
      </c>
      <c r="BL254" s="51">
        <v>0.0</v>
      </c>
      <c r="BM254" s="51">
        <v>0.0</v>
      </c>
      <c r="BN254" s="51">
        <v>0.0</v>
      </c>
      <c r="BO254" s="51">
        <v>0.0</v>
      </c>
      <c r="BP254" s="51">
        <v>0.0</v>
      </c>
      <c r="BQ254" s="51">
        <v>0.0</v>
      </c>
      <c r="BR254" s="51">
        <v>0.0</v>
      </c>
      <c r="BS254" s="51">
        <v>0.0</v>
      </c>
      <c r="BT254" s="51">
        <v>0.0</v>
      </c>
      <c r="BU254" s="51">
        <v>0.0</v>
      </c>
      <c r="BV254" s="51">
        <v>0.0</v>
      </c>
      <c r="BW254" s="106"/>
      <c r="BX254" s="106"/>
      <c r="BY254" s="106"/>
      <c r="BZ254" s="106"/>
      <c r="CA254" s="106"/>
      <c r="CB254" s="106"/>
      <c r="CC254" s="106"/>
      <c r="CD254" s="106"/>
      <c r="CE254" s="106"/>
      <c r="CF254" s="106"/>
      <c r="CG254" s="106"/>
      <c r="CH254" s="106"/>
      <c r="CI254" s="106"/>
      <c r="CJ254" s="106"/>
      <c r="CK254" s="106"/>
      <c r="CL254" s="106"/>
      <c r="CM254" s="106"/>
      <c r="CN254" s="106"/>
      <c r="CO254" s="106"/>
      <c r="CP254" s="106"/>
      <c r="CQ254" s="106"/>
      <c r="CR254" s="106"/>
      <c r="CS254" s="106"/>
      <c r="CT254" s="106"/>
      <c r="CU254" s="106"/>
      <c r="CV254" s="106"/>
      <c r="CW254" s="106"/>
      <c r="CX254" s="106"/>
      <c r="CY254" s="106"/>
      <c r="CZ254" s="106"/>
      <c r="DA254" s="106"/>
      <c r="DB254" s="106"/>
      <c r="DC254" s="106"/>
      <c r="DD254" s="106"/>
      <c r="DE254" s="106"/>
      <c r="DF254" s="106"/>
      <c r="DG254" s="106"/>
      <c r="DH254" s="106"/>
      <c r="DI254" s="106"/>
      <c r="DJ254" s="106"/>
      <c r="DK254" s="106"/>
      <c r="DL254" s="106"/>
      <c r="DM254" s="106"/>
      <c r="DN254" s="106"/>
      <c r="DO254" s="106"/>
      <c r="DP254" s="106"/>
      <c r="DQ254" s="106"/>
      <c r="DR254" s="106"/>
      <c r="DT254" s="50"/>
      <c r="DU254" s="50"/>
      <c r="DV254" s="50"/>
      <c r="DW254" s="50"/>
    </row>
    <row r="255" ht="15.75" hidden="1" customHeight="1" outlineLevel="1">
      <c r="B255" s="5" t="s">
        <v>114</v>
      </c>
      <c r="C255" s="72" t="s">
        <v>70</v>
      </c>
      <c r="E255" s="50">
        <f t="shared" ref="E255:M255" si="312">+SUMIFS($O255:$DR255,$O$7:$DR$7,E$7)</f>
        <v>0</v>
      </c>
      <c r="F255" s="50">
        <f t="shared" si="312"/>
        <v>0</v>
      </c>
      <c r="G255" s="50">
        <f t="shared" si="312"/>
        <v>0</v>
      </c>
      <c r="H255" s="50">
        <f t="shared" si="312"/>
        <v>0</v>
      </c>
      <c r="I255" s="50">
        <f t="shared" si="312"/>
        <v>0</v>
      </c>
      <c r="J255" s="50">
        <f t="shared" si="312"/>
        <v>0</v>
      </c>
      <c r="K255" s="50">
        <f t="shared" si="312"/>
        <v>0</v>
      </c>
      <c r="L255" s="50">
        <f t="shared" si="312"/>
        <v>0</v>
      </c>
      <c r="M255" s="50">
        <f t="shared" si="312"/>
        <v>0</v>
      </c>
      <c r="O255" s="51">
        <v>0.0</v>
      </c>
      <c r="P255" s="51">
        <v>0.0</v>
      </c>
      <c r="Q255" s="51">
        <v>0.0</v>
      </c>
      <c r="R255" s="51">
        <v>0.0</v>
      </c>
      <c r="S255" s="51">
        <v>0.0</v>
      </c>
      <c r="T255" s="51">
        <v>0.0</v>
      </c>
      <c r="U255" s="51">
        <v>0.0</v>
      </c>
      <c r="V255" s="51">
        <v>0.0</v>
      </c>
      <c r="W255" s="51">
        <v>0.0</v>
      </c>
      <c r="X255" s="51">
        <v>0.0</v>
      </c>
      <c r="Y255" s="51">
        <v>0.0</v>
      </c>
      <c r="Z255" s="51">
        <v>0.0</v>
      </c>
      <c r="AA255" s="51">
        <v>0.0</v>
      </c>
      <c r="AB255" s="51">
        <v>0.0</v>
      </c>
      <c r="AC255" s="51">
        <v>0.0</v>
      </c>
      <c r="AD255" s="51">
        <v>0.0</v>
      </c>
      <c r="AE255" s="51">
        <v>0.0</v>
      </c>
      <c r="AF255" s="51">
        <v>0.0</v>
      </c>
      <c r="AG255" s="51">
        <v>0.0</v>
      </c>
      <c r="AH255" s="51">
        <v>0.0</v>
      </c>
      <c r="AI255" s="51">
        <v>0.0</v>
      </c>
      <c r="AJ255" s="51">
        <v>0.0</v>
      </c>
      <c r="AK255" s="51">
        <v>0.0</v>
      </c>
      <c r="AL255" s="51">
        <v>0.0</v>
      </c>
      <c r="AM255" s="51">
        <v>0.0</v>
      </c>
      <c r="AN255" s="51">
        <v>0.0</v>
      </c>
      <c r="AO255" s="51">
        <v>0.0</v>
      </c>
      <c r="AP255" s="51">
        <v>0.0</v>
      </c>
      <c r="AQ255" s="51">
        <v>0.0</v>
      </c>
      <c r="AR255" s="51">
        <v>0.0</v>
      </c>
      <c r="AS255" s="51">
        <v>0.0</v>
      </c>
      <c r="AT255" s="51">
        <v>0.0</v>
      </c>
      <c r="AU255" s="51">
        <v>0.0</v>
      </c>
      <c r="AV255" s="51">
        <v>0.0</v>
      </c>
      <c r="AW255" s="51">
        <v>0.0</v>
      </c>
      <c r="AX255" s="51">
        <v>0.0</v>
      </c>
      <c r="AY255" s="51">
        <v>0.0</v>
      </c>
      <c r="AZ255" s="51">
        <v>0.0</v>
      </c>
      <c r="BA255" s="51">
        <v>0.0</v>
      </c>
      <c r="BB255" s="51">
        <v>0.0</v>
      </c>
      <c r="BC255" s="51">
        <v>0.0</v>
      </c>
      <c r="BD255" s="51">
        <v>0.0</v>
      </c>
      <c r="BE255" s="51">
        <v>0.0</v>
      </c>
      <c r="BF255" s="51">
        <v>0.0</v>
      </c>
      <c r="BG255" s="51">
        <v>0.0</v>
      </c>
      <c r="BH255" s="51">
        <v>0.0</v>
      </c>
      <c r="BI255" s="51">
        <v>0.0</v>
      </c>
      <c r="BJ255" s="51">
        <v>0.0</v>
      </c>
      <c r="BK255" s="51">
        <v>0.0</v>
      </c>
      <c r="BL255" s="51">
        <v>0.0</v>
      </c>
      <c r="BM255" s="51">
        <v>0.0</v>
      </c>
      <c r="BN255" s="51">
        <v>0.0</v>
      </c>
      <c r="BO255" s="51">
        <v>0.0</v>
      </c>
      <c r="BP255" s="51">
        <v>0.0</v>
      </c>
      <c r="BQ255" s="51">
        <v>0.0</v>
      </c>
      <c r="BR255" s="51">
        <v>0.0</v>
      </c>
      <c r="BS255" s="51">
        <v>0.0</v>
      </c>
      <c r="BT255" s="51">
        <v>0.0</v>
      </c>
      <c r="BU255" s="51">
        <v>0.0</v>
      </c>
      <c r="BV255" s="51">
        <v>0.0</v>
      </c>
      <c r="BW255" s="106"/>
      <c r="BX255" s="106"/>
      <c r="BY255" s="106"/>
      <c r="BZ255" s="106"/>
      <c r="CA255" s="106"/>
      <c r="CB255" s="106"/>
      <c r="CC255" s="106"/>
      <c r="CD255" s="106"/>
      <c r="CE255" s="106"/>
      <c r="CF255" s="106"/>
      <c r="CG255" s="106"/>
      <c r="CH255" s="106"/>
      <c r="CI255" s="106"/>
      <c r="CJ255" s="106"/>
      <c r="CK255" s="106"/>
      <c r="CL255" s="106"/>
      <c r="CM255" s="106"/>
      <c r="CN255" s="106"/>
      <c r="CO255" s="106"/>
      <c r="CP255" s="106"/>
      <c r="CQ255" s="106"/>
      <c r="CR255" s="106"/>
      <c r="CS255" s="106"/>
      <c r="CT255" s="106"/>
      <c r="CU255" s="106"/>
      <c r="CV255" s="106"/>
      <c r="CW255" s="106"/>
      <c r="CX255" s="106"/>
      <c r="CY255" s="106"/>
      <c r="CZ255" s="106"/>
      <c r="DA255" s="106"/>
      <c r="DB255" s="106"/>
      <c r="DC255" s="106"/>
      <c r="DD255" s="106"/>
      <c r="DE255" s="106"/>
      <c r="DF255" s="106"/>
      <c r="DG255" s="106"/>
      <c r="DH255" s="106"/>
      <c r="DI255" s="106"/>
      <c r="DJ255" s="106"/>
      <c r="DK255" s="106"/>
      <c r="DL255" s="106"/>
      <c r="DM255" s="106"/>
      <c r="DN255" s="106"/>
      <c r="DO255" s="106"/>
      <c r="DP255" s="106"/>
      <c r="DQ255" s="106"/>
      <c r="DR255" s="106"/>
      <c r="DT255" s="50"/>
      <c r="DU255" s="50"/>
      <c r="DV255" s="50"/>
      <c r="DW255" s="50"/>
    </row>
    <row r="256" ht="15.75" hidden="1" customHeight="1" outlineLevel="1">
      <c r="B256" s="5" t="s">
        <v>115</v>
      </c>
      <c r="C256" s="72" t="s">
        <v>74</v>
      </c>
      <c r="E256" s="50">
        <f t="shared" ref="E256:M256" si="313">+SUMIFS($O256:$DR256,$O$7:$DR$7,E$7)</f>
        <v>0</v>
      </c>
      <c r="F256" s="50">
        <f t="shared" si="313"/>
        <v>0</v>
      </c>
      <c r="G256" s="50">
        <f t="shared" si="313"/>
        <v>0</v>
      </c>
      <c r="H256" s="50">
        <f t="shared" si="313"/>
        <v>0</v>
      </c>
      <c r="I256" s="50">
        <f t="shared" si="313"/>
        <v>0</v>
      </c>
      <c r="J256" s="50">
        <f t="shared" si="313"/>
        <v>0</v>
      </c>
      <c r="K256" s="50">
        <f t="shared" si="313"/>
        <v>0</v>
      </c>
      <c r="L256" s="50">
        <f t="shared" si="313"/>
        <v>0</v>
      </c>
      <c r="M256" s="50">
        <f t="shared" si="313"/>
        <v>0</v>
      </c>
      <c r="O256" s="51">
        <v>0.0</v>
      </c>
      <c r="P256" s="51">
        <v>0.0</v>
      </c>
      <c r="Q256" s="51">
        <v>0.0</v>
      </c>
      <c r="R256" s="51">
        <v>0.0</v>
      </c>
      <c r="S256" s="51">
        <v>0.0</v>
      </c>
      <c r="T256" s="51">
        <v>0.0</v>
      </c>
      <c r="U256" s="51">
        <v>0.0</v>
      </c>
      <c r="V256" s="51">
        <v>0.0</v>
      </c>
      <c r="W256" s="51">
        <v>0.0</v>
      </c>
      <c r="X256" s="51">
        <v>0.0</v>
      </c>
      <c r="Y256" s="51">
        <v>0.0</v>
      </c>
      <c r="Z256" s="51">
        <v>0.0</v>
      </c>
      <c r="AA256" s="51">
        <v>0.0</v>
      </c>
      <c r="AB256" s="51">
        <v>0.0</v>
      </c>
      <c r="AC256" s="51">
        <v>0.0</v>
      </c>
      <c r="AD256" s="51">
        <v>0.0</v>
      </c>
      <c r="AE256" s="51">
        <v>0.0</v>
      </c>
      <c r="AF256" s="51">
        <v>0.0</v>
      </c>
      <c r="AG256" s="51">
        <v>0.0</v>
      </c>
      <c r="AH256" s="51">
        <v>0.0</v>
      </c>
      <c r="AI256" s="51">
        <v>0.0</v>
      </c>
      <c r="AJ256" s="51">
        <v>0.0</v>
      </c>
      <c r="AK256" s="51">
        <v>0.0</v>
      </c>
      <c r="AL256" s="51">
        <v>0.0</v>
      </c>
      <c r="AM256" s="51">
        <v>0.0</v>
      </c>
      <c r="AN256" s="51">
        <v>0.0</v>
      </c>
      <c r="AO256" s="51">
        <v>0.0</v>
      </c>
      <c r="AP256" s="51">
        <v>0.0</v>
      </c>
      <c r="AQ256" s="51">
        <v>0.0</v>
      </c>
      <c r="AR256" s="51">
        <v>0.0</v>
      </c>
      <c r="AS256" s="51">
        <v>0.0</v>
      </c>
      <c r="AT256" s="51">
        <v>0.0</v>
      </c>
      <c r="AU256" s="51">
        <v>0.0</v>
      </c>
      <c r="AV256" s="51">
        <v>0.0</v>
      </c>
      <c r="AW256" s="51">
        <v>0.0</v>
      </c>
      <c r="AX256" s="51">
        <v>0.0</v>
      </c>
      <c r="AY256" s="51">
        <v>0.0</v>
      </c>
      <c r="AZ256" s="51">
        <v>0.0</v>
      </c>
      <c r="BA256" s="51">
        <v>0.0</v>
      </c>
      <c r="BB256" s="51">
        <v>0.0</v>
      </c>
      <c r="BC256" s="51">
        <v>0.0</v>
      </c>
      <c r="BD256" s="51">
        <v>0.0</v>
      </c>
      <c r="BE256" s="51">
        <v>0.0</v>
      </c>
      <c r="BF256" s="51">
        <v>0.0</v>
      </c>
      <c r="BG256" s="51">
        <v>0.0</v>
      </c>
      <c r="BH256" s="51">
        <v>0.0</v>
      </c>
      <c r="BI256" s="51">
        <v>0.0</v>
      </c>
      <c r="BJ256" s="51">
        <v>0.0</v>
      </c>
      <c r="BK256" s="51">
        <v>0.0</v>
      </c>
      <c r="BL256" s="51">
        <v>0.0</v>
      </c>
      <c r="BM256" s="51">
        <v>0.0</v>
      </c>
      <c r="BN256" s="51">
        <v>0.0</v>
      </c>
      <c r="BO256" s="51">
        <v>0.0</v>
      </c>
      <c r="BP256" s="51">
        <v>0.0</v>
      </c>
      <c r="BQ256" s="51">
        <v>0.0</v>
      </c>
      <c r="BR256" s="51">
        <v>0.0</v>
      </c>
      <c r="BS256" s="51">
        <v>0.0</v>
      </c>
      <c r="BT256" s="51">
        <v>0.0</v>
      </c>
      <c r="BU256" s="51">
        <v>0.0</v>
      </c>
      <c r="BV256" s="51">
        <v>0.0</v>
      </c>
      <c r="BW256" s="106"/>
      <c r="BX256" s="106"/>
      <c r="BY256" s="106"/>
      <c r="BZ256" s="106"/>
      <c r="CA256" s="106"/>
      <c r="CB256" s="106"/>
      <c r="CC256" s="106"/>
      <c r="CD256" s="106"/>
      <c r="CE256" s="106"/>
      <c r="CF256" s="106"/>
      <c r="CG256" s="106"/>
      <c r="CH256" s="106"/>
      <c r="CI256" s="106"/>
      <c r="CJ256" s="106"/>
      <c r="CK256" s="106"/>
      <c r="CL256" s="106"/>
      <c r="CM256" s="106"/>
      <c r="CN256" s="106"/>
      <c r="CO256" s="106"/>
      <c r="CP256" s="106"/>
      <c r="CQ256" s="106"/>
      <c r="CR256" s="106"/>
      <c r="CS256" s="106"/>
      <c r="CT256" s="106"/>
      <c r="CU256" s="106"/>
      <c r="CV256" s="106"/>
      <c r="CW256" s="106"/>
      <c r="CX256" s="106"/>
      <c r="CY256" s="106"/>
      <c r="CZ256" s="106"/>
      <c r="DA256" s="106"/>
      <c r="DB256" s="106"/>
      <c r="DC256" s="106"/>
      <c r="DD256" s="106"/>
      <c r="DE256" s="106"/>
      <c r="DF256" s="106"/>
      <c r="DG256" s="106"/>
      <c r="DH256" s="106"/>
      <c r="DI256" s="106"/>
      <c r="DJ256" s="106"/>
      <c r="DK256" s="106"/>
      <c r="DL256" s="106"/>
      <c r="DM256" s="106"/>
      <c r="DN256" s="106"/>
      <c r="DO256" s="106"/>
      <c r="DP256" s="106"/>
      <c r="DQ256" s="106"/>
      <c r="DR256" s="106"/>
      <c r="DT256" s="50"/>
      <c r="DU256" s="50"/>
      <c r="DV256" s="50"/>
      <c r="DW256" s="50"/>
    </row>
    <row r="257" ht="15.75" hidden="1" customHeight="1" outlineLevel="1">
      <c r="B257" s="5" t="s">
        <v>116</v>
      </c>
      <c r="C257" s="72" t="s">
        <v>70</v>
      </c>
      <c r="E257" s="50">
        <f t="shared" ref="E257:M257" si="314">+SUMIFS($O257:$DR257,$O$7:$DR$7,E$7)</f>
        <v>0</v>
      </c>
      <c r="F257" s="50">
        <f t="shared" si="314"/>
        <v>0</v>
      </c>
      <c r="G257" s="50">
        <f t="shared" si="314"/>
        <v>0</v>
      </c>
      <c r="H257" s="50">
        <f t="shared" si="314"/>
        <v>0</v>
      </c>
      <c r="I257" s="50">
        <f t="shared" si="314"/>
        <v>0</v>
      </c>
      <c r="J257" s="50">
        <f t="shared" si="314"/>
        <v>0</v>
      </c>
      <c r="K257" s="50">
        <f t="shared" si="314"/>
        <v>0</v>
      </c>
      <c r="L257" s="50">
        <f t="shared" si="314"/>
        <v>0</v>
      </c>
      <c r="M257" s="50">
        <f t="shared" si="314"/>
        <v>0</v>
      </c>
      <c r="O257" s="51">
        <v>0.0</v>
      </c>
      <c r="P257" s="51">
        <v>0.0</v>
      </c>
      <c r="Q257" s="51">
        <v>0.0</v>
      </c>
      <c r="R257" s="51">
        <v>0.0</v>
      </c>
      <c r="S257" s="51">
        <v>0.0</v>
      </c>
      <c r="T257" s="51">
        <v>0.0</v>
      </c>
      <c r="U257" s="51">
        <v>0.0</v>
      </c>
      <c r="V257" s="51">
        <v>0.0</v>
      </c>
      <c r="W257" s="51">
        <v>0.0</v>
      </c>
      <c r="X257" s="51">
        <v>0.0</v>
      </c>
      <c r="Y257" s="51">
        <v>0.0</v>
      </c>
      <c r="Z257" s="51">
        <v>0.0</v>
      </c>
      <c r="AA257" s="51">
        <v>0.0</v>
      </c>
      <c r="AB257" s="51">
        <v>0.0</v>
      </c>
      <c r="AC257" s="51">
        <v>0.0</v>
      </c>
      <c r="AD257" s="51">
        <v>0.0</v>
      </c>
      <c r="AE257" s="51">
        <v>0.0</v>
      </c>
      <c r="AF257" s="51">
        <v>0.0</v>
      </c>
      <c r="AG257" s="51">
        <v>0.0</v>
      </c>
      <c r="AH257" s="51">
        <v>0.0</v>
      </c>
      <c r="AI257" s="51">
        <v>0.0</v>
      </c>
      <c r="AJ257" s="51">
        <v>0.0</v>
      </c>
      <c r="AK257" s="51">
        <v>0.0</v>
      </c>
      <c r="AL257" s="51">
        <v>0.0</v>
      </c>
      <c r="AM257" s="51">
        <v>0.0</v>
      </c>
      <c r="AN257" s="51">
        <v>0.0</v>
      </c>
      <c r="AO257" s="51">
        <v>0.0</v>
      </c>
      <c r="AP257" s="51">
        <v>0.0</v>
      </c>
      <c r="AQ257" s="51">
        <v>0.0</v>
      </c>
      <c r="AR257" s="51">
        <v>0.0</v>
      </c>
      <c r="AS257" s="51">
        <v>0.0</v>
      </c>
      <c r="AT257" s="51">
        <v>0.0</v>
      </c>
      <c r="AU257" s="51">
        <v>0.0</v>
      </c>
      <c r="AV257" s="51">
        <v>0.0</v>
      </c>
      <c r="AW257" s="51">
        <v>0.0</v>
      </c>
      <c r="AX257" s="51">
        <v>0.0</v>
      </c>
      <c r="AY257" s="51">
        <v>0.0</v>
      </c>
      <c r="AZ257" s="51">
        <v>0.0</v>
      </c>
      <c r="BA257" s="51">
        <v>0.0</v>
      </c>
      <c r="BB257" s="51">
        <v>0.0</v>
      </c>
      <c r="BC257" s="51">
        <v>0.0</v>
      </c>
      <c r="BD257" s="51">
        <v>0.0</v>
      </c>
      <c r="BE257" s="51">
        <v>0.0</v>
      </c>
      <c r="BF257" s="51">
        <v>0.0</v>
      </c>
      <c r="BG257" s="51">
        <v>0.0</v>
      </c>
      <c r="BH257" s="51">
        <v>0.0</v>
      </c>
      <c r="BI257" s="51">
        <v>0.0</v>
      </c>
      <c r="BJ257" s="51">
        <v>0.0</v>
      </c>
      <c r="BK257" s="51">
        <v>0.0</v>
      </c>
      <c r="BL257" s="51">
        <v>0.0</v>
      </c>
      <c r="BM257" s="51">
        <v>0.0</v>
      </c>
      <c r="BN257" s="51">
        <v>0.0</v>
      </c>
      <c r="BO257" s="51">
        <v>0.0</v>
      </c>
      <c r="BP257" s="51">
        <v>0.0</v>
      </c>
      <c r="BQ257" s="51">
        <v>0.0</v>
      </c>
      <c r="BR257" s="51">
        <v>0.0</v>
      </c>
      <c r="BS257" s="51">
        <v>0.0</v>
      </c>
      <c r="BT257" s="51">
        <v>0.0</v>
      </c>
      <c r="BU257" s="51">
        <v>0.0</v>
      </c>
      <c r="BV257" s="51">
        <v>0.0</v>
      </c>
      <c r="BW257" s="106"/>
      <c r="BX257" s="106"/>
      <c r="BY257" s="106"/>
      <c r="BZ257" s="106"/>
      <c r="CA257" s="106"/>
      <c r="CB257" s="106"/>
      <c r="CC257" s="106"/>
      <c r="CD257" s="106"/>
      <c r="CE257" s="106"/>
      <c r="CF257" s="106"/>
      <c r="CG257" s="106"/>
      <c r="CH257" s="106"/>
      <c r="CI257" s="106"/>
      <c r="CJ257" s="106"/>
      <c r="CK257" s="106"/>
      <c r="CL257" s="106"/>
      <c r="CM257" s="106"/>
      <c r="CN257" s="106"/>
      <c r="CO257" s="106"/>
      <c r="CP257" s="106"/>
      <c r="CQ257" s="106"/>
      <c r="CR257" s="106"/>
      <c r="CS257" s="106"/>
      <c r="CT257" s="106"/>
      <c r="CU257" s="106"/>
      <c r="CV257" s="106"/>
      <c r="CW257" s="106"/>
      <c r="CX257" s="106"/>
      <c r="CY257" s="106"/>
      <c r="CZ257" s="106"/>
      <c r="DA257" s="106"/>
      <c r="DB257" s="106"/>
      <c r="DC257" s="106"/>
      <c r="DD257" s="106"/>
      <c r="DE257" s="106"/>
      <c r="DF257" s="106"/>
      <c r="DG257" s="106"/>
      <c r="DH257" s="106"/>
      <c r="DI257" s="106"/>
      <c r="DJ257" s="106"/>
      <c r="DK257" s="106"/>
      <c r="DL257" s="106"/>
      <c r="DM257" s="106"/>
      <c r="DN257" s="106"/>
      <c r="DO257" s="106"/>
      <c r="DP257" s="106"/>
      <c r="DQ257" s="106"/>
      <c r="DR257" s="106"/>
      <c r="DT257" s="50"/>
      <c r="DU257" s="50"/>
      <c r="DV257" s="50"/>
      <c r="DW257" s="50"/>
    </row>
    <row r="258" ht="15.75" hidden="1" customHeight="1" outlineLevel="1">
      <c r="B258" s="5" t="s">
        <v>117</v>
      </c>
      <c r="C258" s="72" t="s">
        <v>70</v>
      </c>
      <c r="E258" s="50">
        <f t="shared" ref="E258:M258" si="315">+SUMIFS($O258:$DR258,$O$7:$DR$7,E$7)</f>
        <v>0</v>
      </c>
      <c r="F258" s="50">
        <f t="shared" si="315"/>
        <v>8.07</v>
      </c>
      <c r="G258" s="50">
        <f t="shared" si="315"/>
        <v>11.93</v>
      </c>
      <c r="H258" s="50">
        <f t="shared" si="315"/>
        <v>0</v>
      </c>
      <c r="I258" s="50">
        <f t="shared" si="315"/>
        <v>0</v>
      </c>
      <c r="J258" s="50">
        <f t="shared" si="315"/>
        <v>0</v>
      </c>
      <c r="K258" s="50">
        <f t="shared" si="315"/>
        <v>0</v>
      </c>
      <c r="L258" s="50">
        <f t="shared" si="315"/>
        <v>0</v>
      </c>
      <c r="M258" s="50">
        <f t="shared" si="315"/>
        <v>0</v>
      </c>
      <c r="O258" s="51">
        <v>0.0</v>
      </c>
      <c r="P258" s="51">
        <v>0.0</v>
      </c>
      <c r="Q258" s="51">
        <v>0.0</v>
      </c>
      <c r="R258" s="51">
        <v>0.0</v>
      </c>
      <c r="S258" s="51">
        <v>0.0</v>
      </c>
      <c r="T258" s="51">
        <v>0.0</v>
      </c>
      <c r="U258" s="51">
        <v>0.0</v>
      </c>
      <c r="V258" s="51">
        <v>0.0</v>
      </c>
      <c r="W258" s="51">
        <v>0.0</v>
      </c>
      <c r="X258" s="51">
        <v>0.0</v>
      </c>
      <c r="Y258" s="51">
        <v>0.0</v>
      </c>
      <c r="Z258" s="51">
        <v>0.0</v>
      </c>
      <c r="AA258" s="51">
        <v>0.0</v>
      </c>
      <c r="AB258" s="51">
        <v>0.0</v>
      </c>
      <c r="AC258" s="51">
        <v>0.0</v>
      </c>
      <c r="AD258" s="51">
        <v>0.0</v>
      </c>
      <c r="AE258" s="51">
        <v>0.0</v>
      </c>
      <c r="AF258" s="51">
        <v>0.0</v>
      </c>
      <c r="AG258" s="51">
        <v>0.0</v>
      </c>
      <c r="AH258" s="51">
        <v>0.0</v>
      </c>
      <c r="AI258" s="51">
        <v>0.0</v>
      </c>
      <c r="AJ258" s="51">
        <v>0.0</v>
      </c>
      <c r="AK258" s="51">
        <v>0.0</v>
      </c>
      <c r="AL258" s="51">
        <v>8.07</v>
      </c>
      <c r="AM258" s="51">
        <v>12.106</v>
      </c>
      <c r="AN258" s="51">
        <v>0.0</v>
      </c>
      <c r="AO258" s="51">
        <v>0.0</v>
      </c>
      <c r="AP258" s="51">
        <v>0.0</v>
      </c>
      <c r="AQ258" s="51">
        <v>-0.176</v>
      </c>
      <c r="AR258" s="51">
        <v>0.0</v>
      </c>
      <c r="AS258" s="51">
        <v>0.0</v>
      </c>
      <c r="AT258" s="51">
        <v>0.0</v>
      </c>
      <c r="AU258" s="51">
        <v>0.0</v>
      </c>
      <c r="AV258" s="51">
        <v>0.0</v>
      </c>
      <c r="AW258" s="51">
        <v>0.0</v>
      </c>
      <c r="AX258" s="51">
        <v>0.0</v>
      </c>
      <c r="AY258" s="51">
        <v>0.0</v>
      </c>
      <c r="AZ258" s="51">
        <v>0.0</v>
      </c>
      <c r="BA258" s="51">
        <v>0.0</v>
      </c>
      <c r="BB258" s="51">
        <v>0.0</v>
      </c>
      <c r="BC258" s="51">
        <v>0.0</v>
      </c>
      <c r="BD258" s="51">
        <v>0.0</v>
      </c>
      <c r="BE258" s="51">
        <v>0.0</v>
      </c>
      <c r="BF258" s="51">
        <v>0.0</v>
      </c>
      <c r="BG258" s="51">
        <v>0.0</v>
      </c>
      <c r="BH258" s="51">
        <v>0.0</v>
      </c>
      <c r="BI258" s="51">
        <v>0.0</v>
      </c>
      <c r="BJ258" s="51">
        <v>0.0</v>
      </c>
      <c r="BK258" s="51">
        <v>0.0</v>
      </c>
      <c r="BL258" s="51">
        <v>0.0</v>
      </c>
      <c r="BM258" s="51">
        <v>0.0</v>
      </c>
      <c r="BN258" s="51">
        <v>0.0</v>
      </c>
      <c r="BO258" s="51">
        <v>0.0</v>
      </c>
      <c r="BP258" s="51">
        <v>0.0</v>
      </c>
      <c r="BQ258" s="51">
        <v>0.0</v>
      </c>
      <c r="BR258" s="51">
        <v>0.0</v>
      </c>
      <c r="BS258" s="51">
        <v>0.0</v>
      </c>
      <c r="BT258" s="51">
        <v>0.0</v>
      </c>
      <c r="BU258" s="51">
        <v>0.0</v>
      </c>
      <c r="BV258" s="51">
        <v>0.0</v>
      </c>
      <c r="BW258" s="106"/>
      <c r="BX258" s="106"/>
      <c r="BY258" s="106"/>
      <c r="BZ258" s="106"/>
      <c r="CA258" s="106"/>
      <c r="CB258" s="106"/>
      <c r="CC258" s="106"/>
      <c r="CD258" s="106"/>
      <c r="CE258" s="106"/>
      <c r="CF258" s="106"/>
      <c r="CG258" s="106"/>
      <c r="CH258" s="106"/>
      <c r="CI258" s="106"/>
      <c r="CJ258" s="106"/>
      <c r="CK258" s="106"/>
      <c r="CL258" s="106"/>
      <c r="CM258" s="106"/>
      <c r="CN258" s="106"/>
      <c r="CO258" s="106"/>
      <c r="CP258" s="106"/>
      <c r="CQ258" s="106"/>
      <c r="CR258" s="106"/>
      <c r="CS258" s="106"/>
      <c r="CT258" s="106"/>
      <c r="CU258" s="106"/>
      <c r="CV258" s="106"/>
      <c r="CW258" s="106"/>
      <c r="CX258" s="106"/>
      <c r="CY258" s="106"/>
      <c r="CZ258" s="106"/>
      <c r="DA258" s="106"/>
      <c r="DB258" s="106"/>
      <c r="DC258" s="106"/>
      <c r="DD258" s="106"/>
      <c r="DE258" s="106"/>
      <c r="DF258" s="106"/>
      <c r="DG258" s="106"/>
      <c r="DH258" s="106"/>
      <c r="DI258" s="106"/>
      <c r="DJ258" s="106"/>
      <c r="DK258" s="106"/>
      <c r="DL258" s="106"/>
      <c r="DM258" s="106"/>
      <c r="DN258" s="106"/>
      <c r="DO258" s="106"/>
      <c r="DP258" s="106"/>
      <c r="DQ258" s="106"/>
      <c r="DR258" s="106"/>
      <c r="DT258" s="50"/>
      <c r="DU258" s="50"/>
      <c r="DV258" s="50"/>
      <c r="DW258" s="50"/>
    </row>
    <row r="259" ht="15.75" hidden="1" customHeight="1" outlineLevel="1">
      <c r="B259" s="5" t="s">
        <v>118</v>
      </c>
      <c r="C259" s="72" t="s">
        <v>70</v>
      </c>
      <c r="E259" s="50">
        <f t="shared" ref="E259:M259" si="316">+SUMIFS($O259:$DR259,$O$7:$DR$7,E$7)</f>
        <v>61.706</v>
      </c>
      <c r="F259" s="50">
        <f t="shared" si="316"/>
        <v>42.54</v>
      </c>
      <c r="G259" s="50">
        <f t="shared" si="316"/>
        <v>42.555</v>
      </c>
      <c r="H259" s="50">
        <f t="shared" si="316"/>
        <v>0</v>
      </c>
      <c r="I259" s="50">
        <f t="shared" si="316"/>
        <v>0</v>
      </c>
      <c r="J259" s="50">
        <f t="shared" si="316"/>
        <v>0</v>
      </c>
      <c r="K259" s="50">
        <f t="shared" si="316"/>
        <v>0</v>
      </c>
      <c r="L259" s="50">
        <f t="shared" si="316"/>
        <v>0</v>
      </c>
      <c r="M259" s="50">
        <f t="shared" si="316"/>
        <v>0</v>
      </c>
      <c r="O259" s="51">
        <v>13.345</v>
      </c>
      <c r="P259" s="51">
        <v>13.333</v>
      </c>
      <c r="Q259" s="51">
        <v>3.334</v>
      </c>
      <c r="R259" s="51">
        <v>3.333</v>
      </c>
      <c r="S259" s="51">
        <v>3.546</v>
      </c>
      <c r="T259" s="51">
        <v>3.545</v>
      </c>
      <c r="U259" s="51">
        <v>3.545</v>
      </c>
      <c r="V259" s="51">
        <v>3.545</v>
      </c>
      <c r="W259" s="51">
        <v>3.545</v>
      </c>
      <c r="X259" s="51">
        <v>3.545</v>
      </c>
      <c r="Y259" s="51">
        <v>3.545</v>
      </c>
      <c r="Z259" s="51">
        <v>3.545</v>
      </c>
      <c r="AA259" s="51">
        <v>3.545</v>
      </c>
      <c r="AB259" s="51">
        <v>3.545</v>
      </c>
      <c r="AC259" s="51">
        <v>3.545</v>
      </c>
      <c r="AD259" s="51">
        <v>3.545</v>
      </c>
      <c r="AE259" s="51">
        <v>3.545</v>
      </c>
      <c r="AF259" s="51">
        <v>3.545</v>
      </c>
      <c r="AG259" s="51">
        <v>3.545</v>
      </c>
      <c r="AH259" s="51">
        <v>3.545</v>
      </c>
      <c r="AI259" s="51">
        <v>3.545</v>
      </c>
      <c r="AJ259" s="51">
        <v>3.545</v>
      </c>
      <c r="AK259" s="51">
        <v>3.545</v>
      </c>
      <c r="AL259" s="51">
        <v>3.545</v>
      </c>
      <c r="AM259" s="51">
        <v>3.545</v>
      </c>
      <c r="AN259" s="51">
        <v>3.545</v>
      </c>
      <c r="AO259" s="51">
        <v>3.545</v>
      </c>
      <c r="AP259" s="51">
        <v>3.545</v>
      </c>
      <c r="AQ259" s="51">
        <v>3.545</v>
      </c>
      <c r="AR259" s="51">
        <v>3.545</v>
      </c>
      <c r="AS259" s="51">
        <v>3.545</v>
      </c>
      <c r="AT259" s="51">
        <v>3.545</v>
      </c>
      <c r="AU259" s="51">
        <v>3.545</v>
      </c>
      <c r="AV259" s="51">
        <v>3.545</v>
      </c>
      <c r="AW259" s="51">
        <v>3.545</v>
      </c>
      <c r="AX259" s="51">
        <v>3.56</v>
      </c>
      <c r="AY259" s="51">
        <v>0.0</v>
      </c>
      <c r="AZ259" s="51">
        <v>0.0</v>
      </c>
      <c r="BA259" s="51">
        <v>0.0</v>
      </c>
      <c r="BB259" s="51">
        <v>0.0</v>
      </c>
      <c r="BC259" s="51">
        <v>0.0</v>
      </c>
      <c r="BD259" s="51">
        <v>0.0</v>
      </c>
      <c r="BE259" s="51">
        <v>0.0</v>
      </c>
      <c r="BF259" s="51">
        <v>0.0</v>
      </c>
      <c r="BG259" s="51">
        <v>0.0</v>
      </c>
      <c r="BH259" s="51">
        <v>0.0</v>
      </c>
      <c r="BI259" s="51">
        <v>0.0</v>
      </c>
      <c r="BJ259" s="51">
        <v>0.0</v>
      </c>
      <c r="BK259" s="51">
        <v>0.0</v>
      </c>
      <c r="BL259" s="51">
        <v>0.0</v>
      </c>
      <c r="BM259" s="51">
        <v>0.0</v>
      </c>
      <c r="BN259" s="51">
        <v>0.0</v>
      </c>
      <c r="BO259" s="51">
        <v>0.0</v>
      </c>
      <c r="BP259" s="51">
        <v>0.0</v>
      </c>
      <c r="BQ259" s="51">
        <v>0.0</v>
      </c>
      <c r="BR259" s="51">
        <v>0.0</v>
      </c>
      <c r="BS259" s="51">
        <v>0.0</v>
      </c>
      <c r="BT259" s="51">
        <v>0.0</v>
      </c>
      <c r="BU259" s="51">
        <v>0.0</v>
      </c>
      <c r="BV259" s="51">
        <v>0.0</v>
      </c>
      <c r="BW259" s="106"/>
      <c r="BX259" s="106"/>
      <c r="BY259" s="106"/>
      <c r="BZ259" s="106"/>
      <c r="CA259" s="106"/>
      <c r="CB259" s="106"/>
      <c r="CC259" s="106"/>
      <c r="CD259" s="106"/>
      <c r="CE259" s="106"/>
      <c r="CF259" s="106"/>
      <c r="CG259" s="106"/>
      <c r="CH259" s="106"/>
      <c r="CI259" s="106"/>
      <c r="CJ259" s="106"/>
      <c r="CK259" s="106"/>
      <c r="CL259" s="106"/>
      <c r="CM259" s="106"/>
      <c r="CN259" s="106"/>
      <c r="CO259" s="106"/>
      <c r="CP259" s="106"/>
      <c r="CQ259" s="106"/>
      <c r="CR259" s="106"/>
      <c r="CS259" s="106"/>
      <c r="CT259" s="106"/>
      <c r="CU259" s="106"/>
      <c r="CV259" s="106"/>
      <c r="CW259" s="106"/>
      <c r="CX259" s="106"/>
      <c r="CY259" s="106"/>
      <c r="CZ259" s="106"/>
      <c r="DA259" s="106"/>
      <c r="DB259" s="106"/>
      <c r="DC259" s="106"/>
      <c r="DD259" s="106"/>
      <c r="DE259" s="106"/>
      <c r="DF259" s="106"/>
      <c r="DG259" s="106"/>
      <c r="DH259" s="106"/>
      <c r="DI259" s="106"/>
      <c r="DJ259" s="106"/>
      <c r="DK259" s="106"/>
      <c r="DL259" s="106"/>
      <c r="DM259" s="106"/>
      <c r="DN259" s="106"/>
      <c r="DO259" s="106"/>
      <c r="DP259" s="106"/>
      <c r="DQ259" s="106"/>
      <c r="DR259" s="106"/>
      <c r="DT259" s="50"/>
      <c r="DU259" s="50"/>
      <c r="DV259" s="50"/>
      <c r="DW259" s="50"/>
    </row>
    <row r="260" ht="4.5" hidden="1" customHeight="1" outlineLevel="1">
      <c r="E260" s="50"/>
      <c r="F260" s="50"/>
      <c r="G260" s="50"/>
      <c r="H260" s="50"/>
      <c r="I260" s="50"/>
      <c r="J260" s="50"/>
      <c r="K260" s="50"/>
      <c r="L260" s="50"/>
      <c r="M260" s="50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  <c r="AO260" s="51"/>
      <c r="AP260" s="51"/>
      <c r="AQ260" s="51"/>
      <c r="AR260" s="51"/>
      <c r="AS260" s="51"/>
      <c r="AT260" s="51"/>
      <c r="AU260" s="51"/>
      <c r="AV260" s="51"/>
      <c r="AW260" s="51"/>
      <c r="AX260" s="51"/>
      <c r="AY260" s="51"/>
      <c r="AZ260" s="51"/>
      <c r="BA260" s="51"/>
      <c r="BB260" s="51"/>
      <c r="BC260" s="51"/>
      <c r="BD260" s="51"/>
      <c r="BE260" s="51"/>
      <c r="BF260" s="51"/>
      <c r="BG260" s="51"/>
      <c r="BH260" s="51"/>
      <c r="BI260" s="51"/>
      <c r="BJ260" s="51"/>
      <c r="BK260" s="51"/>
      <c r="BL260" s="51"/>
      <c r="BM260" s="51"/>
      <c r="BN260" s="51"/>
      <c r="BO260" s="51"/>
      <c r="BP260" s="51"/>
      <c r="BQ260" s="51"/>
      <c r="BR260" s="51"/>
      <c r="BS260" s="51"/>
      <c r="BT260" s="51"/>
      <c r="BU260" s="51"/>
      <c r="BV260" s="51"/>
      <c r="BW260" s="73"/>
      <c r="BX260" s="73"/>
      <c r="BY260" s="73"/>
      <c r="BZ260" s="73"/>
      <c r="CA260" s="73"/>
      <c r="CB260" s="73"/>
      <c r="CC260" s="73"/>
      <c r="CD260" s="73"/>
      <c r="CE260" s="73"/>
      <c r="CF260" s="73"/>
      <c r="CG260" s="73"/>
      <c r="CH260" s="73"/>
      <c r="CI260" s="73"/>
      <c r="CJ260" s="73"/>
      <c r="CK260" s="73"/>
      <c r="CL260" s="73"/>
      <c r="CM260" s="73"/>
      <c r="CN260" s="73"/>
      <c r="CO260" s="73"/>
      <c r="CP260" s="73"/>
      <c r="CQ260" s="73"/>
      <c r="CR260" s="73"/>
      <c r="CS260" s="73"/>
      <c r="CT260" s="73"/>
      <c r="CU260" s="73"/>
      <c r="CV260" s="73"/>
      <c r="CW260" s="73"/>
      <c r="CX260" s="73"/>
      <c r="CY260" s="73"/>
      <c r="CZ260" s="73"/>
      <c r="DA260" s="73"/>
      <c r="DB260" s="73"/>
      <c r="DC260" s="73"/>
      <c r="DD260" s="73"/>
      <c r="DE260" s="73"/>
      <c r="DF260" s="73"/>
      <c r="DG260" s="73"/>
      <c r="DH260" s="73"/>
      <c r="DI260" s="73"/>
      <c r="DJ260" s="73"/>
      <c r="DK260" s="73"/>
      <c r="DL260" s="73"/>
      <c r="DM260" s="73"/>
      <c r="DN260" s="73"/>
      <c r="DO260" s="73"/>
      <c r="DP260" s="73"/>
      <c r="DQ260" s="73"/>
      <c r="DR260" s="73"/>
      <c r="DT260" s="73"/>
      <c r="DU260" s="73"/>
      <c r="DV260" s="73"/>
      <c r="DW260" s="73"/>
    </row>
    <row r="261" ht="15.75" hidden="1" customHeight="1" outlineLevel="1">
      <c r="A261" s="4"/>
      <c r="B261" s="74" t="s">
        <v>134</v>
      </c>
      <c r="C261" s="74"/>
      <c r="D261" s="4"/>
      <c r="E261" s="55">
        <f t="shared" ref="E261:M261" si="317">+SUMIFS($O261:$DR261,$O$7:$DR$7,E$7)</f>
        <v>911.433</v>
      </c>
      <c r="F261" s="55">
        <f t="shared" si="317"/>
        <v>870.59</v>
      </c>
      <c r="G261" s="55">
        <f t="shared" si="317"/>
        <v>1161.261</v>
      </c>
      <c r="H261" s="55">
        <f t="shared" si="317"/>
        <v>1119.288</v>
      </c>
      <c r="I261" s="55">
        <f t="shared" si="317"/>
        <v>1176.535287</v>
      </c>
      <c r="J261" s="55">
        <f t="shared" si="317"/>
        <v>0</v>
      </c>
      <c r="K261" s="55">
        <f t="shared" si="317"/>
        <v>0</v>
      </c>
      <c r="L261" s="55">
        <f t="shared" si="317"/>
        <v>0</v>
      </c>
      <c r="M261" s="55">
        <f t="shared" si="317"/>
        <v>0</v>
      </c>
      <c r="N261" s="4"/>
      <c r="O261" s="75">
        <f t="shared" ref="O261:DR261" si="318">SUM(O214:O260)</f>
        <v>82.957</v>
      </c>
      <c r="P261" s="75">
        <f t="shared" si="318"/>
        <v>106.601</v>
      </c>
      <c r="Q261" s="75">
        <f t="shared" si="318"/>
        <v>127.125</v>
      </c>
      <c r="R261" s="75">
        <f t="shared" si="318"/>
        <v>127.733</v>
      </c>
      <c r="S261" s="75">
        <f t="shared" si="318"/>
        <v>57.426</v>
      </c>
      <c r="T261" s="75">
        <f t="shared" si="318"/>
        <v>72.393</v>
      </c>
      <c r="U261" s="75">
        <f t="shared" si="318"/>
        <v>61.778</v>
      </c>
      <c r="V261" s="75">
        <f t="shared" si="318"/>
        <v>25.497</v>
      </c>
      <c r="W261" s="75">
        <f t="shared" si="318"/>
        <v>112.448</v>
      </c>
      <c r="X261" s="75">
        <f t="shared" si="318"/>
        <v>60.497</v>
      </c>
      <c r="Y261" s="75">
        <f t="shared" si="318"/>
        <v>84.949</v>
      </c>
      <c r="Z261" s="75">
        <f t="shared" si="318"/>
        <v>-7.971</v>
      </c>
      <c r="AA261" s="75">
        <f t="shared" si="318"/>
        <v>66.898</v>
      </c>
      <c r="AB261" s="75">
        <f t="shared" si="318"/>
        <v>44.297</v>
      </c>
      <c r="AC261" s="75">
        <f t="shared" si="318"/>
        <v>34.045</v>
      </c>
      <c r="AD261" s="75">
        <f t="shared" si="318"/>
        <v>61.763</v>
      </c>
      <c r="AE261" s="75">
        <f t="shared" si="318"/>
        <v>64.993</v>
      </c>
      <c r="AF261" s="75">
        <f t="shared" si="318"/>
        <v>51.183</v>
      </c>
      <c r="AG261" s="75">
        <f t="shared" si="318"/>
        <v>51.977</v>
      </c>
      <c r="AH261" s="75">
        <f t="shared" si="318"/>
        <v>78.893</v>
      </c>
      <c r="AI261" s="75">
        <f t="shared" si="318"/>
        <v>70.843</v>
      </c>
      <c r="AJ261" s="75">
        <f t="shared" si="318"/>
        <v>130.411</v>
      </c>
      <c r="AK261" s="75">
        <f t="shared" si="318"/>
        <v>90.522</v>
      </c>
      <c r="AL261" s="75">
        <f t="shared" si="318"/>
        <v>124.765</v>
      </c>
      <c r="AM261" s="75">
        <f t="shared" si="318"/>
        <v>56.485</v>
      </c>
      <c r="AN261" s="75">
        <f t="shared" si="318"/>
        <v>63.314</v>
      </c>
      <c r="AO261" s="75">
        <f t="shared" si="318"/>
        <v>41.226</v>
      </c>
      <c r="AP261" s="75">
        <f t="shared" si="318"/>
        <v>102.703</v>
      </c>
      <c r="AQ261" s="75">
        <f t="shared" si="318"/>
        <v>53.489</v>
      </c>
      <c r="AR261" s="75">
        <f t="shared" si="318"/>
        <v>94.926</v>
      </c>
      <c r="AS261" s="75">
        <f t="shared" si="318"/>
        <v>86.178</v>
      </c>
      <c r="AT261" s="75">
        <f t="shared" si="318"/>
        <v>93.925</v>
      </c>
      <c r="AU261" s="75">
        <f t="shared" si="318"/>
        <v>164.266</v>
      </c>
      <c r="AV261" s="75">
        <f t="shared" si="318"/>
        <v>181.558</v>
      </c>
      <c r="AW261" s="75">
        <f t="shared" si="318"/>
        <v>130.177</v>
      </c>
      <c r="AX261" s="75">
        <f t="shared" si="318"/>
        <v>93.014</v>
      </c>
      <c r="AY261" s="75">
        <f t="shared" si="318"/>
        <v>22.406</v>
      </c>
      <c r="AZ261" s="75">
        <f t="shared" si="318"/>
        <v>51.578</v>
      </c>
      <c r="BA261" s="75">
        <f t="shared" si="318"/>
        <v>84.92</v>
      </c>
      <c r="BB261" s="75">
        <f t="shared" si="318"/>
        <v>135.501</v>
      </c>
      <c r="BC261" s="75">
        <f t="shared" si="318"/>
        <v>81.44</v>
      </c>
      <c r="BD261" s="75">
        <f t="shared" si="318"/>
        <v>155.254</v>
      </c>
      <c r="BE261" s="75">
        <f t="shared" si="318"/>
        <v>162.502</v>
      </c>
      <c r="BF261" s="75">
        <f t="shared" si="318"/>
        <v>66.426</v>
      </c>
      <c r="BG261" s="75">
        <f t="shared" si="318"/>
        <v>137.231</v>
      </c>
      <c r="BH261" s="75">
        <f t="shared" si="318"/>
        <v>101.071</v>
      </c>
      <c r="BI261" s="75">
        <f t="shared" si="318"/>
        <v>102.45</v>
      </c>
      <c r="BJ261" s="75">
        <f t="shared" si="318"/>
        <v>18.509</v>
      </c>
      <c r="BK261" s="75">
        <f t="shared" si="318"/>
        <v>57.271</v>
      </c>
      <c r="BL261" s="75">
        <f t="shared" si="318"/>
        <v>89.89</v>
      </c>
      <c r="BM261" s="75">
        <f t="shared" si="318"/>
        <v>129.302</v>
      </c>
      <c r="BN261" s="75">
        <f t="shared" si="318"/>
        <v>92.79759083</v>
      </c>
      <c r="BO261" s="75">
        <f t="shared" si="318"/>
        <v>132.0155431</v>
      </c>
      <c r="BP261" s="75">
        <f t="shared" si="318"/>
        <v>109.5426022</v>
      </c>
      <c r="BQ261" s="75">
        <f t="shared" si="318"/>
        <v>111.4882181</v>
      </c>
      <c r="BR261" s="75">
        <f t="shared" si="318"/>
        <v>101.5178788</v>
      </c>
      <c r="BS261" s="75">
        <f t="shared" si="318"/>
        <v>99.24168716</v>
      </c>
      <c r="BT261" s="75">
        <f t="shared" si="318"/>
        <v>94.33889696</v>
      </c>
      <c r="BU261" s="75">
        <f t="shared" si="318"/>
        <v>83.40110089</v>
      </c>
      <c r="BV261" s="75">
        <f t="shared" si="318"/>
        <v>75.72876935</v>
      </c>
      <c r="BW261" s="75">
        <f t="shared" si="318"/>
        <v>0</v>
      </c>
      <c r="BX261" s="75">
        <f t="shared" si="318"/>
        <v>0</v>
      </c>
      <c r="BY261" s="75">
        <f t="shared" si="318"/>
        <v>0</v>
      </c>
      <c r="BZ261" s="75">
        <f t="shared" si="318"/>
        <v>0</v>
      </c>
      <c r="CA261" s="75">
        <f t="shared" si="318"/>
        <v>0</v>
      </c>
      <c r="CB261" s="75">
        <f t="shared" si="318"/>
        <v>0</v>
      </c>
      <c r="CC261" s="75">
        <f t="shared" si="318"/>
        <v>0</v>
      </c>
      <c r="CD261" s="75">
        <f t="shared" si="318"/>
        <v>0</v>
      </c>
      <c r="CE261" s="75">
        <f t="shared" si="318"/>
        <v>0</v>
      </c>
      <c r="CF261" s="75">
        <f t="shared" si="318"/>
        <v>0</v>
      </c>
      <c r="CG261" s="75">
        <f t="shared" si="318"/>
        <v>0</v>
      </c>
      <c r="CH261" s="75">
        <f t="shared" si="318"/>
        <v>0</v>
      </c>
      <c r="CI261" s="75">
        <f t="shared" si="318"/>
        <v>0</v>
      </c>
      <c r="CJ261" s="75">
        <f t="shared" si="318"/>
        <v>0</v>
      </c>
      <c r="CK261" s="75">
        <f t="shared" si="318"/>
        <v>0</v>
      </c>
      <c r="CL261" s="75">
        <f t="shared" si="318"/>
        <v>0</v>
      </c>
      <c r="CM261" s="75">
        <f t="shared" si="318"/>
        <v>0</v>
      </c>
      <c r="CN261" s="75">
        <f t="shared" si="318"/>
        <v>0</v>
      </c>
      <c r="CO261" s="75">
        <f t="shared" si="318"/>
        <v>0</v>
      </c>
      <c r="CP261" s="75">
        <f t="shared" si="318"/>
        <v>0</v>
      </c>
      <c r="CQ261" s="75">
        <f t="shared" si="318"/>
        <v>0</v>
      </c>
      <c r="CR261" s="75">
        <f t="shared" si="318"/>
        <v>0</v>
      </c>
      <c r="CS261" s="75">
        <f t="shared" si="318"/>
        <v>0</v>
      </c>
      <c r="CT261" s="75">
        <f t="shared" si="318"/>
        <v>0</v>
      </c>
      <c r="CU261" s="75">
        <f t="shared" si="318"/>
        <v>0</v>
      </c>
      <c r="CV261" s="75">
        <f t="shared" si="318"/>
        <v>0</v>
      </c>
      <c r="CW261" s="75">
        <f t="shared" si="318"/>
        <v>0</v>
      </c>
      <c r="CX261" s="75">
        <f t="shared" si="318"/>
        <v>0</v>
      </c>
      <c r="CY261" s="75">
        <f t="shared" si="318"/>
        <v>0</v>
      </c>
      <c r="CZ261" s="75">
        <f t="shared" si="318"/>
        <v>0</v>
      </c>
      <c r="DA261" s="75">
        <f t="shared" si="318"/>
        <v>0</v>
      </c>
      <c r="DB261" s="75">
        <f t="shared" si="318"/>
        <v>0</v>
      </c>
      <c r="DC261" s="75">
        <f t="shared" si="318"/>
        <v>0</v>
      </c>
      <c r="DD261" s="75">
        <f t="shared" si="318"/>
        <v>0</v>
      </c>
      <c r="DE261" s="75">
        <f t="shared" si="318"/>
        <v>0</v>
      </c>
      <c r="DF261" s="75">
        <f t="shared" si="318"/>
        <v>0</v>
      </c>
      <c r="DG261" s="75">
        <f t="shared" si="318"/>
        <v>0</v>
      </c>
      <c r="DH261" s="75">
        <f t="shared" si="318"/>
        <v>0</v>
      </c>
      <c r="DI261" s="75">
        <f t="shared" si="318"/>
        <v>0</v>
      </c>
      <c r="DJ261" s="75">
        <f t="shared" si="318"/>
        <v>0</v>
      </c>
      <c r="DK261" s="75">
        <f t="shared" si="318"/>
        <v>0</v>
      </c>
      <c r="DL261" s="75">
        <f t="shared" si="318"/>
        <v>0</v>
      </c>
      <c r="DM261" s="75">
        <f t="shared" si="318"/>
        <v>0</v>
      </c>
      <c r="DN261" s="75">
        <f t="shared" si="318"/>
        <v>0</v>
      </c>
      <c r="DO261" s="75">
        <f t="shared" si="318"/>
        <v>0</v>
      </c>
      <c r="DP261" s="75">
        <f t="shared" si="318"/>
        <v>0</v>
      </c>
      <c r="DQ261" s="75">
        <f t="shared" si="318"/>
        <v>0</v>
      </c>
      <c r="DR261" s="75">
        <f t="shared" si="318"/>
        <v>0</v>
      </c>
      <c r="DS261" s="4"/>
      <c r="DT261" s="67"/>
      <c r="DU261" s="67"/>
      <c r="DV261" s="67"/>
      <c r="DW261" s="67"/>
      <c r="DX261" s="4"/>
    </row>
    <row r="262" ht="4.5" hidden="1" customHeight="1" outlineLevel="1"/>
    <row r="263" ht="15.75" customHeight="1" collapsed="1">
      <c r="B263" s="99" t="s">
        <v>82</v>
      </c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  <c r="AM263" s="100"/>
      <c r="AN263" s="100"/>
      <c r="AO263" s="100"/>
      <c r="AP263" s="100"/>
      <c r="AQ263" s="100"/>
      <c r="AR263" s="100"/>
      <c r="AS263" s="100"/>
      <c r="AT263" s="100"/>
      <c r="AU263" s="100"/>
      <c r="AV263" s="100"/>
      <c r="AW263" s="100"/>
      <c r="AX263" s="100"/>
      <c r="AY263" s="100"/>
      <c r="AZ263" s="100"/>
      <c r="BA263" s="100"/>
      <c r="BB263" s="100"/>
      <c r="BC263" s="100"/>
      <c r="BD263" s="100"/>
      <c r="BE263" s="100"/>
      <c r="BF263" s="100"/>
      <c r="BG263" s="100"/>
      <c r="BH263" s="100"/>
      <c r="BI263" s="100"/>
      <c r="BJ263" s="100"/>
      <c r="BK263" s="100"/>
      <c r="BL263" s="100"/>
      <c r="BM263" s="100"/>
      <c r="BN263" s="100"/>
      <c r="BO263" s="100"/>
      <c r="BP263" s="100"/>
      <c r="BQ263" s="100"/>
      <c r="BR263" s="100"/>
      <c r="BS263" s="100"/>
      <c r="BT263" s="100"/>
      <c r="BU263" s="100"/>
      <c r="BV263" s="100"/>
      <c r="BW263" s="100"/>
      <c r="BX263" s="100"/>
      <c r="BY263" s="100"/>
      <c r="BZ263" s="100"/>
      <c r="CA263" s="100"/>
      <c r="CB263" s="100"/>
      <c r="CC263" s="100"/>
      <c r="CD263" s="100"/>
      <c r="CE263" s="100"/>
      <c r="CF263" s="100"/>
      <c r="CG263" s="100"/>
      <c r="CH263" s="100"/>
      <c r="CI263" s="100"/>
      <c r="CJ263" s="100"/>
      <c r="CK263" s="100"/>
      <c r="CL263" s="100"/>
      <c r="CM263" s="100"/>
      <c r="CN263" s="100"/>
      <c r="CO263" s="100"/>
      <c r="CP263" s="100"/>
      <c r="CQ263" s="100"/>
      <c r="CR263" s="100"/>
      <c r="CS263" s="100"/>
      <c r="CT263" s="100"/>
      <c r="CU263" s="100"/>
      <c r="CV263" s="100"/>
      <c r="CW263" s="100"/>
      <c r="CX263" s="100"/>
      <c r="CY263" s="100"/>
      <c r="CZ263" s="100"/>
      <c r="DA263" s="100"/>
      <c r="DB263" s="100"/>
      <c r="DC263" s="100"/>
      <c r="DD263" s="100"/>
      <c r="DE263" s="100"/>
      <c r="DF263" s="100"/>
      <c r="DG263" s="100"/>
      <c r="DH263" s="100"/>
      <c r="DI263" s="100"/>
      <c r="DJ263" s="100"/>
      <c r="DK263" s="100"/>
      <c r="DL263" s="100"/>
      <c r="DM263" s="100"/>
      <c r="DN263" s="100"/>
      <c r="DO263" s="100"/>
      <c r="DP263" s="100"/>
      <c r="DQ263" s="100"/>
      <c r="DR263" s="100"/>
    </row>
    <row r="264" ht="15.75" customHeight="1">
      <c r="B264" s="5" t="s">
        <v>139</v>
      </c>
      <c r="E264" s="110">
        <f t="shared" ref="E264:M264" si="319">+E266/E265</f>
        <v>1</v>
      </c>
      <c r="F264" s="110">
        <f t="shared" si="319"/>
        <v>2</v>
      </c>
      <c r="G264" s="110">
        <f t="shared" si="319"/>
        <v>2</v>
      </c>
      <c r="H264" s="110">
        <f t="shared" si="319"/>
        <v>1</v>
      </c>
      <c r="I264" s="110">
        <f t="shared" si="319"/>
        <v>1</v>
      </c>
      <c r="J264" s="110">
        <f t="shared" si="319"/>
        <v>0.6416666667</v>
      </c>
      <c r="K264" s="110">
        <f t="shared" si="319"/>
        <v>1.1</v>
      </c>
      <c r="L264" s="110">
        <f t="shared" si="319"/>
        <v>1.1</v>
      </c>
      <c r="M264" s="110">
        <f t="shared" si="319"/>
        <v>1.1</v>
      </c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  <c r="AR264" s="111"/>
      <c r="AS264" s="111"/>
      <c r="AT264" s="111"/>
      <c r="AU264" s="111"/>
      <c r="AV264" s="111"/>
      <c r="AW264" s="111"/>
      <c r="AX264" s="111"/>
      <c r="AY264" s="111"/>
      <c r="AZ264" s="111"/>
      <c r="BA264" s="111"/>
      <c r="BB264" s="111"/>
      <c r="BC264" s="111"/>
      <c r="BD264" s="111"/>
      <c r="BE264" s="111"/>
      <c r="BF264" s="111"/>
      <c r="BG264" s="111"/>
      <c r="BH264" s="111"/>
      <c r="BI264" s="111"/>
      <c r="BJ264" s="111"/>
      <c r="BK264" s="102" t="str">
        <f>+'Bookings to Revenue_Calcs'!BK23</f>
        <v/>
      </c>
      <c r="BL264" s="102" t="str">
        <f>+'Bookings to Revenue_Calcs'!BL23</f>
        <v/>
      </c>
      <c r="BM264" s="102" t="str">
        <f>+'Bookings to Revenue_Calcs'!BM23</f>
        <v/>
      </c>
      <c r="BN264" s="102" t="str">
        <f>+'Bookings to Revenue_Calcs'!BN23</f>
        <v/>
      </c>
      <c r="BO264" s="102" t="str">
        <f>+'Bookings to Revenue_Calcs'!BO23</f>
        <v/>
      </c>
      <c r="BP264" s="102" t="str">
        <f>+'Bookings to Revenue_Calcs'!BP23</f>
        <v/>
      </c>
      <c r="BQ264" s="102">
        <f>+'Bookings to Revenue_Calcs'!BQ23</f>
        <v>0</v>
      </c>
      <c r="BR264" s="102">
        <f>+'Bookings to Revenue_Calcs'!BR23</f>
        <v>0</v>
      </c>
      <c r="BS264" s="102">
        <f>+'Bookings to Revenue_Calcs'!BS23</f>
        <v>0</v>
      </c>
      <c r="BT264" s="102">
        <f>+'Bookings to Revenue_Calcs'!BT23</f>
        <v>0</v>
      </c>
      <c r="BU264" s="102">
        <f>+'Bookings to Revenue_Calcs'!BU23</f>
        <v>0</v>
      </c>
      <c r="BV264" s="102">
        <f>+'Bookings to Revenue_Calcs'!BV23</f>
        <v>0</v>
      </c>
      <c r="BW264" s="102">
        <f>+'Bookings to Revenue_Calcs'!BW23</f>
        <v>0.08333333333</v>
      </c>
      <c r="BX264" s="102">
        <f>+'Bookings to Revenue_Calcs'!BX23</f>
        <v>0.1666666667</v>
      </c>
      <c r="BY264" s="102">
        <f>+'Bookings to Revenue_Calcs'!BY23</f>
        <v>0.25</v>
      </c>
      <c r="BZ264" s="102">
        <f>+'Bookings to Revenue_Calcs'!BZ23</f>
        <v>0.3333333333</v>
      </c>
      <c r="CA264" s="102">
        <f>+'Bookings to Revenue_Calcs'!CA23</f>
        <v>0.4166666667</v>
      </c>
      <c r="CB264" s="102">
        <f>+'Bookings to Revenue_Calcs'!CB23</f>
        <v>0.5</v>
      </c>
      <c r="CC264" s="102">
        <f>+'Bookings to Revenue_Calcs'!CC23</f>
        <v>0.5833333333</v>
      </c>
      <c r="CD264" s="102">
        <f>+'Bookings to Revenue_Calcs'!CD23</f>
        <v>0.6666666667</v>
      </c>
      <c r="CE264" s="102">
        <f>+'Bookings to Revenue_Calcs'!CE23</f>
        <v>0.75</v>
      </c>
      <c r="CF264" s="102">
        <f>+'Bookings to Revenue_Calcs'!CF23</f>
        <v>0.8333333333</v>
      </c>
      <c r="CG264" s="102">
        <f>+'Bookings to Revenue_Calcs'!CG23</f>
        <v>0.9166666667</v>
      </c>
      <c r="CH264" s="102">
        <f>+'Bookings to Revenue_Calcs'!CH23</f>
        <v>0.9166666667</v>
      </c>
      <c r="CI264" s="102">
        <f>+'Bookings to Revenue_Calcs'!CI23</f>
        <v>0.9166666667</v>
      </c>
      <c r="CJ264" s="102">
        <f>+'Bookings to Revenue_Calcs'!CJ23</f>
        <v>0.9166666667</v>
      </c>
      <c r="CK264" s="102">
        <f>+'Bookings to Revenue_Calcs'!CK23</f>
        <v>0.9166666667</v>
      </c>
      <c r="CL264" s="102">
        <f>+'Bookings to Revenue_Calcs'!CL23</f>
        <v>0.9166666667</v>
      </c>
      <c r="CM264" s="102">
        <f>+'Bookings to Revenue_Calcs'!CM23</f>
        <v>0.9166666667</v>
      </c>
      <c r="CN264" s="102">
        <f>+'Bookings to Revenue_Calcs'!CN23</f>
        <v>0.9166666667</v>
      </c>
      <c r="CO264" s="102">
        <f>+'Bookings to Revenue_Calcs'!CO23</f>
        <v>0.9166666667</v>
      </c>
      <c r="CP264" s="102">
        <f>+'Bookings to Revenue_Calcs'!CP23</f>
        <v>0.9166666667</v>
      </c>
      <c r="CQ264" s="102">
        <f>+'Bookings to Revenue_Calcs'!CQ23</f>
        <v>0.9166666667</v>
      </c>
      <c r="CR264" s="102">
        <f>+'Bookings to Revenue_Calcs'!CR23</f>
        <v>0.9166666667</v>
      </c>
      <c r="CS264" s="102">
        <f>+'Bookings to Revenue_Calcs'!CS23</f>
        <v>0.9166666667</v>
      </c>
      <c r="CT264" s="102">
        <f>+'Bookings to Revenue_Calcs'!CT23</f>
        <v>0.9166666667</v>
      </c>
      <c r="CU264" s="102">
        <f>+'Bookings to Revenue_Calcs'!CU23</f>
        <v>0.9166666667</v>
      </c>
      <c r="CV264" s="102">
        <f>+'Bookings to Revenue_Calcs'!CV23</f>
        <v>0.9166666667</v>
      </c>
      <c r="CW264" s="102">
        <f>+'Bookings to Revenue_Calcs'!CW23</f>
        <v>0.9166666667</v>
      </c>
      <c r="CX264" s="102">
        <f>+'Bookings to Revenue_Calcs'!CX23</f>
        <v>0.9166666667</v>
      </c>
      <c r="CY264" s="102">
        <f>+'Bookings to Revenue_Calcs'!CY23</f>
        <v>0.9166666667</v>
      </c>
      <c r="CZ264" s="102">
        <f>+'Bookings to Revenue_Calcs'!CZ23</f>
        <v>0.9166666667</v>
      </c>
      <c r="DA264" s="102">
        <f>+'Bookings to Revenue_Calcs'!DA23</f>
        <v>0.9166666667</v>
      </c>
      <c r="DB264" s="102">
        <f>+'Bookings to Revenue_Calcs'!DB23</f>
        <v>0.9166666667</v>
      </c>
      <c r="DC264" s="102">
        <f>+'Bookings to Revenue_Calcs'!DC23</f>
        <v>0.9166666667</v>
      </c>
      <c r="DD264" s="102">
        <f>+'Bookings to Revenue_Calcs'!DD23</f>
        <v>0.9166666667</v>
      </c>
      <c r="DE264" s="102">
        <f>+'Bookings to Revenue_Calcs'!DE23</f>
        <v>0.9166666667</v>
      </c>
      <c r="DF264" s="102">
        <f>+'Bookings to Revenue_Calcs'!DF23</f>
        <v>0.9166666667</v>
      </c>
      <c r="DG264" s="102">
        <f>+'Bookings to Revenue_Calcs'!DG23</f>
        <v>0.9166666667</v>
      </c>
      <c r="DH264" s="102">
        <f>+'Bookings to Revenue_Calcs'!DH23</f>
        <v>0.9166666667</v>
      </c>
      <c r="DI264" s="102">
        <f>+'Bookings to Revenue_Calcs'!DI23</f>
        <v>0.9166666667</v>
      </c>
      <c r="DJ264" s="102">
        <f>+'Bookings to Revenue_Calcs'!DJ23</f>
        <v>0.9166666667</v>
      </c>
      <c r="DK264" s="102">
        <f>+'Bookings to Revenue_Calcs'!DK23</f>
        <v>0.9166666667</v>
      </c>
      <c r="DL264" s="102">
        <f>+'Bookings to Revenue_Calcs'!DL23</f>
        <v>0.9166666667</v>
      </c>
      <c r="DM264" s="102">
        <f>+'Bookings to Revenue_Calcs'!DM23</f>
        <v>0.9166666667</v>
      </c>
      <c r="DN264" s="102">
        <f>+'Bookings to Revenue_Calcs'!DN23</f>
        <v>0.9166666667</v>
      </c>
      <c r="DO264" s="102">
        <f>+'Bookings to Revenue_Calcs'!DO23</f>
        <v>0.9166666667</v>
      </c>
      <c r="DP264" s="102">
        <f>+'Bookings to Revenue_Calcs'!DP23</f>
        <v>0.9166666667</v>
      </c>
      <c r="DQ264" s="102">
        <f>+'Bookings to Revenue_Calcs'!DQ23</f>
        <v>0.9166666667</v>
      </c>
      <c r="DR264" s="102">
        <f>+'Bookings to Revenue_Calcs'!DR23</f>
        <v>0.9166666667</v>
      </c>
    </row>
    <row r="265" ht="15.75" customHeight="1">
      <c r="B265" s="5" t="s">
        <v>140</v>
      </c>
      <c r="E265" s="50">
        <f t="shared" ref="E265:I265" si="320">+AVERAGEIFS(E$214:E$259,$C$214:$C$259,$B263,E$214:E$259,"&lt;&gt;0")</f>
        <v>16.853</v>
      </c>
      <c r="F265" s="50">
        <f t="shared" si="320"/>
        <v>97.2195</v>
      </c>
      <c r="G265" s="50">
        <f t="shared" si="320"/>
        <v>259.4545</v>
      </c>
      <c r="H265" s="50">
        <f t="shared" si="320"/>
        <v>151.934</v>
      </c>
      <c r="I265" s="50">
        <f t="shared" si="320"/>
        <v>37.408</v>
      </c>
      <c r="J265" s="52">
        <f>+Revenue_Assumptions!J51</f>
        <v>1050</v>
      </c>
      <c r="K265" s="52">
        <f>+Revenue_Assumptions!K51</f>
        <v>1102.5</v>
      </c>
      <c r="L265" s="52">
        <f>+Revenue_Assumptions!L51</f>
        <v>1157.625</v>
      </c>
      <c r="M265" s="52">
        <f>+Revenue_Assumptions!M51</f>
        <v>1215.50625</v>
      </c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  <c r="AA265" s="112"/>
      <c r="AB265" s="112"/>
      <c r="AC265" s="112"/>
      <c r="AD265" s="112"/>
      <c r="AE265" s="112"/>
      <c r="AF265" s="112"/>
      <c r="AG265" s="112"/>
      <c r="AH265" s="112"/>
      <c r="AI265" s="112"/>
      <c r="AJ265" s="112"/>
      <c r="AK265" s="112"/>
      <c r="AL265" s="112"/>
      <c r="AM265" s="112"/>
      <c r="AN265" s="112"/>
      <c r="AO265" s="112"/>
      <c r="AP265" s="112"/>
      <c r="AQ265" s="112"/>
      <c r="AR265" s="112"/>
      <c r="AS265" s="112"/>
      <c r="AT265" s="112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2"/>
      <c r="BE265" s="112"/>
      <c r="BF265" s="112"/>
      <c r="BG265" s="112"/>
      <c r="BH265" s="112"/>
      <c r="BI265" s="112"/>
      <c r="BJ265" s="112"/>
      <c r="BK265" s="52">
        <f>+SUMIFS($E265:$M265,$E$7:$M$7,BK$7)/'Bookings to Revenue_Calcs'!$C$11</f>
        <v>3.7408</v>
      </c>
      <c r="BL265" s="52">
        <f>+SUMIFS($E265:$M265,$E$7:$M$7,BL$7)/'Bookings to Revenue_Calcs'!$C$11</f>
        <v>3.7408</v>
      </c>
      <c r="BM265" s="52">
        <f>+SUMIFS($E265:$M265,$E$7:$M$7,BM$7)/'Bookings to Revenue_Calcs'!$C$11</f>
        <v>3.7408</v>
      </c>
      <c r="BN265" s="52">
        <f>+SUMIFS($E265:$M265,$E$7:$M$7,BN$7)/'Bookings to Revenue_Calcs'!$C$11</f>
        <v>3.7408</v>
      </c>
      <c r="BO265" s="52">
        <f>+SUMIFS($E265:$M265,$E$7:$M$7,BO$7)/'Bookings to Revenue_Calcs'!$C$11</f>
        <v>3.7408</v>
      </c>
      <c r="BP265" s="52">
        <f>+SUMIFS($E265:$M265,$E$7:$M$7,BP$7)/'Bookings to Revenue_Calcs'!$C$11</f>
        <v>3.7408</v>
      </c>
      <c r="BQ265" s="52">
        <f>+SUMIFS($E265:$M265,$E$7:$M$7,BQ$7)/'Bookings to Revenue_Calcs'!$C$11</f>
        <v>3.7408</v>
      </c>
      <c r="BR265" s="52">
        <f>+SUMIFS($E265:$M265,$E$7:$M$7,BR$7)/'Bookings to Revenue_Calcs'!$C$11</f>
        <v>3.7408</v>
      </c>
      <c r="BS265" s="52">
        <f>+SUMIFS($E265:$M265,$E$7:$M$7,BS$7)/'Bookings to Revenue_Calcs'!$C$11</f>
        <v>3.7408</v>
      </c>
      <c r="BT265" s="52">
        <f>+SUMIFS($E265:$M265,$E$7:$M$7,BT$7)/'Bookings to Revenue_Calcs'!$C$11</f>
        <v>3.7408</v>
      </c>
      <c r="BU265" s="52">
        <f>+SUMIFS($E265:$M265,$E$7:$M$7,BU$7)/'Bookings to Revenue_Calcs'!$C$11</f>
        <v>3.7408</v>
      </c>
      <c r="BV265" s="52">
        <f>+SUMIFS($E265:$M265,$E$7:$M$7,BV$7)/'Bookings to Revenue_Calcs'!$C$11</f>
        <v>3.7408</v>
      </c>
      <c r="BW265" s="52">
        <f>+SUMIFS($E265:$M265,$E$7:$M$7,BW$7)/'Bookings to Revenue_Calcs'!$C$11</f>
        <v>105</v>
      </c>
      <c r="BX265" s="52">
        <f>+SUMIFS($E265:$M265,$E$7:$M$7,BX$7)/'Bookings to Revenue_Calcs'!$C$11</f>
        <v>105</v>
      </c>
      <c r="BY265" s="52">
        <f>+SUMIFS($E265:$M265,$E$7:$M$7,BY$7)/'Bookings to Revenue_Calcs'!$C$11</f>
        <v>105</v>
      </c>
      <c r="BZ265" s="52">
        <f>+SUMIFS($E265:$M265,$E$7:$M$7,BZ$7)/'Bookings to Revenue_Calcs'!$C$11</f>
        <v>105</v>
      </c>
      <c r="CA265" s="52">
        <f>+SUMIFS($E265:$M265,$E$7:$M$7,CA$7)/'Bookings to Revenue_Calcs'!$C$11</f>
        <v>105</v>
      </c>
      <c r="CB265" s="52">
        <f>+SUMIFS($E265:$M265,$E$7:$M$7,CB$7)/'Bookings to Revenue_Calcs'!$C$11</f>
        <v>105</v>
      </c>
      <c r="CC265" s="52">
        <f>+SUMIFS($E265:$M265,$E$7:$M$7,CC$7)/'Bookings to Revenue_Calcs'!$C$11</f>
        <v>105</v>
      </c>
      <c r="CD265" s="52">
        <f>+SUMIFS($E265:$M265,$E$7:$M$7,CD$7)/'Bookings to Revenue_Calcs'!$C$11</f>
        <v>105</v>
      </c>
      <c r="CE265" s="52">
        <f>+SUMIFS($E265:$M265,$E$7:$M$7,CE$7)/'Bookings to Revenue_Calcs'!$C$11</f>
        <v>105</v>
      </c>
      <c r="CF265" s="52">
        <f>+SUMIFS($E265:$M265,$E$7:$M$7,CF$7)/'Bookings to Revenue_Calcs'!$C$11</f>
        <v>105</v>
      </c>
      <c r="CG265" s="52">
        <f>+SUMIFS($E265:$M265,$E$7:$M$7,CG$7)/'Bookings to Revenue_Calcs'!$C$11</f>
        <v>105</v>
      </c>
      <c r="CH265" s="52">
        <f>+SUMIFS($E265:$M265,$E$7:$M$7,CH$7)/'Bookings to Revenue_Calcs'!$C$11</f>
        <v>105</v>
      </c>
      <c r="CI265" s="52">
        <f>+SUMIFS($E265:$M265,$E$7:$M$7,CI$7)/'Bookings to Revenue_Calcs'!$C$11</f>
        <v>110.25</v>
      </c>
      <c r="CJ265" s="52">
        <f>+SUMIFS($E265:$M265,$E$7:$M$7,CJ$7)/'Bookings to Revenue_Calcs'!$C$11</f>
        <v>110.25</v>
      </c>
      <c r="CK265" s="52">
        <f>+SUMIFS($E265:$M265,$E$7:$M$7,CK$7)/'Bookings to Revenue_Calcs'!$C$11</f>
        <v>110.25</v>
      </c>
      <c r="CL265" s="52">
        <f>+SUMIFS($E265:$M265,$E$7:$M$7,CL$7)/'Bookings to Revenue_Calcs'!$C$11</f>
        <v>110.25</v>
      </c>
      <c r="CM265" s="52">
        <f>+SUMIFS($E265:$M265,$E$7:$M$7,CM$7)/'Bookings to Revenue_Calcs'!$C$11</f>
        <v>110.25</v>
      </c>
      <c r="CN265" s="52">
        <f>+SUMIFS($E265:$M265,$E$7:$M$7,CN$7)/'Bookings to Revenue_Calcs'!$C$11</f>
        <v>110.25</v>
      </c>
      <c r="CO265" s="52">
        <f>+SUMIFS($E265:$M265,$E$7:$M$7,CO$7)/'Bookings to Revenue_Calcs'!$C$11</f>
        <v>110.25</v>
      </c>
      <c r="CP265" s="52">
        <f>+SUMIFS($E265:$M265,$E$7:$M$7,CP$7)/'Bookings to Revenue_Calcs'!$C$11</f>
        <v>110.25</v>
      </c>
      <c r="CQ265" s="52">
        <f>+SUMIFS($E265:$M265,$E$7:$M$7,CQ$7)/'Bookings to Revenue_Calcs'!$C$11</f>
        <v>110.25</v>
      </c>
      <c r="CR265" s="52">
        <f>+SUMIFS($E265:$M265,$E$7:$M$7,CR$7)/'Bookings to Revenue_Calcs'!$C$11</f>
        <v>110.25</v>
      </c>
      <c r="CS265" s="52">
        <f>+SUMIFS($E265:$M265,$E$7:$M$7,CS$7)/'Bookings to Revenue_Calcs'!$C$11</f>
        <v>110.25</v>
      </c>
      <c r="CT265" s="52">
        <f>+SUMIFS($E265:$M265,$E$7:$M$7,CT$7)/'Bookings to Revenue_Calcs'!$C$11</f>
        <v>110.25</v>
      </c>
      <c r="CU265" s="52">
        <f>+SUMIFS($E265:$M265,$E$7:$M$7,CU$7)/'Bookings to Revenue_Calcs'!$C$11</f>
        <v>115.7625</v>
      </c>
      <c r="CV265" s="52">
        <f>+SUMIFS($E265:$M265,$E$7:$M$7,CV$7)/'Bookings to Revenue_Calcs'!$C$11</f>
        <v>115.7625</v>
      </c>
      <c r="CW265" s="52">
        <f>+SUMIFS($E265:$M265,$E$7:$M$7,CW$7)/'Bookings to Revenue_Calcs'!$C$11</f>
        <v>115.7625</v>
      </c>
      <c r="CX265" s="52">
        <f>+SUMIFS($E265:$M265,$E$7:$M$7,CX$7)/'Bookings to Revenue_Calcs'!$C$11</f>
        <v>115.7625</v>
      </c>
      <c r="CY265" s="52">
        <f>+SUMIFS($E265:$M265,$E$7:$M$7,CY$7)/'Bookings to Revenue_Calcs'!$C$11</f>
        <v>115.7625</v>
      </c>
      <c r="CZ265" s="52">
        <f>+SUMIFS($E265:$M265,$E$7:$M$7,CZ$7)/'Bookings to Revenue_Calcs'!$C$11</f>
        <v>115.7625</v>
      </c>
      <c r="DA265" s="52">
        <f>+SUMIFS($E265:$M265,$E$7:$M$7,DA$7)/'Bookings to Revenue_Calcs'!$C$11</f>
        <v>115.7625</v>
      </c>
      <c r="DB265" s="52">
        <f>+SUMIFS($E265:$M265,$E$7:$M$7,DB$7)/'Bookings to Revenue_Calcs'!$C$11</f>
        <v>115.7625</v>
      </c>
      <c r="DC265" s="52">
        <f>+SUMIFS($E265:$M265,$E$7:$M$7,DC$7)/'Bookings to Revenue_Calcs'!$C$11</f>
        <v>115.7625</v>
      </c>
      <c r="DD265" s="52">
        <f>+SUMIFS($E265:$M265,$E$7:$M$7,DD$7)/'Bookings to Revenue_Calcs'!$C$11</f>
        <v>115.7625</v>
      </c>
      <c r="DE265" s="52">
        <f>+SUMIFS($E265:$M265,$E$7:$M$7,DE$7)/'Bookings to Revenue_Calcs'!$C$11</f>
        <v>115.7625</v>
      </c>
      <c r="DF265" s="52">
        <f>+SUMIFS($E265:$M265,$E$7:$M$7,DF$7)/'Bookings to Revenue_Calcs'!$C$11</f>
        <v>115.7625</v>
      </c>
      <c r="DG265" s="52">
        <f>+SUMIFS($E265:$M265,$E$7:$M$7,DG$7)/'Bookings to Revenue_Calcs'!$C$11</f>
        <v>121.550625</v>
      </c>
      <c r="DH265" s="52">
        <f>+SUMIFS($E265:$M265,$E$7:$M$7,DH$7)/'Bookings to Revenue_Calcs'!$C$11</f>
        <v>121.550625</v>
      </c>
      <c r="DI265" s="52">
        <f>+SUMIFS($E265:$M265,$E$7:$M$7,DI$7)/'Bookings to Revenue_Calcs'!$C$11</f>
        <v>121.550625</v>
      </c>
      <c r="DJ265" s="52">
        <f>+SUMIFS($E265:$M265,$E$7:$M$7,DJ$7)/'Bookings to Revenue_Calcs'!$C$11</f>
        <v>121.550625</v>
      </c>
      <c r="DK265" s="52">
        <f>+SUMIFS($E265:$M265,$E$7:$M$7,DK$7)/'Bookings to Revenue_Calcs'!$C$11</f>
        <v>121.550625</v>
      </c>
      <c r="DL265" s="52">
        <f>+SUMIFS($E265:$M265,$E$7:$M$7,DL$7)/'Bookings to Revenue_Calcs'!$C$11</f>
        <v>121.550625</v>
      </c>
      <c r="DM265" s="52">
        <f>+SUMIFS($E265:$M265,$E$7:$M$7,DM$7)/'Bookings to Revenue_Calcs'!$C$11</f>
        <v>121.550625</v>
      </c>
      <c r="DN265" s="52">
        <f>+SUMIFS($E265:$M265,$E$7:$M$7,DN$7)/'Bookings to Revenue_Calcs'!$C$11</f>
        <v>121.550625</v>
      </c>
      <c r="DO265" s="52">
        <f>+SUMIFS($E265:$M265,$E$7:$M$7,DO$7)/'Bookings to Revenue_Calcs'!$C$11</f>
        <v>121.550625</v>
      </c>
      <c r="DP265" s="52">
        <f>+SUMIFS($E265:$M265,$E$7:$M$7,DP$7)/'Bookings to Revenue_Calcs'!$C$11</f>
        <v>121.550625</v>
      </c>
      <c r="DQ265" s="52">
        <f>+SUMIFS($E265:$M265,$E$7:$M$7,DQ$7)/'Bookings to Revenue_Calcs'!$C$11</f>
        <v>121.550625</v>
      </c>
      <c r="DR265" s="52">
        <f>+SUMIFS($E265:$M265,$E$7:$M$7,DR$7)/'Bookings to Revenue_Calcs'!$C$11</f>
        <v>121.550625</v>
      </c>
    </row>
    <row r="266" ht="15.75" customHeight="1">
      <c r="B266" s="54" t="s">
        <v>141</v>
      </c>
      <c r="C266" s="54"/>
      <c r="E266" s="55">
        <f t="shared" ref="E266:I266" si="321">+SUMIFS(E$214:E$259,$C$214:$C$259,$B263)</f>
        <v>16.853</v>
      </c>
      <c r="F266" s="55">
        <f t="shared" si="321"/>
        <v>194.439</v>
      </c>
      <c r="G266" s="55">
        <f t="shared" si="321"/>
        <v>518.909</v>
      </c>
      <c r="H266" s="55">
        <f t="shared" si="321"/>
        <v>151.934</v>
      </c>
      <c r="I266" s="55">
        <f t="shared" si="321"/>
        <v>37.408</v>
      </c>
      <c r="J266" s="113">
        <f t="shared" ref="J266:M266" si="322">+SUMIFS($O266:$DR266,$O$7:$DR$7,J$7)</f>
        <v>673.75</v>
      </c>
      <c r="K266" s="113">
        <f t="shared" si="322"/>
        <v>1212.75</v>
      </c>
      <c r="L266" s="113">
        <f t="shared" si="322"/>
        <v>1273.3875</v>
      </c>
      <c r="M266" s="113">
        <f t="shared" si="322"/>
        <v>1337.056875</v>
      </c>
      <c r="N266" s="50"/>
      <c r="O266" s="55">
        <f t="shared" ref="O266:DR266" si="323">+SUMIFS(O$214:O$259,$C$214:$C$259,$B263)+(O264*O265)</f>
        <v>13.701</v>
      </c>
      <c r="P266" s="55">
        <f t="shared" si="323"/>
        <v>40.949</v>
      </c>
      <c r="Q266" s="55">
        <f t="shared" si="323"/>
        <v>0</v>
      </c>
      <c r="R266" s="55">
        <f t="shared" si="323"/>
        <v>0</v>
      </c>
      <c r="S266" s="55">
        <f t="shared" si="323"/>
        <v>0</v>
      </c>
      <c r="T266" s="55">
        <f t="shared" si="323"/>
        <v>0</v>
      </c>
      <c r="U266" s="55">
        <f t="shared" si="323"/>
        <v>0</v>
      </c>
      <c r="V266" s="55">
        <f t="shared" si="323"/>
        <v>0</v>
      </c>
      <c r="W266" s="55">
        <f t="shared" si="323"/>
        <v>0</v>
      </c>
      <c r="X266" s="55">
        <f t="shared" si="323"/>
        <v>0</v>
      </c>
      <c r="Y266" s="55">
        <f t="shared" si="323"/>
        <v>0</v>
      </c>
      <c r="Z266" s="55">
        <f t="shared" si="323"/>
        <v>-37.797</v>
      </c>
      <c r="AA266" s="55">
        <f t="shared" si="323"/>
        <v>12.5</v>
      </c>
      <c r="AB266" s="55">
        <f t="shared" si="323"/>
        <v>12.5</v>
      </c>
      <c r="AC266" s="55">
        <f t="shared" si="323"/>
        <v>12.5</v>
      </c>
      <c r="AD266" s="55">
        <f t="shared" si="323"/>
        <v>12.5</v>
      </c>
      <c r="AE266" s="55">
        <f t="shared" si="323"/>
        <v>12.5</v>
      </c>
      <c r="AF266" s="55">
        <f t="shared" si="323"/>
        <v>12.971</v>
      </c>
      <c r="AG266" s="55">
        <f t="shared" si="323"/>
        <v>12.5</v>
      </c>
      <c r="AH266" s="55">
        <f t="shared" si="323"/>
        <v>21.468</v>
      </c>
      <c r="AI266" s="55">
        <f t="shared" si="323"/>
        <v>12.5</v>
      </c>
      <c r="AJ266" s="55">
        <f t="shared" si="323"/>
        <v>47.5</v>
      </c>
      <c r="AK266" s="55">
        <f t="shared" si="323"/>
        <v>12.5</v>
      </c>
      <c r="AL266" s="55">
        <f t="shared" si="323"/>
        <v>12.5</v>
      </c>
      <c r="AM266" s="55">
        <f t="shared" si="323"/>
        <v>25</v>
      </c>
      <c r="AN266" s="55">
        <f t="shared" si="323"/>
        <v>25</v>
      </c>
      <c r="AO266" s="55">
        <f t="shared" si="323"/>
        <v>25</v>
      </c>
      <c r="AP266" s="55">
        <f t="shared" si="323"/>
        <v>25</v>
      </c>
      <c r="AQ266" s="55">
        <f t="shared" si="323"/>
        <v>25</v>
      </c>
      <c r="AR266" s="55">
        <f t="shared" si="323"/>
        <v>25</v>
      </c>
      <c r="AS266" s="55">
        <f t="shared" si="323"/>
        <v>56.667</v>
      </c>
      <c r="AT266" s="55">
        <f t="shared" si="323"/>
        <v>79.167</v>
      </c>
      <c r="AU266" s="55">
        <f t="shared" si="323"/>
        <v>56.667</v>
      </c>
      <c r="AV266" s="55">
        <f t="shared" si="323"/>
        <v>79.167</v>
      </c>
      <c r="AW266" s="55">
        <f t="shared" si="323"/>
        <v>86.667</v>
      </c>
      <c r="AX266" s="55">
        <f t="shared" si="323"/>
        <v>10.574</v>
      </c>
      <c r="AY266" s="55">
        <f t="shared" si="323"/>
        <v>1.71</v>
      </c>
      <c r="AZ266" s="55">
        <f t="shared" si="323"/>
        <v>20.511</v>
      </c>
      <c r="BA266" s="55">
        <f t="shared" si="323"/>
        <v>20.512</v>
      </c>
      <c r="BB266" s="55">
        <f t="shared" si="323"/>
        <v>20.511</v>
      </c>
      <c r="BC266" s="55">
        <f t="shared" si="323"/>
        <v>23.929</v>
      </c>
      <c r="BD266" s="55">
        <f t="shared" si="323"/>
        <v>17.283</v>
      </c>
      <c r="BE266" s="55">
        <f t="shared" si="323"/>
        <v>20.125</v>
      </c>
      <c r="BF266" s="55">
        <f t="shared" si="323"/>
        <v>8.362</v>
      </c>
      <c r="BG266" s="55">
        <f t="shared" si="323"/>
        <v>9.496</v>
      </c>
      <c r="BH266" s="55">
        <f t="shared" si="323"/>
        <v>9.495</v>
      </c>
      <c r="BI266" s="55">
        <f t="shared" si="323"/>
        <v>0</v>
      </c>
      <c r="BJ266" s="55">
        <f t="shared" si="323"/>
        <v>0</v>
      </c>
      <c r="BK266" s="55">
        <f t="shared" si="323"/>
        <v>0</v>
      </c>
      <c r="BL266" s="55">
        <f t="shared" si="323"/>
        <v>0</v>
      </c>
      <c r="BM266" s="55">
        <f t="shared" si="323"/>
        <v>0</v>
      </c>
      <c r="BN266" s="55">
        <f t="shared" si="323"/>
        <v>0</v>
      </c>
      <c r="BO266" s="55">
        <f t="shared" si="323"/>
        <v>12.46933333</v>
      </c>
      <c r="BP266" s="55">
        <f t="shared" si="323"/>
        <v>12.46933333</v>
      </c>
      <c r="BQ266" s="55">
        <f t="shared" si="323"/>
        <v>12.46933333</v>
      </c>
      <c r="BR266" s="55">
        <f t="shared" si="323"/>
        <v>0</v>
      </c>
      <c r="BS266" s="55">
        <f t="shared" si="323"/>
        <v>0</v>
      </c>
      <c r="BT266" s="55">
        <f t="shared" si="323"/>
        <v>0</v>
      </c>
      <c r="BU266" s="55">
        <f t="shared" si="323"/>
        <v>0</v>
      </c>
      <c r="BV266" s="55">
        <f t="shared" si="323"/>
        <v>0</v>
      </c>
      <c r="BW266" s="55">
        <f t="shared" si="323"/>
        <v>8.75</v>
      </c>
      <c r="BX266" s="55">
        <f t="shared" si="323"/>
        <v>17.5</v>
      </c>
      <c r="BY266" s="55">
        <f t="shared" si="323"/>
        <v>26.25</v>
      </c>
      <c r="BZ266" s="55">
        <f t="shared" si="323"/>
        <v>35</v>
      </c>
      <c r="CA266" s="55">
        <f t="shared" si="323"/>
        <v>43.75</v>
      </c>
      <c r="CB266" s="55">
        <f t="shared" si="323"/>
        <v>52.5</v>
      </c>
      <c r="CC266" s="55">
        <f t="shared" si="323"/>
        <v>61.25</v>
      </c>
      <c r="CD266" s="55">
        <f t="shared" si="323"/>
        <v>70</v>
      </c>
      <c r="CE266" s="55">
        <f t="shared" si="323"/>
        <v>78.75</v>
      </c>
      <c r="CF266" s="55">
        <f t="shared" si="323"/>
        <v>87.5</v>
      </c>
      <c r="CG266" s="55">
        <f t="shared" si="323"/>
        <v>96.25</v>
      </c>
      <c r="CH266" s="55">
        <f t="shared" si="323"/>
        <v>96.25</v>
      </c>
      <c r="CI266" s="55">
        <f t="shared" si="323"/>
        <v>101.0625</v>
      </c>
      <c r="CJ266" s="55">
        <f t="shared" si="323"/>
        <v>101.0625</v>
      </c>
      <c r="CK266" s="55">
        <f t="shared" si="323"/>
        <v>101.0625</v>
      </c>
      <c r="CL266" s="55">
        <f t="shared" si="323"/>
        <v>101.0625</v>
      </c>
      <c r="CM266" s="55">
        <f t="shared" si="323"/>
        <v>101.0625</v>
      </c>
      <c r="CN266" s="55">
        <f t="shared" si="323"/>
        <v>101.0625</v>
      </c>
      <c r="CO266" s="55">
        <f t="shared" si="323"/>
        <v>101.0625</v>
      </c>
      <c r="CP266" s="55">
        <f t="shared" si="323"/>
        <v>101.0625</v>
      </c>
      <c r="CQ266" s="55">
        <f t="shared" si="323"/>
        <v>101.0625</v>
      </c>
      <c r="CR266" s="55">
        <f t="shared" si="323"/>
        <v>101.0625</v>
      </c>
      <c r="CS266" s="55">
        <f t="shared" si="323"/>
        <v>101.0625</v>
      </c>
      <c r="CT266" s="55">
        <f t="shared" si="323"/>
        <v>101.0625</v>
      </c>
      <c r="CU266" s="55">
        <f t="shared" si="323"/>
        <v>106.115625</v>
      </c>
      <c r="CV266" s="55">
        <f t="shared" si="323"/>
        <v>106.115625</v>
      </c>
      <c r="CW266" s="55">
        <f t="shared" si="323"/>
        <v>106.115625</v>
      </c>
      <c r="CX266" s="55">
        <f t="shared" si="323"/>
        <v>106.115625</v>
      </c>
      <c r="CY266" s="55">
        <f t="shared" si="323"/>
        <v>106.115625</v>
      </c>
      <c r="CZ266" s="55">
        <f t="shared" si="323"/>
        <v>106.115625</v>
      </c>
      <c r="DA266" s="55">
        <f t="shared" si="323"/>
        <v>106.115625</v>
      </c>
      <c r="DB266" s="55">
        <f t="shared" si="323"/>
        <v>106.115625</v>
      </c>
      <c r="DC266" s="55">
        <f t="shared" si="323"/>
        <v>106.115625</v>
      </c>
      <c r="DD266" s="55">
        <f t="shared" si="323"/>
        <v>106.115625</v>
      </c>
      <c r="DE266" s="55">
        <f t="shared" si="323"/>
        <v>106.115625</v>
      </c>
      <c r="DF266" s="55">
        <f t="shared" si="323"/>
        <v>106.115625</v>
      </c>
      <c r="DG266" s="55">
        <f t="shared" si="323"/>
        <v>111.4214063</v>
      </c>
      <c r="DH266" s="55">
        <f t="shared" si="323"/>
        <v>111.4214063</v>
      </c>
      <c r="DI266" s="55">
        <f t="shared" si="323"/>
        <v>111.4214063</v>
      </c>
      <c r="DJ266" s="55">
        <f t="shared" si="323"/>
        <v>111.4214063</v>
      </c>
      <c r="DK266" s="55">
        <f t="shared" si="323"/>
        <v>111.4214063</v>
      </c>
      <c r="DL266" s="55">
        <f t="shared" si="323"/>
        <v>111.4214063</v>
      </c>
      <c r="DM266" s="55">
        <f t="shared" si="323"/>
        <v>111.4214063</v>
      </c>
      <c r="DN266" s="55">
        <f t="shared" si="323"/>
        <v>111.4214063</v>
      </c>
      <c r="DO266" s="55">
        <f t="shared" si="323"/>
        <v>111.4214063</v>
      </c>
      <c r="DP266" s="55">
        <f t="shared" si="323"/>
        <v>111.4214063</v>
      </c>
      <c r="DQ266" s="55">
        <f t="shared" si="323"/>
        <v>111.4214063</v>
      </c>
      <c r="DR266" s="55">
        <f t="shared" si="323"/>
        <v>111.4214063</v>
      </c>
    </row>
    <row r="267" ht="4.5" customHeight="1"/>
    <row r="268" ht="15.75" customHeight="1">
      <c r="B268" s="99" t="s">
        <v>76</v>
      </c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  <c r="AL268" s="100"/>
      <c r="AM268" s="100"/>
      <c r="AN268" s="100"/>
      <c r="AO268" s="100"/>
      <c r="AP268" s="100"/>
      <c r="AQ268" s="100"/>
      <c r="AR268" s="100"/>
      <c r="AS268" s="100"/>
      <c r="AT268" s="100"/>
      <c r="AU268" s="100"/>
      <c r="AV268" s="100"/>
      <c r="AW268" s="100"/>
      <c r="AX268" s="100"/>
      <c r="AY268" s="100"/>
      <c r="AZ268" s="100"/>
      <c r="BA268" s="100"/>
      <c r="BB268" s="100"/>
      <c r="BC268" s="100"/>
      <c r="BD268" s="100"/>
      <c r="BE268" s="100"/>
      <c r="BF268" s="100"/>
      <c r="BG268" s="100"/>
      <c r="BH268" s="100"/>
      <c r="BI268" s="100"/>
      <c r="BJ268" s="100"/>
      <c r="BK268" s="100"/>
      <c r="BL268" s="100"/>
      <c r="BM268" s="100"/>
      <c r="BN268" s="100"/>
      <c r="BO268" s="100"/>
      <c r="BP268" s="100"/>
      <c r="BQ268" s="100"/>
      <c r="BR268" s="100"/>
      <c r="BS268" s="100"/>
      <c r="BT268" s="100"/>
      <c r="BU268" s="100"/>
      <c r="BV268" s="100"/>
      <c r="BW268" s="100"/>
      <c r="BX268" s="100"/>
      <c r="BY268" s="100"/>
      <c r="BZ268" s="100"/>
      <c r="CA268" s="100"/>
      <c r="CB268" s="100"/>
      <c r="CC268" s="100"/>
      <c r="CD268" s="100"/>
      <c r="CE268" s="100"/>
      <c r="CF268" s="100"/>
      <c r="CG268" s="100"/>
      <c r="CH268" s="100"/>
      <c r="CI268" s="100"/>
      <c r="CJ268" s="100"/>
      <c r="CK268" s="100"/>
      <c r="CL268" s="100"/>
      <c r="CM268" s="100"/>
      <c r="CN268" s="100"/>
      <c r="CO268" s="100"/>
      <c r="CP268" s="100"/>
      <c r="CQ268" s="100"/>
      <c r="CR268" s="100"/>
      <c r="CS268" s="100"/>
      <c r="CT268" s="100"/>
      <c r="CU268" s="100"/>
      <c r="CV268" s="100"/>
      <c r="CW268" s="100"/>
      <c r="CX268" s="100"/>
      <c r="CY268" s="100"/>
      <c r="CZ268" s="100"/>
      <c r="DA268" s="100"/>
      <c r="DB268" s="100"/>
      <c r="DC268" s="100"/>
      <c r="DD268" s="100"/>
      <c r="DE268" s="100"/>
      <c r="DF268" s="100"/>
      <c r="DG268" s="100"/>
      <c r="DH268" s="100"/>
      <c r="DI268" s="100"/>
      <c r="DJ268" s="100"/>
      <c r="DK268" s="100"/>
      <c r="DL268" s="100"/>
      <c r="DM268" s="100"/>
      <c r="DN268" s="100"/>
      <c r="DO268" s="100"/>
      <c r="DP268" s="100"/>
      <c r="DQ268" s="100"/>
      <c r="DR268" s="100"/>
    </row>
    <row r="269" ht="15.75" customHeight="1">
      <c r="B269" s="5" t="s">
        <v>139</v>
      </c>
      <c r="E269" s="110">
        <f t="shared" ref="E269:M269" si="324">+E271/E270</f>
        <v>2</v>
      </c>
      <c r="F269" s="110">
        <f t="shared" si="324"/>
        <v>2</v>
      </c>
      <c r="G269" s="110">
        <f t="shared" si="324"/>
        <v>1</v>
      </c>
      <c r="H269" s="110">
        <f t="shared" si="324"/>
        <v>1</v>
      </c>
      <c r="I269" s="110">
        <f t="shared" si="324"/>
        <v>1</v>
      </c>
      <c r="J269" s="110">
        <f t="shared" si="324"/>
        <v>1.09375</v>
      </c>
      <c r="K269" s="110">
        <f t="shared" si="324"/>
        <v>1.125</v>
      </c>
      <c r="L269" s="110">
        <f t="shared" si="324"/>
        <v>1.125</v>
      </c>
      <c r="M269" s="110">
        <f t="shared" si="324"/>
        <v>1.125</v>
      </c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  <c r="AM269" s="111"/>
      <c r="AN269" s="111"/>
      <c r="AO269" s="111"/>
      <c r="AP269" s="111"/>
      <c r="AQ269" s="111"/>
      <c r="AR269" s="111"/>
      <c r="AS269" s="111"/>
      <c r="AT269" s="111"/>
      <c r="AU269" s="111"/>
      <c r="AV269" s="111"/>
      <c r="AW269" s="111"/>
      <c r="AX269" s="111"/>
      <c r="AY269" s="111"/>
      <c r="AZ269" s="111"/>
      <c r="BA269" s="111"/>
      <c r="BB269" s="111"/>
      <c r="BC269" s="111"/>
      <c r="BD269" s="111"/>
      <c r="BE269" s="111"/>
      <c r="BF269" s="111"/>
      <c r="BG269" s="111"/>
      <c r="BH269" s="111"/>
      <c r="BI269" s="111"/>
      <c r="BJ269" s="111"/>
      <c r="BK269" s="102" t="str">
        <f>+'Bookings to Revenue_Calcs'!BK30</f>
        <v/>
      </c>
      <c r="BL269" s="102" t="str">
        <f>+'Bookings to Revenue_Calcs'!BL30</f>
        <v/>
      </c>
      <c r="BM269" s="102" t="str">
        <f>+'Bookings to Revenue_Calcs'!BM30</f>
        <v/>
      </c>
      <c r="BN269" s="102" t="str">
        <f>+'Bookings to Revenue_Calcs'!BN30</f>
        <v/>
      </c>
      <c r="BO269" s="102" t="str">
        <f>+'Bookings to Revenue_Calcs'!BO30</f>
        <v/>
      </c>
      <c r="BP269" s="102" t="str">
        <f>+'Bookings to Revenue_Calcs'!BP30</f>
        <v/>
      </c>
      <c r="BQ269" s="102">
        <f>+'Bookings to Revenue_Calcs'!BQ30</f>
        <v>0.08333333333</v>
      </c>
      <c r="BR269" s="102">
        <f>+'Bookings to Revenue_Calcs'!BR30</f>
        <v>0.1666666667</v>
      </c>
      <c r="BS269" s="102">
        <f>+'Bookings to Revenue_Calcs'!BS30</f>
        <v>0.25</v>
      </c>
      <c r="BT269" s="102">
        <f>+'Bookings to Revenue_Calcs'!BT30</f>
        <v>0.3333333333</v>
      </c>
      <c r="BU269" s="102">
        <f>+'Bookings to Revenue_Calcs'!BU30</f>
        <v>0.4166666667</v>
      </c>
      <c r="BV269" s="102">
        <f>+'Bookings to Revenue_Calcs'!BV30</f>
        <v>0.5</v>
      </c>
      <c r="BW269" s="102">
        <f>+'Bookings to Revenue_Calcs'!BW30</f>
        <v>0.5833333333</v>
      </c>
      <c r="BX269" s="102">
        <f>+'Bookings to Revenue_Calcs'!BX30</f>
        <v>0.6666666667</v>
      </c>
      <c r="BY269" s="102">
        <f>+'Bookings to Revenue_Calcs'!BY30</f>
        <v>0.75</v>
      </c>
      <c r="BZ269" s="102">
        <f>+'Bookings to Revenue_Calcs'!BZ30</f>
        <v>0.75</v>
      </c>
      <c r="CA269" s="102">
        <f>+'Bookings to Revenue_Calcs'!CA30</f>
        <v>0.75</v>
      </c>
      <c r="CB269" s="102">
        <f>+'Bookings to Revenue_Calcs'!CB30</f>
        <v>0.75</v>
      </c>
      <c r="CC269" s="102">
        <f>+'Bookings to Revenue_Calcs'!CC30</f>
        <v>0.75</v>
      </c>
      <c r="CD269" s="102">
        <f>+'Bookings to Revenue_Calcs'!CD30</f>
        <v>0.75</v>
      </c>
      <c r="CE269" s="102">
        <f>+'Bookings to Revenue_Calcs'!CE30</f>
        <v>0.75</v>
      </c>
      <c r="CF269" s="102">
        <f>+'Bookings to Revenue_Calcs'!CF30</f>
        <v>0.75</v>
      </c>
      <c r="CG269" s="102">
        <f>+'Bookings to Revenue_Calcs'!CG30</f>
        <v>0.75</v>
      </c>
      <c r="CH269" s="102">
        <f>+'Bookings to Revenue_Calcs'!CH30</f>
        <v>0.75</v>
      </c>
      <c r="CI269" s="102">
        <f>+'Bookings to Revenue_Calcs'!CI30</f>
        <v>0.75</v>
      </c>
      <c r="CJ269" s="102">
        <f>+'Bookings to Revenue_Calcs'!CJ30</f>
        <v>0.75</v>
      </c>
      <c r="CK269" s="102">
        <f>+'Bookings to Revenue_Calcs'!CK30</f>
        <v>0.75</v>
      </c>
      <c r="CL269" s="102">
        <f>+'Bookings to Revenue_Calcs'!CL30</f>
        <v>0.75</v>
      </c>
      <c r="CM269" s="102">
        <f>+'Bookings to Revenue_Calcs'!CM30</f>
        <v>0.75</v>
      </c>
      <c r="CN269" s="102">
        <f>+'Bookings to Revenue_Calcs'!CN30</f>
        <v>0.75</v>
      </c>
      <c r="CO269" s="102">
        <f>+'Bookings to Revenue_Calcs'!CO30</f>
        <v>0.75</v>
      </c>
      <c r="CP269" s="102">
        <f>+'Bookings to Revenue_Calcs'!CP30</f>
        <v>0.75</v>
      </c>
      <c r="CQ269" s="102">
        <f>+'Bookings to Revenue_Calcs'!CQ30</f>
        <v>0.75</v>
      </c>
      <c r="CR269" s="102">
        <f>+'Bookings to Revenue_Calcs'!CR30</f>
        <v>0.75</v>
      </c>
      <c r="CS269" s="102">
        <f>+'Bookings to Revenue_Calcs'!CS30</f>
        <v>0.75</v>
      </c>
      <c r="CT269" s="102">
        <f>+'Bookings to Revenue_Calcs'!CT30</f>
        <v>0.75</v>
      </c>
      <c r="CU269" s="102">
        <f>+'Bookings to Revenue_Calcs'!CU30</f>
        <v>0.75</v>
      </c>
      <c r="CV269" s="102">
        <f>+'Bookings to Revenue_Calcs'!CV30</f>
        <v>0.75</v>
      </c>
      <c r="CW269" s="102">
        <f>+'Bookings to Revenue_Calcs'!CW30</f>
        <v>0.75</v>
      </c>
      <c r="CX269" s="102">
        <f>+'Bookings to Revenue_Calcs'!CX30</f>
        <v>0.75</v>
      </c>
      <c r="CY269" s="102">
        <f>+'Bookings to Revenue_Calcs'!CY30</f>
        <v>0.75</v>
      </c>
      <c r="CZ269" s="102">
        <f>+'Bookings to Revenue_Calcs'!CZ30</f>
        <v>0.75</v>
      </c>
      <c r="DA269" s="102">
        <f>+'Bookings to Revenue_Calcs'!DA30</f>
        <v>0.75</v>
      </c>
      <c r="DB269" s="102">
        <f>+'Bookings to Revenue_Calcs'!DB30</f>
        <v>0.75</v>
      </c>
      <c r="DC269" s="102">
        <f>+'Bookings to Revenue_Calcs'!DC30</f>
        <v>0.75</v>
      </c>
      <c r="DD269" s="102">
        <f>+'Bookings to Revenue_Calcs'!DD30</f>
        <v>0.75</v>
      </c>
      <c r="DE269" s="102">
        <f>+'Bookings to Revenue_Calcs'!DE30</f>
        <v>0.75</v>
      </c>
      <c r="DF269" s="102">
        <f>+'Bookings to Revenue_Calcs'!DF30</f>
        <v>0.75</v>
      </c>
      <c r="DG269" s="102">
        <f>+'Bookings to Revenue_Calcs'!DG30</f>
        <v>0.75</v>
      </c>
      <c r="DH269" s="102">
        <f>+'Bookings to Revenue_Calcs'!DH30</f>
        <v>0.75</v>
      </c>
      <c r="DI269" s="102">
        <f>+'Bookings to Revenue_Calcs'!DI30</f>
        <v>0.75</v>
      </c>
      <c r="DJ269" s="102">
        <f>+'Bookings to Revenue_Calcs'!DJ30</f>
        <v>0.75</v>
      </c>
      <c r="DK269" s="102">
        <f>+'Bookings to Revenue_Calcs'!DK30</f>
        <v>0.75</v>
      </c>
      <c r="DL269" s="102">
        <f>+'Bookings to Revenue_Calcs'!DL30</f>
        <v>0.75</v>
      </c>
      <c r="DM269" s="102">
        <f>+'Bookings to Revenue_Calcs'!DM30</f>
        <v>0.75</v>
      </c>
      <c r="DN269" s="102">
        <f>+'Bookings to Revenue_Calcs'!DN30</f>
        <v>0.75</v>
      </c>
      <c r="DO269" s="102">
        <f>+'Bookings to Revenue_Calcs'!DO30</f>
        <v>0.75</v>
      </c>
      <c r="DP269" s="102">
        <f>+'Bookings to Revenue_Calcs'!DP30</f>
        <v>0.75</v>
      </c>
      <c r="DQ269" s="102">
        <f>+'Bookings to Revenue_Calcs'!DQ30</f>
        <v>0.75</v>
      </c>
      <c r="DR269" s="102">
        <f>+'Bookings to Revenue_Calcs'!DR30</f>
        <v>0.75</v>
      </c>
    </row>
    <row r="270" ht="15.75" customHeight="1">
      <c r="B270" s="5" t="s">
        <v>140</v>
      </c>
      <c r="E270" s="50">
        <f t="shared" ref="E270:I270" si="325">+AVERAGEIFS(E$214:E$259,$C$214:$C$259,$B268,E$214:E$259,"&lt;&gt;0")</f>
        <v>88.8475</v>
      </c>
      <c r="F270" s="50">
        <f t="shared" si="325"/>
        <v>110.1775</v>
      </c>
      <c r="G270" s="50">
        <f t="shared" si="325"/>
        <v>0.001</v>
      </c>
      <c r="H270" s="50">
        <f t="shared" si="325"/>
        <v>288</v>
      </c>
      <c r="I270" s="50">
        <f t="shared" si="325"/>
        <v>87.82936364</v>
      </c>
      <c r="J270" s="52">
        <f>+Revenue_Assumptions!J52</f>
        <v>367.5</v>
      </c>
      <c r="K270" s="52">
        <f>+Revenue_Assumptions!K52</f>
        <v>385.875</v>
      </c>
      <c r="L270" s="52">
        <f>+Revenue_Assumptions!L52</f>
        <v>405.16875</v>
      </c>
      <c r="M270" s="52">
        <f>+Revenue_Assumptions!M52</f>
        <v>425.4271875</v>
      </c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  <c r="AA270" s="112"/>
      <c r="AB270" s="112"/>
      <c r="AC270" s="112"/>
      <c r="AD270" s="112"/>
      <c r="AE270" s="112"/>
      <c r="AF270" s="112"/>
      <c r="AG270" s="112"/>
      <c r="AH270" s="112"/>
      <c r="AI270" s="112"/>
      <c r="AJ270" s="112"/>
      <c r="AK270" s="112"/>
      <c r="AL270" s="112"/>
      <c r="AM270" s="112"/>
      <c r="AN270" s="112"/>
      <c r="AO270" s="112"/>
      <c r="AP270" s="112"/>
      <c r="AQ270" s="112"/>
      <c r="AR270" s="112"/>
      <c r="AS270" s="112"/>
      <c r="AT270" s="112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2"/>
      <c r="BE270" s="112"/>
      <c r="BF270" s="112"/>
      <c r="BG270" s="112"/>
      <c r="BH270" s="112"/>
      <c r="BI270" s="112"/>
      <c r="BJ270" s="112"/>
      <c r="BK270" s="52">
        <f>+SUMIFS($E270:$M270,$E$7:$M$7,BK$7)/'Bookings to Revenue_Calcs'!$C$12</f>
        <v>10.97867045</v>
      </c>
      <c r="BL270" s="52">
        <f>+SUMIFS($E270:$M270,$E$7:$M$7,BL$7)/'Bookings to Revenue_Calcs'!$C$12</f>
        <v>10.97867045</v>
      </c>
      <c r="BM270" s="52">
        <f>+SUMIFS($E270:$M270,$E$7:$M$7,BM$7)/'Bookings to Revenue_Calcs'!$C$12</f>
        <v>10.97867045</v>
      </c>
      <c r="BN270" s="52">
        <f>+SUMIFS($E270:$M270,$E$7:$M$7,BN$7)/'Bookings to Revenue_Calcs'!$C$12</f>
        <v>10.97867045</v>
      </c>
      <c r="BO270" s="52">
        <f>+SUMIFS($E270:$M270,$E$7:$M$7,BO$7)/'Bookings to Revenue_Calcs'!$C$12</f>
        <v>10.97867045</v>
      </c>
      <c r="BP270" s="52">
        <f>+SUMIFS($E270:$M270,$E$7:$M$7,BP$7)/'Bookings to Revenue_Calcs'!$C$12</f>
        <v>10.97867045</v>
      </c>
      <c r="BQ270" s="52">
        <f>+SUMIFS($E270:$M270,$E$7:$M$7,BQ$7)/'Bookings to Revenue_Calcs'!$C$12</f>
        <v>10.97867045</v>
      </c>
      <c r="BR270" s="52">
        <f>+SUMIFS($E270:$M270,$E$7:$M$7,BR$7)/'Bookings to Revenue_Calcs'!$C$12</f>
        <v>10.97867045</v>
      </c>
      <c r="BS270" s="52">
        <f>+SUMIFS($E270:$M270,$E$7:$M$7,BS$7)/'Bookings to Revenue_Calcs'!$C$12</f>
        <v>10.97867045</v>
      </c>
      <c r="BT270" s="52">
        <f>+SUMIFS($E270:$M270,$E$7:$M$7,BT$7)/'Bookings to Revenue_Calcs'!$C$12</f>
        <v>10.97867045</v>
      </c>
      <c r="BU270" s="52">
        <f>+SUMIFS($E270:$M270,$E$7:$M$7,BU$7)/'Bookings to Revenue_Calcs'!$C$12</f>
        <v>10.97867045</v>
      </c>
      <c r="BV270" s="52">
        <f>+SUMIFS($E270:$M270,$E$7:$M$7,BV$7)/'Bookings to Revenue_Calcs'!$C$12</f>
        <v>10.97867045</v>
      </c>
      <c r="BW270" s="52">
        <f>+SUMIFS($E270:$M270,$E$7:$M$7,BW$7)/'Bookings to Revenue_Calcs'!$C$12</f>
        <v>45.9375</v>
      </c>
      <c r="BX270" s="52">
        <f>+SUMIFS($E270:$M270,$E$7:$M$7,BX$7)/'Bookings to Revenue_Calcs'!$C$12</f>
        <v>45.9375</v>
      </c>
      <c r="BY270" s="52">
        <f>+SUMIFS($E270:$M270,$E$7:$M$7,BY$7)/'Bookings to Revenue_Calcs'!$C$12</f>
        <v>45.9375</v>
      </c>
      <c r="BZ270" s="52">
        <f>+SUMIFS($E270:$M270,$E$7:$M$7,BZ$7)/'Bookings to Revenue_Calcs'!$C$12</f>
        <v>45.9375</v>
      </c>
      <c r="CA270" s="52">
        <f>+SUMIFS($E270:$M270,$E$7:$M$7,CA$7)/'Bookings to Revenue_Calcs'!$C$12</f>
        <v>45.9375</v>
      </c>
      <c r="CB270" s="52">
        <f>+SUMIFS($E270:$M270,$E$7:$M$7,CB$7)/'Bookings to Revenue_Calcs'!$C$12</f>
        <v>45.9375</v>
      </c>
      <c r="CC270" s="52">
        <f>+SUMIFS($E270:$M270,$E$7:$M$7,CC$7)/'Bookings to Revenue_Calcs'!$C$12</f>
        <v>45.9375</v>
      </c>
      <c r="CD270" s="52">
        <f>+SUMIFS($E270:$M270,$E$7:$M$7,CD$7)/'Bookings to Revenue_Calcs'!$C$12</f>
        <v>45.9375</v>
      </c>
      <c r="CE270" s="52">
        <f>+SUMIFS($E270:$M270,$E$7:$M$7,CE$7)/'Bookings to Revenue_Calcs'!$C$12</f>
        <v>45.9375</v>
      </c>
      <c r="CF270" s="52">
        <f>+SUMIFS($E270:$M270,$E$7:$M$7,CF$7)/'Bookings to Revenue_Calcs'!$C$12</f>
        <v>45.9375</v>
      </c>
      <c r="CG270" s="52">
        <f>+SUMIFS($E270:$M270,$E$7:$M$7,CG$7)/'Bookings to Revenue_Calcs'!$C$12</f>
        <v>45.9375</v>
      </c>
      <c r="CH270" s="52">
        <f>+SUMIFS($E270:$M270,$E$7:$M$7,CH$7)/'Bookings to Revenue_Calcs'!$C$12</f>
        <v>45.9375</v>
      </c>
      <c r="CI270" s="52">
        <f>+SUMIFS($E270:$M270,$E$7:$M$7,CI$7)/'Bookings to Revenue_Calcs'!$C$12</f>
        <v>48.234375</v>
      </c>
      <c r="CJ270" s="52">
        <f>+SUMIFS($E270:$M270,$E$7:$M$7,CJ$7)/'Bookings to Revenue_Calcs'!$C$12</f>
        <v>48.234375</v>
      </c>
      <c r="CK270" s="52">
        <f>+SUMIFS($E270:$M270,$E$7:$M$7,CK$7)/'Bookings to Revenue_Calcs'!$C$12</f>
        <v>48.234375</v>
      </c>
      <c r="CL270" s="52">
        <f>+SUMIFS($E270:$M270,$E$7:$M$7,CL$7)/'Bookings to Revenue_Calcs'!$C$12</f>
        <v>48.234375</v>
      </c>
      <c r="CM270" s="52">
        <f>+SUMIFS($E270:$M270,$E$7:$M$7,CM$7)/'Bookings to Revenue_Calcs'!$C$12</f>
        <v>48.234375</v>
      </c>
      <c r="CN270" s="52">
        <f>+SUMIFS($E270:$M270,$E$7:$M$7,CN$7)/'Bookings to Revenue_Calcs'!$C$12</f>
        <v>48.234375</v>
      </c>
      <c r="CO270" s="52">
        <f>+SUMIFS($E270:$M270,$E$7:$M$7,CO$7)/'Bookings to Revenue_Calcs'!$C$12</f>
        <v>48.234375</v>
      </c>
      <c r="CP270" s="52">
        <f>+SUMIFS($E270:$M270,$E$7:$M$7,CP$7)/'Bookings to Revenue_Calcs'!$C$12</f>
        <v>48.234375</v>
      </c>
      <c r="CQ270" s="52">
        <f>+SUMIFS($E270:$M270,$E$7:$M$7,CQ$7)/'Bookings to Revenue_Calcs'!$C$12</f>
        <v>48.234375</v>
      </c>
      <c r="CR270" s="52">
        <f>+SUMIFS($E270:$M270,$E$7:$M$7,CR$7)/'Bookings to Revenue_Calcs'!$C$12</f>
        <v>48.234375</v>
      </c>
      <c r="CS270" s="52">
        <f>+SUMIFS($E270:$M270,$E$7:$M$7,CS$7)/'Bookings to Revenue_Calcs'!$C$12</f>
        <v>48.234375</v>
      </c>
      <c r="CT270" s="52">
        <f>+SUMIFS($E270:$M270,$E$7:$M$7,CT$7)/'Bookings to Revenue_Calcs'!$C$12</f>
        <v>48.234375</v>
      </c>
      <c r="CU270" s="52">
        <f>+SUMIFS($E270:$M270,$E$7:$M$7,CU$7)/'Bookings to Revenue_Calcs'!$C$12</f>
        <v>50.64609375</v>
      </c>
      <c r="CV270" s="52">
        <f>+SUMIFS($E270:$M270,$E$7:$M$7,CV$7)/'Bookings to Revenue_Calcs'!$C$12</f>
        <v>50.64609375</v>
      </c>
      <c r="CW270" s="52">
        <f>+SUMIFS($E270:$M270,$E$7:$M$7,CW$7)/'Bookings to Revenue_Calcs'!$C$12</f>
        <v>50.64609375</v>
      </c>
      <c r="CX270" s="52">
        <f>+SUMIFS($E270:$M270,$E$7:$M$7,CX$7)/'Bookings to Revenue_Calcs'!$C$12</f>
        <v>50.64609375</v>
      </c>
      <c r="CY270" s="52">
        <f>+SUMIFS($E270:$M270,$E$7:$M$7,CY$7)/'Bookings to Revenue_Calcs'!$C$12</f>
        <v>50.64609375</v>
      </c>
      <c r="CZ270" s="52">
        <f>+SUMIFS($E270:$M270,$E$7:$M$7,CZ$7)/'Bookings to Revenue_Calcs'!$C$12</f>
        <v>50.64609375</v>
      </c>
      <c r="DA270" s="52">
        <f>+SUMIFS($E270:$M270,$E$7:$M$7,DA$7)/'Bookings to Revenue_Calcs'!$C$12</f>
        <v>50.64609375</v>
      </c>
      <c r="DB270" s="52">
        <f>+SUMIFS($E270:$M270,$E$7:$M$7,DB$7)/'Bookings to Revenue_Calcs'!$C$12</f>
        <v>50.64609375</v>
      </c>
      <c r="DC270" s="52">
        <f>+SUMIFS($E270:$M270,$E$7:$M$7,DC$7)/'Bookings to Revenue_Calcs'!$C$12</f>
        <v>50.64609375</v>
      </c>
      <c r="DD270" s="52">
        <f>+SUMIFS($E270:$M270,$E$7:$M$7,DD$7)/'Bookings to Revenue_Calcs'!$C$12</f>
        <v>50.64609375</v>
      </c>
      <c r="DE270" s="52">
        <f>+SUMIFS($E270:$M270,$E$7:$M$7,DE$7)/'Bookings to Revenue_Calcs'!$C$12</f>
        <v>50.64609375</v>
      </c>
      <c r="DF270" s="52">
        <f>+SUMIFS($E270:$M270,$E$7:$M$7,DF$7)/'Bookings to Revenue_Calcs'!$C$12</f>
        <v>50.64609375</v>
      </c>
      <c r="DG270" s="52">
        <f>+SUMIFS($E270:$M270,$E$7:$M$7,DG$7)/'Bookings to Revenue_Calcs'!$C$12</f>
        <v>53.17839844</v>
      </c>
      <c r="DH270" s="52">
        <f>+SUMIFS($E270:$M270,$E$7:$M$7,DH$7)/'Bookings to Revenue_Calcs'!$C$12</f>
        <v>53.17839844</v>
      </c>
      <c r="DI270" s="52">
        <f>+SUMIFS($E270:$M270,$E$7:$M$7,DI$7)/'Bookings to Revenue_Calcs'!$C$12</f>
        <v>53.17839844</v>
      </c>
      <c r="DJ270" s="52">
        <f>+SUMIFS($E270:$M270,$E$7:$M$7,DJ$7)/'Bookings to Revenue_Calcs'!$C$12</f>
        <v>53.17839844</v>
      </c>
      <c r="DK270" s="52">
        <f>+SUMIFS($E270:$M270,$E$7:$M$7,DK$7)/'Bookings to Revenue_Calcs'!$C$12</f>
        <v>53.17839844</v>
      </c>
      <c r="DL270" s="52">
        <f>+SUMIFS($E270:$M270,$E$7:$M$7,DL$7)/'Bookings to Revenue_Calcs'!$C$12</f>
        <v>53.17839844</v>
      </c>
      <c r="DM270" s="52">
        <f>+SUMIFS($E270:$M270,$E$7:$M$7,DM$7)/'Bookings to Revenue_Calcs'!$C$12</f>
        <v>53.17839844</v>
      </c>
      <c r="DN270" s="52">
        <f>+SUMIFS($E270:$M270,$E$7:$M$7,DN$7)/'Bookings to Revenue_Calcs'!$C$12</f>
        <v>53.17839844</v>
      </c>
      <c r="DO270" s="52">
        <f>+SUMIFS($E270:$M270,$E$7:$M$7,DO$7)/'Bookings to Revenue_Calcs'!$C$12</f>
        <v>53.17839844</v>
      </c>
      <c r="DP270" s="52">
        <f>+SUMIFS($E270:$M270,$E$7:$M$7,DP$7)/'Bookings to Revenue_Calcs'!$C$12</f>
        <v>53.17839844</v>
      </c>
      <c r="DQ270" s="52">
        <f>+SUMIFS($E270:$M270,$E$7:$M$7,DQ$7)/'Bookings to Revenue_Calcs'!$C$12</f>
        <v>53.17839844</v>
      </c>
      <c r="DR270" s="52">
        <f>+SUMIFS($E270:$M270,$E$7:$M$7,DR$7)/'Bookings to Revenue_Calcs'!$C$12</f>
        <v>53.17839844</v>
      </c>
    </row>
    <row r="271" ht="15.75" customHeight="1">
      <c r="B271" s="54" t="s">
        <v>141</v>
      </c>
      <c r="C271" s="54"/>
      <c r="E271" s="55">
        <f t="shared" ref="E271:I271" si="326">+SUMIFS(E$214:E$259,$C$214:$C$259,$B268)</f>
        <v>177.695</v>
      </c>
      <c r="F271" s="55">
        <f t="shared" si="326"/>
        <v>220.355</v>
      </c>
      <c r="G271" s="55">
        <f t="shared" si="326"/>
        <v>0.001</v>
      </c>
      <c r="H271" s="55">
        <f t="shared" si="326"/>
        <v>288</v>
      </c>
      <c r="I271" s="55">
        <f t="shared" si="326"/>
        <v>87.82936364</v>
      </c>
      <c r="J271" s="113">
        <f t="shared" ref="J271:M271" si="327">+SUMIFS($O271:$DR271,$O$7:$DR$7,J$7)</f>
        <v>401.953125</v>
      </c>
      <c r="K271" s="113">
        <f t="shared" si="327"/>
        <v>434.109375</v>
      </c>
      <c r="L271" s="113">
        <f t="shared" si="327"/>
        <v>455.8148438</v>
      </c>
      <c r="M271" s="113">
        <f t="shared" si="327"/>
        <v>478.6055859</v>
      </c>
      <c r="N271" s="50"/>
      <c r="O271" s="55">
        <f t="shared" ref="O271:DR271" si="328">+SUMIFS(O$214:O$259,$C$214:$C$259,$B268)+(O269*O270)</f>
        <v>15.76</v>
      </c>
      <c r="P271" s="55">
        <f t="shared" si="328"/>
        <v>6.379</v>
      </c>
      <c r="Q271" s="55">
        <f t="shared" si="328"/>
        <v>29.519</v>
      </c>
      <c r="R271" s="55">
        <f t="shared" si="328"/>
        <v>7.379</v>
      </c>
      <c r="S271" s="55">
        <f t="shared" si="328"/>
        <v>0</v>
      </c>
      <c r="T271" s="55">
        <f t="shared" si="328"/>
        <v>0</v>
      </c>
      <c r="U271" s="55">
        <f t="shared" si="328"/>
        <v>16.951</v>
      </c>
      <c r="V271" s="55">
        <f t="shared" si="328"/>
        <v>16.951</v>
      </c>
      <c r="W271" s="55">
        <f t="shared" si="328"/>
        <v>33.902</v>
      </c>
      <c r="X271" s="55">
        <f t="shared" si="328"/>
        <v>16.951</v>
      </c>
      <c r="Y271" s="55">
        <f t="shared" si="328"/>
        <v>33.903</v>
      </c>
      <c r="Z271" s="55">
        <f t="shared" si="328"/>
        <v>0</v>
      </c>
      <c r="AA271" s="55">
        <f t="shared" si="328"/>
        <v>50.853</v>
      </c>
      <c r="AB271" s="55">
        <f t="shared" si="328"/>
        <v>28.252</v>
      </c>
      <c r="AC271" s="55">
        <f t="shared" si="328"/>
        <v>0</v>
      </c>
      <c r="AD271" s="55">
        <f t="shared" si="328"/>
        <v>28.23</v>
      </c>
      <c r="AE271" s="55">
        <f t="shared" si="328"/>
        <v>28.274</v>
      </c>
      <c r="AF271" s="55">
        <f t="shared" si="328"/>
        <v>0</v>
      </c>
      <c r="AG271" s="55">
        <f t="shared" si="328"/>
        <v>16.952</v>
      </c>
      <c r="AH271" s="55">
        <f t="shared" si="328"/>
        <v>16.94</v>
      </c>
      <c r="AI271" s="55">
        <f t="shared" si="328"/>
        <v>16.951</v>
      </c>
      <c r="AJ271" s="55">
        <f t="shared" si="328"/>
        <v>16.952</v>
      </c>
      <c r="AK271" s="55">
        <f t="shared" si="328"/>
        <v>16.951</v>
      </c>
      <c r="AL271" s="55">
        <f t="shared" si="328"/>
        <v>0</v>
      </c>
      <c r="AM271" s="55">
        <f t="shared" si="328"/>
        <v>0</v>
      </c>
      <c r="AN271" s="55">
        <f t="shared" si="328"/>
        <v>0.001</v>
      </c>
      <c r="AO271" s="55">
        <f t="shared" si="328"/>
        <v>-0.001</v>
      </c>
      <c r="AP271" s="55">
        <f t="shared" si="328"/>
        <v>-0.001</v>
      </c>
      <c r="AQ271" s="55">
        <f t="shared" si="328"/>
        <v>0.001</v>
      </c>
      <c r="AR271" s="55">
        <f t="shared" si="328"/>
        <v>0</v>
      </c>
      <c r="AS271" s="55">
        <f t="shared" si="328"/>
        <v>0</v>
      </c>
      <c r="AT271" s="55">
        <f t="shared" si="328"/>
        <v>0.001</v>
      </c>
      <c r="AU271" s="55">
        <f t="shared" si="328"/>
        <v>0</v>
      </c>
      <c r="AV271" s="55">
        <f t="shared" si="328"/>
        <v>-0.001</v>
      </c>
      <c r="AW271" s="55">
        <f t="shared" si="328"/>
        <v>0.001</v>
      </c>
      <c r="AX271" s="55">
        <f t="shared" si="328"/>
        <v>0</v>
      </c>
      <c r="AY271" s="55">
        <f t="shared" si="328"/>
        <v>0</v>
      </c>
      <c r="AZ271" s="55">
        <f t="shared" si="328"/>
        <v>14.4</v>
      </c>
      <c r="BA271" s="55">
        <f t="shared" si="328"/>
        <v>43.2</v>
      </c>
      <c r="BB271" s="55">
        <f t="shared" si="328"/>
        <v>28.8</v>
      </c>
      <c r="BC271" s="55">
        <f t="shared" si="328"/>
        <v>0</v>
      </c>
      <c r="BD271" s="55">
        <f t="shared" si="328"/>
        <v>57.6</v>
      </c>
      <c r="BE271" s="55">
        <f t="shared" si="328"/>
        <v>43.2</v>
      </c>
      <c r="BF271" s="55">
        <f t="shared" si="328"/>
        <v>0</v>
      </c>
      <c r="BG271" s="55">
        <f t="shared" si="328"/>
        <v>28.8</v>
      </c>
      <c r="BH271" s="55">
        <f t="shared" si="328"/>
        <v>28.8</v>
      </c>
      <c r="BI271" s="55">
        <f t="shared" si="328"/>
        <v>43.2</v>
      </c>
      <c r="BJ271" s="55">
        <f t="shared" si="328"/>
        <v>0</v>
      </c>
      <c r="BK271" s="55">
        <f t="shared" si="328"/>
        <v>0</v>
      </c>
      <c r="BL271" s="55">
        <f t="shared" si="328"/>
        <v>0</v>
      </c>
      <c r="BM271" s="55">
        <f t="shared" si="328"/>
        <v>0</v>
      </c>
      <c r="BN271" s="55">
        <f t="shared" si="328"/>
        <v>9.758818182</v>
      </c>
      <c r="BO271" s="55">
        <f t="shared" si="328"/>
        <v>9.758818182</v>
      </c>
      <c r="BP271" s="55">
        <f t="shared" si="328"/>
        <v>9.758818182</v>
      </c>
      <c r="BQ271" s="55">
        <f t="shared" si="328"/>
        <v>10.67370739</v>
      </c>
      <c r="BR271" s="55">
        <f t="shared" si="328"/>
        <v>11.58859659</v>
      </c>
      <c r="BS271" s="55">
        <f t="shared" si="328"/>
        <v>12.5034858</v>
      </c>
      <c r="BT271" s="55">
        <f t="shared" si="328"/>
        <v>13.418375</v>
      </c>
      <c r="BU271" s="55">
        <f t="shared" si="328"/>
        <v>14.3332642</v>
      </c>
      <c r="BV271" s="55">
        <f t="shared" si="328"/>
        <v>15.24815341</v>
      </c>
      <c r="BW271" s="55">
        <f t="shared" si="328"/>
        <v>26.796875</v>
      </c>
      <c r="BX271" s="55">
        <f t="shared" si="328"/>
        <v>30.625</v>
      </c>
      <c r="BY271" s="55">
        <f t="shared" si="328"/>
        <v>34.453125</v>
      </c>
      <c r="BZ271" s="55">
        <f t="shared" si="328"/>
        <v>34.453125</v>
      </c>
      <c r="CA271" s="55">
        <f t="shared" si="328"/>
        <v>34.453125</v>
      </c>
      <c r="CB271" s="55">
        <f t="shared" si="328"/>
        <v>34.453125</v>
      </c>
      <c r="CC271" s="55">
        <f t="shared" si="328"/>
        <v>34.453125</v>
      </c>
      <c r="CD271" s="55">
        <f t="shared" si="328"/>
        <v>34.453125</v>
      </c>
      <c r="CE271" s="55">
        <f t="shared" si="328"/>
        <v>34.453125</v>
      </c>
      <c r="CF271" s="55">
        <f t="shared" si="328"/>
        <v>34.453125</v>
      </c>
      <c r="CG271" s="55">
        <f t="shared" si="328"/>
        <v>34.453125</v>
      </c>
      <c r="CH271" s="55">
        <f t="shared" si="328"/>
        <v>34.453125</v>
      </c>
      <c r="CI271" s="55">
        <f t="shared" si="328"/>
        <v>36.17578125</v>
      </c>
      <c r="CJ271" s="55">
        <f t="shared" si="328"/>
        <v>36.17578125</v>
      </c>
      <c r="CK271" s="55">
        <f t="shared" si="328"/>
        <v>36.17578125</v>
      </c>
      <c r="CL271" s="55">
        <f t="shared" si="328"/>
        <v>36.17578125</v>
      </c>
      <c r="CM271" s="55">
        <f t="shared" si="328"/>
        <v>36.17578125</v>
      </c>
      <c r="CN271" s="55">
        <f t="shared" si="328"/>
        <v>36.17578125</v>
      </c>
      <c r="CO271" s="55">
        <f t="shared" si="328"/>
        <v>36.17578125</v>
      </c>
      <c r="CP271" s="55">
        <f t="shared" si="328"/>
        <v>36.17578125</v>
      </c>
      <c r="CQ271" s="55">
        <f t="shared" si="328"/>
        <v>36.17578125</v>
      </c>
      <c r="CR271" s="55">
        <f t="shared" si="328"/>
        <v>36.17578125</v>
      </c>
      <c r="CS271" s="55">
        <f t="shared" si="328"/>
        <v>36.17578125</v>
      </c>
      <c r="CT271" s="55">
        <f t="shared" si="328"/>
        <v>36.17578125</v>
      </c>
      <c r="CU271" s="55">
        <f t="shared" si="328"/>
        <v>37.98457031</v>
      </c>
      <c r="CV271" s="55">
        <f t="shared" si="328"/>
        <v>37.98457031</v>
      </c>
      <c r="CW271" s="55">
        <f t="shared" si="328"/>
        <v>37.98457031</v>
      </c>
      <c r="CX271" s="55">
        <f t="shared" si="328"/>
        <v>37.98457031</v>
      </c>
      <c r="CY271" s="55">
        <f t="shared" si="328"/>
        <v>37.98457031</v>
      </c>
      <c r="CZ271" s="55">
        <f t="shared" si="328"/>
        <v>37.98457031</v>
      </c>
      <c r="DA271" s="55">
        <f t="shared" si="328"/>
        <v>37.98457031</v>
      </c>
      <c r="DB271" s="55">
        <f t="shared" si="328"/>
        <v>37.98457031</v>
      </c>
      <c r="DC271" s="55">
        <f t="shared" si="328"/>
        <v>37.98457031</v>
      </c>
      <c r="DD271" s="55">
        <f t="shared" si="328"/>
        <v>37.98457031</v>
      </c>
      <c r="DE271" s="55">
        <f t="shared" si="328"/>
        <v>37.98457031</v>
      </c>
      <c r="DF271" s="55">
        <f t="shared" si="328"/>
        <v>37.98457031</v>
      </c>
      <c r="DG271" s="55">
        <f t="shared" si="328"/>
        <v>39.88379883</v>
      </c>
      <c r="DH271" s="55">
        <f t="shared" si="328"/>
        <v>39.88379883</v>
      </c>
      <c r="DI271" s="55">
        <f t="shared" si="328"/>
        <v>39.88379883</v>
      </c>
      <c r="DJ271" s="55">
        <f t="shared" si="328"/>
        <v>39.88379883</v>
      </c>
      <c r="DK271" s="55">
        <f t="shared" si="328"/>
        <v>39.88379883</v>
      </c>
      <c r="DL271" s="55">
        <f t="shared" si="328"/>
        <v>39.88379883</v>
      </c>
      <c r="DM271" s="55">
        <f t="shared" si="328"/>
        <v>39.88379883</v>
      </c>
      <c r="DN271" s="55">
        <f t="shared" si="328"/>
        <v>39.88379883</v>
      </c>
      <c r="DO271" s="55">
        <f t="shared" si="328"/>
        <v>39.88379883</v>
      </c>
      <c r="DP271" s="55">
        <f t="shared" si="328"/>
        <v>39.88379883</v>
      </c>
      <c r="DQ271" s="55">
        <f t="shared" si="328"/>
        <v>39.88379883</v>
      </c>
      <c r="DR271" s="55">
        <f t="shared" si="328"/>
        <v>39.88379883</v>
      </c>
    </row>
    <row r="272" ht="4.5" customHeight="1"/>
    <row r="273" ht="15.75" customHeight="1">
      <c r="B273" s="99" t="s">
        <v>74</v>
      </c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00"/>
      <c r="AI273" s="100"/>
      <c r="AJ273" s="100"/>
      <c r="AK273" s="100"/>
      <c r="AL273" s="100"/>
      <c r="AM273" s="100"/>
      <c r="AN273" s="100"/>
      <c r="AO273" s="100"/>
      <c r="AP273" s="100"/>
      <c r="AQ273" s="100"/>
      <c r="AR273" s="100"/>
      <c r="AS273" s="100"/>
      <c r="AT273" s="100"/>
      <c r="AU273" s="100"/>
      <c r="AV273" s="100"/>
      <c r="AW273" s="100"/>
      <c r="AX273" s="100"/>
      <c r="AY273" s="100"/>
      <c r="AZ273" s="100"/>
      <c r="BA273" s="100"/>
      <c r="BB273" s="100"/>
      <c r="BC273" s="100"/>
      <c r="BD273" s="100"/>
      <c r="BE273" s="100"/>
      <c r="BF273" s="100"/>
      <c r="BG273" s="100"/>
      <c r="BH273" s="100"/>
      <c r="BI273" s="100"/>
      <c r="BJ273" s="100"/>
      <c r="BK273" s="100"/>
      <c r="BL273" s="100"/>
      <c r="BM273" s="100"/>
      <c r="BN273" s="100"/>
      <c r="BO273" s="100"/>
      <c r="BP273" s="100"/>
      <c r="BQ273" s="100"/>
      <c r="BR273" s="100"/>
      <c r="BS273" s="100"/>
      <c r="BT273" s="100"/>
      <c r="BU273" s="100"/>
      <c r="BV273" s="100"/>
      <c r="BW273" s="100"/>
      <c r="BX273" s="100"/>
      <c r="BY273" s="100"/>
      <c r="BZ273" s="100"/>
      <c r="CA273" s="100"/>
      <c r="CB273" s="100"/>
      <c r="CC273" s="100"/>
      <c r="CD273" s="100"/>
      <c r="CE273" s="100"/>
      <c r="CF273" s="100"/>
      <c r="CG273" s="100"/>
      <c r="CH273" s="100"/>
      <c r="CI273" s="100"/>
      <c r="CJ273" s="100"/>
      <c r="CK273" s="100"/>
      <c r="CL273" s="100"/>
      <c r="CM273" s="100"/>
      <c r="CN273" s="100"/>
      <c r="CO273" s="100"/>
      <c r="CP273" s="100"/>
      <c r="CQ273" s="100"/>
      <c r="CR273" s="100"/>
      <c r="CS273" s="100"/>
      <c r="CT273" s="100"/>
      <c r="CU273" s="100"/>
      <c r="CV273" s="100"/>
      <c r="CW273" s="100"/>
      <c r="CX273" s="100"/>
      <c r="CY273" s="100"/>
      <c r="CZ273" s="100"/>
      <c r="DA273" s="100"/>
      <c r="DB273" s="100"/>
      <c r="DC273" s="100"/>
      <c r="DD273" s="100"/>
      <c r="DE273" s="100"/>
      <c r="DF273" s="100"/>
      <c r="DG273" s="100"/>
      <c r="DH273" s="100"/>
      <c r="DI273" s="100"/>
      <c r="DJ273" s="100"/>
      <c r="DK273" s="100"/>
      <c r="DL273" s="100"/>
      <c r="DM273" s="100"/>
      <c r="DN273" s="100"/>
      <c r="DO273" s="100"/>
      <c r="DP273" s="100"/>
      <c r="DQ273" s="100"/>
      <c r="DR273" s="100"/>
    </row>
    <row r="274" ht="15.75" customHeight="1">
      <c r="B274" s="5" t="s">
        <v>139</v>
      </c>
      <c r="E274" s="110">
        <f t="shared" ref="E274:M274" si="329">+E276/E275</f>
        <v>3</v>
      </c>
      <c r="F274" s="110">
        <f t="shared" si="329"/>
        <v>4</v>
      </c>
      <c r="G274" s="110">
        <f t="shared" si="329"/>
        <v>5</v>
      </c>
      <c r="H274" s="110">
        <f t="shared" si="329"/>
        <v>5</v>
      </c>
      <c r="I274" s="110">
        <f t="shared" si="329"/>
        <v>1</v>
      </c>
      <c r="J274" s="110">
        <f t="shared" si="329"/>
        <v>3.208333333</v>
      </c>
      <c r="K274" s="110">
        <f t="shared" si="329"/>
        <v>4.375</v>
      </c>
      <c r="L274" s="110">
        <f t="shared" si="329"/>
        <v>6.416666667</v>
      </c>
      <c r="M274" s="110">
        <f t="shared" si="329"/>
        <v>8.75</v>
      </c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  <c r="AR274" s="111"/>
      <c r="AS274" s="111"/>
      <c r="AT274" s="111"/>
      <c r="AU274" s="111"/>
      <c r="AV274" s="111"/>
      <c r="AW274" s="111"/>
      <c r="AX274" s="111"/>
      <c r="AY274" s="111"/>
      <c r="AZ274" s="111"/>
      <c r="BA274" s="111"/>
      <c r="BB274" s="111"/>
      <c r="BC274" s="111"/>
      <c r="BD274" s="111"/>
      <c r="BE274" s="111"/>
      <c r="BF274" s="111"/>
      <c r="BG274" s="111"/>
      <c r="BH274" s="111"/>
      <c r="BI274" s="111"/>
      <c r="BJ274" s="111"/>
      <c r="BK274" s="102" t="str">
        <f>+'Bookings to Revenue_Calcs'!BK37</f>
        <v/>
      </c>
      <c r="BL274" s="102" t="str">
        <f>+'Bookings to Revenue_Calcs'!BL37</f>
        <v/>
      </c>
      <c r="BM274" s="102" t="str">
        <f>+'Bookings to Revenue_Calcs'!BM37</f>
        <v/>
      </c>
      <c r="BN274" s="102" t="str">
        <f>+'Bookings to Revenue_Calcs'!BN37</f>
        <v/>
      </c>
      <c r="BO274" s="102" t="str">
        <f>+'Bookings to Revenue_Calcs'!BO37</f>
        <v/>
      </c>
      <c r="BP274" s="102" t="str">
        <f>+'Bookings to Revenue_Calcs'!BP37</f>
        <v/>
      </c>
      <c r="BQ274" s="102">
        <f>+'Bookings to Revenue_Calcs'!BQ37</f>
        <v>0.1666666667</v>
      </c>
      <c r="BR274" s="102">
        <f>+'Bookings to Revenue_Calcs'!BR37</f>
        <v>0.3333333333</v>
      </c>
      <c r="BS274" s="102">
        <f>+'Bookings to Revenue_Calcs'!BS37</f>
        <v>0.5</v>
      </c>
      <c r="BT274" s="102">
        <f>+'Bookings to Revenue_Calcs'!BT37</f>
        <v>0.6666666667</v>
      </c>
      <c r="BU274" s="102">
        <f>+'Bookings to Revenue_Calcs'!BU37</f>
        <v>0.8333333333</v>
      </c>
      <c r="BV274" s="102">
        <f>+'Bookings to Revenue_Calcs'!BV37</f>
        <v>1</v>
      </c>
      <c r="BW274" s="102">
        <f>+'Bookings to Revenue_Calcs'!BW37</f>
        <v>1.25</v>
      </c>
      <c r="BX274" s="102">
        <f>+'Bookings to Revenue_Calcs'!BX37</f>
        <v>1.333333333</v>
      </c>
      <c r="BY274" s="102">
        <f>+'Bookings to Revenue_Calcs'!BY37</f>
        <v>1.416666667</v>
      </c>
      <c r="BZ274" s="102">
        <f>+'Bookings to Revenue_Calcs'!BZ37</f>
        <v>1.5</v>
      </c>
      <c r="CA274" s="102">
        <f>+'Bookings to Revenue_Calcs'!CA37</f>
        <v>1.583333333</v>
      </c>
      <c r="CB274" s="102">
        <f>+'Bookings to Revenue_Calcs'!CB37</f>
        <v>1.666666667</v>
      </c>
      <c r="CC274" s="102">
        <f>+'Bookings to Revenue_Calcs'!CC37</f>
        <v>1.75</v>
      </c>
      <c r="CD274" s="102">
        <f>+'Bookings to Revenue_Calcs'!CD37</f>
        <v>1.75</v>
      </c>
      <c r="CE274" s="102">
        <f>+'Bookings to Revenue_Calcs'!CE37</f>
        <v>1.75</v>
      </c>
      <c r="CF274" s="102">
        <f>+'Bookings to Revenue_Calcs'!CF37</f>
        <v>1.75</v>
      </c>
      <c r="CG274" s="102">
        <f>+'Bookings to Revenue_Calcs'!CG37</f>
        <v>1.75</v>
      </c>
      <c r="CH274" s="102">
        <f>+'Bookings to Revenue_Calcs'!CH37</f>
        <v>1.75</v>
      </c>
      <c r="CI274" s="102">
        <f>+'Bookings to Revenue_Calcs'!CI37</f>
        <v>1.833333333</v>
      </c>
      <c r="CJ274" s="102">
        <f>+'Bookings to Revenue_Calcs'!CJ37</f>
        <v>1.916666667</v>
      </c>
      <c r="CK274" s="102">
        <f>+'Bookings to Revenue_Calcs'!CK37</f>
        <v>2</v>
      </c>
      <c r="CL274" s="102">
        <f>+'Bookings to Revenue_Calcs'!CL37</f>
        <v>2.083333333</v>
      </c>
      <c r="CM274" s="102">
        <f>+'Bookings to Revenue_Calcs'!CM37</f>
        <v>2.166666667</v>
      </c>
      <c r="CN274" s="102">
        <f>+'Bookings to Revenue_Calcs'!CN37</f>
        <v>2.25</v>
      </c>
      <c r="CO274" s="102">
        <f>+'Bookings to Revenue_Calcs'!CO37</f>
        <v>2.333333333</v>
      </c>
      <c r="CP274" s="102">
        <f>+'Bookings to Revenue_Calcs'!CP37</f>
        <v>2.333333333</v>
      </c>
      <c r="CQ274" s="102">
        <f>+'Bookings to Revenue_Calcs'!CQ37</f>
        <v>2.333333333</v>
      </c>
      <c r="CR274" s="102">
        <f>+'Bookings to Revenue_Calcs'!CR37</f>
        <v>2.333333333</v>
      </c>
      <c r="CS274" s="102">
        <f>+'Bookings to Revenue_Calcs'!CS37</f>
        <v>2.333333333</v>
      </c>
      <c r="CT274" s="102">
        <f>+'Bookings to Revenue_Calcs'!CT37</f>
        <v>2.333333333</v>
      </c>
      <c r="CU274" s="102">
        <f>+'Bookings to Revenue_Calcs'!CU37</f>
        <v>2.5</v>
      </c>
      <c r="CV274" s="102">
        <f>+'Bookings to Revenue_Calcs'!CV37</f>
        <v>2.666666667</v>
      </c>
      <c r="CW274" s="102">
        <f>+'Bookings to Revenue_Calcs'!CW37</f>
        <v>2.833333333</v>
      </c>
      <c r="CX274" s="102">
        <f>+'Bookings to Revenue_Calcs'!CX37</f>
        <v>3</v>
      </c>
      <c r="CY274" s="102">
        <f>+'Bookings to Revenue_Calcs'!CY37</f>
        <v>3.166666667</v>
      </c>
      <c r="CZ274" s="102">
        <f>+'Bookings to Revenue_Calcs'!CZ37</f>
        <v>3.333333333</v>
      </c>
      <c r="DA274" s="102">
        <f>+'Bookings to Revenue_Calcs'!DA37</f>
        <v>3.5</v>
      </c>
      <c r="DB274" s="102">
        <f>+'Bookings to Revenue_Calcs'!DB37</f>
        <v>3.5</v>
      </c>
      <c r="DC274" s="102">
        <f>+'Bookings to Revenue_Calcs'!DC37</f>
        <v>3.5</v>
      </c>
      <c r="DD274" s="102">
        <f>+'Bookings to Revenue_Calcs'!DD37</f>
        <v>3.5</v>
      </c>
      <c r="DE274" s="102">
        <f>+'Bookings to Revenue_Calcs'!DE37</f>
        <v>3.5</v>
      </c>
      <c r="DF274" s="102">
        <f>+'Bookings to Revenue_Calcs'!DF37</f>
        <v>3.5</v>
      </c>
      <c r="DG274" s="102">
        <f>+'Bookings to Revenue_Calcs'!DG37</f>
        <v>3.666666667</v>
      </c>
      <c r="DH274" s="102">
        <f>+'Bookings to Revenue_Calcs'!DH37</f>
        <v>3.833333333</v>
      </c>
      <c r="DI274" s="102">
        <f>+'Bookings to Revenue_Calcs'!DI37</f>
        <v>4</v>
      </c>
      <c r="DJ274" s="102">
        <f>+'Bookings to Revenue_Calcs'!DJ37</f>
        <v>4.166666667</v>
      </c>
      <c r="DK274" s="102">
        <f>+'Bookings to Revenue_Calcs'!DK37</f>
        <v>4.333333333</v>
      </c>
      <c r="DL274" s="102">
        <f>+'Bookings to Revenue_Calcs'!DL37</f>
        <v>4.5</v>
      </c>
      <c r="DM274" s="102">
        <f>+'Bookings to Revenue_Calcs'!DM37</f>
        <v>4.666666667</v>
      </c>
      <c r="DN274" s="102">
        <f>+'Bookings to Revenue_Calcs'!DN37</f>
        <v>4.666666667</v>
      </c>
      <c r="DO274" s="102">
        <f>+'Bookings to Revenue_Calcs'!DO37</f>
        <v>4.666666667</v>
      </c>
      <c r="DP274" s="102">
        <f>+'Bookings to Revenue_Calcs'!DP37</f>
        <v>4.666666667</v>
      </c>
      <c r="DQ274" s="102">
        <f>+'Bookings to Revenue_Calcs'!DQ37</f>
        <v>4.666666667</v>
      </c>
      <c r="DR274" s="102">
        <f>+'Bookings to Revenue_Calcs'!DR37</f>
        <v>4.666666667</v>
      </c>
    </row>
    <row r="275" ht="15.75" customHeight="1">
      <c r="B275" s="5" t="s">
        <v>140</v>
      </c>
      <c r="E275" s="50">
        <f t="shared" ref="E275:I275" si="330">+AVERAGEIFS(E$214:E$259,$C$214:$C$259,$B273,E$214:E$259,"&lt;&gt;0")</f>
        <v>74.17733333</v>
      </c>
      <c r="F275" s="50">
        <f t="shared" si="330"/>
        <v>55.30775</v>
      </c>
      <c r="G275" s="50">
        <f t="shared" si="330"/>
        <v>95.3156</v>
      </c>
      <c r="H275" s="50">
        <f t="shared" si="330"/>
        <v>30.6162</v>
      </c>
      <c r="I275" s="50">
        <f t="shared" si="330"/>
        <v>354.9659238</v>
      </c>
      <c r="J275" s="52">
        <f>+Revenue_Assumptions!J53</f>
        <v>210</v>
      </c>
      <c r="K275" s="52">
        <f>+Revenue_Assumptions!K53</f>
        <v>220.5</v>
      </c>
      <c r="L275" s="52">
        <f>+Revenue_Assumptions!L53</f>
        <v>231.525</v>
      </c>
      <c r="M275" s="52">
        <f>+Revenue_Assumptions!M53</f>
        <v>243.10125</v>
      </c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  <c r="AA275" s="112"/>
      <c r="AB275" s="112"/>
      <c r="AC275" s="112"/>
      <c r="AD275" s="112"/>
      <c r="AE275" s="112"/>
      <c r="AF275" s="112"/>
      <c r="AG275" s="112"/>
      <c r="AH275" s="112"/>
      <c r="AI275" s="112"/>
      <c r="AJ275" s="112"/>
      <c r="AK275" s="112"/>
      <c r="AL275" s="112"/>
      <c r="AM275" s="112"/>
      <c r="AN275" s="112"/>
      <c r="AO275" s="112"/>
      <c r="AP275" s="112"/>
      <c r="AQ275" s="112"/>
      <c r="AR275" s="112"/>
      <c r="AS275" s="112"/>
      <c r="AT275" s="112"/>
      <c r="AU275" s="112"/>
      <c r="AV275" s="112"/>
      <c r="AW275" s="112"/>
      <c r="AX275" s="112"/>
      <c r="AY275" s="112"/>
      <c r="AZ275" s="112"/>
      <c r="BA275" s="112"/>
      <c r="BB275" s="112"/>
      <c r="BC275" s="112"/>
      <c r="BD275" s="112"/>
      <c r="BE275" s="112"/>
      <c r="BF275" s="112"/>
      <c r="BG275" s="112"/>
      <c r="BH275" s="112"/>
      <c r="BI275" s="112"/>
      <c r="BJ275" s="112"/>
      <c r="BK275" s="52">
        <f>+SUMIFS($E275:$M275,$E$7:$M$7,BK$7)/'Bookings to Revenue_Calcs'!$C$13</f>
        <v>59.1609873</v>
      </c>
      <c r="BL275" s="52">
        <f>+SUMIFS($E275:$M275,$E$7:$M$7,BL$7)/'Bookings to Revenue_Calcs'!$C$13</f>
        <v>59.1609873</v>
      </c>
      <c r="BM275" s="52">
        <f>+SUMIFS($E275:$M275,$E$7:$M$7,BM$7)/'Bookings to Revenue_Calcs'!$C$13</f>
        <v>59.1609873</v>
      </c>
      <c r="BN275" s="52">
        <f>+SUMIFS($E275:$M275,$E$7:$M$7,BN$7)/'Bookings to Revenue_Calcs'!$C$13</f>
        <v>59.1609873</v>
      </c>
      <c r="BO275" s="52">
        <f>+SUMIFS($E275:$M275,$E$7:$M$7,BO$7)/'Bookings to Revenue_Calcs'!$C$13</f>
        <v>59.1609873</v>
      </c>
      <c r="BP275" s="52">
        <f>+SUMIFS($E275:$M275,$E$7:$M$7,BP$7)/'Bookings to Revenue_Calcs'!$C$13</f>
        <v>59.1609873</v>
      </c>
      <c r="BQ275" s="52">
        <f>+SUMIFS($E275:$M275,$E$7:$M$7,BQ$7)/'Bookings to Revenue_Calcs'!$C$13</f>
        <v>59.1609873</v>
      </c>
      <c r="BR275" s="52">
        <f>+SUMIFS($E275:$M275,$E$7:$M$7,BR$7)/'Bookings to Revenue_Calcs'!$C$13</f>
        <v>59.1609873</v>
      </c>
      <c r="BS275" s="52">
        <f>+SUMIFS($E275:$M275,$E$7:$M$7,BS$7)/'Bookings to Revenue_Calcs'!$C$13</f>
        <v>59.1609873</v>
      </c>
      <c r="BT275" s="52">
        <f>+SUMIFS($E275:$M275,$E$7:$M$7,BT$7)/'Bookings to Revenue_Calcs'!$C$13</f>
        <v>59.1609873</v>
      </c>
      <c r="BU275" s="52">
        <f>+SUMIFS($E275:$M275,$E$7:$M$7,BU$7)/'Bookings to Revenue_Calcs'!$C$13</f>
        <v>59.1609873</v>
      </c>
      <c r="BV275" s="52">
        <f>+SUMIFS($E275:$M275,$E$7:$M$7,BV$7)/'Bookings to Revenue_Calcs'!$C$13</f>
        <v>59.1609873</v>
      </c>
      <c r="BW275" s="52">
        <f>+SUMIFS($E275:$M275,$E$7:$M$7,BW$7)/'Bookings to Revenue_Calcs'!$C$13</f>
        <v>35</v>
      </c>
      <c r="BX275" s="52">
        <f>+SUMIFS($E275:$M275,$E$7:$M$7,BX$7)/'Bookings to Revenue_Calcs'!$C$13</f>
        <v>35</v>
      </c>
      <c r="BY275" s="52">
        <f>+SUMIFS($E275:$M275,$E$7:$M$7,BY$7)/'Bookings to Revenue_Calcs'!$C$13</f>
        <v>35</v>
      </c>
      <c r="BZ275" s="52">
        <f>+SUMIFS($E275:$M275,$E$7:$M$7,BZ$7)/'Bookings to Revenue_Calcs'!$C$13</f>
        <v>35</v>
      </c>
      <c r="CA275" s="52">
        <f>+SUMIFS($E275:$M275,$E$7:$M$7,CA$7)/'Bookings to Revenue_Calcs'!$C$13</f>
        <v>35</v>
      </c>
      <c r="CB275" s="52">
        <f>+SUMIFS($E275:$M275,$E$7:$M$7,CB$7)/'Bookings to Revenue_Calcs'!$C$13</f>
        <v>35</v>
      </c>
      <c r="CC275" s="52">
        <f>+SUMIFS($E275:$M275,$E$7:$M$7,CC$7)/'Bookings to Revenue_Calcs'!$C$13</f>
        <v>35</v>
      </c>
      <c r="CD275" s="52">
        <f>+SUMIFS($E275:$M275,$E$7:$M$7,CD$7)/'Bookings to Revenue_Calcs'!$C$13</f>
        <v>35</v>
      </c>
      <c r="CE275" s="52">
        <f>+SUMIFS($E275:$M275,$E$7:$M$7,CE$7)/'Bookings to Revenue_Calcs'!$C$13</f>
        <v>35</v>
      </c>
      <c r="CF275" s="52">
        <f>+SUMIFS($E275:$M275,$E$7:$M$7,CF$7)/'Bookings to Revenue_Calcs'!$C$13</f>
        <v>35</v>
      </c>
      <c r="CG275" s="52">
        <f>+SUMIFS($E275:$M275,$E$7:$M$7,CG$7)/'Bookings to Revenue_Calcs'!$C$13</f>
        <v>35</v>
      </c>
      <c r="CH275" s="52">
        <f>+SUMIFS($E275:$M275,$E$7:$M$7,CH$7)/'Bookings to Revenue_Calcs'!$C$13</f>
        <v>35</v>
      </c>
      <c r="CI275" s="52">
        <f>+SUMIFS($E275:$M275,$E$7:$M$7,CI$7)/'Bookings to Revenue_Calcs'!$C$13</f>
        <v>36.75</v>
      </c>
      <c r="CJ275" s="52">
        <f>+SUMIFS($E275:$M275,$E$7:$M$7,CJ$7)/'Bookings to Revenue_Calcs'!$C$13</f>
        <v>36.75</v>
      </c>
      <c r="CK275" s="52">
        <f>+SUMIFS($E275:$M275,$E$7:$M$7,CK$7)/'Bookings to Revenue_Calcs'!$C$13</f>
        <v>36.75</v>
      </c>
      <c r="CL275" s="52">
        <f>+SUMIFS($E275:$M275,$E$7:$M$7,CL$7)/'Bookings to Revenue_Calcs'!$C$13</f>
        <v>36.75</v>
      </c>
      <c r="CM275" s="52">
        <f>+SUMIFS($E275:$M275,$E$7:$M$7,CM$7)/'Bookings to Revenue_Calcs'!$C$13</f>
        <v>36.75</v>
      </c>
      <c r="CN275" s="52">
        <f>+SUMIFS($E275:$M275,$E$7:$M$7,CN$7)/'Bookings to Revenue_Calcs'!$C$13</f>
        <v>36.75</v>
      </c>
      <c r="CO275" s="52">
        <f>+SUMIFS($E275:$M275,$E$7:$M$7,CO$7)/'Bookings to Revenue_Calcs'!$C$13</f>
        <v>36.75</v>
      </c>
      <c r="CP275" s="52">
        <f>+SUMIFS($E275:$M275,$E$7:$M$7,CP$7)/'Bookings to Revenue_Calcs'!$C$13</f>
        <v>36.75</v>
      </c>
      <c r="CQ275" s="52">
        <f>+SUMIFS($E275:$M275,$E$7:$M$7,CQ$7)/'Bookings to Revenue_Calcs'!$C$13</f>
        <v>36.75</v>
      </c>
      <c r="CR275" s="52">
        <f>+SUMIFS($E275:$M275,$E$7:$M$7,CR$7)/'Bookings to Revenue_Calcs'!$C$13</f>
        <v>36.75</v>
      </c>
      <c r="CS275" s="52">
        <f>+SUMIFS($E275:$M275,$E$7:$M$7,CS$7)/'Bookings to Revenue_Calcs'!$C$13</f>
        <v>36.75</v>
      </c>
      <c r="CT275" s="52">
        <f>+SUMIFS($E275:$M275,$E$7:$M$7,CT$7)/'Bookings to Revenue_Calcs'!$C$13</f>
        <v>36.75</v>
      </c>
      <c r="CU275" s="52">
        <f>+SUMIFS($E275:$M275,$E$7:$M$7,CU$7)/'Bookings to Revenue_Calcs'!$C$13</f>
        <v>38.5875</v>
      </c>
      <c r="CV275" s="52">
        <f>+SUMIFS($E275:$M275,$E$7:$M$7,CV$7)/'Bookings to Revenue_Calcs'!$C$13</f>
        <v>38.5875</v>
      </c>
      <c r="CW275" s="52">
        <f>+SUMIFS($E275:$M275,$E$7:$M$7,CW$7)/'Bookings to Revenue_Calcs'!$C$13</f>
        <v>38.5875</v>
      </c>
      <c r="CX275" s="52">
        <f>+SUMIFS($E275:$M275,$E$7:$M$7,CX$7)/'Bookings to Revenue_Calcs'!$C$13</f>
        <v>38.5875</v>
      </c>
      <c r="CY275" s="52">
        <f>+SUMIFS($E275:$M275,$E$7:$M$7,CY$7)/'Bookings to Revenue_Calcs'!$C$13</f>
        <v>38.5875</v>
      </c>
      <c r="CZ275" s="52">
        <f>+SUMIFS($E275:$M275,$E$7:$M$7,CZ$7)/'Bookings to Revenue_Calcs'!$C$13</f>
        <v>38.5875</v>
      </c>
      <c r="DA275" s="52">
        <f>+SUMIFS($E275:$M275,$E$7:$M$7,DA$7)/'Bookings to Revenue_Calcs'!$C$13</f>
        <v>38.5875</v>
      </c>
      <c r="DB275" s="52">
        <f>+SUMIFS($E275:$M275,$E$7:$M$7,DB$7)/'Bookings to Revenue_Calcs'!$C$13</f>
        <v>38.5875</v>
      </c>
      <c r="DC275" s="52">
        <f>+SUMIFS($E275:$M275,$E$7:$M$7,DC$7)/'Bookings to Revenue_Calcs'!$C$13</f>
        <v>38.5875</v>
      </c>
      <c r="DD275" s="52">
        <f>+SUMIFS($E275:$M275,$E$7:$M$7,DD$7)/'Bookings to Revenue_Calcs'!$C$13</f>
        <v>38.5875</v>
      </c>
      <c r="DE275" s="52">
        <f>+SUMIFS($E275:$M275,$E$7:$M$7,DE$7)/'Bookings to Revenue_Calcs'!$C$13</f>
        <v>38.5875</v>
      </c>
      <c r="DF275" s="52">
        <f>+SUMIFS($E275:$M275,$E$7:$M$7,DF$7)/'Bookings to Revenue_Calcs'!$C$13</f>
        <v>38.5875</v>
      </c>
      <c r="DG275" s="52">
        <f>+SUMIFS($E275:$M275,$E$7:$M$7,DG$7)/'Bookings to Revenue_Calcs'!$C$13</f>
        <v>40.516875</v>
      </c>
      <c r="DH275" s="52">
        <f>+SUMIFS($E275:$M275,$E$7:$M$7,DH$7)/'Bookings to Revenue_Calcs'!$C$13</f>
        <v>40.516875</v>
      </c>
      <c r="DI275" s="52">
        <f>+SUMIFS($E275:$M275,$E$7:$M$7,DI$7)/'Bookings to Revenue_Calcs'!$C$13</f>
        <v>40.516875</v>
      </c>
      <c r="DJ275" s="52">
        <f>+SUMIFS($E275:$M275,$E$7:$M$7,DJ$7)/'Bookings to Revenue_Calcs'!$C$13</f>
        <v>40.516875</v>
      </c>
      <c r="DK275" s="52">
        <f>+SUMIFS($E275:$M275,$E$7:$M$7,DK$7)/'Bookings to Revenue_Calcs'!$C$13</f>
        <v>40.516875</v>
      </c>
      <c r="DL275" s="52">
        <f>+SUMIFS($E275:$M275,$E$7:$M$7,DL$7)/'Bookings to Revenue_Calcs'!$C$13</f>
        <v>40.516875</v>
      </c>
      <c r="DM275" s="52">
        <f>+SUMIFS($E275:$M275,$E$7:$M$7,DM$7)/'Bookings to Revenue_Calcs'!$C$13</f>
        <v>40.516875</v>
      </c>
      <c r="DN275" s="52">
        <f>+SUMIFS($E275:$M275,$E$7:$M$7,DN$7)/'Bookings to Revenue_Calcs'!$C$13</f>
        <v>40.516875</v>
      </c>
      <c r="DO275" s="52">
        <f>+SUMIFS($E275:$M275,$E$7:$M$7,DO$7)/'Bookings to Revenue_Calcs'!$C$13</f>
        <v>40.516875</v>
      </c>
      <c r="DP275" s="52">
        <f>+SUMIFS($E275:$M275,$E$7:$M$7,DP$7)/'Bookings to Revenue_Calcs'!$C$13</f>
        <v>40.516875</v>
      </c>
      <c r="DQ275" s="52">
        <f>+SUMIFS($E275:$M275,$E$7:$M$7,DQ$7)/'Bookings to Revenue_Calcs'!$C$13</f>
        <v>40.516875</v>
      </c>
      <c r="DR275" s="52">
        <f>+SUMIFS($E275:$M275,$E$7:$M$7,DR$7)/'Bookings to Revenue_Calcs'!$C$13</f>
        <v>40.516875</v>
      </c>
    </row>
    <row r="276" ht="15.75" customHeight="1">
      <c r="B276" s="54" t="s">
        <v>141</v>
      </c>
      <c r="C276" s="54"/>
      <c r="E276" s="55">
        <f t="shared" ref="E276:I276" si="331">+SUMIFS(E$214:E$259,$C$214:$C$259,$B273)</f>
        <v>222.532</v>
      </c>
      <c r="F276" s="55">
        <f t="shared" si="331"/>
        <v>221.231</v>
      </c>
      <c r="G276" s="55">
        <f t="shared" si="331"/>
        <v>476.578</v>
      </c>
      <c r="H276" s="55">
        <f t="shared" si="331"/>
        <v>153.081</v>
      </c>
      <c r="I276" s="55">
        <f t="shared" si="331"/>
        <v>354.9659238</v>
      </c>
      <c r="J276" s="113">
        <f t="shared" ref="J276:M276" si="332">+SUMIFS($O276:$DR276,$O$7:$DR$7,J$7)</f>
        <v>673.75</v>
      </c>
      <c r="K276" s="113">
        <f t="shared" si="332"/>
        <v>964.6875</v>
      </c>
      <c r="L276" s="113">
        <f t="shared" si="332"/>
        <v>1485.61875</v>
      </c>
      <c r="M276" s="113">
        <f t="shared" si="332"/>
        <v>2127.135938</v>
      </c>
      <c r="N276" s="50"/>
      <c r="O276" s="55">
        <f t="shared" ref="O276:DR276" si="333">+SUMIFS(O$214:O$259,$C$214:$C$259,$B273)+(O274*O275)</f>
        <v>17.5</v>
      </c>
      <c r="P276" s="55">
        <f t="shared" si="333"/>
        <v>0</v>
      </c>
      <c r="Q276" s="55">
        <f t="shared" si="333"/>
        <v>14</v>
      </c>
      <c r="R276" s="55">
        <f t="shared" si="333"/>
        <v>3.5</v>
      </c>
      <c r="S276" s="55">
        <f t="shared" si="333"/>
        <v>-9.968</v>
      </c>
      <c r="T276" s="55">
        <f t="shared" si="333"/>
        <v>5</v>
      </c>
      <c r="U276" s="55">
        <f t="shared" si="333"/>
        <v>20</v>
      </c>
      <c r="V276" s="55">
        <f t="shared" si="333"/>
        <v>5</v>
      </c>
      <c r="W276" s="55">
        <f t="shared" si="333"/>
        <v>75</v>
      </c>
      <c r="X276" s="55">
        <f t="shared" si="333"/>
        <v>40</v>
      </c>
      <c r="Y276" s="55">
        <f t="shared" si="333"/>
        <v>47.5</v>
      </c>
      <c r="Z276" s="55">
        <f t="shared" si="333"/>
        <v>5</v>
      </c>
      <c r="AA276" s="55">
        <f t="shared" si="333"/>
        <v>0</v>
      </c>
      <c r="AB276" s="55">
        <f t="shared" si="333"/>
        <v>0</v>
      </c>
      <c r="AC276" s="55">
        <f t="shared" si="333"/>
        <v>18</v>
      </c>
      <c r="AD276" s="55">
        <f t="shared" si="333"/>
        <v>12.756</v>
      </c>
      <c r="AE276" s="55">
        <f t="shared" si="333"/>
        <v>15.244</v>
      </c>
      <c r="AF276" s="55">
        <f t="shared" si="333"/>
        <v>13.512</v>
      </c>
      <c r="AG276" s="55">
        <f t="shared" si="333"/>
        <v>8.988</v>
      </c>
      <c r="AH276" s="55">
        <f t="shared" si="333"/>
        <v>18.084</v>
      </c>
      <c r="AI276" s="55">
        <f t="shared" si="333"/>
        <v>14.014</v>
      </c>
      <c r="AJ276" s="55">
        <f t="shared" si="333"/>
        <v>21.663</v>
      </c>
      <c r="AK276" s="55">
        <f t="shared" si="333"/>
        <v>22.506</v>
      </c>
      <c r="AL276" s="55">
        <f t="shared" si="333"/>
        <v>76.464</v>
      </c>
      <c r="AM276" s="55">
        <f t="shared" si="333"/>
        <v>8.784</v>
      </c>
      <c r="AN276" s="55">
        <f t="shared" si="333"/>
        <v>11.459</v>
      </c>
      <c r="AO276" s="55">
        <f t="shared" si="333"/>
        <v>9.082</v>
      </c>
      <c r="AP276" s="55">
        <f t="shared" si="333"/>
        <v>70.703</v>
      </c>
      <c r="AQ276" s="55">
        <f t="shared" si="333"/>
        <v>21.662</v>
      </c>
      <c r="AR276" s="55">
        <f t="shared" si="333"/>
        <v>62.924</v>
      </c>
      <c r="AS276" s="55">
        <f t="shared" si="333"/>
        <v>25.966</v>
      </c>
      <c r="AT276" s="55">
        <f t="shared" si="333"/>
        <v>11.212</v>
      </c>
      <c r="AU276" s="55">
        <f t="shared" si="333"/>
        <v>90.054</v>
      </c>
      <c r="AV276" s="55">
        <f t="shared" si="333"/>
        <v>77.344</v>
      </c>
      <c r="AW276" s="55">
        <f t="shared" si="333"/>
        <v>32.964</v>
      </c>
      <c r="AX276" s="55">
        <f t="shared" si="333"/>
        <v>54.424</v>
      </c>
      <c r="AY276" s="55">
        <f t="shared" si="333"/>
        <v>20.696</v>
      </c>
      <c r="AZ276" s="55">
        <f t="shared" si="333"/>
        <v>9.864</v>
      </c>
      <c r="BA276" s="55">
        <f t="shared" si="333"/>
        <v>10.406</v>
      </c>
      <c r="BB276" s="55">
        <f t="shared" si="333"/>
        <v>27.826</v>
      </c>
      <c r="BC276" s="55">
        <f t="shared" si="333"/>
        <v>8.643</v>
      </c>
      <c r="BD276" s="55">
        <f t="shared" si="333"/>
        <v>8.642</v>
      </c>
      <c r="BE276" s="55">
        <f t="shared" si="333"/>
        <v>22.335</v>
      </c>
      <c r="BF276" s="55">
        <f t="shared" si="333"/>
        <v>0</v>
      </c>
      <c r="BG276" s="55">
        <f t="shared" si="333"/>
        <v>0</v>
      </c>
      <c r="BH276" s="55">
        <f t="shared" si="333"/>
        <v>22.334</v>
      </c>
      <c r="BI276" s="55">
        <f t="shared" si="333"/>
        <v>22.335</v>
      </c>
      <c r="BJ276" s="55">
        <f t="shared" si="333"/>
        <v>0</v>
      </c>
      <c r="BK276" s="55">
        <f t="shared" si="333"/>
        <v>22.334</v>
      </c>
      <c r="BL276" s="55">
        <f t="shared" si="333"/>
        <v>25.526</v>
      </c>
      <c r="BM276" s="55">
        <f t="shared" si="333"/>
        <v>63.813</v>
      </c>
      <c r="BN276" s="55">
        <f t="shared" si="333"/>
        <v>28.34776154</v>
      </c>
      <c r="BO276" s="55">
        <f t="shared" si="333"/>
        <v>30.66712385</v>
      </c>
      <c r="BP276" s="55">
        <f t="shared" si="333"/>
        <v>30.10953978</v>
      </c>
      <c r="BQ276" s="55">
        <f t="shared" si="333"/>
        <v>39.36751353</v>
      </c>
      <c r="BR276" s="55">
        <f t="shared" si="333"/>
        <v>50.97626172</v>
      </c>
      <c r="BS276" s="55">
        <f t="shared" si="333"/>
        <v>59.6643288</v>
      </c>
      <c r="BT276" s="55">
        <f t="shared" si="333"/>
        <v>66.02022244</v>
      </c>
      <c r="BU276" s="55">
        <f t="shared" si="333"/>
        <v>68.57100683</v>
      </c>
      <c r="BV276" s="55">
        <f t="shared" si="333"/>
        <v>76.63262086</v>
      </c>
      <c r="BW276" s="55">
        <f t="shared" si="333"/>
        <v>43.75</v>
      </c>
      <c r="BX276" s="55">
        <f t="shared" si="333"/>
        <v>46.66666667</v>
      </c>
      <c r="BY276" s="55">
        <f t="shared" si="333"/>
        <v>49.58333333</v>
      </c>
      <c r="BZ276" s="55">
        <f t="shared" si="333"/>
        <v>52.5</v>
      </c>
      <c r="CA276" s="55">
        <f t="shared" si="333"/>
        <v>55.41666667</v>
      </c>
      <c r="CB276" s="55">
        <f t="shared" si="333"/>
        <v>58.33333333</v>
      </c>
      <c r="CC276" s="55">
        <f t="shared" si="333"/>
        <v>61.25</v>
      </c>
      <c r="CD276" s="55">
        <f t="shared" si="333"/>
        <v>61.25</v>
      </c>
      <c r="CE276" s="55">
        <f t="shared" si="333"/>
        <v>61.25</v>
      </c>
      <c r="CF276" s="55">
        <f t="shared" si="333"/>
        <v>61.25</v>
      </c>
      <c r="CG276" s="55">
        <f t="shared" si="333"/>
        <v>61.25</v>
      </c>
      <c r="CH276" s="55">
        <f t="shared" si="333"/>
        <v>61.25</v>
      </c>
      <c r="CI276" s="55">
        <f t="shared" si="333"/>
        <v>67.375</v>
      </c>
      <c r="CJ276" s="55">
        <f t="shared" si="333"/>
        <v>70.4375</v>
      </c>
      <c r="CK276" s="55">
        <f t="shared" si="333"/>
        <v>73.5</v>
      </c>
      <c r="CL276" s="55">
        <f t="shared" si="333"/>
        <v>76.5625</v>
      </c>
      <c r="CM276" s="55">
        <f t="shared" si="333"/>
        <v>79.625</v>
      </c>
      <c r="CN276" s="55">
        <f t="shared" si="333"/>
        <v>82.6875</v>
      </c>
      <c r="CO276" s="55">
        <f t="shared" si="333"/>
        <v>85.75</v>
      </c>
      <c r="CP276" s="55">
        <f t="shared" si="333"/>
        <v>85.75</v>
      </c>
      <c r="CQ276" s="55">
        <f t="shared" si="333"/>
        <v>85.75</v>
      </c>
      <c r="CR276" s="55">
        <f t="shared" si="333"/>
        <v>85.75</v>
      </c>
      <c r="CS276" s="55">
        <f t="shared" si="333"/>
        <v>85.75</v>
      </c>
      <c r="CT276" s="55">
        <f t="shared" si="333"/>
        <v>85.75</v>
      </c>
      <c r="CU276" s="55">
        <f t="shared" si="333"/>
        <v>96.46875</v>
      </c>
      <c r="CV276" s="55">
        <f t="shared" si="333"/>
        <v>102.9</v>
      </c>
      <c r="CW276" s="55">
        <f t="shared" si="333"/>
        <v>109.33125</v>
      </c>
      <c r="CX276" s="55">
        <f t="shared" si="333"/>
        <v>115.7625</v>
      </c>
      <c r="CY276" s="55">
        <f t="shared" si="333"/>
        <v>122.19375</v>
      </c>
      <c r="CZ276" s="55">
        <f t="shared" si="333"/>
        <v>128.625</v>
      </c>
      <c r="DA276" s="55">
        <f t="shared" si="333"/>
        <v>135.05625</v>
      </c>
      <c r="DB276" s="55">
        <f t="shared" si="333"/>
        <v>135.05625</v>
      </c>
      <c r="DC276" s="55">
        <f t="shared" si="333"/>
        <v>135.05625</v>
      </c>
      <c r="DD276" s="55">
        <f t="shared" si="333"/>
        <v>135.05625</v>
      </c>
      <c r="DE276" s="55">
        <f t="shared" si="333"/>
        <v>135.05625</v>
      </c>
      <c r="DF276" s="55">
        <f t="shared" si="333"/>
        <v>135.05625</v>
      </c>
      <c r="DG276" s="55">
        <f t="shared" si="333"/>
        <v>148.561875</v>
      </c>
      <c r="DH276" s="55">
        <f t="shared" si="333"/>
        <v>155.3146875</v>
      </c>
      <c r="DI276" s="55">
        <f t="shared" si="333"/>
        <v>162.0675</v>
      </c>
      <c r="DJ276" s="55">
        <f t="shared" si="333"/>
        <v>168.8203125</v>
      </c>
      <c r="DK276" s="55">
        <f t="shared" si="333"/>
        <v>175.573125</v>
      </c>
      <c r="DL276" s="55">
        <f t="shared" si="333"/>
        <v>182.3259375</v>
      </c>
      <c r="DM276" s="55">
        <f t="shared" si="333"/>
        <v>189.07875</v>
      </c>
      <c r="DN276" s="55">
        <f t="shared" si="333"/>
        <v>189.07875</v>
      </c>
      <c r="DO276" s="55">
        <f t="shared" si="333"/>
        <v>189.07875</v>
      </c>
      <c r="DP276" s="55">
        <f t="shared" si="333"/>
        <v>189.07875</v>
      </c>
      <c r="DQ276" s="55">
        <f t="shared" si="333"/>
        <v>189.07875</v>
      </c>
      <c r="DR276" s="55">
        <f t="shared" si="333"/>
        <v>189.07875</v>
      </c>
    </row>
    <row r="277" ht="4.5" customHeight="1"/>
    <row r="278" ht="15.75" customHeight="1">
      <c r="B278" s="99" t="s">
        <v>70</v>
      </c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00"/>
      <c r="AI278" s="100"/>
      <c r="AJ278" s="100"/>
      <c r="AK278" s="100"/>
      <c r="AL278" s="100"/>
      <c r="AM278" s="100"/>
      <c r="AN278" s="100"/>
      <c r="AO278" s="100"/>
      <c r="AP278" s="100"/>
      <c r="AQ278" s="100"/>
      <c r="AR278" s="100"/>
      <c r="AS278" s="100"/>
      <c r="AT278" s="100"/>
      <c r="AU278" s="100"/>
      <c r="AV278" s="100"/>
      <c r="AW278" s="100"/>
      <c r="AX278" s="100"/>
      <c r="AY278" s="100"/>
      <c r="AZ278" s="100"/>
      <c r="BA278" s="100"/>
      <c r="BB278" s="100"/>
      <c r="BC278" s="100"/>
      <c r="BD278" s="100"/>
      <c r="BE278" s="100"/>
      <c r="BF278" s="100"/>
      <c r="BG278" s="100"/>
      <c r="BH278" s="100"/>
      <c r="BI278" s="100"/>
      <c r="BJ278" s="100"/>
      <c r="BK278" s="100"/>
      <c r="BL278" s="100"/>
      <c r="BM278" s="100"/>
      <c r="BN278" s="100"/>
      <c r="BO278" s="100"/>
      <c r="BP278" s="100"/>
      <c r="BQ278" s="100"/>
      <c r="BR278" s="100"/>
      <c r="BS278" s="100"/>
      <c r="BT278" s="100"/>
      <c r="BU278" s="100"/>
      <c r="BV278" s="100"/>
      <c r="BW278" s="100"/>
      <c r="BX278" s="100"/>
      <c r="BY278" s="100"/>
      <c r="BZ278" s="100"/>
      <c r="CA278" s="100"/>
      <c r="CB278" s="100"/>
      <c r="CC278" s="100"/>
      <c r="CD278" s="100"/>
      <c r="CE278" s="100"/>
      <c r="CF278" s="100"/>
      <c r="CG278" s="100"/>
      <c r="CH278" s="100"/>
      <c r="CI278" s="100"/>
      <c r="CJ278" s="100"/>
      <c r="CK278" s="100"/>
      <c r="CL278" s="100"/>
      <c r="CM278" s="100"/>
      <c r="CN278" s="100"/>
      <c r="CO278" s="100"/>
      <c r="CP278" s="100"/>
      <c r="CQ278" s="100"/>
      <c r="CR278" s="100"/>
      <c r="CS278" s="100"/>
      <c r="CT278" s="100"/>
      <c r="CU278" s="100"/>
      <c r="CV278" s="100"/>
      <c r="CW278" s="100"/>
      <c r="CX278" s="100"/>
      <c r="CY278" s="100"/>
      <c r="CZ278" s="100"/>
      <c r="DA278" s="100"/>
      <c r="DB278" s="100"/>
      <c r="DC278" s="100"/>
      <c r="DD278" s="100"/>
      <c r="DE278" s="100"/>
      <c r="DF278" s="100"/>
      <c r="DG278" s="100"/>
      <c r="DH278" s="100"/>
      <c r="DI278" s="100"/>
      <c r="DJ278" s="100"/>
      <c r="DK278" s="100"/>
      <c r="DL278" s="100"/>
      <c r="DM278" s="100"/>
      <c r="DN278" s="100"/>
      <c r="DO278" s="100"/>
      <c r="DP278" s="100"/>
      <c r="DQ278" s="100"/>
      <c r="DR278" s="100"/>
    </row>
    <row r="279" ht="15.75" customHeight="1">
      <c r="B279" s="5" t="s">
        <v>139</v>
      </c>
      <c r="E279" s="110">
        <f t="shared" ref="E279:M279" si="334">+E281/E280</f>
        <v>3</v>
      </c>
      <c r="F279" s="110">
        <f t="shared" si="334"/>
        <v>7</v>
      </c>
      <c r="G279" s="110">
        <f t="shared" si="334"/>
        <v>8</v>
      </c>
      <c r="H279" s="110">
        <f t="shared" si="334"/>
        <v>5</v>
      </c>
      <c r="I279" s="110">
        <f t="shared" si="334"/>
        <v>5</v>
      </c>
      <c r="J279" s="110">
        <f t="shared" si="334"/>
        <v>4.791666667</v>
      </c>
      <c r="K279" s="110">
        <f t="shared" si="334"/>
        <v>5</v>
      </c>
      <c r="L279" s="110">
        <f t="shared" si="334"/>
        <v>8.125</v>
      </c>
      <c r="M279" s="110">
        <f t="shared" si="334"/>
        <v>10.83333333</v>
      </c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AY279" s="111"/>
      <c r="AZ279" s="111"/>
      <c r="BA279" s="111"/>
      <c r="BB279" s="111"/>
      <c r="BC279" s="111"/>
      <c r="BD279" s="111"/>
      <c r="BE279" s="111"/>
      <c r="BF279" s="111"/>
      <c r="BG279" s="111"/>
      <c r="BH279" s="111"/>
      <c r="BI279" s="111"/>
      <c r="BJ279" s="111"/>
      <c r="BK279" s="102" t="str">
        <f>+'Bookings to Revenue_Calcs'!BK44</f>
        <v/>
      </c>
      <c r="BL279" s="102" t="str">
        <f>+'Bookings to Revenue_Calcs'!BL44</f>
        <v/>
      </c>
      <c r="BM279" s="102" t="str">
        <f>+'Bookings to Revenue_Calcs'!BM44</f>
        <v/>
      </c>
      <c r="BN279" s="102" t="str">
        <f>+'Bookings to Revenue_Calcs'!BN44</f>
        <v/>
      </c>
      <c r="BO279" s="102" t="str">
        <f>+'Bookings to Revenue_Calcs'!BO44</f>
        <v/>
      </c>
      <c r="BP279" s="102" t="str">
        <f>+'Bookings to Revenue_Calcs'!BP44</f>
        <v/>
      </c>
      <c r="BQ279" s="102">
        <f>+'Bookings to Revenue_Calcs'!BQ44</f>
        <v>0.25</v>
      </c>
      <c r="BR279" s="102">
        <f>+'Bookings to Revenue_Calcs'!BR44</f>
        <v>0.5</v>
      </c>
      <c r="BS279" s="102">
        <f>+'Bookings to Revenue_Calcs'!BS44</f>
        <v>0.75</v>
      </c>
      <c r="BT279" s="102">
        <f>+'Bookings to Revenue_Calcs'!BT44</f>
        <v>1</v>
      </c>
      <c r="BU279" s="102">
        <f>+'Bookings to Revenue_Calcs'!BU44</f>
        <v>1.25</v>
      </c>
      <c r="BV279" s="102">
        <f>+'Bookings to Revenue_Calcs'!BV44</f>
        <v>1.25</v>
      </c>
      <c r="BW279" s="102">
        <f>+'Bookings to Revenue_Calcs'!BW44</f>
        <v>1.333333333</v>
      </c>
      <c r="BX279" s="102">
        <f>+'Bookings to Revenue_Calcs'!BX44</f>
        <v>1.416666667</v>
      </c>
      <c r="BY279" s="102">
        <f>+'Bookings to Revenue_Calcs'!BY44</f>
        <v>1.5</v>
      </c>
      <c r="BZ279" s="102">
        <f>+'Bookings to Revenue_Calcs'!BZ44</f>
        <v>1.583333333</v>
      </c>
      <c r="CA279" s="102">
        <f>+'Bookings to Revenue_Calcs'!CA44</f>
        <v>1.666666667</v>
      </c>
      <c r="CB279" s="102">
        <f>+'Bookings to Revenue_Calcs'!CB44</f>
        <v>1.666666667</v>
      </c>
      <c r="CC279" s="102">
        <f>+'Bookings to Revenue_Calcs'!CC44</f>
        <v>1.666666667</v>
      </c>
      <c r="CD279" s="102">
        <f>+'Bookings to Revenue_Calcs'!CD44</f>
        <v>1.666666667</v>
      </c>
      <c r="CE279" s="102">
        <f>+'Bookings to Revenue_Calcs'!CE44</f>
        <v>1.666666667</v>
      </c>
      <c r="CF279" s="102">
        <f>+'Bookings to Revenue_Calcs'!CF44</f>
        <v>1.666666667</v>
      </c>
      <c r="CG279" s="102">
        <f>+'Bookings to Revenue_Calcs'!CG44</f>
        <v>1.666666667</v>
      </c>
      <c r="CH279" s="102">
        <f>+'Bookings to Revenue_Calcs'!CH44</f>
        <v>1.666666667</v>
      </c>
      <c r="CI279" s="102">
        <f>+'Bookings to Revenue_Calcs'!CI44</f>
        <v>1.666666667</v>
      </c>
      <c r="CJ279" s="102">
        <f>+'Bookings to Revenue_Calcs'!CJ44</f>
        <v>1.666666667</v>
      </c>
      <c r="CK279" s="102">
        <f>+'Bookings to Revenue_Calcs'!CK44</f>
        <v>1.666666667</v>
      </c>
      <c r="CL279" s="102">
        <f>+'Bookings to Revenue_Calcs'!CL44</f>
        <v>1.666666667</v>
      </c>
      <c r="CM279" s="102">
        <f>+'Bookings to Revenue_Calcs'!CM44</f>
        <v>1.666666667</v>
      </c>
      <c r="CN279" s="102">
        <f>+'Bookings to Revenue_Calcs'!CN44</f>
        <v>1.666666667</v>
      </c>
      <c r="CO279" s="102">
        <f>+'Bookings to Revenue_Calcs'!CO44</f>
        <v>1.666666667</v>
      </c>
      <c r="CP279" s="102">
        <f>+'Bookings to Revenue_Calcs'!CP44</f>
        <v>1.666666667</v>
      </c>
      <c r="CQ279" s="102">
        <f>+'Bookings to Revenue_Calcs'!CQ44</f>
        <v>1.666666667</v>
      </c>
      <c r="CR279" s="102">
        <f>+'Bookings to Revenue_Calcs'!CR44</f>
        <v>1.666666667</v>
      </c>
      <c r="CS279" s="102">
        <f>+'Bookings to Revenue_Calcs'!CS44</f>
        <v>1.666666667</v>
      </c>
      <c r="CT279" s="102">
        <f>+'Bookings to Revenue_Calcs'!CT44</f>
        <v>1.666666667</v>
      </c>
      <c r="CU279" s="102">
        <f>+'Bookings to Revenue_Calcs'!CU44</f>
        <v>1.916666667</v>
      </c>
      <c r="CV279" s="102">
        <f>+'Bookings to Revenue_Calcs'!CV44</f>
        <v>2.166666667</v>
      </c>
      <c r="CW279" s="102">
        <f>+'Bookings to Revenue_Calcs'!CW44</f>
        <v>2.416666667</v>
      </c>
      <c r="CX279" s="102">
        <f>+'Bookings to Revenue_Calcs'!CX44</f>
        <v>2.666666667</v>
      </c>
      <c r="CY279" s="102">
        <f>+'Bookings to Revenue_Calcs'!CY44</f>
        <v>2.916666667</v>
      </c>
      <c r="CZ279" s="102">
        <f>+'Bookings to Revenue_Calcs'!CZ44</f>
        <v>2.916666667</v>
      </c>
      <c r="DA279" s="102">
        <f>+'Bookings to Revenue_Calcs'!DA44</f>
        <v>2.916666667</v>
      </c>
      <c r="DB279" s="102">
        <f>+'Bookings to Revenue_Calcs'!DB44</f>
        <v>2.916666667</v>
      </c>
      <c r="DC279" s="102">
        <f>+'Bookings to Revenue_Calcs'!DC44</f>
        <v>2.916666667</v>
      </c>
      <c r="DD279" s="102">
        <f>+'Bookings to Revenue_Calcs'!DD44</f>
        <v>2.916666667</v>
      </c>
      <c r="DE279" s="102">
        <f>+'Bookings to Revenue_Calcs'!DE44</f>
        <v>2.916666667</v>
      </c>
      <c r="DF279" s="102">
        <f>+'Bookings to Revenue_Calcs'!DF44</f>
        <v>2.916666667</v>
      </c>
      <c r="DG279" s="102">
        <f>+'Bookings to Revenue_Calcs'!DG44</f>
        <v>3.083333333</v>
      </c>
      <c r="DH279" s="102">
        <f>+'Bookings to Revenue_Calcs'!DH44</f>
        <v>3.25</v>
      </c>
      <c r="DI279" s="102">
        <f>+'Bookings to Revenue_Calcs'!DI44</f>
        <v>3.416666667</v>
      </c>
      <c r="DJ279" s="102">
        <f>+'Bookings to Revenue_Calcs'!DJ44</f>
        <v>3.583333333</v>
      </c>
      <c r="DK279" s="102">
        <f>+'Bookings to Revenue_Calcs'!DK44</f>
        <v>3.75</v>
      </c>
      <c r="DL279" s="102">
        <f>+'Bookings to Revenue_Calcs'!DL44</f>
        <v>3.75</v>
      </c>
      <c r="DM279" s="102">
        <f>+'Bookings to Revenue_Calcs'!DM44</f>
        <v>3.75</v>
      </c>
      <c r="DN279" s="102">
        <f>+'Bookings to Revenue_Calcs'!DN44</f>
        <v>3.75</v>
      </c>
      <c r="DO279" s="102">
        <f>+'Bookings to Revenue_Calcs'!DO44</f>
        <v>3.75</v>
      </c>
      <c r="DP279" s="102">
        <f>+'Bookings to Revenue_Calcs'!DP44</f>
        <v>3.75</v>
      </c>
      <c r="DQ279" s="102">
        <f>+'Bookings to Revenue_Calcs'!DQ44</f>
        <v>3.75</v>
      </c>
      <c r="DR279" s="102">
        <f>+'Bookings to Revenue_Calcs'!DR44</f>
        <v>3.75</v>
      </c>
    </row>
    <row r="280" ht="15.75" customHeight="1">
      <c r="B280" s="5" t="s">
        <v>140</v>
      </c>
      <c r="E280" s="50">
        <f t="shared" ref="E280:I280" si="335">+AVERAGEIFS(E$214:E$259,$C$214:$C$259,$B278,E$214:E$259,"&lt;&gt;0")</f>
        <v>164.7843333</v>
      </c>
      <c r="F280" s="50">
        <f t="shared" si="335"/>
        <v>33.50928571</v>
      </c>
      <c r="G280" s="50">
        <f t="shared" si="335"/>
        <v>20.721625</v>
      </c>
      <c r="H280" s="50">
        <f t="shared" si="335"/>
        <v>105.2546</v>
      </c>
      <c r="I280" s="50">
        <f t="shared" si="335"/>
        <v>139.2664</v>
      </c>
      <c r="J280" s="52">
        <f>+Revenue_Assumptions!J54</f>
        <v>157.5</v>
      </c>
      <c r="K280" s="52">
        <f>+Revenue_Assumptions!K54</f>
        <v>165.375</v>
      </c>
      <c r="L280" s="52">
        <f>+Revenue_Assumptions!L54</f>
        <v>173.64375</v>
      </c>
      <c r="M280" s="52">
        <f>+Revenue_Assumptions!M54</f>
        <v>182.3259375</v>
      </c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  <c r="AA280" s="112"/>
      <c r="AB280" s="112"/>
      <c r="AC280" s="112"/>
      <c r="AD280" s="112"/>
      <c r="AE280" s="112"/>
      <c r="AF280" s="112"/>
      <c r="AG280" s="112"/>
      <c r="AH280" s="112"/>
      <c r="AI280" s="112"/>
      <c r="AJ280" s="112"/>
      <c r="AK280" s="112"/>
      <c r="AL280" s="112"/>
      <c r="AM280" s="112"/>
      <c r="AN280" s="112"/>
      <c r="AO280" s="112"/>
      <c r="AP280" s="112"/>
      <c r="AQ280" s="112"/>
      <c r="AR280" s="112"/>
      <c r="AS280" s="112"/>
      <c r="AT280" s="112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2"/>
      <c r="BE280" s="112"/>
      <c r="BF280" s="112"/>
      <c r="BG280" s="112"/>
      <c r="BH280" s="112"/>
      <c r="BI280" s="112"/>
      <c r="BJ280" s="112"/>
      <c r="BK280" s="52">
        <f>+SUMIFS($E280:$M280,$E$7:$M$7,BK$7)/'Bookings to Revenue_Calcs'!$C$14</f>
        <v>34.8166</v>
      </c>
      <c r="BL280" s="52">
        <f>+SUMIFS($E280:$M280,$E$7:$M$7,BL$7)/'Bookings to Revenue_Calcs'!$C$14</f>
        <v>34.8166</v>
      </c>
      <c r="BM280" s="52">
        <f>+SUMIFS($E280:$M280,$E$7:$M$7,BM$7)/'Bookings to Revenue_Calcs'!$C$14</f>
        <v>34.8166</v>
      </c>
      <c r="BN280" s="52">
        <f>+SUMIFS($E280:$M280,$E$7:$M$7,BN$7)/'Bookings to Revenue_Calcs'!$C$14</f>
        <v>34.8166</v>
      </c>
      <c r="BO280" s="52">
        <f>+SUMIFS($E280:$M280,$E$7:$M$7,BO$7)/'Bookings to Revenue_Calcs'!$C$14</f>
        <v>34.8166</v>
      </c>
      <c r="BP280" s="52">
        <f>+SUMIFS($E280:$M280,$E$7:$M$7,BP$7)/'Bookings to Revenue_Calcs'!$C$14</f>
        <v>34.8166</v>
      </c>
      <c r="BQ280" s="52">
        <f>+SUMIFS($E280:$M280,$E$7:$M$7,BQ$7)/'Bookings to Revenue_Calcs'!$C$14</f>
        <v>34.8166</v>
      </c>
      <c r="BR280" s="52">
        <f>+SUMIFS($E280:$M280,$E$7:$M$7,BR$7)/'Bookings to Revenue_Calcs'!$C$14</f>
        <v>34.8166</v>
      </c>
      <c r="BS280" s="52">
        <f>+SUMIFS($E280:$M280,$E$7:$M$7,BS$7)/'Bookings to Revenue_Calcs'!$C$14</f>
        <v>34.8166</v>
      </c>
      <c r="BT280" s="52">
        <f>+SUMIFS($E280:$M280,$E$7:$M$7,BT$7)/'Bookings to Revenue_Calcs'!$C$14</f>
        <v>34.8166</v>
      </c>
      <c r="BU280" s="52">
        <f>+SUMIFS($E280:$M280,$E$7:$M$7,BU$7)/'Bookings to Revenue_Calcs'!$C$14</f>
        <v>34.8166</v>
      </c>
      <c r="BV280" s="52">
        <f>+SUMIFS($E280:$M280,$E$7:$M$7,BV$7)/'Bookings to Revenue_Calcs'!$C$14</f>
        <v>34.8166</v>
      </c>
      <c r="BW280" s="52">
        <f>+SUMIFS($E280:$M280,$E$7:$M$7,BW$7)/'Bookings to Revenue_Calcs'!$C$14</f>
        <v>39.375</v>
      </c>
      <c r="BX280" s="52">
        <f>+SUMIFS($E280:$M280,$E$7:$M$7,BX$7)/'Bookings to Revenue_Calcs'!$C$14</f>
        <v>39.375</v>
      </c>
      <c r="BY280" s="52">
        <f>+SUMIFS($E280:$M280,$E$7:$M$7,BY$7)/'Bookings to Revenue_Calcs'!$C$14</f>
        <v>39.375</v>
      </c>
      <c r="BZ280" s="52">
        <f>+SUMIFS($E280:$M280,$E$7:$M$7,BZ$7)/'Bookings to Revenue_Calcs'!$C$14</f>
        <v>39.375</v>
      </c>
      <c r="CA280" s="52">
        <f>+SUMIFS($E280:$M280,$E$7:$M$7,CA$7)/'Bookings to Revenue_Calcs'!$C$14</f>
        <v>39.375</v>
      </c>
      <c r="CB280" s="52">
        <f>+SUMIFS($E280:$M280,$E$7:$M$7,CB$7)/'Bookings to Revenue_Calcs'!$C$14</f>
        <v>39.375</v>
      </c>
      <c r="CC280" s="52">
        <f>+SUMIFS($E280:$M280,$E$7:$M$7,CC$7)/'Bookings to Revenue_Calcs'!$C$14</f>
        <v>39.375</v>
      </c>
      <c r="CD280" s="52">
        <f>+SUMIFS($E280:$M280,$E$7:$M$7,CD$7)/'Bookings to Revenue_Calcs'!$C$14</f>
        <v>39.375</v>
      </c>
      <c r="CE280" s="52">
        <f>+SUMIFS($E280:$M280,$E$7:$M$7,CE$7)/'Bookings to Revenue_Calcs'!$C$14</f>
        <v>39.375</v>
      </c>
      <c r="CF280" s="52">
        <f>+SUMIFS($E280:$M280,$E$7:$M$7,CF$7)/'Bookings to Revenue_Calcs'!$C$14</f>
        <v>39.375</v>
      </c>
      <c r="CG280" s="52">
        <f>+SUMIFS($E280:$M280,$E$7:$M$7,CG$7)/'Bookings to Revenue_Calcs'!$C$14</f>
        <v>39.375</v>
      </c>
      <c r="CH280" s="52">
        <f>+SUMIFS($E280:$M280,$E$7:$M$7,CH$7)/'Bookings to Revenue_Calcs'!$C$14</f>
        <v>39.375</v>
      </c>
      <c r="CI280" s="52">
        <f>+SUMIFS($E280:$M280,$E$7:$M$7,CI$7)/'Bookings to Revenue_Calcs'!$C$14</f>
        <v>41.34375</v>
      </c>
      <c r="CJ280" s="52">
        <f>+SUMIFS($E280:$M280,$E$7:$M$7,CJ$7)/'Bookings to Revenue_Calcs'!$C$14</f>
        <v>41.34375</v>
      </c>
      <c r="CK280" s="52">
        <f>+SUMIFS($E280:$M280,$E$7:$M$7,CK$7)/'Bookings to Revenue_Calcs'!$C$14</f>
        <v>41.34375</v>
      </c>
      <c r="CL280" s="52">
        <f>+SUMIFS($E280:$M280,$E$7:$M$7,CL$7)/'Bookings to Revenue_Calcs'!$C$14</f>
        <v>41.34375</v>
      </c>
      <c r="CM280" s="52">
        <f>+SUMIFS($E280:$M280,$E$7:$M$7,CM$7)/'Bookings to Revenue_Calcs'!$C$14</f>
        <v>41.34375</v>
      </c>
      <c r="CN280" s="52">
        <f>+SUMIFS($E280:$M280,$E$7:$M$7,CN$7)/'Bookings to Revenue_Calcs'!$C$14</f>
        <v>41.34375</v>
      </c>
      <c r="CO280" s="52">
        <f>+SUMIFS($E280:$M280,$E$7:$M$7,CO$7)/'Bookings to Revenue_Calcs'!$C$14</f>
        <v>41.34375</v>
      </c>
      <c r="CP280" s="52">
        <f>+SUMIFS($E280:$M280,$E$7:$M$7,CP$7)/'Bookings to Revenue_Calcs'!$C$14</f>
        <v>41.34375</v>
      </c>
      <c r="CQ280" s="52">
        <f>+SUMIFS($E280:$M280,$E$7:$M$7,CQ$7)/'Bookings to Revenue_Calcs'!$C$14</f>
        <v>41.34375</v>
      </c>
      <c r="CR280" s="52">
        <f>+SUMIFS($E280:$M280,$E$7:$M$7,CR$7)/'Bookings to Revenue_Calcs'!$C$14</f>
        <v>41.34375</v>
      </c>
      <c r="CS280" s="52">
        <f>+SUMIFS($E280:$M280,$E$7:$M$7,CS$7)/'Bookings to Revenue_Calcs'!$C$14</f>
        <v>41.34375</v>
      </c>
      <c r="CT280" s="52">
        <f>+SUMIFS($E280:$M280,$E$7:$M$7,CT$7)/'Bookings to Revenue_Calcs'!$C$14</f>
        <v>41.34375</v>
      </c>
      <c r="CU280" s="52">
        <f>+SUMIFS($E280:$M280,$E$7:$M$7,CU$7)/'Bookings to Revenue_Calcs'!$C$14</f>
        <v>43.4109375</v>
      </c>
      <c r="CV280" s="52">
        <f>+SUMIFS($E280:$M280,$E$7:$M$7,CV$7)/'Bookings to Revenue_Calcs'!$C$14</f>
        <v>43.4109375</v>
      </c>
      <c r="CW280" s="52">
        <f>+SUMIFS($E280:$M280,$E$7:$M$7,CW$7)/'Bookings to Revenue_Calcs'!$C$14</f>
        <v>43.4109375</v>
      </c>
      <c r="CX280" s="52">
        <f>+SUMIFS($E280:$M280,$E$7:$M$7,CX$7)/'Bookings to Revenue_Calcs'!$C$14</f>
        <v>43.4109375</v>
      </c>
      <c r="CY280" s="52">
        <f>+SUMIFS($E280:$M280,$E$7:$M$7,CY$7)/'Bookings to Revenue_Calcs'!$C$14</f>
        <v>43.4109375</v>
      </c>
      <c r="CZ280" s="52">
        <f>+SUMIFS($E280:$M280,$E$7:$M$7,CZ$7)/'Bookings to Revenue_Calcs'!$C$14</f>
        <v>43.4109375</v>
      </c>
      <c r="DA280" s="52">
        <f>+SUMIFS($E280:$M280,$E$7:$M$7,DA$7)/'Bookings to Revenue_Calcs'!$C$14</f>
        <v>43.4109375</v>
      </c>
      <c r="DB280" s="52">
        <f>+SUMIFS($E280:$M280,$E$7:$M$7,DB$7)/'Bookings to Revenue_Calcs'!$C$14</f>
        <v>43.4109375</v>
      </c>
      <c r="DC280" s="52">
        <f>+SUMIFS($E280:$M280,$E$7:$M$7,DC$7)/'Bookings to Revenue_Calcs'!$C$14</f>
        <v>43.4109375</v>
      </c>
      <c r="DD280" s="52">
        <f>+SUMIFS($E280:$M280,$E$7:$M$7,DD$7)/'Bookings to Revenue_Calcs'!$C$14</f>
        <v>43.4109375</v>
      </c>
      <c r="DE280" s="52">
        <f>+SUMIFS($E280:$M280,$E$7:$M$7,DE$7)/'Bookings to Revenue_Calcs'!$C$14</f>
        <v>43.4109375</v>
      </c>
      <c r="DF280" s="52">
        <f>+SUMIFS($E280:$M280,$E$7:$M$7,DF$7)/'Bookings to Revenue_Calcs'!$C$14</f>
        <v>43.4109375</v>
      </c>
      <c r="DG280" s="52">
        <f>+SUMIFS($E280:$M280,$E$7:$M$7,DG$7)/'Bookings to Revenue_Calcs'!$C$14</f>
        <v>45.58148438</v>
      </c>
      <c r="DH280" s="52">
        <f>+SUMIFS($E280:$M280,$E$7:$M$7,DH$7)/'Bookings to Revenue_Calcs'!$C$14</f>
        <v>45.58148438</v>
      </c>
      <c r="DI280" s="52">
        <f>+SUMIFS($E280:$M280,$E$7:$M$7,DI$7)/'Bookings to Revenue_Calcs'!$C$14</f>
        <v>45.58148438</v>
      </c>
      <c r="DJ280" s="52">
        <f>+SUMIFS($E280:$M280,$E$7:$M$7,DJ$7)/'Bookings to Revenue_Calcs'!$C$14</f>
        <v>45.58148438</v>
      </c>
      <c r="DK280" s="52">
        <f>+SUMIFS($E280:$M280,$E$7:$M$7,DK$7)/'Bookings to Revenue_Calcs'!$C$14</f>
        <v>45.58148438</v>
      </c>
      <c r="DL280" s="52">
        <f>+SUMIFS($E280:$M280,$E$7:$M$7,DL$7)/'Bookings to Revenue_Calcs'!$C$14</f>
        <v>45.58148438</v>
      </c>
      <c r="DM280" s="52">
        <f>+SUMIFS($E280:$M280,$E$7:$M$7,DM$7)/'Bookings to Revenue_Calcs'!$C$14</f>
        <v>45.58148438</v>
      </c>
      <c r="DN280" s="52">
        <f>+SUMIFS($E280:$M280,$E$7:$M$7,DN$7)/'Bookings to Revenue_Calcs'!$C$14</f>
        <v>45.58148438</v>
      </c>
      <c r="DO280" s="52">
        <f>+SUMIFS($E280:$M280,$E$7:$M$7,DO$7)/'Bookings to Revenue_Calcs'!$C$14</f>
        <v>45.58148438</v>
      </c>
      <c r="DP280" s="52">
        <f>+SUMIFS($E280:$M280,$E$7:$M$7,DP$7)/'Bookings to Revenue_Calcs'!$C$14</f>
        <v>45.58148438</v>
      </c>
      <c r="DQ280" s="52">
        <f>+SUMIFS($E280:$M280,$E$7:$M$7,DQ$7)/'Bookings to Revenue_Calcs'!$C$14</f>
        <v>45.58148438</v>
      </c>
      <c r="DR280" s="52">
        <f>+SUMIFS($E280:$M280,$E$7:$M$7,DR$7)/'Bookings to Revenue_Calcs'!$C$14</f>
        <v>45.58148438</v>
      </c>
    </row>
    <row r="281" ht="15.75" customHeight="1">
      <c r="B281" s="54" t="s">
        <v>141</v>
      </c>
      <c r="C281" s="54"/>
      <c r="E281" s="55">
        <f t="shared" ref="E281:I281" si="336">+SUMIFS(E$214:E$259,$C$214:$C$259,$B278)</f>
        <v>494.353</v>
      </c>
      <c r="F281" s="55">
        <f t="shared" si="336"/>
        <v>234.565</v>
      </c>
      <c r="G281" s="55">
        <f t="shared" si="336"/>
        <v>165.773</v>
      </c>
      <c r="H281" s="55">
        <f t="shared" si="336"/>
        <v>526.273</v>
      </c>
      <c r="I281" s="55">
        <f t="shared" si="336"/>
        <v>696.332</v>
      </c>
      <c r="J281" s="113">
        <f t="shared" ref="J281:M281" si="337">+SUMIFS($O281:$DR281,$O$7:$DR$7,J$7)</f>
        <v>754.6875</v>
      </c>
      <c r="K281" s="113">
        <f t="shared" si="337"/>
        <v>826.875</v>
      </c>
      <c r="L281" s="113">
        <f t="shared" si="337"/>
        <v>1410.855469</v>
      </c>
      <c r="M281" s="113">
        <f t="shared" si="337"/>
        <v>1975.197656</v>
      </c>
      <c r="N281" s="50"/>
      <c r="O281" s="55">
        <f t="shared" ref="O281:DR281" si="338">+SUMIFS(O$214:O$259,$C$214:$C$259,$B278)+(O279*O280)</f>
        <v>35.996</v>
      </c>
      <c r="P281" s="55">
        <f t="shared" si="338"/>
        <v>59.273</v>
      </c>
      <c r="Q281" s="55">
        <f t="shared" si="338"/>
        <v>83.606</v>
      </c>
      <c r="R281" s="55">
        <f t="shared" si="338"/>
        <v>116.854</v>
      </c>
      <c r="S281" s="55">
        <f t="shared" si="338"/>
        <v>67.394</v>
      </c>
      <c r="T281" s="55">
        <f t="shared" si="338"/>
        <v>67.393</v>
      </c>
      <c r="U281" s="55">
        <f t="shared" si="338"/>
        <v>24.827</v>
      </c>
      <c r="V281" s="55">
        <f t="shared" si="338"/>
        <v>3.546</v>
      </c>
      <c r="W281" s="55">
        <f t="shared" si="338"/>
        <v>3.546</v>
      </c>
      <c r="X281" s="55">
        <f t="shared" si="338"/>
        <v>3.546</v>
      </c>
      <c r="Y281" s="55">
        <f t="shared" si="338"/>
        <v>3.546</v>
      </c>
      <c r="Z281" s="55">
        <f t="shared" si="338"/>
        <v>24.826</v>
      </c>
      <c r="AA281" s="55">
        <f t="shared" si="338"/>
        <v>3.545</v>
      </c>
      <c r="AB281" s="55">
        <f t="shared" si="338"/>
        <v>3.545</v>
      </c>
      <c r="AC281" s="55">
        <f t="shared" si="338"/>
        <v>3.545</v>
      </c>
      <c r="AD281" s="55">
        <f t="shared" si="338"/>
        <v>8.277</v>
      </c>
      <c r="AE281" s="55">
        <f t="shared" si="338"/>
        <v>8.975</v>
      </c>
      <c r="AF281" s="55">
        <f t="shared" si="338"/>
        <v>24.7</v>
      </c>
      <c r="AG281" s="55">
        <f t="shared" si="338"/>
        <v>13.537</v>
      </c>
      <c r="AH281" s="55">
        <f t="shared" si="338"/>
        <v>22.401</v>
      </c>
      <c r="AI281" s="55">
        <f t="shared" si="338"/>
        <v>27.378</v>
      </c>
      <c r="AJ281" s="55">
        <f t="shared" si="338"/>
        <v>44.296</v>
      </c>
      <c r="AK281" s="55">
        <f t="shared" si="338"/>
        <v>38.565</v>
      </c>
      <c r="AL281" s="55">
        <f t="shared" si="338"/>
        <v>35.801</v>
      </c>
      <c r="AM281" s="55">
        <f t="shared" si="338"/>
        <v>22.701</v>
      </c>
      <c r="AN281" s="55">
        <f t="shared" si="338"/>
        <v>26.854</v>
      </c>
      <c r="AO281" s="55">
        <f t="shared" si="338"/>
        <v>7.145</v>
      </c>
      <c r="AP281" s="55">
        <f t="shared" si="338"/>
        <v>7.001</v>
      </c>
      <c r="AQ281" s="55">
        <f t="shared" si="338"/>
        <v>6.826</v>
      </c>
      <c r="AR281" s="55">
        <f t="shared" si="338"/>
        <v>7.002</v>
      </c>
      <c r="AS281" s="55">
        <f t="shared" si="338"/>
        <v>3.545</v>
      </c>
      <c r="AT281" s="55">
        <f t="shared" si="338"/>
        <v>3.545</v>
      </c>
      <c r="AU281" s="55">
        <f t="shared" si="338"/>
        <v>17.545</v>
      </c>
      <c r="AV281" s="55">
        <f t="shared" si="338"/>
        <v>25.048</v>
      </c>
      <c r="AW281" s="55">
        <f t="shared" si="338"/>
        <v>10.545</v>
      </c>
      <c r="AX281" s="55">
        <f t="shared" si="338"/>
        <v>28.016</v>
      </c>
      <c r="AY281" s="55">
        <f t="shared" si="338"/>
        <v>0</v>
      </c>
      <c r="AZ281" s="55">
        <f t="shared" si="338"/>
        <v>6.803</v>
      </c>
      <c r="BA281" s="55">
        <f t="shared" si="338"/>
        <v>10.802</v>
      </c>
      <c r="BB281" s="55">
        <f t="shared" si="338"/>
        <v>58.364</v>
      </c>
      <c r="BC281" s="55">
        <f t="shared" si="338"/>
        <v>48.868</v>
      </c>
      <c r="BD281" s="55">
        <f t="shared" si="338"/>
        <v>71.729</v>
      </c>
      <c r="BE281" s="55">
        <f t="shared" si="338"/>
        <v>76.842</v>
      </c>
      <c r="BF281" s="55">
        <f t="shared" si="338"/>
        <v>58.064</v>
      </c>
      <c r="BG281" s="55">
        <f t="shared" si="338"/>
        <v>98.935</v>
      </c>
      <c r="BH281" s="55">
        <f t="shared" si="338"/>
        <v>40.442</v>
      </c>
      <c r="BI281" s="55">
        <f t="shared" si="338"/>
        <v>36.915</v>
      </c>
      <c r="BJ281" s="55">
        <f t="shared" si="338"/>
        <v>18.509</v>
      </c>
      <c r="BK281" s="55">
        <f t="shared" si="338"/>
        <v>34.937</v>
      </c>
      <c r="BL281" s="55">
        <f t="shared" si="338"/>
        <v>64.364</v>
      </c>
      <c r="BM281" s="55">
        <f t="shared" si="338"/>
        <v>65.489</v>
      </c>
      <c r="BN281" s="55">
        <f t="shared" si="338"/>
        <v>54.69101111</v>
      </c>
      <c r="BO281" s="55">
        <f t="shared" si="338"/>
        <v>79.12026778</v>
      </c>
      <c r="BP281" s="55">
        <f t="shared" si="338"/>
        <v>57.20491092</v>
      </c>
      <c r="BQ281" s="55">
        <f t="shared" si="338"/>
        <v>68.45686759</v>
      </c>
      <c r="BR281" s="55">
        <f t="shared" si="338"/>
        <v>77.911428</v>
      </c>
      <c r="BS281" s="55">
        <f t="shared" si="338"/>
        <v>85.51148382</v>
      </c>
      <c r="BT281" s="55">
        <f t="shared" si="338"/>
        <v>92.81711453</v>
      </c>
      <c r="BU281" s="55">
        <f t="shared" si="338"/>
        <v>97.89284863</v>
      </c>
      <c r="BV281" s="55">
        <f t="shared" si="338"/>
        <v>92.01906761</v>
      </c>
      <c r="BW281" s="55">
        <f t="shared" si="338"/>
        <v>52.5</v>
      </c>
      <c r="BX281" s="55">
        <f t="shared" si="338"/>
        <v>55.78125</v>
      </c>
      <c r="BY281" s="55">
        <f t="shared" si="338"/>
        <v>59.0625</v>
      </c>
      <c r="BZ281" s="55">
        <f t="shared" si="338"/>
        <v>62.34375</v>
      </c>
      <c r="CA281" s="55">
        <f t="shared" si="338"/>
        <v>65.625</v>
      </c>
      <c r="CB281" s="55">
        <f t="shared" si="338"/>
        <v>65.625</v>
      </c>
      <c r="CC281" s="55">
        <f t="shared" si="338"/>
        <v>65.625</v>
      </c>
      <c r="CD281" s="55">
        <f t="shared" si="338"/>
        <v>65.625</v>
      </c>
      <c r="CE281" s="55">
        <f t="shared" si="338"/>
        <v>65.625</v>
      </c>
      <c r="CF281" s="55">
        <f t="shared" si="338"/>
        <v>65.625</v>
      </c>
      <c r="CG281" s="55">
        <f t="shared" si="338"/>
        <v>65.625</v>
      </c>
      <c r="CH281" s="55">
        <f t="shared" si="338"/>
        <v>65.625</v>
      </c>
      <c r="CI281" s="55">
        <f t="shared" si="338"/>
        <v>68.90625</v>
      </c>
      <c r="CJ281" s="55">
        <f t="shared" si="338"/>
        <v>68.90625</v>
      </c>
      <c r="CK281" s="55">
        <f t="shared" si="338"/>
        <v>68.90625</v>
      </c>
      <c r="CL281" s="55">
        <f t="shared" si="338"/>
        <v>68.90625</v>
      </c>
      <c r="CM281" s="55">
        <f t="shared" si="338"/>
        <v>68.90625</v>
      </c>
      <c r="CN281" s="55">
        <f t="shared" si="338"/>
        <v>68.90625</v>
      </c>
      <c r="CO281" s="55">
        <f t="shared" si="338"/>
        <v>68.90625</v>
      </c>
      <c r="CP281" s="55">
        <f t="shared" si="338"/>
        <v>68.90625</v>
      </c>
      <c r="CQ281" s="55">
        <f t="shared" si="338"/>
        <v>68.90625</v>
      </c>
      <c r="CR281" s="55">
        <f t="shared" si="338"/>
        <v>68.90625</v>
      </c>
      <c r="CS281" s="55">
        <f t="shared" si="338"/>
        <v>68.90625</v>
      </c>
      <c r="CT281" s="55">
        <f t="shared" si="338"/>
        <v>68.90625</v>
      </c>
      <c r="CU281" s="55">
        <f t="shared" si="338"/>
        <v>83.20429688</v>
      </c>
      <c r="CV281" s="55">
        <f t="shared" si="338"/>
        <v>94.05703125</v>
      </c>
      <c r="CW281" s="55">
        <f t="shared" si="338"/>
        <v>104.9097656</v>
      </c>
      <c r="CX281" s="55">
        <f t="shared" si="338"/>
        <v>115.7625</v>
      </c>
      <c r="CY281" s="55">
        <f t="shared" si="338"/>
        <v>126.6152344</v>
      </c>
      <c r="CZ281" s="55">
        <f t="shared" si="338"/>
        <v>126.6152344</v>
      </c>
      <c r="DA281" s="55">
        <f t="shared" si="338"/>
        <v>126.6152344</v>
      </c>
      <c r="DB281" s="55">
        <f t="shared" si="338"/>
        <v>126.6152344</v>
      </c>
      <c r="DC281" s="55">
        <f t="shared" si="338"/>
        <v>126.6152344</v>
      </c>
      <c r="DD281" s="55">
        <f t="shared" si="338"/>
        <v>126.6152344</v>
      </c>
      <c r="DE281" s="55">
        <f t="shared" si="338"/>
        <v>126.6152344</v>
      </c>
      <c r="DF281" s="55">
        <f t="shared" si="338"/>
        <v>126.6152344</v>
      </c>
      <c r="DG281" s="55">
        <f t="shared" si="338"/>
        <v>140.5429102</v>
      </c>
      <c r="DH281" s="55">
        <f t="shared" si="338"/>
        <v>148.1398242</v>
      </c>
      <c r="DI281" s="55">
        <f t="shared" si="338"/>
        <v>155.7367383</v>
      </c>
      <c r="DJ281" s="55">
        <f t="shared" si="338"/>
        <v>163.3336523</v>
      </c>
      <c r="DK281" s="55">
        <f t="shared" si="338"/>
        <v>170.9305664</v>
      </c>
      <c r="DL281" s="55">
        <f t="shared" si="338"/>
        <v>170.9305664</v>
      </c>
      <c r="DM281" s="55">
        <f t="shared" si="338"/>
        <v>170.9305664</v>
      </c>
      <c r="DN281" s="55">
        <f t="shared" si="338"/>
        <v>170.9305664</v>
      </c>
      <c r="DO281" s="55">
        <f t="shared" si="338"/>
        <v>170.9305664</v>
      </c>
      <c r="DP281" s="55">
        <f t="shared" si="338"/>
        <v>170.9305664</v>
      </c>
      <c r="DQ281" s="55">
        <f t="shared" si="338"/>
        <v>170.9305664</v>
      </c>
      <c r="DR281" s="55">
        <f t="shared" si="338"/>
        <v>170.9305664</v>
      </c>
    </row>
    <row r="282" ht="4.5" customHeight="1"/>
    <row r="283" ht="15.75" customHeight="1">
      <c r="B283" s="60" t="s">
        <v>142</v>
      </c>
      <c r="C283" s="60"/>
      <c r="E283" s="61">
        <f t="shared" ref="E283:M283" si="339">+SUMIFS($O283:$DR283,$O$7:$DR$7,E$7)</f>
        <v>1822.866</v>
      </c>
      <c r="F283" s="61">
        <f t="shared" si="339"/>
        <v>870.59</v>
      </c>
      <c r="G283" s="61">
        <f t="shared" si="339"/>
        <v>1161.261</v>
      </c>
      <c r="H283" s="61">
        <f t="shared" si="339"/>
        <v>1119.288</v>
      </c>
      <c r="I283" s="61">
        <f t="shared" si="339"/>
        <v>1576.894416</v>
      </c>
      <c r="J283" s="61">
        <f t="shared" si="339"/>
        <v>2504.140625</v>
      </c>
      <c r="K283" s="61">
        <f t="shared" si="339"/>
        <v>3438.421875</v>
      </c>
      <c r="L283" s="61">
        <f t="shared" si="339"/>
        <v>4625.676563</v>
      </c>
      <c r="M283" s="61">
        <f t="shared" si="339"/>
        <v>5917.996055</v>
      </c>
      <c r="O283" s="61">
        <f t="shared" ref="O283:Z283" si="340">SUM(O261,O266,O271,O276,O281)</f>
        <v>165.914</v>
      </c>
      <c r="P283" s="61">
        <f t="shared" si="340"/>
        <v>213.202</v>
      </c>
      <c r="Q283" s="61">
        <f t="shared" si="340"/>
        <v>254.25</v>
      </c>
      <c r="R283" s="61">
        <f t="shared" si="340"/>
        <v>255.466</v>
      </c>
      <c r="S283" s="61">
        <f t="shared" si="340"/>
        <v>114.852</v>
      </c>
      <c r="T283" s="61">
        <f t="shared" si="340"/>
        <v>144.786</v>
      </c>
      <c r="U283" s="61">
        <f t="shared" si="340"/>
        <v>123.556</v>
      </c>
      <c r="V283" s="61">
        <f t="shared" si="340"/>
        <v>50.994</v>
      </c>
      <c r="W283" s="61">
        <f t="shared" si="340"/>
        <v>224.896</v>
      </c>
      <c r="X283" s="61">
        <f t="shared" si="340"/>
        <v>120.994</v>
      </c>
      <c r="Y283" s="61">
        <f t="shared" si="340"/>
        <v>169.898</v>
      </c>
      <c r="Z283" s="61">
        <f t="shared" si="340"/>
        <v>-15.942</v>
      </c>
      <c r="AA283" s="61">
        <f t="shared" ref="AA283:BV283" si="341">+SUM(AA266,AA271,AA276,AA281)</f>
        <v>66.898</v>
      </c>
      <c r="AB283" s="61">
        <f t="shared" si="341"/>
        <v>44.297</v>
      </c>
      <c r="AC283" s="61">
        <f t="shared" si="341"/>
        <v>34.045</v>
      </c>
      <c r="AD283" s="61">
        <f t="shared" si="341"/>
        <v>61.763</v>
      </c>
      <c r="AE283" s="61">
        <f t="shared" si="341"/>
        <v>64.993</v>
      </c>
      <c r="AF283" s="61">
        <f t="shared" si="341"/>
        <v>51.183</v>
      </c>
      <c r="AG283" s="61">
        <f t="shared" si="341"/>
        <v>51.977</v>
      </c>
      <c r="AH283" s="61">
        <f t="shared" si="341"/>
        <v>78.893</v>
      </c>
      <c r="AI283" s="61">
        <f t="shared" si="341"/>
        <v>70.843</v>
      </c>
      <c r="AJ283" s="61">
        <f t="shared" si="341"/>
        <v>130.411</v>
      </c>
      <c r="AK283" s="61">
        <f t="shared" si="341"/>
        <v>90.522</v>
      </c>
      <c r="AL283" s="61">
        <f t="shared" si="341"/>
        <v>124.765</v>
      </c>
      <c r="AM283" s="61">
        <f t="shared" si="341"/>
        <v>56.485</v>
      </c>
      <c r="AN283" s="61">
        <f t="shared" si="341"/>
        <v>63.314</v>
      </c>
      <c r="AO283" s="61">
        <f t="shared" si="341"/>
        <v>41.226</v>
      </c>
      <c r="AP283" s="61">
        <f t="shared" si="341"/>
        <v>102.703</v>
      </c>
      <c r="AQ283" s="61">
        <f t="shared" si="341"/>
        <v>53.489</v>
      </c>
      <c r="AR283" s="61">
        <f t="shared" si="341"/>
        <v>94.926</v>
      </c>
      <c r="AS283" s="61">
        <f t="shared" si="341"/>
        <v>86.178</v>
      </c>
      <c r="AT283" s="61">
        <f t="shared" si="341"/>
        <v>93.925</v>
      </c>
      <c r="AU283" s="61">
        <f t="shared" si="341"/>
        <v>164.266</v>
      </c>
      <c r="AV283" s="61">
        <f t="shared" si="341"/>
        <v>181.558</v>
      </c>
      <c r="AW283" s="61">
        <f t="shared" si="341"/>
        <v>130.177</v>
      </c>
      <c r="AX283" s="61">
        <f t="shared" si="341"/>
        <v>93.014</v>
      </c>
      <c r="AY283" s="61">
        <f t="shared" si="341"/>
        <v>22.406</v>
      </c>
      <c r="AZ283" s="61">
        <f t="shared" si="341"/>
        <v>51.578</v>
      </c>
      <c r="BA283" s="61">
        <f t="shared" si="341"/>
        <v>84.92</v>
      </c>
      <c r="BB283" s="61">
        <f t="shared" si="341"/>
        <v>135.501</v>
      </c>
      <c r="BC283" s="61">
        <f t="shared" si="341"/>
        <v>81.44</v>
      </c>
      <c r="BD283" s="61">
        <f t="shared" si="341"/>
        <v>155.254</v>
      </c>
      <c r="BE283" s="61">
        <f t="shared" si="341"/>
        <v>162.502</v>
      </c>
      <c r="BF283" s="61">
        <f t="shared" si="341"/>
        <v>66.426</v>
      </c>
      <c r="BG283" s="61">
        <f t="shared" si="341"/>
        <v>137.231</v>
      </c>
      <c r="BH283" s="61">
        <f t="shared" si="341"/>
        <v>101.071</v>
      </c>
      <c r="BI283" s="61">
        <f t="shared" si="341"/>
        <v>102.45</v>
      </c>
      <c r="BJ283" s="61">
        <f t="shared" si="341"/>
        <v>18.509</v>
      </c>
      <c r="BK283" s="61">
        <f t="shared" si="341"/>
        <v>57.271</v>
      </c>
      <c r="BL283" s="61">
        <f t="shared" si="341"/>
        <v>89.89</v>
      </c>
      <c r="BM283" s="61">
        <f t="shared" si="341"/>
        <v>129.302</v>
      </c>
      <c r="BN283" s="61">
        <f t="shared" si="341"/>
        <v>92.79759083</v>
      </c>
      <c r="BO283" s="61">
        <f t="shared" si="341"/>
        <v>132.0155431</v>
      </c>
      <c r="BP283" s="61">
        <f t="shared" si="341"/>
        <v>109.5426022</v>
      </c>
      <c r="BQ283" s="61">
        <f t="shared" si="341"/>
        <v>130.9674218</v>
      </c>
      <c r="BR283" s="61">
        <f t="shared" si="341"/>
        <v>140.4762863</v>
      </c>
      <c r="BS283" s="61">
        <f t="shared" si="341"/>
        <v>157.6792984</v>
      </c>
      <c r="BT283" s="61">
        <f t="shared" si="341"/>
        <v>172.255712</v>
      </c>
      <c r="BU283" s="61">
        <f t="shared" si="341"/>
        <v>180.7971197</v>
      </c>
      <c r="BV283" s="61">
        <f t="shared" si="341"/>
        <v>183.8998419</v>
      </c>
      <c r="BW283" s="61">
        <f t="shared" ref="BW283:DR283" si="342">SUM(BW261,BW266,BW271,BW276,BW281)</f>
        <v>131.796875</v>
      </c>
      <c r="BX283" s="61">
        <f t="shared" si="342"/>
        <v>150.5729167</v>
      </c>
      <c r="BY283" s="61">
        <f t="shared" si="342"/>
        <v>169.3489583</v>
      </c>
      <c r="BZ283" s="61">
        <f t="shared" si="342"/>
        <v>184.296875</v>
      </c>
      <c r="CA283" s="61">
        <f t="shared" si="342"/>
        <v>199.2447917</v>
      </c>
      <c r="CB283" s="61">
        <f t="shared" si="342"/>
        <v>210.9114583</v>
      </c>
      <c r="CC283" s="61">
        <f t="shared" si="342"/>
        <v>222.578125</v>
      </c>
      <c r="CD283" s="61">
        <f t="shared" si="342"/>
        <v>231.328125</v>
      </c>
      <c r="CE283" s="61">
        <f t="shared" si="342"/>
        <v>240.078125</v>
      </c>
      <c r="CF283" s="61">
        <f t="shared" si="342"/>
        <v>248.828125</v>
      </c>
      <c r="CG283" s="61">
        <f t="shared" si="342"/>
        <v>257.578125</v>
      </c>
      <c r="CH283" s="61">
        <f t="shared" si="342"/>
        <v>257.578125</v>
      </c>
      <c r="CI283" s="61">
        <f t="shared" si="342"/>
        <v>273.5195313</v>
      </c>
      <c r="CJ283" s="61">
        <f t="shared" si="342"/>
        <v>276.5820313</v>
      </c>
      <c r="CK283" s="61">
        <f t="shared" si="342"/>
        <v>279.6445313</v>
      </c>
      <c r="CL283" s="61">
        <f t="shared" si="342"/>
        <v>282.7070313</v>
      </c>
      <c r="CM283" s="61">
        <f t="shared" si="342"/>
        <v>285.7695313</v>
      </c>
      <c r="CN283" s="61">
        <f t="shared" si="342"/>
        <v>288.8320313</v>
      </c>
      <c r="CO283" s="61">
        <f t="shared" si="342"/>
        <v>291.8945313</v>
      </c>
      <c r="CP283" s="61">
        <f t="shared" si="342"/>
        <v>291.8945313</v>
      </c>
      <c r="CQ283" s="61">
        <f t="shared" si="342"/>
        <v>291.8945313</v>
      </c>
      <c r="CR283" s="61">
        <f t="shared" si="342"/>
        <v>291.8945313</v>
      </c>
      <c r="CS283" s="61">
        <f t="shared" si="342"/>
        <v>291.8945313</v>
      </c>
      <c r="CT283" s="61">
        <f t="shared" si="342"/>
        <v>291.8945313</v>
      </c>
      <c r="CU283" s="61">
        <f t="shared" si="342"/>
        <v>323.7732422</v>
      </c>
      <c r="CV283" s="61">
        <f t="shared" si="342"/>
        <v>341.0572266</v>
      </c>
      <c r="CW283" s="61">
        <f t="shared" si="342"/>
        <v>358.3412109</v>
      </c>
      <c r="CX283" s="61">
        <f t="shared" si="342"/>
        <v>375.6251953</v>
      </c>
      <c r="CY283" s="61">
        <f t="shared" si="342"/>
        <v>392.9091797</v>
      </c>
      <c r="CZ283" s="61">
        <f t="shared" si="342"/>
        <v>399.3404297</v>
      </c>
      <c r="DA283" s="61">
        <f t="shared" si="342"/>
        <v>405.7716797</v>
      </c>
      <c r="DB283" s="61">
        <f t="shared" si="342"/>
        <v>405.7716797</v>
      </c>
      <c r="DC283" s="61">
        <f t="shared" si="342"/>
        <v>405.7716797</v>
      </c>
      <c r="DD283" s="61">
        <f t="shared" si="342"/>
        <v>405.7716797</v>
      </c>
      <c r="DE283" s="61">
        <f t="shared" si="342"/>
        <v>405.7716797</v>
      </c>
      <c r="DF283" s="61">
        <f t="shared" si="342"/>
        <v>405.7716797</v>
      </c>
      <c r="DG283" s="61">
        <f t="shared" si="342"/>
        <v>440.4099902</v>
      </c>
      <c r="DH283" s="61">
        <f t="shared" si="342"/>
        <v>454.7597168</v>
      </c>
      <c r="DI283" s="61">
        <f t="shared" si="342"/>
        <v>469.1094434</v>
      </c>
      <c r="DJ283" s="61">
        <f t="shared" si="342"/>
        <v>483.4591699</v>
      </c>
      <c r="DK283" s="61">
        <f t="shared" si="342"/>
        <v>497.8088965</v>
      </c>
      <c r="DL283" s="61">
        <f t="shared" si="342"/>
        <v>504.561709</v>
      </c>
      <c r="DM283" s="61">
        <f t="shared" si="342"/>
        <v>511.3145215</v>
      </c>
      <c r="DN283" s="61">
        <f t="shared" si="342"/>
        <v>511.3145215</v>
      </c>
      <c r="DO283" s="61">
        <f t="shared" si="342"/>
        <v>511.3145215</v>
      </c>
      <c r="DP283" s="61">
        <f t="shared" si="342"/>
        <v>511.3145215</v>
      </c>
      <c r="DQ283" s="61">
        <f t="shared" si="342"/>
        <v>511.3145215</v>
      </c>
      <c r="DR283" s="61">
        <f t="shared" si="342"/>
        <v>511.3145215</v>
      </c>
    </row>
    <row r="284" ht="15.75" customHeight="1">
      <c r="A284" s="76"/>
      <c r="B284" s="76"/>
      <c r="C284" s="76"/>
      <c r="D284" s="76"/>
      <c r="E284" s="114"/>
      <c r="F284" s="114"/>
      <c r="G284" s="114"/>
      <c r="H284" s="114"/>
      <c r="I284" s="114"/>
      <c r="J284" s="115"/>
      <c r="K284" s="115"/>
      <c r="L284" s="115"/>
      <c r="M284" s="115"/>
      <c r="N284" s="76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15"/>
      <c r="AH284" s="115"/>
      <c r="AI284" s="115"/>
      <c r="AJ284" s="115"/>
      <c r="AK284" s="115"/>
      <c r="AL284" s="115"/>
      <c r="AM284" s="115"/>
      <c r="AN284" s="115"/>
      <c r="AO284" s="115"/>
      <c r="AP284" s="115"/>
      <c r="AQ284" s="115"/>
      <c r="AR284" s="115"/>
      <c r="AS284" s="115"/>
      <c r="AT284" s="115"/>
      <c r="AU284" s="115"/>
      <c r="AV284" s="115"/>
      <c r="AW284" s="115"/>
      <c r="AX284" s="115"/>
      <c r="AY284" s="115"/>
      <c r="AZ284" s="115"/>
      <c r="BA284" s="115"/>
      <c r="BB284" s="115"/>
      <c r="BC284" s="115"/>
      <c r="BD284" s="115"/>
      <c r="BE284" s="115"/>
      <c r="BF284" s="115"/>
      <c r="BG284" s="115"/>
      <c r="BH284" s="115"/>
      <c r="BI284" s="115"/>
      <c r="BJ284" s="115"/>
      <c r="BK284" s="114">
        <v>0.0</v>
      </c>
      <c r="BL284" s="114">
        <v>0.0</v>
      </c>
      <c r="BM284" s="114">
        <v>0.0</v>
      </c>
      <c r="BN284" s="114">
        <v>0.0</v>
      </c>
      <c r="BO284" s="114">
        <v>0.0</v>
      </c>
      <c r="BP284" s="114">
        <v>0.0</v>
      </c>
      <c r="BQ284" s="114">
        <v>19.479203754478448</v>
      </c>
      <c r="BR284" s="114">
        <v>-1.0415924910431045</v>
      </c>
      <c r="BS284" s="114">
        <v>-9.062388736564657</v>
      </c>
      <c r="BT284" s="114">
        <v>-19.583184982086237</v>
      </c>
      <c r="BU284" s="114">
        <v>-9.853981227607761</v>
      </c>
      <c r="BV284" s="114">
        <v>20.421072526870688</v>
      </c>
      <c r="BW284" s="115"/>
      <c r="BX284" s="115"/>
      <c r="BY284" s="115"/>
      <c r="BZ284" s="115"/>
      <c r="CA284" s="115"/>
      <c r="CB284" s="115"/>
      <c r="CC284" s="115"/>
      <c r="CD284" s="115"/>
      <c r="CE284" s="115"/>
      <c r="CF284" s="115"/>
      <c r="CG284" s="115"/>
      <c r="CH284" s="115"/>
      <c r="CI284" s="115"/>
      <c r="CJ284" s="115"/>
      <c r="CK284" s="115"/>
      <c r="CL284" s="115"/>
      <c r="CM284" s="115"/>
      <c r="CN284" s="115"/>
      <c r="CO284" s="115"/>
      <c r="CP284" s="115"/>
      <c r="CQ284" s="115"/>
      <c r="CR284" s="115"/>
      <c r="CS284" s="115"/>
      <c r="CT284" s="115"/>
      <c r="CU284" s="115"/>
      <c r="CV284" s="115"/>
      <c r="CW284" s="115"/>
      <c r="CX284" s="115"/>
      <c r="CY284" s="115"/>
      <c r="CZ284" s="115"/>
      <c r="DA284" s="115"/>
      <c r="DB284" s="115"/>
      <c r="DC284" s="115"/>
      <c r="DD284" s="115"/>
      <c r="DE284" s="115"/>
      <c r="DF284" s="115"/>
      <c r="DG284" s="115"/>
      <c r="DH284" s="115"/>
      <c r="DI284" s="115"/>
      <c r="DJ284" s="115"/>
      <c r="DK284" s="115"/>
      <c r="DL284" s="115"/>
      <c r="DM284" s="115"/>
      <c r="DN284" s="115"/>
      <c r="DO284" s="115"/>
      <c r="DP284" s="115"/>
      <c r="DQ284" s="115"/>
      <c r="DR284" s="115"/>
      <c r="DS284" s="76"/>
      <c r="DT284" s="76"/>
      <c r="DU284" s="76"/>
      <c r="DV284" s="76"/>
      <c r="DW284" s="76"/>
      <c r="DX284" s="76"/>
    </row>
    <row r="285" ht="15.75" customHeight="1">
      <c r="B285" s="71" t="s">
        <v>45</v>
      </c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71"/>
      <c r="AJ285" s="71"/>
      <c r="AK285" s="71"/>
      <c r="AL285" s="71"/>
      <c r="AM285" s="71"/>
      <c r="AN285" s="71"/>
      <c r="AO285" s="71"/>
      <c r="AP285" s="71"/>
      <c r="AQ285" s="71"/>
      <c r="AR285" s="71"/>
      <c r="AS285" s="71"/>
      <c r="AT285" s="71"/>
      <c r="AU285" s="71"/>
      <c r="AV285" s="71"/>
      <c r="AW285" s="71"/>
      <c r="AX285" s="71"/>
      <c r="AY285" s="71"/>
      <c r="AZ285" s="71"/>
      <c r="BA285" s="71"/>
      <c r="BB285" s="71"/>
      <c r="BC285" s="71"/>
      <c r="BD285" s="71"/>
      <c r="BE285" s="71"/>
      <c r="BF285" s="71"/>
      <c r="BG285" s="71"/>
      <c r="BH285" s="71"/>
      <c r="BI285" s="71"/>
      <c r="BJ285" s="71"/>
      <c r="BK285" s="71"/>
      <c r="BL285" s="71"/>
      <c r="BM285" s="71"/>
      <c r="BN285" s="71"/>
      <c r="BO285" s="71"/>
      <c r="BP285" s="71"/>
      <c r="BQ285" s="71"/>
      <c r="BR285" s="71"/>
      <c r="BS285" s="71"/>
      <c r="BT285" s="71"/>
      <c r="BU285" s="71"/>
      <c r="BV285" s="71"/>
      <c r="BW285" s="71"/>
      <c r="BX285" s="71"/>
      <c r="BY285" s="71"/>
      <c r="BZ285" s="71"/>
      <c r="CA285" s="71"/>
      <c r="CB285" s="71"/>
      <c r="CC285" s="71"/>
      <c r="CD285" s="71"/>
      <c r="CE285" s="71"/>
      <c r="CF285" s="71"/>
      <c r="CG285" s="71"/>
      <c r="CH285" s="71"/>
      <c r="CI285" s="71"/>
      <c r="CJ285" s="71"/>
      <c r="CK285" s="71"/>
      <c r="CL285" s="71"/>
      <c r="CM285" s="71"/>
      <c r="CN285" s="71"/>
      <c r="CO285" s="71"/>
      <c r="CP285" s="71"/>
      <c r="CQ285" s="71"/>
      <c r="CR285" s="71"/>
      <c r="CS285" s="71"/>
      <c r="CT285" s="71"/>
      <c r="CU285" s="71"/>
      <c r="CV285" s="71"/>
      <c r="CW285" s="71"/>
      <c r="CX285" s="71"/>
      <c r="CY285" s="71"/>
      <c r="CZ285" s="71"/>
      <c r="DA285" s="71"/>
      <c r="DB285" s="71"/>
      <c r="DC285" s="71"/>
      <c r="DD285" s="71"/>
      <c r="DE285" s="71"/>
      <c r="DF285" s="71"/>
      <c r="DG285" s="71"/>
      <c r="DH285" s="71"/>
      <c r="DI285" s="71"/>
      <c r="DJ285" s="71"/>
      <c r="DK285" s="71"/>
      <c r="DL285" s="71"/>
      <c r="DM285" s="71"/>
      <c r="DN285" s="71"/>
      <c r="DO285" s="71"/>
      <c r="DP285" s="71"/>
      <c r="DQ285" s="71"/>
      <c r="DR285" s="71"/>
      <c r="DS285" s="71"/>
      <c r="DT285" s="71"/>
      <c r="DU285" s="71"/>
      <c r="DV285" s="71"/>
      <c r="DW285" s="71"/>
    </row>
    <row r="286" ht="4.5" customHeight="1"/>
    <row r="287" ht="15.75" customHeight="1">
      <c r="B287" s="60" t="s">
        <v>143</v>
      </c>
      <c r="C287" s="60"/>
      <c r="E287" s="116"/>
      <c r="F287" s="61">
        <f t="shared" ref="F287:M287" si="343">+SUMIFS($O287:$DR287,$O$7:$DR$7,F$7)</f>
        <v>34.39</v>
      </c>
      <c r="G287" s="61">
        <f t="shared" si="343"/>
        <v>66.10265</v>
      </c>
      <c r="H287" s="61">
        <f t="shared" si="343"/>
        <v>124.94943</v>
      </c>
      <c r="I287" s="61">
        <f t="shared" si="343"/>
        <v>105.9</v>
      </c>
      <c r="J287" s="61">
        <f t="shared" si="343"/>
        <v>125</v>
      </c>
      <c r="K287" s="61">
        <f t="shared" si="343"/>
        <v>131.25</v>
      </c>
      <c r="L287" s="61">
        <f t="shared" si="343"/>
        <v>137.8125</v>
      </c>
      <c r="M287" s="61">
        <f t="shared" si="343"/>
        <v>144.703125</v>
      </c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  <c r="AA287" s="117">
        <v>1.75</v>
      </c>
      <c r="AB287" s="117">
        <v>1.75</v>
      </c>
      <c r="AC287" s="117">
        <v>1.75</v>
      </c>
      <c r="AD287" s="117">
        <v>1.75</v>
      </c>
      <c r="AE287" s="117">
        <v>1.75</v>
      </c>
      <c r="AF287" s="117">
        <v>1.75</v>
      </c>
      <c r="AG287" s="117">
        <v>1.75</v>
      </c>
      <c r="AH287" s="117">
        <v>1.75</v>
      </c>
      <c r="AI287" s="117">
        <v>2.922</v>
      </c>
      <c r="AJ287" s="117">
        <v>8.231</v>
      </c>
      <c r="AK287" s="117">
        <v>1.75</v>
      </c>
      <c r="AL287" s="117">
        <v>7.487</v>
      </c>
      <c r="AM287" s="117">
        <v>2.46512</v>
      </c>
      <c r="AN287" s="117">
        <v>2.466</v>
      </c>
      <c r="AO287" s="117">
        <v>9.53552</v>
      </c>
      <c r="AP287" s="117">
        <v>3.29663</v>
      </c>
      <c r="AQ287" s="117">
        <v>2.466</v>
      </c>
      <c r="AR287" s="117">
        <v>16.51975</v>
      </c>
      <c r="AS287" s="117">
        <v>3.34179</v>
      </c>
      <c r="AT287" s="117">
        <v>2.466</v>
      </c>
      <c r="AU287" s="117">
        <v>12.663</v>
      </c>
      <c r="AV287" s="117">
        <v>2.466</v>
      </c>
      <c r="AW287" s="117">
        <v>2.466</v>
      </c>
      <c r="AX287" s="117">
        <v>5.95084</v>
      </c>
      <c r="AY287" s="117">
        <v>2.466</v>
      </c>
      <c r="AZ287" s="117">
        <v>2.466</v>
      </c>
      <c r="BA287" s="117">
        <v>11.48221</v>
      </c>
      <c r="BB287" s="117">
        <v>10.71914</v>
      </c>
      <c r="BC287" s="117">
        <v>10.88324</v>
      </c>
      <c r="BD287" s="117">
        <v>2.73574</v>
      </c>
      <c r="BE287" s="117">
        <v>5.94464</v>
      </c>
      <c r="BF287" s="117">
        <v>15.229</v>
      </c>
      <c r="BG287" s="117">
        <v>2.908</v>
      </c>
      <c r="BH287" s="117">
        <v>28.28978</v>
      </c>
      <c r="BI287" s="117">
        <v>9.366</v>
      </c>
      <c r="BJ287" s="117">
        <v>22.45968</v>
      </c>
      <c r="BK287" s="117">
        <v>18.802</v>
      </c>
      <c r="BL287" s="117">
        <v>2.466</v>
      </c>
      <c r="BM287" s="117">
        <v>8.4632</v>
      </c>
      <c r="BN287" s="117">
        <v>8.463199999999999</v>
      </c>
      <c r="BO287" s="117">
        <v>8.4632</v>
      </c>
      <c r="BP287" s="117">
        <v>8.4632</v>
      </c>
      <c r="BQ287" s="117">
        <v>8.463199999999999</v>
      </c>
      <c r="BR287" s="117">
        <v>8.4632</v>
      </c>
      <c r="BS287" s="117">
        <v>8.463199999999999</v>
      </c>
      <c r="BT287" s="117">
        <v>8.463199999999999</v>
      </c>
      <c r="BU287" s="117">
        <v>8.463199999999995</v>
      </c>
      <c r="BV287" s="117">
        <v>8.463199999999988</v>
      </c>
      <c r="BW287" s="118">
        <f>+SUMIFS(Revenue_Assumptions!$E$58:$M$58,Revenue_Assumptions!$E$7:$M$7,BW$7)/12</f>
        <v>10.41666667</v>
      </c>
      <c r="BX287" s="118">
        <f>+SUMIFS(Revenue_Assumptions!$E$58:$M$58,Revenue_Assumptions!$E$7:$M$7,BX$7)/12</f>
        <v>10.41666667</v>
      </c>
      <c r="BY287" s="118">
        <f>+SUMIFS(Revenue_Assumptions!$E$58:$M$58,Revenue_Assumptions!$E$7:$M$7,BY$7)/12</f>
        <v>10.41666667</v>
      </c>
      <c r="BZ287" s="118">
        <f>+SUMIFS(Revenue_Assumptions!$E$58:$M$58,Revenue_Assumptions!$E$7:$M$7,BZ$7)/12</f>
        <v>10.41666667</v>
      </c>
      <c r="CA287" s="118">
        <f>+SUMIFS(Revenue_Assumptions!$E$58:$M$58,Revenue_Assumptions!$E$7:$M$7,CA$7)/12</f>
        <v>10.41666667</v>
      </c>
      <c r="CB287" s="118">
        <f>+SUMIFS(Revenue_Assumptions!$E$58:$M$58,Revenue_Assumptions!$E$7:$M$7,CB$7)/12</f>
        <v>10.41666667</v>
      </c>
      <c r="CC287" s="118">
        <f>+SUMIFS(Revenue_Assumptions!$E$58:$M$58,Revenue_Assumptions!$E$7:$M$7,CC$7)/12</f>
        <v>10.41666667</v>
      </c>
      <c r="CD287" s="118">
        <f>+SUMIFS(Revenue_Assumptions!$E$58:$M$58,Revenue_Assumptions!$E$7:$M$7,CD$7)/12</f>
        <v>10.41666667</v>
      </c>
      <c r="CE287" s="118">
        <f>+SUMIFS(Revenue_Assumptions!$E$58:$M$58,Revenue_Assumptions!$E$7:$M$7,CE$7)/12</f>
        <v>10.41666667</v>
      </c>
      <c r="CF287" s="118">
        <f>+SUMIFS(Revenue_Assumptions!$E$58:$M$58,Revenue_Assumptions!$E$7:$M$7,CF$7)/12</f>
        <v>10.41666667</v>
      </c>
      <c r="CG287" s="118">
        <f>+SUMIFS(Revenue_Assumptions!$E$58:$M$58,Revenue_Assumptions!$E$7:$M$7,CG$7)/12</f>
        <v>10.41666667</v>
      </c>
      <c r="CH287" s="118">
        <f>+SUMIFS(Revenue_Assumptions!$E$58:$M$58,Revenue_Assumptions!$E$7:$M$7,CH$7)/12</f>
        <v>10.41666667</v>
      </c>
      <c r="CI287" s="118">
        <f>+SUMIFS(Revenue_Assumptions!$E$58:$M$58,Revenue_Assumptions!$E$7:$M$7,CI$7)/12</f>
        <v>10.9375</v>
      </c>
      <c r="CJ287" s="118">
        <f>+SUMIFS(Revenue_Assumptions!$E$58:$M$58,Revenue_Assumptions!$E$7:$M$7,CJ$7)/12</f>
        <v>10.9375</v>
      </c>
      <c r="CK287" s="118">
        <f>+SUMIFS(Revenue_Assumptions!$E$58:$M$58,Revenue_Assumptions!$E$7:$M$7,CK$7)/12</f>
        <v>10.9375</v>
      </c>
      <c r="CL287" s="118">
        <f>+SUMIFS(Revenue_Assumptions!$E$58:$M$58,Revenue_Assumptions!$E$7:$M$7,CL$7)/12</f>
        <v>10.9375</v>
      </c>
      <c r="CM287" s="118">
        <f>+SUMIFS(Revenue_Assumptions!$E$58:$M$58,Revenue_Assumptions!$E$7:$M$7,CM$7)/12</f>
        <v>10.9375</v>
      </c>
      <c r="CN287" s="118">
        <f>+SUMIFS(Revenue_Assumptions!$E$58:$M$58,Revenue_Assumptions!$E$7:$M$7,CN$7)/12</f>
        <v>10.9375</v>
      </c>
      <c r="CO287" s="118">
        <f>+SUMIFS(Revenue_Assumptions!$E$58:$M$58,Revenue_Assumptions!$E$7:$M$7,CO$7)/12</f>
        <v>10.9375</v>
      </c>
      <c r="CP287" s="118">
        <f>+SUMIFS(Revenue_Assumptions!$E$58:$M$58,Revenue_Assumptions!$E$7:$M$7,CP$7)/12</f>
        <v>10.9375</v>
      </c>
      <c r="CQ287" s="118">
        <f>+SUMIFS(Revenue_Assumptions!$E$58:$M$58,Revenue_Assumptions!$E$7:$M$7,CQ$7)/12</f>
        <v>10.9375</v>
      </c>
      <c r="CR287" s="118">
        <f>+SUMIFS(Revenue_Assumptions!$E$58:$M$58,Revenue_Assumptions!$E$7:$M$7,CR$7)/12</f>
        <v>10.9375</v>
      </c>
      <c r="CS287" s="118">
        <f>+SUMIFS(Revenue_Assumptions!$E$58:$M$58,Revenue_Assumptions!$E$7:$M$7,CS$7)/12</f>
        <v>10.9375</v>
      </c>
      <c r="CT287" s="118">
        <f>+SUMIFS(Revenue_Assumptions!$E$58:$M$58,Revenue_Assumptions!$E$7:$M$7,CT$7)/12</f>
        <v>10.9375</v>
      </c>
      <c r="CU287" s="118">
        <f>+SUMIFS(Revenue_Assumptions!$E$58:$M$58,Revenue_Assumptions!$E$7:$M$7,CU$7)/12</f>
        <v>11.484375</v>
      </c>
      <c r="CV287" s="118">
        <f>+SUMIFS(Revenue_Assumptions!$E$58:$M$58,Revenue_Assumptions!$E$7:$M$7,CV$7)/12</f>
        <v>11.484375</v>
      </c>
      <c r="CW287" s="118">
        <f>+SUMIFS(Revenue_Assumptions!$E$58:$M$58,Revenue_Assumptions!$E$7:$M$7,CW$7)/12</f>
        <v>11.484375</v>
      </c>
      <c r="CX287" s="118">
        <f>+SUMIFS(Revenue_Assumptions!$E$58:$M$58,Revenue_Assumptions!$E$7:$M$7,CX$7)/12</f>
        <v>11.484375</v>
      </c>
      <c r="CY287" s="118">
        <f>+SUMIFS(Revenue_Assumptions!$E$58:$M$58,Revenue_Assumptions!$E$7:$M$7,CY$7)/12</f>
        <v>11.484375</v>
      </c>
      <c r="CZ287" s="118">
        <f>+SUMIFS(Revenue_Assumptions!$E$58:$M$58,Revenue_Assumptions!$E$7:$M$7,CZ$7)/12</f>
        <v>11.484375</v>
      </c>
      <c r="DA287" s="118">
        <f>+SUMIFS(Revenue_Assumptions!$E$58:$M$58,Revenue_Assumptions!$E$7:$M$7,DA$7)/12</f>
        <v>11.484375</v>
      </c>
      <c r="DB287" s="118">
        <f>+SUMIFS(Revenue_Assumptions!$E$58:$M$58,Revenue_Assumptions!$E$7:$M$7,DB$7)/12</f>
        <v>11.484375</v>
      </c>
      <c r="DC287" s="118">
        <f>+SUMIFS(Revenue_Assumptions!$E$58:$M$58,Revenue_Assumptions!$E$7:$M$7,DC$7)/12</f>
        <v>11.484375</v>
      </c>
      <c r="DD287" s="118">
        <f>+SUMIFS(Revenue_Assumptions!$E$58:$M$58,Revenue_Assumptions!$E$7:$M$7,DD$7)/12</f>
        <v>11.484375</v>
      </c>
      <c r="DE287" s="118">
        <f>+SUMIFS(Revenue_Assumptions!$E$58:$M$58,Revenue_Assumptions!$E$7:$M$7,DE$7)/12</f>
        <v>11.484375</v>
      </c>
      <c r="DF287" s="118">
        <f>+SUMIFS(Revenue_Assumptions!$E$58:$M$58,Revenue_Assumptions!$E$7:$M$7,DF$7)/12</f>
        <v>11.484375</v>
      </c>
      <c r="DG287" s="118">
        <f>+SUMIFS(Revenue_Assumptions!$E$58:$M$58,Revenue_Assumptions!$E$7:$M$7,DG$7)/12</f>
        <v>12.05859375</v>
      </c>
      <c r="DH287" s="118">
        <f>+SUMIFS(Revenue_Assumptions!$E$58:$M$58,Revenue_Assumptions!$E$7:$M$7,DH$7)/12</f>
        <v>12.05859375</v>
      </c>
      <c r="DI287" s="118">
        <f>+SUMIFS(Revenue_Assumptions!$E$58:$M$58,Revenue_Assumptions!$E$7:$M$7,DI$7)/12</f>
        <v>12.05859375</v>
      </c>
      <c r="DJ287" s="118">
        <f>+SUMIFS(Revenue_Assumptions!$E$58:$M$58,Revenue_Assumptions!$E$7:$M$7,DJ$7)/12</f>
        <v>12.05859375</v>
      </c>
      <c r="DK287" s="118">
        <f>+SUMIFS(Revenue_Assumptions!$E$58:$M$58,Revenue_Assumptions!$E$7:$M$7,DK$7)/12</f>
        <v>12.05859375</v>
      </c>
      <c r="DL287" s="118">
        <f>+SUMIFS(Revenue_Assumptions!$E$58:$M$58,Revenue_Assumptions!$E$7:$M$7,DL$7)/12</f>
        <v>12.05859375</v>
      </c>
      <c r="DM287" s="118">
        <f>+SUMIFS(Revenue_Assumptions!$E$58:$M$58,Revenue_Assumptions!$E$7:$M$7,DM$7)/12</f>
        <v>12.05859375</v>
      </c>
      <c r="DN287" s="118">
        <f>+SUMIFS(Revenue_Assumptions!$E$58:$M$58,Revenue_Assumptions!$E$7:$M$7,DN$7)/12</f>
        <v>12.05859375</v>
      </c>
      <c r="DO287" s="118">
        <f>+SUMIFS(Revenue_Assumptions!$E$58:$M$58,Revenue_Assumptions!$E$7:$M$7,DO$7)/12</f>
        <v>12.05859375</v>
      </c>
      <c r="DP287" s="118">
        <f>+SUMIFS(Revenue_Assumptions!$E$58:$M$58,Revenue_Assumptions!$E$7:$M$7,DP$7)/12</f>
        <v>12.05859375</v>
      </c>
      <c r="DQ287" s="118">
        <f>+SUMIFS(Revenue_Assumptions!$E$58:$M$58,Revenue_Assumptions!$E$7:$M$7,DQ$7)/12</f>
        <v>12.05859375</v>
      </c>
      <c r="DR287" s="118">
        <f>+SUMIFS(Revenue_Assumptions!$E$58:$M$58,Revenue_Assumptions!$E$7:$M$7,DR$7)/12</f>
        <v>12.05859375</v>
      </c>
    </row>
    <row r="288" ht="15.75" customHeight="1"/>
    <row r="289" ht="15.75" customHeight="1">
      <c r="B289" s="70" t="s">
        <v>144</v>
      </c>
      <c r="BT289" s="58"/>
      <c r="BU289" s="58"/>
      <c r="BV289" s="58"/>
    </row>
  </sheetData>
  <mergeCells count="1">
    <mergeCell ref="DT8:DW8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9.0" topLeftCell="E10" activePane="bottomRight" state="frozen"/>
      <selection activeCell="E1" sqref="E1" pane="topRight"/>
      <selection activeCell="A10" sqref="A10" pane="bottomLeft"/>
      <selection activeCell="E10" sqref="E10" pane="bottomRight"/>
    </sheetView>
  </sheetViews>
  <sheetFormatPr customHeight="1" defaultColWidth="14.43" defaultRowHeight="15.0" outlineLevelCol="1" outlineLevelRow="1"/>
  <cols>
    <col customWidth="1" min="1" max="1" width="2.57"/>
    <col customWidth="1" min="2" max="2" width="25.57"/>
    <col customWidth="1" min="3" max="3" width="10.57"/>
    <col customWidth="1" min="4" max="5" width="2.57"/>
    <col customWidth="1" min="6" max="13" width="12.57"/>
    <col customWidth="1" min="14" max="14" width="2.57"/>
    <col customWidth="1" hidden="1" min="15" max="26" width="2.57"/>
    <col customWidth="1" hidden="1" min="27" max="122" width="12.57" outlineLevel="1"/>
    <col customWidth="1" min="123" max="123" width="2.57"/>
  </cols>
  <sheetData>
    <row r="2">
      <c r="B2" s="31" t="s">
        <v>31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</row>
    <row r="3">
      <c r="B3" s="32" t="str">
        <f t="array" ref="B3">MID(CELL("filename",A1),FIND("]",CELL("filename",A1))+1,255)</f>
        <v>#VALUE!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</row>
    <row r="4">
      <c r="B4" s="32" t="s">
        <v>32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</row>
    <row r="5">
      <c r="B5" s="33" t="s">
        <v>33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</row>
    <row r="6" ht="4.5" customHeight="1"/>
    <row r="7">
      <c r="B7" s="34"/>
      <c r="C7" s="34"/>
      <c r="D7" s="34"/>
      <c r="E7" s="35"/>
      <c r="F7" s="36">
        <v>2019.0</v>
      </c>
      <c r="G7" s="36">
        <f t="shared" ref="G7:M7" si="1">+F7+1</f>
        <v>2020</v>
      </c>
      <c r="H7" s="36">
        <f t="shared" si="1"/>
        <v>2021</v>
      </c>
      <c r="I7" s="36">
        <f t="shared" si="1"/>
        <v>2022</v>
      </c>
      <c r="J7" s="36">
        <f t="shared" si="1"/>
        <v>2023</v>
      </c>
      <c r="K7" s="36">
        <f t="shared" si="1"/>
        <v>2024</v>
      </c>
      <c r="L7" s="36">
        <f t="shared" si="1"/>
        <v>2025</v>
      </c>
      <c r="M7" s="36">
        <f t="shared" si="1"/>
        <v>2026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>
        <f t="shared" ref="AA7:DR7" si="2">+YEAR(AA8)</f>
        <v>2019</v>
      </c>
      <c r="AB7" s="36">
        <f t="shared" si="2"/>
        <v>2019</v>
      </c>
      <c r="AC7" s="36">
        <f t="shared" si="2"/>
        <v>2019</v>
      </c>
      <c r="AD7" s="36">
        <f t="shared" si="2"/>
        <v>2019</v>
      </c>
      <c r="AE7" s="36">
        <f t="shared" si="2"/>
        <v>2019</v>
      </c>
      <c r="AF7" s="36">
        <f t="shared" si="2"/>
        <v>2019</v>
      </c>
      <c r="AG7" s="36">
        <f t="shared" si="2"/>
        <v>2019</v>
      </c>
      <c r="AH7" s="36">
        <f t="shared" si="2"/>
        <v>2019</v>
      </c>
      <c r="AI7" s="36">
        <f t="shared" si="2"/>
        <v>2019</v>
      </c>
      <c r="AJ7" s="36">
        <f t="shared" si="2"/>
        <v>2019</v>
      </c>
      <c r="AK7" s="36">
        <f t="shared" si="2"/>
        <v>2019</v>
      </c>
      <c r="AL7" s="36">
        <f t="shared" si="2"/>
        <v>2019</v>
      </c>
      <c r="AM7" s="36">
        <f t="shared" si="2"/>
        <v>2020</v>
      </c>
      <c r="AN7" s="36">
        <f t="shared" si="2"/>
        <v>2020</v>
      </c>
      <c r="AO7" s="36">
        <f t="shared" si="2"/>
        <v>2020</v>
      </c>
      <c r="AP7" s="36">
        <f t="shared" si="2"/>
        <v>2020</v>
      </c>
      <c r="AQ7" s="36">
        <f t="shared" si="2"/>
        <v>2020</v>
      </c>
      <c r="AR7" s="36">
        <f t="shared" si="2"/>
        <v>2020</v>
      </c>
      <c r="AS7" s="36">
        <f t="shared" si="2"/>
        <v>2020</v>
      </c>
      <c r="AT7" s="36">
        <f t="shared" si="2"/>
        <v>2020</v>
      </c>
      <c r="AU7" s="36">
        <f t="shared" si="2"/>
        <v>2020</v>
      </c>
      <c r="AV7" s="36">
        <f t="shared" si="2"/>
        <v>2020</v>
      </c>
      <c r="AW7" s="36">
        <f t="shared" si="2"/>
        <v>2020</v>
      </c>
      <c r="AX7" s="36">
        <f t="shared" si="2"/>
        <v>2020</v>
      </c>
      <c r="AY7" s="36">
        <f t="shared" si="2"/>
        <v>2021</v>
      </c>
      <c r="AZ7" s="36">
        <f t="shared" si="2"/>
        <v>2021</v>
      </c>
      <c r="BA7" s="36">
        <f t="shared" si="2"/>
        <v>2021</v>
      </c>
      <c r="BB7" s="36">
        <f t="shared" si="2"/>
        <v>2021</v>
      </c>
      <c r="BC7" s="36">
        <f t="shared" si="2"/>
        <v>2021</v>
      </c>
      <c r="BD7" s="36">
        <f t="shared" si="2"/>
        <v>2021</v>
      </c>
      <c r="BE7" s="36">
        <f t="shared" si="2"/>
        <v>2021</v>
      </c>
      <c r="BF7" s="36">
        <f t="shared" si="2"/>
        <v>2021</v>
      </c>
      <c r="BG7" s="36">
        <f t="shared" si="2"/>
        <v>2021</v>
      </c>
      <c r="BH7" s="36">
        <f t="shared" si="2"/>
        <v>2021</v>
      </c>
      <c r="BI7" s="36">
        <f t="shared" si="2"/>
        <v>2021</v>
      </c>
      <c r="BJ7" s="36">
        <f t="shared" si="2"/>
        <v>2021</v>
      </c>
      <c r="BK7" s="36">
        <f t="shared" si="2"/>
        <v>2022</v>
      </c>
      <c r="BL7" s="36">
        <f t="shared" si="2"/>
        <v>2022</v>
      </c>
      <c r="BM7" s="36">
        <f t="shared" si="2"/>
        <v>2022</v>
      </c>
      <c r="BN7" s="36">
        <f t="shared" si="2"/>
        <v>2022</v>
      </c>
      <c r="BO7" s="36">
        <f t="shared" si="2"/>
        <v>2022</v>
      </c>
      <c r="BP7" s="36">
        <f t="shared" si="2"/>
        <v>2022</v>
      </c>
      <c r="BQ7" s="36">
        <f t="shared" si="2"/>
        <v>2022</v>
      </c>
      <c r="BR7" s="36">
        <f t="shared" si="2"/>
        <v>2022</v>
      </c>
      <c r="BS7" s="36">
        <f t="shared" si="2"/>
        <v>2022</v>
      </c>
      <c r="BT7" s="36">
        <f t="shared" si="2"/>
        <v>2022</v>
      </c>
      <c r="BU7" s="36">
        <f t="shared" si="2"/>
        <v>2022</v>
      </c>
      <c r="BV7" s="36">
        <f t="shared" si="2"/>
        <v>2022</v>
      </c>
      <c r="BW7" s="36">
        <f t="shared" si="2"/>
        <v>2023</v>
      </c>
      <c r="BX7" s="36">
        <f t="shared" si="2"/>
        <v>2023</v>
      </c>
      <c r="BY7" s="36">
        <f t="shared" si="2"/>
        <v>2023</v>
      </c>
      <c r="BZ7" s="36">
        <f t="shared" si="2"/>
        <v>2023</v>
      </c>
      <c r="CA7" s="36">
        <f t="shared" si="2"/>
        <v>2023</v>
      </c>
      <c r="CB7" s="36">
        <f t="shared" si="2"/>
        <v>2023</v>
      </c>
      <c r="CC7" s="36">
        <f t="shared" si="2"/>
        <v>2023</v>
      </c>
      <c r="CD7" s="36">
        <f t="shared" si="2"/>
        <v>2023</v>
      </c>
      <c r="CE7" s="36">
        <f t="shared" si="2"/>
        <v>2023</v>
      </c>
      <c r="CF7" s="36">
        <f t="shared" si="2"/>
        <v>2023</v>
      </c>
      <c r="CG7" s="36">
        <f t="shared" si="2"/>
        <v>2023</v>
      </c>
      <c r="CH7" s="36">
        <f t="shared" si="2"/>
        <v>2023</v>
      </c>
      <c r="CI7" s="36">
        <f t="shared" si="2"/>
        <v>2024</v>
      </c>
      <c r="CJ7" s="36">
        <f t="shared" si="2"/>
        <v>2024</v>
      </c>
      <c r="CK7" s="36">
        <f t="shared" si="2"/>
        <v>2024</v>
      </c>
      <c r="CL7" s="36">
        <f t="shared" si="2"/>
        <v>2024</v>
      </c>
      <c r="CM7" s="36">
        <f t="shared" si="2"/>
        <v>2024</v>
      </c>
      <c r="CN7" s="36">
        <f t="shared" si="2"/>
        <v>2024</v>
      </c>
      <c r="CO7" s="36">
        <f t="shared" si="2"/>
        <v>2024</v>
      </c>
      <c r="CP7" s="36">
        <f t="shared" si="2"/>
        <v>2024</v>
      </c>
      <c r="CQ7" s="36">
        <f t="shared" si="2"/>
        <v>2024</v>
      </c>
      <c r="CR7" s="36">
        <f t="shared" si="2"/>
        <v>2024</v>
      </c>
      <c r="CS7" s="36">
        <f t="shared" si="2"/>
        <v>2024</v>
      </c>
      <c r="CT7" s="36">
        <f t="shared" si="2"/>
        <v>2024</v>
      </c>
      <c r="CU7" s="36">
        <f t="shared" si="2"/>
        <v>2025</v>
      </c>
      <c r="CV7" s="36">
        <f t="shared" si="2"/>
        <v>2025</v>
      </c>
      <c r="CW7" s="36">
        <f t="shared" si="2"/>
        <v>2025</v>
      </c>
      <c r="CX7" s="36">
        <f t="shared" si="2"/>
        <v>2025</v>
      </c>
      <c r="CY7" s="36">
        <f t="shared" si="2"/>
        <v>2025</v>
      </c>
      <c r="CZ7" s="36">
        <f t="shared" si="2"/>
        <v>2025</v>
      </c>
      <c r="DA7" s="36">
        <f t="shared" si="2"/>
        <v>2025</v>
      </c>
      <c r="DB7" s="36">
        <f t="shared" si="2"/>
        <v>2025</v>
      </c>
      <c r="DC7" s="36">
        <f t="shared" si="2"/>
        <v>2025</v>
      </c>
      <c r="DD7" s="36">
        <f t="shared" si="2"/>
        <v>2025</v>
      </c>
      <c r="DE7" s="36">
        <f t="shared" si="2"/>
        <v>2025</v>
      </c>
      <c r="DF7" s="36">
        <f t="shared" si="2"/>
        <v>2025</v>
      </c>
      <c r="DG7" s="36">
        <f t="shared" si="2"/>
        <v>2026</v>
      </c>
      <c r="DH7" s="36">
        <f t="shared" si="2"/>
        <v>2026</v>
      </c>
      <c r="DI7" s="36">
        <f t="shared" si="2"/>
        <v>2026</v>
      </c>
      <c r="DJ7" s="36">
        <f t="shared" si="2"/>
        <v>2026</v>
      </c>
      <c r="DK7" s="36">
        <f t="shared" si="2"/>
        <v>2026</v>
      </c>
      <c r="DL7" s="36">
        <f t="shared" si="2"/>
        <v>2026</v>
      </c>
      <c r="DM7" s="36">
        <f t="shared" si="2"/>
        <v>2026</v>
      </c>
      <c r="DN7" s="36">
        <f t="shared" si="2"/>
        <v>2026</v>
      </c>
      <c r="DO7" s="36">
        <f t="shared" si="2"/>
        <v>2026</v>
      </c>
      <c r="DP7" s="36">
        <f t="shared" si="2"/>
        <v>2026</v>
      </c>
      <c r="DQ7" s="36">
        <f t="shared" si="2"/>
        <v>2026</v>
      </c>
      <c r="DR7" s="36">
        <f t="shared" si="2"/>
        <v>2026</v>
      </c>
    </row>
    <row r="8">
      <c r="B8" s="34"/>
      <c r="C8" s="34"/>
      <c r="D8" s="34"/>
      <c r="E8" s="41"/>
      <c r="F8" s="42">
        <f t="shared" ref="F8:M8" si="3">+DATE(F7,12,31)</f>
        <v>43830</v>
      </c>
      <c r="G8" s="42">
        <f t="shared" si="3"/>
        <v>44196</v>
      </c>
      <c r="H8" s="42">
        <f t="shared" si="3"/>
        <v>44561</v>
      </c>
      <c r="I8" s="42">
        <f t="shared" si="3"/>
        <v>44926</v>
      </c>
      <c r="J8" s="42">
        <f t="shared" si="3"/>
        <v>45291</v>
      </c>
      <c r="K8" s="42">
        <f t="shared" si="3"/>
        <v>45657</v>
      </c>
      <c r="L8" s="42">
        <f t="shared" si="3"/>
        <v>46022</v>
      </c>
      <c r="M8" s="42">
        <f t="shared" si="3"/>
        <v>46387</v>
      </c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>
        <v>43496.0</v>
      </c>
      <c r="AB8" s="42">
        <f t="shared" ref="AB8:DR8" si="4">+EOMONTH(AA8,1)</f>
        <v>43524</v>
      </c>
      <c r="AC8" s="42">
        <f t="shared" si="4"/>
        <v>43555</v>
      </c>
      <c r="AD8" s="42">
        <f t="shared" si="4"/>
        <v>43585</v>
      </c>
      <c r="AE8" s="42">
        <f t="shared" si="4"/>
        <v>43616</v>
      </c>
      <c r="AF8" s="42">
        <f t="shared" si="4"/>
        <v>43646</v>
      </c>
      <c r="AG8" s="42">
        <f t="shared" si="4"/>
        <v>43677</v>
      </c>
      <c r="AH8" s="42">
        <f t="shared" si="4"/>
        <v>43708</v>
      </c>
      <c r="AI8" s="42">
        <f t="shared" si="4"/>
        <v>43738</v>
      </c>
      <c r="AJ8" s="42">
        <f t="shared" si="4"/>
        <v>43769</v>
      </c>
      <c r="AK8" s="42">
        <f t="shared" si="4"/>
        <v>43799</v>
      </c>
      <c r="AL8" s="42">
        <f t="shared" si="4"/>
        <v>43830</v>
      </c>
      <c r="AM8" s="42">
        <f t="shared" si="4"/>
        <v>43861</v>
      </c>
      <c r="AN8" s="42">
        <f t="shared" si="4"/>
        <v>43890</v>
      </c>
      <c r="AO8" s="42">
        <f t="shared" si="4"/>
        <v>43921</v>
      </c>
      <c r="AP8" s="42">
        <f t="shared" si="4"/>
        <v>43951</v>
      </c>
      <c r="AQ8" s="42">
        <f t="shared" si="4"/>
        <v>43982</v>
      </c>
      <c r="AR8" s="42">
        <f t="shared" si="4"/>
        <v>44012</v>
      </c>
      <c r="AS8" s="42">
        <f t="shared" si="4"/>
        <v>44043</v>
      </c>
      <c r="AT8" s="42">
        <f t="shared" si="4"/>
        <v>44074</v>
      </c>
      <c r="AU8" s="42">
        <f t="shared" si="4"/>
        <v>44104</v>
      </c>
      <c r="AV8" s="42">
        <f t="shared" si="4"/>
        <v>44135</v>
      </c>
      <c r="AW8" s="42">
        <f t="shared" si="4"/>
        <v>44165</v>
      </c>
      <c r="AX8" s="42">
        <f t="shared" si="4"/>
        <v>44196</v>
      </c>
      <c r="AY8" s="42">
        <f t="shared" si="4"/>
        <v>44227</v>
      </c>
      <c r="AZ8" s="42">
        <f t="shared" si="4"/>
        <v>44255</v>
      </c>
      <c r="BA8" s="42">
        <f t="shared" si="4"/>
        <v>44286</v>
      </c>
      <c r="BB8" s="42">
        <f t="shared" si="4"/>
        <v>44316</v>
      </c>
      <c r="BC8" s="42">
        <f t="shared" si="4"/>
        <v>44347</v>
      </c>
      <c r="BD8" s="42">
        <f t="shared" si="4"/>
        <v>44377</v>
      </c>
      <c r="BE8" s="42">
        <f t="shared" si="4"/>
        <v>44408</v>
      </c>
      <c r="BF8" s="42">
        <f t="shared" si="4"/>
        <v>44439</v>
      </c>
      <c r="BG8" s="42">
        <f t="shared" si="4"/>
        <v>44469</v>
      </c>
      <c r="BH8" s="42">
        <f t="shared" si="4"/>
        <v>44500</v>
      </c>
      <c r="BI8" s="42">
        <f t="shared" si="4"/>
        <v>44530</v>
      </c>
      <c r="BJ8" s="42">
        <f t="shared" si="4"/>
        <v>44561</v>
      </c>
      <c r="BK8" s="42">
        <f t="shared" si="4"/>
        <v>44592</v>
      </c>
      <c r="BL8" s="42">
        <f t="shared" si="4"/>
        <v>44620</v>
      </c>
      <c r="BM8" s="42">
        <f t="shared" si="4"/>
        <v>44651</v>
      </c>
      <c r="BN8" s="42">
        <f t="shared" si="4"/>
        <v>44681</v>
      </c>
      <c r="BO8" s="42">
        <f t="shared" si="4"/>
        <v>44712</v>
      </c>
      <c r="BP8" s="42">
        <f t="shared" si="4"/>
        <v>44742</v>
      </c>
      <c r="BQ8" s="42">
        <f t="shared" si="4"/>
        <v>44773</v>
      </c>
      <c r="BR8" s="42">
        <f t="shared" si="4"/>
        <v>44804</v>
      </c>
      <c r="BS8" s="42">
        <f t="shared" si="4"/>
        <v>44834</v>
      </c>
      <c r="BT8" s="42">
        <f t="shared" si="4"/>
        <v>44865</v>
      </c>
      <c r="BU8" s="42">
        <f t="shared" si="4"/>
        <v>44895</v>
      </c>
      <c r="BV8" s="42">
        <f t="shared" si="4"/>
        <v>44926</v>
      </c>
      <c r="BW8" s="42">
        <f t="shared" si="4"/>
        <v>44957</v>
      </c>
      <c r="BX8" s="42">
        <f t="shared" si="4"/>
        <v>44985</v>
      </c>
      <c r="BY8" s="42">
        <f t="shared" si="4"/>
        <v>45016</v>
      </c>
      <c r="BZ8" s="42">
        <f t="shared" si="4"/>
        <v>45046</v>
      </c>
      <c r="CA8" s="42">
        <f t="shared" si="4"/>
        <v>45077</v>
      </c>
      <c r="CB8" s="42">
        <f t="shared" si="4"/>
        <v>45107</v>
      </c>
      <c r="CC8" s="42">
        <f t="shared" si="4"/>
        <v>45138</v>
      </c>
      <c r="CD8" s="42">
        <f t="shared" si="4"/>
        <v>45169</v>
      </c>
      <c r="CE8" s="42">
        <f t="shared" si="4"/>
        <v>45199</v>
      </c>
      <c r="CF8" s="42">
        <f t="shared" si="4"/>
        <v>45230</v>
      </c>
      <c r="CG8" s="42">
        <f t="shared" si="4"/>
        <v>45260</v>
      </c>
      <c r="CH8" s="42">
        <f t="shared" si="4"/>
        <v>45291</v>
      </c>
      <c r="CI8" s="42">
        <f t="shared" si="4"/>
        <v>45322</v>
      </c>
      <c r="CJ8" s="42">
        <f t="shared" si="4"/>
        <v>45351</v>
      </c>
      <c r="CK8" s="42">
        <f t="shared" si="4"/>
        <v>45382</v>
      </c>
      <c r="CL8" s="42">
        <f t="shared" si="4"/>
        <v>45412</v>
      </c>
      <c r="CM8" s="42">
        <f t="shared" si="4"/>
        <v>45443</v>
      </c>
      <c r="CN8" s="42">
        <f t="shared" si="4"/>
        <v>45473</v>
      </c>
      <c r="CO8" s="42">
        <f t="shared" si="4"/>
        <v>45504</v>
      </c>
      <c r="CP8" s="42">
        <f t="shared" si="4"/>
        <v>45535</v>
      </c>
      <c r="CQ8" s="42">
        <f t="shared" si="4"/>
        <v>45565</v>
      </c>
      <c r="CR8" s="42">
        <f t="shared" si="4"/>
        <v>45596</v>
      </c>
      <c r="CS8" s="42">
        <f t="shared" si="4"/>
        <v>45626</v>
      </c>
      <c r="CT8" s="42">
        <f t="shared" si="4"/>
        <v>45657</v>
      </c>
      <c r="CU8" s="42">
        <f t="shared" si="4"/>
        <v>45688</v>
      </c>
      <c r="CV8" s="42">
        <f t="shared" si="4"/>
        <v>45716</v>
      </c>
      <c r="CW8" s="42">
        <f t="shared" si="4"/>
        <v>45747</v>
      </c>
      <c r="CX8" s="42">
        <f t="shared" si="4"/>
        <v>45777</v>
      </c>
      <c r="CY8" s="42">
        <f t="shared" si="4"/>
        <v>45808</v>
      </c>
      <c r="CZ8" s="42">
        <f t="shared" si="4"/>
        <v>45838</v>
      </c>
      <c r="DA8" s="42">
        <f t="shared" si="4"/>
        <v>45869</v>
      </c>
      <c r="DB8" s="42">
        <f t="shared" si="4"/>
        <v>45900</v>
      </c>
      <c r="DC8" s="42">
        <f t="shared" si="4"/>
        <v>45930</v>
      </c>
      <c r="DD8" s="42">
        <f t="shared" si="4"/>
        <v>45961</v>
      </c>
      <c r="DE8" s="42">
        <f t="shared" si="4"/>
        <v>45991</v>
      </c>
      <c r="DF8" s="42">
        <f t="shared" si="4"/>
        <v>46022</v>
      </c>
      <c r="DG8" s="42">
        <f t="shared" si="4"/>
        <v>46053</v>
      </c>
      <c r="DH8" s="42">
        <f t="shared" si="4"/>
        <v>46081</v>
      </c>
      <c r="DI8" s="42">
        <f t="shared" si="4"/>
        <v>46112</v>
      </c>
      <c r="DJ8" s="42">
        <f t="shared" si="4"/>
        <v>46142</v>
      </c>
      <c r="DK8" s="42">
        <f t="shared" si="4"/>
        <v>46173</v>
      </c>
      <c r="DL8" s="42">
        <f t="shared" si="4"/>
        <v>46203</v>
      </c>
      <c r="DM8" s="42">
        <f t="shared" si="4"/>
        <v>46234</v>
      </c>
      <c r="DN8" s="42">
        <f t="shared" si="4"/>
        <v>46265</v>
      </c>
      <c r="DO8" s="42">
        <f t="shared" si="4"/>
        <v>46295</v>
      </c>
      <c r="DP8" s="42">
        <f t="shared" si="4"/>
        <v>46326</v>
      </c>
      <c r="DQ8" s="42">
        <f t="shared" si="4"/>
        <v>46356</v>
      </c>
      <c r="DR8" s="42">
        <f t="shared" si="4"/>
        <v>46387</v>
      </c>
    </row>
    <row r="9">
      <c r="B9" s="34" t="s">
        <v>35</v>
      </c>
      <c r="C9" s="34"/>
      <c r="D9" s="34"/>
      <c r="E9" s="44"/>
      <c r="F9" s="45" t="s">
        <v>36</v>
      </c>
      <c r="G9" s="45" t="s">
        <v>36</v>
      </c>
      <c r="H9" s="45" t="s">
        <v>36</v>
      </c>
      <c r="I9" s="45" t="s">
        <v>37</v>
      </c>
      <c r="J9" s="45" t="s">
        <v>38</v>
      </c>
      <c r="K9" s="45" t="s">
        <v>38</v>
      </c>
      <c r="L9" s="45" t="s">
        <v>38</v>
      </c>
      <c r="M9" s="45" t="s">
        <v>38</v>
      </c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 t="s">
        <v>36</v>
      </c>
      <c r="AB9" s="45" t="s">
        <v>36</v>
      </c>
      <c r="AC9" s="45" t="s">
        <v>36</v>
      </c>
      <c r="AD9" s="45" t="s">
        <v>36</v>
      </c>
      <c r="AE9" s="45" t="s">
        <v>36</v>
      </c>
      <c r="AF9" s="45" t="s">
        <v>36</v>
      </c>
      <c r="AG9" s="45" t="s">
        <v>36</v>
      </c>
      <c r="AH9" s="45" t="s">
        <v>36</v>
      </c>
      <c r="AI9" s="45" t="s">
        <v>36</v>
      </c>
      <c r="AJ9" s="45" t="s">
        <v>36</v>
      </c>
      <c r="AK9" s="45" t="s">
        <v>36</v>
      </c>
      <c r="AL9" s="45" t="s">
        <v>36</v>
      </c>
      <c r="AM9" s="45" t="s">
        <v>36</v>
      </c>
      <c r="AN9" s="45" t="s">
        <v>36</v>
      </c>
      <c r="AO9" s="45" t="s">
        <v>36</v>
      </c>
      <c r="AP9" s="45" t="s">
        <v>36</v>
      </c>
      <c r="AQ9" s="45" t="s">
        <v>36</v>
      </c>
      <c r="AR9" s="45" t="s">
        <v>36</v>
      </c>
      <c r="AS9" s="45" t="s">
        <v>36</v>
      </c>
      <c r="AT9" s="45" t="s">
        <v>36</v>
      </c>
      <c r="AU9" s="45" t="s">
        <v>36</v>
      </c>
      <c r="AV9" s="45" t="s">
        <v>36</v>
      </c>
      <c r="AW9" s="45" t="s">
        <v>36</v>
      </c>
      <c r="AX9" s="45" t="s">
        <v>36</v>
      </c>
      <c r="AY9" s="45" t="s">
        <v>36</v>
      </c>
      <c r="AZ9" s="45" t="s">
        <v>36</v>
      </c>
      <c r="BA9" s="45" t="s">
        <v>36</v>
      </c>
      <c r="BB9" s="45" t="s">
        <v>36</v>
      </c>
      <c r="BC9" s="45" t="s">
        <v>36</v>
      </c>
      <c r="BD9" s="45" t="s">
        <v>36</v>
      </c>
      <c r="BE9" s="45" t="s">
        <v>36</v>
      </c>
      <c r="BF9" s="45" t="s">
        <v>36</v>
      </c>
      <c r="BG9" s="45" t="s">
        <v>36</v>
      </c>
      <c r="BH9" s="45" t="s">
        <v>36</v>
      </c>
      <c r="BI9" s="45" t="s">
        <v>36</v>
      </c>
      <c r="BJ9" s="45" t="s">
        <v>36</v>
      </c>
      <c r="BK9" s="45" t="s">
        <v>36</v>
      </c>
      <c r="BL9" s="45" t="s">
        <v>36</v>
      </c>
      <c r="BM9" s="45" t="s">
        <v>36</v>
      </c>
      <c r="BN9" s="45" t="s">
        <v>37</v>
      </c>
      <c r="BO9" s="45" t="s">
        <v>37</v>
      </c>
      <c r="BP9" s="45" t="s">
        <v>37</v>
      </c>
      <c r="BQ9" s="45" t="s">
        <v>37</v>
      </c>
      <c r="BR9" s="45" t="s">
        <v>37</v>
      </c>
      <c r="BS9" s="45" t="s">
        <v>37</v>
      </c>
      <c r="BT9" s="45" t="s">
        <v>37</v>
      </c>
      <c r="BU9" s="45" t="s">
        <v>37</v>
      </c>
      <c r="BV9" s="45" t="s">
        <v>37</v>
      </c>
      <c r="BW9" s="45" t="s">
        <v>38</v>
      </c>
      <c r="BX9" s="45" t="s">
        <v>38</v>
      </c>
      <c r="BY9" s="45" t="s">
        <v>38</v>
      </c>
      <c r="BZ9" s="45" t="s">
        <v>38</v>
      </c>
      <c r="CA9" s="45" t="s">
        <v>38</v>
      </c>
      <c r="CB9" s="45" t="s">
        <v>38</v>
      </c>
      <c r="CC9" s="45" t="s">
        <v>38</v>
      </c>
      <c r="CD9" s="45" t="s">
        <v>38</v>
      </c>
      <c r="CE9" s="45" t="s">
        <v>38</v>
      </c>
      <c r="CF9" s="45" t="s">
        <v>38</v>
      </c>
      <c r="CG9" s="45" t="s">
        <v>38</v>
      </c>
      <c r="CH9" s="45" t="s">
        <v>38</v>
      </c>
      <c r="CI9" s="45" t="s">
        <v>38</v>
      </c>
      <c r="CJ9" s="45" t="s">
        <v>38</v>
      </c>
      <c r="CK9" s="45" t="s">
        <v>38</v>
      </c>
      <c r="CL9" s="45" t="s">
        <v>38</v>
      </c>
      <c r="CM9" s="45" t="s">
        <v>38</v>
      </c>
      <c r="CN9" s="45" t="s">
        <v>38</v>
      </c>
      <c r="CO9" s="45" t="s">
        <v>38</v>
      </c>
      <c r="CP9" s="45" t="s">
        <v>38</v>
      </c>
      <c r="CQ9" s="45" t="s">
        <v>38</v>
      </c>
      <c r="CR9" s="45" t="s">
        <v>38</v>
      </c>
      <c r="CS9" s="45" t="s">
        <v>38</v>
      </c>
      <c r="CT9" s="45" t="s">
        <v>38</v>
      </c>
      <c r="CU9" s="45" t="s">
        <v>38</v>
      </c>
      <c r="CV9" s="45" t="s">
        <v>38</v>
      </c>
      <c r="CW9" s="45" t="s">
        <v>38</v>
      </c>
      <c r="CX9" s="45" t="s">
        <v>38</v>
      </c>
      <c r="CY9" s="45" t="s">
        <v>38</v>
      </c>
      <c r="CZ9" s="45" t="s">
        <v>38</v>
      </c>
      <c r="DA9" s="45" t="s">
        <v>38</v>
      </c>
      <c r="DB9" s="45" t="s">
        <v>38</v>
      </c>
      <c r="DC9" s="45" t="s">
        <v>38</v>
      </c>
      <c r="DD9" s="45" t="s">
        <v>38</v>
      </c>
      <c r="DE9" s="45" t="s">
        <v>38</v>
      </c>
      <c r="DF9" s="45" t="s">
        <v>38</v>
      </c>
      <c r="DG9" s="45" t="s">
        <v>38</v>
      </c>
      <c r="DH9" s="45" t="s">
        <v>38</v>
      </c>
      <c r="DI9" s="45" t="s">
        <v>38</v>
      </c>
      <c r="DJ9" s="45" t="s">
        <v>38</v>
      </c>
      <c r="DK9" s="45" t="s">
        <v>38</v>
      </c>
      <c r="DL9" s="45" t="s">
        <v>38</v>
      </c>
      <c r="DM9" s="45" t="s">
        <v>38</v>
      </c>
      <c r="DN9" s="45" t="s">
        <v>38</v>
      </c>
      <c r="DO9" s="45" t="s">
        <v>38</v>
      </c>
      <c r="DP9" s="45" t="s">
        <v>38</v>
      </c>
      <c r="DQ9" s="45" t="s">
        <v>38</v>
      </c>
      <c r="DR9" s="45" t="s">
        <v>38</v>
      </c>
    </row>
    <row r="10" ht="4.5" customHeight="1"/>
    <row r="11">
      <c r="B11" s="71" t="s">
        <v>42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71"/>
      <c r="CH11" s="71"/>
      <c r="CI11" s="71"/>
      <c r="CJ11" s="71"/>
      <c r="CK11" s="71"/>
      <c r="CL11" s="71"/>
      <c r="CM11" s="71"/>
      <c r="CN11" s="71"/>
      <c r="CO11" s="71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1"/>
      <c r="DA11" s="71"/>
      <c r="DB11" s="71"/>
      <c r="DC11" s="71"/>
      <c r="DD11" s="71"/>
      <c r="DE11" s="71"/>
      <c r="DF11" s="71"/>
      <c r="DG11" s="71"/>
      <c r="DH11" s="71"/>
      <c r="DI11" s="71"/>
      <c r="DJ11" s="71"/>
      <c r="DK11" s="71"/>
      <c r="DL11" s="71"/>
      <c r="DM11" s="71"/>
      <c r="DN11" s="71"/>
      <c r="DO11" s="71"/>
      <c r="DP11" s="71"/>
      <c r="DQ11" s="71"/>
      <c r="DR11" s="71"/>
      <c r="DS11" s="71"/>
    </row>
    <row r="12" ht="4.5" customHeight="1"/>
    <row r="13" hidden="1" outlineLevel="1">
      <c r="B13" s="5" t="s">
        <v>69</v>
      </c>
      <c r="C13" s="72" t="s">
        <v>70</v>
      </c>
      <c r="F13" s="50">
        <f t="shared" ref="F13:M13" si="5">+SUMIFS($AA13:$DR13,$AA$7:$DR$7,F$7)</f>
        <v>2.473661021</v>
      </c>
      <c r="G13" s="50">
        <f t="shared" si="5"/>
        <v>13.60342693</v>
      </c>
      <c r="H13" s="50">
        <f t="shared" si="5"/>
        <v>5.255343846</v>
      </c>
      <c r="I13" s="50">
        <f t="shared" si="5"/>
        <v>0</v>
      </c>
      <c r="J13" s="50">
        <f t="shared" si="5"/>
        <v>0</v>
      </c>
      <c r="K13" s="50">
        <f t="shared" si="5"/>
        <v>0</v>
      </c>
      <c r="L13" s="50">
        <f t="shared" si="5"/>
        <v>0</v>
      </c>
      <c r="M13" s="50">
        <f t="shared" si="5"/>
        <v>0</v>
      </c>
      <c r="AA13" s="51">
        <v>0.0</v>
      </c>
      <c r="AB13" s="51">
        <v>0.0</v>
      </c>
      <c r="AC13" s="51">
        <v>0.0</v>
      </c>
      <c r="AD13" s="51">
        <v>0.0</v>
      </c>
      <c r="AE13" s="51">
        <v>0.0</v>
      </c>
      <c r="AF13" s="51">
        <v>0.0</v>
      </c>
      <c r="AG13" s="51">
        <v>0.01381267676767677</v>
      </c>
      <c r="AH13" s="51">
        <v>0.0</v>
      </c>
      <c r="AI13" s="51">
        <v>0.004315003179358892</v>
      </c>
      <c r="AJ13" s="51">
        <v>0.19754210249671483</v>
      </c>
      <c r="AK13" s="51">
        <v>1.0030476049329897</v>
      </c>
      <c r="AL13" s="51">
        <v>1.2549436338740647</v>
      </c>
      <c r="AM13" s="51">
        <v>0.9292265040936493</v>
      </c>
      <c r="AN13" s="51">
        <v>3.4784310442671336</v>
      </c>
      <c r="AO13" s="51">
        <v>1.7152249043999452</v>
      </c>
      <c r="AP13" s="51">
        <v>2.363350563216113</v>
      </c>
      <c r="AQ13" s="51">
        <v>0.7409374718210848</v>
      </c>
      <c r="AR13" s="51">
        <v>0.4177347510673198</v>
      </c>
      <c r="AS13" s="51">
        <v>1.4611706458336426</v>
      </c>
      <c r="AT13" s="51">
        <v>0.6089134701707644</v>
      </c>
      <c r="AU13" s="51">
        <v>0.6107906507344498</v>
      </c>
      <c r="AV13" s="51">
        <v>0.4765874006880786</v>
      </c>
      <c r="AW13" s="51">
        <v>0.19945128779570861</v>
      </c>
      <c r="AX13" s="51">
        <v>0.6016082396398199</v>
      </c>
      <c r="AY13" s="51">
        <v>1.730365139903704</v>
      </c>
      <c r="AZ13" s="51">
        <v>0.1946381446977133</v>
      </c>
      <c r="BA13" s="51">
        <v>0.09265429339013126</v>
      </c>
      <c r="BB13" s="51">
        <v>0.1152982552630909</v>
      </c>
      <c r="BC13" s="51">
        <v>0.3141281510987609</v>
      </c>
      <c r="BD13" s="51">
        <v>0.18835335078168733</v>
      </c>
      <c r="BE13" s="51">
        <v>0.5334922494217313</v>
      </c>
      <c r="BF13" s="51">
        <v>0.23165989107524232</v>
      </c>
      <c r="BG13" s="51">
        <v>0.8920420144230876</v>
      </c>
      <c r="BH13" s="51">
        <v>0.23044284029619538</v>
      </c>
      <c r="BI13" s="51">
        <v>0.4840513552029754</v>
      </c>
      <c r="BJ13" s="51">
        <v>0.2482181606502978</v>
      </c>
    </row>
    <row r="14" hidden="1" outlineLevel="1">
      <c r="B14" s="5" t="s">
        <v>71</v>
      </c>
      <c r="C14" s="72" t="s">
        <v>70</v>
      </c>
      <c r="F14" s="50">
        <f t="shared" ref="F14:M14" si="6">+SUMIFS($AA14:$DR14,$AA$7:$DR$7,F$7)</f>
        <v>0</v>
      </c>
      <c r="G14" s="50">
        <f t="shared" si="6"/>
        <v>0</v>
      </c>
      <c r="H14" s="50">
        <f t="shared" si="6"/>
        <v>2.058110469</v>
      </c>
      <c r="I14" s="50">
        <f t="shared" si="6"/>
        <v>0</v>
      </c>
      <c r="J14" s="50">
        <f t="shared" si="6"/>
        <v>0</v>
      </c>
      <c r="K14" s="50">
        <f t="shared" si="6"/>
        <v>0</v>
      </c>
      <c r="L14" s="50">
        <f t="shared" si="6"/>
        <v>0</v>
      </c>
      <c r="M14" s="50">
        <f t="shared" si="6"/>
        <v>0</v>
      </c>
      <c r="AA14" s="51">
        <v>0.0</v>
      </c>
      <c r="AB14" s="51">
        <v>0.0</v>
      </c>
      <c r="AC14" s="51">
        <v>0.0</v>
      </c>
      <c r="AD14" s="51">
        <v>0.0</v>
      </c>
      <c r="AE14" s="51">
        <v>0.0</v>
      </c>
      <c r="AF14" s="51">
        <v>0.0</v>
      </c>
      <c r="AG14" s="51">
        <v>0.0</v>
      </c>
      <c r="AH14" s="51">
        <v>0.0</v>
      </c>
      <c r="AI14" s="51">
        <v>0.0</v>
      </c>
      <c r="AJ14" s="51">
        <v>0.0</v>
      </c>
      <c r="AK14" s="51">
        <v>0.0</v>
      </c>
      <c r="AL14" s="51">
        <v>0.0</v>
      </c>
      <c r="AM14" s="51">
        <v>0.0</v>
      </c>
      <c r="AN14" s="51">
        <v>0.0</v>
      </c>
      <c r="AO14" s="51">
        <v>0.0</v>
      </c>
      <c r="AP14" s="51">
        <v>0.0</v>
      </c>
      <c r="AQ14" s="51">
        <v>0.0</v>
      </c>
      <c r="AR14" s="51">
        <v>0.0</v>
      </c>
      <c r="AS14" s="51">
        <v>0.0</v>
      </c>
      <c r="AT14" s="51">
        <v>0.0</v>
      </c>
      <c r="AU14" s="51">
        <v>0.0</v>
      </c>
      <c r="AV14" s="51">
        <v>0.0</v>
      </c>
      <c r="AW14" s="51">
        <v>0.0</v>
      </c>
      <c r="AX14" s="51">
        <v>0.0</v>
      </c>
      <c r="AY14" s="51">
        <v>0.0</v>
      </c>
      <c r="AZ14" s="51">
        <v>0.0</v>
      </c>
      <c r="BA14" s="51">
        <v>0.0</v>
      </c>
      <c r="BB14" s="51">
        <v>0.003795641108960207</v>
      </c>
      <c r="BC14" s="51">
        <v>0.00858454162330276</v>
      </c>
      <c r="BD14" s="51">
        <v>0.10543871120278726</v>
      </c>
      <c r="BE14" s="51">
        <v>0.14893677886071566</v>
      </c>
      <c r="BF14" s="51">
        <v>0.0872973084991463</v>
      </c>
      <c r="BG14" s="51">
        <v>0.13812463104692457</v>
      </c>
      <c r="BH14" s="51">
        <v>0.4722977502542467</v>
      </c>
      <c r="BI14" s="51">
        <v>0.6011920964357775</v>
      </c>
      <c r="BJ14" s="51">
        <v>0.492443009996146</v>
      </c>
    </row>
    <row r="15" hidden="1" outlineLevel="1">
      <c r="B15" s="5" t="s">
        <v>72</v>
      </c>
      <c r="C15" s="72" t="s">
        <v>70</v>
      </c>
      <c r="F15" s="50">
        <f t="shared" ref="F15:M15" si="7">+SUMIFS($AA15:$DR15,$AA$7:$DR$7,F$7)</f>
        <v>0</v>
      </c>
      <c r="G15" s="50">
        <f t="shared" si="7"/>
        <v>0</v>
      </c>
      <c r="H15" s="50">
        <f t="shared" si="7"/>
        <v>0</v>
      </c>
      <c r="I15" s="50">
        <f t="shared" si="7"/>
        <v>0</v>
      </c>
      <c r="J15" s="50">
        <f t="shared" si="7"/>
        <v>0</v>
      </c>
      <c r="K15" s="50">
        <f t="shared" si="7"/>
        <v>0</v>
      </c>
      <c r="L15" s="50">
        <f t="shared" si="7"/>
        <v>0</v>
      </c>
      <c r="M15" s="50">
        <f t="shared" si="7"/>
        <v>0</v>
      </c>
      <c r="AA15" s="51">
        <v>0.0</v>
      </c>
      <c r="AB15" s="51">
        <v>0.0</v>
      </c>
      <c r="AC15" s="51">
        <v>0.0</v>
      </c>
      <c r="AD15" s="51">
        <v>0.0</v>
      </c>
      <c r="AE15" s="51">
        <v>0.0</v>
      </c>
      <c r="AF15" s="51">
        <v>0.0</v>
      </c>
      <c r="AG15" s="51">
        <v>0.0</v>
      </c>
      <c r="AH15" s="51">
        <v>0.0</v>
      </c>
      <c r="AI15" s="51">
        <v>0.0</v>
      </c>
      <c r="AJ15" s="51">
        <v>0.0</v>
      </c>
      <c r="AK15" s="51">
        <v>0.0</v>
      </c>
      <c r="AL15" s="51">
        <v>0.0</v>
      </c>
      <c r="AM15" s="51">
        <v>0.0</v>
      </c>
      <c r="AN15" s="51">
        <v>0.0</v>
      </c>
      <c r="AO15" s="51">
        <v>0.0</v>
      </c>
      <c r="AP15" s="51">
        <v>0.0</v>
      </c>
      <c r="AQ15" s="51">
        <v>0.0</v>
      </c>
      <c r="AR15" s="51">
        <v>0.0</v>
      </c>
      <c r="AS15" s="51">
        <v>0.0</v>
      </c>
      <c r="AT15" s="51">
        <v>0.0</v>
      </c>
      <c r="AU15" s="51">
        <v>0.0</v>
      </c>
      <c r="AV15" s="51">
        <v>0.0</v>
      </c>
      <c r="AW15" s="51">
        <v>0.0</v>
      </c>
      <c r="AX15" s="51">
        <v>0.0</v>
      </c>
      <c r="AY15" s="51">
        <v>0.0</v>
      </c>
      <c r="AZ15" s="51">
        <v>0.0</v>
      </c>
      <c r="BA15" s="51">
        <v>0.0</v>
      </c>
      <c r="BB15" s="51">
        <v>0.0</v>
      </c>
      <c r="BC15" s="51">
        <v>0.0</v>
      </c>
      <c r="BD15" s="51">
        <v>0.0</v>
      </c>
      <c r="BE15" s="51">
        <v>0.0</v>
      </c>
      <c r="BF15" s="51">
        <v>0.0</v>
      </c>
      <c r="BG15" s="51">
        <v>0.0</v>
      </c>
      <c r="BH15" s="51">
        <v>0.0</v>
      </c>
      <c r="BI15" s="51">
        <v>0.0</v>
      </c>
      <c r="BJ15" s="51">
        <v>0.0</v>
      </c>
    </row>
    <row r="16" hidden="1" outlineLevel="1">
      <c r="B16" s="5" t="s">
        <v>73</v>
      </c>
      <c r="C16" s="72" t="s">
        <v>74</v>
      </c>
      <c r="F16" s="50">
        <f t="shared" ref="F16:M16" si="8">+SUMIFS($AA16:$DR16,$AA$7:$DR$7,F$7)</f>
        <v>0</v>
      </c>
      <c r="G16" s="50">
        <f t="shared" si="8"/>
        <v>0</v>
      </c>
      <c r="H16" s="50">
        <f t="shared" si="8"/>
        <v>24.47385702</v>
      </c>
      <c r="I16" s="50">
        <f t="shared" si="8"/>
        <v>0</v>
      </c>
      <c r="J16" s="50">
        <f t="shared" si="8"/>
        <v>0</v>
      </c>
      <c r="K16" s="50">
        <f t="shared" si="8"/>
        <v>0</v>
      </c>
      <c r="L16" s="50">
        <f t="shared" si="8"/>
        <v>0</v>
      </c>
      <c r="M16" s="50">
        <f t="shared" si="8"/>
        <v>0</v>
      </c>
      <c r="AA16" s="51">
        <v>0.0</v>
      </c>
      <c r="AB16" s="51">
        <v>0.0</v>
      </c>
      <c r="AC16" s="51">
        <v>0.0</v>
      </c>
      <c r="AD16" s="51">
        <v>0.0</v>
      </c>
      <c r="AE16" s="51">
        <v>0.0</v>
      </c>
      <c r="AF16" s="51">
        <v>0.0</v>
      </c>
      <c r="AG16" s="51">
        <v>0.0</v>
      </c>
      <c r="AH16" s="51">
        <v>0.0</v>
      </c>
      <c r="AI16" s="51">
        <v>0.0</v>
      </c>
      <c r="AJ16" s="51">
        <v>0.0</v>
      </c>
      <c r="AK16" s="51">
        <v>0.0</v>
      </c>
      <c r="AL16" s="51">
        <v>0.0</v>
      </c>
      <c r="AM16" s="51">
        <v>0.0</v>
      </c>
      <c r="AN16" s="51">
        <v>0.0</v>
      </c>
      <c r="AO16" s="51">
        <v>0.0</v>
      </c>
      <c r="AP16" s="51">
        <v>0.0</v>
      </c>
      <c r="AQ16" s="51">
        <v>0.0</v>
      </c>
      <c r="AR16" s="51">
        <v>0.0</v>
      </c>
      <c r="AS16" s="51">
        <v>0.0</v>
      </c>
      <c r="AT16" s="51">
        <v>0.0</v>
      </c>
      <c r="AU16" s="51">
        <v>0.0</v>
      </c>
      <c r="AV16" s="51">
        <v>0.0</v>
      </c>
      <c r="AW16" s="51">
        <v>0.0</v>
      </c>
      <c r="AX16" s="51">
        <v>0.0</v>
      </c>
      <c r="AY16" s="51">
        <v>0.0</v>
      </c>
      <c r="AZ16" s="51">
        <v>0.01980244984811933</v>
      </c>
      <c r="BA16" s="51">
        <v>0.006848565179823183</v>
      </c>
      <c r="BB16" s="51">
        <v>0.0</v>
      </c>
      <c r="BC16" s="51">
        <v>0.33832217069189463</v>
      </c>
      <c r="BD16" s="51">
        <v>0.3483467585141084</v>
      </c>
      <c r="BE16" s="51">
        <v>0.9167097865994903</v>
      </c>
      <c r="BF16" s="51">
        <v>3.485108764642071</v>
      </c>
      <c r="BG16" s="51">
        <v>3.090564038089683</v>
      </c>
      <c r="BH16" s="51">
        <v>6.258199266190804</v>
      </c>
      <c r="BI16" s="51">
        <v>4.881807350775793</v>
      </c>
      <c r="BJ16" s="51">
        <v>5.12814786948808</v>
      </c>
    </row>
    <row r="17" hidden="1" outlineLevel="1">
      <c r="B17" s="5" t="s">
        <v>75</v>
      </c>
      <c r="C17" s="72" t="s">
        <v>76</v>
      </c>
      <c r="F17" s="50">
        <f t="shared" ref="F17:M17" si="9">+SUMIFS($AA17:$DR17,$AA$7:$DR$7,F$7)</f>
        <v>47.01976246</v>
      </c>
      <c r="G17" s="50">
        <f t="shared" si="9"/>
        <v>24.70172609</v>
      </c>
      <c r="H17" s="50">
        <f t="shared" si="9"/>
        <v>16.94450858</v>
      </c>
      <c r="I17" s="50">
        <f t="shared" si="9"/>
        <v>0</v>
      </c>
      <c r="J17" s="50">
        <f t="shared" si="9"/>
        <v>0</v>
      </c>
      <c r="K17" s="50">
        <f t="shared" si="9"/>
        <v>0</v>
      </c>
      <c r="L17" s="50">
        <f t="shared" si="9"/>
        <v>0</v>
      </c>
      <c r="M17" s="50">
        <f t="shared" si="9"/>
        <v>0</v>
      </c>
      <c r="AA17" s="51">
        <v>3.3629843147030565</v>
      </c>
      <c r="AB17" s="51">
        <v>1.1368267864095345</v>
      </c>
      <c r="AC17" s="51">
        <v>8.20918804381276</v>
      </c>
      <c r="AD17" s="51">
        <v>3.2233790253432106</v>
      </c>
      <c r="AE17" s="51">
        <v>3.129849731112816</v>
      </c>
      <c r="AF17" s="51">
        <v>4.1842418776820764</v>
      </c>
      <c r="AG17" s="51">
        <v>5.667476387225618</v>
      </c>
      <c r="AH17" s="51">
        <v>6.0234295617343445</v>
      </c>
      <c r="AI17" s="51">
        <v>2.870084546183766</v>
      </c>
      <c r="AJ17" s="51">
        <v>5.078697536807588</v>
      </c>
      <c r="AK17" s="51">
        <v>2.0987348409544966</v>
      </c>
      <c r="AL17" s="51">
        <v>2.0348698072436315</v>
      </c>
      <c r="AM17" s="51">
        <v>1.4829749189615202</v>
      </c>
      <c r="AN17" s="51">
        <v>0.9382399170984926</v>
      </c>
      <c r="AO17" s="51">
        <v>2.4291153172497957</v>
      </c>
      <c r="AP17" s="51">
        <v>1.7853336518384062</v>
      </c>
      <c r="AQ17" s="51">
        <v>1.2271394227696597</v>
      </c>
      <c r="AR17" s="51">
        <v>1.1766318368486373</v>
      </c>
      <c r="AS17" s="51">
        <v>1.7744851426127557</v>
      </c>
      <c r="AT17" s="51">
        <v>2.993064942017363</v>
      </c>
      <c r="AU17" s="51">
        <v>1.8871839436242206</v>
      </c>
      <c r="AV17" s="51">
        <v>3.576075648141213</v>
      </c>
      <c r="AW17" s="51">
        <v>3.658232037017099</v>
      </c>
      <c r="AX17" s="51">
        <v>1.7732493132352098</v>
      </c>
      <c r="AY17" s="51">
        <v>2.349553930019437</v>
      </c>
      <c r="AZ17" s="51">
        <v>2.153991585936996</v>
      </c>
      <c r="BA17" s="51">
        <v>1.3322628810309638</v>
      </c>
      <c r="BB17" s="51">
        <v>0.5334745224537455</v>
      </c>
      <c r="BC17" s="51">
        <v>0.9988358073589638</v>
      </c>
      <c r="BD17" s="51">
        <v>0.39215627658812235</v>
      </c>
      <c r="BE17" s="51">
        <v>2.728942872191736</v>
      </c>
      <c r="BF17" s="51">
        <v>0.4737655212390318</v>
      </c>
      <c r="BG17" s="51">
        <v>1.406268726497335</v>
      </c>
      <c r="BH17" s="51">
        <v>0.4912113120828252</v>
      </c>
      <c r="BI17" s="51">
        <v>1.7457503758643083</v>
      </c>
      <c r="BJ17" s="51">
        <v>2.3382947725955763</v>
      </c>
    </row>
    <row r="18" hidden="1" outlineLevel="1">
      <c r="B18" s="5" t="s">
        <v>77</v>
      </c>
      <c r="C18" s="72" t="s">
        <v>70</v>
      </c>
      <c r="F18" s="50">
        <f t="shared" ref="F18:M18" si="10">+SUMIFS($AA18:$DR18,$AA$7:$DR$7,F$7)</f>
        <v>0</v>
      </c>
      <c r="G18" s="50">
        <f t="shared" si="10"/>
        <v>0</v>
      </c>
      <c r="H18" s="50">
        <f t="shared" si="10"/>
        <v>0.9379619357</v>
      </c>
      <c r="I18" s="50">
        <f t="shared" si="10"/>
        <v>0</v>
      </c>
      <c r="J18" s="50">
        <f t="shared" si="10"/>
        <v>0</v>
      </c>
      <c r="K18" s="50">
        <f t="shared" si="10"/>
        <v>0</v>
      </c>
      <c r="L18" s="50">
        <f t="shared" si="10"/>
        <v>0</v>
      </c>
      <c r="M18" s="50">
        <f t="shared" si="10"/>
        <v>0</v>
      </c>
      <c r="AA18" s="51">
        <v>0.0</v>
      </c>
      <c r="AB18" s="51">
        <v>0.0</v>
      </c>
      <c r="AC18" s="51">
        <v>0.0</v>
      </c>
      <c r="AD18" s="51">
        <v>0.0</v>
      </c>
      <c r="AE18" s="51">
        <v>0.0</v>
      </c>
      <c r="AF18" s="51">
        <v>0.0</v>
      </c>
      <c r="AG18" s="51">
        <v>0.0</v>
      </c>
      <c r="AH18" s="51">
        <v>0.0</v>
      </c>
      <c r="AI18" s="51">
        <v>0.0</v>
      </c>
      <c r="AJ18" s="51">
        <v>0.0</v>
      </c>
      <c r="AK18" s="51">
        <v>0.0</v>
      </c>
      <c r="AL18" s="51">
        <v>0.0</v>
      </c>
      <c r="AM18" s="51">
        <v>0.0</v>
      </c>
      <c r="AN18" s="51">
        <v>0.0</v>
      </c>
      <c r="AO18" s="51">
        <v>0.0</v>
      </c>
      <c r="AP18" s="51">
        <v>0.0</v>
      </c>
      <c r="AQ18" s="51">
        <v>0.0</v>
      </c>
      <c r="AR18" s="51">
        <v>0.0</v>
      </c>
      <c r="AS18" s="51">
        <v>0.0</v>
      </c>
      <c r="AT18" s="51">
        <v>0.0</v>
      </c>
      <c r="AU18" s="51">
        <v>0.0</v>
      </c>
      <c r="AV18" s="51">
        <v>0.0</v>
      </c>
      <c r="AW18" s="51">
        <v>0.0</v>
      </c>
      <c r="AX18" s="51">
        <v>0.0</v>
      </c>
      <c r="AY18" s="51">
        <v>0.0</v>
      </c>
      <c r="AZ18" s="51">
        <v>0.0</v>
      </c>
      <c r="BA18" s="51">
        <v>0.0</v>
      </c>
      <c r="BB18" s="51">
        <v>0.0</v>
      </c>
      <c r="BC18" s="51">
        <v>0.0</v>
      </c>
      <c r="BD18" s="51">
        <v>0.03651713334350654</v>
      </c>
      <c r="BE18" s="51">
        <v>0.003954786305771208</v>
      </c>
      <c r="BF18" s="51">
        <v>0.0038595745392545656</v>
      </c>
      <c r="BG18" s="51">
        <v>0.0</v>
      </c>
      <c r="BH18" s="51">
        <v>0.08285100523348507</v>
      </c>
      <c r="BI18" s="51">
        <v>0.29803071024486605</v>
      </c>
      <c r="BJ18" s="51">
        <v>0.51274872606004</v>
      </c>
    </row>
    <row r="19" hidden="1" outlineLevel="1">
      <c r="B19" s="5" t="s">
        <v>78</v>
      </c>
      <c r="C19" s="72" t="s">
        <v>70</v>
      </c>
      <c r="F19" s="50">
        <f t="shared" ref="F19:M19" si="11">+SUMIFS($AA19:$DR19,$AA$7:$DR$7,F$7)</f>
        <v>0</v>
      </c>
      <c r="G19" s="50">
        <f t="shared" si="11"/>
        <v>0</v>
      </c>
      <c r="H19" s="50">
        <f t="shared" si="11"/>
        <v>0</v>
      </c>
      <c r="I19" s="50">
        <f t="shared" si="11"/>
        <v>0</v>
      </c>
      <c r="J19" s="50">
        <f t="shared" si="11"/>
        <v>0</v>
      </c>
      <c r="K19" s="50">
        <f t="shared" si="11"/>
        <v>0</v>
      </c>
      <c r="L19" s="50">
        <f t="shared" si="11"/>
        <v>0</v>
      </c>
      <c r="M19" s="50">
        <f t="shared" si="11"/>
        <v>0</v>
      </c>
      <c r="AA19" s="51">
        <v>0.0</v>
      </c>
      <c r="AB19" s="51">
        <v>0.0</v>
      </c>
      <c r="AC19" s="51">
        <v>0.0</v>
      </c>
      <c r="AD19" s="51">
        <v>0.0</v>
      </c>
      <c r="AE19" s="51">
        <v>0.0</v>
      </c>
      <c r="AF19" s="51">
        <v>0.0</v>
      </c>
      <c r="AG19" s="51">
        <v>0.0</v>
      </c>
      <c r="AH19" s="51">
        <v>0.0</v>
      </c>
      <c r="AI19" s="51">
        <v>0.0</v>
      </c>
      <c r="AJ19" s="51">
        <v>0.0</v>
      </c>
      <c r="AK19" s="51">
        <v>0.0</v>
      </c>
      <c r="AL19" s="51">
        <v>0.0</v>
      </c>
      <c r="AM19" s="51">
        <v>0.0</v>
      </c>
      <c r="AN19" s="51">
        <v>0.0</v>
      </c>
      <c r="AO19" s="51">
        <v>0.0</v>
      </c>
      <c r="AP19" s="51">
        <v>0.0</v>
      </c>
      <c r="AQ19" s="51">
        <v>0.0</v>
      </c>
      <c r="AR19" s="51">
        <v>0.0</v>
      </c>
      <c r="AS19" s="51">
        <v>0.0</v>
      </c>
      <c r="AT19" s="51">
        <v>0.0</v>
      </c>
      <c r="AU19" s="51">
        <v>0.0</v>
      </c>
      <c r="AV19" s="51">
        <v>0.0</v>
      </c>
      <c r="AW19" s="51">
        <v>0.0</v>
      </c>
      <c r="AX19" s="51">
        <v>0.0</v>
      </c>
      <c r="AY19" s="51">
        <v>0.0</v>
      </c>
      <c r="AZ19" s="51">
        <v>0.0</v>
      </c>
      <c r="BA19" s="51">
        <v>0.0</v>
      </c>
      <c r="BB19" s="51">
        <v>0.0</v>
      </c>
      <c r="BC19" s="51">
        <v>0.0</v>
      </c>
      <c r="BD19" s="51">
        <v>0.0</v>
      </c>
      <c r="BE19" s="51">
        <v>0.0</v>
      </c>
      <c r="BF19" s="51">
        <v>0.0</v>
      </c>
      <c r="BG19" s="51">
        <v>0.0</v>
      </c>
      <c r="BH19" s="51">
        <v>0.0</v>
      </c>
      <c r="BI19" s="51">
        <v>0.0</v>
      </c>
      <c r="BJ19" s="51">
        <v>0.0</v>
      </c>
    </row>
    <row r="20" hidden="1" outlineLevel="1">
      <c r="B20" s="5" t="s">
        <v>79</v>
      </c>
      <c r="C20" s="72" t="s">
        <v>76</v>
      </c>
      <c r="F20" s="50">
        <f t="shared" ref="F20:M20" si="12">+SUMIFS($AA20:$DR20,$AA$7:$DR$7,F$7)</f>
        <v>0</v>
      </c>
      <c r="G20" s="50">
        <f t="shared" si="12"/>
        <v>0</v>
      </c>
      <c r="H20" s="50">
        <f t="shared" si="12"/>
        <v>0</v>
      </c>
      <c r="I20" s="50">
        <f t="shared" si="12"/>
        <v>0</v>
      </c>
      <c r="J20" s="50">
        <f t="shared" si="12"/>
        <v>0</v>
      </c>
      <c r="K20" s="50">
        <f t="shared" si="12"/>
        <v>0</v>
      </c>
      <c r="L20" s="50">
        <f t="shared" si="12"/>
        <v>0</v>
      </c>
      <c r="M20" s="50">
        <f t="shared" si="12"/>
        <v>0</v>
      </c>
      <c r="AA20" s="51">
        <v>0.0</v>
      </c>
      <c r="AB20" s="51">
        <v>0.0</v>
      </c>
      <c r="AC20" s="51">
        <v>0.0</v>
      </c>
      <c r="AD20" s="51">
        <v>0.0</v>
      </c>
      <c r="AE20" s="51">
        <v>0.0</v>
      </c>
      <c r="AF20" s="51">
        <v>0.0</v>
      </c>
      <c r="AG20" s="51">
        <v>0.0</v>
      </c>
      <c r="AH20" s="51">
        <v>0.0</v>
      </c>
      <c r="AI20" s="51">
        <v>0.0</v>
      </c>
      <c r="AJ20" s="51">
        <v>0.0</v>
      </c>
      <c r="AK20" s="51">
        <v>0.0</v>
      </c>
      <c r="AL20" s="51">
        <v>0.0</v>
      </c>
      <c r="AM20" s="51">
        <v>0.0</v>
      </c>
      <c r="AN20" s="51">
        <v>0.0</v>
      </c>
      <c r="AO20" s="51">
        <v>0.0</v>
      </c>
      <c r="AP20" s="51">
        <v>0.0</v>
      </c>
      <c r="AQ20" s="51">
        <v>0.0</v>
      </c>
      <c r="AR20" s="51">
        <v>0.0</v>
      </c>
      <c r="AS20" s="51">
        <v>0.0</v>
      </c>
      <c r="AT20" s="51">
        <v>0.0</v>
      </c>
      <c r="AU20" s="51">
        <v>0.0</v>
      </c>
      <c r="AV20" s="51">
        <v>0.0</v>
      </c>
      <c r="AW20" s="51">
        <v>0.0</v>
      </c>
      <c r="AX20" s="51">
        <v>0.0</v>
      </c>
      <c r="AY20" s="51">
        <v>0.0</v>
      </c>
      <c r="AZ20" s="51">
        <v>0.0</v>
      </c>
      <c r="BA20" s="51">
        <v>0.0</v>
      </c>
      <c r="BB20" s="51">
        <v>0.0</v>
      </c>
      <c r="BC20" s="51">
        <v>0.0</v>
      </c>
      <c r="BD20" s="51">
        <v>0.0</v>
      </c>
      <c r="BE20" s="51">
        <v>0.0</v>
      </c>
      <c r="BF20" s="51">
        <v>0.0</v>
      </c>
      <c r="BG20" s="51">
        <v>0.0</v>
      </c>
      <c r="BH20" s="51">
        <v>0.0</v>
      </c>
      <c r="BI20" s="51">
        <v>0.0</v>
      </c>
      <c r="BJ20" s="51">
        <v>0.0</v>
      </c>
    </row>
    <row r="21" ht="15.75" hidden="1" customHeight="1" outlineLevel="1">
      <c r="B21" s="5" t="s">
        <v>80</v>
      </c>
      <c r="C21" s="72" t="s">
        <v>74</v>
      </c>
      <c r="F21" s="50">
        <f t="shared" ref="F21:M21" si="13">+SUMIFS($AA21:$DR21,$AA$7:$DR$7,F$7)</f>
        <v>0.4555607462</v>
      </c>
      <c r="G21" s="50">
        <f t="shared" si="13"/>
        <v>35.35503035</v>
      </c>
      <c r="H21" s="50">
        <f t="shared" si="13"/>
        <v>43.70818514</v>
      </c>
      <c r="I21" s="50">
        <f t="shared" si="13"/>
        <v>0</v>
      </c>
      <c r="J21" s="50">
        <f t="shared" si="13"/>
        <v>0</v>
      </c>
      <c r="K21" s="50">
        <f t="shared" si="13"/>
        <v>0</v>
      </c>
      <c r="L21" s="50">
        <f t="shared" si="13"/>
        <v>0</v>
      </c>
      <c r="M21" s="50">
        <f t="shared" si="13"/>
        <v>0</v>
      </c>
      <c r="AA21" s="51">
        <v>0.0</v>
      </c>
      <c r="AB21" s="51">
        <v>0.0</v>
      </c>
      <c r="AC21" s="51">
        <v>0.07591313642756681</v>
      </c>
      <c r="AD21" s="51">
        <v>0.0</v>
      </c>
      <c r="AE21" s="51">
        <v>0.0</v>
      </c>
      <c r="AF21" s="51">
        <v>0.008127518573551264</v>
      </c>
      <c r="AG21" s="51">
        <v>0.0</v>
      </c>
      <c r="AH21" s="51">
        <v>0.018045104859110695</v>
      </c>
      <c r="AI21" s="51">
        <v>0.0</v>
      </c>
      <c r="AJ21" s="51">
        <v>0.1833102872984715</v>
      </c>
      <c r="AK21" s="51">
        <v>0.025261544027568462</v>
      </c>
      <c r="AL21" s="51">
        <v>0.14490315500406337</v>
      </c>
      <c r="AM21" s="51">
        <v>0.11215023612750886</v>
      </c>
      <c r="AN21" s="51">
        <v>1.7140473883265406</v>
      </c>
      <c r="AO21" s="51">
        <v>1.218627781954928</v>
      </c>
      <c r="AP21" s="51">
        <v>1.359144601910251</v>
      </c>
      <c r="AQ21" s="51">
        <v>1.4596020636461247</v>
      </c>
      <c r="AR21" s="51">
        <v>4.730245165858427</v>
      </c>
      <c r="AS21" s="51">
        <v>4.145513503090623</v>
      </c>
      <c r="AT21" s="51">
        <v>4.636629265261678</v>
      </c>
      <c r="AU21" s="51">
        <v>2.964056006733645</v>
      </c>
      <c r="AV21" s="51">
        <v>3.5676550860203795</v>
      </c>
      <c r="AW21" s="51">
        <v>4.771432293519928</v>
      </c>
      <c r="AX21" s="51">
        <v>4.67592695793118</v>
      </c>
      <c r="AY21" s="51">
        <v>3.8963323748698735</v>
      </c>
      <c r="AZ21" s="51">
        <v>4.149929525044424</v>
      </c>
      <c r="BA21" s="51">
        <v>3.996391171393954</v>
      </c>
      <c r="BB21" s="51">
        <v>3.762157572017585</v>
      </c>
      <c r="BC21" s="51">
        <v>5.459867188900462</v>
      </c>
      <c r="BD21" s="51">
        <v>3.964835586115264</v>
      </c>
      <c r="BE21" s="51">
        <v>2.8043989946284453</v>
      </c>
      <c r="BF21" s="51">
        <v>4.31278859969939</v>
      </c>
      <c r="BG21" s="51">
        <v>3.3024298411493165</v>
      </c>
      <c r="BH21" s="51">
        <v>2.09571862593726</v>
      </c>
      <c r="BI21" s="51">
        <v>4.631224097367529</v>
      </c>
      <c r="BJ21" s="51">
        <v>1.3321115641981516</v>
      </c>
    </row>
    <row r="22" ht="15.75" hidden="1" customHeight="1" outlineLevel="1">
      <c r="B22" s="5" t="s">
        <v>81</v>
      </c>
      <c r="C22" s="72" t="s">
        <v>82</v>
      </c>
      <c r="F22" s="50">
        <f t="shared" ref="F22:M22" si="14">+SUMIFS($AA22:$DR22,$AA$7:$DR$7,F$7)</f>
        <v>326.2526957</v>
      </c>
      <c r="G22" s="50">
        <f t="shared" si="14"/>
        <v>158.6094919</v>
      </c>
      <c r="H22" s="50">
        <f t="shared" si="14"/>
        <v>192.5821657</v>
      </c>
      <c r="I22" s="50">
        <f t="shared" si="14"/>
        <v>0</v>
      </c>
      <c r="J22" s="50">
        <f t="shared" si="14"/>
        <v>0</v>
      </c>
      <c r="K22" s="50">
        <f t="shared" si="14"/>
        <v>0</v>
      </c>
      <c r="L22" s="50">
        <f t="shared" si="14"/>
        <v>0</v>
      </c>
      <c r="M22" s="50">
        <f t="shared" si="14"/>
        <v>0</v>
      </c>
      <c r="AA22" s="51">
        <v>19.603729308707532</v>
      </c>
      <c r="AB22" s="51">
        <v>32.85675307980786</v>
      </c>
      <c r="AC22" s="51">
        <v>33.26764099473537</v>
      </c>
      <c r="AD22" s="51">
        <v>43.751815311075134</v>
      </c>
      <c r="AE22" s="51">
        <v>44.32075507646006</v>
      </c>
      <c r="AF22" s="51">
        <v>29.451539633075193</v>
      </c>
      <c r="AG22" s="51">
        <v>24.161029701710856</v>
      </c>
      <c r="AH22" s="51">
        <v>23.892124925302348</v>
      </c>
      <c r="AI22" s="51">
        <v>19.874672283954947</v>
      </c>
      <c r="AJ22" s="51">
        <v>23.8550278581677</v>
      </c>
      <c r="AK22" s="51">
        <v>16.446241478001873</v>
      </c>
      <c r="AL22" s="51">
        <v>14.7713660272757</v>
      </c>
      <c r="AM22" s="51">
        <v>15.251373932295875</v>
      </c>
      <c r="AN22" s="51">
        <v>23.22362133257836</v>
      </c>
      <c r="AO22" s="51">
        <v>17.432501349254153</v>
      </c>
      <c r="AP22" s="51">
        <v>15.500901858587495</v>
      </c>
      <c r="AQ22" s="51">
        <v>12.103186469056169</v>
      </c>
      <c r="AR22" s="51">
        <v>13.448291137267194</v>
      </c>
      <c r="AS22" s="51">
        <v>16.485301128879172</v>
      </c>
      <c r="AT22" s="51">
        <v>9.641369532476208</v>
      </c>
      <c r="AU22" s="51">
        <v>8.771883676301425</v>
      </c>
      <c r="AV22" s="51">
        <v>12.922257637610803</v>
      </c>
      <c r="AW22" s="51">
        <v>7.658943191228207</v>
      </c>
      <c r="AX22" s="51">
        <v>6.169860617210595</v>
      </c>
      <c r="AY22" s="51">
        <v>14.708745892191036</v>
      </c>
      <c r="AZ22" s="51">
        <v>14.754205191397286</v>
      </c>
      <c r="BA22" s="51">
        <v>15.604158960526622</v>
      </c>
      <c r="BB22" s="51">
        <v>7.817985415232406</v>
      </c>
      <c r="BC22" s="51">
        <v>13.554692732854472</v>
      </c>
      <c r="BD22" s="51">
        <v>11.810563441926302</v>
      </c>
      <c r="BE22" s="51">
        <v>14.51341799074901</v>
      </c>
      <c r="BF22" s="51">
        <v>22.26241135726982</v>
      </c>
      <c r="BG22" s="51">
        <v>13.983031509766914</v>
      </c>
      <c r="BH22" s="51">
        <v>22.831332985132075</v>
      </c>
      <c r="BI22" s="51">
        <v>22.935811606610933</v>
      </c>
      <c r="BJ22" s="51">
        <v>17.805808601361758</v>
      </c>
    </row>
    <row r="23" ht="15.75" hidden="1" customHeight="1" outlineLevel="1">
      <c r="B23" s="5" t="s">
        <v>83</v>
      </c>
      <c r="C23" s="72" t="s">
        <v>70</v>
      </c>
      <c r="F23" s="50">
        <f t="shared" ref="F23:M23" si="15">+SUMIFS($AA23:$DR23,$AA$7:$DR$7,F$7)</f>
        <v>15.02598884</v>
      </c>
      <c r="G23" s="50">
        <f t="shared" si="15"/>
        <v>8.788212788</v>
      </c>
      <c r="H23" s="50">
        <f t="shared" si="15"/>
        <v>15.1014394</v>
      </c>
      <c r="I23" s="50">
        <f t="shared" si="15"/>
        <v>0</v>
      </c>
      <c r="J23" s="50">
        <f t="shared" si="15"/>
        <v>0</v>
      </c>
      <c r="K23" s="50">
        <f t="shared" si="15"/>
        <v>0</v>
      </c>
      <c r="L23" s="50">
        <f t="shared" si="15"/>
        <v>0</v>
      </c>
      <c r="M23" s="50">
        <f t="shared" si="15"/>
        <v>0</v>
      </c>
      <c r="AA23" s="51">
        <v>0.2541007581243058</v>
      </c>
      <c r="AB23" s="51">
        <v>1.1676478706746882</v>
      </c>
      <c r="AC23" s="51">
        <v>0.42854922060328454</v>
      </c>
      <c r="AD23" s="51">
        <v>0.3760444735202819</v>
      </c>
      <c r="AE23" s="51">
        <v>1.2968034837607316</v>
      </c>
      <c r="AF23" s="51">
        <v>1.9979773054855419</v>
      </c>
      <c r="AG23" s="51">
        <v>1.4795579080526609</v>
      </c>
      <c r="AH23" s="51">
        <v>2.675975031812585</v>
      </c>
      <c r="AI23" s="51">
        <v>2.6422212273090135</v>
      </c>
      <c r="AJ23" s="51">
        <v>2.045712148694891</v>
      </c>
      <c r="AK23" s="51">
        <v>0.30386441122548835</v>
      </c>
      <c r="AL23" s="51">
        <v>0.3575350049142981</v>
      </c>
      <c r="AM23" s="51">
        <v>1.7224297502702046</v>
      </c>
      <c r="AN23" s="51">
        <v>0.2558288442253282</v>
      </c>
      <c r="AO23" s="51">
        <v>2.1378906074947546</v>
      </c>
      <c r="AP23" s="51">
        <v>0.12028488182998864</v>
      </c>
      <c r="AQ23" s="51">
        <v>0.3066676796589207</v>
      </c>
      <c r="AR23" s="51">
        <v>0.24149359998250097</v>
      </c>
      <c r="AS23" s="51">
        <v>0.6035381438114433</v>
      </c>
      <c r="AT23" s="51">
        <v>0.9047168914353959</v>
      </c>
      <c r="AU23" s="51">
        <v>0.853737493593724</v>
      </c>
      <c r="AV23" s="51">
        <v>0.14434921995614056</v>
      </c>
      <c r="AW23" s="51">
        <v>0.9404754402318124</v>
      </c>
      <c r="AX23" s="51">
        <v>0.5568002350468362</v>
      </c>
      <c r="AY23" s="51">
        <v>2.353046662974349</v>
      </c>
      <c r="AZ23" s="51">
        <v>1.415349803002583</v>
      </c>
      <c r="BA23" s="51">
        <v>0.6390356404762673</v>
      </c>
      <c r="BB23" s="51">
        <v>0.30773774468885196</v>
      </c>
      <c r="BC23" s="51">
        <v>0.6582690576782108</v>
      </c>
      <c r="BD23" s="51">
        <v>2.4019412550426407</v>
      </c>
      <c r="BE23" s="51">
        <v>2.9493891873245848</v>
      </c>
      <c r="BF23" s="51">
        <v>0.5365995731847152</v>
      </c>
      <c r="BG23" s="51">
        <v>0.9371479131855082</v>
      </c>
      <c r="BH23" s="51">
        <v>2.1480429481495986</v>
      </c>
      <c r="BI23" s="51">
        <v>0.14381543450928785</v>
      </c>
      <c r="BJ23" s="51">
        <v>0.6110641772004074</v>
      </c>
    </row>
    <row r="24" ht="15.75" hidden="1" customHeight="1" outlineLevel="1">
      <c r="B24" s="5" t="s">
        <v>84</v>
      </c>
      <c r="C24" s="72" t="s">
        <v>70</v>
      </c>
      <c r="F24" s="50">
        <f t="shared" ref="F24:M24" si="16">+SUMIFS($AA24:$DR24,$AA$7:$DR$7,F$7)</f>
        <v>12.09287335</v>
      </c>
      <c r="G24" s="50">
        <f t="shared" si="16"/>
        <v>3.653928747</v>
      </c>
      <c r="H24" s="50">
        <f t="shared" si="16"/>
        <v>5.633886152</v>
      </c>
      <c r="I24" s="50">
        <f t="shared" si="16"/>
        <v>0</v>
      </c>
      <c r="J24" s="50">
        <f t="shared" si="16"/>
        <v>0</v>
      </c>
      <c r="K24" s="50">
        <f t="shared" si="16"/>
        <v>0</v>
      </c>
      <c r="L24" s="50">
        <f t="shared" si="16"/>
        <v>0</v>
      </c>
      <c r="M24" s="50">
        <f t="shared" si="16"/>
        <v>0</v>
      </c>
      <c r="AA24" s="51">
        <v>1.349597772511651</v>
      </c>
      <c r="AB24" s="51">
        <v>0.4007776990513783</v>
      </c>
      <c r="AC24" s="51">
        <v>0.7672624632463572</v>
      </c>
      <c r="AD24" s="51">
        <v>0.6930763400684016</v>
      </c>
      <c r="AE24" s="51">
        <v>3.2118626019248477</v>
      </c>
      <c r="AF24" s="51">
        <v>1.788728077166855</v>
      </c>
      <c r="AG24" s="51">
        <v>0.2787935532733553</v>
      </c>
      <c r="AH24" s="51">
        <v>1.1003810920716937</v>
      </c>
      <c r="AI24" s="51">
        <v>0.08749845834828872</v>
      </c>
      <c r="AJ24" s="51">
        <v>0.1629826888570989</v>
      </c>
      <c r="AK24" s="51">
        <v>1.0167133833678563</v>
      </c>
      <c r="AL24" s="51">
        <v>1.23519921995869</v>
      </c>
      <c r="AM24" s="51">
        <v>1.1653699127520163</v>
      </c>
      <c r="AN24" s="51">
        <v>0.5368093733003498</v>
      </c>
      <c r="AO24" s="51">
        <v>0.1898100661847853</v>
      </c>
      <c r="AP24" s="51">
        <v>1.049011154630844</v>
      </c>
      <c r="AQ24" s="51">
        <v>0.2313057334586134</v>
      </c>
      <c r="AR24" s="51">
        <v>0.008218872326170286</v>
      </c>
      <c r="AS24" s="51">
        <v>0.13259701141788566</v>
      </c>
      <c r="AT24" s="51">
        <v>0.08640567165185739</v>
      </c>
      <c r="AU24" s="51">
        <v>0.017171906013425334</v>
      </c>
      <c r="AV24" s="51">
        <v>0.10092092959412811</v>
      </c>
      <c r="AW24" s="51">
        <v>0.04062827534217429</v>
      </c>
      <c r="AX24" s="51">
        <v>0.09567984033869702</v>
      </c>
      <c r="AY24" s="51">
        <v>0.39138119592191883</v>
      </c>
      <c r="AZ24" s="51">
        <v>0.4792963426328825</v>
      </c>
      <c r="BA24" s="51">
        <v>0.2804593904763642</v>
      </c>
      <c r="BB24" s="51">
        <v>0.8422494169038567</v>
      </c>
      <c r="BC24" s="51">
        <v>0.1810560593905692</v>
      </c>
      <c r="BD24" s="51">
        <v>0.2200325489073635</v>
      </c>
      <c r="BE24" s="51">
        <v>0.4489425642817373</v>
      </c>
      <c r="BF24" s="51">
        <v>0.3575685301134244</v>
      </c>
      <c r="BG24" s="51">
        <v>0.8405249404973678</v>
      </c>
      <c r="BH24" s="51">
        <v>0.42061197739115264</v>
      </c>
      <c r="BI24" s="51">
        <v>0.8630283230864801</v>
      </c>
      <c r="BJ24" s="51">
        <v>0.30873486209405204</v>
      </c>
    </row>
    <row r="25" ht="15.75" hidden="1" customHeight="1" outlineLevel="1">
      <c r="B25" s="5" t="s">
        <v>85</v>
      </c>
      <c r="C25" s="72" t="s">
        <v>70</v>
      </c>
      <c r="F25" s="50">
        <f t="shared" ref="F25:M25" si="17">+SUMIFS($AA25:$DR25,$AA$7:$DR$7,F$7)</f>
        <v>0</v>
      </c>
      <c r="G25" s="50">
        <f t="shared" si="17"/>
        <v>0</v>
      </c>
      <c r="H25" s="50">
        <f t="shared" si="17"/>
        <v>0.07077991701</v>
      </c>
      <c r="I25" s="50">
        <f t="shared" si="17"/>
        <v>0</v>
      </c>
      <c r="J25" s="50">
        <f t="shared" si="17"/>
        <v>0</v>
      </c>
      <c r="K25" s="50">
        <f t="shared" si="17"/>
        <v>0</v>
      </c>
      <c r="L25" s="50">
        <f t="shared" si="17"/>
        <v>0</v>
      </c>
      <c r="M25" s="50">
        <f t="shared" si="17"/>
        <v>0</v>
      </c>
      <c r="AA25" s="51">
        <v>0.0</v>
      </c>
      <c r="AB25" s="51">
        <v>0.0</v>
      </c>
      <c r="AC25" s="51">
        <v>0.0</v>
      </c>
      <c r="AD25" s="51">
        <v>0.0</v>
      </c>
      <c r="AE25" s="51">
        <v>0.0</v>
      </c>
      <c r="AF25" s="51">
        <v>0.0</v>
      </c>
      <c r="AG25" s="51">
        <v>0.0</v>
      </c>
      <c r="AH25" s="51">
        <v>0.0</v>
      </c>
      <c r="AI25" s="51">
        <v>0.0</v>
      </c>
      <c r="AJ25" s="51">
        <v>0.0</v>
      </c>
      <c r="AK25" s="51">
        <v>0.0</v>
      </c>
      <c r="AL25" s="51">
        <v>0.0</v>
      </c>
      <c r="AM25" s="51">
        <v>0.0</v>
      </c>
      <c r="AN25" s="51">
        <v>0.0</v>
      </c>
      <c r="AO25" s="51">
        <v>0.0</v>
      </c>
      <c r="AP25" s="51">
        <v>0.0</v>
      </c>
      <c r="AQ25" s="51">
        <v>0.0</v>
      </c>
      <c r="AR25" s="51">
        <v>0.0</v>
      </c>
      <c r="AS25" s="51">
        <v>0.0</v>
      </c>
      <c r="AT25" s="51">
        <v>0.0</v>
      </c>
      <c r="AU25" s="51">
        <v>0.0</v>
      </c>
      <c r="AV25" s="51">
        <v>0.0</v>
      </c>
      <c r="AW25" s="51">
        <v>0.0</v>
      </c>
      <c r="AX25" s="51">
        <v>0.0</v>
      </c>
      <c r="AY25" s="51">
        <v>0.0</v>
      </c>
      <c r="AZ25" s="51">
        <v>0.0</v>
      </c>
      <c r="BA25" s="51">
        <v>0.0</v>
      </c>
      <c r="BB25" s="51">
        <v>0.0</v>
      </c>
      <c r="BC25" s="51">
        <v>0.0</v>
      </c>
      <c r="BD25" s="51">
        <v>0.0</v>
      </c>
      <c r="BE25" s="51">
        <v>0.0</v>
      </c>
      <c r="BF25" s="51">
        <v>0.0</v>
      </c>
      <c r="BG25" s="51">
        <v>0.0</v>
      </c>
      <c r="BH25" s="51">
        <v>0.0707799170090542</v>
      </c>
      <c r="BI25" s="51">
        <v>0.0</v>
      </c>
      <c r="BJ25" s="51">
        <v>0.0</v>
      </c>
    </row>
    <row r="26" ht="15.75" hidden="1" customHeight="1" outlineLevel="1">
      <c r="B26" s="5" t="s">
        <v>86</v>
      </c>
      <c r="C26" s="72" t="s">
        <v>70</v>
      </c>
      <c r="F26" s="50">
        <f t="shared" ref="F26:M26" si="18">+SUMIFS($AA26:$DR26,$AA$7:$DR$7,F$7)</f>
        <v>8.121782037</v>
      </c>
      <c r="G26" s="50">
        <f t="shared" si="18"/>
        <v>7.463874552</v>
      </c>
      <c r="H26" s="50">
        <f t="shared" si="18"/>
        <v>4.410585454</v>
      </c>
      <c r="I26" s="50">
        <f t="shared" si="18"/>
        <v>0</v>
      </c>
      <c r="J26" s="50">
        <f t="shared" si="18"/>
        <v>0</v>
      </c>
      <c r="K26" s="50">
        <f t="shared" si="18"/>
        <v>0</v>
      </c>
      <c r="L26" s="50">
        <f t="shared" si="18"/>
        <v>0</v>
      </c>
      <c r="M26" s="50">
        <f t="shared" si="18"/>
        <v>0</v>
      </c>
      <c r="AA26" s="51">
        <v>0.8333587879598203</v>
      </c>
      <c r="AB26" s="51">
        <v>0.44723281154473743</v>
      </c>
      <c r="AC26" s="51">
        <v>0.6568518936803617</v>
      </c>
      <c r="AD26" s="51">
        <v>1.673779951009027</v>
      </c>
      <c r="AE26" s="51">
        <v>1.2901767254740797</v>
      </c>
      <c r="AF26" s="51">
        <v>0.3436819548575862</v>
      </c>
      <c r="AG26" s="51">
        <v>0.5760034473506757</v>
      </c>
      <c r="AH26" s="51">
        <v>0.9359400766045135</v>
      </c>
      <c r="AI26" s="51">
        <v>0.2044704954755392</v>
      </c>
      <c r="AJ26" s="51">
        <v>0.1438468145865462</v>
      </c>
      <c r="AK26" s="51">
        <v>0.8204716687445557</v>
      </c>
      <c r="AL26" s="51">
        <v>0.19596740957848627</v>
      </c>
      <c r="AM26" s="51">
        <v>0.17578432997332205</v>
      </c>
      <c r="AN26" s="51">
        <v>1.298310802428172</v>
      </c>
      <c r="AO26" s="51">
        <v>0.32402331093950876</v>
      </c>
      <c r="AP26" s="51">
        <v>0.41545975220911113</v>
      </c>
      <c r="AQ26" s="51">
        <v>0.12378550598266444</v>
      </c>
      <c r="AR26" s="51">
        <v>0.6004428492620832</v>
      </c>
      <c r="AS26" s="51">
        <v>0.1513903545658748</v>
      </c>
      <c r="AT26" s="51">
        <v>2.0518500917174305</v>
      </c>
      <c r="AU26" s="51">
        <v>0.6062682460453203</v>
      </c>
      <c r="AV26" s="51">
        <v>0.2547250990250893</v>
      </c>
      <c r="AW26" s="51">
        <v>1.3039536223789365</v>
      </c>
      <c r="AX26" s="51">
        <v>0.15788058769992055</v>
      </c>
      <c r="AY26" s="51">
        <v>0.9518479420590706</v>
      </c>
      <c r="AZ26" s="51">
        <v>1.2658707467310368</v>
      </c>
      <c r="BA26" s="51">
        <v>0.14751553674164572</v>
      </c>
      <c r="BB26" s="51">
        <v>0.05802127998042601</v>
      </c>
      <c r="BC26" s="51">
        <v>0.9863918365548133</v>
      </c>
      <c r="BD26" s="51">
        <v>0.13795981835988572</v>
      </c>
      <c r="BE26" s="51">
        <v>0.14896333792262828</v>
      </c>
      <c r="BF26" s="51">
        <v>0.017590408363679227</v>
      </c>
      <c r="BG26" s="51">
        <v>0.46909559344900814</v>
      </c>
      <c r="BH26" s="51">
        <v>0.043521016068175496</v>
      </c>
      <c r="BI26" s="51">
        <v>0.122928134695385</v>
      </c>
      <c r="BJ26" s="51">
        <v>0.06087980278572717</v>
      </c>
    </row>
    <row r="27" ht="15.75" hidden="1" customHeight="1" outlineLevel="1">
      <c r="B27" s="5" t="s">
        <v>87</v>
      </c>
      <c r="C27" s="72" t="s">
        <v>74</v>
      </c>
      <c r="F27" s="50">
        <f t="shared" ref="F27:M27" si="19">+SUMIFS($AA27:$DR27,$AA$7:$DR$7,F$7)</f>
        <v>25.8906739</v>
      </c>
      <c r="G27" s="50">
        <f t="shared" si="19"/>
        <v>12.0771807</v>
      </c>
      <c r="H27" s="50">
        <f t="shared" si="19"/>
        <v>8.045891047</v>
      </c>
      <c r="I27" s="50">
        <f t="shared" si="19"/>
        <v>0</v>
      </c>
      <c r="J27" s="50">
        <f t="shared" si="19"/>
        <v>0</v>
      </c>
      <c r="K27" s="50">
        <f t="shared" si="19"/>
        <v>0</v>
      </c>
      <c r="L27" s="50">
        <f t="shared" si="19"/>
        <v>0</v>
      </c>
      <c r="M27" s="50">
        <f t="shared" si="19"/>
        <v>0</v>
      </c>
      <c r="AA27" s="51">
        <v>4.650805055522165</v>
      </c>
      <c r="AB27" s="51">
        <v>1.5214184562706579</v>
      </c>
      <c r="AC27" s="51">
        <v>3.080628260345647</v>
      </c>
      <c r="AD27" s="51">
        <v>0.9461282003260241</v>
      </c>
      <c r="AE27" s="51">
        <v>2.7137132642663593</v>
      </c>
      <c r="AF27" s="51">
        <v>3.0624580540202433</v>
      </c>
      <c r="AG27" s="51">
        <v>1.3379148943309072</v>
      </c>
      <c r="AH27" s="51">
        <v>2.265294856038243</v>
      </c>
      <c r="AI27" s="51">
        <v>0.39574191204220655</v>
      </c>
      <c r="AJ27" s="51">
        <v>1.581341171920159</v>
      </c>
      <c r="AK27" s="51">
        <v>1.8428708085034042</v>
      </c>
      <c r="AL27" s="51">
        <v>2.49235896770952</v>
      </c>
      <c r="AM27" s="51">
        <v>1.7001574142395117</v>
      </c>
      <c r="AN27" s="51">
        <v>1.3750759692488468</v>
      </c>
      <c r="AO27" s="51">
        <v>1.3084851448008747</v>
      </c>
      <c r="AP27" s="51">
        <v>0.5532750614428164</v>
      </c>
      <c r="AQ27" s="51">
        <v>0.5109289564774789</v>
      </c>
      <c r="AR27" s="51">
        <v>1.0048781917213914</v>
      </c>
      <c r="AS27" s="51">
        <v>1.1166851364674937</v>
      </c>
      <c r="AT27" s="51">
        <v>0.4856794105117561</v>
      </c>
      <c r="AU27" s="51">
        <v>2.0646586372209574</v>
      </c>
      <c r="AV27" s="51">
        <v>0.850157489017473</v>
      </c>
      <c r="AW27" s="51">
        <v>0.5640798336686444</v>
      </c>
      <c r="AX27" s="51">
        <v>0.5431194569076756</v>
      </c>
      <c r="AY27" s="51">
        <v>1.427220963341344</v>
      </c>
      <c r="AZ27" s="51">
        <v>0.5893095195107865</v>
      </c>
      <c r="BA27" s="51">
        <v>0.49009694362624534</v>
      </c>
      <c r="BB27" s="51">
        <v>0.6521701120543273</v>
      </c>
      <c r="BC27" s="51">
        <v>0.6821273025822621</v>
      </c>
      <c r="BD27" s="51">
        <v>1.32240465088782</v>
      </c>
      <c r="BE27" s="51">
        <v>0.4027108467551694</v>
      </c>
      <c r="BF27" s="51">
        <v>0.6902725155858894</v>
      </c>
      <c r="BG27" s="51">
        <v>0.1961827296523336</v>
      </c>
      <c r="BH27" s="51">
        <v>0.5045833102352929</v>
      </c>
      <c r="BI27" s="51">
        <v>0.21056148623977716</v>
      </c>
      <c r="BJ27" s="51">
        <v>0.8782506662712946</v>
      </c>
    </row>
    <row r="28" ht="15.75" hidden="1" customHeight="1" outlineLevel="1">
      <c r="B28" s="5" t="s">
        <v>88</v>
      </c>
      <c r="C28" s="72" t="s">
        <v>74</v>
      </c>
      <c r="F28" s="50">
        <f t="shared" ref="F28:M28" si="20">+SUMIFS($AA28:$DR28,$AA$7:$DR$7,F$7)</f>
        <v>34.11260683</v>
      </c>
      <c r="G28" s="50">
        <f t="shared" si="20"/>
        <v>21.38929367</v>
      </c>
      <c r="H28" s="50">
        <f t="shared" si="20"/>
        <v>22.02141037</v>
      </c>
      <c r="I28" s="50">
        <f t="shared" si="20"/>
        <v>0</v>
      </c>
      <c r="J28" s="50">
        <f t="shared" si="20"/>
        <v>0</v>
      </c>
      <c r="K28" s="50">
        <f t="shared" si="20"/>
        <v>0</v>
      </c>
      <c r="L28" s="50">
        <f t="shared" si="20"/>
        <v>0</v>
      </c>
      <c r="M28" s="50">
        <f t="shared" si="20"/>
        <v>0</v>
      </c>
      <c r="AA28" s="51">
        <v>0.33718838975810395</v>
      </c>
      <c r="AB28" s="51">
        <v>3.029123225418909</v>
      </c>
      <c r="AC28" s="51">
        <v>1.3397875160250723</v>
      </c>
      <c r="AD28" s="51">
        <v>3.866483038246457</v>
      </c>
      <c r="AE28" s="51">
        <v>2.0052965302849795</v>
      </c>
      <c r="AF28" s="51">
        <v>4.728163483611454</v>
      </c>
      <c r="AG28" s="51">
        <v>3.302749267125338</v>
      </c>
      <c r="AH28" s="51">
        <v>2.275919899984528</v>
      </c>
      <c r="AI28" s="51">
        <v>2.8166383568122804</v>
      </c>
      <c r="AJ28" s="51">
        <v>3.2495556286461964</v>
      </c>
      <c r="AK28" s="51">
        <v>4.545633605113801</v>
      </c>
      <c r="AL28" s="51">
        <v>2.6160678907045294</v>
      </c>
      <c r="AM28" s="51">
        <v>1.9261554047813416</v>
      </c>
      <c r="AN28" s="51">
        <v>1.9145519423484456</v>
      </c>
      <c r="AO28" s="51">
        <v>1.3300465793491585</v>
      </c>
      <c r="AP28" s="51">
        <v>0.9495567558798188</v>
      </c>
      <c r="AQ28" s="51">
        <v>1.3720349796759226</v>
      </c>
      <c r="AR28" s="51">
        <v>1.9125778208596043</v>
      </c>
      <c r="AS28" s="51">
        <v>2.155635645215717</v>
      </c>
      <c r="AT28" s="51">
        <v>3.266519218814113</v>
      </c>
      <c r="AU28" s="51">
        <v>2.1304219254017034</v>
      </c>
      <c r="AV28" s="51">
        <v>1.745832764790794</v>
      </c>
      <c r="AW28" s="51">
        <v>1.1217681213236308</v>
      </c>
      <c r="AX28" s="51">
        <v>1.5641925105930476</v>
      </c>
      <c r="AY28" s="51">
        <v>1.729367523998</v>
      </c>
      <c r="AZ28" s="51">
        <v>1.0608765624755903</v>
      </c>
      <c r="BA28" s="51">
        <v>2.092075789537864</v>
      </c>
      <c r="BB28" s="51">
        <v>3.5309915418686493</v>
      </c>
      <c r="BC28" s="51">
        <v>1.068248180568928</v>
      </c>
      <c r="BD28" s="51">
        <v>1.6170498233475525</v>
      </c>
      <c r="BE28" s="51">
        <v>2.5043859267323714</v>
      </c>
      <c r="BF28" s="51">
        <v>2.7072126556701113</v>
      </c>
      <c r="BG28" s="51">
        <v>3.9186718486639696</v>
      </c>
      <c r="BH28" s="51">
        <v>0.3398743128497219</v>
      </c>
      <c r="BI28" s="51">
        <v>0.864956331063693</v>
      </c>
      <c r="BJ28" s="51">
        <v>0.5876998772546499</v>
      </c>
    </row>
    <row r="29" ht="15.75" hidden="1" customHeight="1" outlineLevel="1">
      <c r="B29" s="5" t="s">
        <v>89</v>
      </c>
      <c r="C29" s="72" t="s">
        <v>76</v>
      </c>
      <c r="F29" s="50">
        <f t="shared" ref="F29:M29" si="21">+SUMIFS($AA29:$DR29,$AA$7:$DR$7,F$7)</f>
        <v>89.41682735</v>
      </c>
      <c r="G29" s="50">
        <f t="shared" si="21"/>
        <v>91.85093324</v>
      </c>
      <c r="H29" s="50">
        <f t="shared" si="21"/>
        <v>71.91695065</v>
      </c>
      <c r="I29" s="50">
        <f t="shared" si="21"/>
        <v>0</v>
      </c>
      <c r="J29" s="50">
        <f t="shared" si="21"/>
        <v>0</v>
      </c>
      <c r="K29" s="50">
        <f t="shared" si="21"/>
        <v>0</v>
      </c>
      <c r="L29" s="50">
        <f t="shared" si="21"/>
        <v>0</v>
      </c>
      <c r="M29" s="50">
        <f t="shared" si="21"/>
        <v>0</v>
      </c>
      <c r="AA29" s="51">
        <v>3.431451278215534</v>
      </c>
      <c r="AB29" s="51">
        <v>4.661149768741089</v>
      </c>
      <c r="AC29" s="51">
        <v>2.891669882481533</v>
      </c>
      <c r="AD29" s="51">
        <v>6.045390449435508</v>
      </c>
      <c r="AE29" s="51">
        <v>5.2427383731935535</v>
      </c>
      <c r="AF29" s="51">
        <v>7.3062978906990725</v>
      </c>
      <c r="AG29" s="51">
        <v>4.856789463017154</v>
      </c>
      <c r="AH29" s="51">
        <v>5.168484719446177</v>
      </c>
      <c r="AI29" s="51">
        <v>8.758455171102465</v>
      </c>
      <c r="AJ29" s="51">
        <v>10.649833604417775</v>
      </c>
      <c r="AK29" s="51">
        <v>18.820898538930454</v>
      </c>
      <c r="AL29" s="51">
        <v>11.583668209774624</v>
      </c>
      <c r="AM29" s="51">
        <v>10.845939019092985</v>
      </c>
      <c r="AN29" s="51">
        <v>10.651662570864639</v>
      </c>
      <c r="AO29" s="51">
        <v>6.807378063078216</v>
      </c>
      <c r="AP29" s="51">
        <v>6.758472209579688</v>
      </c>
      <c r="AQ29" s="51">
        <v>6.680339648335618</v>
      </c>
      <c r="AR29" s="51">
        <v>8.930271337448103</v>
      </c>
      <c r="AS29" s="51">
        <v>7.7068189437418</v>
      </c>
      <c r="AT29" s="51">
        <v>13.329178276772316</v>
      </c>
      <c r="AU29" s="51">
        <v>6.636582630447192</v>
      </c>
      <c r="AV29" s="51">
        <v>7.143021823142305</v>
      </c>
      <c r="AW29" s="51">
        <v>3.2677001964938266</v>
      </c>
      <c r="AX29" s="51">
        <v>3.093568523164925</v>
      </c>
      <c r="AY29" s="51">
        <v>4.619427712042951</v>
      </c>
      <c r="AZ29" s="51">
        <v>2.94779708146148</v>
      </c>
      <c r="BA29" s="51">
        <v>6.06051312226241</v>
      </c>
      <c r="BB29" s="51">
        <v>3.6401811478236685</v>
      </c>
      <c r="BC29" s="51">
        <v>5.54179938747873</v>
      </c>
      <c r="BD29" s="51">
        <v>5.1018249587820215</v>
      </c>
      <c r="BE29" s="51">
        <v>5.305888617101116</v>
      </c>
      <c r="BF29" s="51">
        <v>5.156667214774025</v>
      </c>
      <c r="BG29" s="51">
        <v>8.36605705087558</v>
      </c>
      <c r="BH29" s="51">
        <v>12.265466602871806</v>
      </c>
      <c r="BI29" s="51">
        <v>8.990064847477127</v>
      </c>
      <c r="BJ29" s="51">
        <v>3.9212629022202794</v>
      </c>
    </row>
    <row r="30" ht="15.75" hidden="1" customHeight="1" outlineLevel="1">
      <c r="B30" s="5" t="s">
        <v>90</v>
      </c>
      <c r="C30" s="72" t="s">
        <v>74</v>
      </c>
      <c r="F30" s="50">
        <f t="shared" ref="F30:M30" si="22">+SUMIFS($AA30:$DR30,$AA$7:$DR$7,F$7)</f>
        <v>0</v>
      </c>
      <c r="G30" s="50">
        <f t="shared" si="22"/>
        <v>0.05781050301</v>
      </c>
      <c r="H30" s="50">
        <f t="shared" si="22"/>
        <v>15.75332397</v>
      </c>
      <c r="I30" s="50">
        <f t="shared" si="22"/>
        <v>0</v>
      </c>
      <c r="J30" s="50">
        <f t="shared" si="22"/>
        <v>0</v>
      </c>
      <c r="K30" s="50">
        <f t="shared" si="22"/>
        <v>0</v>
      </c>
      <c r="L30" s="50">
        <f t="shared" si="22"/>
        <v>0</v>
      </c>
      <c r="M30" s="50">
        <f t="shared" si="22"/>
        <v>0</v>
      </c>
      <c r="AA30" s="51">
        <v>0.0</v>
      </c>
      <c r="AB30" s="51">
        <v>0.0</v>
      </c>
      <c r="AC30" s="51">
        <v>0.0</v>
      </c>
      <c r="AD30" s="51">
        <v>0.0</v>
      </c>
      <c r="AE30" s="51">
        <v>0.0</v>
      </c>
      <c r="AF30" s="51">
        <v>0.0</v>
      </c>
      <c r="AG30" s="51">
        <v>0.0</v>
      </c>
      <c r="AH30" s="51">
        <v>0.0</v>
      </c>
      <c r="AI30" s="51">
        <v>0.0</v>
      </c>
      <c r="AJ30" s="51">
        <v>0.0</v>
      </c>
      <c r="AK30" s="51">
        <v>0.0</v>
      </c>
      <c r="AL30" s="51">
        <v>0.0</v>
      </c>
      <c r="AM30" s="51">
        <v>0.0</v>
      </c>
      <c r="AN30" s="51">
        <v>0.0</v>
      </c>
      <c r="AO30" s="51">
        <v>0.0</v>
      </c>
      <c r="AP30" s="51">
        <v>0.0</v>
      </c>
      <c r="AQ30" s="51">
        <v>0.0</v>
      </c>
      <c r="AR30" s="51">
        <v>0.006900137931034484</v>
      </c>
      <c r="AS30" s="51">
        <v>0.0</v>
      </c>
      <c r="AT30" s="51">
        <v>0.004213313829848692</v>
      </c>
      <c r="AU30" s="51">
        <v>0.0</v>
      </c>
      <c r="AV30" s="51">
        <v>0.0</v>
      </c>
      <c r="AW30" s="51">
        <v>0.0</v>
      </c>
      <c r="AX30" s="51">
        <v>0.04669705125132071</v>
      </c>
      <c r="AY30" s="51">
        <v>0.09662737537618389</v>
      </c>
      <c r="AZ30" s="51">
        <v>0.35452682639610067</v>
      </c>
      <c r="BA30" s="51">
        <v>0.4504771884043025</v>
      </c>
      <c r="BB30" s="51">
        <v>0.8791213315728595</v>
      </c>
      <c r="BC30" s="51">
        <v>1.9923117194367663</v>
      </c>
      <c r="BD30" s="51">
        <v>2.7728265969175423</v>
      </c>
      <c r="BE30" s="51">
        <v>3.0033597997560153</v>
      </c>
      <c r="BF30" s="51">
        <v>0.6561067971482571</v>
      </c>
      <c r="BG30" s="51">
        <v>1.6414197039592224</v>
      </c>
      <c r="BH30" s="51">
        <v>1.8310862047796155</v>
      </c>
      <c r="BI30" s="51">
        <v>1.4056850822203089</v>
      </c>
      <c r="BJ30" s="51">
        <v>0.6697753402201283</v>
      </c>
    </row>
    <row r="31" ht="15.75" hidden="1" customHeight="1" outlineLevel="1">
      <c r="B31" s="5" t="s">
        <v>91</v>
      </c>
      <c r="C31" s="72" t="s">
        <v>74</v>
      </c>
      <c r="F31" s="50">
        <f t="shared" ref="F31:M31" si="23">+SUMIFS($AA31:$DR31,$AA$7:$DR$7,F$7)</f>
        <v>85.78345501</v>
      </c>
      <c r="G31" s="50">
        <f t="shared" si="23"/>
        <v>32.02003594</v>
      </c>
      <c r="H31" s="50">
        <f t="shared" si="23"/>
        <v>30.85955163</v>
      </c>
      <c r="I31" s="50">
        <f t="shared" si="23"/>
        <v>0</v>
      </c>
      <c r="J31" s="50">
        <f t="shared" si="23"/>
        <v>0</v>
      </c>
      <c r="K31" s="50">
        <f t="shared" si="23"/>
        <v>0</v>
      </c>
      <c r="L31" s="50">
        <f t="shared" si="23"/>
        <v>0</v>
      </c>
      <c r="M31" s="50">
        <f t="shared" si="23"/>
        <v>0</v>
      </c>
      <c r="AA31" s="51">
        <v>11.177958852626325</v>
      </c>
      <c r="AB31" s="51">
        <v>4.974423752521185</v>
      </c>
      <c r="AC31" s="51">
        <v>8.380977640827275</v>
      </c>
      <c r="AD31" s="51">
        <v>8.64941851902488</v>
      </c>
      <c r="AE31" s="51">
        <v>4.459707383027133</v>
      </c>
      <c r="AF31" s="51">
        <v>9.775591868745462</v>
      </c>
      <c r="AG31" s="51">
        <v>6.98389675973802</v>
      </c>
      <c r="AH31" s="51">
        <v>8.130102645486895</v>
      </c>
      <c r="AI31" s="51">
        <v>6.137846478634033</v>
      </c>
      <c r="AJ31" s="51">
        <v>4.61144300893079</v>
      </c>
      <c r="AK31" s="51">
        <v>8.388124292264775</v>
      </c>
      <c r="AL31" s="51">
        <v>4.113963809321496</v>
      </c>
      <c r="AM31" s="51">
        <v>3.0280640931813942</v>
      </c>
      <c r="AN31" s="51">
        <v>4.13322516234834</v>
      </c>
      <c r="AO31" s="51">
        <v>3.350956364024451</v>
      </c>
      <c r="AP31" s="51">
        <v>2.2031594736998565</v>
      </c>
      <c r="AQ31" s="51">
        <v>1.5083133895905307</v>
      </c>
      <c r="AR31" s="51">
        <v>2.7426567194732545</v>
      </c>
      <c r="AS31" s="51">
        <v>4.67392900304895</v>
      </c>
      <c r="AT31" s="51">
        <v>2.640454718645235</v>
      </c>
      <c r="AU31" s="51">
        <v>1.6859965331054836</v>
      </c>
      <c r="AV31" s="51">
        <v>3.5572681017732966</v>
      </c>
      <c r="AW31" s="51">
        <v>1.589956787135703</v>
      </c>
      <c r="AX31" s="51">
        <v>0.9060555898907443</v>
      </c>
      <c r="AY31" s="51">
        <v>2.1000444167061887</v>
      </c>
      <c r="AZ31" s="51">
        <v>2.4385364157649008</v>
      </c>
      <c r="BA31" s="51">
        <v>1.8771766715928984</v>
      </c>
      <c r="BB31" s="51">
        <v>1.636595460754341</v>
      </c>
      <c r="BC31" s="51">
        <v>1.327504826597468</v>
      </c>
      <c r="BD31" s="51">
        <v>2.400045355332975</v>
      </c>
      <c r="BE31" s="51">
        <v>1.581285057683949</v>
      </c>
      <c r="BF31" s="51">
        <v>1.756279206025154</v>
      </c>
      <c r="BG31" s="51">
        <v>2.9412617545730804</v>
      </c>
      <c r="BH31" s="51">
        <v>5.317082708380955</v>
      </c>
      <c r="BI31" s="51">
        <v>3.6914273278048997</v>
      </c>
      <c r="BJ31" s="51">
        <v>3.7923124317891554</v>
      </c>
    </row>
    <row r="32" ht="15.75" hidden="1" customHeight="1" outlineLevel="1">
      <c r="B32" s="5" t="s">
        <v>92</v>
      </c>
      <c r="C32" s="72" t="s">
        <v>76</v>
      </c>
      <c r="F32" s="50">
        <f t="shared" ref="F32:M32" si="24">+SUMIFS($AA32:$DR32,$AA$7:$DR$7,F$7)</f>
        <v>110.0139934</v>
      </c>
      <c r="G32" s="50">
        <f t="shared" si="24"/>
        <v>79.0500638</v>
      </c>
      <c r="H32" s="50">
        <f t="shared" si="24"/>
        <v>53.12407311</v>
      </c>
      <c r="I32" s="50">
        <f t="shared" si="24"/>
        <v>0</v>
      </c>
      <c r="J32" s="50">
        <f t="shared" si="24"/>
        <v>0</v>
      </c>
      <c r="K32" s="50">
        <f t="shared" si="24"/>
        <v>0</v>
      </c>
      <c r="L32" s="50">
        <f t="shared" si="24"/>
        <v>0</v>
      </c>
      <c r="M32" s="50">
        <f t="shared" si="24"/>
        <v>0</v>
      </c>
      <c r="AA32" s="51">
        <v>11.946330639344518</v>
      </c>
      <c r="AB32" s="51">
        <v>12.93392226978096</v>
      </c>
      <c r="AC32" s="51">
        <v>14.99128802734057</v>
      </c>
      <c r="AD32" s="51">
        <v>9.186899742602021</v>
      </c>
      <c r="AE32" s="51">
        <v>6.653378973539134</v>
      </c>
      <c r="AF32" s="51">
        <v>6.8509906473039415</v>
      </c>
      <c r="AG32" s="51">
        <v>8.145842716446426</v>
      </c>
      <c r="AH32" s="51">
        <v>6.073685199163389</v>
      </c>
      <c r="AI32" s="51">
        <v>9.736421296432198</v>
      </c>
      <c r="AJ32" s="51">
        <v>9.817287295238144</v>
      </c>
      <c r="AK32" s="51">
        <v>6.793240990001007</v>
      </c>
      <c r="AL32" s="51">
        <v>6.884705599901674</v>
      </c>
      <c r="AM32" s="51">
        <v>7.9139563259064705</v>
      </c>
      <c r="AN32" s="51">
        <v>10.759706072616398</v>
      </c>
      <c r="AO32" s="51">
        <v>6.335187825171145</v>
      </c>
      <c r="AP32" s="51">
        <v>4.920172182600985</v>
      </c>
      <c r="AQ32" s="51">
        <v>8.07444461967034</v>
      </c>
      <c r="AR32" s="51">
        <v>8.231880724889379</v>
      </c>
      <c r="AS32" s="51">
        <v>4.415234208809598</v>
      </c>
      <c r="AT32" s="51">
        <v>3.2357448165810565</v>
      </c>
      <c r="AU32" s="51">
        <v>8.232894954326962</v>
      </c>
      <c r="AV32" s="51">
        <v>8.484291482702268</v>
      </c>
      <c r="AW32" s="51">
        <v>3.3189970412963357</v>
      </c>
      <c r="AX32" s="51">
        <v>5.127553543325118</v>
      </c>
      <c r="AY32" s="51">
        <v>6.96318570697132</v>
      </c>
      <c r="AZ32" s="51">
        <v>7.445989249299917</v>
      </c>
      <c r="BA32" s="51">
        <v>5.518579120571801</v>
      </c>
      <c r="BB32" s="51">
        <v>6.148017785115088</v>
      </c>
      <c r="BC32" s="51">
        <v>4.7038840266246895</v>
      </c>
      <c r="BD32" s="51">
        <v>4.201430301063985</v>
      </c>
      <c r="BE32" s="51">
        <v>2.029892820077073</v>
      </c>
      <c r="BF32" s="51">
        <v>2.874639694541947</v>
      </c>
      <c r="BG32" s="51">
        <v>4.997872419745417</v>
      </c>
      <c r="BH32" s="51">
        <v>3.0509181518737125</v>
      </c>
      <c r="BI32" s="51">
        <v>1.7736380427323468</v>
      </c>
      <c r="BJ32" s="51">
        <v>3.4160257865007955</v>
      </c>
    </row>
    <row r="33" ht="15.75" hidden="1" customHeight="1" outlineLevel="1">
      <c r="B33" s="5" t="s">
        <v>93</v>
      </c>
      <c r="C33" s="72" t="s">
        <v>74</v>
      </c>
      <c r="F33" s="50">
        <f t="shared" ref="F33:M33" si="25">+SUMIFS($AA33:$DR33,$AA$7:$DR$7,F$7)</f>
        <v>6.575824807</v>
      </c>
      <c r="G33" s="50">
        <f t="shared" si="25"/>
        <v>26.87734225</v>
      </c>
      <c r="H33" s="50">
        <f t="shared" si="25"/>
        <v>17.6697269</v>
      </c>
      <c r="I33" s="50">
        <f t="shared" si="25"/>
        <v>0</v>
      </c>
      <c r="J33" s="50">
        <f t="shared" si="25"/>
        <v>0</v>
      </c>
      <c r="K33" s="50">
        <f t="shared" si="25"/>
        <v>0</v>
      </c>
      <c r="L33" s="50">
        <f t="shared" si="25"/>
        <v>0</v>
      </c>
      <c r="M33" s="50">
        <f t="shared" si="25"/>
        <v>0</v>
      </c>
      <c r="AA33" s="51">
        <v>0.0</v>
      </c>
      <c r="AB33" s="51">
        <v>0.0</v>
      </c>
      <c r="AC33" s="51">
        <v>0.006972639885222382</v>
      </c>
      <c r="AD33" s="51">
        <v>0.0</v>
      </c>
      <c r="AE33" s="51">
        <v>0.01955839094159714</v>
      </c>
      <c r="AF33" s="51">
        <v>0.04063759286775632</v>
      </c>
      <c r="AG33" s="51">
        <v>0.062157045454545465</v>
      </c>
      <c r="AH33" s="51">
        <v>0.17428082407030304</v>
      </c>
      <c r="AI33" s="51">
        <v>0.2874571444910901</v>
      </c>
      <c r="AJ33" s="51">
        <v>1.96762780644768</v>
      </c>
      <c r="AK33" s="51">
        <v>2.987833837055409</v>
      </c>
      <c r="AL33" s="51">
        <v>1.029299526170629</v>
      </c>
      <c r="AM33" s="51">
        <v>3.635777939383903</v>
      </c>
      <c r="AN33" s="51">
        <v>2.4967123267839746</v>
      </c>
      <c r="AO33" s="51">
        <v>4.438963879747099</v>
      </c>
      <c r="AP33" s="51">
        <v>2.6438729708903317</v>
      </c>
      <c r="AQ33" s="51">
        <v>1.084080280909752</v>
      </c>
      <c r="AR33" s="51">
        <v>1.0085381071080883</v>
      </c>
      <c r="AS33" s="51">
        <v>0.8719743646206256</v>
      </c>
      <c r="AT33" s="51">
        <v>1.2054644118326407</v>
      </c>
      <c r="AU33" s="51">
        <v>1.3522497801131093</v>
      </c>
      <c r="AV33" s="51">
        <v>1.7883418208925006</v>
      </c>
      <c r="AW33" s="51">
        <v>4.9648548585475485</v>
      </c>
      <c r="AX33" s="51">
        <v>1.3865115042210108</v>
      </c>
      <c r="AY33" s="51">
        <v>3.297621804612433</v>
      </c>
      <c r="AZ33" s="51">
        <v>2.340113252667785</v>
      </c>
      <c r="BA33" s="51">
        <v>0.8814095809734821</v>
      </c>
      <c r="BB33" s="51">
        <v>0.8003351194173286</v>
      </c>
      <c r="BC33" s="51">
        <v>1.522415227003266</v>
      </c>
      <c r="BD33" s="51">
        <v>1.1304262120637765</v>
      </c>
      <c r="BE33" s="51">
        <v>0.9710571899852791</v>
      </c>
      <c r="BF33" s="51">
        <v>1.4084320768808927</v>
      </c>
      <c r="BG33" s="51">
        <v>1.0984537610131047</v>
      </c>
      <c r="BH33" s="51">
        <v>1.3535501988482066</v>
      </c>
      <c r="BI33" s="51">
        <v>1.5095160419608413</v>
      </c>
      <c r="BJ33" s="51">
        <v>1.3563964376421154</v>
      </c>
    </row>
    <row r="34" ht="15.75" hidden="1" customHeight="1" outlineLevel="1">
      <c r="B34" s="5" t="s">
        <v>94</v>
      </c>
      <c r="C34" s="72" t="s">
        <v>70</v>
      </c>
      <c r="F34" s="50">
        <f t="shared" ref="F34:M34" si="26">+SUMIFS($AA34:$DR34,$AA$7:$DR$7,F$7)</f>
        <v>0</v>
      </c>
      <c r="G34" s="50">
        <f t="shared" si="26"/>
        <v>0.6338864066</v>
      </c>
      <c r="H34" s="50">
        <f t="shared" si="26"/>
        <v>11.78323505</v>
      </c>
      <c r="I34" s="50">
        <f t="shared" si="26"/>
        <v>0</v>
      </c>
      <c r="J34" s="50">
        <f t="shared" si="26"/>
        <v>0</v>
      </c>
      <c r="K34" s="50">
        <f t="shared" si="26"/>
        <v>0</v>
      </c>
      <c r="L34" s="50">
        <f t="shared" si="26"/>
        <v>0</v>
      </c>
      <c r="M34" s="50">
        <f t="shared" si="26"/>
        <v>0</v>
      </c>
      <c r="AA34" s="51">
        <v>0.0</v>
      </c>
      <c r="AB34" s="51">
        <v>0.0</v>
      </c>
      <c r="AC34" s="51">
        <v>0.0</v>
      </c>
      <c r="AD34" s="51">
        <v>0.0</v>
      </c>
      <c r="AE34" s="51">
        <v>0.0</v>
      </c>
      <c r="AF34" s="51">
        <v>0.0</v>
      </c>
      <c r="AG34" s="51">
        <v>0.0</v>
      </c>
      <c r="AH34" s="51">
        <v>0.0</v>
      </c>
      <c r="AI34" s="51">
        <v>0.0</v>
      </c>
      <c r="AJ34" s="51">
        <v>0.0</v>
      </c>
      <c r="AK34" s="51">
        <v>0.0</v>
      </c>
      <c r="AL34" s="51">
        <v>0.0</v>
      </c>
      <c r="AM34" s="51">
        <v>0.0</v>
      </c>
      <c r="AN34" s="51">
        <v>0.0</v>
      </c>
      <c r="AO34" s="51">
        <v>0.0</v>
      </c>
      <c r="AP34" s="51">
        <v>0.0</v>
      </c>
      <c r="AQ34" s="51">
        <v>0.0</v>
      </c>
      <c r="AR34" s="51">
        <v>0.0</v>
      </c>
      <c r="AS34" s="51">
        <v>0.0</v>
      </c>
      <c r="AT34" s="51">
        <v>0.06872203470498756</v>
      </c>
      <c r="AU34" s="51">
        <v>0.0</v>
      </c>
      <c r="AV34" s="51">
        <v>0.007721887457006454</v>
      </c>
      <c r="AW34" s="51">
        <v>0.18295023973632685</v>
      </c>
      <c r="AX34" s="51">
        <v>0.37449224466021086</v>
      </c>
      <c r="AY34" s="51">
        <v>0.39359466048882036</v>
      </c>
      <c r="AZ34" s="51">
        <v>0.6011252115581412</v>
      </c>
      <c r="BA34" s="51">
        <v>1.4571585852619404</v>
      </c>
      <c r="BB34" s="51">
        <v>2.66891261761152</v>
      </c>
      <c r="BC34" s="51">
        <v>0.8879523102194462</v>
      </c>
      <c r="BD34" s="51">
        <v>1.9842686342830314</v>
      </c>
      <c r="BE34" s="51">
        <v>0.6825608048628923</v>
      </c>
      <c r="BF34" s="51">
        <v>1.4343289728292907</v>
      </c>
      <c r="BG34" s="51">
        <v>0.41119012163444674</v>
      </c>
      <c r="BH34" s="51">
        <v>0.45304135353115405</v>
      </c>
      <c r="BI34" s="51">
        <v>0.5958199310396514</v>
      </c>
      <c r="BJ34" s="51">
        <v>0.21328184443077752</v>
      </c>
    </row>
    <row r="35" ht="15.75" hidden="1" customHeight="1" outlineLevel="1">
      <c r="B35" s="5" t="s">
        <v>95</v>
      </c>
      <c r="C35" s="72" t="s">
        <v>70</v>
      </c>
      <c r="F35" s="50">
        <f t="shared" ref="F35:M35" si="27">+SUMIFS($AA35:$DR35,$AA$7:$DR$7,F$7)</f>
        <v>44.68780209</v>
      </c>
      <c r="G35" s="50">
        <f t="shared" si="27"/>
        <v>23.91132543</v>
      </c>
      <c r="H35" s="50">
        <f t="shared" si="27"/>
        <v>9.132157403</v>
      </c>
      <c r="I35" s="50">
        <f t="shared" si="27"/>
        <v>0</v>
      </c>
      <c r="J35" s="50">
        <f t="shared" si="27"/>
        <v>0</v>
      </c>
      <c r="K35" s="50">
        <f t="shared" si="27"/>
        <v>0</v>
      </c>
      <c r="L35" s="50">
        <f t="shared" si="27"/>
        <v>0</v>
      </c>
      <c r="M35" s="50">
        <f t="shared" si="27"/>
        <v>0</v>
      </c>
      <c r="AA35" s="51">
        <v>3.42947766346726</v>
      </c>
      <c r="AB35" s="51">
        <v>3.5211768113520554</v>
      </c>
      <c r="AC35" s="51">
        <v>3.904028256983413</v>
      </c>
      <c r="AD35" s="51">
        <v>8.087283379848074</v>
      </c>
      <c r="AE35" s="51">
        <v>4.843709608828861</v>
      </c>
      <c r="AF35" s="51">
        <v>1.4591081954367349</v>
      </c>
      <c r="AG35" s="51">
        <v>3.115341899959247</v>
      </c>
      <c r="AH35" s="51">
        <v>3.366298755958752</v>
      </c>
      <c r="AI35" s="51">
        <v>2.1225029394712123</v>
      </c>
      <c r="AJ35" s="51">
        <v>1.7264763593467587</v>
      </c>
      <c r="AK35" s="51">
        <v>3.0158020748460643</v>
      </c>
      <c r="AL35" s="51">
        <v>6.096596143501155</v>
      </c>
      <c r="AM35" s="51">
        <v>6.157437874639413</v>
      </c>
      <c r="AN35" s="51">
        <v>5.380308515621099</v>
      </c>
      <c r="AO35" s="51">
        <v>2.197487875776689</v>
      </c>
      <c r="AP35" s="51">
        <v>1.0909508345922512</v>
      </c>
      <c r="AQ35" s="51">
        <v>0.8485180424792834</v>
      </c>
      <c r="AR35" s="51">
        <v>1.1237885394248812</v>
      </c>
      <c r="AS35" s="51">
        <v>0.8892133735397534</v>
      </c>
      <c r="AT35" s="51">
        <v>1.614649851082825</v>
      </c>
      <c r="AU35" s="51">
        <v>1.5309114975794986</v>
      </c>
      <c r="AV35" s="51">
        <v>1.5083121445440888</v>
      </c>
      <c r="AW35" s="51">
        <v>1.2305078837312886</v>
      </c>
      <c r="AX35" s="51">
        <v>0.33923899580480965</v>
      </c>
      <c r="AY35" s="51">
        <v>0.675585942609749</v>
      </c>
      <c r="AZ35" s="51">
        <v>0.8424163742216157</v>
      </c>
      <c r="BA35" s="51">
        <v>1.6788398016911645</v>
      </c>
      <c r="BB35" s="51">
        <v>0.9663377873384462</v>
      </c>
      <c r="BC35" s="51">
        <v>0.4429502334866843</v>
      </c>
      <c r="BD35" s="51">
        <v>0.38291143529459765</v>
      </c>
      <c r="BE35" s="51">
        <v>0.7761891040277092</v>
      </c>
      <c r="BF35" s="51">
        <v>0.36986690467132555</v>
      </c>
      <c r="BG35" s="51">
        <v>0.1864603726414016</v>
      </c>
      <c r="BH35" s="51">
        <v>0.8803115565507089</v>
      </c>
      <c r="BI35" s="51">
        <v>1.2377986707635429</v>
      </c>
      <c r="BJ35" s="51">
        <v>0.6924892193222993</v>
      </c>
    </row>
    <row r="36" ht="15.75" hidden="1" customHeight="1" outlineLevel="1">
      <c r="B36" s="5" t="s">
        <v>96</v>
      </c>
      <c r="C36" s="72" t="s">
        <v>74</v>
      </c>
      <c r="F36" s="50">
        <f t="shared" ref="F36:M36" si="28">+SUMIFS($AA36:$DR36,$AA$7:$DR$7,F$7)</f>
        <v>0</v>
      </c>
      <c r="G36" s="50">
        <f t="shared" si="28"/>
        <v>0</v>
      </c>
      <c r="H36" s="50">
        <f t="shared" si="28"/>
        <v>0.009084725375</v>
      </c>
      <c r="I36" s="50">
        <f t="shared" si="28"/>
        <v>0</v>
      </c>
      <c r="J36" s="50">
        <f t="shared" si="28"/>
        <v>0</v>
      </c>
      <c r="K36" s="50">
        <f t="shared" si="28"/>
        <v>0</v>
      </c>
      <c r="L36" s="50">
        <f t="shared" si="28"/>
        <v>0</v>
      </c>
      <c r="M36" s="50">
        <f t="shared" si="28"/>
        <v>0</v>
      </c>
      <c r="AA36" s="51">
        <v>0.0</v>
      </c>
      <c r="AB36" s="51">
        <v>0.0</v>
      </c>
      <c r="AC36" s="51">
        <v>0.0</v>
      </c>
      <c r="AD36" s="51">
        <v>0.0</v>
      </c>
      <c r="AE36" s="51">
        <v>0.0</v>
      </c>
      <c r="AF36" s="51">
        <v>0.0</v>
      </c>
      <c r="AG36" s="51">
        <v>0.0</v>
      </c>
      <c r="AH36" s="51">
        <v>0.0</v>
      </c>
      <c r="AI36" s="51">
        <v>0.0</v>
      </c>
      <c r="AJ36" s="51">
        <v>0.0</v>
      </c>
      <c r="AK36" s="51">
        <v>0.0</v>
      </c>
      <c r="AL36" s="51">
        <v>0.0</v>
      </c>
      <c r="AM36" s="51">
        <v>0.0</v>
      </c>
      <c r="AN36" s="51">
        <v>0.0</v>
      </c>
      <c r="AO36" s="51">
        <v>0.0</v>
      </c>
      <c r="AP36" s="51">
        <v>0.0</v>
      </c>
      <c r="AQ36" s="51">
        <v>0.0</v>
      </c>
      <c r="AR36" s="51">
        <v>0.0</v>
      </c>
      <c r="AS36" s="51">
        <v>0.0</v>
      </c>
      <c r="AT36" s="51">
        <v>0.0</v>
      </c>
      <c r="AU36" s="51">
        <v>0.0</v>
      </c>
      <c r="AV36" s="51">
        <v>0.0</v>
      </c>
      <c r="AW36" s="51">
        <v>0.0</v>
      </c>
      <c r="AX36" s="51">
        <v>0.0</v>
      </c>
      <c r="AY36" s="51">
        <v>0.0</v>
      </c>
      <c r="AZ36" s="51">
        <v>0.0</v>
      </c>
      <c r="BA36" s="51">
        <v>0.0</v>
      </c>
      <c r="BB36" s="51">
        <v>0.0</v>
      </c>
      <c r="BC36" s="51">
        <v>0.0</v>
      </c>
      <c r="BD36" s="51">
        <v>0.0</v>
      </c>
      <c r="BE36" s="51">
        <v>0.0</v>
      </c>
      <c r="BF36" s="51">
        <v>0.0</v>
      </c>
      <c r="BG36" s="51">
        <v>0.0</v>
      </c>
      <c r="BH36" s="51">
        <v>0.009084725374557422</v>
      </c>
      <c r="BI36" s="51">
        <v>0.0</v>
      </c>
      <c r="BJ36" s="51">
        <v>0.0</v>
      </c>
    </row>
    <row r="37" ht="15.75" hidden="1" customHeight="1" outlineLevel="1">
      <c r="B37" s="5" t="s">
        <v>97</v>
      </c>
      <c r="C37" s="72" t="s">
        <v>82</v>
      </c>
      <c r="F37" s="50">
        <f t="shared" ref="F37:M37" si="29">+SUMIFS($AA37:$DR37,$AA$7:$DR$7,F$7)</f>
        <v>141.8711451</v>
      </c>
      <c r="G37" s="50">
        <f t="shared" si="29"/>
        <v>159.3011341</v>
      </c>
      <c r="H37" s="50">
        <f t="shared" si="29"/>
        <v>103.6748372</v>
      </c>
      <c r="I37" s="50">
        <f t="shared" si="29"/>
        <v>0</v>
      </c>
      <c r="J37" s="50">
        <f t="shared" si="29"/>
        <v>0</v>
      </c>
      <c r="K37" s="50">
        <f t="shared" si="29"/>
        <v>0</v>
      </c>
      <c r="L37" s="50">
        <f t="shared" si="29"/>
        <v>0</v>
      </c>
      <c r="M37" s="50">
        <f t="shared" si="29"/>
        <v>0</v>
      </c>
      <c r="AA37" s="51">
        <v>11.49878323843566</v>
      </c>
      <c r="AB37" s="51">
        <v>11.68882396417659</v>
      </c>
      <c r="AC37" s="51">
        <v>11.298339197210932</v>
      </c>
      <c r="AD37" s="51">
        <v>11.214727109609061</v>
      </c>
      <c r="AE37" s="51">
        <v>16.384691584536096</v>
      </c>
      <c r="AF37" s="51">
        <v>13.848595368711344</v>
      </c>
      <c r="AG37" s="51">
        <v>13.121665056812041</v>
      </c>
      <c r="AH37" s="51">
        <v>16.377184236635603</v>
      </c>
      <c r="AI37" s="51">
        <v>12.066936791188963</v>
      </c>
      <c r="AJ37" s="51">
        <v>8.6876979680641</v>
      </c>
      <c r="AK37" s="51">
        <v>7.871836304531379</v>
      </c>
      <c r="AL37" s="51">
        <v>7.81186431511263</v>
      </c>
      <c r="AM37" s="51">
        <v>5.165860333395571</v>
      </c>
      <c r="AN37" s="51">
        <v>12.591474527299017</v>
      </c>
      <c r="AO37" s="51">
        <v>15.514673021500398</v>
      </c>
      <c r="AP37" s="51">
        <v>23.190266737097975</v>
      </c>
      <c r="AQ37" s="51">
        <v>19.284877830193953</v>
      </c>
      <c r="AR37" s="51">
        <v>12.476130320522149</v>
      </c>
      <c r="AS37" s="51">
        <v>11.895650957421816</v>
      </c>
      <c r="AT37" s="51">
        <v>16.903441989108693</v>
      </c>
      <c r="AU37" s="51">
        <v>12.090140267455881</v>
      </c>
      <c r="AV37" s="51">
        <v>15.257370838801105</v>
      </c>
      <c r="AW37" s="51">
        <v>8.437530917088921</v>
      </c>
      <c r="AX37" s="51">
        <v>6.493716373491795</v>
      </c>
      <c r="AY37" s="51">
        <v>6.8283560119351066</v>
      </c>
      <c r="AZ37" s="51">
        <v>7.520418626754116</v>
      </c>
      <c r="BA37" s="51">
        <v>8.02764259630676</v>
      </c>
      <c r="BB37" s="51">
        <v>14.209493107567834</v>
      </c>
      <c r="BC37" s="51">
        <v>8.692317181029349</v>
      </c>
      <c r="BD37" s="51">
        <v>7.98717285272586</v>
      </c>
      <c r="BE37" s="51">
        <v>11.83763793858145</v>
      </c>
      <c r="BF37" s="51">
        <v>4.562908918141009</v>
      </c>
      <c r="BG37" s="51">
        <v>9.873533619570221</v>
      </c>
      <c r="BH37" s="51">
        <v>8.422316747246354</v>
      </c>
      <c r="BI37" s="51">
        <v>6.156203807532099</v>
      </c>
      <c r="BJ37" s="51">
        <v>9.556835835935939</v>
      </c>
    </row>
    <row r="38" ht="15.75" hidden="1" customHeight="1" outlineLevel="1">
      <c r="B38" s="5" t="s">
        <v>98</v>
      </c>
      <c r="C38" s="72" t="s">
        <v>74</v>
      </c>
      <c r="F38" s="50">
        <f t="shared" ref="F38:M38" si="30">+SUMIFS($AA38:$DR38,$AA$7:$DR$7,F$7)</f>
        <v>17.09837192</v>
      </c>
      <c r="G38" s="50">
        <f t="shared" si="30"/>
        <v>10.25306669</v>
      </c>
      <c r="H38" s="50">
        <f t="shared" si="30"/>
        <v>30.26994492</v>
      </c>
      <c r="I38" s="50">
        <f t="shared" si="30"/>
        <v>0</v>
      </c>
      <c r="J38" s="50">
        <f t="shared" si="30"/>
        <v>0</v>
      </c>
      <c r="K38" s="50">
        <f t="shared" si="30"/>
        <v>0</v>
      </c>
      <c r="L38" s="50">
        <f t="shared" si="30"/>
        <v>0</v>
      </c>
      <c r="M38" s="50">
        <f t="shared" si="30"/>
        <v>0</v>
      </c>
      <c r="AA38" s="51">
        <v>0.5874293082609958</v>
      </c>
      <c r="AB38" s="51">
        <v>1.2089389958350816</v>
      </c>
      <c r="AC38" s="51">
        <v>1.3506947038945782</v>
      </c>
      <c r="AD38" s="51">
        <v>2.5739515520751945</v>
      </c>
      <c r="AE38" s="51">
        <v>3.1591816101432566</v>
      </c>
      <c r="AF38" s="51">
        <v>1.8014346527427354</v>
      </c>
      <c r="AG38" s="51">
        <v>1.8948328953027347</v>
      </c>
      <c r="AH38" s="51">
        <v>1.1663415891518893</v>
      </c>
      <c r="AI38" s="51">
        <v>0.7736980842601321</v>
      </c>
      <c r="AJ38" s="51">
        <v>0.8181663036172355</v>
      </c>
      <c r="AK38" s="51">
        <v>1.2366768076348775</v>
      </c>
      <c r="AL38" s="51">
        <v>0.5270254128843627</v>
      </c>
      <c r="AM38" s="51">
        <v>1.2772837492715627</v>
      </c>
      <c r="AN38" s="51">
        <v>0.5302411402070476</v>
      </c>
      <c r="AO38" s="51">
        <v>1.0318951557311615</v>
      </c>
      <c r="AP38" s="51">
        <v>0.3639050233987958</v>
      </c>
      <c r="AQ38" s="51">
        <v>0.8525138374063882</v>
      </c>
      <c r="AR38" s="51">
        <v>0.183205902157145</v>
      </c>
      <c r="AS38" s="51">
        <v>0.8589932587693587</v>
      </c>
      <c r="AT38" s="51">
        <v>1.275608204933908</v>
      </c>
      <c r="AU38" s="51">
        <v>0.5156575539048872</v>
      </c>
      <c r="AV38" s="51">
        <v>1.203499829579432</v>
      </c>
      <c r="AW38" s="51">
        <v>1.0527508345699932</v>
      </c>
      <c r="AX38" s="51">
        <v>1.1075122011045766</v>
      </c>
      <c r="AY38" s="51">
        <v>1.0875477545974148</v>
      </c>
      <c r="AZ38" s="51">
        <v>0.650863527097205</v>
      </c>
      <c r="BA38" s="51">
        <v>1.6129519172397784</v>
      </c>
      <c r="BB38" s="51">
        <v>1.7259903228461988</v>
      </c>
      <c r="BC38" s="51">
        <v>2.5835911482154166</v>
      </c>
      <c r="BD38" s="51">
        <v>3.4025869901302643</v>
      </c>
      <c r="BE38" s="51">
        <v>2.0560347415972835</v>
      </c>
      <c r="BF38" s="51">
        <v>2.094509765217488</v>
      </c>
      <c r="BG38" s="51">
        <v>4.897533764329856</v>
      </c>
      <c r="BH38" s="51">
        <v>5.78430023001168</v>
      </c>
      <c r="BI38" s="51">
        <v>2.410668019798084</v>
      </c>
      <c r="BJ38" s="51">
        <v>1.9633667432198563</v>
      </c>
    </row>
    <row r="39" ht="15.75" hidden="1" customHeight="1" outlineLevel="1">
      <c r="B39" s="5" t="s">
        <v>99</v>
      </c>
      <c r="C39" s="72" t="s">
        <v>70</v>
      </c>
      <c r="F39" s="50">
        <f t="shared" ref="F39:M39" si="31">+SUMIFS($AA39:$DR39,$AA$7:$DR$7,F$7)</f>
        <v>0</v>
      </c>
      <c r="G39" s="50">
        <f t="shared" si="31"/>
        <v>0</v>
      </c>
      <c r="H39" s="50">
        <f t="shared" si="31"/>
        <v>2.458123236</v>
      </c>
      <c r="I39" s="50">
        <f t="shared" si="31"/>
        <v>0</v>
      </c>
      <c r="J39" s="50">
        <f t="shared" si="31"/>
        <v>0</v>
      </c>
      <c r="K39" s="50">
        <f t="shared" si="31"/>
        <v>0</v>
      </c>
      <c r="L39" s="50">
        <f t="shared" si="31"/>
        <v>0</v>
      </c>
      <c r="M39" s="50">
        <f t="shared" si="31"/>
        <v>0</v>
      </c>
      <c r="AA39" s="51">
        <v>0.0</v>
      </c>
      <c r="AB39" s="51">
        <v>0.0</v>
      </c>
      <c r="AC39" s="51">
        <v>0.0</v>
      </c>
      <c r="AD39" s="51">
        <v>0.0</v>
      </c>
      <c r="AE39" s="51">
        <v>0.0</v>
      </c>
      <c r="AF39" s="51">
        <v>0.0</v>
      </c>
      <c r="AG39" s="51">
        <v>0.0</v>
      </c>
      <c r="AH39" s="51">
        <v>0.0</v>
      </c>
      <c r="AI39" s="51">
        <v>0.0</v>
      </c>
      <c r="AJ39" s="51">
        <v>0.0</v>
      </c>
      <c r="AK39" s="51">
        <v>0.0</v>
      </c>
      <c r="AL39" s="51">
        <v>0.0</v>
      </c>
      <c r="AM39" s="51">
        <v>0.0</v>
      </c>
      <c r="AN39" s="51">
        <v>0.0</v>
      </c>
      <c r="AO39" s="51">
        <v>0.0</v>
      </c>
      <c r="AP39" s="51">
        <v>0.0</v>
      </c>
      <c r="AQ39" s="51">
        <v>0.0</v>
      </c>
      <c r="AR39" s="51">
        <v>0.0</v>
      </c>
      <c r="AS39" s="51">
        <v>0.0</v>
      </c>
      <c r="AT39" s="51">
        <v>0.0</v>
      </c>
      <c r="AU39" s="51">
        <v>0.0</v>
      </c>
      <c r="AV39" s="51">
        <v>0.0</v>
      </c>
      <c r="AW39" s="51">
        <v>0.0</v>
      </c>
      <c r="AX39" s="51">
        <v>0.0</v>
      </c>
      <c r="AY39" s="51">
        <v>0.0</v>
      </c>
      <c r="AZ39" s="51">
        <v>0.0</v>
      </c>
      <c r="BA39" s="51">
        <v>0.03090300128945039</v>
      </c>
      <c r="BB39" s="51">
        <v>0.0</v>
      </c>
      <c r="BC39" s="51">
        <v>0.0</v>
      </c>
      <c r="BD39" s="51">
        <v>0.016540139367911637</v>
      </c>
      <c r="BE39" s="51">
        <v>0.12655316178467865</v>
      </c>
      <c r="BF39" s="51">
        <v>0.12814335997821014</v>
      </c>
      <c r="BG39" s="51">
        <v>0.4632420276805312</v>
      </c>
      <c r="BH39" s="51">
        <v>0.6353199009499365</v>
      </c>
      <c r="BI39" s="51">
        <v>0.4154524699467383</v>
      </c>
      <c r="BJ39" s="51">
        <v>0.6419691754957897</v>
      </c>
    </row>
    <row r="40" ht="15.75" hidden="1" customHeight="1" outlineLevel="1">
      <c r="B40" s="5" t="s">
        <v>100</v>
      </c>
      <c r="C40" s="72" t="s">
        <v>82</v>
      </c>
      <c r="F40" s="50">
        <f t="shared" ref="F40:M40" si="32">+SUMIFS($AA40:$DR40,$AA$7:$DR$7,F$7)</f>
        <v>336.7431566</v>
      </c>
      <c r="G40" s="50">
        <f t="shared" si="32"/>
        <v>299.7247898</v>
      </c>
      <c r="H40" s="50">
        <f t="shared" si="32"/>
        <v>173.0055051</v>
      </c>
      <c r="I40" s="50">
        <f t="shared" si="32"/>
        <v>0</v>
      </c>
      <c r="J40" s="50">
        <f t="shared" si="32"/>
        <v>0</v>
      </c>
      <c r="K40" s="50">
        <f t="shared" si="32"/>
        <v>0</v>
      </c>
      <c r="L40" s="50">
        <f t="shared" si="32"/>
        <v>0</v>
      </c>
      <c r="M40" s="50">
        <f t="shared" si="32"/>
        <v>0</v>
      </c>
      <c r="AA40" s="51">
        <v>23.819973716944283</v>
      </c>
      <c r="AB40" s="51">
        <v>22.87702190783214</v>
      </c>
      <c r="AC40" s="51">
        <v>20.439443080576474</v>
      </c>
      <c r="AD40" s="51">
        <v>29.475004943887964</v>
      </c>
      <c r="AE40" s="51">
        <v>21.150275342852247</v>
      </c>
      <c r="AF40" s="51">
        <v>30.259388170026163</v>
      </c>
      <c r="AG40" s="51">
        <v>36.98576156202118</v>
      </c>
      <c r="AH40" s="51">
        <v>39.57129932275635</v>
      </c>
      <c r="AI40" s="51">
        <v>31.765060664892694</v>
      </c>
      <c r="AJ40" s="51">
        <v>26.89720284565543</v>
      </c>
      <c r="AK40" s="51">
        <v>29.191254128491995</v>
      </c>
      <c r="AL40" s="51">
        <v>24.31147092421067</v>
      </c>
      <c r="AM40" s="51">
        <v>21.91227122841963</v>
      </c>
      <c r="AN40" s="51">
        <v>27.868501225525126</v>
      </c>
      <c r="AO40" s="51">
        <v>31.21910547167858</v>
      </c>
      <c r="AP40" s="51">
        <v>31.160465322291312</v>
      </c>
      <c r="AQ40" s="51">
        <v>18.912273256495304</v>
      </c>
      <c r="AR40" s="51">
        <v>24.855828993955257</v>
      </c>
      <c r="AS40" s="51">
        <v>27.79491554831364</v>
      </c>
      <c r="AT40" s="51">
        <v>26.441872492206215</v>
      </c>
      <c r="AU40" s="51">
        <v>20.543498581876943</v>
      </c>
      <c r="AV40" s="51">
        <v>23.38992550230594</v>
      </c>
      <c r="AW40" s="51">
        <v>28.082880674992715</v>
      </c>
      <c r="AX40" s="51">
        <v>17.54325153177836</v>
      </c>
      <c r="AY40" s="51">
        <v>13.074062277526245</v>
      </c>
      <c r="AZ40" s="51">
        <v>10.286020925135535</v>
      </c>
      <c r="BA40" s="51">
        <v>16.32880877195296</v>
      </c>
      <c r="BB40" s="51">
        <v>22.00226799636291</v>
      </c>
      <c r="BC40" s="51">
        <v>19.015832100222525</v>
      </c>
      <c r="BD40" s="51">
        <v>16.295713926964336</v>
      </c>
      <c r="BE40" s="51">
        <v>9.82065175509869</v>
      </c>
      <c r="BF40" s="51">
        <v>13.920629628026044</v>
      </c>
      <c r="BG40" s="51">
        <v>11.637409135279878</v>
      </c>
      <c r="BH40" s="51">
        <v>14.418793561477093</v>
      </c>
      <c r="BI40" s="51">
        <v>13.152606193610618</v>
      </c>
      <c r="BJ40" s="51">
        <v>13.052708852015524</v>
      </c>
    </row>
    <row r="41" ht="15.75" hidden="1" customHeight="1" outlineLevel="1">
      <c r="B41" s="5" t="s">
        <v>101</v>
      </c>
      <c r="C41" s="72" t="s">
        <v>70</v>
      </c>
      <c r="F41" s="50">
        <f t="shared" ref="F41:M41" si="33">+SUMIFS($AA41:$DR41,$AA$7:$DR$7,F$7)</f>
        <v>2.615841404</v>
      </c>
      <c r="G41" s="50">
        <f t="shared" si="33"/>
        <v>16.52112143</v>
      </c>
      <c r="H41" s="50">
        <f t="shared" si="33"/>
        <v>13.04193169</v>
      </c>
      <c r="I41" s="50">
        <f t="shared" si="33"/>
        <v>0</v>
      </c>
      <c r="J41" s="50">
        <f t="shared" si="33"/>
        <v>0</v>
      </c>
      <c r="K41" s="50">
        <f t="shared" si="33"/>
        <v>0</v>
      </c>
      <c r="L41" s="50">
        <f t="shared" si="33"/>
        <v>0</v>
      </c>
      <c r="M41" s="50">
        <f t="shared" si="33"/>
        <v>0</v>
      </c>
      <c r="AA41" s="51">
        <v>0.0</v>
      </c>
      <c r="AB41" s="51">
        <v>0.0</v>
      </c>
      <c r="AC41" s="51">
        <v>0.0</v>
      </c>
      <c r="AD41" s="51">
        <v>0.0</v>
      </c>
      <c r="AE41" s="51">
        <v>0.0</v>
      </c>
      <c r="AF41" s="51">
        <v>0.06502014858841011</v>
      </c>
      <c r="AG41" s="51">
        <v>0.020719015151515155</v>
      </c>
      <c r="AH41" s="51">
        <v>0.0</v>
      </c>
      <c r="AI41" s="51">
        <v>0.06807819198322532</v>
      </c>
      <c r="AJ41" s="51">
        <v>1.2764308494632224</v>
      </c>
      <c r="AK41" s="51">
        <v>0.796398848984674</v>
      </c>
      <c r="AL41" s="51">
        <v>0.3891943495418899</v>
      </c>
      <c r="AM41" s="51">
        <v>1.1086836522980532</v>
      </c>
      <c r="AN41" s="51">
        <v>1.0125676465752382</v>
      </c>
      <c r="AO41" s="51">
        <v>1.5868762041201465</v>
      </c>
      <c r="AP41" s="51">
        <v>4.140599257184799</v>
      </c>
      <c r="AQ41" s="51">
        <v>2.2427204582255214</v>
      </c>
      <c r="AR41" s="51">
        <v>0.48080802866408123</v>
      </c>
      <c r="AS41" s="51">
        <v>0.5908304156766548</v>
      </c>
      <c r="AT41" s="51">
        <v>0.8173961423883354</v>
      </c>
      <c r="AU41" s="51">
        <v>1.270645400866848</v>
      </c>
      <c r="AV41" s="51">
        <v>1.1656382765424564</v>
      </c>
      <c r="AW41" s="51">
        <v>0.6874197098957024</v>
      </c>
      <c r="AX41" s="51">
        <v>1.4169362393384963</v>
      </c>
      <c r="AY41" s="51">
        <v>2.4390738411641677</v>
      </c>
      <c r="AZ41" s="51">
        <v>1.9648296395726708</v>
      </c>
      <c r="BA41" s="51">
        <v>1.8085453939249785</v>
      </c>
      <c r="BB41" s="51">
        <v>1.2263104719981708</v>
      </c>
      <c r="BC41" s="51">
        <v>0.9180336696490876</v>
      </c>
      <c r="BD41" s="51">
        <v>0.42104438308941355</v>
      </c>
      <c r="BE41" s="51">
        <v>0.4151180972536565</v>
      </c>
      <c r="BF41" s="51">
        <v>0.5055986711109812</v>
      </c>
      <c r="BG41" s="51">
        <v>1.0119358142945707</v>
      </c>
      <c r="BH41" s="51">
        <v>0.2510347906076227</v>
      </c>
      <c r="BI41" s="51">
        <v>0.3647238818829428</v>
      </c>
      <c r="BJ41" s="51">
        <v>1.7156830379404528</v>
      </c>
    </row>
    <row r="42" ht="15.75" hidden="1" customHeight="1" outlineLevel="1">
      <c r="B42" s="5" t="s">
        <v>102</v>
      </c>
      <c r="C42" s="72" t="s">
        <v>70</v>
      </c>
      <c r="F42" s="50">
        <f t="shared" ref="F42:M42" si="34">+SUMIFS($AA42:$DR42,$AA$7:$DR$7,F$7)</f>
        <v>0</v>
      </c>
      <c r="G42" s="50">
        <f t="shared" si="34"/>
        <v>0</v>
      </c>
      <c r="H42" s="50">
        <f t="shared" si="34"/>
        <v>0</v>
      </c>
      <c r="I42" s="50">
        <f t="shared" si="34"/>
        <v>0</v>
      </c>
      <c r="J42" s="50">
        <f t="shared" si="34"/>
        <v>0</v>
      </c>
      <c r="K42" s="50">
        <f t="shared" si="34"/>
        <v>0</v>
      </c>
      <c r="L42" s="50">
        <f t="shared" si="34"/>
        <v>0</v>
      </c>
      <c r="M42" s="50">
        <f t="shared" si="34"/>
        <v>0</v>
      </c>
      <c r="AA42" s="51">
        <v>0.0</v>
      </c>
      <c r="AB42" s="51">
        <v>0.0</v>
      </c>
      <c r="AC42" s="51">
        <v>0.0</v>
      </c>
      <c r="AD42" s="51">
        <v>0.0</v>
      </c>
      <c r="AE42" s="51">
        <v>0.0</v>
      </c>
      <c r="AF42" s="51">
        <v>0.0</v>
      </c>
      <c r="AG42" s="51">
        <v>0.0</v>
      </c>
      <c r="AH42" s="51">
        <v>0.0</v>
      </c>
      <c r="AI42" s="51">
        <v>0.0</v>
      </c>
      <c r="AJ42" s="51">
        <v>0.0</v>
      </c>
      <c r="AK42" s="51">
        <v>0.0</v>
      </c>
      <c r="AL42" s="51">
        <v>0.0</v>
      </c>
      <c r="AM42" s="51">
        <v>0.0</v>
      </c>
      <c r="AN42" s="51">
        <v>0.0</v>
      </c>
      <c r="AO42" s="51">
        <v>0.0</v>
      </c>
      <c r="AP42" s="51">
        <v>0.0</v>
      </c>
      <c r="AQ42" s="51">
        <v>0.0</v>
      </c>
      <c r="AR42" s="51">
        <v>0.0</v>
      </c>
      <c r="AS42" s="51">
        <v>0.0</v>
      </c>
      <c r="AT42" s="51">
        <v>0.0</v>
      </c>
      <c r="AU42" s="51">
        <v>0.0</v>
      </c>
      <c r="AV42" s="51">
        <v>0.0</v>
      </c>
      <c r="AW42" s="51">
        <v>0.0</v>
      </c>
      <c r="AX42" s="51">
        <v>0.0</v>
      </c>
      <c r="AY42" s="51">
        <v>0.0</v>
      </c>
      <c r="AZ42" s="51">
        <v>0.0</v>
      </c>
      <c r="BA42" s="51">
        <v>0.0</v>
      </c>
      <c r="BB42" s="51">
        <v>0.0</v>
      </c>
      <c r="BC42" s="51">
        <v>0.0</v>
      </c>
      <c r="BD42" s="51">
        <v>0.0</v>
      </c>
      <c r="BE42" s="51">
        <v>0.0</v>
      </c>
      <c r="BF42" s="51">
        <v>0.0</v>
      </c>
      <c r="BG42" s="51">
        <v>0.0</v>
      </c>
      <c r="BH42" s="51">
        <v>0.0</v>
      </c>
      <c r="BI42" s="51">
        <v>0.0</v>
      </c>
      <c r="BJ42" s="51">
        <v>0.0</v>
      </c>
    </row>
    <row r="43" ht="15.75" hidden="1" customHeight="1" outlineLevel="1">
      <c r="B43" s="5" t="s">
        <v>103</v>
      </c>
      <c r="C43" s="72" t="s">
        <v>70</v>
      </c>
      <c r="F43" s="50">
        <f t="shared" ref="F43:M43" si="35">+SUMIFS($AA43:$DR43,$AA$7:$DR$7,F$7)</f>
        <v>2.694906767</v>
      </c>
      <c r="G43" s="50">
        <f t="shared" si="35"/>
        <v>34.40537589</v>
      </c>
      <c r="H43" s="50">
        <f t="shared" si="35"/>
        <v>18.98021102</v>
      </c>
      <c r="I43" s="50">
        <f t="shared" si="35"/>
        <v>0</v>
      </c>
      <c r="J43" s="50">
        <f t="shared" si="35"/>
        <v>0</v>
      </c>
      <c r="K43" s="50">
        <f t="shared" si="35"/>
        <v>0</v>
      </c>
      <c r="L43" s="50">
        <f t="shared" si="35"/>
        <v>0</v>
      </c>
      <c r="M43" s="50">
        <f t="shared" si="35"/>
        <v>0</v>
      </c>
      <c r="AA43" s="51">
        <v>0.0</v>
      </c>
      <c r="AB43" s="51">
        <v>0.0</v>
      </c>
      <c r="AC43" s="51">
        <v>0.0</v>
      </c>
      <c r="AD43" s="51">
        <v>0.0</v>
      </c>
      <c r="AE43" s="51">
        <v>0.0</v>
      </c>
      <c r="AF43" s="51">
        <v>0.1137852600297177</v>
      </c>
      <c r="AG43" s="51">
        <v>0.01381267676767677</v>
      </c>
      <c r="AH43" s="51">
        <v>0.0</v>
      </c>
      <c r="AI43" s="51">
        <v>0.03369995338656973</v>
      </c>
      <c r="AJ43" s="51">
        <v>0.015493089005235603</v>
      </c>
      <c r="AK43" s="51">
        <v>0.44507667225935427</v>
      </c>
      <c r="AL43" s="51">
        <v>2.073039115925555</v>
      </c>
      <c r="AM43" s="51">
        <v>2.6682822413118195</v>
      </c>
      <c r="AN43" s="51">
        <v>1.5978217520275124</v>
      </c>
      <c r="AO43" s="51">
        <v>3.165507009156345</v>
      </c>
      <c r="AP43" s="51">
        <v>3.7499537613838445</v>
      </c>
      <c r="AQ43" s="51">
        <v>3.2222092889555642</v>
      </c>
      <c r="AR43" s="51">
        <v>2.6703233642928463</v>
      </c>
      <c r="AS43" s="51">
        <v>3.993110442891108</v>
      </c>
      <c r="AT43" s="51">
        <v>4.157419891111272</v>
      </c>
      <c r="AU43" s="51">
        <v>2.472135145145884</v>
      </c>
      <c r="AV43" s="51">
        <v>3.7168959480852486</v>
      </c>
      <c r="AW43" s="51">
        <v>2.0783093015133787</v>
      </c>
      <c r="AX43" s="51">
        <v>0.9134077396161578</v>
      </c>
      <c r="AY43" s="51">
        <v>0.9899934475538589</v>
      </c>
      <c r="AZ43" s="51">
        <v>1.7636168246386084</v>
      </c>
      <c r="BA43" s="51">
        <v>3.287479671812075</v>
      </c>
      <c r="BB43" s="51">
        <v>1.3847442418589493</v>
      </c>
      <c r="BC43" s="51">
        <v>0.9352571090529118</v>
      </c>
      <c r="BD43" s="51">
        <v>1.7068014116559331</v>
      </c>
      <c r="BE43" s="51">
        <v>1.440201284662255</v>
      </c>
      <c r="BF43" s="51">
        <v>3.4418755977957067</v>
      </c>
      <c r="BG43" s="51">
        <v>1.5082958942620497</v>
      </c>
      <c r="BH43" s="51">
        <v>1.2655732034437612</v>
      </c>
      <c r="BI43" s="51">
        <v>0.7666828672440357</v>
      </c>
      <c r="BJ43" s="51">
        <v>0.48968946382844697</v>
      </c>
    </row>
    <row r="44" ht="15.75" hidden="1" customHeight="1" outlineLevel="1">
      <c r="B44" s="5" t="s">
        <v>104</v>
      </c>
      <c r="C44" s="72" t="s">
        <v>76</v>
      </c>
      <c r="F44" s="50">
        <f t="shared" ref="F44:M44" si="36">+SUMIFS($AA44:$DR44,$AA$7:$DR$7,F$7)</f>
        <v>26.97521301</v>
      </c>
      <c r="G44" s="50">
        <f t="shared" si="36"/>
        <v>24.01323874</v>
      </c>
      <c r="H44" s="50">
        <f t="shared" si="36"/>
        <v>28.77209269</v>
      </c>
      <c r="I44" s="50">
        <f t="shared" si="36"/>
        <v>0</v>
      </c>
      <c r="J44" s="50">
        <f t="shared" si="36"/>
        <v>0</v>
      </c>
      <c r="K44" s="50">
        <f t="shared" si="36"/>
        <v>0</v>
      </c>
      <c r="L44" s="50">
        <f t="shared" si="36"/>
        <v>0</v>
      </c>
      <c r="M44" s="50">
        <f t="shared" si="36"/>
        <v>0</v>
      </c>
      <c r="AA44" s="51">
        <v>3.249995870587188</v>
      </c>
      <c r="AB44" s="51">
        <v>1.3084572922201867</v>
      </c>
      <c r="AC44" s="51">
        <v>0.542916719336296</v>
      </c>
      <c r="AD44" s="51">
        <v>0.42470640503959617</v>
      </c>
      <c r="AE44" s="51">
        <v>2.1588608392288866</v>
      </c>
      <c r="AF44" s="51">
        <v>3.1483721445110393</v>
      </c>
      <c r="AG44" s="51">
        <v>1.9244631326316022</v>
      </c>
      <c r="AH44" s="51">
        <v>3.835155523872714</v>
      </c>
      <c r="AI44" s="51">
        <v>2.4197388722685336</v>
      </c>
      <c r="AJ44" s="51">
        <v>3.8767724645178228</v>
      </c>
      <c r="AK44" s="51">
        <v>2.24981597940966</v>
      </c>
      <c r="AL44" s="51">
        <v>1.8359577670923055</v>
      </c>
      <c r="AM44" s="51">
        <v>10.909902573782684</v>
      </c>
      <c r="AN44" s="51">
        <v>2.1774068124126984</v>
      </c>
      <c r="AO44" s="51">
        <v>1.9173672062068463</v>
      </c>
      <c r="AP44" s="51">
        <v>0.407812968422216</v>
      </c>
      <c r="AQ44" s="51">
        <v>0.9845416503552866</v>
      </c>
      <c r="AR44" s="51">
        <v>0.7562223312373144</v>
      </c>
      <c r="AS44" s="51">
        <v>0.2531706491548031</v>
      </c>
      <c r="AT44" s="51">
        <v>1.0015610876904328</v>
      </c>
      <c r="AU44" s="51">
        <v>0.20311057731589122</v>
      </c>
      <c r="AV44" s="51">
        <v>0.6606277591782054</v>
      </c>
      <c r="AW44" s="51">
        <v>1.0402065682170305</v>
      </c>
      <c r="AX44" s="51">
        <v>3.7013085539446733</v>
      </c>
      <c r="AY44" s="51">
        <v>1.3883759027057923</v>
      </c>
      <c r="AZ44" s="51">
        <v>3.739324820330192</v>
      </c>
      <c r="BA44" s="51">
        <v>2.141578693342282</v>
      </c>
      <c r="BB44" s="51">
        <v>3.2908373504602233</v>
      </c>
      <c r="BC44" s="51">
        <v>0.04982355929631918</v>
      </c>
      <c r="BD44" s="51">
        <v>1.3386724602129547</v>
      </c>
      <c r="BE44" s="51">
        <v>3.408134652788596</v>
      </c>
      <c r="BF44" s="51">
        <v>3.109889897768989</v>
      </c>
      <c r="BG44" s="51">
        <v>4.11791305659508</v>
      </c>
      <c r="BH44" s="51">
        <v>3.523829897031735</v>
      </c>
      <c r="BI44" s="51">
        <v>1.0014394036017775</v>
      </c>
      <c r="BJ44" s="51">
        <v>1.6622730003176351</v>
      </c>
    </row>
    <row r="45" ht="15.75" hidden="1" customHeight="1" outlineLevel="1">
      <c r="B45" s="5" t="s">
        <v>105</v>
      </c>
      <c r="C45" s="72" t="s">
        <v>74</v>
      </c>
      <c r="F45" s="50">
        <f t="shared" ref="F45:M45" si="37">+SUMIFS($AA45:$DR45,$AA$7:$DR$7,F$7)</f>
        <v>0</v>
      </c>
      <c r="G45" s="50">
        <f t="shared" si="37"/>
        <v>0.5964021908</v>
      </c>
      <c r="H45" s="50">
        <f t="shared" si="37"/>
        <v>19.82237297</v>
      </c>
      <c r="I45" s="50">
        <f t="shared" si="37"/>
        <v>0</v>
      </c>
      <c r="J45" s="50">
        <f t="shared" si="37"/>
        <v>0</v>
      </c>
      <c r="K45" s="50">
        <f t="shared" si="37"/>
        <v>0</v>
      </c>
      <c r="L45" s="50">
        <f t="shared" si="37"/>
        <v>0</v>
      </c>
      <c r="M45" s="50">
        <f t="shared" si="37"/>
        <v>0</v>
      </c>
      <c r="AA45" s="51">
        <v>0.0</v>
      </c>
      <c r="AB45" s="51">
        <v>0.0</v>
      </c>
      <c r="AC45" s="51">
        <v>0.0</v>
      </c>
      <c r="AD45" s="51">
        <v>0.0</v>
      </c>
      <c r="AE45" s="51">
        <v>0.0</v>
      </c>
      <c r="AF45" s="51">
        <v>0.0</v>
      </c>
      <c r="AG45" s="51">
        <v>0.0</v>
      </c>
      <c r="AH45" s="51">
        <v>0.0</v>
      </c>
      <c r="AI45" s="51">
        <v>0.0</v>
      </c>
      <c r="AJ45" s="51">
        <v>0.0</v>
      </c>
      <c r="AK45" s="51">
        <v>0.0</v>
      </c>
      <c r="AL45" s="51">
        <v>0.0</v>
      </c>
      <c r="AM45" s="51">
        <v>0.0</v>
      </c>
      <c r="AN45" s="51">
        <v>0.0</v>
      </c>
      <c r="AO45" s="51">
        <v>0.008308060686015832</v>
      </c>
      <c r="AP45" s="51">
        <v>0.19202896116127433</v>
      </c>
      <c r="AQ45" s="51">
        <v>0.02908494186046512</v>
      </c>
      <c r="AR45" s="51">
        <v>0.05520110344827587</v>
      </c>
      <c r="AS45" s="51">
        <v>0.07522254217431561</v>
      </c>
      <c r="AT45" s="51">
        <v>0.0</v>
      </c>
      <c r="AU45" s="51">
        <v>0.0</v>
      </c>
      <c r="AV45" s="51">
        <v>0.0</v>
      </c>
      <c r="AW45" s="51">
        <v>0.035002372570709275</v>
      </c>
      <c r="AX45" s="51">
        <v>0.20155420885659348</v>
      </c>
      <c r="AY45" s="51">
        <v>1.1165950939504006</v>
      </c>
      <c r="AZ45" s="51">
        <v>0.687399652637557</v>
      </c>
      <c r="BA45" s="51">
        <v>0.4950399135415862</v>
      </c>
      <c r="BB45" s="51">
        <v>0.4794159309815917</v>
      </c>
      <c r="BC45" s="51">
        <v>2.8659897132542427</v>
      </c>
      <c r="BD45" s="51">
        <v>1.3959320410703926</v>
      </c>
      <c r="BE45" s="51">
        <v>1.409950912626527</v>
      </c>
      <c r="BF45" s="51">
        <v>3.4633503712070857</v>
      </c>
      <c r="BG45" s="51">
        <v>0.293624201237938</v>
      </c>
      <c r="BH45" s="51">
        <v>0.8825155369024779</v>
      </c>
      <c r="BI45" s="51">
        <v>2.6785084689831145</v>
      </c>
      <c r="BJ45" s="51">
        <v>4.054051132546786</v>
      </c>
    </row>
    <row r="46" ht="15.75" hidden="1" customHeight="1" outlineLevel="1">
      <c r="B46" s="5" t="s">
        <v>106</v>
      </c>
      <c r="C46" s="72" t="s">
        <v>70</v>
      </c>
      <c r="F46" s="50">
        <f t="shared" ref="F46:M46" si="38">+SUMIFS($AA46:$DR46,$AA$7:$DR$7,F$7)</f>
        <v>0.1703847536</v>
      </c>
      <c r="G46" s="50">
        <f t="shared" si="38"/>
        <v>5.817870917</v>
      </c>
      <c r="H46" s="50">
        <f t="shared" si="38"/>
        <v>14.70259718</v>
      </c>
      <c r="I46" s="50">
        <f t="shared" si="38"/>
        <v>0</v>
      </c>
      <c r="J46" s="50">
        <f t="shared" si="38"/>
        <v>0</v>
      </c>
      <c r="K46" s="50">
        <f t="shared" si="38"/>
        <v>0</v>
      </c>
      <c r="L46" s="50">
        <f t="shared" si="38"/>
        <v>0</v>
      </c>
      <c r="M46" s="50">
        <f t="shared" si="38"/>
        <v>0</v>
      </c>
      <c r="AA46" s="51">
        <v>0.0</v>
      </c>
      <c r="AB46" s="51">
        <v>0.0</v>
      </c>
      <c r="AC46" s="51">
        <v>0.0</v>
      </c>
      <c r="AD46" s="51">
        <v>0.0</v>
      </c>
      <c r="AE46" s="51">
        <v>0.0</v>
      </c>
      <c r="AF46" s="51">
        <v>0.0</v>
      </c>
      <c r="AG46" s="51">
        <v>0.0</v>
      </c>
      <c r="AH46" s="51">
        <v>0.0</v>
      </c>
      <c r="AI46" s="51">
        <v>0.0</v>
      </c>
      <c r="AJ46" s="51">
        <v>0.0</v>
      </c>
      <c r="AK46" s="51">
        <v>0.05027827358952985</v>
      </c>
      <c r="AL46" s="51">
        <v>0.12010648000958216</v>
      </c>
      <c r="AM46" s="51">
        <v>0.1345560276718914</v>
      </c>
      <c r="AN46" s="51">
        <v>0.038243815028901736</v>
      </c>
      <c r="AO46" s="51">
        <v>0.07349721658056364</v>
      </c>
      <c r="AP46" s="51">
        <v>0.16746512407474246</v>
      </c>
      <c r="AQ46" s="51">
        <v>0.2569097727546407</v>
      </c>
      <c r="AR46" s="51">
        <v>0.24260342128486892</v>
      </c>
      <c r="AS46" s="51">
        <v>0.4259443429739718</v>
      </c>
      <c r="AT46" s="51">
        <v>0.41829331812320963</v>
      </c>
      <c r="AU46" s="51">
        <v>0.7462792451074243</v>
      </c>
      <c r="AV46" s="51">
        <v>1.189230636239386</v>
      </c>
      <c r="AW46" s="51">
        <v>0.6812561046333707</v>
      </c>
      <c r="AX46" s="51">
        <v>1.443591892398238</v>
      </c>
      <c r="AY46" s="51">
        <v>1.1321914077890851</v>
      </c>
      <c r="AZ46" s="51">
        <v>1.967198600234644</v>
      </c>
      <c r="BA46" s="51">
        <v>0.8753385660686711</v>
      </c>
      <c r="BB46" s="51">
        <v>0.4130208068622026</v>
      </c>
      <c r="BC46" s="51">
        <v>0.5476230524796704</v>
      </c>
      <c r="BD46" s="51">
        <v>1.9080807080916773</v>
      </c>
      <c r="BE46" s="51">
        <v>1.8562293303482456</v>
      </c>
      <c r="BF46" s="51">
        <v>2.6108624071553437</v>
      </c>
      <c r="BG46" s="51">
        <v>0.888199727472117</v>
      </c>
      <c r="BH46" s="51">
        <v>1.4525181838890588</v>
      </c>
      <c r="BI46" s="51">
        <v>0.4843150511357209</v>
      </c>
      <c r="BJ46" s="51">
        <v>0.5670193389832091</v>
      </c>
    </row>
    <row r="47" ht="15.75" hidden="1" customHeight="1" outlineLevel="1">
      <c r="B47" s="5" t="s">
        <v>107</v>
      </c>
      <c r="C47" s="72" t="s">
        <v>82</v>
      </c>
      <c r="F47" s="50">
        <f t="shared" ref="F47:M47" si="39">+SUMIFS($AA47:$DR47,$AA$7:$DR$7,F$7)</f>
        <v>97.25056839</v>
      </c>
      <c r="G47" s="50">
        <f t="shared" si="39"/>
        <v>95.56249359</v>
      </c>
      <c r="H47" s="50">
        <f t="shared" si="39"/>
        <v>73.13853101</v>
      </c>
      <c r="I47" s="50">
        <f t="shared" si="39"/>
        <v>0</v>
      </c>
      <c r="J47" s="50">
        <f t="shared" si="39"/>
        <v>0</v>
      </c>
      <c r="K47" s="50">
        <f t="shared" si="39"/>
        <v>0</v>
      </c>
      <c r="L47" s="50">
        <f t="shared" si="39"/>
        <v>0</v>
      </c>
      <c r="M47" s="50">
        <f t="shared" si="39"/>
        <v>0</v>
      </c>
      <c r="AA47" s="51">
        <v>13.132461298700596</v>
      </c>
      <c r="AB47" s="51">
        <v>6.812650365007382</v>
      </c>
      <c r="AC47" s="51">
        <v>5.734814548770732</v>
      </c>
      <c r="AD47" s="51">
        <v>8.68820079232921</v>
      </c>
      <c r="AE47" s="51">
        <v>10.025975316937666</v>
      </c>
      <c r="AF47" s="51">
        <v>8.452441667424607</v>
      </c>
      <c r="AG47" s="51">
        <v>11.96238218561933</v>
      </c>
      <c r="AH47" s="51">
        <v>5.541400695278529</v>
      </c>
      <c r="AI47" s="51">
        <v>5.329833316867608</v>
      </c>
      <c r="AJ47" s="51">
        <v>7.767271624110695</v>
      </c>
      <c r="AK47" s="51">
        <v>9.16834930410592</v>
      </c>
      <c r="AL47" s="51">
        <v>4.634787273848057</v>
      </c>
      <c r="AM47" s="51">
        <v>9.524914883159777</v>
      </c>
      <c r="AN47" s="51">
        <v>11.449484072492366</v>
      </c>
      <c r="AO47" s="51">
        <v>10.949865523754227</v>
      </c>
      <c r="AP47" s="51">
        <v>11.392254012866566</v>
      </c>
      <c r="AQ47" s="51">
        <v>4.037465944278465</v>
      </c>
      <c r="AR47" s="51">
        <v>5.497956959503459</v>
      </c>
      <c r="AS47" s="51">
        <v>2.2503471865337636</v>
      </c>
      <c r="AT47" s="51">
        <v>5.209857251471995</v>
      </c>
      <c r="AU47" s="51">
        <v>7.913695371777187</v>
      </c>
      <c r="AV47" s="51">
        <v>9.276070849646946</v>
      </c>
      <c r="AW47" s="51">
        <v>8.957027986219742</v>
      </c>
      <c r="AX47" s="51">
        <v>9.103553546370453</v>
      </c>
      <c r="AY47" s="51">
        <v>11.889407009093542</v>
      </c>
      <c r="AZ47" s="51">
        <v>8.495582841747563</v>
      </c>
      <c r="BA47" s="51">
        <v>5.380784812149205</v>
      </c>
      <c r="BB47" s="51">
        <v>7.863455573225927</v>
      </c>
      <c r="BC47" s="51">
        <v>4.445717532177641</v>
      </c>
      <c r="BD47" s="51">
        <v>3.2040623532732107</v>
      </c>
      <c r="BE47" s="51">
        <v>5.560461144731283</v>
      </c>
      <c r="BF47" s="51">
        <v>6.161783328581845</v>
      </c>
      <c r="BG47" s="51">
        <v>5.778782357892397</v>
      </c>
      <c r="BH47" s="51">
        <v>4.759707327558652</v>
      </c>
      <c r="BI47" s="51">
        <v>7.505364254395868</v>
      </c>
      <c r="BJ47" s="51">
        <v>2.0934224783253823</v>
      </c>
    </row>
    <row r="48" ht="15.75" hidden="1" customHeight="1" outlineLevel="1">
      <c r="B48" s="5" t="s">
        <v>108</v>
      </c>
      <c r="C48" s="72" t="s">
        <v>70</v>
      </c>
      <c r="F48" s="50">
        <f t="shared" ref="F48:M48" si="40">+SUMIFS($AA48:$DR48,$AA$7:$DR$7,F$7)</f>
        <v>5.828639339</v>
      </c>
      <c r="G48" s="50">
        <f t="shared" si="40"/>
        <v>0</v>
      </c>
      <c r="H48" s="50">
        <f t="shared" si="40"/>
        <v>0</v>
      </c>
      <c r="I48" s="50">
        <f t="shared" si="40"/>
        <v>0</v>
      </c>
      <c r="J48" s="50">
        <f t="shared" si="40"/>
        <v>0</v>
      </c>
      <c r="K48" s="50">
        <f t="shared" si="40"/>
        <v>0</v>
      </c>
      <c r="L48" s="50">
        <f t="shared" si="40"/>
        <v>0</v>
      </c>
      <c r="M48" s="50">
        <f t="shared" si="40"/>
        <v>0</v>
      </c>
      <c r="AA48" s="51">
        <v>0.02465844221105528</v>
      </c>
      <c r="AB48" s="51">
        <v>1.9240283836740544</v>
      </c>
      <c r="AC48" s="51">
        <v>0.9991659090786583</v>
      </c>
      <c r="AD48" s="51">
        <v>0.7031300335485832</v>
      </c>
      <c r="AE48" s="51">
        <v>0.5842608183034494</v>
      </c>
      <c r="AF48" s="51">
        <v>0.6569694644897612</v>
      </c>
      <c r="AG48" s="51">
        <v>0.8161837651376795</v>
      </c>
      <c r="AH48" s="51">
        <v>0.1202425228367017</v>
      </c>
      <c r="AI48" s="51">
        <v>0.0</v>
      </c>
      <c r="AJ48" s="51">
        <v>0.0</v>
      </c>
      <c r="AK48" s="51">
        <v>0.0</v>
      </c>
      <c r="AL48" s="51">
        <v>0.0</v>
      </c>
      <c r="AM48" s="51">
        <v>0.0</v>
      </c>
      <c r="AN48" s="51">
        <v>0.0</v>
      </c>
      <c r="AO48" s="51">
        <v>0.0</v>
      </c>
      <c r="AP48" s="51">
        <v>0.0</v>
      </c>
      <c r="AQ48" s="51">
        <v>0.0</v>
      </c>
      <c r="AR48" s="51">
        <v>0.0</v>
      </c>
      <c r="AS48" s="51">
        <v>0.0</v>
      </c>
      <c r="AT48" s="51">
        <v>0.0</v>
      </c>
      <c r="AU48" s="51">
        <v>0.0</v>
      </c>
      <c r="AV48" s="51">
        <v>0.0</v>
      </c>
      <c r="AW48" s="51">
        <v>0.0</v>
      </c>
      <c r="AX48" s="51">
        <v>0.0</v>
      </c>
      <c r="AY48" s="51">
        <v>0.0</v>
      </c>
      <c r="AZ48" s="51">
        <v>0.0</v>
      </c>
      <c r="BA48" s="51">
        <v>0.0</v>
      </c>
      <c r="BB48" s="51">
        <v>0.0</v>
      </c>
      <c r="BC48" s="51">
        <v>0.0</v>
      </c>
      <c r="BD48" s="51">
        <v>0.0</v>
      </c>
      <c r="BE48" s="51">
        <v>0.0</v>
      </c>
      <c r="BF48" s="51">
        <v>0.0</v>
      </c>
      <c r="BG48" s="51">
        <v>0.0</v>
      </c>
      <c r="BH48" s="51">
        <v>0.0</v>
      </c>
      <c r="BI48" s="51">
        <v>0.0</v>
      </c>
      <c r="BJ48" s="51">
        <v>0.0</v>
      </c>
    </row>
    <row r="49" ht="15.75" hidden="1" customHeight="1" outlineLevel="1">
      <c r="B49" s="5" t="s">
        <v>109</v>
      </c>
      <c r="C49" s="72" t="s">
        <v>70</v>
      </c>
      <c r="F49" s="50">
        <f t="shared" ref="F49:M49" si="41">+SUMIFS($AA49:$DR49,$AA$7:$DR$7,F$7)</f>
        <v>40.99166847</v>
      </c>
      <c r="G49" s="50">
        <f t="shared" si="41"/>
        <v>5.250992492</v>
      </c>
      <c r="H49" s="50">
        <f t="shared" si="41"/>
        <v>0</v>
      </c>
      <c r="I49" s="50">
        <f t="shared" si="41"/>
        <v>0</v>
      </c>
      <c r="J49" s="50">
        <f t="shared" si="41"/>
        <v>0</v>
      </c>
      <c r="K49" s="50">
        <f t="shared" si="41"/>
        <v>0</v>
      </c>
      <c r="L49" s="50">
        <f t="shared" si="41"/>
        <v>0</v>
      </c>
      <c r="M49" s="50">
        <f t="shared" si="41"/>
        <v>0</v>
      </c>
      <c r="AA49" s="51">
        <v>4.2357831844362055</v>
      </c>
      <c r="AB49" s="51">
        <v>2.7481244086126315</v>
      </c>
      <c r="AC49" s="51">
        <v>2.3955579084658942</v>
      </c>
      <c r="AD49" s="51">
        <v>1.186400047349053</v>
      </c>
      <c r="AE49" s="51">
        <v>4.789689279814271</v>
      </c>
      <c r="AF49" s="51">
        <v>4.30353082228981</v>
      </c>
      <c r="AG49" s="51">
        <v>6.31010787721076</v>
      </c>
      <c r="AH49" s="51">
        <v>7.806762804075934</v>
      </c>
      <c r="AI49" s="51">
        <v>1.9744634287151523</v>
      </c>
      <c r="AJ49" s="51">
        <v>3.150796779788032</v>
      </c>
      <c r="AK49" s="51">
        <v>1.4698224577664485</v>
      </c>
      <c r="AL49" s="51">
        <v>0.6206294688760767</v>
      </c>
      <c r="AM49" s="51">
        <v>1.434054179480205</v>
      </c>
      <c r="AN49" s="51">
        <v>0.6541514133310474</v>
      </c>
      <c r="AO49" s="51">
        <v>0.2806287832641411</v>
      </c>
      <c r="AP49" s="51">
        <v>2.234749364067841</v>
      </c>
      <c r="AQ49" s="51">
        <v>0.6474087521611793</v>
      </c>
      <c r="AR49" s="51">
        <v>0.0</v>
      </c>
      <c r="AS49" s="51">
        <v>0.0</v>
      </c>
      <c r="AT49" s="51">
        <v>0.0</v>
      </c>
      <c r="AU49" s="51">
        <v>0.0</v>
      </c>
      <c r="AV49" s="51">
        <v>0.0</v>
      </c>
      <c r="AW49" s="51">
        <v>0.0</v>
      </c>
      <c r="AX49" s="51">
        <v>0.0</v>
      </c>
      <c r="AY49" s="51">
        <v>0.0</v>
      </c>
      <c r="AZ49" s="51">
        <v>0.0</v>
      </c>
      <c r="BA49" s="51">
        <v>0.0</v>
      </c>
      <c r="BB49" s="51">
        <v>0.0</v>
      </c>
      <c r="BC49" s="51">
        <v>0.0</v>
      </c>
      <c r="BD49" s="51">
        <v>0.0</v>
      </c>
      <c r="BE49" s="51">
        <v>0.0</v>
      </c>
      <c r="BF49" s="51">
        <v>0.0</v>
      </c>
      <c r="BG49" s="51">
        <v>0.0</v>
      </c>
      <c r="BH49" s="51">
        <v>0.0</v>
      </c>
      <c r="BI49" s="51">
        <v>0.0</v>
      </c>
      <c r="BJ49" s="51">
        <v>0.0</v>
      </c>
    </row>
    <row r="50" ht="15.75" hidden="1" customHeight="1" outlineLevel="1">
      <c r="B50" s="5" t="s">
        <v>110</v>
      </c>
      <c r="C50" s="72" t="s">
        <v>70</v>
      </c>
      <c r="F50" s="50">
        <f t="shared" ref="F50:M50" si="42">+SUMIFS($AA50:$DR50,$AA$7:$DR$7,F$7)</f>
        <v>3.664623739</v>
      </c>
      <c r="G50" s="50">
        <f t="shared" si="42"/>
        <v>1.843983166</v>
      </c>
      <c r="H50" s="50">
        <f t="shared" si="42"/>
        <v>2.887194353</v>
      </c>
      <c r="I50" s="50">
        <f t="shared" si="42"/>
        <v>0</v>
      </c>
      <c r="J50" s="50">
        <f t="shared" si="42"/>
        <v>0</v>
      </c>
      <c r="K50" s="50">
        <f t="shared" si="42"/>
        <v>0</v>
      </c>
      <c r="L50" s="50">
        <f t="shared" si="42"/>
        <v>0</v>
      </c>
      <c r="M50" s="50">
        <f t="shared" si="42"/>
        <v>0</v>
      </c>
      <c r="AA50" s="51">
        <v>0.9894923371483821</v>
      </c>
      <c r="AB50" s="51">
        <v>0.08669241146377496</v>
      </c>
      <c r="AC50" s="51">
        <v>0.5345188802730012</v>
      </c>
      <c r="AD50" s="51">
        <v>0.24079966272973766</v>
      </c>
      <c r="AE50" s="51">
        <v>0.3468944282971673</v>
      </c>
      <c r="AF50" s="51">
        <v>0.23283649309123464</v>
      </c>
      <c r="AG50" s="51">
        <v>0.17059214258350494</v>
      </c>
      <c r="AH50" s="51">
        <v>0.458846930748284</v>
      </c>
      <c r="AI50" s="51">
        <v>0.06107357890853332</v>
      </c>
      <c r="AJ50" s="51">
        <v>0.243462850707302</v>
      </c>
      <c r="AK50" s="51">
        <v>0.17182708356841336</v>
      </c>
      <c r="AL50" s="51">
        <v>0.1275869389962474</v>
      </c>
      <c r="AM50" s="51">
        <v>0.034416480201903556</v>
      </c>
      <c r="AN50" s="51">
        <v>0.5128411256791477</v>
      </c>
      <c r="AO50" s="51">
        <v>0.22537615840084313</v>
      </c>
      <c r="AP50" s="51">
        <v>0.316332473632107</v>
      </c>
      <c r="AQ50" s="51">
        <v>0.19251921188140658</v>
      </c>
      <c r="AR50" s="51">
        <v>0.06847539169039316</v>
      </c>
      <c r="AS50" s="51">
        <v>0.01157911394785946</v>
      </c>
      <c r="AT50" s="51">
        <v>0.22201427167354157</v>
      </c>
      <c r="AU50" s="51">
        <v>0.048475478933037115</v>
      </c>
      <c r="AV50" s="51">
        <v>0.09781056930749013</v>
      </c>
      <c r="AW50" s="51">
        <v>0.039676950744274284</v>
      </c>
      <c r="AX50" s="51">
        <v>0.07446593967656502</v>
      </c>
      <c r="AY50" s="51">
        <v>1.3482072881236122</v>
      </c>
      <c r="AZ50" s="51">
        <v>0.18485985252447604</v>
      </c>
      <c r="BA50" s="51">
        <v>0.03943481526387939</v>
      </c>
      <c r="BB50" s="51">
        <v>0.13088567090616882</v>
      </c>
      <c r="BC50" s="51">
        <v>1.1570335455007517</v>
      </c>
      <c r="BD50" s="51">
        <v>0.026773180882367496</v>
      </c>
      <c r="BE50" s="51">
        <v>0.0</v>
      </c>
      <c r="BF50" s="51">
        <v>0.0</v>
      </c>
      <c r="BG50" s="51">
        <v>0.0</v>
      </c>
      <c r="BH50" s="51">
        <v>0.0</v>
      </c>
      <c r="BI50" s="51">
        <v>0.0</v>
      </c>
      <c r="BJ50" s="51">
        <v>0.0</v>
      </c>
    </row>
    <row r="51" ht="15.75" hidden="1" customHeight="1" outlineLevel="1">
      <c r="B51" s="5" t="s">
        <v>111</v>
      </c>
      <c r="C51" s="72" t="s">
        <v>70</v>
      </c>
      <c r="F51" s="50">
        <f t="shared" ref="F51:M51" si="43">+SUMIFS($AA51:$DR51,$AA$7:$DR$7,F$7)</f>
        <v>0.07126262403</v>
      </c>
      <c r="G51" s="50">
        <f t="shared" si="43"/>
        <v>0</v>
      </c>
      <c r="H51" s="50">
        <f t="shared" si="43"/>
        <v>0</v>
      </c>
      <c r="I51" s="50">
        <f t="shared" si="43"/>
        <v>0</v>
      </c>
      <c r="J51" s="50">
        <f t="shared" si="43"/>
        <v>0</v>
      </c>
      <c r="K51" s="50">
        <f t="shared" si="43"/>
        <v>0</v>
      </c>
      <c r="L51" s="50">
        <f t="shared" si="43"/>
        <v>0</v>
      </c>
      <c r="M51" s="50">
        <f t="shared" si="43"/>
        <v>0</v>
      </c>
      <c r="AA51" s="51">
        <v>0.07126262403277615</v>
      </c>
      <c r="AB51" s="51">
        <v>0.0</v>
      </c>
      <c r="AC51" s="51">
        <v>0.0</v>
      </c>
      <c r="AD51" s="51">
        <v>0.0</v>
      </c>
      <c r="AE51" s="51">
        <v>0.0</v>
      </c>
      <c r="AF51" s="51">
        <v>0.0</v>
      </c>
      <c r="AG51" s="51">
        <v>0.0</v>
      </c>
      <c r="AH51" s="51">
        <v>0.0</v>
      </c>
      <c r="AI51" s="51">
        <v>0.0</v>
      </c>
      <c r="AJ51" s="51">
        <v>0.0</v>
      </c>
      <c r="AK51" s="51">
        <v>0.0</v>
      </c>
      <c r="AL51" s="51">
        <v>0.0</v>
      </c>
      <c r="AM51" s="51">
        <v>0.0</v>
      </c>
      <c r="AN51" s="51">
        <v>0.0</v>
      </c>
      <c r="AO51" s="51">
        <v>0.0</v>
      </c>
      <c r="AP51" s="51">
        <v>0.0</v>
      </c>
      <c r="AQ51" s="51">
        <v>0.0</v>
      </c>
      <c r="AR51" s="51">
        <v>0.0</v>
      </c>
      <c r="AS51" s="51">
        <v>0.0</v>
      </c>
      <c r="AT51" s="51">
        <v>0.0</v>
      </c>
      <c r="AU51" s="51">
        <v>0.0</v>
      </c>
      <c r="AV51" s="51">
        <v>0.0</v>
      </c>
      <c r="AW51" s="51">
        <v>0.0</v>
      </c>
      <c r="AX51" s="51">
        <v>0.0</v>
      </c>
      <c r="AY51" s="51">
        <v>0.0</v>
      </c>
      <c r="AZ51" s="51">
        <v>0.0</v>
      </c>
      <c r="BA51" s="51">
        <v>0.0</v>
      </c>
      <c r="BB51" s="51">
        <v>0.0</v>
      </c>
      <c r="BC51" s="51">
        <v>0.0</v>
      </c>
      <c r="BD51" s="51">
        <v>0.0</v>
      </c>
      <c r="BE51" s="51">
        <v>0.0</v>
      </c>
      <c r="BF51" s="51">
        <v>0.0</v>
      </c>
      <c r="BG51" s="51">
        <v>0.0</v>
      </c>
      <c r="BH51" s="51">
        <v>0.0</v>
      </c>
      <c r="BI51" s="51">
        <v>0.0</v>
      </c>
      <c r="BJ51" s="51">
        <v>0.0</v>
      </c>
    </row>
    <row r="52" ht="15.75" hidden="1" customHeight="1" outlineLevel="1">
      <c r="B52" s="5" t="s">
        <v>112</v>
      </c>
      <c r="C52" s="72" t="s">
        <v>70</v>
      </c>
      <c r="F52" s="50">
        <f t="shared" ref="F52:M52" si="44">+SUMIFS($AA52:$DR52,$AA$7:$DR$7,F$7)</f>
        <v>0</v>
      </c>
      <c r="G52" s="50">
        <f t="shared" si="44"/>
        <v>0</v>
      </c>
      <c r="H52" s="50">
        <f t="shared" si="44"/>
        <v>0</v>
      </c>
      <c r="I52" s="50">
        <f t="shared" si="44"/>
        <v>0</v>
      </c>
      <c r="J52" s="50">
        <f t="shared" si="44"/>
        <v>0</v>
      </c>
      <c r="K52" s="50">
        <f t="shared" si="44"/>
        <v>0</v>
      </c>
      <c r="L52" s="50">
        <f t="shared" si="44"/>
        <v>0</v>
      </c>
      <c r="M52" s="50">
        <f t="shared" si="44"/>
        <v>0</v>
      </c>
      <c r="AA52" s="51">
        <v>0.0</v>
      </c>
      <c r="AB52" s="51">
        <v>0.0</v>
      </c>
      <c r="AC52" s="51">
        <v>0.0</v>
      </c>
      <c r="AD52" s="51">
        <v>0.0</v>
      </c>
      <c r="AE52" s="51">
        <v>0.0</v>
      </c>
      <c r="AF52" s="51">
        <v>0.0</v>
      </c>
      <c r="AG52" s="51">
        <v>0.0</v>
      </c>
      <c r="AH52" s="51">
        <v>0.0</v>
      </c>
      <c r="AI52" s="51">
        <v>0.0</v>
      </c>
      <c r="AJ52" s="51">
        <v>0.0</v>
      </c>
      <c r="AK52" s="51">
        <v>0.0</v>
      </c>
      <c r="AL52" s="51">
        <v>0.0</v>
      </c>
      <c r="AM52" s="51">
        <v>0.0</v>
      </c>
      <c r="AN52" s="51">
        <v>0.0</v>
      </c>
      <c r="AO52" s="51">
        <v>0.0</v>
      </c>
      <c r="AP52" s="51">
        <v>0.0</v>
      </c>
      <c r="AQ52" s="51">
        <v>0.0</v>
      </c>
      <c r="AR52" s="51">
        <v>0.0</v>
      </c>
      <c r="AS52" s="51">
        <v>0.0</v>
      </c>
      <c r="AT52" s="51">
        <v>0.0</v>
      </c>
      <c r="AU52" s="51">
        <v>0.0</v>
      </c>
      <c r="AV52" s="51">
        <v>0.0</v>
      </c>
      <c r="AW52" s="51">
        <v>0.0</v>
      </c>
      <c r="AX52" s="51">
        <v>0.0</v>
      </c>
      <c r="AY52" s="51">
        <v>0.0</v>
      </c>
      <c r="AZ52" s="51">
        <v>0.0</v>
      </c>
      <c r="BA52" s="51">
        <v>0.0</v>
      </c>
      <c r="BB52" s="51">
        <v>0.0</v>
      </c>
      <c r="BC52" s="51">
        <v>0.0</v>
      </c>
      <c r="BD52" s="51">
        <v>0.0</v>
      </c>
      <c r="BE52" s="51">
        <v>0.0</v>
      </c>
      <c r="BF52" s="51">
        <v>0.0</v>
      </c>
      <c r="BG52" s="51">
        <v>0.0</v>
      </c>
      <c r="BH52" s="51">
        <v>0.0</v>
      </c>
      <c r="BI52" s="51">
        <v>0.0</v>
      </c>
      <c r="BJ52" s="51">
        <v>0.0</v>
      </c>
    </row>
    <row r="53" ht="15.75" hidden="1" customHeight="1" outlineLevel="1">
      <c r="B53" s="5" t="s">
        <v>113</v>
      </c>
      <c r="C53" s="72" t="s">
        <v>70</v>
      </c>
      <c r="F53" s="50">
        <f t="shared" ref="F53:M53" si="45">+SUMIFS($AA53:$DR53,$AA$7:$DR$7,F$7)</f>
        <v>5.190299427</v>
      </c>
      <c r="G53" s="50">
        <f t="shared" si="45"/>
        <v>0.0840884207</v>
      </c>
      <c r="H53" s="50">
        <f t="shared" si="45"/>
        <v>0</v>
      </c>
      <c r="I53" s="50">
        <f t="shared" si="45"/>
        <v>0</v>
      </c>
      <c r="J53" s="50">
        <f t="shared" si="45"/>
        <v>0</v>
      </c>
      <c r="K53" s="50">
        <f t="shared" si="45"/>
        <v>0</v>
      </c>
      <c r="L53" s="50">
        <f t="shared" si="45"/>
        <v>0</v>
      </c>
      <c r="M53" s="50">
        <f t="shared" si="45"/>
        <v>0</v>
      </c>
      <c r="AA53" s="51">
        <v>0.3430654252275583</v>
      </c>
      <c r="AB53" s="51">
        <v>0.02217027108433735</v>
      </c>
      <c r="AC53" s="51">
        <v>0.04810479634310915</v>
      </c>
      <c r="AD53" s="51">
        <v>0.03961752853942482</v>
      </c>
      <c r="AE53" s="51">
        <v>0.11759055739080354</v>
      </c>
      <c r="AF53" s="51">
        <v>0.8889408648015413</v>
      </c>
      <c r="AG53" s="51">
        <v>1.9345905087854738</v>
      </c>
      <c r="AH53" s="51">
        <v>0.16941201994668828</v>
      </c>
      <c r="AI53" s="51">
        <v>0.1596086973961884</v>
      </c>
      <c r="AJ53" s="51">
        <v>0.688732203174069</v>
      </c>
      <c r="AK53" s="51">
        <v>0.778466553988555</v>
      </c>
      <c r="AL53" s="51">
        <v>0.0</v>
      </c>
      <c r="AM53" s="51">
        <v>0.006106608706028081</v>
      </c>
      <c r="AN53" s="51">
        <v>0.014529304217769854</v>
      </c>
      <c r="AO53" s="51">
        <v>0.0</v>
      </c>
      <c r="AP53" s="51">
        <v>0.06345250777131961</v>
      </c>
      <c r="AQ53" s="51">
        <v>0.0</v>
      </c>
      <c r="AR53" s="51">
        <v>0.0</v>
      </c>
      <c r="AS53" s="51">
        <v>0.0</v>
      </c>
      <c r="AT53" s="51">
        <v>0.0</v>
      </c>
      <c r="AU53" s="51">
        <v>0.0</v>
      </c>
      <c r="AV53" s="51">
        <v>0.0</v>
      </c>
      <c r="AW53" s="51">
        <v>0.0</v>
      </c>
      <c r="AX53" s="51">
        <v>0.0</v>
      </c>
      <c r="AY53" s="51">
        <v>0.0</v>
      </c>
      <c r="AZ53" s="51">
        <v>0.0</v>
      </c>
      <c r="BA53" s="51">
        <v>0.0</v>
      </c>
      <c r="BB53" s="51">
        <v>0.0</v>
      </c>
      <c r="BC53" s="51">
        <v>0.0</v>
      </c>
      <c r="BD53" s="51">
        <v>0.0</v>
      </c>
      <c r="BE53" s="51">
        <v>0.0</v>
      </c>
      <c r="BF53" s="51">
        <v>0.0</v>
      </c>
      <c r="BG53" s="51">
        <v>0.0</v>
      </c>
      <c r="BH53" s="51">
        <v>0.0</v>
      </c>
      <c r="BI53" s="51">
        <v>0.0</v>
      </c>
      <c r="BJ53" s="51">
        <v>0.0</v>
      </c>
    </row>
    <row r="54" ht="15.75" hidden="1" customHeight="1" outlineLevel="1">
      <c r="B54" s="5" t="s">
        <v>114</v>
      </c>
      <c r="C54" s="72" t="s">
        <v>70</v>
      </c>
      <c r="F54" s="50">
        <f t="shared" ref="F54:M54" si="46">+SUMIFS($AA54:$DR54,$AA$7:$DR$7,F$7)</f>
        <v>0</v>
      </c>
      <c r="G54" s="50">
        <f t="shared" si="46"/>
        <v>0</v>
      </c>
      <c r="H54" s="50">
        <f t="shared" si="46"/>
        <v>0</v>
      </c>
      <c r="I54" s="50">
        <f t="shared" si="46"/>
        <v>0</v>
      </c>
      <c r="J54" s="50">
        <f t="shared" si="46"/>
        <v>0</v>
      </c>
      <c r="K54" s="50">
        <f t="shared" si="46"/>
        <v>0</v>
      </c>
      <c r="L54" s="50">
        <f t="shared" si="46"/>
        <v>0</v>
      </c>
      <c r="M54" s="50">
        <f t="shared" si="46"/>
        <v>0</v>
      </c>
      <c r="AA54" s="51">
        <v>0.0</v>
      </c>
      <c r="AB54" s="51">
        <v>0.0</v>
      </c>
      <c r="AC54" s="51">
        <v>0.0</v>
      </c>
      <c r="AD54" s="51">
        <v>0.0</v>
      </c>
      <c r="AE54" s="51">
        <v>0.0</v>
      </c>
      <c r="AF54" s="51">
        <v>0.0</v>
      </c>
      <c r="AG54" s="51">
        <v>0.0</v>
      </c>
      <c r="AH54" s="51">
        <v>0.0</v>
      </c>
      <c r="AI54" s="51">
        <v>0.0</v>
      </c>
      <c r="AJ54" s="51">
        <v>0.0</v>
      </c>
      <c r="AK54" s="51">
        <v>0.0</v>
      </c>
      <c r="AL54" s="51">
        <v>0.0</v>
      </c>
      <c r="AM54" s="51">
        <v>0.0</v>
      </c>
      <c r="AN54" s="51">
        <v>0.0</v>
      </c>
      <c r="AO54" s="51">
        <v>0.0</v>
      </c>
      <c r="AP54" s="51">
        <v>0.0</v>
      </c>
      <c r="AQ54" s="51">
        <v>0.0</v>
      </c>
      <c r="AR54" s="51">
        <v>0.0</v>
      </c>
      <c r="AS54" s="51">
        <v>0.0</v>
      </c>
      <c r="AT54" s="51">
        <v>0.0</v>
      </c>
      <c r="AU54" s="51">
        <v>0.0</v>
      </c>
      <c r="AV54" s="51">
        <v>0.0</v>
      </c>
      <c r="AW54" s="51">
        <v>0.0</v>
      </c>
      <c r="AX54" s="51">
        <v>0.0</v>
      </c>
      <c r="AY54" s="51">
        <v>0.0</v>
      </c>
      <c r="AZ54" s="51">
        <v>0.0</v>
      </c>
      <c r="BA54" s="51">
        <v>0.0</v>
      </c>
      <c r="BB54" s="51">
        <v>0.0</v>
      </c>
      <c r="BC54" s="51">
        <v>0.0</v>
      </c>
      <c r="BD54" s="51">
        <v>0.0</v>
      </c>
      <c r="BE54" s="51">
        <v>0.0</v>
      </c>
      <c r="BF54" s="51">
        <v>0.0</v>
      </c>
      <c r="BG54" s="51">
        <v>0.0</v>
      </c>
      <c r="BH54" s="51">
        <v>0.0</v>
      </c>
      <c r="BI54" s="51">
        <v>0.0</v>
      </c>
      <c r="BJ54" s="51">
        <v>0.0</v>
      </c>
    </row>
    <row r="55" ht="15.75" hidden="1" customHeight="1" outlineLevel="1">
      <c r="B55" s="5" t="s">
        <v>115</v>
      </c>
      <c r="C55" s="72" t="s">
        <v>74</v>
      </c>
      <c r="F55" s="50">
        <f t="shared" ref="F55:M55" si="47">+SUMIFS($AA55:$DR55,$AA$7:$DR$7,F$7)</f>
        <v>0</v>
      </c>
      <c r="G55" s="50">
        <f t="shared" si="47"/>
        <v>0</v>
      </c>
      <c r="H55" s="50">
        <f t="shared" si="47"/>
        <v>0</v>
      </c>
      <c r="I55" s="50">
        <f t="shared" si="47"/>
        <v>0</v>
      </c>
      <c r="J55" s="50">
        <f t="shared" si="47"/>
        <v>0</v>
      </c>
      <c r="K55" s="50">
        <f t="shared" si="47"/>
        <v>0</v>
      </c>
      <c r="L55" s="50">
        <f t="shared" si="47"/>
        <v>0</v>
      </c>
      <c r="M55" s="50">
        <f t="shared" si="47"/>
        <v>0</v>
      </c>
      <c r="AA55" s="51">
        <v>0.0</v>
      </c>
      <c r="AB55" s="51">
        <v>0.0</v>
      </c>
      <c r="AC55" s="51">
        <v>0.0</v>
      </c>
      <c r="AD55" s="51">
        <v>0.0</v>
      </c>
      <c r="AE55" s="51">
        <v>0.0</v>
      </c>
      <c r="AF55" s="51">
        <v>0.0</v>
      </c>
      <c r="AG55" s="51">
        <v>0.0</v>
      </c>
      <c r="AH55" s="51">
        <v>0.0</v>
      </c>
      <c r="AI55" s="51">
        <v>0.0</v>
      </c>
      <c r="AJ55" s="51">
        <v>0.0</v>
      </c>
      <c r="AK55" s="51">
        <v>0.0</v>
      </c>
      <c r="AL55" s="51">
        <v>0.0</v>
      </c>
      <c r="AM55" s="51">
        <v>0.0</v>
      </c>
      <c r="AN55" s="51">
        <v>0.0</v>
      </c>
      <c r="AO55" s="51">
        <v>0.0</v>
      </c>
      <c r="AP55" s="51">
        <v>0.0</v>
      </c>
      <c r="AQ55" s="51">
        <v>0.0</v>
      </c>
      <c r="AR55" s="51">
        <v>0.0</v>
      </c>
      <c r="AS55" s="51">
        <v>0.0</v>
      </c>
      <c r="AT55" s="51">
        <v>0.0</v>
      </c>
      <c r="AU55" s="51">
        <v>0.0</v>
      </c>
      <c r="AV55" s="51">
        <v>0.0</v>
      </c>
      <c r="AW55" s="51">
        <v>0.0</v>
      </c>
      <c r="AX55" s="51">
        <v>0.0</v>
      </c>
      <c r="AY55" s="51">
        <v>0.0</v>
      </c>
      <c r="AZ55" s="51">
        <v>0.0</v>
      </c>
      <c r="BA55" s="51">
        <v>0.0</v>
      </c>
      <c r="BB55" s="51">
        <v>0.0</v>
      </c>
      <c r="BC55" s="51">
        <v>0.0</v>
      </c>
      <c r="BD55" s="51">
        <v>0.0</v>
      </c>
      <c r="BE55" s="51">
        <v>0.0</v>
      </c>
      <c r="BF55" s="51">
        <v>0.0</v>
      </c>
      <c r="BG55" s="51">
        <v>0.0</v>
      </c>
      <c r="BH55" s="51">
        <v>0.0</v>
      </c>
      <c r="BI55" s="51">
        <v>0.0</v>
      </c>
      <c r="BJ55" s="51">
        <v>0.0</v>
      </c>
    </row>
    <row r="56" ht="15.75" hidden="1" customHeight="1" outlineLevel="1">
      <c r="B56" s="5" t="s">
        <v>116</v>
      </c>
      <c r="C56" s="72" t="s">
        <v>70</v>
      </c>
      <c r="F56" s="50">
        <f t="shared" ref="F56:M56" si="48">+SUMIFS($AA56:$DR56,$AA$7:$DR$7,F$7)</f>
        <v>0</v>
      </c>
      <c r="G56" s="50">
        <f t="shared" si="48"/>
        <v>0</v>
      </c>
      <c r="H56" s="50">
        <f t="shared" si="48"/>
        <v>0</v>
      </c>
      <c r="I56" s="50">
        <f t="shared" si="48"/>
        <v>0</v>
      </c>
      <c r="J56" s="50">
        <f t="shared" si="48"/>
        <v>0</v>
      </c>
      <c r="K56" s="50">
        <f t="shared" si="48"/>
        <v>0</v>
      </c>
      <c r="L56" s="50">
        <f t="shared" si="48"/>
        <v>0</v>
      </c>
      <c r="M56" s="50">
        <f t="shared" si="48"/>
        <v>0</v>
      </c>
      <c r="AA56" s="51">
        <v>0.0</v>
      </c>
      <c r="AB56" s="51">
        <v>0.0</v>
      </c>
      <c r="AC56" s="51">
        <v>0.0</v>
      </c>
      <c r="AD56" s="51">
        <v>0.0</v>
      </c>
      <c r="AE56" s="51">
        <v>0.0</v>
      </c>
      <c r="AF56" s="51">
        <v>0.0</v>
      </c>
      <c r="AG56" s="51">
        <v>0.0</v>
      </c>
      <c r="AH56" s="51">
        <v>0.0</v>
      </c>
      <c r="AI56" s="51">
        <v>0.0</v>
      </c>
      <c r="AJ56" s="51">
        <v>0.0</v>
      </c>
      <c r="AK56" s="51">
        <v>0.0</v>
      </c>
      <c r="AL56" s="51">
        <v>0.0</v>
      </c>
      <c r="AM56" s="51">
        <v>0.0</v>
      </c>
      <c r="AN56" s="51">
        <v>0.0</v>
      </c>
      <c r="AO56" s="51">
        <v>0.0</v>
      </c>
      <c r="AP56" s="51">
        <v>0.0</v>
      </c>
      <c r="AQ56" s="51">
        <v>0.0</v>
      </c>
      <c r="AR56" s="51">
        <v>0.0</v>
      </c>
      <c r="AS56" s="51">
        <v>0.0</v>
      </c>
      <c r="AT56" s="51">
        <v>0.0</v>
      </c>
      <c r="AU56" s="51">
        <v>0.0</v>
      </c>
      <c r="AV56" s="51">
        <v>0.0</v>
      </c>
      <c r="AW56" s="51">
        <v>0.0</v>
      </c>
      <c r="AX56" s="51">
        <v>0.0</v>
      </c>
      <c r="AY56" s="51">
        <v>0.0</v>
      </c>
      <c r="AZ56" s="51">
        <v>0.0</v>
      </c>
      <c r="BA56" s="51">
        <v>0.0</v>
      </c>
      <c r="BB56" s="51">
        <v>0.0</v>
      </c>
      <c r="BC56" s="51">
        <v>0.0</v>
      </c>
      <c r="BD56" s="51">
        <v>0.0</v>
      </c>
      <c r="BE56" s="51">
        <v>0.0</v>
      </c>
      <c r="BF56" s="51">
        <v>0.0</v>
      </c>
      <c r="BG56" s="51">
        <v>0.0</v>
      </c>
      <c r="BH56" s="51">
        <v>0.0</v>
      </c>
      <c r="BI56" s="51">
        <v>0.0</v>
      </c>
      <c r="BJ56" s="51">
        <v>0.0</v>
      </c>
    </row>
    <row r="57" ht="15.75" hidden="1" customHeight="1" outlineLevel="1">
      <c r="B57" s="5" t="s">
        <v>117</v>
      </c>
      <c r="C57" s="72" t="s">
        <v>70</v>
      </c>
      <c r="F57" s="50">
        <f t="shared" ref="F57:M57" si="49">+SUMIFS($AA57:$DR57,$AA$7:$DR$7,F$7)</f>
        <v>0</v>
      </c>
      <c r="G57" s="50">
        <f t="shared" si="49"/>
        <v>0</v>
      </c>
      <c r="H57" s="50">
        <f t="shared" si="49"/>
        <v>0</v>
      </c>
      <c r="I57" s="50">
        <f t="shared" si="49"/>
        <v>0</v>
      </c>
      <c r="J57" s="50">
        <f t="shared" si="49"/>
        <v>0</v>
      </c>
      <c r="K57" s="50">
        <f t="shared" si="49"/>
        <v>0</v>
      </c>
      <c r="L57" s="50">
        <f t="shared" si="49"/>
        <v>0</v>
      </c>
      <c r="M57" s="50">
        <f t="shared" si="49"/>
        <v>0</v>
      </c>
      <c r="AA57" s="51">
        <v>0.0</v>
      </c>
      <c r="AB57" s="51">
        <v>0.0</v>
      </c>
      <c r="AC57" s="51">
        <v>0.0</v>
      </c>
      <c r="AD57" s="51">
        <v>0.0</v>
      </c>
      <c r="AE57" s="51">
        <v>0.0</v>
      </c>
      <c r="AF57" s="51">
        <v>0.0</v>
      </c>
      <c r="AG57" s="51">
        <v>0.0</v>
      </c>
      <c r="AH57" s="51">
        <v>0.0</v>
      </c>
      <c r="AI57" s="51">
        <v>0.0</v>
      </c>
      <c r="AJ57" s="51">
        <v>0.0</v>
      </c>
      <c r="AK57" s="51">
        <v>0.0</v>
      </c>
      <c r="AL57" s="51">
        <v>0.0</v>
      </c>
      <c r="AM57" s="51">
        <v>0.0</v>
      </c>
      <c r="AN57" s="51">
        <v>0.0</v>
      </c>
      <c r="AO57" s="51">
        <v>0.0</v>
      </c>
      <c r="AP57" s="51">
        <v>0.0</v>
      </c>
      <c r="AQ57" s="51">
        <v>0.0</v>
      </c>
      <c r="AR57" s="51">
        <v>0.0</v>
      </c>
      <c r="AS57" s="51">
        <v>0.0</v>
      </c>
      <c r="AT57" s="51">
        <v>0.0</v>
      </c>
      <c r="AU57" s="51">
        <v>0.0</v>
      </c>
      <c r="AV57" s="51">
        <v>0.0</v>
      </c>
      <c r="AW57" s="51">
        <v>0.0</v>
      </c>
      <c r="AX57" s="51">
        <v>0.0</v>
      </c>
      <c r="AY57" s="51">
        <v>0.0</v>
      </c>
      <c r="AZ57" s="51">
        <v>0.0</v>
      </c>
      <c r="BA57" s="51">
        <v>0.0</v>
      </c>
      <c r="BB57" s="51">
        <v>0.0</v>
      </c>
      <c r="BC57" s="51">
        <v>0.0</v>
      </c>
      <c r="BD57" s="51">
        <v>0.0</v>
      </c>
      <c r="BE57" s="51">
        <v>0.0</v>
      </c>
      <c r="BF57" s="51">
        <v>0.0</v>
      </c>
      <c r="BG57" s="51">
        <v>0.0</v>
      </c>
      <c r="BH57" s="51">
        <v>0.0</v>
      </c>
      <c r="BI57" s="51">
        <v>0.0</v>
      </c>
      <c r="BJ57" s="51">
        <v>0.0</v>
      </c>
    </row>
    <row r="58" ht="15.75" hidden="1" customHeight="1" outlineLevel="1">
      <c r="B58" s="5" t="s">
        <v>118</v>
      </c>
      <c r="C58" s="72" t="s">
        <v>70</v>
      </c>
      <c r="F58" s="50">
        <f t="shared" ref="F58:M58" si="50">+SUMIFS($AA58:$DR58,$AA$7:$DR$7,F$7)</f>
        <v>14.85646878</v>
      </c>
      <c r="G58" s="50">
        <f t="shared" si="50"/>
        <v>3.46203159</v>
      </c>
      <c r="H58" s="50">
        <f t="shared" si="50"/>
        <v>0.358327926</v>
      </c>
      <c r="I58" s="50">
        <f t="shared" si="50"/>
        <v>0</v>
      </c>
      <c r="J58" s="50">
        <f t="shared" si="50"/>
        <v>0</v>
      </c>
      <c r="K58" s="50">
        <f t="shared" si="50"/>
        <v>0</v>
      </c>
      <c r="L58" s="50">
        <f t="shared" si="50"/>
        <v>0</v>
      </c>
      <c r="M58" s="50">
        <f t="shared" si="50"/>
        <v>0</v>
      </c>
      <c r="AA58" s="51">
        <v>2.48311021996224</v>
      </c>
      <c r="AB58" s="51">
        <v>5.2025387423039255</v>
      </c>
      <c r="AC58" s="51">
        <v>1.9420828521851443</v>
      </c>
      <c r="AD58" s="51">
        <v>1.9803777424812565</v>
      </c>
      <c r="AE58" s="51">
        <v>2.7168994714620567</v>
      </c>
      <c r="AF58" s="51">
        <v>0.5314597481043599</v>
      </c>
      <c r="AG58" s="51">
        <v>0.0</v>
      </c>
      <c r="AH58" s="51">
        <v>0.0</v>
      </c>
      <c r="AI58" s="51">
        <v>0.0</v>
      </c>
      <c r="AJ58" s="51">
        <v>0.0</v>
      </c>
      <c r="AK58" s="51">
        <v>0.0</v>
      </c>
      <c r="AL58" s="51">
        <v>0.0</v>
      </c>
      <c r="AM58" s="51">
        <v>0.5854164987935552</v>
      </c>
      <c r="AN58" s="51">
        <v>0.0</v>
      </c>
      <c r="AO58" s="51">
        <v>0.31649546046396865</v>
      </c>
      <c r="AP58" s="51">
        <v>1.1194254276127023</v>
      </c>
      <c r="AQ58" s="51">
        <v>0.8824154545751178</v>
      </c>
      <c r="AR58" s="51">
        <v>0.0</v>
      </c>
      <c r="AS58" s="51">
        <v>0.06845331687247433</v>
      </c>
      <c r="AT58" s="51">
        <v>0.15589521808052978</v>
      </c>
      <c r="AU58" s="51">
        <v>0.25377457627118644</v>
      </c>
      <c r="AV58" s="51">
        <v>0.0</v>
      </c>
      <c r="AW58" s="51">
        <v>0.0</v>
      </c>
      <c r="AX58" s="51">
        <v>0.08015563781275765</v>
      </c>
      <c r="AY58" s="51">
        <v>0.3583279259959703</v>
      </c>
      <c r="AZ58" s="51">
        <v>0.0</v>
      </c>
      <c r="BA58" s="51">
        <v>0.0</v>
      </c>
      <c r="BB58" s="51">
        <v>0.0</v>
      </c>
      <c r="BC58" s="51">
        <v>0.0</v>
      </c>
      <c r="BD58" s="51">
        <v>0.0</v>
      </c>
      <c r="BE58" s="51">
        <v>0.0</v>
      </c>
      <c r="BF58" s="51">
        <v>0.0</v>
      </c>
      <c r="BG58" s="51">
        <v>0.0</v>
      </c>
      <c r="BH58" s="51">
        <v>0.0</v>
      </c>
      <c r="BI58" s="51">
        <v>0.0</v>
      </c>
      <c r="BJ58" s="51">
        <v>0.0</v>
      </c>
    </row>
    <row r="59" ht="4.5" hidden="1" customHeight="1" outlineLevel="1">
      <c r="F59" s="50"/>
      <c r="G59" s="50"/>
      <c r="H59" s="50"/>
      <c r="I59" s="50"/>
      <c r="J59" s="50"/>
      <c r="K59" s="50"/>
      <c r="L59" s="50"/>
      <c r="M59" s="50"/>
    </row>
    <row r="60" ht="15.75" hidden="1" customHeight="1" outlineLevel="1">
      <c r="B60" s="54" t="s">
        <v>145</v>
      </c>
      <c r="C60" s="54"/>
      <c r="D60" s="54"/>
      <c r="F60" s="55">
        <f t="shared" ref="F60:M60" si="51">+SUMIFS($AA60:$DR60,$AA$7:$DR$7,F$7)</f>
        <v>1503.946058</v>
      </c>
      <c r="G60" s="55">
        <f t="shared" si="51"/>
        <v>1196.880152</v>
      </c>
      <c r="H60" s="55">
        <f t="shared" si="51"/>
        <v>1032.603898</v>
      </c>
      <c r="I60" s="55">
        <f t="shared" si="51"/>
        <v>0</v>
      </c>
      <c r="J60" s="55">
        <f t="shared" si="51"/>
        <v>0</v>
      </c>
      <c r="K60" s="55">
        <f t="shared" si="51"/>
        <v>0</v>
      </c>
      <c r="L60" s="55">
        <f t="shared" si="51"/>
        <v>0</v>
      </c>
      <c r="M60" s="55">
        <f t="shared" si="51"/>
        <v>0</v>
      </c>
      <c r="AA60" s="55">
        <f t="shared" ref="AA60:BJ60" si="52">SUM(AA13:AA59)</f>
        <v>120.8129985</v>
      </c>
      <c r="AB60" s="55">
        <f t="shared" si="52"/>
        <v>120.5298993</v>
      </c>
      <c r="AC60" s="55">
        <f t="shared" si="52"/>
        <v>123.2863966</v>
      </c>
      <c r="AD60" s="55">
        <f t="shared" si="52"/>
        <v>143.0266142</v>
      </c>
      <c r="AE60" s="55">
        <f t="shared" si="52"/>
        <v>140.6218694</v>
      </c>
      <c r="AF60" s="55">
        <f t="shared" si="52"/>
        <v>135.3003189</v>
      </c>
      <c r="AG60" s="55">
        <f t="shared" si="52"/>
        <v>135.1364765</v>
      </c>
      <c r="AH60" s="55">
        <f t="shared" si="52"/>
        <v>137.1466083</v>
      </c>
      <c r="AI60" s="55">
        <f t="shared" si="52"/>
        <v>110.5905169</v>
      </c>
      <c r="AJ60" s="55">
        <f t="shared" si="52"/>
        <v>118.6927113</v>
      </c>
      <c r="AK60" s="55">
        <f t="shared" si="52"/>
        <v>121.5385415</v>
      </c>
      <c r="AL60" s="55">
        <f t="shared" si="52"/>
        <v>97.26310645</v>
      </c>
      <c r="AM60" s="55">
        <f t="shared" si="52"/>
        <v>110.8085461</v>
      </c>
      <c r="AN60" s="55">
        <f t="shared" si="52"/>
        <v>126.6037941</v>
      </c>
      <c r="AO60" s="55">
        <f t="shared" si="52"/>
        <v>117.5052943</v>
      </c>
      <c r="AP60" s="55">
        <f t="shared" si="52"/>
        <v>120.2116569</v>
      </c>
      <c r="AQ60" s="55">
        <f t="shared" si="52"/>
        <v>87.81622466</v>
      </c>
      <c r="AR60" s="55">
        <f t="shared" si="52"/>
        <v>92.87130561</v>
      </c>
      <c r="AS60" s="55">
        <f t="shared" si="52"/>
        <v>94.80170438</v>
      </c>
      <c r="AT60" s="55">
        <f t="shared" si="52"/>
        <v>103.3769358</v>
      </c>
      <c r="AU60" s="55">
        <f t="shared" si="52"/>
        <v>85.40222008</v>
      </c>
      <c r="AV60" s="55">
        <f t="shared" si="52"/>
        <v>102.0845887</v>
      </c>
      <c r="AW60" s="55">
        <f t="shared" si="52"/>
        <v>85.90599253</v>
      </c>
      <c r="AX60" s="55">
        <f t="shared" si="52"/>
        <v>69.49188908</v>
      </c>
      <c r="AY60" s="55">
        <f t="shared" si="52"/>
        <v>89.3360872</v>
      </c>
      <c r="AZ60" s="55">
        <f t="shared" si="52"/>
        <v>80.31388959</v>
      </c>
      <c r="BA60" s="55">
        <f t="shared" si="52"/>
        <v>82.6341614</v>
      </c>
      <c r="BB60" s="55">
        <f t="shared" si="52"/>
        <v>87.08980422</v>
      </c>
      <c r="BC60" s="55">
        <f t="shared" si="52"/>
        <v>81.88055937</v>
      </c>
      <c r="BD60" s="55">
        <f t="shared" si="52"/>
        <v>78.2227133</v>
      </c>
      <c r="BE60" s="55">
        <f t="shared" si="52"/>
        <v>80.38545173</v>
      </c>
      <c r="BF60" s="55">
        <f t="shared" si="52"/>
        <v>88.82200751</v>
      </c>
      <c r="BG60" s="55">
        <f t="shared" si="52"/>
        <v>89.28726857</v>
      </c>
      <c r="BH60" s="55">
        <f t="shared" si="52"/>
        <v>102.5459181</v>
      </c>
      <c r="BI60" s="55">
        <f t="shared" si="52"/>
        <v>91.92307166</v>
      </c>
      <c r="BJ60" s="55">
        <f t="shared" si="52"/>
        <v>80.16296511</v>
      </c>
    </row>
    <row r="61" ht="4.5" hidden="1" customHeight="1" outlineLevel="1"/>
    <row r="62" ht="15.75" customHeight="1" collapsed="1">
      <c r="B62" s="47" t="s">
        <v>40</v>
      </c>
    </row>
    <row r="63" ht="15.75" customHeight="1">
      <c r="B63" s="5" t="s">
        <v>82</v>
      </c>
      <c r="F63" s="52">
        <f>+Revenue_Calcs!F84</f>
        <v>7916.045</v>
      </c>
      <c r="G63" s="52">
        <f>+Revenue_Calcs!G84</f>
        <v>8245.29</v>
      </c>
      <c r="H63" s="52">
        <f>+Revenue_Calcs!H84</f>
        <v>8781.099592</v>
      </c>
      <c r="I63" s="52">
        <f>+Revenue_Calcs!I84</f>
        <v>9075.523268</v>
      </c>
      <c r="J63" s="52">
        <f>+Revenue_Calcs!J84</f>
        <v>9607.489548</v>
      </c>
      <c r="K63" s="52">
        <f>+Revenue_Calcs!K84</f>
        <v>11031.68272</v>
      </c>
      <c r="L63" s="52">
        <f>+Revenue_Calcs!L84</f>
        <v>12578.99559</v>
      </c>
      <c r="M63" s="52">
        <f>+Revenue_Calcs!M84</f>
        <v>14258.43917</v>
      </c>
      <c r="AA63" s="53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0"/>
      <c r="BD63" s="100"/>
      <c r="BE63" s="100"/>
      <c r="BF63" s="100"/>
      <c r="BG63" s="100"/>
      <c r="BH63" s="100"/>
      <c r="BI63" s="100"/>
      <c r="BJ63" s="100"/>
      <c r="BK63" s="100"/>
      <c r="BL63" s="100"/>
      <c r="BM63" s="100"/>
      <c r="BN63" s="100"/>
      <c r="BO63" s="100"/>
      <c r="BP63" s="100"/>
      <c r="BQ63" s="100"/>
      <c r="BR63" s="100"/>
      <c r="BS63" s="100"/>
      <c r="BT63" s="100"/>
      <c r="BU63" s="100"/>
      <c r="BV63" s="100"/>
      <c r="BW63" s="100"/>
      <c r="BX63" s="100"/>
      <c r="BY63" s="100"/>
      <c r="BZ63" s="100"/>
      <c r="CA63" s="100"/>
      <c r="CB63" s="100"/>
      <c r="CC63" s="100"/>
      <c r="CD63" s="100"/>
      <c r="CE63" s="100"/>
      <c r="CF63" s="100"/>
      <c r="CG63" s="100"/>
      <c r="CH63" s="100"/>
      <c r="CI63" s="100"/>
      <c r="CJ63" s="100"/>
      <c r="CK63" s="100"/>
      <c r="CL63" s="100"/>
      <c r="CM63" s="100"/>
      <c r="CN63" s="100"/>
      <c r="CO63" s="100"/>
      <c r="CP63" s="100"/>
      <c r="CQ63" s="100"/>
      <c r="CR63" s="100"/>
      <c r="CS63" s="100"/>
      <c r="CT63" s="100"/>
      <c r="CU63" s="100"/>
      <c r="CV63" s="100"/>
      <c r="CW63" s="100"/>
      <c r="CX63" s="100"/>
      <c r="CY63" s="100"/>
      <c r="CZ63" s="100"/>
      <c r="DA63" s="100"/>
      <c r="DB63" s="100"/>
      <c r="DC63" s="100"/>
      <c r="DD63" s="100"/>
      <c r="DE63" s="100"/>
      <c r="DF63" s="100"/>
      <c r="DG63" s="100"/>
      <c r="DH63" s="100"/>
      <c r="DI63" s="100"/>
      <c r="DJ63" s="100"/>
      <c r="DK63" s="100"/>
      <c r="DL63" s="100"/>
      <c r="DM63" s="100"/>
      <c r="DN63" s="100"/>
      <c r="DO63" s="100"/>
      <c r="DP63" s="100"/>
      <c r="DQ63" s="100"/>
      <c r="DR63" s="100"/>
    </row>
    <row r="64" ht="15.75" customHeight="1">
      <c r="B64" s="5" t="s">
        <v>76</v>
      </c>
      <c r="F64" s="52">
        <f>+Revenue_Calcs!F96</f>
        <v>1771.212</v>
      </c>
      <c r="G64" s="52">
        <f>+Revenue_Calcs!G96</f>
        <v>1842.559</v>
      </c>
      <c r="H64" s="52">
        <f>+Revenue_Calcs!H96</f>
        <v>1905.0657</v>
      </c>
      <c r="I64" s="52">
        <f>+Revenue_Calcs!I96</f>
        <v>2067.560393</v>
      </c>
      <c r="J64" s="52">
        <f>+Revenue_Calcs!J96</f>
        <v>2432.239016</v>
      </c>
      <c r="K64" s="52">
        <f>+Revenue_Calcs!K96</f>
        <v>2936.485857</v>
      </c>
      <c r="L64" s="52">
        <f>+Revenue_Calcs!L96</f>
        <v>3488.903133</v>
      </c>
      <c r="M64" s="52">
        <f>+Revenue_Calcs!M96</f>
        <v>4093.276853</v>
      </c>
      <c r="AA64" s="53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  <c r="BD64" s="100"/>
      <c r="BE64" s="100"/>
      <c r="BF64" s="100"/>
      <c r="BG64" s="100"/>
      <c r="BH64" s="100"/>
      <c r="BI64" s="100"/>
      <c r="BJ64" s="100"/>
      <c r="BK64" s="100"/>
      <c r="BL64" s="100"/>
      <c r="BM64" s="100"/>
      <c r="BN64" s="100"/>
      <c r="BO64" s="100"/>
      <c r="BP64" s="100"/>
      <c r="BQ64" s="100"/>
      <c r="BR64" s="100"/>
      <c r="BS64" s="100"/>
      <c r="BT64" s="100"/>
      <c r="BU64" s="100"/>
      <c r="BV64" s="100"/>
      <c r="BW64" s="100"/>
      <c r="BX64" s="100"/>
      <c r="BY64" s="100"/>
      <c r="BZ64" s="100"/>
      <c r="CA64" s="100"/>
      <c r="CB64" s="100"/>
      <c r="CC64" s="100"/>
      <c r="CD64" s="100"/>
      <c r="CE64" s="100"/>
      <c r="CF64" s="100"/>
      <c r="CG64" s="100"/>
      <c r="CH64" s="100"/>
      <c r="CI64" s="100"/>
      <c r="CJ64" s="100"/>
      <c r="CK64" s="100"/>
      <c r="CL64" s="100"/>
      <c r="CM64" s="100"/>
      <c r="CN64" s="100"/>
      <c r="CO64" s="100"/>
      <c r="CP64" s="100"/>
      <c r="CQ64" s="100"/>
      <c r="CR64" s="100"/>
      <c r="CS64" s="100"/>
      <c r="CT64" s="100"/>
      <c r="CU64" s="100"/>
      <c r="CV64" s="100"/>
      <c r="CW64" s="100"/>
      <c r="CX64" s="100"/>
      <c r="CY64" s="100"/>
      <c r="CZ64" s="100"/>
      <c r="DA64" s="100"/>
      <c r="DB64" s="100"/>
      <c r="DC64" s="100"/>
      <c r="DD64" s="100"/>
      <c r="DE64" s="100"/>
      <c r="DF64" s="100"/>
      <c r="DG64" s="100"/>
      <c r="DH64" s="100"/>
      <c r="DI64" s="100"/>
      <c r="DJ64" s="100"/>
      <c r="DK64" s="100"/>
      <c r="DL64" s="100"/>
      <c r="DM64" s="100"/>
      <c r="DN64" s="100"/>
      <c r="DO64" s="100"/>
      <c r="DP64" s="100"/>
      <c r="DQ64" s="100"/>
      <c r="DR64" s="100"/>
    </row>
    <row r="65" ht="15.75" customHeight="1">
      <c r="B65" s="5" t="s">
        <v>74</v>
      </c>
      <c r="F65" s="52">
        <f>+Revenue_Calcs!F108</f>
        <v>1021.766</v>
      </c>
      <c r="G65" s="52">
        <f>+Revenue_Calcs!G108</f>
        <v>1442.292</v>
      </c>
      <c r="H65" s="52">
        <f>+Revenue_Calcs!H108</f>
        <v>2048.712523</v>
      </c>
      <c r="I65" s="52">
        <f>+Revenue_Calcs!I108</f>
        <v>2199.974695</v>
      </c>
      <c r="J65" s="52">
        <f>+Revenue_Calcs!J108</f>
        <v>2835.721911</v>
      </c>
      <c r="K65" s="52">
        <f>+Revenue_Calcs!K108</f>
        <v>3625.401322</v>
      </c>
      <c r="L65" s="52">
        <f>+Revenue_Calcs!L108</f>
        <v>4699.476717</v>
      </c>
      <c r="M65" s="52">
        <f>+Revenue_Calcs!M108</f>
        <v>6259.728687</v>
      </c>
      <c r="AA65" s="53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  <c r="BD65" s="100"/>
      <c r="BE65" s="100"/>
      <c r="BF65" s="100"/>
      <c r="BG65" s="100"/>
      <c r="BH65" s="100"/>
      <c r="BI65" s="100"/>
      <c r="BJ65" s="100"/>
      <c r="BK65" s="100"/>
      <c r="BL65" s="100"/>
      <c r="BM65" s="100"/>
      <c r="BN65" s="100"/>
      <c r="BO65" s="100"/>
      <c r="BP65" s="100"/>
      <c r="BQ65" s="100"/>
      <c r="BR65" s="100"/>
      <c r="BS65" s="100"/>
      <c r="BT65" s="100"/>
      <c r="BU65" s="100"/>
      <c r="BV65" s="100"/>
      <c r="BW65" s="100"/>
      <c r="BX65" s="100"/>
      <c r="BY65" s="100"/>
      <c r="BZ65" s="100"/>
      <c r="CA65" s="100"/>
      <c r="CB65" s="100"/>
      <c r="CC65" s="100"/>
      <c r="CD65" s="100"/>
      <c r="CE65" s="100"/>
      <c r="CF65" s="100"/>
      <c r="CG65" s="100"/>
      <c r="CH65" s="100"/>
      <c r="CI65" s="100"/>
      <c r="CJ65" s="100"/>
      <c r="CK65" s="100"/>
      <c r="CL65" s="100"/>
      <c r="CM65" s="100"/>
      <c r="CN65" s="100"/>
      <c r="CO65" s="100"/>
      <c r="CP65" s="100"/>
      <c r="CQ65" s="100"/>
      <c r="CR65" s="100"/>
      <c r="CS65" s="100"/>
      <c r="CT65" s="100"/>
      <c r="CU65" s="100"/>
      <c r="CV65" s="100"/>
      <c r="CW65" s="100"/>
      <c r="CX65" s="100"/>
      <c r="CY65" s="100"/>
      <c r="CZ65" s="100"/>
      <c r="DA65" s="100"/>
      <c r="DB65" s="100"/>
      <c r="DC65" s="100"/>
      <c r="DD65" s="100"/>
      <c r="DE65" s="100"/>
      <c r="DF65" s="100"/>
      <c r="DG65" s="100"/>
      <c r="DH65" s="100"/>
      <c r="DI65" s="100"/>
      <c r="DJ65" s="100"/>
      <c r="DK65" s="100"/>
      <c r="DL65" s="100"/>
      <c r="DM65" s="100"/>
      <c r="DN65" s="100"/>
      <c r="DO65" s="100"/>
      <c r="DP65" s="100"/>
      <c r="DQ65" s="100"/>
      <c r="DR65" s="100"/>
    </row>
    <row r="66" ht="15.75" customHeight="1">
      <c r="B66" s="5" t="s">
        <v>70</v>
      </c>
      <c r="F66" s="52">
        <f>+Revenue_Calcs!F120</f>
        <v>1123.217</v>
      </c>
      <c r="G66" s="52">
        <f>+Revenue_Calcs!G120</f>
        <v>1313.177</v>
      </c>
      <c r="H66" s="52">
        <f>+Revenue_Calcs!H120</f>
        <v>1332.758762</v>
      </c>
      <c r="I66" s="52">
        <f>+Revenue_Calcs!I120</f>
        <v>1821.764513</v>
      </c>
      <c r="J66" s="52">
        <f>+Revenue_Calcs!J120</f>
        <v>2286.470004</v>
      </c>
      <c r="K66" s="52">
        <f>+Revenue_Calcs!K120</f>
        <v>2859.440155</v>
      </c>
      <c r="L66" s="52">
        <f>+Revenue_Calcs!L120</f>
        <v>3653.218156</v>
      </c>
      <c r="M66" s="52">
        <f>+Revenue_Calcs!M120</f>
        <v>4798.471065</v>
      </c>
      <c r="AA66" s="53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0"/>
      <c r="BD66" s="100"/>
      <c r="BE66" s="100"/>
      <c r="BF66" s="100"/>
      <c r="BG66" s="100"/>
      <c r="BH66" s="100"/>
      <c r="BI66" s="100"/>
      <c r="BJ66" s="100"/>
      <c r="BK66" s="100"/>
      <c r="BL66" s="100"/>
      <c r="BM66" s="100"/>
      <c r="BN66" s="100"/>
      <c r="BO66" s="100"/>
      <c r="BP66" s="100"/>
      <c r="BQ66" s="100"/>
      <c r="BR66" s="100"/>
      <c r="BS66" s="100"/>
      <c r="BT66" s="100"/>
      <c r="BU66" s="100"/>
      <c r="BV66" s="100"/>
      <c r="BW66" s="100"/>
      <c r="BX66" s="100"/>
      <c r="BY66" s="100"/>
      <c r="BZ66" s="100"/>
      <c r="CA66" s="100"/>
      <c r="CB66" s="100"/>
      <c r="CC66" s="100"/>
      <c r="CD66" s="100"/>
      <c r="CE66" s="100"/>
      <c r="CF66" s="100"/>
      <c r="CG66" s="100"/>
      <c r="CH66" s="100"/>
      <c r="CI66" s="100"/>
      <c r="CJ66" s="100"/>
      <c r="CK66" s="100"/>
      <c r="CL66" s="100"/>
      <c r="CM66" s="100"/>
      <c r="CN66" s="100"/>
      <c r="CO66" s="100"/>
      <c r="CP66" s="100"/>
      <c r="CQ66" s="100"/>
      <c r="CR66" s="100"/>
      <c r="CS66" s="100"/>
      <c r="CT66" s="100"/>
      <c r="CU66" s="100"/>
      <c r="CV66" s="100"/>
      <c r="CW66" s="100"/>
      <c r="CX66" s="100"/>
      <c r="CY66" s="100"/>
      <c r="CZ66" s="100"/>
      <c r="DA66" s="100"/>
      <c r="DB66" s="100"/>
      <c r="DC66" s="100"/>
      <c r="DD66" s="100"/>
      <c r="DE66" s="100"/>
      <c r="DF66" s="100"/>
      <c r="DG66" s="100"/>
      <c r="DH66" s="100"/>
      <c r="DI66" s="100"/>
      <c r="DJ66" s="100"/>
      <c r="DK66" s="100"/>
      <c r="DL66" s="100"/>
      <c r="DM66" s="100"/>
      <c r="DN66" s="100"/>
      <c r="DO66" s="100"/>
      <c r="DP66" s="100"/>
      <c r="DQ66" s="100"/>
      <c r="DR66" s="100"/>
    </row>
    <row r="67" ht="15.75" customHeight="1">
      <c r="B67" s="54" t="s">
        <v>145</v>
      </c>
      <c r="C67" s="54"/>
      <c r="D67" s="54"/>
      <c r="F67" s="55">
        <f t="shared" ref="F67:M67" si="53">SUM(F63:F66)</f>
        <v>11832.24</v>
      </c>
      <c r="G67" s="55">
        <f t="shared" si="53"/>
        <v>12843.318</v>
      </c>
      <c r="H67" s="55">
        <f t="shared" si="53"/>
        <v>14067.63658</v>
      </c>
      <c r="I67" s="55">
        <f t="shared" si="53"/>
        <v>15164.82287</v>
      </c>
      <c r="J67" s="55">
        <f t="shared" si="53"/>
        <v>17161.92048</v>
      </c>
      <c r="K67" s="55">
        <f t="shared" si="53"/>
        <v>20453.01006</v>
      </c>
      <c r="L67" s="55">
        <f t="shared" si="53"/>
        <v>24420.59359</v>
      </c>
      <c r="M67" s="55">
        <f t="shared" si="53"/>
        <v>29409.91578</v>
      </c>
      <c r="AA67" s="53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0"/>
      <c r="BD67" s="100"/>
      <c r="BE67" s="100"/>
      <c r="BF67" s="100"/>
      <c r="BG67" s="100"/>
      <c r="BH67" s="100"/>
      <c r="BI67" s="100"/>
      <c r="BJ67" s="100"/>
      <c r="BK67" s="100"/>
      <c r="BL67" s="100"/>
      <c r="BM67" s="100"/>
      <c r="BN67" s="100"/>
      <c r="BO67" s="100"/>
      <c r="BP67" s="100"/>
      <c r="BQ67" s="100"/>
      <c r="BR67" s="100"/>
      <c r="BS67" s="100"/>
      <c r="BT67" s="100"/>
      <c r="BU67" s="100"/>
      <c r="BV67" s="100"/>
      <c r="BW67" s="100"/>
      <c r="BX67" s="100"/>
      <c r="BY67" s="100"/>
      <c r="BZ67" s="100"/>
      <c r="CA67" s="100"/>
      <c r="CB67" s="100"/>
      <c r="CC67" s="100"/>
      <c r="CD67" s="100"/>
      <c r="CE67" s="100"/>
      <c r="CF67" s="100"/>
      <c r="CG67" s="100"/>
      <c r="CH67" s="100"/>
      <c r="CI67" s="100"/>
      <c r="CJ67" s="100"/>
      <c r="CK67" s="100"/>
      <c r="CL67" s="100"/>
      <c r="CM67" s="100"/>
      <c r="CN67" s="100"/>
      <c r="CO67" s="100"/>
      <c r="CP67" s="100"/>
      <c r="CQ67" s="100"/>
      <c r="CR67" s="100"/>
      <c r="CS67" s="100"/>
      <c r="CT67" s="100"/>
      <c r="CU67" s="100"/>
      <c r="CV67" s="100"/>
      <c r="CW67" s="100"/>
      <c r="CX67" s="100"/>
      <c r="CY67" s="100"/>
      <c r="CZ67" s="100"/>
      <c r="DA67" s="100"/>
      <c r="DB67" s="100"/>
      <c r="DC67" s="100"/>
      <c r="DD67" s="100"/>
      <c r="DE67" s="100"/>
      <c r="DF67" s="100"/>
      <c r="DG67" s="100"/>
      <c r="DH67" s="100"/>
      <c r="DI67" s="100"/>
      <c r="DJ67" s="100"/>
      <c r="DK67" s="100"/>
      <c r="DL67" s="100"/>
      <c r="DM67" s="100"/>
      <c r="DN67" s="100"/>
      <c r="DO67" s="100"/>
      <c r="DP67" s="100"/>
      <c r="DQ67" s="100"/>
      <c r="DR67" s="100"/>
    </row>
    <row r="68" ht="4.5" customHeight="1"/>
    <row r="69" ht="15.75" customHeight="1">
      <c r="B69" s="47" t="s">
        <v>19</v>
      </c>
    </row>
    <row r="70" ht="15.75" customHeight="1">
      <c r="B70" s="5" t="s">
        <v>82</v>
      </c>
      <c r="F70" s="50">
        <f t="shared" ref="F70:H70" si="54">+SUMIFS($AA70:$DR70,$AA$7:$DR$7,F$7)</f>
        <v>902.1175658</v>
      </c>
      <c r="G70" s="50">
        <f t="shared" si="54"/>
        <v>713.1979094</v>
      </c>
      <c r="H70" s="50">
        <f t="shared" si="54"/>
        <v>542.4010391</v>
      </c>
      <c r="I70" s="52">
        <f>+I63*(1-COGS_Assumptions!I13)</f>
        <v>726.0418614</v>
      </c>
      <c r="J70" s="52">
        <f>+J63*(1-COGS_Assumptions!J13)</f>
        <v>768.5991638</v>
      </c>
      <c r="K70" s="52">
        <f>+K63*(1-COGS_Assumptions!K13)</f>
        <v>860.4712524</v>
      </c>
      <c r="L70" s="52">
        <f>+L63*(1-COGS_Assumptions!L13)</f>
        <v>956.0036645</v>
      </c>
      <c r="M70" s="52">
        <f>+M63*(1-COGS_Assumptions!M13)</f>
        <v>1055.124499</v>
      </c>
      <c r="AA70" s="50">
        <f t="shared" ref="AA70:BJ70" si="55">+SUMIFS(AA$13:AA$58,$C$13:$C$58,$B70)</f>
        <v>68.05494756</v>
      </c>
      <c r="AB70" s="50">
        <f t="shared" si="55"/>
        <v>74.23524932</v>
      </c>
      <c r="AC70" s="50">
        <f t="shared" si="55"/>
        <v>70.74023782</v>
      </c>
      <c r="AD70" s="50">
        <f t="shared" si="55"/>
        <v>93.12974816</v>
      </c>
      <c r="AE70" s="50">
        <f t="shared" si="55"/>
        <v>91.88169732</v>
      </c>
      <c r="AF70" s="50">
        <f t="shared" si="55"/>
        <v>82.01196484</v>
      </c>
      <c r="AG70" s="50">
        <f t="shared" si="55"/>
        <v>86.23083851</v>
      </c>
      <c r="AH70" s="50">
        <f t="shared" si="55"/>
        <v>85.38200918</v>
      </c>
      <c r="AI70" s="50">
        <f t="shared" si="55"/>
        <v>69.03650306</v>
      </c>
      <c r="AJ70" s="50">
        <f t="shared" si="55"/>
        <v>67.2072003</v>
      </c>
      <c r="AK70" s="50">
        <f t="shared" si="55"/>
        <v>62.67768122</v>
      </c>
      <c r="AL70" s="50">
        <f t="shared" si="55"/>
        <v>51.52948854</v>
      </c>
      <c r="AM70" s="50">
        <f t="shared" si="55"/>
        <v>51.85442038</v>
      </c>
      <c r="AN70" s="50">
        <f t="shared" si="55"/>
        <v>75.13308116</v>
      </c>
      <c r="AO70" s="50">
        <f t="shared" si="55"/>
        <v>75.11614537</v>
      </c>
      <c r="AP70" s="50">
        <f t="shared" si="55"/>
        <v>81.24388793</v>
      </c>
      <c r="AQ70" s="50">
        <f t="shared" si="55"/>
        <v>54.3378035</v>
      </c>
      <c r="AR70" s="50">
        <f t="shared" si="55"/>
        <v>56.27820741</v>
      </c>
      <c r="AS70" s="50">
        <f t="shared" si="55"/>
        <v>58.42621482</v>
      </c>
      <c r="AT70" s="50">
        <f t="shared" si="55"/>
        <v>58.19654127</v>
      </c>
      <c r="AU70" s="50">
        <f t="shared" si="55"/>
        <v>49.3192179</v>
      </c>
      <c r="AV70" s="50">
        <f t="shared" si="55"/>
        <v>60.84562483</v>
      </c>
      <c r="AW70" s="50">
        <f t="shared" si="55"/>
        <v>53.13638277</v>
      </c>
      <c r="AX70" s="50">
        <f t="shared" si="55"/>
        <v>39.31038207</v>
      </c>
      <c r="AY70" s="50">
        <f t="shared" si="55"/>
        <v>46.50057119</v>
      </c>
      <c r="AZ70" s="50">
        <f t="shared" si="55"/>
        <v>41.05622759</v>
      </c>
      <c r="BA70" s="50">
        <f t="shared" si="55"/>
        <v>45.34139514</v>
      </c>
      <c r="BB70" s="50">
        <f t="shared" si="55"/>
        <v>51.89320209</v>
      </c>
      <c r="BC70" s="50">
        <f t="shared" si="55"/>
        <v>45.70855955</v>
      </c>
      <c r="BD70" s="50">
        <f t="shared" si="55"/>
        <v>39.29751257</v>
      </c>
      <c r="BE70" s="50">
        <f t="shared" si="55"/>
        <v>41.73216883</v>
      </c>
      <c r="BF70" s="50">
        <f t="shared" si="55"/>
        <v>46.90773323</v>
      </c>
      <c r="BG70" s="50">
        <f t="shared" si="55"/>
        <v>41.27275662</v>
      </c>
      <c r="BH70" s="50">
        <f t="shared" si="55"/>
        <v>50.43215062</v>
      </c>
      <c r="BI70" s="50">
        <f t="shared" si="55"/>
        <v>49.74998586</v>
      </c>
      <c r="BJ70" s="50">
        <f t="shared" si="55"/>
        <v>42.50877577</v>
      </c>
      <c r="BK70" s="119">
        <f t="shared" ref="BK70:DR70" si="56">+SUMIFS($F70:$M70,$F$7:$M$7,BK$7)*BK$75</f>
        <v>62.78499674</v>
      </c>
      <c r="BL70" s="119">
        <f t="shared" si="56"/>
        <v>63.81874794</v>
      </c>
      <c r="BM70" s="119">
        <f t="shared" si="56"/>
        <v>62.96637643</v>
      </c>
      <c r="BN70" s="119">
        <f t="shared" si="56"/>
        <v>67.734476</v>
      </c>
      <c r="BO70" s="119">
        <f t="shared" si="56"/>
        <v>59.57611644</v>
      </c>
      <c r="BP70" s="119">
        <f t="shared" si="56"/>
        <v>58.8846353</v>
      </c>
      <c r="BQ70" s="119">
        <f t="shared" si="56"/>
        <v>59.75549066</v>
      </c>
      <c r="BR70" s="119">
        <f t="shared" si="56"/>
        <v>63.7902024</v>
      </c>
      <c r="BS70" s="119">
        <f t="shared" si="56"/>
        <v>55.99129962</v>
      </c>
      <c r="BT70" s="119">
        <f t="shared" si="56"/>
        <v>63.77580358</v>
      </c>
      <c r="BU70" s="119">
        <f t="shared" si="56"/>
        <v>58.47267269</v>
      </c>
      <c r="BV70" s="119">
        <f t="shared" si="56"/>
        <v>48.49104365</v>
      </c>
      <c r="BW70" s="119">
        <f t="shared" si="56"/>
        <v>68.03953117</v>
      </c>
      <c r="BX70" s="119">
        <f t="shared" si="56"/>
        <v>69.54688432</v>
      </c>
      <c r="BY70" s="119">
        <f t="shared" si="56"/>
        <v>67.87419881</v>
      </c>
      <c r="BZ70" s="119">
        <f t="shared" si="56"/>
        <v>71.24153189</v>
      </c>
      <c r="CA70" s="119">
        <f t="shared" si="56"/>
        <v>60.13576307</v>
      </c>
      <c r="CB70" s="119">
        <f t="shared" si="56"/>
        <v>60.06628122</v>
      </c>
      <c r="CC70" s="119">
        <f t="shared" si="56"/>
        <v>61.32339335</v>
      </c>
      <c r="CD70" s="119">
        <f t="shared" si="56"/>
        <v>66.67590852</v>
      </c>
      <c r="CE70" s="119">
        <f t="shared" si="56"/>
        <v>60.1917306</v>
      </c>
      <c r="CF70" s="119">
        <f t="shared" si="56"/>
        <v>69.79923694</v>
      </c>
      <c r="CG70" s="119">
        <f t="shared" si="56"/>
        <v>61.82914296</v>
      </c>
      <c r="CH70" s="119">
        <f t="shared" si="56"/>
        <v>51.87556098</v>
      </c>
      <c r="CI70" s="119">
        <f t="shared" si="56"/>
        <v>75.00875667</v>
      </c>
      <c r="CJ70" s="119">
        <f t="shared" si="56"/>
        <v>73.47357853</v>
      </c>
      <c r="CK70" s="119">
        <f t="shared" si="56"/>
        <v>73.15713583</v>
      </c>
      <c r="CL70" s="119">
        <f t="shared" si="56"/>
        <v>77.53502433</v>
      </c>
      <c r="CM70" s="119">
        <f t="shared" si="56"/>
        <v>68.72067479</v>
      </c>
      <c r="CN70" s="119">
        <f t="shared" si="56"/>
        <v>67.40554468</v>
      </c>
      <c r="CO70" s="119">
        <f t="shared" si="56"/>
        <v>68.81944121</v>
      </c>
      <c r="CP70" s="119">
        <f t="shared" si="56"/>
        <v>74.75419683</v>
      </c>
      <c r="CQ70" s="119">
        <f t="shared" si="56"/>
        <v>69.38271693</v>
      </c>
      <c r="CR70" s="119">
        <f t="shared" si="56"/>
        <v>79.72611944</v>
      </c>
      <c r="CS70" s="119">
        <f t="shared" si="56"/>
        <v>71.70617189</v>
      </c>
      <c r="CT70" s="119">
        <f t="shared" si="56"/>
        <v>60.78189126</v>
      </c>
      <c r="CU70" s="119">
        <f t="shared" si="56"/>
        <v>83.54564437</v>
      </c>
      <c r="CV70" s="119">
        <f t="shared" si="56"/>
        <v>84.05579144</v>
      </c>
      <c r="CW70" s="119">
        <f t="shared" si="56"/>
        <v>82.87097437</v>
      </c>
      <c r="CX70" s="119">
        <f t="shared" si="56"/>
        <v>87.98118424</v>
      </c>
      <c r="CY70" s="119">
        <f t="shared" si="56"/>
        <v>76.53152475</v>
      </c>
      <c r="CZ70" s="119">
        <f t="shared" si="56"/>
        <v>75.71217141</v>
      </c>
      <c r="DA70" s="119">
        <f t="shared" si="56"/>
        <v>77.1392332</v>
      </c>
      <c r="DB70" s="119">
        <f t="shared" si="56"/>
        <v>83.3271966</v>
      </c>
      <c r="DC70" s="119">
        <f t="shared" si="56"/>
        <v>75.22649464</v>
      </c>
      <c r="DD70" s="119">
        <f t="shared" si="56"/>
        <v>86.45714328</v>
      </c>
      <c r="DE70" s="119">
        <f t="shared" si="56"/>
        <v>77.85495331</v>
      </c>
      <c r="DF70" s="119">
        <f t="shared" si="56"/>
        <v>65.30135289</v>
      </c>
      <c r="DG70" s="119">
        <f t="shared" si="56"/>
        <v>92.52960016</v>
      </c>
      <c r="DH70" s="119">
        <f t="shared" si="56"/>
        <v>92.77955239</v>
      </c>
      <c r="DI70" s="119">
        <f t="shared" si="56"/>
        <v>91.44890786</v>
      </c>
      <c r="DJ70" s="119">
        <f t="shared" si="56"/>
        <v>96.65921733</v>
      </c>
      <c r="DK70" s="119">
        <f t="shared" si="56"/>
        <v>83.76222679</v>
      </c>
      <c r="DL70" s="119">
        <f t="shared" si="56"/>
        <v>82.89145186</v>
      </c>
      <c r="DM70" s="119">
        <f t="shared" si="56"/>
        <v>84.56962413</v>
      </c>
      <c r="DN70" s="119">
        <f t="shared" si="56"/>
        <v>91.72119723</v>
      </c>
      <c r="DO70" s="119">
        <f t="shared" si="56"/>
        <v>83.57832681</v>
      </c>
      <c r="DP70" s="119">
        <f t="shared" si="56"/>
        <v>96.33412871</v>
      </c>
      <c r="DQ70" s="119">
        <f t="shared" si="56"/>
        <v>86.24428199</v>
      </c>
      <c r="DR70" s="119">
        <f t="shared" si="56"/>
        <v>72.60598336</v>
      </c>
    </row>
    <row r="71" ht="15.75" customHeight="1">
      <c r="B71" s="5" t="s">
        <v>76</v>
      </c>
      <c r="F71" s="50">
        <f t="shared" ref="F71:H71" si="57">+SUMIFS($AA71:$DR71,$AA$7:$DR$7,F$7)</f>
        <v>273.4257962</v>
      </c>
      <c r="G71" s="50">
        <f t="shared" si="57"/>
        <v>219.6159619</v>
      </c>
      <c r="H71" s="50">
        <f t="shared" si="57"/>
        <v>170.757625</v>
      </c>
      <c r="I71" s="52">
        <f>+I64*(1-COGS_Assumptions!I14)</f>
        <v>214.5895458</v>
      </c>
      <c r="J71" s="52">
        <f>+J64*(1-COGS_Assumptions!J14)</f>
        <v>252.4390909</v>
      </c>
      <c r="K71" s="52">
        <f>+K64*(1-COGS_Assumptions!K14)</f>
        <v>298.9012775</v>
      </c>
      <c r="L71" s="52">
        <f>+L64*(1-COGS_Assumptions!L14)</f>
        <v>348.1533452</v>
      </c>
      <c r="M71" s="52">
        <f>+M64*(1-COGS_Assumptions!M14)</f>
        <v>400.2765003</v>
      </c>
      <c r="AA71" s="50">
        <f t="shared" ref="AA71:BJ71" si="58">+SUMIFS(AA$13:AA$58,$C$13:$C$58,$B71)</f>
        <v>21.9907621</v>
      </c>
      <c r="AB71" s="50">
        <f t="shared" si="58"/>
        <v>20.04035612</v>
      </c>
      <c r="AC71" s="50">
        <f t="shared" si="58"/>
        <v>26.63506267</v>
      </c>
      <c r="AD71" s="50">
        <f t="shared" si="58"/>
        <v>18.88037562</v>
      </c>
      <c r="AE71" s="50">
        <f t="shared" si="58"/>
        <v>17.18482792</v>
      </c>
      <c r="AF71" s="50">
        <f t="shared" si="58"/>
        <v>21.48990256</v>
      </c>
      <c r="AG71" s="50">
        <f t="shared" si="58"/>
        <v>20.5945717</v>
      </c>
      <c r="AH71" s="50">
        <f t="shared" si="58"/>
        <v>21.100755</v>
      </c>
      <c r="AI71" s="50">
        <f t="shared" si="58"/>
        <v>23.78469989</v>
      </c>
      <c r="AJ71" s="50">
        <f t="shared" si="58"/>
        <v>29.4225909</v>
      </c>
      <c r="AK71" s="50">
        <f t="shared" si="58"/>
        <v>29.96269035</v>
      </c>
      <c r="AL71" s="50">
        <f t="shared" si="58"/>
        <v>22.33920138</v>
      </c>
      <c r="AM71" s="50">
        <f t="shared" si="58"/>
        <v>31.15277284</v>
      </c>
      <c r="AN71" s="50">
        <f t="shared" si="58"/>
        <v>24.52701537</v>
      </c>
      <c r="AO71" s="50">
        <f t="shared" si="58"/>
        <v>17.48904841</v>
      </c>
      <c r="AP71" s="50">
        <f t="shared" si="58"/>
        <v>13.87179101</v>
      </c>
      <c r="AQ71" s="50">
        <f t="shared" si="58"/>
        <v>16.96646534</v>
      </c>
      <c r="AR71" s="50">
        <f t="shared" si="58"/>
        <v>19.09500623</v>
      </c>
      <c r="AS71" s="50">
        <f t="shared" si="58"/>
        <v>14.14970894</v>
      </c>
      <c r="AT71" s="50">
        <f t="shared" si="58"/>
        <v>20.55954912</v>
      </c>
      <c r="AU71" s="50">
        <f t="shared" si="58"/>
        <v>16.95977211</v>
      </c>
      <c r="AV71" s="50">
        <f t="shared" si="58"/>
        <v>19.86401671</v>
      </c>
      <c r="AW71" s="50">
        <f t="shared" si="58"/>
        <v>11.28513584</v>
      </c>
      <c r="AX71" s="50">
        <f t="shared" si="58"/>
        <v>13.69567993</v>
      </c>
      <c r="AY71" s="50">
        <f t="shared" si="58"/>
        <v>15.32054325</v>
      </c>
      <c r="AZ71" s="50">
        <f t="shared" si="58"/>
        <v>16.28710274</v>
      </c>
      <c r="BA71" s="50">
        <f t="shared" si="58"/>
        <v>15.05293382</v>
      </c>
      <c r="BB71" s="50">
        <f t="shared" si="58"/>
        <v>13.61251081</v>
      </c>
      <c r="BC71" s="50">
        <f t="shared" si="58"/>
        <v>11.29434278</v>
      </c>
      <c r="BD71" s="50">
        <f t="shared" si="58"/>
        <v>11.034084</v>
      </c>
      <c r="BE71" s="50">
        <f t="shared" si="58"/>
        <v>13.47285896</v>
      </c>
      <c r="BF71" s="50">
        <f t="shared" si="58"/>
        <v>11.61496233</v>
      </c>
      <c r="BG71" s="50">
        <f t="shared" si="58"/>
        <v>18.88811125</v>
      </c>
      <c r="BH71" s="50">
        <f t="shared" si="58"/>
        <v>19.33142596</v>
      </c>
      <c r="BI71" s="50">
        <f t="shared" si="58"/>
        <v>13.51089267</v>
      </c>
      <c r="BJ71" s="50">
        <f t="shared" si="58"/>
        <v>11.33785646</v>
      </c>
      <c r="BK71" s="119">
        <f t="shared" ref="BK71:DR71" si="59">+SUMIFS($F71:$M71,$F$7:$M$7,BK$7)*BK$75</f>
        <v>18.55678667</v>
      </c>
      <c r="BL71" s="119">
        <f t="shared" si="59"/>
        <v>18.86232305</v>
      </c>
      <c r="BM71" s="119">
        <f t="shared" si="59"/>
        <v>18.6103954</v>
      </c>
      <c r="BN71" s="119">
        <f t="shared" si="59"/>
        <v>20.01965894</v>
      </c>
      <c r="BO71" s="119">
        <f t="shared" si="59"/>
        <v>17.60836729</v>
      </c>
      <c r="BP71" s="119">
        <f t="shared" si="59"/>
        <v>17.40399255</v>
      </c>
      <c r="BQ71" s="119">
        <f t="shared" si="59"/>
        <v>17.66138329</v>
      </c>
      <c r="BR71" s="119">
        <f t="shared" si="59"/>
        <v>18.8538861</v>
      </c>
      <c r="BS71" s="119">
        <f t="shared" si="59"/>
        <v>16.54883581</v>
      </c>
      <c r="BT71" s="119">
        <f t="shared" si="59"/>
        <v>18.84963038</v>
      </c>
      <c r="BU71" s="119">
        <f t="shared" si="59"/>
        <v>17.28223253</v>
      </c>
      <c r="BV71" s="119">
        <f t="shared" si="59"/>
        <v>14.33205382</v>
      </c>
      <c r="BW71" s="119">
        <f t="shared" si="59"/>
        <v>22.34693739</v>
      </c>
      <c r="BX71" s="119">
        <f t="shared" si="59"/>
        <v>22.8420132</v>
      </c>
      <c r="BY71" s="119">
        <f t="shared" si="59"/>
        <v>22.29263555</v>
      </c>
      <c r="BZ71" s="119">
        <f t="shared" si="59"/>
        <v>23.39860409</v>
      </c>
      <c r="CA71" s="119">
        <f t="shared" si="59"/>
        <v>19.75101987</v>
      </c>
      <c r="CB71" s="119">
        <f t="shared" si="59"/>
        <v>19.72819922</v>
      </c>
      <c r="CC71" s="119">
        <f t="shared" si="59"/>
        <v>20.14108575</v>
      </c>
      <c r="CD71" s="119">
        <f t="shared" si="59"/>
        <v>21.89906849</v>
      </c>
      <c r="CE71" s="119">
        <f t="shared" si="59"/>
        <v>19.76940187</v>
      </c>
      <c r="CF71" s="119">
        <f t="shared" si="59"/>
        <v>22.92489602</v>
      </c>
      <c r="CG71" s="119">
        <f t="shared" si="59"/>
        <v>20.3071944</v>
      </c>
      <c r="CH71" s="119">
        <f t="shared" si="59"/>
        <v>17.038035</v>
      </c>
      <c r="CI71" s="119">
        <f t="shared" si="59"/>
        <v>26.05573763</v>
      </c>
      <c r="CJ71" s="119">
        <f t="shared" si="59"/>
        <v>25.52246391</v>
      </c>
      <c r="CK71" s="119">
        <f t="shared" si="59"/>
        <v>25.41254144</v>
      </c>
      <c r="CL71" s="119">
        <f t="shared" si="59"/>
        <v>26.93328541</v>
      </c>
      <c r="CM71" s="119">
        <f t="shared" si="59"/>
        <v>23.87145117</v>
      </c>
      <c r="CN71" s="119">
        <f t="shared" si="59"/>
        <v>23.41461537</v>
      </c>
      <c r="CO71" s="119">
        <f t="shared" si="59"/>
        <v>23.90575959</v>
      </c>
      <c r="CP71" s="119">
        <f t="shared" si="59"/>
        <v>25.96731137</v>
      </c>
      <c r="CQ71" s="119">
        <f t="shared" si="59"/>
        <v>24.10142427</v>
      </c>
      <c r="CR71" s="119">
        <f t="shared" si="59"/>
        <v>27.69440453</v>
      </c>
      <c r="CS71" s="119">
        <f t="shared" si="59"/>
        <v>24.90852114</v>
      </c>
      <c r="CT71" s="119">
        <f t="shared" si="59"/>
        <v>21.11376167</v>
      </c>
      <c r="CU71" s="119">
        <f t="shared" si="59"/>
        <v>30.42529715</v>
      </c>
      <c r="CV71" s="119">
        <f t="shared" si="59"/>
        <v>30.61108033</v>
      </c>
      <c r="CW71" s="119">
        <f t="shared" si="59"/>
        <v>30.1795987</v>
      </c>
      <c r="CX71" s="119">
        <f t="shared" si="59"/>
        <v>32.04061317</v>
      </c>
      <c r="CY71" s="119">
        <f t="shared" si="59"/>
        <v>27.87092492</v>
      </c>
      <c r="CZ71" s="119">
        <f t="shared" si="59"/>
        <v>27.57253631</v>
      </c>
      <c r="DA71" s="119">
        <f t="shared" si="59"/>
        <v>28.0922376</v>
      </c>
      <c r="DB71" s="119">
        <f t="shared" si="59"/>
        <v>30.34574377</v>
      </c>
      <c r="DC71" s="119">
        <f t="shared" si="59"/>
        <v>27.39566461</v>
      </c>
      <c r="DD71" s="119">
        <f t="shared" si="59"/>
        <v>31.48559443</v>
      </c>
      <c r="DE71" s="119">
        <f t="shared" si="59"/>
        <v>28.3528855</v>
      </c>
      <c r="DF71" s="119">
        <f t="shared" si="59"/>
        <v>23.78116873</v>
      </c>
      <c r="DG71" s="119">
        <f t="shared" si="59"/>
        <v>35.10242116</v>
      </c>
      <c r="DH71" s="119">
        <f t="shared" si="59"/>
        <v>35.1972441</v>
      </c>
      <c r="DI71" s="119">
        <f t="shared" si="59"/>
        <v>34.69244515</v>
      </c>
      <c r="DJ71" s="119">
        <f t="shared" si="59"/>
        <v>36.66905023</v>
      </c>
      <c r="DK71" s="119">
        <f t="shared" si="59"/>
        <v>31.77639325</v>
      </c>
      <c r="DL71" s="119">
        <f t="shared" si="59"/>
        <v>31.44605239</v>
      </c>
      <c r="DM71" s="119">
        <f t="shared" si="59"/>
        <v>32.08269093</v>
      </c>
      <c r="DN71" s="119">
        <f t="shared" si="59"/>
        <v>34.795742</v>
      </c>
      <c r="DO71" s="119">
        <f t="shared" si="59"/>
        <v>31.70662818</v>
      </c>
      <c r="DP71" s="119">
        <f t="shared" si="59"/>
        <v>36.54572323</v>
      </c>
      <c r="DQ71" s="119">
        <f t="shared" si="59"/>
        <v>32.71799623</v>
      </c>
      <c r="DR71" s="119">
        <f t="shared" si="59"/>
        <v>27.54411348</v>
      </c>
    </row>
    <row r="72" ht="15.75" customHeight="1">
      <c r="B72" s="5" t="s">
        <v>74</v>
      </c>
      <c r="F72" s="50">
        <f t="shared" ref="F72:H72" si="60">+SUMIFS($AA72:$DR72,$AA$7:$DR$7,F$7)</f>
        <v>169.9164932</v>
      </c>
      <c r="G72" s="50">
        <f t="shared" si="60"/>
        <v>138.6261623</v>
      </c>
      <c r="H72" s="50">
        <f t="shared" si="60"/>
        <v>212.6333487</v>
      </c>
      <c r="I72" s="52">
        <f>+I65*(1-COGS_Assumptions!I15)</f>
        <v>176.3135617</v>
      </c>
      <c r="J72" s="52">
        <f>+J65*(1-COGS_Assumptions!J15)</f>
        <v>227.2645368</v>
      </c>
      <c r="K72" s="52">
        <f>+K65*(1-COGS_Assumptions!K15)</f>
        <v>283.3013664</v>
      </c>
      <c r="L72" s="52">
        <f>+L65*(1-COGS_Assumptions!L15)</f>
        <v>357.8343698</v>
      </c>
      <c r="M72" s="52">
        <f>+M65*(1-COGS_Assumptions!M15)</f>
        <v>464.11788</v>
      </c>
      <c r="AA72" s="50">
        <f t="shared" ref="AA72:BJ72" si="61">+SUMIFS(AA$13:AA$58,$C$13:$C$58,$B72)</f>
        <v>16.75338161</v>
      </c>
      <c r="AB72" s="50">
        <f t="shared" si="61"/>
        <v>10.73390443</v>
      </c>
      <c r="AC72" s="50">
        <f t="shared" si="61"/>
        <v>14.2349739</v>
      </c>
      <c r="AD72" s="50">
        <f t="shared" si="61"/>
        <v>16.03598131</v>
      </c>
      <c r="AE72" s="50">
        <f t="shared" si="61"/>
        <v>12.35745718</v>
      </c>
      <c r="AF72" s="50">
        <f t="shared" si="61"/>
        <v>19.41641317</v>
      </c>
      <c r="AG72" s="50">
        <f t="shared" si="61"/>
        <v>13.58155086</v>
      </c>
      <c r="AH72" s="50">
        <f t="shared" si="61"/>
        <v>14.02998492</v>
      </c>
      <c r="AI72" s="50">
        <f t="shared" si="61"/>
        <v>10.41138198</v>
      </c>
      <c r="AJ72" s="50">
        <f t="shared" si="61"/>
        <v>12.41144421</v>
      </c>
      <c r="AK72" s="50">
        <f t="shared" si="61"/>
        <v>19.02640089</v>
      </c>
      <c r="AL72" s="50">
        <f t="shared" si="61"/>
        <v>10.92361876</v>
      </c>
      <c r="AM72" s="50">
        <f t="shared" si="61"/>
        <v>11.67958884</v>
      </c>
      <c r="AN72" s="50">
        <f t="shared" si="61"/>
        <v>12.16385393</v>
      </c>
      <c r="AO72" s="50">
        <f t="shared" si="61"/>
        <v>12.68728297</v>
      </c>
      <c r="AP72" s="50">
        <f t="shared" si="61"/>
        <v>8.264942848</v>
      </c>
      <c r="AQ72" s="50">
        <f t="shared" si="61"/>
        <v>6.81655845</v>
      </c>
      <c r="AR72" s="50">
        <f t="shared" si="61"/>
        <v>11.64420315</v>
      </c>
      <c r="AS72" s="50">
        <f t="shared" si="61"/>
        <v>13.89795345</v>
      </c>
      <c r="AT72" s="50">
        <f t="shared" si="61"/>
        <v>13.51456854</v>
      </c>
      <c r="AU72" s="50">
        <f t="shared" si="61"/>
        <v>10.71304044</v>
      </c>
      <c r="AV72" s="50">
        <f t="shared" si="61"/>
        <v>12.71275509</v>
      </c>
      <c r="AW72" s="50">
        <f t="shared" si="61"/>
        <v>14.0998451</v>
      </c>
      <c r="AX72" s="50">
        <f t="shared" si="61"/>
        <v>10.43156948</v>
      </c>
      <c r="AY72" s="50">
        <f t="shared" si="61"/>
        <v>14.75135731</v>
      </c>
      <c r="AZ72" s="50">
        <f t="shared" si="61"/>
        <v>12.29135773</v>
      </c>
      <c r="BA72" s="50">
        <f t="shared" si="61"/>
        <v>11.90246774</v>
      </c>
      <c r="BB72" s="50">
        <f t="shared" si="61"/>
        <v>13.46677739</v>
      </c>
      <c r="BC72" s="50">
        <f t="shared" si="61"/>
        <v>17.84037748</v>
      </c>
      <c r="BD72" s="50">
        <f t="shared" si="61"/>
        <v>18.35445401</v>
      </c>
      <c r="BE72" s="50">
        <f t="shared" si="61"/>
        <v>15.64989326</v>
      </c>
      <c r="BF72" s="50">
        <f t="shared" si="61"/>
        <v>20.57406075</v>
      </c>
      <c r="BG72" s="50">
        <f t="shared" si="61"/>
        <v>21.38014164</v>
      </c>
      <c r="BH72" s="50">
        <f t="shared" si="61"/>
        <v>24.37599512</v>
      </c>
      <c r="BI72" s="50">
        <f t="shared" si="61"/>
        <v>22.28435421</v>
      </c>
      <c r="BJ72" s="50">
        <f t="shared" si="61"/>
        <v>19.76211206</v>
      </c>
      <c r="BK72" s="119">
        <f t="shared" ref="BK72:DR72" si="62">+SUMIFS($F72:$M72,$F$7:$M$7,BK$7)*BK$75</f>
        <v>15.24684317</v>
      </c>
      <c r="BL72" s="119">
        <f t="shared" si="62"/>
        <v>15.49788152</v>
      </c>
      <c r="BM72" s="119">
        <f t="shared" si="62"/>
        <v>15.2908898</v>
      </c>
      <c r="BN72" s="119">
        <f t="shared" si="62"/>
        <v>16.44878532</v>
      </c>
      <c r="BO72" s="119">
        <f t="shared" si="62"/>
        <v>14.4675918</v>
      </c>
      <c r="BP72" s="119">
        <f t="shared" si="62"/>
        <v>14.29967104</v>
      </c>
      <c r="BQ72" s="119">
        <f t="shared" si="62"/>
        <v>14.51115142</v>
      </c>
      <c r="BR72" s="119">
        <f t="shared" si="62"/>
        <v>15.49094946</v>
      </c>
      <c r="BS72" s="119">
        <f t="shared" si="62"/>
        <v>13.5970472</v>
      </c>
      <c r="BT72" s="119">
        <f t="shared" si="62"/>
        <v>15.48745282</v>
      </c>
      <c r="BU72" s="119">
        <f t="shared" si="62"/>
        <v>14.19962915</v>
      </c>
      <c r="BV72" s="119">
        <f t="shared" si="62"/>
        <v>11.77566896</v>
      </c>
      <c r="BW72" s="119">
        <f t="shared" si="62"/>
        <v>20.11838324</v>
      </c>
      <c r="BX72" s="119">
        <f t="shared" si="62"/>
        <v>20.56408749</v>
      </c>
      <c r="BY72" s="119">
        <f t="shared" si="62"/>
        <v>20.06949666</v>
      </c>
      <c r="BZ72" s="119">
        <f t="shared" si="62"/>
        <v>21.06517221</v>
      </c>
      <c r="CA72" s="119">
        <f t="shared" si="62"/>
        <v>17.78134427</v>
      </c>
      <c r="CB72" s="119">
        <f t="shared" si="62"/>
        <v>17.76079942</v>
      </c>
      <c r="CC72" s="119">
        <f t="shared" si="62"/>
        <v>18.13251073</v>
      </c>
      <c r="CD72" s="119">
        <f t="shared" si="62"/>
        <v>19.71517818</v>
      </c>
      <c r="CE72" s="119">
        <f t="shared" si="62"/>
        <v>17.79789313</v>
      </c>
      <c r="CF72" s="119">
        <f t="shared" si="62"/>
        <v>20.6387048</v>
      </c>
      <c r="CG72" s="119">
        <f t="shared" si="62"/>
        <v>18.28205416</v>
      </c>
      <c r="CH72" s="119">
        <f t="shared" si="62"/>
        <v>15.33891252</v>
      </c>
      <c r="CI72" s="119">
        <f t="shared" si="62"/>
        <v>24.69586659</v>
      </c>
      <c r="CJ72" s="119">
        <f t="shared" si="62"/>
        <v>24.19042488</v>
      </c>
      <c r="CK72" s="119">
        <f t="shared" si="62"/>
        <v>24.08623935</v>
      </c>
      <c r="CL72" s="119">
        <f t="shared" si="62"/>
        <v>25.5276144</v>
      </c>
      <c r="CM72" s="119">
        <f t="shared" si="62"/>
        <v>22.62557989</v>
      </c>
      <c r="CN72" s="119">
        <f t="shared" si="62"/>
        <v>22.19258674</v>
      </c>
      <c r="CO72" s="119">
        <f t="shared" si="62"/>
        <v>22.65809773</v>
      </c>
      <c r="CP72" s="119">
        <f t="shared" si="62"/>
        <v>24.61205537</v>
      </c>
      <c r="CQ72" s="119">
        <f t="shared" si="62"/>
        <v>22.8435505</v>
      </c>
      <c r="CR72" s="119">
        <f t="shared" si="62"/>
        <v>26.24901008</v>
      </c>
      <c r="CS72" s="119">
        <f t="shared" si="62"/>
        <v>23.6085243</v>
      </c>
      <c r="CT72" s="119">
        <f t="shared" si="62"/>
        <v>20.01181654</v>
      </c>
      <c r="CU72" s="119">
        <f t="shared" si="62"/>
        <v>31.27132678</v>
      </c>
      <c r="CV72" s="119">
        <f t="shared" si="62"/>
        <v>31.462276</v>
      </c>
      <c r="CW72" s="119">
        <f t="shared" si="62"/>
        <v>31.01879625</v>
      </c>
      <c r="CX72" s="119">
        <f t="shared" si="62"/>
        <v>32.93155955</v>
      </c>
      <c r="CY72" s="119">
        <f t="shared" si="62"/>
        <v>28.64592568</v>
      </c>
      <c r="CZ72" s="119">
        <f t="shared" si="62"/>
        <v>28.33923984</v>
      </c>
      <c r="DA72" s="119">
        <f t="shared" si="62"/>
        <v>28.87339235</v>
      </c>
      <c r="DB72" s="119">
        <f t="shared" si="62"/>
        <v>31.18956128</v>
      </c>
      <c r="DC72" s="119">
        <f t="shared" si="62"/>
        <v>28.15744991</v>
      </c>
      <c r="DD72" s="119">
        <f t="shared" si="62"/>
        <v>32.36110752</v>
      </c>
      <c r="DE72" s="119">
        <f t="shared" si="62"/>
        <v>29.14128803</v>
      </c>
      <c r="DF72" s="119">
        <f t="shared" si="62"/>
        <v>24.44244653</v>
      </c>
      <c r="DG72" s="119">
        <f t="shared" si="62"/>
        <v>40.70101862</v>
      </c>
      <c r="DH72" s="119">
        <f t="shared" si="62"/>
        <v>40.81096517</v>
      </c>
      <c r="DI72" s="119">
        <f t="shared" si="62"/>
        <v>40.22565423</v>
      </c>
      <c r="DJ72" s="119">
        <f t="shared" si="62"/>
        <v>42.51751437</v>
      </c>
      <c r="DK72" s="119">
        <f t="shared" si="62"/>
        <v>36.84451188</v>
      </c>
      <c r="DL72" s="119">
        <f t="shared" si="62"/>
        <v>36.46148389</v>
      </c>
      <c r="DM72" s="119">
        <f t="shared" si="62"/>
        <v>37.19966195</v>
      </c>
      <c r="DN72" s="119">
        <f t="shared" si="62"/>
        <v>40.34542622</v>
      </c>
      <c r="DO72" s="119">
        <f t="shared" si="62"/>
        <v>36.76361975</v>
      </c>
      <c r="DP72" s="119">
        <f t="shared" si="62"/>
        <v>42.37451756</v>
      </c>
      <c r="DQ72" s="119">
        <f t="shared" si="62"/>
        <v>37.93629413</v>
      </c>
      <c r="DR72" s="119">
        <f t="shared" si="62"/>
        <v>31.93721226</v>
      </c>
    </row>
    <row r="73" ht="15.75" customHeight="1">
      <c r="B73" s="5" t="s">
        <v>70</v>
      </c>
      <c r="F73" s="50">
        <f t="shared" ref="F73:H73" si="63">+SUMIFS($AA73:$DR73,$AA$7:$DR$7,F$7)</f>
        <v>158.4862026</v>
      </c>
      <c r="G73" s="50">
        <f t="shared" si="63"/>
        <v>125.4401188</v>
      </c>
      <c r="H73" s="50">
        <f t="shared" si="63"/>
        <v>106.811885</v>
      </c>
      <c r="I73" s="52">
        <f>+I66*(1-COGS_Assumptions!I16)</f>
        <v>133.7226141</v>
      </c>
      <c r="J73" s="52">
        <f>+J66*(1-COGS_Assumptions!J16)</f>
        <v>167.8332978</v>
      </c>
      <c r="K73" s="52">
        <f>+K66*(1-COGS_Assumptions!K16)</f>
        <v>204.1720302</v>
      </c>
      <c r="L73" s="52">
        <f>+L66*(1-COGS_Assumptions!L16)</f>
        <v>253.5435648</v>
      </c>
      <c r="M73" s="52">
        <f>+M66*(1-COGS_Assumptions!M16)</f>
        <v>323.4303799</v>
      </c>
      <c r="AA73" s="50">
        <f t="shared" ref="AA73:BJ73" si="64">+SUMIFS(AA$13:AA$58,$C$13:$C$58,$B73)</f>
        <v>14.01390722</v>
      </c>
      <c r="AB73" s="50">
        <f t="shared" si="64"/>
        <v>15.52038941</v>
      </c>
      <c r="AC73" s="50">
        <f t="shared" si="64"/>
        <v>11.67612218</v>
      </c>
      <c r="AD73" s="50">
        <f t="shared" si="64"/>
        <v>14.98050916</v>
      </c>
      <c r="AE73" s="50">
        <f t="shared" si="64"/>
        <v>19.19788698</v>
      </c>
      <c r="AF73" s="50">
        <f t="shared" si="64"/>
        <v>12.38203833</v>
      </c>
      <c r="AG73" s="50">
        <f t="shared" si="64"/>
        <v>14.72951547</v>
      </c>
      <c r="AH73" s="50">
        <f t="shared" si="64"/>
        <v>16.63385923</v>
      </c>
      <c r="AI73" s="50">
        <f t="shared" si="64"/>
        <v>7.357931974</v>
      </c>
      <c r="AJ73" s="50">
        <f t="shared" si="64"/>
        <v>9.651475886</v>
      </c>
      <c r="AK73" s="50">
        <f t="shared" si="64"/>
        <v>9.871769033</v>
      </c>
      <c r="AL73" s="50">
        <f t="shared" si="64"/>
        <v>12.47079777</v>
      </c>
      <c r="AM73" s="50">
        <f t="shared" si="64"/>
        <v>16.12176406</v>
      </c>
      <c r="AN73" s="50">
        <f t="shared" si="64"/>
        <v>14.77984364</v>
      </c>
      <c r="AO73" s="50">
        <f t="shared" si="64"/>
        <v>12.2128176</v>
      </c>
      <c r="AP73" s="50">
        <f t="shared" si="64"/>
        <v>16.8310351</v>
      </c>
      <c r="AQ73" s="50">
        <f t="shared" si="64"/>
        <v>9.695397372</v>
      </c>
      <c r="AR73" s="50">
        <f t="shared" si="64"/>
        <v>5.853888818</v>
      </c>
      <c r="AS73" s="50">
        <f t="shared" si="64"/>
        <v>8.327827162</v>
      </c>
      <c r="AT73" s="50">
        <f t="shared" si="64"/>
        <v>11.10627685</v>
      </c>
      <c r="AU73" s="50">
        <f t="shared" si="64"/>
        <v>8.41018964</v>
      </c>
      <c r="AV73" s="50">
        <f t="shared" si="64"/>
        <v>8.662192111</v>
      </c>
      <c r="AW73" s="50">
        <f t="shared" si="64"/>
        <v>7.384628816</v>
      </c>
      <c r="AX73" s="50">
        <f t="shared" si="64"/>
        <v>6.054257592</v>
      </c>
      <c r="AY73" s="50">
        <f t="shared" si="64"/>
        <v>12.76361545</v>
      </c>
      <c r="AZ73" s="50">
        <f t="shared" si="64"/>
        <v>10.67920154</v>
      </c>
      <c r="BA73" s="50">
        <f t="shared" si="64"/>
        <v>10.3373647</v>
      </c>
      <c r="BB73" s="50">
        <f t="shared" si="64"/>
        <v>8.117313935</v>
      </c>
      <c r="BC73" s="50">
        <f t="shared" si="64"/>
        <v>7.037279567</v>
      </c>
      <c r="BD73" s="50">
        <f t="shared" si="64"/>
        <v>9.53666271</v>
      </c>
      <c r="BE73" s="50">
        <f t="shared" si="64"/>
        <v>9.530530687</v>
      </c>
      <c r="BF73" s="50">
        <f t="shared" si="64"/>
        <v>9.725251199</v>
      </c>
      <c r="BG73" s="50">
        <f t="shared" si="64"/>
        <v>7.746259051</v>
      </c>
      <c r="BH73" s="50">
        <f t="shared" si="64"/>
        <v>8.406346443</v>
      </c>
      <c r="BI73" s="50">
        <f t="shared" si="64"/>
        <v>6.377838926</v>
      </c>
      <c r="BJ73" s="50">
        <f t="shared" si="64"/>
        <v>6.554220819</v>
      </c>
      <c r="BK73" s="119">
        <f t="shared" ref="BK73:DR73" si="65">+SUMIFS($F73:$M73,$F$7:$M$7,BK$7)*BK$75</f>
        <v>11.56376007</v>
      </c>
      <c r="BL73" s="119">
        <f t="shared" si="65"/>
        <v>11.75415669</v>
      </c>
      <c r="BM73" s="119">
        <f t="shared" si="65"/>
        <v>11.59716664</v>
      </c>
      <c r="BN73" s="119">
        <f t="shared" si="65"/>
        <v>12.47535669</v>
      </c>
      <c r="BO73" s="119">
        <f t="shared" si="65"/>
        <v>10.97274751</v>
      </c>
      <c r="BP73" s="119">
        <f t="shared" si="65"/>
        <v>10.8453903</v>
      </c>
      <c r="BQ73" s="119">
        <f t="shared" si="65"/>
        <v>11.00578471</v>
      </c>
      <c r="BR73" s="119">
        <f t="shared" si="65"/>
        <v>11.74889916</v>
      </c>
      <c r="BS73" s="119">
        <f t="shared" si="65"/>
        <v>10.31249484</v>
      </c>
      <c r="BT73" s="119">
        <f t="shared" si="65"/>
        <v>11.74624718</v>
      </c>
      <c r="BU73" s="119">
        <f t="shared" si="65"/>
        <v>10.7695149</v>
      </c>
      <c r="BV73" s="119">
        <f t="shared" si="65"/>
        <v>8.931095383</v>
      </c>
      <c r="BW73" s="119">
        <f t="shared" si="65"/>
        <v>14.85728769</v>
      </c>
      <c r="BX73" s="119">
        <f t="shared" si="65"/>
        <v>15.18643722</v>
      </c>
      <c r="BY73" s="119">
        <f t="shared" si="65"/>
        <v>14.82118529</v>
      </c>
      <c r="BZ73" s="119">
        <f t="shared" si="65"/>
        <v>15.55648483</v>
      </c>
      <c r="CA73" s="119">
        <f t="shared" si="65"/>
        <v>13.13140048</v>
      </c>
      <c r="CB73" s="119">
        <f t="shared" si="65"/>
        <v>13.11622825</v>
      </c>
      <c r="CC73" s="119">
        <f t="shared" si="65"/>
        <v>13.3907345</v>
      </c>
      <c r="CD73" s="119">
        <f t="shared" si="65"/>
        <v>14.55952353</v>
      </c>
      <c r="CE73" s="119">
        <f t="shared" si="65"/>
        <v>13.1436217</v>
      </c>
      <c r="CF73" s="119">
        <f t="shared" si="65"/>
        <v>15.24154159</v>
      </c>
      <c r="CG73" s="119">
        <f t="shared" si="65"/>
        <v>13.50117129</v>
      </c>
      <c r="CH73" s="119">
        <f t="shared" si="65"/>
        <v>11.32768143</v>
      </c>
      <c r="CI73" s="119">
        <f t="shared" si="65"/>
        <v>17.79802648</v>
      </c>
      <c r="CJ73" s="119">
        <f t="shared" si="65"/>
        <v>17.43376046</v>
      </c>
      <c r="CK73" s="119">
        <f t="shared" si="65"/>
        <v>17.35867515</v>
      </c>
      <c r="CL73" s="119">
        <f t="shared" si="65"/>
        <v>18.39745754</v>
      </c>
      <c r="CM73" s="119">
        <f t="shared" si="65"/>
        <v>16.30599471</v>
      </c>
      <c r="CN73" s="119">
        <f t="shared" si="65"/>
        <v>15.99394153</v>
      </c>
      <c r="CO73" s="119">
        <f t="shared" si="65"/>
        <v>16.32942994</v>
      </c>
      <c r="CP73" s="119">
        <f t="shared" si="65"/>
        <v>17.73762469</v>
      </c>
      <c r="CQ73" s="119">
        <f t="shared" si="65"/>
        <v>16.46308361</v>
      </c>
      <c r="CR73" s="119">
        <f t="shared" si="65"/>
        <v>18.91735909</v>
      </c>
      <c r="CS73" s="119">
        <f t="shared" si="65"/>
        <v>17.01439142</v>
      </c>
      <c r="CT73" s="119">
        <f t="shared" si="65"/>
        <v>14.42228558</v>
      </c>
      <c r="CU73" s="119">
        <f t="shared" si="65"/>
        <v>22.15730053</v>
      </c>
      <c r="CV73" s="119">
        <f t="shared" si="65"/>
        <v>22.29259761</v>
      </c>
      <c r="CW73" s="119">
        <f t="shared" si="65"/>
        <v>21.97837</v>
      </c>
      <c r="CX73" s="119">
        <f t="shared" si="65"/>
        <v>23.33365856</v>
      </c>
      <c r="CY73" s="119">
        <f t="shared" si="65"/>
        <v>20.29707242</v>
      </c>
      <c r="CZ73" s="119">
        <f t="shared" si="65"/>
        <v>20.07977015</v>
      </c>
      <c r="DA73" s="119">
        <f t="shared" si="65"/>
        <v>20.45824394</v>
      </c>
      <c r="DB73" s="119">
        <f t="shared" si="65"/>
        <v>22.09936558</v>
      </c>
      <c r="DC73" s="119">
        <f t="shared" si="65"/>
        <v>19.95096288</v>
      </c>
      <c r="DD73" s="119">
        <f t="shared" si="65"/>
        <v>22.92946473</v>
      </c>
      <c r="DE73" s="119">
        <f t="shared" si="65"/>
        <v>20.64806144</v>
      </c>
      <c r="DF73" s="119">
        <f t="shared" si="65"/>
        <v>17.318697</v>
      </c>
      <c r="DG73" s="119">
        <f t="shared" si="65"/>
        <v>28.36336733</v>
      </c>
      <c r="DH73" s="119">
        <f t="shared" si="65"/>
        <v>28.43998591</v>
      </c>
      <c r="DI73" s="119">
        <f t="shared" si="65"/>
        <v>28.03209958</v>
      </c>
      <c r="DJ73" s="119">
        <f t="shared" si="65"/>
        <v>29.62923089</v>
      </c>
      <c r="DK73" s="119">
        <f t="shared" si="65"/>
        <v>25.67587888</v>
      </c>
      <c r="DL73" s="119">
        <f t="shared" si="65"/>
        <v>25.40895771</v>
      </c>
      <c r="DM73" s="119">
        <f t="shared" si="65"/>
        <v>25.92337274</v>
      </c>
      <c r="DN73" s="119">
        <f t="shared" si="65"/>
        <v>28.11556523</v>
      </c>
      <c r="DO73" s="119">
        <f t="shared" si="65"/>
        <v>25.61950749</v>
      </c>
      <c r="DP73" s="119">
        <f t="shared" si="65"/>
        <v>29.52958053</v>
      </c>
      <c r="DQ73" s="119">
        <f t="shared" si="65"/>
        <v>26.43671048</v>
      </c>
      <c r="DR73" s="119">
        <f t="shared" si="65"/>
        <v>22.25612315</v>
      </c>
    </row>
    <row r="74" ht="15.75" customHeight="1">
      <c r="B74" s="54" t="s">
        <v>145</v>
      </c>
      <c r="C74" s="54"/>
      <c r="D74" s="54"/>
      <c r="F74" s="55">
        <f t="shared" ref="F74:M74" si="66">+SUMIFS($AA74:$DR74,$AA$7:$DR$7,F$7)</f>
        <v>1503.946058</v>
      </c>
      <c r="G74" s="55">
        <f t="shared" si="66"/>
        <v>1196.880152</v>
      </c>
      <c r="H74" s="55">
        <f t="shared" si="66"/>
        <v>1032.603898</v>
      </c>
      <c r="I74" s="55">
        <f t="shared" si="66"/>
        <v>1250.667583</v>
      </c>
      <c r="J74" s="55">
        <f t="shared" si="66"/>
        <v>1416.136089</v>
      </c>
      <c r="K74" s="55">
        <f t="shared" si="66"/>
        <v>1646.845926</v>
      </c>
      <c r="L74" s="55">
        <f t="shared" si="66"/>
        <v>1915.534944</v>
      </c>
      <c r="M74" s="55">
        <f t="shared" si="66"/>
        <v>2242.949259</v>
      </c>
      <c r="AA74" s="55">
        <f t="shared" ref="AA74:DR74" si="67">SUM(AA70:AA73)</f>
        <v>120.8129985</v>
      </c>
      <c r="AB74" s="55">
        <f t="shared" si="67"/>
        <v>120.5298993</v>
      </c>
      <c r="AC74" s="55">
        <f t="shared" si="67"/>
        <v>123.2863966</v>
      </c>
      <c r="AD74" s="55">
        <f t="shared" si="67"/>
        <v>143.0266142</v>
      </c>
      <c r="AE74" s="55">
        <f t="shared" si="67"/>
        <v>140.6218694</v>
      </c>
      <c r="AF74" s="55">
        <f t="shared" si="67"/>
        <v>135.3003189</v>
      </c>
      <c r="AG74" s="55">
        <f t="shared" si="67"/>
        <v>135.1364765</v>
      </c>
      <c r="AH74" s="55">
        <f t="shared" si="67"/>
        <v>137.1466083</v>
      </c>
      <c r="AI74" s="55">
        <f t="shared" si="67"/>
        <v>110.5905169</v>
      </c>
      <c r="AJ74" s="55">
        <f t="shared" si="67"/>
        <v>118.6927113</v>
      </c>
      <c r="AK74" s="55">
        <f t="shared" si="67"/>
        <v>121.5385415</v>
      </c>
      <c r="AL74" s="55">
        <f t="shared" si="67"/>
        <v>97.26310645</v>
      </c>
      <c r="AM74" s="55">
        <f t="shared" si="67"/>
        <v>110.8085461</v>
      </c>
      <c r="AN74" s="55">
        <f t="shared" si="67"/>
        <v>126.6037941</v>
      </c>
      <c r="AO74" s="55">
        <f t="shared" si="67"/>
        <v>117.5052943</v>
      </c>
      <c r="AP74" s="55">
        <f t="shared" si="67"/>
        <v>120.2116569</v>
      </c>
      <c r="AQ74" s="55">
        <f t="shared" si="67"/>
        <v>87.81622466</v>
      </c>
      <c r="AR74" s="55">
        <f t="shared" si="67"/>
        <v>92.87130561</v>
      </c>
      <c r="AS74" s="55">
        <f t="shared" si="67"/>
        <v>94.80170438</v>
      </c>
      <c r="AT74" s="55">
        <f t="shared" si="67"/>
        <v>103.3769358</v>
      </c>
      <c r="AU74" s="55">
        <f t="shared" si="67"/>
        <v>85.40222008</v>
      </c>
      <c r="AV74" s="55">
        <f t="shared" si="67"/>
        <v>102.0845887</v>
      </c>
      <c r="AW74" s="55">
        <f t="shared" si="67"/>
        <v>85.90599253</v>
      </c>
      <c r="AX74" s="55">
        <f t="shared" si="67"/>
        <v>69.49188908</v>
      </c>
      <c r="AY74" s="55">
        <f t="shared" si="67"/>
        <v>89.3360872</v>
      </c>
      <c r="AZ74" s="55">
        <f t="shared" si="67"/>
        <v>80.31388959</v>
      </c>
      <c r="BA74" s="55">
        <f t="shared" si="67"/>
        <v>82.6341614</v>
      </c>
      <c r="BB74" s="55">
        <f t="shared" si="67"/>
        <v>87.08980422</v>
      </c>
      <c r="BC74" s="55">
        <f t="shared" si="67"/>
        <v>81.88055937</v>
      </c>
      <c r="BD74" s="55">
        <f t="shared" si="67"/>
        <v>78.2227133</v>
      </c>
      <c r="BE74" s="55">
        <f t="shared" si="67"/>
        <v>80.38545173</v>
      </c>
      <c r="BF74" s="55">
        <f t="shared" si="67"/>
        <v>88.82200751</v>
      </c>
      <c r="BG74" s="55">
        <f t="shared" si="67"/>
        <v>89.28726857</v>
      </c>
      <c r="BH74" s="55">
        <f t="shared" si="67"/>
        <v>102.5459181</v>
      </c>
      <c r="BI74" s="55">
        <f t="shared" si="67"/>
        <v>91.92307166</v>
      </c>
      <c r="BJ74" s="55">
        <f t="shared" si="67"/>
        <v>80.16296511</v>
      </c>
      <c r="BK74" s="55">
        <f t="shared" si="67"/>
        <v>108.1523866</v>
      </c>
      <c r="BL74" s="55">
        <f t="shared" si="67"/>
        <v>109.9331092</v>
      </c>
      <c r="BM74" s="55">
        <f t="shared" si="67"/>
        <v>108.4648283</v>
      </c>
      <c r="BN74" s="55">
        <f t="shared" si="67"/>
        <v>116.6782769</v>
      </c>
      <c r="BO74" s="55">
        <f t="shared" si="67"/>
        <v>102.624823</v>
      </c>
      <c r="BP74" s="55">
        <f t="shared" si="67"/>
        <v>101.4336892</v>
      </c>
      <c r="BQ74" s="55">
        <f t="shared" si="67"/>
        <v>102.9338101</v>
      </c>
      <c r="BR74" s="55">
        <f t="shared" si="67"/>
        <v>109.8839371</v>
      </c>
      <c r="BS74" s="55">
        <f t="shared" si="67"/>
        <v>96.44967747</v>
      </c>
      <c r="BT74" s="55">
        <f t="shared" si="67"/>
        <v>109.859134</v>
      </c>
      <c r="BU74" s="55">
        <f t="shared" si="67"/>
        <v>100.7240493</v>
      </c>
      <c r="BV74" s="55">
        <f t="shared" si="67"/>
        <v>83.52986182</v>
      </c>
      <c r="BW74" s="55">
        <f t="shared" si="67"/>
        <v>125.3621395</v>
      </c>
      <c r="BX74" s="55">
        <f t="shared" si="67"/>
        <v>128.1394222</v>
      </c>
      <c r="BY74" s="55">
        <f t="shared" si="67"/>
        <v>125.0575163</v>
      </c>
      <c r="BZ74" s="55">
        <f t="shared" si="67"/>
        <v>131.261793</v>
      </c>
      <c r="CA74" s="55">
        <f t="shared" si="67"/>
        <v>110.7995277</v>
      </c>
      <c r="CB74" s="55">
        <f t="shared" si="67"/>
        <v>110.6715081</v>
      </c>
      <c r="CC74" s="55">
        <f t="shared" si="67"/>
        <v>112.9877243</v>
      </c>
      <c r="CD74" s="55">
        <f t="shared" si="67"/>
        <v>122.8496787</v>
      </c>
      <c r="CE74" s="55">
        <f t="shared" si="67"/>
        <v>110.9026473</v>
      </c>
      <c r="CF74" s="55">
        <f t="shared" si="67"/>
        <v>128.6043794</v>
      </c>
      <c r="CG74" s="55">
        <f t="shared" si="67"/>
        <v>113.9195628</v>
      </c>
      <c r="CH74" s="55">
        <f t="shared" si="67"/>
        <v>95.58018993</v>
      </c>
      <c r="CI74" s="55">
        <f t="shared" si="67"/>
        <v>143.5583874</v>
      </c>
      <c r="CJ74" s="55">
        <f t="shared" si="67"/>
        <v>140.6202278</v>
      </c>
      <c r="CK74" s="55">
        <f t="shared" si="67"/>
        <v>140.0145918</v>
      </c>
      <c r="CL74" s="55">
        <f t="shared" si="67"/>
        <v>148.3933817</v>
      </c>
      <c r="CM74" s="55">
        <f t="shared" si="67"/>
        <v>131.5237006</v>
      </c>
      <c r="CN74" s="55">
        <f t="shared" si="67"/>
        <v>129.0066883</v>
      </c>
      <c r="CO74" s="55">
        <f t="shared" si="67"/>
        <v>131.7127285</v>
      </c>
      <c r="CP74" s="55">
        <f t="shared" si="67"/>
        <v>143.0711883</v>
      </c>
      <c r="CQ74" s="55">
        <f t="shared" si="67"/>
        <v>132.7907753</v>
      </c>
      <c r="CR74" s="55">
        <f t="shared" si="67"/>
        <v>152.5868931</v>
      </c>
      <c r="CS74" s="55">
        <f t="shared" si="67"/>
        <v>137.2376087</v>
      </c>
      <c r="CT74" s="55">
        <f t="shared" si="67"/>
        <v>116.3297551</v>
      </c>
      <c r="CU74" s="55">
        <f t="shared" si="67"/>
        <v>167.3995688</v>
      </c>
      <c r="CV74" s="55">
        <f t="shared" si="67"/>
        <v>168.4217454</v>
      </c>
      <c r="CW74" s="55">
        <f t="shared" si="67"/>
        <v>166.0477393</v>
      </c>
      <c r="CX74" s="55">
        <f t="shared" si="67"/>
        <v>176.2870155</v>
      </c>
      <c r="CY74" s="55">
        <f t="shared" si="67"/>
        <v>153.3454478</v>
      </c>
      <c r="CZ74" s="55">
        <f t="shared" si="67"/>
        <v>151.7037177</v>
      </c>
      <c r="DA74" s="55">
        <f t="shared" si="67"/>
        <v>154.5631071</v>
      </c>
      <c r="DB74" s="55">
        <f t="shared" si="67"/>
        <v>166.9618672</v>
      </c>
      <c r="DC74" s="55">
        <f t="shared" si="67"/>
        <v>150.730572</v>
      </c>
      <c r="DD74" s="55">
        <f t="shared" si="67"/>
        <v>173.23331</v>
      </c>
      <c r="DE74" s="55">
        <f t="shared" si="67"/>
        <v>155.9971883</v>
      </c>
      <c r="DF74" s="55">
        <f t="shared" si="67"/>
        <v>130.8436652</v>
      </c>
      <c r="DG74" s="55">
        <f t="shared" si="67"/>
        <v>196.6964073</v>
      </c>
      <c r="DH74" s="55">
        <f t="shared" si="67"/>
        <v>197.2277476</v>
      </c>
      <c r="DI74" s="55">
        <f t="shared" si="67"/>
        <v>194.3991068</v>
      </c>
      <c r="DJ74" s="55">
        <f t="shared" si="67"/>
        <v>205.4750128</v>
      </c>
      <c r="DK74" s="55">
        <f t="shared" si="67"/>
        <v>178.0590108</v>
      </c>
      <c r="DL74" s="55">
        <f t="shared" si="67"/>
        <v>176.2079458</v>
      </c>
      <c r="DM74" s="55">
        <f t="shared" si="67"/>
        <v>179.7753498</v>
      </c>
      <c r="DN74" s="55">
        <f t="shared" si="67"/>
        <v>194.9779307</v>
      </c>
      <c r="DO74" s="55">
        <f t="shared" si="67"/>
        <v>177.6680822</v>
      </c>
      <c r="DP74" s="55">
        <f t="shared" si="67"/>
        <v>204.78395</v>
      </c>
      <c r="DQ74" s="55">
        <f t="shared" si="67"/>
        <v>183.3352828</v>
      </c>
      <c r="DR74" s="55">
        <f t="shared" si="67"/>
        <v>154.3434322</v>
      </c>
    </row>
    <row r="75" ht="15.75" customHeight="1">
      <c r="A75" s="70"/>
      <c r="B75" s="70" t="s">
        <v>132</v>
      </c>
      <c r="C75" s="70"/>
      <c r="D75" s="70"/>
      <c r="E75" s="70"/>
      <c r="F75" s="104">
        <f t="shared" ref="F75:M75" si="68">+F74/SUMIFS($AA74:$DR74,$AA$7:$DR$7,F$7)</f>
        <v>1</v>
      </c>
      <c r="G75" s="104">
        <f t="shared" si="68"/>
        <v>1</v>
      </c>
      <c r="H75" s="104">
        <f t="shared" si="68"/>
        <v>1</v>
      </c>
      <c r="I75" s="104">
        <f t="shared" si="68"/>
        <v>1</v>
      </c>
      <c r="J75" s="104">
        <f t="shared" si="68"/>
        <v>1</v>
      </c>
      <c r="K75" s="104">
        <f t="shared" si="68"/>
        <v>1</v>
      </c>
      <c r="L75" s="104">
        <f t="shared" si="68"/>
        <v>1</v>
      </c>
      <c r="M75" s="104">
        <f t="shared" si="68"/>
        <v>1</v>
      </c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104">
        <f t="shared" ref="AA75:BJ75" si="69">+AA74/SUMIFS($AA74:$DR74,$AA$7:$DR$7,AA$7)</f>
        <v>0.08033067267</v>
      </c>
      <c r="AB75" s="104">
        <f t="shared" si="69"/>
        <v>0.08014243506</v>
      </c>
      <c r="AC75" s="104">
        <f t="shared" si="69"/>
        <v>0.08197527825</v>
      </c>
      <c r="AD75" s="104">
        <f t="shared" si="69"/>
        <v>0.09510089374</v>
      </c>
      <c r="AE75" s="104">
        <f t="shared" si="69"/>
        <v>0.09350193689</v>
      </c>
      <c r="AF75" s="104">
        <f t="shared" si="69"/>
        <v>0.08996354503</v>
      </c>
      <c r="AG75" s="104">
        <f t="shared" si="69"/>
        <v>0.08985460338</v>
      </c>
      <c r="AH75" s="104">
        <f t="shared" si="69"/>
        <v>0.09119117512</v>
      </c>
      <c r="AI75" s="104">
        <f t="shared" si="69"/>
        <v>0.07353356612</v>
      </c>
      <c r="AJ75" s="104">
        <f t="shared" si="69"/>
        <v>0.07892085668</v>
      </c>
      <c r="AK75" s="104">
        <f t="shared" si="69"/>
        <v>0.08081309888</v>
      </c>
      <c r="AL75" s="104">
        <f t="shared" si="69"/>
        <v>0.06467193816</v>
      </c>
      <c r="AM75" s="104">
        <f t="shared" si="69"/>
        <v>0.09258115434</v>
      </c>
      <c r="AN75" s="104">
        <f t="shared" si="69"/>
        <v>0.1057781716</v>
      </c>
      <c r="AO75" s="104">
        <f t="shared" si="69"/>
        <v>0.0981763246</v>
      </c>
      <c r="AP75" s="104">
        <f t="shared" si="69"/>
        <v>0.1004375055</v>
      </c>
      <c r="AQ75" s="104">
        <f t="shared" si="69"/>
        <v>0.07337094236</v>
      </c>
      <c r="AR75" s="104">
        <f t="shared" si="69"/>
        <v>0.0775944905</v>
      </c>
      <c r="AS75" s="104">
        <f t="shared" si="69"/>
        <v>0.07920734937</v>
      </c>
      <c r="AT75" s="104">
        <f t="shared" si="69"/>
        <v>0.08637200273</v>
      </c>
      <c r="AU75" s="104">
        <f t="shared" si="69"/>
        <v>0.07135402815</v>
      </c>
      <c r="AV75" s="104">
        <f t="shared" si="69"/>
        <v>0.08529223962</v>
      </c>
      <c r="AW75" s="104">
        <f t="shared" si="69"/>
        <v>0.07177493282</v>
      </c>
      <c r="AX75" s="104">
        <f t="shared" si="69"/>
        <v>0.05806085843</v>
      </c>
      <c r="AY75" s="104">
        <f t="shared" si="69"/>
        <v>0.08651534959</v>
      </c>
      <c r="AZ75" s="104">
        <f t="shared" si="69"/>
        <v>0.07777802288</v>
      </c>
      <c r="BA75" s="104">
        <f t="shared" si="69"/>
        <v>0.08002503338</v>
      </c>
      <c r="BB75" s="104">
        <f t="shared" si="69"/>
        <v>0.08433999175</v>
      </c>
      <c r="BC75" s="104">
        <f t="shared" si="69"/>
        <v>0.07929522593</v>
      </c>
      <c r="BD75" s="104">
        <f t="shared" si="69"/>
        <v>0.07575287432</v>
      </c>
      <c r="BE75" s="104">
        <f t="shared" si="69"/>
        <v>0.07784732549</v>
      </c>
      <c r="BF75" s="104">
        <f t="shared" si="69"/>
        <v>0.08601750168</v>
      </c>
      <c r="BG75" s="104">
        <f t="shared" si="69"/>
        <v>0.08646807237</v>
      </c>
      <c r="BH75" s="104">
        <f t="shared" si="69"/>
        <v>0.09930808741</v>
      </c>
      <c r="BI75" s="104">
        <f t="shared" si="69"/>
        <v>0.08902065144</v>
      </c>
      <c r="BJ75" s="104">
        <f t="shared" si="69"/>
        <v>0.07763186376</v>
      </c>
      <c r="BK75" s="105">
        <f t="shared" ref="BK75:DR75" si="70">+AVERAGE(AA75,AM75,AY75)</f>
        <v>0.08647572553</v>
      </c>
      <c r="BL75" s="105">
        <f t="shared" si="70"/>
        <v>0.08789954317</v>
      </c>
      <c r="BM75" s="105">
        <f t="shared" si="70"/>
        <v>0.08672554541</v>
      </c>
      <c r="BN75" s="105">
        <f t="shared" si="70"/>
        <v>0.093292797</v>
      </c>
      <c r="BO75" s="105">
        <f t="shared" si="70"/>
        <v>0.08205603506</v>
      </c>
      <c r="BP75" s="105">
        <f t="shared" si="70"/>
        <v>0.08110363662</v>
      </c>
      <c r="BQ75" s="105">
        <f t="shared" si="70"/>
        <v>0.08230309275</v>
      </c>
      <c r="BR75" s="105">
        <f t="shared" si="70"/>
        <v>0.08786022651</v>
      </c>
      <c r="BS75" s="105">
        <f t="shared" si="70"/>
        <v>0.07711855555</v>
      </c>
      <c r="BT75" s="105">
        <f t="shared" si="70"/>
        <v>0.08784039457</v>
      </c>
      <c r="BU75" s="105">
        <f t="shared" si="70"/>
        <v>0.08053622772</v>
      </c>
      <c r="BV75" s="105">
        <f t="shared" si="70"/>
        <v>0.06678822011</v>
      </c>
      <c r="BW75" s="105">
        <f t="shared" si="70"/>
        <v>0.08852407649</v>
      </c>
      <c r="BX75" s="105">
        <f t="shared" si="70"/>
        <v>0.09048524587</v>
      </c>
      <c r="BY75" s="105">
        <f t="shared" si="70"/>
        <v>0.0883089678</v>
      </c>
      <c r="BZ75" s="105">
        <f t="shared" si="70"/>
        <v>0.09269009809</v>
      </c>
      <c r="CA75" s="105">
        <f t="shared" si="70"/>
        <v>0.07824073445</v>
      </c>
      <c r="CB75" s="105">
        <f t="shared" si="70"/>
        <v>0.07815033381</v>
      </c>
      <c r="CC75" s="105">
        <f t="shared" si="70"/>
        <v>0.07978592254</v>
      </c>
      <c r="CD75" s="105">
        <f t="shared" si="70"/>
        <v>0.08674991031</v>
      </c>
      <c r="CE75" s="105">
        <f t="shared" si="70"/>
        <v>0.07831355202</v>
      </c>
      <c r="CF75" s="105">
        <f t="shared" si="70"/>
        <v>0.09081357387</v>
      </c>
      <c r="CG75" s="105">
        <f t="shared" si="70"/>
        <v>0.08044393733</v>
      </c>
      <c r="CH75" s="105">
        <f t="shared" si="70"/>
        <v>0.06749364743</v>
      </c>
      <c r="CI75" s="105">
        <f t="shared" si="70"/>
        <v>0.0871717172</v>
      </c>
      <c r="CJ75" s="105">
        <f t="shared" si="70"/>
        <v>0.08538760397</v>
      </c>
      <c r="CK75" s="105">
        <f t="shared" si="70"/>
        <v>0.08501984887</v>
      </c>
      <c r="CL75" s="105">
        <f t="shared" si="70"/>
        <v>0.09010762895</v>
      </c>
      <c r="CM75" s="105">
        <f t="shared" si="70"/>
        <v>0.07986399848</v>
      </c>
      <c r="CN75" s="105">
        <f t="shared" si="70"/>
        <v>0.07833561492</v>
      </c>
      <c r="CO75" s="105">
        <f t="shared" si="70"/>
        <v>0.07997878026</v>
      </c>
      <c r="CP75" s="105">
        <f t="shared" si="70"/>
        <v>0.0868758795</v>
      </c>
      <c r="CQ75" s="105">
        <f t="shared" si="70"/>
        <v>0.08063339332</v>
      </c>
      <c r="CR75" s="105">
        <f t="shared" si="70"/>
        <v>0.09265401862</v>
      </c>
      <c r="CS75" s="105">
        <f t="shared" si="70"/>
        <v>0.08333360549</v>
      </c>
      <c r="CT75" s="105">
        <f t="shared" si="70"/>
        <v>0.07063791043</v>
      </c>
      <c r="CU75" s="105">
        <f t="shared" si="70"/>
        <v>0.08739050641</v>
      </c>
      <c r="CV75" s="105">
        <f t="shared" si="70"/>
        <v>0.08792413101</v>
      </c>
      <c r="CW75" s="105">
        <f t="shared" si="70"/>
        <v>0.08668478736</v>
      </c>
      <c r="CX75" s="105">
        <f t="shared" si="70"/>
        <v>0.09203017468</v>
      </c>
      <c r="CY75" s="105">
        <f t="shared" si="70"/>
        <v>0.08005358933</v>
      </c>
      <c r="CZ75" s="105">
        <f t="shared" si="70"/>
        <v>0.07919652845</v>
      </c>
      <c r="DA75" s="105">
        <f t="shared" si="70"/>
        <v>0.08068926518</v>
      </c>
      <c r="DB75" s="105">
        <f t="shared" si="70"/>
        <v>0.08716200544</v>
      </c>
      <c r="DC75" s="105">
        <f t="shared" si="70"/>
        <v>0.0786885003</v>
      </c>
      <c r="DD75" s="105">
        <f t="shared" si="70"/>
        <v>0.09043599569</v>
      </c>
      <c r="DE75" s="105">
        <f t="shared" si="70"/>
        <v>0.08143792351</v>
      </c>
      <c r="DF75" s="105">
        <f t="shared" si="70"/>
        <v>0.06830659266</v>
      </c>
      <c r="DG75" s="105">
        <f t="shared" si="70"/>
        <v>0.08769543337</v>
      </c>
      <c r="DH75" s="105">
        <f t="shared" si="70"/>
        <v>0.08793232695</v>
      </c>
      <c r="DI75" s="105">
        <f t="shared" si="70"/>
        <v>0.08667120134</v>
      </c>
      <c r="DJ75" s="105">
        <f t="shared" si="70"/>
        <v>0.09160930057</v>
      </c>
      <c r="DK75" s="105">
        <f t="shared" si="70"/>
        <v>0.07938610742</v>
      </c>
      <c r="DL75" s="105">
        <f t="shared" si="70"/>
        <v>0.07856082573</v>
      </c>
      <c r="DM75" s="105">
        <f t="shared" si="70"/>
        <v>0.08015132266</v>
      </c>
      <c r="DN75" s="105">
        <f t="shared" si="70"/>
        <v>0.08692926508</v>
      </c>
      <c r="DO75" s="105">
        <f t="shared" si="70"/>
        <v>0.07921181521</v>
      </c>
      <c r="DP75" s="105">
        <f t="shared" si="70"/>
        <v>0.09130119606</v>
      </c>
      <c r="DQ75" s="105">
        <f t="shared" si="70"/>
        <v>0.08173848878</v>
      </c>
      <c r="DR75" s="105">
        <f t="shared" si="70"/>
        <v>0.06881271684</v>
      </c>
      <c r="DS75" s="70"/>
    </row>
    <row r="76" ht="4.5" customHeight="1"/>
    <row r="77" ht="15.75" customHeight="1">
      <c r="B77" s="47" t="s">
        <v>20</v>
      </c>
      <c r="AA77" s="50"/>
    </row>
    <row r="78" ht="15.75" customHeight="1">
      <c r="B78" s="5" t="s">
        <v>82</v>
      </c>
      <c r="F78" s="50">
        <f t="shared" ref="F78:M78" si="71">+F63-F70</f>
        <v>7013.927434</v>
      </c>
      <c r="G78" s="50">
        <f t="shared" si="71"/>
        <v>7532.092091</v>
      </c>
      <c r="H78" s="50">
        <f t="shared" si="71"/>
        <v>8238.698553</v>
      </c>
      <c r="I78" s="50">
        <f t="shared" si="71"/>
        <v>8349.481407</v>
      </c>
      <c r="J78" s="50">
        <f t="shared" si="71"/>
        <v>8838.890384</v>
      </c>
      <c r="K78" s="50">
        <f t="shared" si="71"/>
        <v>10171.21147</v>
      </c>
      <c r="L78" s="50">
        <f t="shared" si="71"/>
        <v>11622.99192</v>
      </c>
      <c r="M78" s="50">
        <f t="shared" si="71"/>
        <v>13203.31467</v>
      </c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100"/>
      <c r="AP78" s="100"/>
      <c r="AQ78" s="100"/>
      <c r="AR78" s="100"/>
      <c r="AS78" s="100"/>
      <c r="AT78" s="100"/>
      <c r="AU78" s="100"/>
      <c r="AV78" s="100"/>
      <c r="AW78" s="100"/>
      <c r="AX78" s="100"/>
      <c r="AY78" s="100"/>
      <c r="AZ78" s="100"/>
      <c r="BA78" s="100"/>
      <c r="BB78" s="100"/>
      <c r="BC78" s="100"/>
      <c r="BD78" s="100"/>
      <c r="BE78" s="100"/>
      <c r="BF78" s="100"/>
      <c r="BG78" s="100"/>
      <c r="BH78" s="100"/>
      <c r="BI78" s="100"/>
      <c r="BJ78" s="100"/>
      <c r="BK78" s="100"/>
      <c r="BL78" s="100"/>
      <c r="BM78" s="100"/>
      <c r="BN78" s="100"/>
      <c r="BO78" s="100"/>
      <c r="BP78" s="100"/>
      <c r="BQ78" s="100"/>
      <c r="BR78" s="100"/>
      <c r="BS78" s="100"/>
      <c r="BT78" s="100"/>
      <c r="BU78" s="100"/>
      <c r="BV78" s="100"/>
      <c r="BW78" s="100"/>
      <c r="BX78" s="100"/>
      <c r="BY78" s="100"/>
      <c r="BZ78" s="100"/>
      <c r="CA78" s="100"/>
      <c r="CB78" s="100"/>
      <c r="CC78" s="100"/>
      <c r="CD78" s="100"/>
      <c r="CE78" s="100"/>
      <c r="CF78" s="100"/>
      <c r="CG78" s="100"/>
      <c r="CH78" s="100"/>
      <c r="CI78" s="100"/>
      <c r="CJ78" s="100"/>
      <c r="CK78" s="100"/>
      <c r="CL78" s="100"/>
      <c r="CM78" s="100"/>
      <c r="CN78" s="100"/>
      <c r="CO78" s="100"/>
      <c r="CP78" s="100"/>
      <c r="CQ78" s="100"/>
      <c r="CR78" s="100"/>
      <c r="CS78" s="100"/>
      <c r="CT78" s="100"/>
      <c r="CU78" s="100"/>
      <c r="CV78" s="100"/>
      <c r="CW78" s="100"/>
      <c r="CX78" s="100"/>
      <c r="CY78" s="100"/>
      <c r="CZ78" s="100"/>
      <c r="DA78" s="100"/>
      <c r="DB78" s="100"/>
      <c r="DC78" s="100"/>
      <c r="DD78" s="100"/>
      <c r="DE78" s="100"/>
      <c r="DF78" s="100"/>
      <c r="DG78" s="100"/>
      <c r="DH78" s="100"/>
      <c r="DI78" s="100"/>
      <c r="DJ78" s="100"/>
      <c r="DK78" s="100"/>
      <c r="DL78" s="100"/>
      <c r="DM78" s="100"/>
      <c r="DN78" s="100"/>
      <c r="DO78" s="100"/>
      <c r="DP78" s="100"/>
      <c r="DQ78" s="100"/>
      <c r="DR78" s="100"/>
    </row>
    <row r="79" ht="15.75" customHeight="1">
      <c r="B79" s="5" t="s">
        <v>76</v>
      </c>
      <c r="F79" s="50">
        <f t="shared" ref="F79:M79" si="72">+F64-F71</f>
        <v>1497.786204</v>
      </c>
      <c r="G79" s="50">
        <f t="shared" si="72"/>
        <v>1622.943038</v>
      </c>
      <c r="H79" s="50">
        <f t="shared" si="72"/>
        <v>1734.308075</v>
      </c>
      <c r="I79" s="50">
        <f t="shared" si="72"/>
        <v>1852.970847</v>
      </c>
      <c r="J79" s="50">
        <f t="shared" si="72"/>
        <v>2179.799925</v>
      </c>
      <c r="K79" s="50">
        <f t="shared" si="72"/>
        <v>2637.58458</v>
      </c>
      <c r="L79" s="50">
        <f t="shared" si="72"/>
        <v>3140.749788</v>
      </c>
      <c r="M79" s="50">
        <f t="shared" si="72"/>
        <v>3693.000352</v>
      </c>
      <c r="AA79" s="53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  <c r="AM79" s="100"/>
      <c r="AN79" s="100"/>
      <c r="AO79" s="100"/>
      <c r="AP79" s="100"/>
      <c r="AQ79" s="100"/>
      <c r="AR79" s="100"/>
      <c r="AS79" s="100"/>
      <c r="AT79" s="100"/>
      <c r="AU79" s="100"/>
      <c r="AV79" s="100"/>
      <c r="AW79" s="100"/>
      <c r="AX79" s="100"/>
      <c r="AY79" s="100"/>
      <c r="AZ79" s="100"/>
      <c r="BA79" s="100"/>
      <c r="BB79" s="100"/>
      <c r="BC79" s="100"/>
      <c r="BD79" s="100"/>
      <c r="BE79" s="100"/>
      <c r="BF79" s="100"/>
      <c r="BG79" s="100"/>
      <c r="BH79" s="100"/>
      <c r="BI79" s="100"/>
      <c r="BJ79" s="100"/>
      <c r="BK79" s="100"/>
      <c r="BL79" s="100"/>
      <c r="BM79" s="100"/>
      <c r="BN79" s="100"/>
      <c r="BO79" s="100"/>
      <c r="BP79" s="100"/>
      <c r="BQ79" s="100"/>
      <c r="BR79" s="100"/>
      <c r="BS79" s="100"/>
      <c r="BT79" s="100"/>
      <c r="BU79" s="100"/>
      <c r="BV79" s="100"/>
      <c r="BW79" s="100"/>
      <c r="BX79" s="100"/>
      <c r="BY79" s="100"/>
      <c r="BZ79" s="100"/>
      <c r="CA79" s="100"/>
      <c r="CB79" s="100"/>
      <c r="CC79" s="100"/>
      <c r="CD79" s="100"/>
      <c r="CE79" s="100"/>
      <c r="CF79" s="100"/>
      <c r="CG79" s="100"/>
      <c r="CH79" s="100"/>
      <c r="CI79" s="100"/>
      <c r="CJ79" s="100"/>
      <c r="CK79" s="100"/>
      <c r="CL79" s="100"/>
      <c r="CM79" s="100"/>
      <c r="CN79" s="100"/>
      <c r="CO79" s="100"/>
      <c r="CP79" s="100"/>
      <c r="CQ79" s="100"/>
      <c r="CR79" s="100"/>
      <c r="CS79" s="100"/>
      <c r="CT79" s="100"/>
      <c r="CU79" s="100"/>
      <c r="CV79" s="100"/>
      <c r="CW79" s="100"/>
      <c r="CX79" s="100"/>
      <c r="CY79" s="100"/>
      <c r="CZ79" s="100"/>
      <c r="DA79" s="100"/>
      <c r="DB79" s="100"/>
      <c r="DC79" s="100"/>
      <c r="DD79" s="100"/>
      <c r="DE79" s="100"/>
      <c r="DF79" s="100"/>
      <c r="DG79" s="100"/>
      <c r="DH79" s="100"/>
      <c r="DI79" s="100"/>
      <c r="DJ79" s="100"/>
      <c r="DK79" s="100"/>
      <c r="DL79" s="100"/>
      <c r="DM79" s="100"/>
      <c r="DN79" s="100"/>
      <c r="DO79" s="100"/>
      <c r="DP79" s="100"/>
      <c r="DQ79" s="100"/>
      <c r="DR79" s="100"/>
    </row>
    <row r="80" ht="15.75" customHeight="1">
      <c r="B80" s="5" t="s">
        <v>74</v>
      </c>
      <c r="F80" s="50">
        <f t="shared" ref="F80:M80" si="73">+F65-F72</f>
        <v>851.8495068</v>
      </c>
      <c r="G80" s="50">
        <f t="shared" si="73"/>
        <v>1303.665838</v>
      </c>
      <c r="H80" s="50">
        <f t="shared" si="73"/>
        <v>1836.079175</v>
      </c>
      <c r="I80" s="50">
        <f t="shared" si="73"/>
        <v>2023.661133</v>
      </c>
      <c r="J80" s="50">
        <f t="shared" si="73"/>
        <v>2608.457375</v>
      </c>
      <c r="K80" s="50">
        <f t="shared" si="73"/>
        <v>3342.099955</v>
      </c>
      <c r="L80" s="50">
        <f t="shared" si="73"/>
        <v>4341.642347</v>
      </c>
      <c r="M80" s="50">
        <f t="shared" si="73"/>
        <v>5795.610807</v>
      </c>
      <c r="AA80" s="53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0"/>
      <c r="BH80" s="100"/>
      <c r="BI80" s="100"/>
      <c r="BJ80" s="100"/>
      <c r="BK80" s="100"/>
      <c r="BL80" s="100"/>
      <c r="BM80" s="100"/>
      <c r="BN80" s="100"/>
      <c r="BO80" s="100"/>
      <c r="BP80" s="100"/>
      <c r="BQ80" s="100"/>
      <c r="BR80" s="100"/>
      <c r="BS80" s="100"/>
      <c r="BT80" s="100"/>
      <c r="BU80" s="100"/>
      <c r="BV80" s="100"/>
      <c r="BW80" s="100"/>
      <c r="BX80" s="100"/>
      <c r="BY80" s="100"/>
      <c r="BZ80" s="100"/>
      <c r="CA80" s="100"/>
      <c r="CB80" s="100"/>
      <c r="CC80" s="100"/>
      <c r="CD80" s="100"/>
      <c r="CE80" s="100"/>
      <c r="CF80" s="100"/>
      <c r="CG80" s="100"/>
      <c r="CH80" s="100"/>
      <c r="CI80" s="100"/>
      <c r="CJ80" s="100"/>
      <c r="CK80" s="100"/>
      <c r="CL80" s="100"/>
      <c r="CM80" s="100"/>
      <c r="CN80" s="100"/>
      <c r="CO80" s="100"/>
      <c r="CP80" s="100"/>
      <c r="CQ80" s="100"/>
      <c r="CR80" s="100"/>
      <c r="CS80" s="100"/>
      <c r="CT80" s="100"/>
      <c r="CU80" s="100"/>
      <c r="CV80" s="100"/>
      <c r="CW80" s="100"/>
      <c r="CX80" s="100"/>
      <c r="CY80" s="100"/>
      <c r="CZ80" s="100"/>
      <c r="DA80" s="100"/>
      <c r="DB80" s="100"/>
      <c r="DC80" s="100"/>
      <c r="DD80" s="100"/>
      <c r="DE80" s="100"/>
      <c r="DF80" s="100"/>
      <c r="DG80" s="100"/>
      <c r="DH80" s="100"/>
      <c r="DI80" s="100"/>
      <c r="DJ80" s="100"/>
      <c r="DK80" s="100"/>
      <c r="DL80" s="100"/>
      <c r="DM80" s="100"/>
      <c r="DN80" s="100"/>
      <c r="DO80" s="100"/>
      <c r="DP80" s="100"/>
      <c r="DQ80" s="100"/>
      <c r="DR80" s="100"/>
    </row>
    <row r="81" ht="15.75" customHeight="1">
      <c r="B81" s="5" t="s">
        <v>70</v>
      </c>
      <c r="F81" s="50">
        <f t="shared" ref="F81:M81" si="74">+F66-F73</f>
        <v>964.7307974</v>
      </c>
      <c r="G81" s="50">
        <f t="shared" si="74"/>
        <v>1187.736881</v>
      </c>
      <c r="H81" s="50">
        <f t="shared" si="74"/>
        <v>1225.946877</v>
      </c>
      <c r="I81" s="50">
        <f t="shared" si="74"/>
        <v>1688.041899</v>
      </c>
      <c r="J81" s="50">
        <f t="shared" si="74"/>
        <v>2118.636707</v>
      </c>
      <c r="K81" s="50">
        <f t="shared" si="74"/>
        <v>2655.268125</v>
      </c>
      <c r="L81" s="50">
        <f t="shared" si="74"/>
        <v>3399.674592</v>
      </c>
      <c r="M81" s="50">
        <f t="shared" si="74"/>
        <v>4475.040685</v>
      </c>
      <c r="AA81" s="53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  <c r="AN81" s="100"/>
      <c r="AO81" s="100"/>
      <c r="AP81" s="100"/>
      <c r="AQ81" s="100"/>
      <c r="AR81" s="100"/>
      <c r="AS81" s="100"/>
      <c r="AT81" s="100"/>
      <c r="AU81" s="100"/>
      <c r="AV81" s="100"/>
      <c r="AW81" s="100"/>
      <c r="AX81" s="100"/>
      <c r="AY81" s="100"/>
      <c r="AZ81" s="100"/>
      <c r="BA81" s="100"/>
      <c r="BB81" s="100"/>
      <c r="BC81" s="100"/>
      <c r="BD81" s="100"/>
      <c r="BE81" s="100"/>
      <c r="BF81" s="100"/>
      <c r="BG81" s="100"/>
      <c r="BH81" s="100"/>
      <c r="BI81" s="100"/>
      <c r="BJ81" s="100"/>
      <c r="BK81" s="100"/>
      <c r="BL81" s="100"/>
      <c r="BM81" s="100"/>
      <c r="BN81" s="100"/>
      <c r="BO81" s="100"/>
      <c r="BP81" s="100"/>
      <c r="BQ81" s="100"/>
      <c r="BR81" s="100"/>
      <c r="BS81" s="100"/>
      <c r="BT81" s="100"/>
      <c r="BU81" s="100"/>
      <c r="BV81" s="100"/>
      <c r="BW81" s="100"/>
      <c r="BX81" s="100"/>
      <c r="BY81" s="100"/>
      <c r="BZ81" s="100"/>
      <c r="CA81" s="100"/>
      <c r="CB81" s="100"/>
      <c r="CC81" s="100"/>
      <c r="CD81" s="100"/>
      <c r="CE81" s="100"/>
      <c r="CF81" s="100"/>
      <c r="CG81" s="100"/>
      <c r="CH81" s="100"/>
      <c r="CI81" s="100"/>
      <c r="CJ81" s="100"/>
      <c r="CK81" s="100"/>
      <c r="CL81" s="100"/>
      <c r="CM81" s="100"/>
      <c r="CN81" s="100"/>
      <c r="CO81" s="100"/>
      <c r="CP81" s="100"/>
      <c r="CQ81" s="100"/>
      <c r="CR81" s="100"/>
      <c r="CS81" s="100"/>
      <c r="CT81" s="100"/>
      <c r="CU81" s="100"/>
      <c r="CV81" s="100"/>
      <c r="CW81" s="100"/>
      <c r="CX81" s="100"/>
      <c r="CY81" s="100"/>
      <c r="CZ81" s="100"/>
      <c r="DA81" s="100"/>
      <c r="DB81" s="100"/>
      <c r="DC81" s="100"/>
      <c r="DD81" s="100"/>
      <c r="DE81" s="100"/>
      <c r="DF81" s="100"/>
      <c r="DG81" s="100"/>
      <c r="DH81" s="100"/>
      <c r="DI81" s="100"/>
      <c r="DJ81" s="100"/>
      <c r="DK81" s="100"/>
      <c r="DL81" s="100"/>
      <c r="DM81" s="100"/>
      <c r="DN81" s="100"/>
      <c r="DO81" s="100"/>
      <c r="DP81" s="100"/>
      <c r="DQ81" s="100"/>
      <c r="DR81" s="100"/>
    </row>
    <row r="82" ht="15.75" customHeight="1">
      <c r="B82" s="54" t="s">
        <v>145</v>
      </c>
      <c r="C82" s="54"/>
      <c r="D82" s="54"/>
      <c r="F82" s="55">
        <f t="shared" ref="F82:M82" si="75">SUM(F78:F81)</f>
        <v>10328.29394</v>
      </c>
      <c r="G82" s="55">
        <f t="shared" si="75"/>
        <v>11646.43785</v>
      </c>
      <c r="H82" s="55">
        <f t="shared" si="75"/>
        <v>13035.03268</v>
      </c>
      <c r="I82" s="55">
        <f t="shared" si="75"/>
        <v>13914.15529</v>
      </c>
      <c r="J82" s="55">
        <f t="shared" si="75"/>
        <v>15745.78439</v>
      </c>
      <c r="K82" s="55">
        <f t="shared" si="75"/>
        <v>18806.16413</v>
      </c>
      <c r="L82" s="55">
        <f t="shared" si="75"/>
        <v>22505.05865</v>
      </c>
      <c r="M82" s="55">
        <f t="shared" si="75"/>
        <v>27166.96652</v>
      </c>
      <c r="AA82" s="53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  <c r="AN82" s="100"/>
      <c r="AO82" s="100"/>
      <c r="AP82" s="100"/>
      <c r="AQ82" s="100"/>
      <c r="AR82" s="100"/>
      <c r="AS82" s="100"/>
      <c r="AT82" s="100"/>
      <c r="AU82" s="100"/>
      <c r="AV82" s="100"/>
      <c r="AW82" s="100"/>
      <c r="AX82" s="100"/>
      <c r="AY82" s="100"/>
      <c r="AZ82" s="100"/>
      <c r="BA82" s="100"/>
      <c r="BB82" s="100"/>
      <c r="BC82" s="100"/>
      <c r="BD82" s="100"/>
      <c r="BE82" s="100"/>
      <c r="BF82" s="100"/>
      <c r="BG82" s="100"/>
      <c r="BH82" s="100"/>
      <c r="BI82" s="100"/>
      <c r="BJ82" s="100"/>
      <c r="BK82" s="100"/>
      <c r="BL82" s="100"/>
      <c r="BM82" s="100"/>
      <c r="BN82" s="100"/>
      <c r="BO82" s="100"/>
      <c r="BP82" s="100"/>
      <c r="BQ82" s="100"/>
      <c r="BR82" s="100"/>
      <c r="BS82" s="100"/>
      <c r="BT82" s="100"/>
      <c r="BU82" s="100"/>
      <c r="BV82" s="100"/>
      <c r="BW82" s="100"/>
      <c r="BX82" s="100"/>
      <c r="BY82" s="100"/>
      <c r="BZ82" s="100"/>
      <c r="CA82" s="100"/>
      <c r="CB82" s="100"/>
      <c r="CC82" s="100"/>
      <c r="CD82" s="100"/>
      <c r="CE82" s="100"/>
      <c r="CF82" s="100"/>
      <c r="CG82" s="100"/>
      <c r="CH82" s="100"/>
      <c r="CI82" s="100"/>
      <c r="CJ82" s="100"/>
      <c r="CK82" s="100"/>
      <c r="CL82" s="100"/>
      <c r="CM82" s="100"/>
      <c r="CN82" s="100"/>
      <c r="CO82" s="100"/>
      <c r="CP82" s="100"/>
      <c r="CQ82" s="100"/>
      <c r="CR82" s="100"/>
      <c r="CS82" s="100"/>
      <c r="CT82" s="100"/>
      <c r="CU82" s="100"/>
      <c r="CV82" s="100"/>
      <c r="CW82" s="100"/>
      <c r="CX82" s="100"/>
      <c r="CY82" s="100"/>
      <c r="CZ82" s="100"/>
      <c r="DA82" s="100"/>
      <c r="DB82" s="100"/>
      <c r="DC82" s="100"/>
      <c r="DD82" s="100"/>
      <c r="DE82" s="100"/>
      <c r="DF82" s="100"/>
      <c r="DG82" s="100"/>
      <c r="DH82" s="100"/>
      <c r="DI82" s="100"/>
      <c r="DJ82" s="100"/>
      <c r="DK82" s="100"/>
      <c r="DL82" s="100"/>
      <c r="DM82" s="100"/>
      <c r="DN82" s="100"/>
      <c r="DO82" s="100"/>
      <c r="DP82" s="100"/>
      <c r="DQ82" s="100"/>
      <c r="DR82" s="100"/>
    </row>
    <row r="83" ht="4.5" customHeight="1"/>
    <row r="84" ht="15.75" customHeight="1">
      <c r="B84" s="47" t="s">
        <v>146</v>
      </c>
    </row>
    <row r="85" ht="15.75" customHeight="1">
      <c r="B85" s="5" t="s">
        <v>82</v>
      </c>
      <c r="F85" s="49">
        <f t="shared" ref="F85:M85" si="76">+F78/F63</f>
        <v>0.8860393586</v>
      </c>
      <c r="G85" s="49">
        <f t="shared" si="76"/>
        <v>0.9135023863</v>
      </c>
      <c r="H85" s="49">
        <f t="shared" si="76"/>
        <v>0.9382308521</v>
      </c>
      <c r="I85" s="49">
        <f t="shared" si="76"/>
        <v>0.92</v>
      </c>
      <c r="J85" s="49">
        <f t="shared" si="76"/>
        <v>0.92</v>
      </c>
      <c r="K85" s="49">
        <f t="shared" si="76"/>
        <v>0.922</v>
      </c>
      <c r="L85" s="49">
        <f t="shared" si="76"/>
        <v>0.924</v>
      </c>
      <c r="M85" s="49">
        <f t="shared" si="76"/>
        <v>0.926</v>
      </c>
      <c r="AA85" s="53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  <c r="AN85" s="100"/>
      <c r="AO85" s="100"/>
      <c r="AP85" s="100"/>
      <c r="AQ85" s="100"/>
      <c r="AR85" s="100"/>
      <c r="AS85" s="100"/>
      <c r="AT85" s="100"/>
      <c r="AU85" s="100"/>
      <c r="AV85" s="100"/>
      <c r="AW85" s="100"/>
      <c r="AX85" s="100"/>
      <c r="AY85" s="100"/>
      <c r="AZ85" s="100"/>
      <c r="BA85" s="100"/>
      <c r="BB85" s="100"/>
      <c r="BC85" s="100"/>
      <c r="BD85" s="100"/>
      <c r="BE85" s="100"/>
      <c r="BF85" s="100"/>
      <c r="BG85" s="100"/>
      <c r="BH85" s="100"/>
      <c r="BI85" s="100"/>
      <c r="BJ85" s="100"/>
      <c r="BK85" s="100"/>
      <c r="BL85" s="100"/>
      <c r="BM85" s="100"/>
      <c r="BN85" s="100"/>
      <c r="BO85" s="100"/>
      <c r="BP85" s="100"/>
      <c r="BQ85" s="100"/>
      <c r="BR85" s="100"/>
      <c r="BS85" s="100"/>
      <c r="BT85" s="100"/>
      <c r="BU85" s="100"/>
      <c r="BV85" s="100"/>
      <c r="BW85" s="100"/>
      <c r="BX85" s="100"/>
      <c r="BY85" s="100"/>
      <c r="BZ85" s="100"/>
      <c r="CA85" s="100"/>
      <c r="CB85" s="100"/>
      <c r="CC85" s="100"/>
      <c r="CD85" s="100"/>
      <c r="CE85" s="100"/>
      <c r="CF85" s="100"/>
      <c r="CG85" s="100"/>
      <c r="CH85" s="100"/>
      <c r="CI85" s="100"/>
      <c r="CJ85" s="100"/>
      <c r="CK85" s="100"/>
      <c r="CL85" s="100"/>
      <c r="CM85" s="100"/>
      <c r="CN85" s="100"/>
      <c r="CO85" s="100"/>
      <c r="CP85" s="100"/>
      <c r="CQ85" s="100"/>
      <c r="CR85" s="100"/>
      <c r="CS85" s="100"/>
      <c r="CT85" s="100"/>
      <c r="CU85" s="100"/>
      <c r="CV85" s="100"/>
      <c r="CW85" s="100"/>
      <c r="CX85" s="100"/>
      <c r="CY85" s="100"/>
      <c r="CZ85" s="100"/>
      <c r="DA85" s="100"/>
      <c r="DB85" s="100"/>
      <c r="DC85" s="100"/>
      <c r="DD85" s="100"/>
      <c r="DE85" s="100"/>
      <c r="DF85" s="100"/>
      <c r="DG85" s="100"/>
      <c r="DH85" s="100"/>
      <c r="DI85" s="100"/>
      <c r="DJ85" s="100"/>
      <c r="DK85" s="100"/>
      <c r="DL85" s="100"/>
      <c r="DM85" s="100"/>
      <c r="DN85" s="100"/>
      <c r="DO85" s="100"/>
      <c r="DP85" s="100"/>
      <c r="DQ85" s="100"/>
      <c r="DR85" s="100"/>
    </row>
    <row r="86" ht="15.75" customHeight="1">
      <c r="B86" s="5" t="s">
        <v>76</v>
      </c>
      <c r="F86" s="49">
        <f t="shared" ref="F86:M86" si="77">+F79/F64</f>
        <v>0.8456278547</v>
      </c>
      <c r="G86" s="49">
        <f t="shared" si="77"/>
        <v>0.8808092648</v>
      </c>
      <c r="H86" s="49">
        <f t="shared" si="77"/>
        <v>0.9103665427</v>
      </c>
      <c r="I86" s="49">
        <f t="shared" si="77"/>
        <v>0.896211232</v>
      </c>
      <c r="J86" s="49">
        <f t="shared" si="77"/>
        <v>0.896211232</v>
      </c>
      <c r="K86" s="49">
        <f t="shared" si="77"/>
        <v>0.898211232</v>
      </c>
      <c r="L86" s="49">
        <f t="shared" si="77"/>
        <v>0.900211232</v>
      </c>
      <c r="M86" s="49">
        <f t="shared" si="77"/>
        <v>0.902211232</v>
      </c>
      <c r="AA86" s="53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  <c r="AM86" s="100"/>
      <c r="AN86" s="100"/>
      <c r="AO86" s="100"/>
      <c r="AP86" s="100"/>
      <c r="AQ86" s="100"/>
      <c r="AR86" s="100"/>
      <c r="AS86" s="100"/>
      <c r="AT86" s="100"/>
      <c r="AU86" s="100"/>
      <c r="AV86" s="100"/>
      <c r="AW86" s="100"/>
      <c r="AX86" s="100"/>
      <c r="AY86" s="100"/>
      <c r="AZ86" s="100"/>
      <c r="BA86" s="100"/>
      <c r="BB86" s="100"/>
      <c r="BC86" s="100"/>
      <c r="BD86" s="100"/>
      <c r="BE86" s="100"/>
      <c r="BF86" s="100"/>
      <c r="BG86" s="100"/>
      <c r="BH86" s="100"/>
      <c r="BI86" s="100"/>
      <c r="BJ86" s="100"/>
      <c r="BK86" s="100"/>
      <c r="BL86" s="100"/>
      <c r="BM86" s="100"/>
      <c r="BN86" s="100"/>
      <c r="BO86" s="100"/>
      <c r="BP86" s="100"/>
      <c r="BQ86" s="100"/>
      <c r="BR86" s="100"/>
      <c r="BS86" s="100"/>
      <c r="BT86" s="100"/>
      <c r="BU86" s="100"/>
      <c r="BV86" s="100"/>
      <c r="BW86" s="100"/>
      <c r="BX86" s="100"/>
      <c r="BY86" s="100"/>
      <c r="BZ86" s="100"/>
      <c r="CA86" s="100"/>
      <c r="CB86" s="100"/>
      <c r="CC86" s="100"/>
      <c r="CD86" s="100"/>
      <c r="CE86" s="100"/>
      <c r="CF86" s="100"/>
      <c r="CG86" s="100"/>
      <c r="CH86" s="100"/>
      <c r="CI86" s="100"/>
      <c r="CJ86" s="100"/>
      <c r="CK86" s="100"/>
      <c r="CL86" s="100"/>
      <c r="CM86" s="100"/>
      <c r="CN86" s="100"/>
      <c r="CO86" s="100"/>
      <c r="CP86" s="100"/>
      <c r="CQ86" s="100"/>
      <c r="CR86" s="100"/>
      <c r="CS86" s="100"/>
      <c r="CT86" s="100"/>
      <c r="CU86" s="100"/>
      <c r="CV86" s="100"/>
      <c r="CW86" s="100"/>
      <c r="CX86" s="100"/>
      <c r="CY86" s="100"/>
      <c r="CZ86" s="100"/>
      <c r="DA86" s="100"/>
      <c r="DB86" s="100"/>
      <c r="DC86" s="100"/>
      <c r="DD86" s="100"/>
      <c r="DE86" s="100"/>
      <c r="DF86" s="100"/>
      <c r="DG86" s="100"/>
      <c r="DH86" s="100"/>
      <c r="DI86" s="100"/>
      <c r="DJ86" s="100"/>
      <c r="DK86" s="100"/>
      <c r="DL86" s="100"/>
      <c r="DM86" s="100"/>
      <c r="DN86" s="100"/>
      <c r="DO86" s="100"/>
      <c r="DP86" s="100"/>
      <c r="DQ86" s="100"/>
      <c r="DR86" s="100"/>
    </row>
    <row r="87" ht="15.75" customHeight="1">
      <c r="B87" s="5" t="s">
        <v>74</v>
      </c>
      <c r="F87" s="49">
        <f t="shared" ref="F87:M87" si="78">+F80/F65</f>
        <v>0.8337031246</v>
      </c>
      <c r="G87" s="49">
        <f t="shared" si="78"/>
        <v>0.9038848151</v>
      </c>
      <c r="H87" s="49">
        <f t="shared" si="78"/>
        <v>0.896211232</v>
      </c>
      <c r="I87" s="49">
        <f t="shared" si="78"/>
        <v>0.9198565501</v>
      </c>
      <c r="J87" s="49">
        <f t="shared" si="78"/>
        <v>0.9198565501</v>
      </c>
      <c r="K87" s="49">
        <f t="shared" si="78"/>
        <v>0.9218565501</v>
      </c>
      <c r="L87" s="49">
        <f t="shared" si="78"/>
        <v>0.9238565501</v>
      </c>
      <c r="M87" s="49">
        <f t="shared" si="78"/>
        <v>0.9258565501</v>
      </c>
      <c r="AA87" s="53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  <c r="AN87" s="100"/>
      <c r="AO87" s="100"/>
      <c r="AP87" s="100"/>
      <c r="AQ87" s="100"/>
      <c r="AR87" s="100"/>
      <c r="AS87" s="100"/>
      <c r="AT87" s="100"/>
      <c r="AU87" s="100"/>
      <c r="AV87" s="100"/>
      <c r="AW87" s="100"/>
      <c r="AX87" s="100"/>
      <c r="AY87" s="100"/>
      <c r="AZ87" s="100"/>
      <c r="BA87" s="100"/>
      <c r="BB87" s="100"/>
      <c r="BC87" s="100"/>
      <c r="BD87" s="100"/>
      <c r="BE87" s="100"/>
      <c r="BF87" s="100"/>
      <c r="BG87" s="100"/>
      <c r="BH87" s="100"/>
      <c r="BI87" s="100"/>
      <c r="BJ87" s="100"/>
      <c r="BK87" s="100"/>
      <c r="BL87" s="100"/>
      <c r="BM87" s="100"/>
      <c r="BN87" s="100"/>
      <c r="BO87" s="100"/>
      <c r="BP87" s="100"/>
      <c r="BQ87" s="100"/>
      <c r="BR87" s="100"/>
      <c r="BS87" s="100"/>
      <c r="BT87" s="100"/>
      <c r="BU87" s="100"/>
      <c r="BV87" s="100"/>
      <c r="BW87" s="100"/>
      <c r="BX87" s="100"/>
      <c r="BY87" s="100"/>
      <c r="BZ87" s="100"/>
      <c r="CA87" s="100"/>
      <c r="CB87" s="100"/>
      <c r="CC87" s="100"/>
      <c r="CD87" s="100"/>
      <c r="CE87" s="100"/>
      <c r="CF87" s="100"/>
      <c r="CG87" s="100"/>
      <c r="CH87" s="100"/>
      <c r="CI87" s="100"/>
      <c r="CJ87" s="100"/>
      <c r="CK87" s="100"/>
      <c r="CL87" s="100"/>
      <c r="CM87" s="100"/>
      <c r="CN87" s="100"/>
      <c r="CO87" s="100"/>
      <c r="CP87" s="100"/>
      <c r="CQ87" s="100"/>
      <c r="CR87" s="100"/>
      <c r="CS87" s="100"/>
      <c r="CT87" s="100"/>
      <c r="CU87" s="100"/>
      <c r="CV87" s="100"/>
      <c r="CW87" s="100"/>
      <c r="CX87" s="100"/>
      <c r="CY87" s="100"/>
      <c r="CZ87" s="100"/>
      <c r="DA87" s="100"/>
      <c r="DB87" s="100"/>
      <c r="DC87" s="100"/>
      <c r="DD87" s="100"/>
      <c r="DE87" s="100"/>
      <c r="DF87" s="100"/>
      <c r="DG87" s="100"/>
      <c r="DH87" s="100"/>
      <c r="DI87" s="100"/>
      <c r="DJ87" s="100"/>
      <c r="DK87" s="100"/>
      <c r="DL87" s="100"/>
      <c r="DM87" s="100"/>
      <c r="DN87" s="100"/>
      <c r="DO87" s="100"/>
      <c r="DP87" s="100"/>
      <c r="DQ87" s="100"/>
      <c r="DR87" s="100"/>
    </row>
    <row r="88" ht="15.75" customHeight="1">
      <c r="B88" s="5" t="s">
        <v>70</v>
      </c>
      <c r="F88" s="49">
        <f t="shared" ref="F88:M88" si="79">+F81/F66</f>
        <v>0.8588997472</v>
      </c>
      <c r="G88" s="49">
        <f t="shared" si="79"/>
        <v>0.9044758485</v>
      </c>
      <c r="H88" s="49">
        <f t="shared" si="79"/>
        <v>0.9198565501</v>
      </c>
      <c r="I88" s="49">
        <f t="shared" si="79"/>
        <v>0.9265972012</v>
      </c>
      <c r="J88" s="49">
        <f t="shared" si="79"/>
        <v>0.9265972012</v>
      </c>
      <c r="K88" s="49">
        <f t="shared" si="79"/>
        <v>0.9285972012</v>
      </c>
      <c r="L88" s="49">
        <f t="shared" si="79"/>
        <v>0.9305972012</v>
      </c>
      <c r="M88" s="49">
        <f t="shared" si="79"/>
        <v>0.9325972012</v>
      </c>
      <c r="AA88" s="53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0"/>
      <c r="AS88" s="100"/>
      <c r="AT88" s="100"/>
      <c r="AU88" s="100"/>
      <c r="AV88" s="100"/>
      <c r="AW88" s="100"/>
      <c r="AX88" s="100"/>
      <c r="AY88" s="100"/>
      <c r="AZ88" s="100"/>
      <c r="BA88" s="100"/>
      <c r="BB88" s="100"/>
      <c r="BC88" s="100"/>
      <c r="BD88" s="100"/>
      <c r="BE88" s="100"/>
      <c r="BF88" s="100"/>
      <c r="BG88" s="100"/>
      <c r="BH88" s="100"/>
      <c r="BI88" s="100"/>
      <c r="BJ88" s="100"/>
      <c r="BK88" s="100"/>
      <c r="BL88" s="100"/>
      <c r="BM88" s="100"/>
      <c r="BN88" s="100"/>
      <c r="BO88" s="100"/>
      <c r="BP88" s="100"/>
      <c r="BQ88" s="100"/>
      <c r="BR88" s="100"/>
      <c r="BS88" s="100"/>
      <c r="BT88" s="100"/>
      <c r="BU88" s="100"/>
      <c r="BV88" s="100"/>
      <c r="BW88" s="100"/>
      <c r="BX88" s="100"/>
      <c r="BY88" s="100"/>
      <c r="BZ88" s="100"/>
      <c r="CA88" s="100"/>
      <c r="CB88" s="100"/>
      <c r="CC88" s="100"/>
      <c r="CD88" s="100"/>
      <c r="CE88" s="100"/>
      <c r="CF88" s="100"/>
      <c r="CG88" s="100"/>
      <c r="CH88" s="100"/>
      <c r="CI88" s="100"/>
      <c r="CJ88" s="100"/>
      <c r="CK88" s="100"/>
      <c r="CL88" s="100"/>
      <c r="CM88" s="100"/>
      <c r="CN88" s="100"/>
      <c r="CO88" s="100"/>
      <c r="CP88" s="100"/>
      <c r="CQ88" s="100"/>
      <c r="CR88" s="100"/>
      <c r="CS88" s="100"/>
      <c r="CT88" s="100"/>
      <c r="CU88" s="100"/>
      <c r="CV88" s="100"/>
      <c r="CW88" s="100"/>
      <c r="CX88" s="100"/>
      <c r="CY88" s="100"/>
      <c r="CZ88" s="100"/>
      <c r="DA88" s="100"/>
      <c r="DB88" s="100"/>
      <c r="DC88" s="100"/>
      <c r="DD88" s="100"/>
      <c r="DE88" s="100"/>
      <c r="DF88" s="100"/>
      <c r="DG88" s="100"/>
      <c r="DH88" s="100"/>
      <c r="DI88" s="100"/>
      <c r="DJ88" s="100"/>
      <c r="DK88" s="100"/>
      <c r="DL88" s="100"/>
      <c r="DM88" s="100"/>
      <c r="DN88" s="100"/>
      <c r="DO88" s="100"/>
      <c r="DP88" s="100"/>
      <c r="DQ88" s="100"/>
      <c r="DR88" s="100"/>
    </row>
    <row r="89" ht="15.75" customHeight="1">
      <c r="B89" s="54" t="s">
        <v>145</v>
      </c>
      <c r="C89" s="54"/>
      <c r="D89" s="54"/>
      <c r="F89" s="57">
        <f t="shared" ref="F89:M89" si="80">+F82/F67</f>
        <v>0.8728942231</v>
      </c>
      <c r="G89" s="57">
        <f t="shared" si="80"/>
        <v>0.9068091164</v>
      </c>
      <c r="H89" s="57">
        <f t="shared" si="80"/>
        <v>0.9265972012</v>
      </c>
      <c r="I89" s="57">
        <f t="shared" si="80"/>
        <v>0.9175283751</v>
      </c>
      <c r="J89" s="57">
        <f t="shared" si="80"/>
        <v>0.9174838218</v>
      </c>
      <c r="K89" s="57">
        <f t="shared" si="80"/>
        <v>0.9194814885</v>
      </c>
      <c r="L89" s="57">
        <f t="shared" si="80"/>
        <v>0.9215606723</v>
      </c>
      <c r="M89" s="57">
        <f t="shared" si="80"/>
        <v>0.9237349309</v>
      </c>
      <c r="AA89" s="53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100"/>
      <c r="AU89" s="100"/>
      <c r="AV89" s="100"/>
      <c r="AW89" s="100"/>
      <c r="AX89" s="100"/>
      <c r="AY89" s="100"/>
      <c r="AZ89" s="100"/>
      <c r="BA89" s="100"/>
      <c r="BB89" s="100"/>
      <c r="BC89" s="100"/>
      <c r="BD89" s="100"/>
      <c r="BE89" s="100"/>
      <c r="BF89" s="100"/>
      <c r="BG89" s="100"/>
      <c r="BH89" s="100"/>
      <c r="BI89" s="100"/>
      <c r="BJ89" s="100"/>
      <c r="BK89" s="100"/>
      <c r="BL89" s="100"/>
      <c r="BM89" s="100"/>
      <c r="BN89" s="100"/>
      <c r="BO89" s="100"/>
      <c r="BP89" s="100"/>
      <c r="BQ89" s="100"/>
      <c r="BR89" s="100"/>
      <c r="BS89" s="100"/>
      <c r="BT89" s="100"/>
      <c r="BU89" s="100"/>
      <c r="BV89" s="100"/>
      <c r="BW89" s="100"/>
      <c r="BX89" s="100"/>
      <c r="BY89" s="100"/>
      <c r="BZ89" s="100"/>
      <c r="CA89" s="100"/>
      <c r="CB89" s="100"/>
      <c r="CC89" s="100"/>
      <c r="CD89" s="100"/>
      <c r="CE89" s="100"/>
      <c r="CF89" s="100"/>
      <c r="CG89" s="100"/>
      <c r="CH89" s="100"/>
      <c r="CI89" s="100"/>
      <c r="CJ89" s="100"/>
      <c r="CK89" s="100"/>
      <c r="CL89" s="100"/>
      <c r="CM89" s="100"/>
      <c r="CN89" s="100"/>
      <c r="CO89" s="100"/>
      <c r="CP89" s="100"/>
      <c r="CQ89" s="100"/>
      <c r="CR89" s="100"/>
      <c r="CS89" s="100"/>
      <c r="CT89" s="100"/>
      <c r="CU89" s="100"/>
      <c r="CV89" s="100"/>
      <c r="CW89" s="100"/>
      <c r="CX89" s="100"/>
      <c r="CY89" s="100"/>
      <c r="CZ89" s="100"/>
      <c r="DA89" s="100"/>
      <c r="DB89" s="100"/>
      <c r="DC89" s="100"/>
      <c r="DD89" s="100"/>
      <c r="DE89" s="100"/>
      <c r="DF89" s="100"/>
      <c r="DG89" s="100"/>
      <c r="DH89" s="100"/>
      <c r="DI89" s="100"/>
      <c r="DJ89" s="100"/>
      <c r="DK89" s="100"/>
      <c r="DL89" s="100"/>
      <c r="DM89" s="100"/>
      <c r="DN89" s="100"/>
      <c r="DO89" s="100"/>
      <c r="DP89" s="100"/>
      <c r="DQ89" s="100"/>
      <c r="DR89" s="100"/>
    </row>
    <row r="90" ht="4.5" customHeight="1"/>
    <row r="91" ht="15.75" customHeight="1">
      <c r="B91" s="47" t="s">
        <v>147</v>
      </c>
    </row>
    <row r="92" ht="15.75" customHeight="1">
      <c r="B92" s="5" t="s">
        <v>40</v>
      </c>
      <c r="F92" s="50">
        <f t="shared" ref="F92:M92" si="81">+SUMIFS($AA92:$DR92,$AA$7:$DR$7,F$7)</f>
        <v>11832.24</v>
      </c>
      <c r="G92" s="50">
        <f t="shared" si="81"/>
        <v>12843.318</v>
      </c>
      <c r="H92" s="50">
        <f t="shared" si="81"/>
        <v>14067.63658</v>
      </c>
      <c r="I92" s="50">
        <f t="shared" si="81"/>
        <v>15185.13537</v>
      </c>
      <c r="J92" s="50">
        <f t="shared" si="81"/>
        <v>17161.92048</v>
      </c>
      <c r="K92" s="50">
        <f t="shared" si="81"/>
        <v>20453.01006</v>
      </c>
      <c r="L92" s="50">
        <f t="shared" si="81"/>
        <v>24420.59359</v>
      </c>
      <c r="M92" s="50">
        <f t="shared" si="81"/>
        <v>29409.91578</v>
      </c>
      <c r="AA92" s="52">
        <f>+Revenue_Calcs!AA122</f>
        <v>981.129</v>
      </c>
      <c r="AB92" s="52">
        <f>+Revenue_Calcs!AB122</f>
        <v>981.129</v>
      </c>
      <c r="AC92" s="52">
        <f>+Revenue_Calcs!AC122</f>
        <v>976.962</v>
      </c>
      <c r="AD92" s="52">
        <f>+Revenue_Calcs!AD122</f>
        <v>977.327</v>
      </c>
      <c r="AE92" s="52">
        <f>+Revenue_Calcs!AE122</f>
        <v>975.227</v>
      </c>
      <c r="AF92" s="52">
        <f>+Revenue_Calcs!AF122</f>
        <v>962.73</v>
      </c>
      <c r="AG92" s="52">
        <f>+Revenue_Calcs!AG122</f>
        <v>972.843</v>
      </c>
      <c r="AH92" s="52">
        <f>+Revenue_Calcs!AH122</f>
        <v>1101.548</v>
      </c>
      <c r="AI92" s="52">
        <f>+Revenue_Calcs!AI122</f>
        <v>966.148</v>
      </c>
      <c r="AJ92" s="52">
        <f>+Revenue_Calcs!AJ122</f>
        <v>957.446</v>
      </c>
      <c r="AK92" s="52">
        <f>+Revenue_Calcs!AK122</f>
        <v>968.548</v>
      </c>
      <c r="AL92" s="52">
        <f>+Revenue_Calcs!AL122</f>
        <v>1011.203</v>
      </c>
      <c r="AM92" s="52">
        <f>+Revenue_Calcs!AM122</f>
        <v>1043.846</v>
      </c>
      <c r="AN92" s="52">
        <f>+Revenue_Calcs!AN122</f>
        <v>1049.705</v>
      </c>
      <c r="AO92" s="52">
        <f>+Revenue_Calcs!AO122</f>
        <v>1054.263</v>
      </c>
      <c r="AP92" s="52">
        <f>+Revenue_Calcs!AP122</f>
        <v>1065.37</v>
      </c>
      <c r="AQ92" s="52">
        <f>+Revenue_Calcs!AQ122</f>
        <v>1061.23</v>
      </c>
      <c r="AR92" s="52">
        <f>+Revenue_Calcs!AR122</f>
        <v>1053.45</v>
      </c>
      <c r="AS92" s="52">
        <f>+Revenue_Calcs!AS122</f>
        <v>1054.45</v>
      </c>
      <c r="AT92" s="52">
        <f>+Revenue_Calcs!AT122</f>
        <v>989.834</v>
      </c>
      <c r="AU92" s="52">
        <f>+Revenue_Calcs!AU122</f>
        <v>1058.886</v>
      </c>
      <c r="AV92" s="52">
        <f>+Revenue_Calcs!AV122</f>
        <v>1103.161</v>
      </c>
      <c r="AW92" s="52">
        <f>+Revenue_Calcs!AW122</f>
        <v>1092.215</v>
      </c>
      <c r="AX92" s="52">
        <f>+Revenue_Calcs!AX122</f>
        <v>1216.908</v>
      </c>
      <c r="AY92" s="52">
        <f>+Revenue_Calcs!AY122</f>
        <v>1122.436854</v>
      </c>
      <c r="AZ92" s="52">
        <f>+Revenue_Calcs!AZ122</f>
        <v>1143.988854</v>
      </c>
      <c r="BA92" s="52">
        <f>+Revenue_Calcs!BA122</f>
        <v>1151.884402</v>
      </c>
      <c r="BB92" s="52">
        <f>+Revenue_Calcs!BB122</f>
        <v>1171.502785</v>
      </c>
      <c r="BC92" s="52">
        <f>+Revenue_Calcs!BC122</f>
        <v>1170.337785</v>
      </c>
      <c r="BD92" s="52">
        <f>+Revenue_Calcs!BD122</f>
        <v>1187.499785</v>
      </c>
      <c r="BE92" s="52">
        <f>+Revenue_Calcs!BE122</f>
        <v>1172.337785</v>
      </c>
      <c r="BF92" s="52">
        <f>+Revenue_Calcs!BF122</f>
        <v>1173.188333</v>
      </c>
      <c r="BG92" s="52">
        <f>+Revenue_Calcs!BG122</f>
        <v>1185.020618</v>
      </c>
      <c r="BH92" s="52">
        <f>+Revenue_Calcs!BH122</f>
        <v>1180.418955</v>
      </c>
      <c r="BI92" s="52">
        <f>+Revenue_Calcs!BI122</f>
        <v>1182.16583</v>
      </c>
      <c r="BJ92" s="52">
        <f>+Revenue_Calcs!BJ122</f>
        <v>1226.854594</v>
      </c>
      <c r="BK92" s="52">
        <f>+Revenue_Calcs!BK122</f>
        <v>1250.905129</v>
      </c>
      <c r="BL92" s="52">
        <f>+Revenue_Calcs!BL122</f>
        <v>1250.905129</v>
      </c>
      <c r="BM92" s="52">
        <f>+Revenue_Calcs!BM122</f>
        <v>1273.297129</v>
      </c>
      <c r="BN92" s="52">
        <f>+Revenue_Calcs!BN122</f>
        <v>1253.048214</v>
      </c>
      <c r="BO92" s="52">
        <f>+Revenue_Calcs!BO122</f>
        <v>1256.243214</v>
      </c>
      <c r="BP92" s="52">
        <f>+Revenue_Calcs!BP122</f>
        <v>1271.243214</v>
      </c>
      <c r="BQ92" s="52">
        <f>+Revenue_Calcs!BQ122</f>
        <v>1255.58427</v>
      </c>
      <c r="BR92" s="52">
        <f>+Revenue_Calcs!BR122</f>
        <v>1256.461906</v>
      </c>
      <c r="BS92" s="52">
        <f>+Revenue_Calcs!BS122</f>
        <v>1272.511422</v>
      </c>
      <c r="BT92" s="52">
        <f>+Revenue_Calcs!BT122</f>
        <v>1257.826422</v>
      </c>
      <c r="BU92" s="52">
        <f>+Revenue_Calcs!BU122</f>
        <v>1277.237886</v>
      </c>
      <c r="BV92" s="52">
        <f>+Revenue_Calcs!BV122</f>
        <v>1309.871435</v>
      </c>
      <c r="BW92" s="52">
        <f>+Revenue_Calcs!BW122</f>
        <v>1411.115608</v>
      </c>
      <c r="BX92" s="52">
        <f>+Revenue_Calcs!BX122</f>
        <v>1413.838207</v>
      </c>
      <c r="BY92" s="52">
        <f>+Revenue_Calcs!BY122</f>
        <v>1420.21542</v>
      </c>
      <c r="BZ92" s="52">
        <f>+Revenue_Calcs!BZ122</f>
        <v>1422.339177</v>
      </c>
      <c r="CA92" s="52">
        <f>+Revenue_Calcs!CA122</f>
        <v>1422.318002</v>
      </c>
      <c r="CB92" s="52">
        <f>+Revenue_Calcs!CB122</f>
        <v>1420.936299</v>
      </c>
      <c r="CC92" s="52">
        <f>+Revenue_Calcs!CC122</f>
        <v>1415.481623</v>
      </c>
      <c r="CD92" s="52">
        <f>+Revenue_Calcs!CD122</f>
        <v>1437.82933</v>
      </c>
      <c r="CE92" s="52">
        <f>+Revenue_Calcs!CE122</f>
        <v>1418.934338</v>
      </c>
      <c r="CF92" s="52">
        <f>+Revenue_Calcs!CF122</f>
        <v>1426.096129</v>
      </c>
      <c r="CG92" s="52">
        <f>+Revenue_Calcs!CG122</f>
        <v>1432.879527</v>
      </c>
      <c r="CH92" s="52">
        <f>+Revenue_Calcs!CH122</f>
        <v>1519.936819</v>
      </c>
      <c r="CI92" s="52">
        <f>+Revenue_Calcs!CI122</f>
        <v>1667.981912</v>
      </c>
      <c r="CJ92" s="52">
        <f>+Revenue_Calcs!CJ122</f>
        <v>1678.959347</v>
      </c>
      <c r="CK92" s="52">
        <f>+Revenue_Calcs!CK122</f>
        <v>1683.743134</v>
      </c>
      <c r="CL92" s="52">
        <f>+Revenue_Calcs!CL122</f>
        <v>1696.08642</v>
      </c>
      <c r="CM92" s="52">
        <f>+Revenue_Calcs!CM122</f>
        <v>1693.100916</v>
      </c>
      <c r="CN92" s="52">
        <f>+Revenue_Calcs!CN122</f>
        <v>1690.429287</v>
      </c>
      <c r="CO92" s="52">
        <f>+Revenue_Calcs!CO122</f>
        <v>1688.061499</v>
      </c>
      <c r="CP92" s="52">
        <f>+Revenue_Calcs!CP122</f>
        <v>1724.923012</v>
      </c>
      <c r="CQ92" s="52">
        <f>+Revenue_Calcs!CQ122</f>
        <v>1692.572985</v>
      </c>
      <c r="CR92" s="52">
        <f>+Revenue_Calcs!CR122</f>
        <v>1706.900661</v>
      </c>
      <c r="CS92" s="52">
        <f>+Revenue_Calcs!CS122</f>
        <v>1709.996466</v>
      </c>
      <c r="CT92" s="52">
        <f>+Revenue_Calcs!CT122</f>
        <v>1820.254417</v>
      </c>
      <c r="CU92" s="52">
        <f>+Revenue_Calcs!CU122</f>
        <v>1984.129615</v>
      </c>
      <c r="CV92" s="52">
        <f>+Revenue_Calcs!CV122</f>
        <v>1999.544702</v>
      </c>
      <c r="CW92" s="52">
        <f>+Revenue_Calcs!CW122</f>
        <v>2015.568522</v>
      </c>
      <c r="CX92" s="52">
        <f>+Revenue_Calcs!CX122</f>
        <v>2024.905788</v>
      </c>
      <c r="CY92" s="52">
        <f>+Revenue_Calcs!CY122</f>
        <v>2022.825601</v>
      </c>
      <c r="CZ92" s="52">
        <f>+Revenue_Calcs!CZ122</f>
        <v>2031.808632</v>
      </c>
      <c r="DA92" s="52">
        <f>+Revenue_Calcs!DA122</f>
        <v>2018.701484</v>
      </c>
      <c r="DB92" s="52">
        <f>+Revenue_Calcs!DB122</f>
        <v>1999.710883</v>
      </c>
      <c r="DC92" s="52">
        <f>+Revenue_Calcs!DC122</f>
        <v>2034.466512</v>
      </c>
      <c r="DD92" s="52">
        <f>+Revenue_Calcs!DD122</f>
        <v>2051.888533</v>
      </c>
      <c r="DE92" s="52">
        <f>+Revenue_Calcs!DE122</f>
        <v>2056.171825</v>
      </c>
      <c r="DF92" s="52">
        <f>+Revenue_Calcs!DF122</f>
        <v>2180.871497</v>
      </c>
      <c r="DG92" s="52">
        <f>+Revenue_Calcs!DG122</f>
        <v>2394.242077</v>
      </c>
      <c r="DH92" s="52">
        <f>+Revenue_Calcs!DH122</f>
        <v>2411.313813</v>
      </c>
      <c r="DI92" s="52">
        <f>+Revenue_Calcs!DI122</f>
        <v>2433.83892</v>
      </c>
      <c r="DJ92" s="52">
        <f>+Revenue_Calcs!DJ122</f>
        <v>2438.009293</v>
      </c>
      <c r="DK92" s="52">
        <f>+Revenue_Calcs!DK122</f>
        <v>2438.31202</v>
      </c>
      <c r="DL92" s="52">
        <f>+Revenue_Calcs!DL122</f>
        <v>2456.65725</v>
      </c>
      <c r="DM92" s="52">
        <f>+Revenue_Calcs!DM122</f>
        <v>2434.867765</v>
      </c>
      <c r="DN92" s="52">
        <f>+Revenue_Calcs!DN122</f>
        <v>2439.593779</v>
      </c>
      <c r="DO92" s="52">
        <f>+Revenue_Calcs!DO122</f>
        <v>2455.918111</v>
      </c>
      <c r="DP92" s="52">
        <f>+Revenue_Calcs!DP122</f>
        <v>2454.716335</v>
      </c>
      <c r="DQ92" s="52">
        <f>+Revenue_Calcs!DQ122</f>
        <v>2469.223897</v>
      </c>
      <c r="DR92" s="52">
        <f>+Revenue_Calcs!DR122</f>
        <v>2583.222513</v>
      </c>
    </row>
    <row r="93" ht="15.0" customHeight="1">
      <c r="B93" s="5" t="s">
        <v>148</v>
      </c>
      <c r="F93" s="49">
        <f t="shared" ref="F93:J93" si="82">+F94/F92</f>
        <v>0.09364521257</v>
      </c>
      <c r="G93" s="49">
        <f t="shared" si="82"/>
        <v>0.1048509435</v>
      </c>
      <c r="H93" s="49">
        <f t="shared" si="82"/>
        <v>0.1175127329</v>
      </c>
      <c r="I93" s="49">
        <f t="shared" si="82"/>
        <v>0.1045743855</v>
      </c>
      <c r="J93" s="49">
        <f t="shared" si="82"/>
        <v>0.1011317753</v>
      </c>
      <c r="K93" s="109">
        <f>+COGS_Assumptions!K18</f>
        <v>0.1001317753</v>
      </c>
      <c r="L93" s="109">
        <f>+COGS_Assumptions!L18</f>
        <v>0.09913177532</v>
      </c>
      <c r="M93" s="109">
        <f>+COGS_Assumptions!M18</f>
        <v>0.09813177532</v>
      </c>
      <c r="AA93" s="49">
        <f t="shared" ref="AA93:CH93" si="83">+AA94/AA92</f>
        <v>0.09041616342</v>
      </c>
      <c r="AB93" s="49">
        <f t="shared" si="83"/>
        <v>0.08941142296</v>
      </c>
      <c r="AC93" s="49">
        <f t="shared" si="83"/>
        <v>0.09220119104</v>
      </c>
      <c r="AD93" s="49">
        <f t="shared" si="83"/>
        <v>0.09102087633</v>
      </c>
      <c r="AE93" s="49">
        <f t="shared" si="83"/>
        <v>0.117405322</v>
      </c>
      <c r="AF93" s="49">
        <f t="shared" si="83"/>
        <v>0.1155126983</v>
      </c>
      <c r="AG93" s="49">
        <f t="shared" si="83"/>
        <v>0.1047717977</v>
      </c>
      <c r="AH93" s="49">
        <f t="shared" si="83"/>
        <v>0.06907418469</v>
      </c>
      <c r="AI93" s="49">
        <f t="shared" si="83"/>
        <v>0.08786332943</v>
      </c>
      <c r="AJ93" s="49">
        <f t="shared" si="83"/>
        <v>0.1021183127</v>
      </c>
      <c r="AK93" s="49">
        <f t="shared" si="83"/>
        <v>0.09294978669</v>
      </c>
      <c r="AL93" s="49">
        <f t="shared" si="83"/>
        <v>0.07531311715</v>
      </c>
      <c r="AM93" s="49">
        <f t="shared" si="83"/>
        <v>0.08789869387</v>
      </c>
      <c r="AN93" s="49">
        <f t="shared" si="83"/>
        <v>0.08611624218</v>
      </c>
      <c r="AO93" s="49">
        <f t="shared" si="83"/>
        <v>0.09234432964</v>
      </c>
      <c r="AP93" s="49">
        <f t="shared" si="83"/>
        <v>0.09753491275</v>
      </c>
      <c r="AQ93" s="49">
        <f t="shared" si="83"/>
        <v>0.1057495736</v>
      </c>
      <c r="AR93" s="49">
        <f t="shared" si="83"/>
        <v>0.1169181641</v>
      </c>
      <c r="AS93" s="49">
        <f t="shared" si="83"/>
        <v>0.1037658116</v>
      </c>
      <c r="AT93" s="49">
        <f t="shared" si="83"/>
        <v>0.1110910819</v>
      </c>
      <c r="AU93" s="49">
        <f t="shared" si="83"/>
        <v>0.1148126333</v>
      </c>
      <c r="AV93" s="49">
        <f t="shared" si="83"/>
        <v>0.1161177834</v>
      </c>
      <c r="AW93" s="49">
        <f t="shared" si="83"/>
        <v>0.1188145832</v>
      </c>
      <c r="AX93" s="49">
        <f t="shared" si="83"/>
        <v>0.1060128292</v>
      </c>
      <c r="AY93" s="49">
        <f t="shared" si="83"/>
        <v>0.1285873317</v>
      </c>
      <c r="AZ93" s="49">
        <f t="shared" si="83"/>
        <v>0.1237512757</v>
      </c>
      <c r="BA93" s="49">
        <f t="shared" si="83"/>
        <v>0.1480695369</v>
      </c>
      <c r="BB93" s="49">
        <f t="shared" si="83"/>
        <v>0.1250390626</v>
      </c>
      <c r="BC93" s="49">
        <f t="shared" si="83"/>
        <v>0.1068953012</v>
      </c>
      <c r="BD93" s="49">
        <f t="shared" si="83"/>
        <v>0.1146096713</v>
      </c>
      <c r="BE93" s="49">
        <f t="shared" si="83"/>
        <v>0.1153078846</v>
      </c>
      <c r="BF93" s="49">
        <f t="shared" si="83"/>
        <v>0.1107153015</v>
      </c>
      <c r="BG93" s="49">
        <f t="shared" si="83"/>
        <v>0.1115994929</v>
      </c>
      <c r="BH93" s="49">
        <f t="shared" si="83"/>
        <v>0.1124016854</v>
      </c>
      <c r="BI93" s="49">
        <f t="shared" si="83"/>
        <v>0.1080329399</v>
      </c>
      <c r="BJ93" s="49">
        <f t="shared" si="83"/>
        <v>0.106996127</v>
      </c>
      <c r="BK93" s="49">
        <f t="shared" si="83"/>
        <v>0.09713126693</v>
      </c>
      <c r="BL93" s="49">
        <f t="shared" si="83"/>
        <v>0.1090778164</v>
      </c>
      <c r="BM93" s="49">
        <f t="shared" si="83"/>
        <v>0.1012354595</v>
      </c>
      <c r="BN93" s="49">
        <f t="shared" si="83"/>
        <v>0.1033502291</v>
      </c>
      <c r="BO93" s="49">
        <f t="shared" si="83"/>
        <v>0.1031669812</v>
      </c>
      <c r="BP93" s="49">
        <f t="shared" si="83"/>
        <v>0.1024216441</v>
      </c>
      <c r="BQ93" s="49">
        <f t="shared" si="83"/>
        <v>0.1069644015</v>
      </c>
      <c r="BR93" s="49">
        <f t="shared" si="83"/>
        <v>0.1073672185</v>
      </c>
      <c r="BS93" s="49">
        <f t="shared" si="83"/>
        <v>0.1060916371</v>
      </c>
      <c r="BT93" s="49">
        <f t="shared" si="83"/>
        <v>0.1078072599</v>
      </c>
      <c r="BU93" s="49">
        <f t="shared" si="83"/>
        <v>0.1062470989</v>
      </c>
      <c r="BV93" s="49">
        <f t="shared" si="83"/>
        <v>0.1040581666</v>
      </c>
      <c r="BW93" s="49">
        <f t="shared" si="83"/>
        <v>0.1024966509</v>
      </c>
      <c r="BX93" s="49">
        <f t="shared" si="83"/>
        <v>0.1022992752</v>
      </c>
      <c r="BY93" s="49">
        <f t="shared" si="83"/>
        <v>0.1018399194</v>
      </c>
      <c r="BZ93" s="49">
        <f t="shared" si="83"/>
        <v>0.1016878577</v>
      </c>
      <c r="CA93" s="49">
        <f t="shared" si="83"/>
        <v>0.1016893716</v>
      </c>
      <c r="CB93" s="49">
        <f t="shared" si="83"/>
        <v>0.1017882532</v>
      </c>
      <c r="CC93" s="49">
        <f t="shared" si="83"/>
        <v>0.1021805027</v>
      </c>
      <c r="CD93" s="49">
        <f t="shared" si="83"/>
        <v>0.1005923449</v>
      </c>
      <c r="CE93" s="49">
        <f t="shared" si="83"/>
        <v>0.1019318653</v>
      </c>
      <c r="CF93" s="49">
        <f t="shared" si="83"/>
        <v>0.1014199681</v>
      </c>
      <c r="CG93" s="49">
        <f t="shared" si="83"/>
        <v>0.1009398356</v>
      </c>
      <c r="CH93" s="49">
        <f t="shared" si="83"/>
        <v>0.0951583132</v>
      </c>
      <c r="CI93" s="49">
        <f t="shared" ref="CI93:DR93" si="84">+SUMIFS($F93:$M93,$F$7:$M$7,CI$7)</f>
        <v>0.1001317753</v>
      </c>
      <c r="CJ93" s="49">
        <f t="shared" si="84"/>
        <v>0.1001317753</v>
      </c>
      <c r="CK93" s="49">
        <f t="shared" si="84"/>
        <v>0.1001317753</v>
      </c>
      <c r="CL93" s="49">
        <f t="shared" si="84"/>
        <v>0.1001317753</v>
      </c>
      <c r="CM93" s="49">
        <f t="shared" si="84"/>
        <v>0.1001317753</v>
      </c>
      <c r="CN93" s="49">
        <f t="shared" si="84"/>
        <v>0.1001317753</v>
      </c>
      <c r="CO93" s="49">
        <f t="shared" si="84"/>
        <v>0.1001317753</v>
      </c>
      <c r="CP93" s="49">
        <f t="shared" si="84"/>
        <v>0.1001317753</v>
      </c>
      <c r="CQ93" s="49">
        <f t="shared" si="84"/>
        <v>0.1001317753</v>
      </c>
      <c r="CR93" s="49">
        <f t="shared" si="84"/>
        <v>0.1001317753</v>
      </c>
      <c r="CS93" s="49">
        <f t="shared" si="84"/>
        <v>0.1001317753</v>
      </c>
      <c r="CT93" s="49">
        <f t="shared" si="84"/>
        <v>0.1001317753</v>
      </c>
      <c r="CU93" s="49">
        <f t="shared" si="84"/>
        <v>0.09913177532</v>
      </c>
      <c r="CV93" s="49">
        <f t="shared" si="84"/>
        <v>0.09913177532</v>
      </c>
      <c r="CW93" s="49">
        <f t="shared" si="84"/>
        <v>0.09913177532</v>
      </c>
      <c r="CX93" s="49">
        <f t="shared" si="84"/>
        <v>0.09913177532</v>
      </c>
      <c r="CY93" s="49">
        <f t="shared" si="84"/>
        <v>0.09913177532</v>
      </c>
      <c r="CZ93" s="49">
        <f t="shared" si="84"/>
        <v>0.09913177532</v>
      </c>
      <c r="DA93" s="49">
        <f t="shared" si="84"/>
        <v>0.09913177532</v>
      </c>
      <c r="DB93" s="49">
        <f t="shared" si="84"/>
        <v>0.09913177532</v>
      </c>
      <c r="DC93" s="49">
        <f t="shared" si="84"/>
        <v>0.09913177532</v>
      </c>
      <c r="DD93" s="49">
        <f t="shared" si="84"/>
        <v>0.09913177532</v>
      </c>
      <c r="DE93" s="49">
        <f t="shared" si="84"/>
        <v>0.09913177532</v>
      </c>
      <c r="DF93" s="49">
        <f t="shared" si="84"/>
        <v>0.09913177532</v>
      </c>
      <c r="DG93" s="49">
        <f t="shared" si="84"/>
        <v>0.09813177532</v>
      </c>
      <c r="DH93" s="49">
        <f t="shared" si="84"/>
        <v>0.09813177532</v>
      </c>
      <c r="DI93" s="49">
        <f t="shared" si="84"/>
        <v>0.09813177532</v>
      </c>
      <c r="DJ93" s="49">
        <f t="shared" si="84"/>
        <v>0.09813177532</v>
      </c>
      <c r="DK93" s="49">
        <f t="shared" si="84"/>
        <v>0.09813177532</v>
      </c>
      <c r="DL93" s="49">
        <f t="shared" si="84"/>
        <v>0.09813177532</v>
      </c>
      <c r="DM93" s="49">
        <f t="shared" si="84"/>
        <v>0.09813177532</v>
      </c>
      <c r="DN93" s="49">
        <f t="shared" si="84"/>
        <v>0.09813177532</v>
      </c>
      <c r="DO93" s="49">
        <f t="shared" si="84"/>
        <v>0.09813177532</v>
      </c>
      <c r="DP93" s="49">
        <f t="shared" si="84"/>
        <v>0.09813177532</v>
      </c>
      <c r="DQ93" s="49">
        <f t="shared" si="84"/>
        <v>0.09813177532</v>
      </c>
      <c r="DR93" s="49">
        <f t="shared" si="84"/>
        <v>0.09813177532</v>
      </c>
    </row>
    <row r="94" ht="15.75" customHeight="1">
      <c r="B94" s="54" t="s">
        <v>145</v>
      </c>
      <c r="C94" s="54"/>
      <c r="D94" s="54"/>
      <c r="F94" s="55">
        <f t="shared" ref="F94:J94" si="85">+SUMIFS($AA94:$DR94,$AA$7:$DR$7,F$7)</f>
        <v>1108.03263</v>
      </c>
      <c r="G94" s="55">
        <f t="shared" si="85"/>
        <v>1346.63401</v>
      </c>
      <c r="H94" s="55">
        <f t="shared" si="85"/>
        <v>1653.12642</v>
      </c>
      <c r="I94" s="55">
        <f t="shared" si="85"/>
        <v>1587.9762</v>
      </c>
      <c r="J94" s="55">
        <f t="shared" si="85"/>
        <v>1735.615486</v>
      </c>
      <c r="K94" s="55">
        <f t="shared" ref="K94:M94" si="86">+K92*K93</f>
        <v>2047.996208</v>
      </c>
      <c r="L94" s="55">
        <f t="shared" si="86"/>
        <v>2420.856797</v>
      </c>
      <c r="M94" s="55">
        <f t="shared" si="86"/>
        <v>2886.047247</v>
      </c>
      <c r="AA94" s="120">
        <v>88.70992</v>
      </c>
      <c r="AB94" s="120">
        <v>87.72414</v>
      </c>
      <c r="AC94" s="120">
        <v>90.07706</v>
      </c>
      <c r="AD94" s="120">
        <v>88.95716</v>
      </c>
      <c r="AE94" s="120">
        <v>114.49684</v>
      </c>
      <c r="AF94" s="120">
        <v>111.20754</v>
      </c>
      <c r="AG94" s="120">
        <v>101.92651</v>
      </c>
      <c r="AH94" s="120">
        <v>76.08853</v>
      </c>
      <c r="AI94" s="120">
        <v>84.88898</v>
      </c>
      <c r="AJ94" s="120">
        <v>97.77277</v>
      </c>
      <c r="AK94" s="120">
        <v>90.02633</v>
      </c>
      <c r="AL94" s="120">
        <v>76.15685</v>
      </c>
      <c r="AM94" s="120">
        <v>91.7527</v>
      </c>
      <c r="AN94" s="120">
        <v>90.39665</v>
      </c>
      <c r="AO94" s="120">
        <v>97.35521</v>
      </c>
      <c r="AP94" s="120">
        <v>103.91077</v>
      </c>
      <c r="AQ94" s="120">
        <v>112.22462</v>
      </c>
      <c r="AR94" s="120">
        <v>123.16744</v>
      </c>
      <c r="AS94" s="120">
        <v>109.41586</v>
      </c>
      <c r="AT94" s="120">
        <v>109.96173</v>
      </c>
      <c r="AU94" s="120">
        <v>121.57349</v>
      </c>
      <c r="AV94" s="120">
        <v>128.09661</v>
      </c>
      <c r="AW94" s="120">
        <v>129.77107</v>
      </c>
      <c r="AX94" s="120">
        <v>129.00786</v>
      </c>
      <c r="AY94" s="120">
        <v>144.33116</v>
      </c>
      <c r="AZ94" s="120">
        <v>141.57008</v>
      </c>
      <c r="BA94" s="120">
        <v>170.55899</v>
      </c>
      <c r="BB94" s="120">
        <v>146.48361</v>
      </c>
      <c r="BC94" s="120">
        <v>125.10361</v>
      </c>
      <c r="BD94" s="120">
        <v>136.09896</v>
      </c>
      <c r="BE94" s="120">
        <v>135.17979</v>
      </c>
      <c r="BF94" s="120">
        <v>129.8899</v>
      </c>
      <c r="BG94" s="120">
        <v>132.2477</v>
      </c>
      <c r="BH94" s="120">
        <v>132.68107999999998</v>
      </c>
      <c r="BI94" s="120">
        <v>127.71285</v>
      </c>
      <c r="BJ94" s="120">
        <v>131.26869</v>
      </c>
      <c r="BK94" s="120">
        <v>121.502</v>
      </c>
      <c r="BL94" s="120">
        <v>136.446</v>
      </c>
      <c r="BM94" s="120">
        <v>128.90282000000002</v>
      </c>
      <c r="BN94" s="120">
        <v>129.50282</v>
      </c>
      <c r="BO94" s="120">
        <v>129.60282</v>
      </c>
      <c r="BP94" s="120">
        <v>130.20282</v>
      </c>
      <c r="BQ94" s="120">
        <v>134.30281999999997</v>
      </c>
      <c r="BR94" s="120">
        <v>134.90282</v>
      </c>
      <c r="BS94" s="120">
        <v>135.00281999999999</v>
      </c>
      <c r="BT94" s="120">
        <v>135.60281999999998</v>
      </c>
      <c r="BU94" s="120">
        <v>135.70281999999997</v>
      </c>
      <c r="BV94" s="120">
        <v>136.30281999999997</v>
      </c>
      <c r="BW94" s="120">
        <v>144.63462383333334</v>
      </c>
      <c r="BX94" s="120">
        <v>144.63462383333334</v>
      </c>
      <c r="BY94" s="120">
        <v>144.63462383333334</v>
      </c>
      <c r="BZ94" s="120">
        <v>144.63462383333334</v>
      </c>
      <c r="CA94" s="120">
        <v>144.63462383333336</v>
      </c>
      <c r="CB94" s="120">
        <v>144.63462383333334</v>
      </c>
      <c r="CC94" s="120">
        <v>144.63462383333334</v>
      </c>
      <c r="CD94" s="120">
        <v>144.63462383333334</v>
      </c>
      <c r="CE94" s="120">
        <v>144.63462383333336</v>
      </c>
      <c r="CF94" s="120">
        <v>144.63462383333336</v>
      </c>
      <c r="CG94" s="120">
        <v>144.63462383333336</v>
      </c>
      <c r="CH94" s="120">
        <v>144.63462383333336</v>
      </c>
      <c r="CI94" s="55">
        <f t="shared" ref="CI94:DR94" si="87">+CI92*CI93</f>
        <v>167.0179901</v>
      </c>
      <c r="CJ94" s="55">
        <f t="shared" si="87"/>
        <v>168.1171801</v>
      </c>
      <c r="CK94" s="55">
        <f t="shared" si="87"/>
        <v>168.5961892</v>
      </c>
      <c r="CL94" s="55">
        <f t="shared" si="87"/>
        <v>169.8321444</v>
      </c>
      <c r="CM94" s="55">
        <f t="shared" si="87"/>
        <v>169.5332005</v>
      </c>
      <c r="CN94" s="55">
        <f t="shared" si="87"/>
        <v>169.2656856</v>
      </c>
      <c r="CO94" s="55">
        <f t="shared" si="87"/>
        <v>169.0285948</v>
      </c>
      <c r="CP94" s="55">
        <f t="shared" si="87"/>
        <v>172.7196035</v>
      </c>
      <c r="CQ94" s="55">
        <f t="shared" si="87"/>
        <v>169.4803379</v>
      </c>
      <c r="CR94" s="55">
        <f t="shared" si="87"/>
        <v>170.9149934</v>
      </c>
      <c r="CS94" s="55">
        <f t="shared" si="87"/>
        <v>171.224982</v>
      </c>
      <c r="CT94" s="55">
        <f t="shared" si="87"/>
        <v>182.2653063</v>
      </c>
      <c r="CU94" s="55">
        <f t="shared" si="87"/>
        <v>196.6902912</v>
      </c>
      <c r="CV94" s="55">
        <f t="shared" si="87"/>
        <v>198.2184161</v>
      </c>
      <c r="CW94" s="55">
        <f t="shared" si="87"/>
        <v>199.8068858</v>
      </c>
      <c r="CX94" s="55">
        <f t="shared" si="87"/>
        <v>200.7325056</v>
      </c>
      <c r="CY94" s="55">
        <f t="shared" si="87"/>
        <v>200.526293</v>
      </c>
      <c r="CZ94" s="55">
        <f t="shared" si="87"/>
        <v>201.4167968</v>
      </c>
      <c r="DA94" s="55">
        <f t="shared" si="87"/>
        <v>200.117462</v>
      </c>
      <c r="DB94" s="55">
        <f t="shared" si="87"/>
        <v>198.23489</v>
      </c>
      <c r="DC94" s="55">
        <f t="shared" si="87"/>
        <v>201.6802771</v>
      </c>
      <c r="DD94" s="55">
        <f t="shared" si="87"/>
        <v>203.407353</v>
      </c>
      <c r="DE94" s="55">
        <f t="shared" si="87"/>
        <v>203.8319633</v>
      </c>
      <c r="DF94" s="55">
        <f t="shared" si="87"/>
        <v>216.1936633</v>
      </c>
      <c r="DG94" s="55">
        <f t="shared" si="87"/>
        <v>234.9512256</v>
      </c>
      <c r="DH94" s="55">
        <f t="shared" si="87"/>
        <v>236.6265053</v>
      </c>
      <c r="DI94" s="55">
        <f t="shared" si="87"/>
        <v>238.8369341</v>
      </c>
      <c r="DJ94" s="55">
        <f t="shared" si="87"/>
        <v>239.2461802</v>
      </c>
      <c r="DK94" s="55">
        <f t="shared" si="87"/>
        <v>239.2758873</v>
      </c>
      <c r="DL94" s="55">
        <f t="shared" si="87"/>
        <v>241.0761373</v>
      </c>
      <c r="DM94" s="55">
        <f t="shared" si="87"/>
        <v>238.9378965</v>
      </c>
      <c r="DN94" s="55">
        <f t="shared" si="87"/>
        <v>239.4016686</v>
      </c>
      <c r="DO94" s="55">
        <f t="shared" si="87"/>
        <v>241.0036043</v>
      </c>
      <c r="DP94" s="55">
        <f t="shared" si="87"/>
        <v>240.8856719</v>
      </c>
      <c r="DQ94" s="55">
        <f t="shared" si="87"/>
        <v>242.3093246</v>
      </c>
      <c r="DR94" s="55">
        <f t="shared" si="87"/>
        <v>253.4962113</v>
      </c>
    </row>
    <row r="95" ht="4.5" customHeight="1">
      <c r="K95" s="50"/>
      <c r="L95" s="50"/>
    </row>
    <row r="96" ht="15.75" customHeight="1">
      <c r="B96" s="47" t="s">
        <v>56</v>
      </c>
    </row>
    <row r="97" ht="15.75" customHeight="1">
      <c r="B97" s="5" t="s">
        <v>40</v>
      </c>
      <c r="F97" s="50">
        <f t="shared" ref="F97:M97" si="88">+SUMIFS($AA97:$DR97,$AA$7:$DR$7,F$7)</f>
        <v>11832.24</v>
      </c>
      <c r="G97" s="50">
        <f t="shared" si="88"/>
        <v>12843.318</v>
      </c>
      <c r="H97" s="50">
        <f t="shared" si="88"/>
        <v>14067.63658</v>
      </c>
      <c r="I97" s="50">
        <f t="shared" si="88"/>
        <v>15185.13537</v>
      </c>
      <c r="J97" s="50">
        <f t="shared" si="88"/>
        <v>17161.92048</v>
      </c>
      <c r="K97" s="50">
        <f t="shared" si="88"/>
        <v>20453.01006</v>
      </c>
      <c r="L97" s="50">
        <f t="shared" si="88"/>
        <v>24420.59359</v>
      </c>
      <c r="M97" s="50">
        <f t="shared" si="88"/>
        <v>29409.91578</v>
      </c>
      <c r="AA97" s="52">
        <f>+Revenue_Calcs!AA122</f>
        <v>981.129</v>
      </c>
      <c r="AB97" s="52">
        <f>+Revenue_Calcs!AB122</f>
        <v>981.129</v>
      </c>
      <c r="AC97" s="52">
        <f>+Revenue_Calcs!AC122</f>
        <v>976.962</v>
      </c>
      <c r="AD97" s="52">
        <f>+Revenue_Calcs!AD122</f>
        <v>977.327</v>
      </c>
      <c r="AE97" s="52">
        <f>+Revenue_Calcs!AE122</f>
        <v>975.227</v>
      </c>
      <c r="AF97" s="52">
        <f>+Revenue_Calcs!AF122</f>
        <v>962.73</v>
      </c>
      <c r="AG97" s="52">
        <f>+Revenue_Calcs!AG122</f>
        <v>972.843</v>
      </c>
      <c r="AH97" s="52">
        <f>+Revenue_Calcs!AH122</f>
        <v>1101.548</v>
      </c>
      <c r="AI97" s="52">
        <f>+Revenue_Calcs!AI122</f>
        <v>966.148</v>
      </c>
      <c r="AJ97" s="52">
        <f>+Revenue_Calcs!AJ122</f>
        <v>957.446</v>
      </c>
      <c r="AK97" s="52">
        <f>+Revenue_Calcs!AK122</f>
        <v>968.548</v>
      </c>
      <c r="AL97" s="52">
        <f>+Revenue_Calcs!AL122</f>
        <v>1011.203</v>
      </c>
      <c r="AM97" s="52">
        <f>+Revenue_Calcs!AM122</f>
        <v>1043.846</v>
      </c>
      <c r="AN97" s="52">
        <f>+Revenue_Calcs!AN122</f>
        <v>1049.705</v>
      </c>
      <c r="AO97" s="52">
        <f>+Revenue_Calcs!AO122</f>
        <v>1054.263</v>
      </c>
      <c r="AP97" s="52">
        <f>+Revenue_Calcs!AP122</f>
        <v>1065.37</v>
      </c>
      <c r="AQ97" s="52">
        <f>+Revenue_Calcs!AQ122</f>
        <v>1061.23</v>
      </c>
      <c r="AR97" s="52">
        <f>+Revenue_Calcs!AR122</f>
        <v>1053.45</v>
      </c>
      <c r="AS97" s="52">
        <f>+Revenue_Calcs!AS122</f>
        <v>1054.45</v>
      </c>
      <c r="AT97" s="52">
        <f>+Revenue_Calcs!AT122</f>
        <v>989.834</v>
      </c>
      <c r="AU97" s="52">
        <f>+Revenue_Calcs!AU122</f>
        <v>1058.886</v>
      </c>
      <c r="AV97" s="52">
        <f>+Revenue_Calcs!AV122</f>
        <v>1103.161</v>
      </c>
      <c r="AW97" s="52">
        <f>+Revenue_Calcs!AW122</f>
        <v>1092.215</v>
      </c>
      <c r="AX97" s="52">
        <f>+Revenue_Calcs!AX122</f>
        <v>1216.908</v>
      </c>
      <c r="AY97" s="52">
        <f>+Revenue_Calcs!AY122</f>
        <v>1122.436854</v>
      </c>
      <c r="AZ97" s="52">
        <f>+Revenue_Calcs!AZ122</f>
        <v>1143.988854</v>
      </c>
      <c r="BA97" s="52">
        <f>+Revenue_Calcs!BA122</f>
        <v>1151.884402</v>
      </c>
      <c r="BB97" s="52">
        <f>+Revenue_Calcs!BB122</f>
        <v>1171.502785</v>
      </c>
      <c r="BC97" s="52">
        <f>+Revenue_Calcs!BC122</f>
        <v>1170.337785</v>
      </c>
      <c r="BD97" s="52">
        <f>+Revenue_Calcs!BD122</f>
        <v>1187.499785</v>
      </c>
      <c r="BE97" s="52">
        <f>+Revenue_Calcs!BE122</f>
        <v>1172.337785</v>
      </c>
      <c r="BF97" s="52">
        <f>+Revenue_Calcs!BF122</f>
        <v>1173.188333</v>
      </c>
      <c r="BG97" s="52">
        <f>+Revenue_Calcs!BG122</f>
        <v>1185.020618</v>
      </c>
      <c r="BH97" s="52">
        <f>+Revenue_Calcs!BH122</f>
        <v>1180.418955</v>
      </c>
      <c r="BI97" s="52">
        <f>+Revenue_Calcs!BI122</f>
        <v>1182.16583</v>
      </c>
      <c r="BJ97" s="52">
        <f>+Revenue_Calcs!BJ122</f>
        <v>1226.854594</v>
      </c>
      <c r="BK97" s="52">
        <f>+Revenue_Calcs!BK122</f>
        <v>1250.905129</v>
      </c>
      <c r="BL97" s="52">
        <f>+Revenue_Calcs!BL122</f>
        <v>1250.905129</v>
      </c>
      <c r="BM97" s="52">
        <f>+Revenue_Calcs!BM122</f>
        <v>1273.297129</v>
      </c>
      <c r="BN97" s="52">
        <f>+Revenue_Calcs!BN122</f>
        <v>1253.048214</v>
      </c>
      <c r="BO97" s="52">
        <f>+Revenue_Calcs!BO122</f>
        <v>1256.243214</v>
      </c>
      <c r="BP97" s="52">
        <f>+Revenue_Calcs!BP122</f>
        <v>1271.243214</v>
      </c>
      <c r="BQ97" s="52">
        <f>+Revenue_Calcs!BQ122</f>
        <v>1255.58427</v>
      </c>
      <c r="BR97" s="52">
        <f>+Revenue_Calcs!BR122</f>
        <v>1256.461906</v>
      </c>
      <c r="BS97" s="52">
        <f>+Revenue_Calcs!BS122</f>
        <v>1272.511422</v>
      </c>
      <c r="BT97" s="52">
        <f>+Revenue_Calcs!BT122</f>
        <v>1257.826422</v>
      </c>
      <c r="BU97" s="52">
        <f>+Revenue_Calcs!BU122</f>
        <v>1277.237886</v>
      </c>
      <c r="BV97" s="52">
        <f>+Revenue_Calcs!BV122</f>
        <v>1309.871435</v>
      </c>
      <c r="BW97" s="52">
        <f>+Revenue_Calcs!BW122</f>
        <v>1411.115608</v>
      </c>
      <c r="BX97" s="52">
        <f>+Revenue_Calcs!BX122</f>
        <v>1413.838207</v>
      </c>
      <c r="BY97" s="52">
        <f>+Revenue_Calcs!BY122</f>
        <v>1420.21542</v>
      </c>
      <c r="BZ97" s="52">
        <f>+Revenue_Calcs!BZ122</f>
        <v>1422.339177</v>
      </c>
      <c r="CA97" s="52">
        <f>+Revenue_Calcs!CA122</f>
        <v>1422.318002</v>
      </c>
      <c r="CB97" s="52">
        <f>+Revenue_Calcs!CB122</f>
        <v>1420.936299</v>
      </c>
      <c r="CC97" s="52">
        <f>+Revenue_Calcs!CC122</f>
        <v>1415.481623</v>
      </c>
      <c r="CD97" s="52">
        <f>+Revenue_Calcs!CD122</f>
        <v>1437.82933</v>
      </c>
      <c r="CE97" s="52">
        <f>+Revenue_Calcs!CE122</f>
        <v>1418.934338</v>
      </c>
      <c r="CF97" s="52">
        <f>+Revenue_Calcs!CF122</f>
        <v>1426.096129</v>
      </c>
      <c r="CG97" s="52">
        <f>+Revenue_Calcs!CG122</f>
        <v>1432.879527</v>
      </c>
      <c r="CH97" s="52">
        <f>+Revenue_Calcs!CH122</f>
        <v>1519.936819</v>
      </c>
      <c r="CI97" s="52">
        <f>+Revenue_Calcs!CI122</f>
        <v>1667.981912</v>
      </c>
      <c r="CJ97" s="52">
        <f>+Revenue_Calcs!CJ122</f>
        <v>1678.959347</v>
      </c>
      <c r="CK97" s="52">
        <f>+Revenue_Calcs!CK122</f>
        <v>1683.743134</v>
      </c>
      <c r="CL97" s="52">
        <f>+Revenue_Calcs!CL122</f>
        <v>1696.08642</v>
      </c>
      <c r="CM97" s="52">
        <f>+Revenue_Calcs!CM122</f>
        <v>1693.100916</v>
      </c>
      <c r="CN97" s="52">
        <f>+Revenue_Calcs!CN122</f>
        <v>1690.429287</v>
      </c>
      <c r="CO97" s="52">
        <f>+Revenue_Calcs!CO122</f>
        <v>1688.061499</v>
      </c>
      <c r="CP97" s="52">
        <f>+Revenue_Calcs!CP122</f>
        <v>1724.923012</v>
      </c>
      <c r="CQ97" s="52">
        <f>+Revenue_Calcs!CQ122</f>
        <v>1692.572985</v>
      </c>
      <c r="CR97" s="52">
        <f>+Revenue_Calcs!CR122</f>
        <v>1706.900661</v>
      </c>
      <c r="CS97" s="52">
        <f>+Revenue_Calcs!CS122</f>
        <v>1709.996466</v>
      </c>
      <c r="CT97" s="52">
        <f>+Revenue_Calcs!CT122</f>
        <v>1820.254417</v>
      </c>
      <c r="CU97" s="52">
        <f>+Revenue_Calcs!CU122</f>
        <v>1984.129615</v>
      </c>
      <c r="CV97" s="52">
        <f>+Revenue_Calcs!CV122</f>
        <v>1999.544702</v>
      </c>
      <c r="CW97" s="52">
        <f>+Revenue_Calcs!CW122</f>
        <v>2015.568522</v>
      </c>
      <c r="CX97" s="52">
        <f>+Revenue_Calcs!CX122</f>
        <v>2024.905788</v>
      </c>
      <c r="CY97" s="52">
        <f>+Revenue_Calcs!CY122</f>
        <v>2022.825601</v>
      </c>
      <c r="CZ97" s="52">
        <f>+Revenue_Calcs!CZ122</f>
        <v>2031.808632</v>
      </c>
      <c r="DA97" s="52">
        <f>+Revenue_Calcs!DA122</f>
        <v>2018.701484</v>
      </c>
      <c r="DB97" s="52">
        <f>+Revenue_Calcs!DB122</f>
        <v>1999.710883</v>
      </c>
      <c r="DC97" s="52">
        <f>+Revenue_Calcs!DC122</f>
        <v>2034.466512</v>
      </c>
      <c r="DD97" s="52">
        <f>+Revenue_Calcs!DD122</f>
        <v>2051.888533</v>
      </c>
      <c r="DE97" s="52">
        <f>+Revenue_Calcs!DE122</f>
        <v>2056.171825</v>
      </c>
      <c r="DF97" s="52">
        <f>+Revenue_Calcs!DF122</f>
        <v>2180.871497</v>
      </c>
      <c r="DG97" s="52">
        <f>+Revenue_Calcs!DG122</f>
        <v>2394.242077</v>
      </c>
      <c r="DH97" s="52">
        <f>+Revenue_Calcs!DH122</f>
        <v>2411.313813</v>
      </c>
      <c r="DI97" s="52">
        <f>+Revenue_Calcs!DI122</f>
        <v>2433.83892</v>
      </c>
      <c r="DJ97" s="52">
        <f>+Revenue_Calcs!DJ122</f>
        <v>2438.009293</v>
      </c>
      <c r="DK97" s="52">
        <f>+Revenue_Calcs!DK122</f>
        <v>2438.31202</v>
      </c>
      <c r="DL97" s="52">
        <f>+Revenue_Calcs!DL122</f>
        <v>2456.65725</v>
      </c>
      <c r="DM97" s="52">
        <f>+Revenue_Calcs!DM122</f>
        <v>2434.867765</v>
      </c>
      <c r="DN97" s="52">
        <f>+Revenue_Calcs!DN122</f>
        <v>2439.593779</v>
      </c>
      <c r="DO97" s="52">
        <f>+Revenue_Calcs!DO122</f>
        <v>2455.918111</v>
      </c>
      <c r="DP97" s="52">
        <f>+Revenue_Calcs!DP122</f>
        <v>2454.716335</v>
      </c>
      <c r="DQ97" s="52">
        <f>+Revenue_Calcs!DQ122</f>
        <v>2469.223897</v>
      </c>
      <c r="DR97" s="52">
        <f>+Revenue_Calcs!DR122</f>
        <v>2583.222513</v>
      </c>
    </row>
    <row r="98" ht="15.0" customHeight="1">
      <c r="B98" s="5" t="s">
        <v>148</v>
      </c>
      <c r="F98" s="49">
        <f t="shared" ref="F98:J98" si="89">+F99/F97</f>
        <v>0.0248510113</v>
      </c>
      <c r="G98" s="49">
        <f t="shared" si="89"/>
        <v>0.02649593431</v>
      </c>
      <c r="H98" s="49">
        <f t="shared" si="89"/>
        <v>0.02237036252</v>
      </c>
      <c r="I98" s="49">
        <f t="shared" si="89"/>
        <v>0.02332644774</v>
      </c>
      <c r="J98" s="49">
        <f t="shared" si="89"/>
        <v>0.02237511824</v>
      </c>
      <c r="K98" s="109">
        <f>+COGS_Assumptions!K19</f>
        <v>0.02137511824</v>
      </c>
      <c r="L98" s="109">
        <f>+COGS_Assumptions!L19</f>
        <v>0.02037511824</v>
      </c>
      <c r="M98" s="109">
        <f>+COGS_Assumptions!M19</f>
        <v>0.01937511824</v>
      </c>
      <c r="AA98" s="49">
        <f t="shared" ref="AA98:CH98" si="90">+AA99/AA97</f>
        <v>0.02439802513</v>
      </c>
      <c r="AB98" s="49">
        <f t="shared" si="90"/>
        <v>0.0250564197</v>
      </c>
      <c r="AC98" s="49">
        <f t="shared" si="90"/>
        <v>0.02244327824</v>
      </c>
      <c r="AD98" s="49">
        <f t="shared" si="90"/>
        <v>0.02373375544</v>
      </c>
      <c r="AE98" s="49">
        <f t="shared" si="90"/>
        <v>0.0242176642</v>
      </c>
      <c r="AF98" s="49">
        <f t="shared" si="90"/>
        <v>0.02462124375</v>
      </c>
      <c r="AG98" s="49">
        <f t="shared" si="90"/>
        <v>0.02550022974</v>
      </c>
      <c r="AH98" s="49">
        <f t="shared" si="90"/>
        <v>0.02344713984</v>
      </c>
      <c r="AI98" s="49">
        <f t="shared" si="90"/>
        <v>0.02476152722</v>
      </c>
      <c r="AJ98" s="49">
        <f t="shared" si="90"/>
        <v>0.02713394802</v>
      </c>
      <c r="AK98" s="49">
        <f t="shared" si="90"/>
        <v>0.02547456605</v>
      </c>
      <c r="AL98" s="49">
        <f t="shared" si="90"/>
        <v>0.02755820542</v>
      </c>
      <c r="AM98" s="49">
        <f t="shared" si="90"/>
        <v>0.0246021827</v>
      </c>
      <c r="AN98" s="49">
        <f t="shared" si="90"/>
        <v>0.01923050762</v>
      </c>
      <c r="AO98" s="49">
        <f t="shared" si="90"/>
        <v>0.02307354996</v>
      </c>
      <c r="AP98" s="49">
        <f t="shared" si="90"/>
        <v>0.0213570966</v>
      </c>
      <c r="AQ98" s="49">
        <f t="shared" si="90"/>
        <v>0.04252761418</v>
      </c>
      <c r="AR98" s="49">
        <f t="shared" si="90"/>
        <v>0.0267171674</v>
      </c>
      <c r="AS98" s="49">
        <f t="shared" si="90"/>
        <v>0.02739014652</v>
      </c>
      <c r="AT98" s="49">
        <f t="shared" si="90"/>
        <v>0.03044547874</v>
      </c>
      <c r="AU98" s="49">
        <f t="shared" si="90"/>
        <v>0.02586324685</v>
      </c>
      <c r="AV98" s="49">
        <f t="shared" si="90"/>
        <v>0.02525494465</v>
      </c>
      <c r="AW98" s="49">
        <f t="shared" si="90"/>
        <v>0.02747652248</v>
      </c>
      <c r="AX98" s="49">
        <f t="shared" si="90"/>
        <v>0.02448714282</v>
      </c>
      <c r="AY98" s="49">
        <f t="shared" si="90"/>
        <v>0.02815768201</v>
      </c>
      <c r="AZ98" s="49">
        <f t="shared" si="90"/>
        <v>0.02470444525</v>
      </c>
      <c r="BA98" s="49">
        <f t="shared" si="90"/>
        <v>0.02214653654</v>
      </c>
      <c r="BB98" s="49">
        <f t="shared" si="90"/>
        <v>0.02378881243</v>
      </c>
      <c r="BC98" s="49">
        <f t="shared" si="90"/>
        <v>0.02483598358</v>
      </c>
      <c r="BD98" s="49">
        <f t="shared" si="90"/>
        <v>0.02430862757</v>
      </c>
      <c r="BE98" s="49">
        <f t="shared" si="90"/>
        <v>0.02063844595</v>
      </c>
      <c r="BF98" s="49">
        <f t="shared" si="90"/>
        <v>0.01976380036</v>
      </c>
      <c r="BG98" s="49">
        <f t="shared" si="90"/>
        <v>0.01959698393</v>
      </c>
      <c r="BH98" s="49">
        <f t="shared" si="90"/>
        <v>0.01958624089</v>
      </c>
      <c r="BI98" s="49">
        <f t="shared" si="90"/>
        <v>0.02069924488</v>
      </c>
      <c r="BJ98" s="49">
        <f t="shared" si="90"/>
        <v>0.02064203869</v>
      </c>
      <c r="BK98" s="49">
        <f t="shared" si="90"/>
        <v>0.02074018197</v>
      </c>
      <c r="BL98" s="49">
        <f t="shared" si="90"/>
        <v>0.0203708494</v>
      </c>
      <c r="BM98" s="49">
        <f t="shared" si="90"/>
        <v>0.0207379666</v>
      </c>
      <c r="BN98" s="49">
        <f t="shared" si="90"/>
        <v>0.02123269723</v>
      </c>
      <c r="BO98" s="49">
        <f t="shared" si="90"/>
        <v>0.02465466851</v>
      </c>
      <c r="BP98" s="49">
        <f t="shared" si="90"/>
        <v>0.02452108272</v>
      </c>
      <c r="BQ98" s="49">
        <f t="shared" si="90"/>
        <v>0.02482689592</v>
      </c>
      <c r="BR98" s="49">
        <f t="shared" si="90"/>
        <v>0.0248095544</v>
      </c>
      <c r="BS98" s="49">
        <f t="shared" si="90"/>
        <v>0.02449664456</v>
      </c>
      <c r="BT98" s="49">
        <f t="shared" si="90"/>
        <v>0.02494164493</v>
      </c>
      <c r="BU98" s="49">
        <f t="shared" si="90"/>
        <v>0.02456258176</v>
      </c>
      <c r="BV98" s="49">
        <f t="shared" si="90"/>
        <v>0.02395064063</v>
      </c>
      <c r="BW98" s="49">
        <f t="shared" si="90"/>
        <v>0.02267709308</v>
      </c>
      <c r="BX98" s="49">
        <f t="shared" si="90"/>
        <v>0.02263342428</v>
      </c>
      <c r="BY98" s="49">
        <f t="shared" si="90"/>
        <v>0.0225317931</v>
      </c>
      <c r="BZ98" s="49">
        <f t="shared" si="90"/>
        <v>0.0224981499</v>
      </c>
      <c r="CA98" s="49">
        <f t="shared" si="90"/>
        <v>0.02249848483</v>
      </c>
      <c r="CB98" s="49">
        <f t="shared" si="90"/>
        <v>0.02252036211</v>
      </c>
      <c r="CC98" s="49">
        <f t="shared" si="90"/>
        <v>0.0226071462</v>
      </c>
      <c r="CD98" s="49">
        <f t="shared" si="90"/>
        <v>0.02225577079</v>
      </c>
      <c r="CE98" s="49">
        <f t="shared" si="90"/>
        <v>0.02255213588</v>
      </c>
      <c r="CF98" s="49">
        <f t="shared" si="90"/>
        <v>0.02243888007</v>
      </c>
      <c r="CG98" s="49">
        <f t="shared" si="90"/>
        <v>0.02233265211</v>
      </c>
      <c r="CH98" s="49">
        <f t="shared" si="90"/>
        <v>0.0210535067</v>
      </c>
      <c r="CI98" s="49">
        <f t="shared" ref="CI98:DR98" si="91">+SUMIFS($F98:$M98,$F$7:$M$7,CI$7)</f>
        <v>0.02137511824</v>
      </c>
      <c r="CJ98" s="49">
        <f t="shared" si="91"/>
        <v>0.02137511824</v>
      </c>
      <c r="CK98" s="49">
        <f t="shared" si="91"/>
        <v>0.02137511824</v>
      </c>
      <c r="CL98" s="49">
        <f t="shared" si="91"/>
        <v>0.02137511824</v>
      </c>
      <c r="CM98" s="49">
        <f t="shared" si="91"/>
        <v>0.02137511824</v>
      </c>
      <c r="CN98" s="49">
        <f t="shared" si="91"/>
        <v>0.02137511824</v>
      </c>
      <c r="CO98" s="49">
        <f t="shared" si="91"/>
        <v>0.02137511824</v>
      </c>
      <c r="CP98" s="49">
        <f t="shared" si="91"/>
        <v>0.02137511824</v>
      </c>
      <c r="CQ98" s="49">
        <f t="shared" si="91"/>
        <v>0.02137511824</v>
      </c>
      <c r="CR98" s="49">
        <f t="shared" si="91"/>
        <v>0.02137511824</v>
      </c>
      <c r="CS98" s="49">
        <f t="shared" si="91"/>
        <v>0.02137511824</v>
      </c>
      <c r="CT98" s="49">
        <f t="shared" si="91"/>
        <v>0.02137511824</v>
      </c>
      <c r="CU98" s="49">
        <f t="shared" si="91"/>
        <v>0.02037511824</v>
      </c>
      <c r="CV98" s="49">
        <f t="shared" si="91"/>
        <v>0.02037511824</v>
      </c>
      <c r="CW98" s="49">
        <f t="shared" si="91"/>
        <v>0.02037511824</v>
      </c>
      <c r="CX98" s="49">
        <f t="shared" si="91"/>
        <v>0.02037511824</v>
      </c>
      <c r="CY98" s="49">
        <f t="shared" si="91"/>
        <v>0.02037511824</v>
      </c>
      <c r="CZ98" s="49">
        <f t="shared" si="91"/>
        <v>0.02037511824</v>
      </c>
      <c r="DA98" s="49">
        <f t="shared" si="91"/>
        <v>0.02037511824</v>
      </c>
      <c r="DB98" s="49">
        <f t="shared" si="91"/>
        <v>0.02037511824</v>
      </c>
      <c r="DC98" s="49">
        <f t="shared" si="91"/>
        <v>0.02037511824</v>
      </c>
      <c r="DD98" s="49">
        <f t="shared" si="91"/>
        <v>0.02037511824</v>
      </c>
      <c r="DE98" s="49">
        <f t="shared" si="91"/>
        <v>0.02037511824</v>
      </c>
      <c r="DF98" s="49">
        <f t="shared" si="91"/>
        <v>0.02037511824</v>
      </c>
      <c r="DG98" s="49">
        <f t="shared" si="91"/>
        <v>0.01937511824</v>
      </c>
      <c r="DH98" s="49">
        <f t="shared" si="91"/>
        <v>0.01937511824</v>
      </c>
      <c r="DI98" s="49">
        <f t="shared" si="91"/>
        <v>0.01937511824</v>
      </c>
      <c r="DJ98" s="49">
        <f t="shared" si="91"/>
        <v>0.01937511824</v>
      </c>
      <c r="DK98" s="49">
        <f t="shared" si="91"/>
        <v>0.01937511824</v>
      </c>
      <c r="DL98" s="49">
        <f t="shared" si="91"/>
        <v>0.01937511824</v>
      </c>
      <c r="DM98" s="49">
        <f t="shared" si="91"/>
        <v>0.01937511824</v>
      </c>
      <c r="DN98" s="49">
        <f t="shared" si="91"/>
        <v>0.01937511824</v>
      </c>
      <c r="DO98" s="49">
        <f t="shared" si="91"/>
        <v>0.01937511824</v>
      </c>
      <c r="DP98" s="49">
        <f t="shared" si="91"/>
        <v>0.01937511824</v>
      </c>
      <c r="DQ98" s="49">
        <f t="shared" si="91"/>
        <v>0.01937511824</v>
      </c>
      <c r="DR98" s="49">
        <f t="shared" si="91"/>
        <v>0.01937511824</v>
      </c>
    </row>
    <row r="99" ht="15.75" customHeight="1">
      <c r="B99" s="54" t="s">
        <v>145</v>
      </c>
      <c r="C99" s="54"/>
      <c r="D99" s="54"/>
      <c r="F99" s="55">
        <f t="shared" ref="F99:J99" si="92">+SUMIFS($AA99:$DR99,$AA$7:$DR$7,F$7)</f>
        <v>294.04313</v>
      </c>
      <c r="G99" s="55">
        <f t="shared" si="92"/>
        <v>340.29571</v>
      </c>
      <c r="H99" s="55">
        <f t="shared" si="92"/>
        <v>314.69813</v>
      </c>
      <c r="I99" s="55">
        <f t="shared" si="92"/>
        <v>354.2152667</v>
      </c>
      <c r="J99" s="55">
        <f t="shared" si="92"/>
        <v>384</v>
      </c>
      <c r="K99" s="55">
        <f t="shared" ref="K99:M99" si="93">+K97*K98</f>
        <v>437.1855084</v>
      </c>
      <c r="L99" s="55">
        <f t="shared" si="93"/>
        <v>497.572482</v>
      </c>
      <c r="M99" s="55">
        <f t="shared" si="93"/>
        <v>569.8205956</v>
      </c>
      <c r="AA99" s="120">
        <v>23.93761</v>
      </c>
      <c r="AB99" s="120">
        <v>24.58358</v>
      </c>
      <c r="AC99" s="120">
        <v>21.92623</v>
      </c>
      <c r="AD99" s="120">
        <v>23.19564</v>
      </c>
      <c r="AE99" s="120">
        <v>23.61772</v>
      </c>
      <c r="AF99" s="120">
        <v>23.70361</v>
      </c>
      <c r="AG99" s="120">
        <v>24.80772</v>
      </c>
      <c r="AH99" s="120">
        <v>25.82815</v>
      </c>
      <c r="AI99" s="120">
        <v>23.9233</v>
      </c>
      <c r="AJ99" s="120">
        <v>25.97929</v>
      </c>
      <c r="AK99" s="120">
        <v>24.67334</v>
      </c>
      <c r="AL99" s="120">
        <v>27.86694</v>
      </c>
      <c r="AM99" s="120">
        <v>25.68089</v>
      </c>
      <c r="AN99" s="120">
        <v>20.18636</v>
      </c>
      <c r="AO99" s="120">
        <v>24.32559</v>
      </c>
      <c r="AP99" s="120">
        <v>22.75321</v>
      </c>
      <c r="AQ99" s="120">
        <v>45.13158</v>
      </c>
      <c r="AR99" s="120">
        <v>28.1452</v>
      </c>
      <c r="AS99" s="120">
        <v>28.88154</v>
      </c>
      <c r="AT99" s="120">
        <v>30.13597</v>
      </c>
      <c r="AU99" s="120">
        <v>27.38623</v>
      </c>
      <c r="AV99" s="120">
        <v>27.86027</v>
      </c>
      <c r="AW99" s="120">
        <v>30.01027</v>
      </c>
      <c r="AX99" s="120">
        <v>29.7986</v>
      </c>
      <c r="AY99" s="120">
        <v>31.60522</v>
      </c>
      <c r="AZ99" s="120">
        <v>28.26161</v>
      </c>
      <c r="BA99" s="120">
        <v>25.51025</v>
      </c>
      <c r="BB99" s="120">
        <v>27.86866</v>
      </c>
      <c r="BC99" s="120">
        <v>29.06649</v>
      </c>
      <c r="BD99" s="120">
        <v>28.86649</v>
      </c>
      <c r="BE99" s="120">
        <v>24.19523</v>
      </c>
      <c r="BF99" s="120">
        <v>23.18666</v>
      </c>
      <c r="BG99" s="120">
        <v>23.22283</v>
      </c>
      <c r="BH99" s="120">
        <v>23.119970000000002</v>
      </c>
      <c r="BI99" s="120">
        <v>24.469939999999998</v>
      </c>
      <c r="BJ99" s="120">
        <v>25.32478</v>
      </c>
      <c r="BK99" s="120">
        <v>25.944</v>
      </c>
      <c r="BL99" s="120">
        <v>25.482</v>
      </c>
      <c r="BM99" s="120">
        <v>26.405593333333336</v>
      </c>
      <c r="BN99" s="120">
        <v>26.605593333333335</v>
      </c>
      <c r="BO99" s="120">
        <v>30.972260000000002</v>
      </c>
      <c r="BP99" s="120">
        <v>31.17226</v>
      </c>
      <c r="BQ99" s="120">
        <v>31.17226</v>
      </c>
      <c r="BR99" s="120">
        <v>31.17226</v>
      </c>
      <c r="BS99" s="120">
        <v>31.17226</v>
      </c>
      <c r="BT99" s="120">
        <v>31.37226</v>
      </c>
      <c r="BU99" s="120">
        <v>31.37226</v>
      </c>
      <c r="BV99" s="120">
        <v>31.37226</v>
      </c>
      <c r="BW99" s="120">
        <v>32.0</v>
      </c>
      <c r="BX99" s="120">
        <v>32.0</v>
      </c>
      <c r="BY99" s="120">
        <v>32.0</v>
      </c>
      <c r="BZ99" s="120">
        <v>32.0</v>
      </c>
      <c r="CA99" s="120">
        <v>32.0</v>
      </c>
      <c r="CB99" s="120">
        <v>32.0</v>
      </c>
      <c r="CC99" s="120">
        <v>32.0</v>
      </c>
      <c r="CD99" s="120">
        <v>32.0</v>
      </c>
      <c r="CE99" s="120">
        <v>32.0</v>
      </c>
      <c r="CF99" s="120">
        <v>32.0</v>
      </c>
      <c r="CG99" s="120">
        <v>32.0</v>
      </c>
      <c r="CH99" s="120">
        <v>32.0</v>
      </c>
      <c r="CI99" s="55">
        <f t="shared" ref="CI99:DR99" si="94">+CI97*CI98</f>
        <v>35.6533106</v>
      </c>
      <c r="CJ99" s="55">
        <f t="shared" si="94"/>
        <v>35.88795456</v>
      </c>
      <c r="CK99" s="55">
        <f t="shared" si="94"/>
        <v>35.99020858</v>
      </c>
      <c r="CL99" s="55">
        <f t="shared" si="94"/>
        <v>36.25404778</v>
      </c>
      <c r="CM99" s="55">
        <f t="shared" si="94"/>
        <v>36.19023227</v>
      </c>
      <c r="CN99" s="55">
        <f t="shared" si="94"/>
        <v>36.13312589</v>
      </c>
      <c r="CO99" s="55">
        <f t="shared" si="94"/>
        <v>36.08251415</v>
      </c>
      <c r="CP99" s="55">
        <f t="shared" si="94"/>
        <v>36.87043334</v>
      </c>
      <c r="CQ99" s="55">
        <f t="shared" si="94"/>
        <v>36.1789477</v>
      </c>
      <c r="CR99" s="55">
        <f t="shared" si="94"/>
        <v>36.48520345</v>
      </c>
      <c r="CS99" s="55">
        <f t="shared" si="94"/>
        <v>36.55137666</v>
      </c>
      <c r="CT99" s="55">
        <f t="shared" si="94"/>
        <v>38.90815338</v>
      </c>
      <c r="CU99" s="55">
        <f t="shared" si="94"/>
        <v>40.4268755</v>
      </c>
      <c r="CV99" s="55">
        <f t="shared" si="94"/>
        <v>40.74095973</v>
      </c>
      <c r="CW99" s="55">
        <f t="shared" si="94"/>
        <v>41.06744695</v>
      </c>
      <c r="CX99" s="55">
        <f t="shared" si="94"/>
        <v>41.25769485</v>
      </c>
      <c r="CY99" s="55">
        <f t="shared" si="94"/>
        <v>41.21531081</v>
      </c>
      <c r="CZ99" s="55">
        <f t="shared" si="94"/>
        <v>41.39834112</v>
      </c>
      <c r="DA99" s="55">
        <f t="shared" si="94"/>
        <v>41.13128144</v>
      </c>
      <c r="DB99" s="55">
        <f t="shared" si="94"/>
        <v>40.7443457</v>
      </c>
      <c r="DC99" s="55">
        <f t="shared" si="94"/>
        <v>41.45249573</v>
      </c>
      <c r="DD99" s="55">
        <f t="shared" si="94"/>
        <v>41.80747147</v>
      </c>
      <c r="DE99" s="55">
        <f t="shared" si="94"/>
        <v>41.89474405</v>
      </c>
      <c r="DF99" s="55">
        <f t="shared" si="94"/>
        <v>44.43551463</v>
      </c>
      <c r="DG99" s="55">
        <f t="shared" si="94"/>
        <v>46.38872335</v>
      </c>
      <c r="DH99" s="55">
        <f t="shared" si="94"/>
        <v>46.71949025</v>
      </c>
      <c r="DI99" s="55">
        <f t="shared" si="94"/>
        <v>47.15591686</v>
      </c>
      <c r="DJ99" s="55">
        <f t="shared" si="94"/>
        <v>47.23671833</v>
      </c>
      <c r="DK99" s="55">
        <f t="shared" si="94"/>
        <v>47.24258371</v>
      </c>
      <c r="DL99" s="55">
        <f t="shared" si="94"/>
        <v>47.5980247</v>
      </c>
      <c r="DM99" s="55">
        <f t="shared" si="94"/>
        <v>47.17585086</v>
      </c>
      <c r="DN99" s="55">
        <f t="shared" si="94"/>
        <v>47.26741792</v>
      </c>
      <c r="DO99" s="55">
        <f t="shared" si="94"/>
        <v>47.5837038</v>
      </c>
      <c r="DP99" s="55">
        <f t="shared" si="94"/>
        <v>47.56041924</v>
      </c>
      <c r="DQ99" s="55">
        <f t="shared" si="94"/>
        <v>47.84150496</v>
      </c>
      <c r="DR99" s="55">
        <f t="shared" si="94"/>
        <v>50.05024164</v>
      </c>
    </row>
    <row r="100" ht="4.5" customHeight="1">
      <c r="K100" s="50"/>
      <c r="L100" s="50"/>
    </row>
    <row r="101" ht="15.75" customHeight="1">
      <c r="B101" s="47" t="s">
        <v>149</v>
      </c>
    </row>
    <row r="102" ht="15.75" customHeight="1">
      <c r="B102" s="5" t="s">
        <v>40</v>
      </c>
      <c r="F102" s="50">
        <f t="shared" ref="F102:M102" si="95">+SUMIFS($AA102:$DR102,$AA$7:$DR$7,F$7)</f>
        <v>11832.24</v>
      </c>
      <c r="G102" s="50">
        <f t="shared" si="95"/>
        <v>12843.318</v>
      </c>
      <c r="H102" s="50">
        <f t="shared" si="95"/>
        <v>14067.63658</v>
      </c>
      <c r="I102" s="50">
        <f t="shared" si="95"/>
        <v>15185.13537</v>
      </c>
      <c r="J102" s="50">
        <f t="shared" si="95"/>
        <v>17161.92048</v>
      </c>
      <c r="K102" s="50">
        <f t="shared" si="95"/>
        <v>20453.01006</v>
      </c>
      <c r="L102" s="50">
        <f t="shared" si="95"/>
        <v>24420.59359</v>
      </c>
      <c r="M102" s="50">
        <f t="shared" si="95"/>
        <v>29409.91578</v>
      </c>
      <c r="AA102" s="52">
        <f>+Revenue_Calcs!AA122</f>
        <v>981.129</v>
      </c>
      <c r="AB102" s="52">
        <f>+Revenue_Calcs!AB122</f>
        <v>981.129</v>
      </c>
      <c r="AC102" s="52">
        <f>+Revenue_Calcs!AC122</f>
        <v>976.962</v>
      </c>
      <c r="AD102" s="52">
        <f>+Revenue_Calcs!AD122</f>
        <v>977.327</v>
      </c>
      <c r="AE102" s="52">
        <f>+Revenue_Calcs!AE122</f>
        <v>975.227</v>
      </c>
      <c r="AF102" s="52">
        <f>+Revenue_Calcs!AF122</f>
        <v>962.73</v>
      </c>
      <c r="AG102" s="52">
        <f>+Revenue_Calcs!AG122</f>
        <v>972.843</v>
      </c>
      <c r="AH102" s="52">
        <f>+Revenue_Calcs!AH122</f>
        <v>1101.548</v>
      </c>
      <c r="AI102" s="52">
        <f>+Revenue_Calcs!AI122</f>
        <v>966.148</v>
      </c>
      <c r="AJ102" s="52">
        <f>+Revenue_Calcs!AJ122</f>
        <v>957.446</v>
      </c>
      <c r="AK102" s="52">
        <f>+Revenue_Calcs!AK122</f>
        <v>968.548</v>
      </c>
      <c r="AL102" s="52">
        <f>+Revenue_Calcs!AL122</f>
        <v>1011.203</v>
      </c>
      <c r="AM102" s="52">
        <f>+Revenue_Calcs!AM122</f>
        <v>1043.846</v>
      </c>
      <c r="AN102" s="52">
        <f>+Revenue_Calcs!AN122</f>
        <v>1049.705</v>
      </c>
      <c r="AO102" s="52">
        <f>+Revenue_Calcs!AO122</f>
        <v>1054.263</v>
      </c>
      <c r="AP102" s="52">
        <f>+Revenue_Calcs!AP122</f>
        <v>1065.37</v>
      </c>
      <c r="AQ102" s="52">
        <f>+Revenue_Calcs!AQ122</f>
        <v>1061.23</v>
      </c>
      <c r="AR102" s="52">
        <f>+Revenue_Calcs!AR122</f>
        <v>1053.45</v>
      </c>
      <c r="AS102" s="52">
        <f>+Revenue_Calcs!AS122</f>
        <v>1054.45</v>
      </c>
      <c r="AT102" s="52">
        <f>+Revenue_Calcs!AT122</f>
        <v>989.834</v>
      </c>
      <c r="AU102" s="52">
        <f>+Revenue_Calcs!AU122</f>
        <v>1058.886</v>
      </c>
      <c r="AV102" s="52">
        <f>+Revenue_Calcs!AV122</f>
        <v>1103.161</v>
      </c>
      <c r="AW102" s="52">
        <f>+Revenue_Calcs!AW122</f>
        <v>1092.215</v>
      </c>
      <c r="AX102" s="52">
        <f>+Revenue_Calcs!AX122</f>
        <v>1216.908</v>
      </c>
      <c r="AY102" s="52">
        <f>+Revenue_Calcs!AY122</f>
        <v>1122.436854</v>
      </c>
      <c r="AZ102" s="52">
        <f>+Revenue_Calcs!AZ122</f>
        <v>1143.988854</v>
      </c>
      <c r="BA102" s="52">
        <f>+Revenue_Calcs!BA122</f>
        <v>1151.884402</v>
      </c>
      <c r="BB102" s="52">
        <f>+Revenue_Calcs!BB122</f>
        <v>1171.502785</v>
      </c>
      <c r="BC102" s="52">
        <f>+Revenue_Calcs!BC122</f>
        <v>1170.337785</v>
      </c>
      <c r="BD102" s="52">
        <f>+Revenue_Calcs!BD122</f>
        <v>1187.499785</v>
      </c>
      <c r="BE102" s="52">
        <f>+Revenue_Calcs!BE122</f>
        <v>1172.337785</v>
      </c>
      <c r="BF102" s="52">
        <f>+Revenue_Calcs!BF122</f>
        <v>1173.188333</v>
      </c>
      <c r="BG102" s="52">
        <f>+Revenue_Calcs!BG122</f>
        <v>1185.020618</v>
      </c>
      <c r="BH102" s="52">
        <f>+Revenue_Calcs!BH122</f>
        <v>1180.418955</v>
      </c>
      <c r="BI102" s="52">
        <f>+Revenue_Calcs!BI122</f>
        <v>1182.16583</v>
      </c>
      <c r="BJ102" s="52">
        <f>+Revenue_Calcs!BJ122</f>
        <v>1226.854594</v>
      </c>
      <c r="BK102" s="52">
        <f>+Revenue_Calcs!BK122</f>
        <v>1250.905129</v>
      </c>
      <c r="BL102" s="52">
        <f>+Revenue_Calcs!BL122</f>
        <v>1250.905129</v>
      </c>
      <c r="BM102" s="52">
        <f>+Revenue_Calcs!BM122</f>
        <v>1273.297129</v>
      </c>
      <c r="BN102" s="52">
        <f>+Revenue_Calcs!BN122</f>
        <v>1253.048214</v>
      </c>
      <c r="BO102" s="52">
        <f>+Revenue_Calcs!BO122</f>
        <v>1256.243214</v>
      </c>
      <c r="BP102" s="52">
        <f>+Revenue_Calcs!BP122</f>
        <v>1271.243214</v>
      </c>
      <c r="BQ102" s="52">
        <f>+Revenue_Calcs!BQ122</f>
        <v>1255.58427</v>
      </c>
      <c r="BR102" s="52">
        <f>+Revenue_Calcs!BR122</f>
        <v>1256.461906</v>
      </c>
      <c r="BS102" s="52">
        <f>+Revenue_Calcs!BS122</f>
        <v>1272.511422</v>
      </c>
      <c r="BT102" s="52">
        <f>+Revenue_Calcs!BT122</f>
        <v>1257.826422</v>
      </c>
      <c r="BU102" s="52">
        <f>+Revenue_Calcs!BU122</f>
        <v>1277.237886</v>
      </c>
      <c r="BV102" s="52">
        <f>+Revenue_Calcs!BV122</f>
        <v>1309.871435</v>
      </c>
      <c r="BW102" s="52">
        <f>+Revenue_Calcs!BW122</f>
        <v>1411.115608</v>
      </c>
      <c r="BX102" s="52">
        <f>+Revenue_Calcs!BX122</f>
        <v>1413.838207</v>
      </c>
      <c r="BY102" s="52">
        <f>+Revenue_Calcs!BY122</f>
        <v>1420.21542</v>
      </c>
      <c r="BZ102" s="52">
        <f>+Revenue_Calcs!BZ122</f>
        <v>1422.339177</v>
      </c>
      <c r="CA102" s="52">
        <f>+Revenue_Calcs!CA122</f>
        <v>1422.318002</v>
      </c>
      <c r="CB102" s="52">
        <f>+Revenue_Calcs!CB122</f>
        <v>1420.936299</v>
      </c>
      <c r="CC102" s="52">
        <f>+Revenue_Calcs!CC122</f>
        <v>1415.481623</v>
      </c>
      <c r="CD102" s="52">
        <f>+Revenue_Calcs!CD122</f>
        <v>1437.82933</v>
      </c>
      <c r="CE102" s="52">
        <f>+Revenue_Calcs!CE122</f>
        <v>1418.934338</v>
      </c>
      <c r="CF102" s="52">
        <f>+Revenue_Calcs!CF122</f>
        <v>1426.096129</v>
      </c>
      <c r="CG102" s="52">
        <f>+Revenue_Calcs!CG122</f>
        <v>1432.879527</v>
      </c>
      <c r="CH102" s="52">
        <f>+Revenue_Calcs!CH122</f>
        <v>1519.936819</v>
      </c>
      <c r="CI102" s="52">
        <f>+Revenue_Calcs!CI122</f>
        <v>1667.981912</v>
      </c>
      <c r="CJ102" s="52">
        <f>+Revenue_Calcs!CJ122</f>
        <v>1678.959347</v>
      </c>
      <c r="CK102" s="52">
        <f>+Revenue_Calcs!CK122</f>
        <v>1683.743134</v>
      </c>
      <c r="CL102" s="52">
        <f>+Revenue_Calcs!CL122</f>
        <v>1696.08642</v>
      </c>
      <c r="CM102" s="52">
        <f>+Revenue_Calcs!CM122</f>
        <v>1693.100916</v>
      </c>
      <c r="CN102" s="52">
        <f>+Revenue_Calcs!CN122</f>
        <v>1690.429287</v>
      </c>
      <c r="CO102" s="52">
        <f>+Revenue_Calcs!CO122</f>
        <v>1688.061499</v>
      </c>
      <c r="CP102" s="52">
        <f>+Revenue_Calcs!CP122</f>
        <v>1724.923012</v>
      </c>
      <c r="CQ102" s="52">
        <f>+Revenue_Calcs!CQ122</f>
        <v>1692.572985</v>
      </c>
      <c r="CR102" s="52">
        <f>+Revenue_Calcs!CR122</f>
        <v>1706.900661</v>
      </c>
      <c r="CS102" s="52">
        <f>+Revenue_Calcs!CS122</f>
        <v>1709.996466</v>
      </c>
      <c r="CT102" s="52">
        <f>+Revenue_Calcs!CT122</f>
        <v>1820.254417</v>
      </c>
      <c r="CU102" s="52">
        <f>+Revenue_Calcs!CU122</f>
        <v>1984.129615</v>
      </c>
      <c r="CV102" s="52">
        <f>+Revenue_Calcs!CV122</f>
        <v>1999.544702</v>
      </c>
      <c r="CW102" s="52">
        <f>+Revenue_Calcs!CW122</f>
        <v>2015.568522</v>
      </c>
      <c r="CX102" s="52">
        <f>+Revenue_Calcs!CX122</f>
        <v>2024.905788</v>
      </c>
      <c r="CY102" s="52">
        <f>+Revenue_Calcs!CY122</f>
        <v>2022.825601</v>
      </c>
      <c r="CZ102" s="52">
        <f>+Revenue_Calcs!CZ122</f>
        <v>2031.808632</v>
      </c>
      <c r="DA102" s="52">
        <f>+Revenue_Calcs!DA122</f>
        <v>2018.701484</v>
      </c>
      <c r="DB102" s="52">
        <f>+Revenue_Calcs!DB122</f>
        <v>1999.710883</v>
      </c>
      <c r="DC102" s="52">
        <f>+Revenue_Calcs!DC122</f>
        <v>2034.466512</v>
      </c>
      <c r="DD102" s="52">
        <f>+Revenue_Calcs!DD122</f>
        <v>2051.888533</v>
      </c>
      <c r="DE102" s="52">
        <f>+Revenue_Calcs!DE122</f>
        <v>2056.171825</v>
      </c>
      <c r="DF102" s="52">
        <f>+Revenue_Calcs!DF122</f>
        <v>2180.871497</v>
      </c>
      <c r="DG102" s="52">
        <f>+Revenue_Calcs!DG122</f>
        <v>2394.242077</v>
      </c>
      <c r="DH102" s="52">
        <f>+Revenue_Calcs!DH122</f>
        <v>2411.313813</v>
      </c>
      <c r="DI102" s="52">
        <f>+Revenue_Calcs!DI122</f>
        <v>2433.83892</v>
      </c>
      <c r="DJ102" s="52">
        <f>+Revenue_Calcs!DJ122</f>
        <v>2438.009293</v>
      </c>
      <c r="DK102" s="52">
        <f>+Revenue_Calcs!DK122</f>
        <v>2438.31202</v>
      </c>
      <c r="DL102" s="52">
        <f>+Revenue_Calcs!DL122</f>
        <v>2456.65725</v>
      </c>
      <c r="DM102" s="52">
        <f>+Revenue_Calcs!DM122</f>
        <v>2434.867765</v>
      </c>
      <c r="DN102" s="52">
        <f>+Revenue_Calcs!DN122</f>
        <v>2439.593779</v>
      </c>
      <c r="DO102" s="52">
        <f>+Revenue_Calcs!DO122</f>
        <v>2455.918111</v>
      </c>
      <c r="DP102" s="52">
        <f>+Revenue_Calcs!DP122</f>
        <v>2454.716335</v>
      </c>
      <c r="DQ102" s="52">
        <f>+Revenue_Calcs!DQ122</f>
        <v>2469.223897</v>
      </c>
      <c r="DR102" s="52">
        <f>+Revenue_Calcs!DR122</f>
        <v>2583.222513</v>
      </c>
    </row>
    <row r="103" ht="15.75" customHeight="1">
      <c r="B103" s="5" t="s">
        <v>148</v>
      </c>
      <c r="F103" s="49">
        <f t="shared" ref="F103:J103" si="96">+F104/F102</f>
        <v>0.004310257398</v>
      </c>
      <c r="G103" s="49">
        <f t="shared" si="96"/>
        <v>0.005224290172</v>
      </c>
      <c r="H103" s="49">
        <f t="shared" si="96"/>
        <v>0</v>
      </c>
      <c r="I103" s="49">
        <f t="shared" si="96"/>
        <v>0</v>
      </c>
      <c r="J103" s="49">
        <f t="shared" si="96"/>
        <v>0</v>
      </c>
      <c r="K103" s="109">
        <f>+COGS_Assumptions!K20</f>
        <v>0</v>
      </c>
      <c r="L103" s="109">
        <f>+COGS_Assumptions!L20</f>
        <v>0</v>
      </c>
      <c r="M103" s="109">
        <f>+COGS_Assumptions!M20</f>
        <v>0</v>
      </c>
      <c r="AA103" s="50">
        <f t="shared" ref="AA103:BV103" si="97">+AA104/AA102</f>
        <v>0</v>
      </c>
      <c r="AB103" s="50">
        <f t="shared" si="97"/>
        <v>0</v>
      </c>
      <c r="AC103" s="50">
        <f t="shared" si="97"/>
        <v>0</v>
      </c>
      <c r="AD103" s="50">
        <f t="shared" si="97"/>
        <v>0</v>
      </c>
      <c r="AE103" s="50">
        <f t="shared" si="97"/>
        <v>0.007177816037</v>
      </c>
      <c r="AF103" s="50">
        <f t="shared" si="97"/>
        <v>0.007270989789</v>
      </c>
      <c r="AG103" s="50">
        <f t="shared" si="97"/>
        <v>0.01439081126</v>
      </c>
      <c r="AH103" s="50">
        <f t="shared" si="97"/>
        <v>0.006354693577</v>
      </c>
      <c r="AI103" s="50">
        <f t="shared" si="97"/>
        <v>-0.01449053354</v>
      </c>
      <c r="AJ103" s="50">
        <f t="shared" si="97"/>
        <v>0.01044445326</v>
      </c>
      <c r="AK103" s="50">
        <f t="shared" si="97"/>
        <v>0.01032473352</v>
      </c>
      <c r="AL103" s="50">
        <f t="shared" si="97"/>
        <v>0.009889211167</v>
      </c>
      <c r="AM103" s="50">
        <f t="shared" si="97"/>
        <v>0.009579957197</v>
      </c>
      <c r="AN103" s="50">
        <f t="shared" si="97"/>
        <v>0.009526486013</v>
      </c>
      <c r="AO103" s="50">
        <f t="shared" si="97"/>
        <v>0.009485299209</v>
      </c>
      <c r="AP103" s="50">
        <f t="shared" si="97"/>
        <v>0.009386410355</v>
      </c>
      <c r="AQ103" s="50">
        <f t="shared" si="97"/>
        <v>0.009423027996</v>
      </c>
      <c r="AR103" s="50">
        <f t="shared" si="97"/>
        <v>0.009492619488</v>
      </c>
      <c r="AS103" s="50">
        <f t="shared" si="97"/>
        <v>0.006730731661</v>
      </c>
      <c r="AT103" s="50">
        <f t="shared" si="97"/>
        <v>0</v>
      </c>
      <c r="AU103" s="50">
        <f t="shared" si="97"/>
        <v>0</v>
      </c>
      <c r="AV103" s="50">
        <f t="shared" si="97"/>
        <v>0</v>
      </c>
      <c r="AW103" s="50">
        <f t="shared" si="97"/>
        <v>0</v>
      </c>
      <c r="AX103" s="50">
        <f t="shared" si="97"/>
        <v>0</v>
      </c>
      <c r="AY103" s="50">
        <f t="shared" si="97"/>
        <v>0</v>
      </c>
      <c r="AZ103" s="50">
        <f t="shared" si="97"/>
        <v>0</v>
      </c>
      <c r="BA103" s="50">
        <f t="shared" si="97"/>
        <v>0</v>
      </c>
      <c r="BB103" s="50">
        <f t="shared" si="97"/>
        <v>0</v>
      </c>
      <c r="BC103" s="50">
        <f t="shared" si="97"/>
        <v>0</v>
      </c>
      <c r="BD103" s="50">
        <f t="shared" si="97"/>
        <v>0</v>
      </c>
      <c r="BE103" s="50">
        <f t="shared" si="97"/>
        <v>0</v>
      </c>
      <c r="BF103" s="50">
        <f t="shared" si="97"/>
        <v>0</v>
      </c>
      <c r="BG103" s="50">
        <f t="shared" si="97"/>
        <v>0</v>
      </c>
      <c r="BH103" s="50">
        <f t="shared" si="97"/>
        <v>0</v>
      </c>
      <c r="BI103" s="50">
        <f t="shared" si="97"/>
        <v>0</v>
      </c>
      <c r="BJ103" s="50">
        <f t="shared" si="97"/>
        <v>0</v>
      </c>
      <c r="BK103" s="50">
        <f t="shared" si="97"/>
        <v>0</v>
      </c>
      <c r="BL103" s="50">
        <f t="shared" si="97"/>
        <v>0</v>
      </c>
      <c r="BM103" s="50">
        <f t="shared" si="97"/>
        <v>0</v>
      </c>
      <c r="BN103" s="50">
        <f t="shared" si="97"/>
        <v>0</v>
      </c>
      <c r="BO103" s="50">
        <f t="shared" si="97"/>
        <v>0</v>
      </c>
      <c r="BP103" s="50">
        <f t="shared" si="97"/>
        <v>0</v>
      </c>
      <c r="BQ103" s="50">
        <f t="shared" si="97"/>
        <v>0</v>
      </c>
      <c r="BR103" s="50">
        <f t="shared" si="97"/>
        <v>0</v>
      </c>
      <c r="BS103" s="50">
        <f t="shared" si="97"/>
        <v>0</v>
      </c>
      <c r="BT103" s="50">
        <f t="shared" si="97"/>
        <v>0</v>
      </c>
      <c r="BU103" s="50">
        <f t="shared" si="97"/>
        <v>0</v>
      </c>
      <c r="BV103" s="50">
        <f t="shared" si="97"/>
        <v>0</v>
      </c>
      <c r="BW103" s="121">
        <f t="shared" ref="BW103:DR103" si="98">+SUMIFS($F103:$M103,$F$7:$M$7,BW$7)</f>
        <v>0</v>
      </c>
      <c r="BX103" s="49">
        <f t="shared" si="98"/>
        <v>0</v>
      </c>
      <c r="BY103" s="49">
        <f t="shared" si="98"/>
        <v>0</v>
      </c>
      <c r="BZ103" s="49">
        <f t="shared" si="98"/>
        <v>0</v>
      </c>
      <c r="CA103" s="49">
        <f t="shared" si="98"/>
        <v>0</v>
      </c>
      <c r="CB103" s="49">
        <f t="shared" si="98"/>
        <v>0</v>
      </c>
      <c r="CC103" s="49">
        <f t="shared" si="98"/>
        <v>0</v>
      </c>
      <c r="CD103" s="49">
        <f t="shared" si="98"/>
        <v>0</v>
      </c>
      <c r="CE103" s="49">
        <f t="shared" si="98"/>
        <v>0</v>
      </c>
      <c r="CF103" s="49">
        <f t="shared" si="98"/>
        <v>0</v>
      </c>
      <c r="CG103" s="49">
        <f t="shared" si="98"/>
        <v>0</v>
      </c>
      <c r="CH103" s="49">
        <f t="shared" si="98"/>
        <v>0</v>
      </c>
      <c r="CI103" s="49">
        <f t="shared" si="98"/>
        <v>0</v>
      </c>
      <c r="CJ103" s="49">
        <f t="shared" si="98"/>
        <v>0</v>
      </c>
      <c r="CK103" s="49">
        <f t="shared" si="98"/>
        <v>0</v>
      </c>
      <c r="CL103" s="49">
        <f t="shared" si="98"/>
        <v>0</v>
      </c>
      <c r="CM103" s="49">
        <f t="shared" si="98"/>
        <v>0</v>
      </c>
      <c r="CN103" s="49">
        <f t="shared" si="98"/>
        <v>0</v>
      </c>
      <c r="CO103" s="49">
        <f t="shared" si="98"/>
        <v>0</v>
      </c>
      <c r="CP103" s="49">
        <f t="shared" si="98"/>
        <v>0</v>
      </c>
      <c r="CQ103" s="49">
        <f t="shared" si="98"/>
        <v>0</v>
      </c>
      <c r="CR103" s="49">
        <f t="shared" si="98"/>
        <v>0</v>
      </c>
      <c r="CS103" s="49">
        <f t="shared" si="98"/>
        <v>0</v>
      </c>
      <c r="CT103" s="49">
        <f t="shared" si="98"/>
        <v>0</v>
      </c>
      <c r="CU103" s="49">
        <f t="shared" si="98"/>
        <v>0</v>
      </c>
      <c r="CV103" s="49">
        <f t="shared" si="98"/>
        <v>0</v>
      </c>
      <c r="CW103" s="49">
        <f t="shared" si="98"/>
        <v>0</v>
      </c>
      <c r="CX103" s="49">
        <f t="shared" si="98"/>
        <v>0</v>
      </c>
      <c r="CY103" s="49">
        <f t="shared" si="98"/>
        <v>0</v>
      </c>
      <c r="CZ103" s="49">
        <f t="shared" si="98"/>
        <v>0</v>
      </c>
      <c r="DA103" s="49">
        <f t="shared" si="98"/>
        <v>0</v>
      </c>
      <c r="DB103" s="49">
        <f t="shared" si="98"/>
        <v>0</v>
      </c>
      <c r="DC103" s="49">
        <f t="shared" si="98"/>
        <v>0</v>
      </c>
      <c r="DD103" s="49">
        <f t="shared" si="98"/>
        <v>0</v>
      </c>
      <c r="DE103" s="49">
        <f t="shared" si="98"/>
        <v>0</v>
      </c>
      <c r="DF103" s="49">
        <f t="shared" si="98"/>
        <v>0</v>
      </c>
      <c r="DG103" s="49">
        <f t="shared" si="98"/>
        <v>0</v>
      </c>
      <c r="DH103" s="49">
        <f t="shared" si="98"/>
        <v>0</v>
      </c>
      <c r="DI103" s="49">
        <f t="shared" si="98"/>
        <v>0</v>
      </c>
      <c r="DJ103" s="49">
        <f t="shared" si="98"/>
        <v>0</v>
      </c>
      <c r="DK103" s="49">
        <f t="shared" si="98"/>
        <v>0</v>
      </c>
      <c r="DL103" s="49">
        <f t="shared" si="98"/>
        <v>0</v>
      </c>
      <c r="DM103" s="49">
        <f t="shared" si="98"/>
        <v>0</v>
      </c>
      <c r="DN103" s="49">
        <f t="shared" si="98"/>
        <v>0</v>
      </c>
      <c r="DO103" s="49">
        <f t="shared" si="98"/>
        <v>0</v>
      </c>
      <c r="DP103" s="49">
        <f t="shared" si="98"/>
        <v>0</v>
      </c>
      <c r="DQ103" s="49">
        <f t="shared" si="98"/>
        <v>0</v>
      </c>
      <c r="DR103" s="49">
        <f t="shared" si="98"/>
        <v>0</v>
      </c>
    </row>
    <row r="104" ht="15.75" customHeight="1">
      <c r="B104" s="54" t="s">
        <v>145</v>
      </c>
      <c r="C104" s="54"/>
      <c r="D104" s="54"/>
      <c r="F104" s="55">
        <f t="shared" ref="F104:M104" si="99">+SUMIFS($AA104:$DR104,$AA$7:$DR$7,F$7)</f>
        <v>51</v>
      </c>
      <c r="G104" s="55">
        <f t="shared" si="99"/>
        <v>67.09722</v>
      </c>
      <c r="H104" s="55">
        <f t="shared" si="99"/>
        <v>0</v>
      </c>
      <c r="I104" s="55">
        <f t="shared" si="99"/>
        <v>0</v>
      </c>
      <c r="J104" s="55">
        <f t="shared" si="99"/>
        <v>0</v>
      </c>
      <c r="K104" s="55">
        <f t="shared" si="99"/>
        <v>0</v>
      </c>
      <c r="L104" s="55">
        <f t="shared" si="99"/>
        <v>0</v>
      </c>
      <c r="M104" s="55">
        <f t="shared" si="99"/>
        <v>0</v>
      </c>
      <c r="AA104" s="120">
        <v>0.0</v>
      </c>
      <c r="AB104" s="120">
        <v>0.0</v>
      </c>
      <c r="AC104" s="120">
        <v>0.0</v>
      </c>
      <c r="AD104" s="120">
        <v>0.0</v>
      </c>
      <c r="AE104" s="120">
        <v>7.0</v>
      </c>
      <c r="AF104" s="120">
        <v>7.0</v>
      </c>
      <c r="AG104" s="120">
        <v>14.0</v>
      </c>
      <c r="AH104" s="120">
        <v>7.0</v>
      </c>
      <c r="AI104" s="120">
        <v>-14.0</v>
      </c>
      <c r="AJ104" s="120">
        <v>10.0</v>
      </c>
      <c r="AK104" s="120">
        <v>10.0</v>
      </c>
      <c r="AL104" s="120">
        <v>10.0</v>
      </c>
      <c r="AM104" s="120">
        <v>10.0</v>
      </c>
      <c r="AN104" s="120">
        <v>10.0</v>
      </c>
      <c r="AO104" s="120">
        <v>10.0</v>
      </c>
      <c r="AP104" s="120">
        <v>10.0</v>
      </c>
      <c r="AQ104" s="120">
        <v>10.0</v>
      </c>
      <c r="AR104" s="120">
        <v>10.0</v>
      </c>
      <c r="AS104" s="120">
        <v>7.09722</v>
      </c>
      <c r="AT104" s="120">
        <v>0.0</v>
      </c>
      <c r="AU104" s="120">
        <v>0.0</v>
      </c>
      <c r="AV104" s="120">
        <v>0.0</v>
      </c>
      <c r="AW104" s="120">
        <v>0.0</v>
      </c>
      <c r="AX104" s="120">
        <v>0.0</v>
      </c>
      <c r="AY104" s="120">
        <v>0.0</v>
      </c>
      <c r="AZ104" s="120">
        <v>0.0</v>
      </c>
      <c r="BA104" s="120">
        <v>0.0</v>
      </c>
      <c r="BB104" s="120">
        <v>0.0</v>
      </c>
      <c r="BC104" s="120">
        <v>0.0</v>
      </c>
      <c r="BD104" s="120">
        <v>0.0</v>
      </c>
      <c r="BE104" s="120">
        <v>0.0</v>
      </c>
      <c r="BF104" s="120">
        <v>0.0</v>
      </c>
      <c r="BG104" s="120">
        <v>0.0</v>
      </c>
      <c r="BH104" s="120">
        <v>0.0</v>
      </c>
      <c r="BI104" s="120">
        <v>0.0</v>
      </c>
      <c r="BJ104" s="120">
        <v>0.0</v>
      </c>
      <c r="BK104" s="120">
        <v>0.0</v>
      </c>
      <c r="BL104" s="120">
        <v>0.0</v>
      </c>
      <c r="BM104" s="120">
        <v>0.0</v>
      </c>
      <c r="BN104" s="120">
        <v>0.0</v>
      </c>
      <c r="BO104" s="120">
        <v>0.0</v>
      </c>
      <c r="BP104" s="120">
        <v>0.0</v>
      </c>
      <c r="BQ104" s="120">
        <v>0.0</v>
      </c>
      <c r="BR104" s="120">
        <v>0.0</v>
      </c>
      <c r="BS104" s="120">
        <v>0.0</v>
      </c>
      <c r="BT104" s="120">
        <v>0.0</v>
      </c>
      <c r="BU104" s="120">
        <v>0.0</v>
      </c>
      <c r="BV104" s="120">
        <v>0.0</v>
      </c>
      <c r="BW104" s="120">
        <v>0.0</v>
      </c>
      <c r="BX104" s="120">
        <v>0.0</v>
      </c>
      <c r="BY104" s="120">
        <v>0.0</v>
      </c>
      <c r="BZ104" s="120">
        <v>0.0</v>
      </c>
      <c r="CA104" s="120">
        <v>0.0</v>
      </c>
      <c r="CB104" s="120">
        <v>0.0</v>
      </c>
      <c r="CC104" s="120">
        <v>0.0</v>
      </c>
      <c r="CD104" s="120">
        <v>0.0</v>
      </c>
      <c r="CE104" s="120">
        <v>0.0</v>
      </c>
      <c r="CF104" s="120">
        <v>0.0</v>
      </c>
      <c r="CG104" s="120">
        <v>0.0</v>
      </c>
      <c r="CH104" s="120">
        <v>0.0</v>
      </c>
      <c r="CI104" s="55">
        <f t="shared" ref="CI104:DR104" si="100">+CI102*CI103</f>
        <v>0</v>
      </c>
      <c r="CJ104" s="55">
        <f t="shared" si="100"/>
        <v>0</v>
      </c>
      <c r="CK104" s="55">
        <f t="shared" si="100"/>
        <v>0</v>
      </c>
      <c r="CL104" s="55">
        <f t="shared" si="100"/>
        <v>0</v>
      </c>
      <c r="CM104" s="55">
        <f t="shared" si="100"/>
        <v>0</v>
      </c>
      <c r="CN104" s="55">
        <f t="shared" si="100"/>
        <v>0</v>
      </c>
      <c r="CO104" s="55">
        <f t="shared" si="100"/>
        <v>0</v>
      </c>
      <c r="CP104" s="55">
        <f t="shared" si="100"/>
        <v>0</v>
      </c>
      <c r="CQ104" s="55">
        <f t="shared" si="100"/>
        <v>0</v>
      </c>
      <c r="CR104" s="55">
        <f t="shared" si="100"/>
        <v>0</v>
      </c>
      <c r="CS104" s="55">
        <f t="shared" si="100"/>
        <v>0</v>
      </c>
      <c r="CT104" s="55">
        <f t="shared" si="100"/>
        <v>0</v>
      </c>
      <c r="CU104" s="55">
        <f t="shared" si="100"/>
        <v>0</v>
      </c>
      <c r="CV104" s="55">
        <f t="shared" si="100"/>
        <v>0</v>
      </c>
      <c r="CW104" s="55">
        <f t="shared" si="100"/>
        <v>0</v>
      </c>
      <c r="CX104" s="55">
        <f t="shared" si="100"/>
        <v>0</v>
      </c>
      <c r="CY104" s="55">
        <f t="shared" si="100"/>
        <v>0</v>
      </c>
      <c r="CZ104" s="55">
        <f t="shared" si="100"/>
        <v>0</v>
      </c>
      <c r="DA104" s="55">
        <f t="shared" si="100"/>
        <v>0</v>
      </c>
      <c r="DB104" s="55">
        <f t="shared" si="100"/>
        <v>0</v>
      </c>
      <c r="DC104" s="55">
        <f t="shared" si="100"/>
        <v>0</v>
      </c>
      <c r="DD104" s="55">
        <f t="shared" si="100"/>
        <v>0</v>
      </c>
      <c r="DE104" s="55">
        <f t="shared" si="100"/>
        <v>0</v>
      </c>
      <c r="DF104" s="55">
        <f t="shared" si="100"/>
        <v>0</v>
      </c>
      <c r="DG104" s="55">
        <f t="shared" si="100"/>
        <v>0</v>
      </c>
      <c r="DH104" s="55">
        <f t="shared" si="100"/>
        <v>0</v>
      </c>
      <c r="DI104" s="55">
        <f t="shared" si="100"/>
        <v>0</v>
      </c>
      <c r="DJ104" s="55">
        <f t="shared" si="100"/>
        <v>0</v>
      </c>
      <c r="DK104" s="55">
        <f t="shared" si="100"/>
        <v>0</v>
      </c>
      <c r="DL104" s="55">
        <f t="shared" si="100"/>
        <v>0</v>
      </c>
      <c r="DM104" s="55">
        <f t="shared" si="100"/>
        <v>0</v>
      </c>
      <c r="DN104" s="55">
        <f t="shared" si="100"/>
        <v>0</v>
      </c>
      <c r="DO104" s="55">
        <f t="shared" si="100"/>
        <v>0</v>
      </c>
      <c r="DP104" s="55">
        <f t="shared" si="100"/>
        <v>0</v>
      </c>
      <c r="DQ104" s="55">
        <f t="shared" si="100"/>
        <v>0</v>
      </c>
      <c r="DR104" s="55">
        <f t="shared" si="100"/>
        <v>0</v>
      </c>
    </row>
    <row r="105" ht="15.75" customHeight="1">
      <c r="F105" s="50"/>
      <c r="G105" s="50"/>
      <c r="H105" s="50"/>
      <c r="I105" s="50"/>
      <c r="J105" s="50"/>
      <c r="K105" s="50"/>
      <c r="L105" s="50"/>
      <c r="M105" s="50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0"/>
      <c r="BX105" s="50"/>
      <c r="BY105" s="50"/>
      <c r="BZ105" s="50"/>
      <c r="CA105" s="50"/>
      <c r="CB105" s="50"/>
      <c r="CC105" s="50"/>
      <c r="CD105" s="50"/>
      <c r="CE105" s="50"/>
      <c r="CF105" s="50"/>
      <c r="CG105" s="50"/>
      <c r="CH105" s="50"/>
      <c r="CI105" s="50"/>
      <c r="CJ105" s="50"/>
      <c r="CK105" s="50"/>
      <c r="CL105" s="50"/>
      <c r="CM105" s="50"/>
      <c r="CN105" s="50"/>
      <c r="CO105" s="50"/>
      <c r="CP105" s="50"/>
      <c r="CQ105" s="50"/>
      <c r="CR105" s="50"/>
      <c r="CS105" s="50"/>
      <c r="CT105" s="50"/>
      <c r="CU105" s="50"/>
      <c r="CV105" s="50"/>
      <c r="CW105" s="50"/>
      <c r="CX105" s="50"/>
      <c r="CY105" s="50"/>
      <c r="CZ105" s="50"/>
      <c r="DA105" s="50"/>
      <c r="DB105" s="50"/>
      <c r="DC105" s="50"/>
      <c r="DD105" s="50"/>
      <c r="DE105" s="50"/>
      <c r="DF105" s="50"/>
      <c r="DG105" s="50"/>
      <c r="DH105" s="50"/>
      <c r="DI105" s="50"/>
      <c r="DJ105" s="50"/>
      <c r="DK105" s="50"/>
      <c r="DL105" s="50"/>
      <c r="DM105" s="50"/>
      <c r="DN105" s="50"/>
      <c r="DO105" s="50"/>
      <c r="DP105" s="50"/>
      <c r="DQ105" s="50"/>
      <c r="DR105" s="50"/>
    </row>
    <row r="106" ht="4.5" customHeight="1"/>
    <row r="107" ht="15.75" customHeight="1">
      <c r="B107" s="122" t="s">
        <v>150</v>
      </c>
      <c r="C107" s="122"/>
      <c r="D107" s="122"/>
      <c r="F107" s="116">
        <f t="shared" ref="F107:M107" si="101">+SUMIFS($AA107:$DR107,$AA$7:$DR$7,F$7)</f>
        <v>2957.021818</v>
      </c>
      <c r="G107" s="116">
        <f t="shared" si="101"/>
        <v>2950.907092</v>
      </c>
      <c r="H107" s="116">
        <f t="shared" si="101"/>
        <v>3000.428448</v>
      </c>
      <c r="I107" s="116">
        <f t="shared" si="101"/>
        <v>3192.85905</v>
      </c>
      <c r="J107" s="116">
        <f t="shared" si="101"/>
        <v>3535.751575</v>
      </c>
      <c r="K107" s="116">
        <f t="shared" si="101"/>
        <v>4132.027642</v>
      </c>
      <c r="L107" s="116">
        <f t="shared" si="101"/>
        <v>4833.964223</v>
      </c>
      <c r="M107" s="116">
        <f t="shared" si="101"/>
        <v>5698.817101</v>
      </c>
      <c r="AA107" s="116">
        <f t="shared" ref="AA107:DR107" si="102">+SUM(AA74,AA94,AA99,AA104)</f>
        <v>233.4605285</v>
      </c>
      <c r="AB107" s="116">
        <f t="shared" si="102"/>
        <v>232.8376193</v>
      </c>
      <c r="AC107" s="116">
        <f t="shared" si="102"/>
        <v>235.2896866</v>
      </c>
      <c r="AD107" s="116">
        <f t="shared" si="102"/>
        <v>255.1794142</v>
      </c>
      <c r="AE107" s="116">
        <f t="shared" si="102"/>
        <v>285.7364294</v>
      </c>
      <c r="AF107" s="116">
        <f t="shared" si="102"/>
        <v>277.2114689</v>
      </c>
      <c r="AG107" s="116">
        <f t="shared" si="102"/>
        <v>275.8707065</v>
      </c>
      <c r="AH107" s="116">
        <f t="shared" si="102"/>
        <v>246.0632883</v>
      </c>
      <c r="AI107" s="116">
        <f t="shared" si="102"/>
        <v>205.4027969</v>
      </c>
      <c r="AJ107" s="116">
        <f t="shared" si="102"/>
        <v>252.4447713</v>
      </c>
      <c r="AK107" s="116">
        <f t="shared" si="102"/>
        <v>246.2382115</v>
      </c>
      <c r="AL107" s="116">
        <f t="shared" si="102"/>
        <v>211.2868965</v>
      </c>
      <c r="AM107" s="116">
        <f t="shared" si="102"/>
        <v>238.2421361</v>
      </c>
      <c r="AN107" s="116">
        <f t="shared" si="102"/>
        <v>247.1868041</v>
      </c>
      <c r="AO107" s="116">
        <f t="shared" si="102"/>
        <v>249.1860943</v>
      </c>
      <c r="AP107" s="116">
        <f t="shared" si="102"/>
        <v>256.8756369</v>
      </c>
      <c r="AQ107" s="116">
        <f t="shared" si="102"/>
        <v>255.1724247</v>
      </c>
      <c r="AR107" s="116">
        <f t="shared" si="102"/>
        <v>254.1839456</v>
      </c>
      <c r="AS107" s="116">
        <f t="shared" si="102"/>
        <v>240.1963244</v>
      </c>
      <c r="AT107" s="116">
        <f t="shared" si="102"/>
        <v>243.4746358</v>
      </c>
      <c r="AU107" s="116">
        <f t="shared" si="102"/>
        <v>234.3619401</v>
      </c>
      <c r="AV107" s="116">
        <f t="shared" si="102"/>
        <v>258.0414687</v>
      </c>
      <c r="AW107" s="116">
        <f t="shared" si="102"/>
        <v>245.6873325</v>
      </c>
      <c r="AX107" s="116">
        <f t="shared" si="102"/>
        <v>228.2983491</v>
      </c>
      <c r="AY107" s="116">
        <f t="shared" si="102"/>
        <v>265.2724672</v>
      </c>
      <c r="AZ107" s="116">
        <f t="shared" si="102"/>
        <v>250.1455796</v>
      </c>
      <c r="BA107" s="116">
        <f t="shared" si="102"/>
        <v>278.7034014</v>
      </c>
      <c r="BB107" s="116">
        <f t="shared" si="102"/>
        <v>261.4420742</v>
      </c>
      <c r="BC107" s="116">
        <f t="shared" si="102"/>
        <v>236.0506594</v>
      </c>
      <c r="BD107" s="116">
        <f t="shared" si="102"/>
        <v>243.1881633</v>
      </c>
      <c r="BE107" s="116">
        <f t="shared" si="102"/>
        <v>239.7604717</v>
      </c>
      <c r="BF107" s="116">
        <f t="shared" si="102"/>
        <v>241.8985675</v>
      </c>
      <c r="BG107" s="116">
        <f t="shared" si="102"/>
        <v>244.7577986</v>
      </c>
      <c r="BH107" s="116">
        <f t="shared" si="102"/>
        <v>258.3469681</v>
      </c>
      <c r="BI107" s="116">
        <f t="shared" si="102"/>
        <v>244.1058617</v>
      </c>
      <c r="BJ107" s="116">
        <f t="shared" si="102"/>
        <v>236.7564351</v>
      </c>
      <c r="BK107" s="116">
        <f t="shared" si="102"/>
        <v>255.5983866</v>
      </c>
      <c r="BL107" s="116">
        <f t="shared" si="102"/>
        <v>271.8611092</v>
      </c>
      <c r="BM107" s="116">
        <f t="shared" si="102"/>
        <v>263.7732416</v>
      </c>
      <c r="BN107" s="116">
        <f t="shared" si="102"/>
        <v>272.7866903</v>
      </c>
      <c r="BO107" s="116">
        <f t="shared" si="102"/>
        <v>263.199903</v>
      </c>
      <c r="BP107" s="116">
        <f t="shared" si="102"/>
        <v>262.8087692</v>
      </c>
      <c r="BQ107" s="116">
        <f t="shared" si="102"/>
        <v>268.4088901</v>
      </c>
      <c r="BR107" s="116">
        <f t="shared" si="102"/>
        <v>275.9590171</v>
      </c>
      <c r="BS107" s="116">
        <f t="shared" si="102"/>
        <v>262.6247575</v>
      </c>
      <c r="BT107" s="116">
        <f t="shared" si="102"/>
        <v>276.834214</v>
      </c>
      <c r="BU107" s="116">
        <f t="shared" si="102"/>
        <v>267.7991293</v>
      </c>
      <c r="BV107" s="116">
        <f t="shared" si="102"/>
        <v>251.2049418</v>
      </c>
      <c r="BW107" s="116">
        <f t="shared" si="102"/>
        <v>301.9967633</v>
      </c>
      <c r="BX107" s="116">
        <f t="shared" si="102"/>
        <v>304.7740461</v>
      </c>
      <c r="BY107" s="116">
        <f t="shared" si="102"/>
        <v>301.6921401</v>
      </c>
      <c r="BZ107" s="116">
        <f t="shared" si="102"/>
        <v>307.8964169</v>
      </c>
      <c r="CA107" s="116">
        <f t="shared" si="102"/>
        <v>287.4341515</v>
      </c>
      <c r="CB107" s="116">
        <f t="shared" si="102"/>
        <v>287.3061319</v>
      </c>
      <c r="CC107" s="116">
        <f t="shared" si="102"/>
        <v>289.6223482</v>
      </c>
      <c r="CD107" s="116">
        <f t="shared" si="102"/>
        <v>299.4843026</v>
      </c>
      <c r="CE107" s="116">
        <f t="shared" si="102"/>
        <v>287.5372711</v>
      </c>
      <c r="CF107" s="116">
        <f t="shared" si="102"/>
        <v>305.2390032</v>
      </c>
      <c r="CG107" s="116">
        <f t="shared" si="102"/>
        <v>290.5541866</v>
      </c>
      <c r="CH107" s="116">
        <f t="shared" si="102"/>
        <v>272.2148138</v>
      </c>
      <c r="CI107" s="116">
        <f t="shared" si="102"/>
        <v>346.2296881</v>
      </c>
      <c r="CJ107" s="116">
        <f t="shared" si="102"/>
        <v>344.6253624</v>
      </c>
      <c r="CK107" s="116">
        <f t="shared" si="102"/>
        <v>344.6009896</v>
      </c>
      <c r="CL107" s="116">
        <f t="shared" si="102"/>
        <v>354.4795738</v>
      </c>
      <c r="CM107" s="116">
        <f t="shared" si="102"/>
        <v>337.2471333</v>
      </c>
      <c r="CN107" s="116">
        <f t="shared" si="102"/>
        <v>334.4054998</v>
      </c>
      <c r="CO107" s="116">
        <f t="shared" si="102"/>
        <v>336.8238374</v>
      </c>
      <c r="CP107" s="116">
        <f t="shared" si="102"/>
        <v>352.6612251</v>
      </c>
      <c r="CQ107" s="116">
        <f t="shared" si="102"/>
        <v>338.4500609</v>
      </c>
      <c r="CR107" s="116">
        <f t="shared" si="102"/>
        <v>359.98709</v>
      </c>
      <c r="CS107" s="116">
        <f t="shared" si="102"/>
        <v>345.0139674</v>
      </c>
      <c r="CT107" s="116">
        <f t="shared" si="102"/>
        <v>337.5032147</v>
      </c>
      <c r="CU107" s="116">
        <f t="shared" si="102"/>
        <v>404.5167355</v>
      </c>
      <c r="CV107" s="116">
        <f t="shared" si="102"/>
        <v>407.3811212</v>
      </c>
      <c r="CW107" s="116">
        <f t="shared" si="102"/>
        <v>406.9220721</v>
      </c>
      <c r="CX107" s="116">
        <f t="shared" si="102"/>
        <v>418.277216</v>
      </c>
      <c r="CY107" s="116">
        <f t="shared" si="102"/>
        <v>395.0870516</v>
      </c>
      <c r="CZ107" s="116">
        <f t="shared" si="102"/>
        <v>394.5188556</v>
      </c>
      <c r="DA107" s="116">
        <f t="shared" si="102"/>
        <v>395.8118505</v>
      </c>
      <c r="DB107" s="116">
        <f t="shared" si="102"/>
        <v>405.9411029</v>
      </c>
      <c r="DC107" s="116">
        <f t="shared" si="102"/>
        <v>393.8633449</v>
      </c>
      <c r="DD107" s="116">
        <f t="shared" si="102"/>
        <v>418.4481344</v>
      </c>
      <c r="DE107" s="116">
        <f t="shared" si="102"/>
        <v>401.7238957</v>
      </c>
      <c r="DF107" s="116">
        <f t="shared" si="102"/>
        <v>391.472843</v>
      </c>
      <c r="DG107" s="116">
        <f t="shared" si="102"/>
        <v>478.0363562</v>
      </c>
      <c r="DH107" s="116">
        <f t="shared" si="102"/>
        <v>480.5737431</v>
      </c>
      <c r="DI107" s="116">
        <f t="shared" si="102"/>
        <v>480.3919578</v>
      </c>
      <c r="DJ107" s="116">
        <f t="shared" si="102"/>
        <v>491.9579113</v>
      </c>
      <c r="DK107" s="116">
        <f t="shared" si="102"/>
        <v>464.5774818</v>
      </c>
      <c r="DL107" s="116">
        <f t="shared" si="102"/>
        <v>464.8821079</v>
      </c>
      <c r="DM107" s="116">
        <f t="shared" si="102"/>
        <v>465.8890971</v>
      </c>
      <c r="DN107" s="116">
        <f t="shared" si="102"/>
        <v>481.6470172</v>
      </c>
      <c r="DO107" s="116">
        <f t="shared" si="102"/>
        <v>466.2553903</v>
      </c>
      <c r="DP107" s="116">
        <f t="shared" si="102"/>
        <v>493.2300411</v>
      </c>
      <c r="DQ107" s="116">
        <f t="shared" si="102"/>
        <v>473.4861124</v>
      </c>
      <c r="DR107" s="116">
        <f t="shared" si="102"/>
        <v>457.8898852</v>
      </c>
    </row>
    <row r="108" ht="15.75" customHeight="1">
      <c r="A108" s="70"/>
      <c r="B108" s="70" t="s">
        <v>27</v>
      </c>
      <c r="C108" s="70"/>
      <c r="D108" s="70"/>
      <c r="E108" s="70"/>
      <c r="F108" s="104">
        <f t="shared" ref="F108:M108" si="103">+(1-F107/F67)</f>
        <v>0.7500877418</v>
      </c>
      <c r="G108" s="104">
        <f t="shared" si="103"/>
        <v>0.7702379485</v>
      </c>
      <c r="H108" s="104">
        <f t="shared" si="103"/>
        <v>0.7867141057</v>
      </c>
      <c r="I108" s="104">
        <f t="shared" si="103"/>
        <v>0.7894562253</v>
      </c>
      <c r="J108" s="104">
        <f t="shared" si="103"/>
        <v>0.7939769282</v>
      </c>
      <c r="K108" s="104">
        <f t="shared" si="103"/>
        <v>0.7979745949</v>
      </c>
      <c r="L108" s="104">
        <f t="shared" si="103"/>
        <v>0.8020537787</v>
      </c>
      <c r="M108" s="104">
        <f t="shared" si="103"/>
        <v>0.8062280373</v>
      </c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104"/>
      <c r="AB108" s="123"/>
      <c r="AC108" s="123"/>
      <c r="AD108" s="123"/>
      <c r="AE108" s="123"/>
      <c r="AF108" s="123"/>
      <c r="AG108" s="123"/>
      <c r="AH108" s="123"/>
      <c r="AI108" s="123"/>
      <c r="AJ108" s="123"/>
      <c r="AK108" s="123"/>
      <c r="AL108" s="123"/>
      <c r="AM108" s="123"/>
      <c r="AN108" s="123"/>
      <c r="AO108" s="123"/>
      <c r="AP108" s="123"/>
      <c r="AQ108" s="123"/>
      <c r="AR108" s="123"/>
      <c r="AS108" s="123"/>
      <c r="AT108" s="123"/>
      <c r="AU108" s="123"/>
      <c r="AV108" s="123"/>
      <c r="AW108" s="123"/>
      <c r="AX108" s="123"/>
      <c r="AY108" s="123"/>
      <c r="AZ108" s="123"/>
      <c r="BA108" s="123"/>
      <c r="BB108" s="123"/>
      <c r="BC108" s="123"/>
      <c r="BD108" s="123"/>
      <c r="BE108" s="123"/>
      <c r="BF108" s="123"/>
      <c r="BG108" s="123"/>
      <c r="BH108" s="123"/>
      <c r="BI108" s="123"/>
      <c r="BJ108" s="123"/>
      <c r="BK108" s="123"/>
      <c r="BL108" s="123"/>
      <c r="BM108" s="123"/>
      <c r="BN108" s="123"/>
      <c r="BO108" s="123"/>
      <c r="BP108" s="123"/>
      <c r="BQ108" s="123"/>
      <c r="BR108" s="123"/>
      <c r="BS108" s="123"/>
      <c r="BT108" s="123"/>
      <c r="BU108" s="123"/>
      <c r="BV108" s="123"/>
      <c r="BW108" s="123"/>
      <c r="BX108" s="123"/>
      <c r="BY108" s="123"/>
      <c r="BZ108" s="123"/>
      <c r="CA108" s="123"/>
      <c r="CB108" s="123"/>
      <c r="CC108" s="123"/>
      <c r="CD108" s="123"/>
      <c r="CE108" s="123"/>
      <c r="CF108" s="123"/>
      <c r="CG108" s="123"/>
      <c r="CH108" s="123"/>
      <c r="CI108" s="123"/>
      <c r="CJ108" s="123"/>
      <c r="CK108" s="123"/>
      <c r="CL108" s="123"/>
      <c r="CM108" s="123"/>
      <c r="CN108" s="123"/>
      <c r="CO108" s="123"/>
      <c r="CP108" s="123"/>
      <c r="CQ108" s="123"/>
      <c r="CR108" s="123"/>
      <c r="CS108" s="123"/>
      <c r="CT108" s="123"/>
      <c r="CU108" s="123"/>
      <c r="CV108" s="123"/>
      <c r="CW108" s="123"/>
      <c r="CX108" s="123"/>
      <c r="CY108" s="123"/>
      <c r="CZ108" s="123"/>
      <c r="DA108" s="123"/>
      <c r="DB108" s="123"/>
      <c r="DC108" s="123"/>
      <c r="DD108" s="123"/>
      <c r="DE108" s="123"/>
      <c r="DF108" s="123"/>
      <c r="DG108" s="123"/>
      <c r="DH108" s="123"/>
      <c r="DI108" s="123"/>
      <c r="DJ108" s="123"/>
      <c r="DK108" s="123"/>
      <c r="DL108" s="123"/>
      <c r="DM108" s="123"/>
      <c r="DN108" s="123"/>
      <c r="DO108" s="123"/>
      <c r="DP108" s="123"/>
      <c r="DQ108" s="123"/>
      <c r="DR108" s="123"/>
      <c r="DS108" s="70"/>
    </row>
    <row r="109" ht="4.5" customHeight="1"/>
    <row r="110" ht="15.75" customHeight="1">
      <c r="B110" s="71" t="s">
        <v>43</v>
      </c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71"/>
      <c r="AY110" s="71"/>
      <c r="AZ110" s="71"/>
      <c r="BA110" s="71"/>
      <c r="BB110" s="71"/>
      <c r="BC110" s="71"/>
      <c r="BD110" s="71"/>
      <c r="BE110" s="71"/>
      <c r="BF110" s="71"/>
      <c r="BG110" s="71"/>
      <c r="BH110" s="71"/>
      <c r="BI110" s="71"/>
      <c r="BJ110" s="71"/>
      <c r="BK110" s="71"/>
      <c r="BL110" s="71"/>
      <c r="BM110" s="71"/>
      <c r="BN110" s="71"/>
      <c r="BO110" s="71"/>
      <c r="BP110" s="71"/>
      <c r="BQ110" s="71"/>
      <c r="BR110" s="71"/>
      <c r="BS110" s="71"/>
      <c r="BT110" s="71"/>
      <c r="BU110" s="71"/>
      <c r="BV110" s="71"/>
      <c r="BW110" s="71"/>
      <c r="BX110" s="71"/>
      <c r="BY110" s="71"/>
      <c r="BZ110" s="71"/>
      <c r="CA110" s="71"/>
      <c r="CB110" s="71"/>
      <c r="CC110" s="71"/>
      <c r="CD110" s="71"/>
      <c r="CE110" s="71"/>
      <c r="CF110" s="71"/>
      <c r="CG110" s="71"/>
      <c r="CH110" s="71"/>
      <c r="CI110" s="71"/>
      <c r="CJ110" s="71"/>
      <c r="CK110" s="71"/>
      <c r="CL110" s="71"/>
      <c r="CM110" s="71"/>
      <c r="CN110" s="71"/>
      <c r="CO110" s="71"/>
      <c r="CP110" s="71"/>
      <c r="CQ110" s="71"/>
      <c r="CR110" s="71"/>
      <c r="CS110" s="71"/>
      <c r="CT110" s="71"/>
      <c r="CU110" s="71"/>
      <c r="CV110" s="71"/>
      <c r="CW110" s="71"/>
      <c r="CX110" s="71"/>
      <c r="CY110" s="71"/>
      <c r="CZ110" s="71"/>
      <c r="DA110" s="71"/>
      <c r="DB110" s="71"/>
      <c r="DC110" s="71"/>
      <c r="DD110" s="71"/>
      <c r="DE110" s="71"/>
      <c r="DF110" s="71"/>
      <c r="DG110" s="71"/>
      <c r="DH110" s="71"/>
      <c r="DI110" s="71"/>
      <c r="DJ110" s="71"/>
      <c r="DK110" s="71"/>
      <c r="DL110" s="71"/>
      <c r="DM110" s="71"/>
      <c r="DN110" s="71"/>
      <c r="DO110" s="71"/>
      <c r="DP110" s="71"/>
      <c r="DQ110" s="71"/>
      <c r="DR110" s="71"/>
      <c r="DS110" s="71"/>
    </row>
    <row r="111" ht="4.5" customHeight="1"/>
    <row r="112" ht="15.75" hidden="1" customHeight="1" outlineLevel="1">
      <c r="B112" s="5" t="s">
        <v>69</v>
      </c>
      <c r="C112" s="72" t="s">
        <v>70</v>
      </c>
      <c r="F112" s="50">
        <f t="shared" ref="F112:M112" si="104">+SUMIFS($AA112:$DR112,$AA$7:$DR$7,F$7)</f>
        <v>0</v>
      </c>
      <c r="G112" s="50">
        <f t="shared" si="104"/>
        <v>3.79022644</v>
      </c>
      <c r="H112" s="50">
        <f t="shared" si="104"/>
        <v>3.467640009</v>
      </c>
      <c r="I112" s="50">
        <f t="shared" si="104"/>
        <v>0</v>
      </c>
      <c r="J112" s="50">
        <f t="shared" si="104"/>
        <v>0</v>
      </c>
      <c r="K112" s="50">
        <f t="shared" si="104"/>
        <v>0</v>
      </c>
      <c r="L112" s="50">
        <f t="shared" si="104"/>
        <v>0</v>
      </c>
      <c r="M112" s="50">
        <f t="shared" si="104"/>
        <v>0</v>
      </c>
      <c r="AA112" s="51">
        <v>0.0</v>
      </c>
      <c r="AB112" s="51">
        <v>0.0</v>
      </c>
      <c r="AC112" s="51">
        <v>0.0</v>
      </c>
      <c r="AD112" s="51">
        <v>0.0</v>
      </c>
      <c r="AE112" s="51">
        <v>0.0</v>
      </c>
      <c r="AF112" s="51">
        <v>0.0</v>
      </c>
      <c r="AG112" s="51">
        <v>0.0</v>
      </c>
      <c r="AH112" s="51">
        <v>0.0</v>
      </c>
      <c r="AI112" s="51">
        <v>0.0</v>
      </c>
      <c r="AJ112" s="51">
        <v>0.0</v>
      </c>
      <c r="AK112" s="51">
        <v>0.0</v>
      </c>
      <c r="AL112" s="51">
        <v>0.0</v>
      </c>
      <c r="AM112" s="51">
        <v>0.012729061935207762</v>
      </c>
      <c r="AN112" s="51">
        <v>0.09542412437427768</v>
      </c>
      <c r="AO112" s="51">
        <v>0.1476753978771392</v>
      </c>
      <c r="AP112" s="51">
        <v>0.018087962323859504</v>
      </c>
      <c r="AQ112" s="51">
        <v>0.14582759601191692</v>
      </c>
      <c r="AR112" s="51">
        <v>0.2263323651622734</v>
      </c>
      <c r="AS112" s="51">
        <v>0.2287702329668382</v>
      </c>
      <c r="AT112" s="51">
        <v>0.25712868113354576</v>
      </c>
      <c r="AU112" s="51">
        <v>0.6131795921046044</v>
      </c>
      <c r="AV112" s="51">
        <v>1.4581956813536976</v>
      </c>
      <c r="AW112" s="51">
        <v>0.3699318681621605</v>
      </c>
      <c r="AX112" s="51">
        <v>0.21694387670318163</v>
      </c>
      <c r="AY112" s="51">
        <v>0.806963718881943</v>
      </c>
      <c r="AZ112" s="51">
        <v>0.34862536485968826</v>
      </c>
      <c r="BA112" s="51">
        <v>0.2203333082808648</v>
      </c>
      <c r="BB112" s="51">
        <v>0.3161926151708471</v>
      </c>
      <c r="BC112" s="51">
        <v>0.21102277354049662</v>
      </c>
      <c r="BD112" s="51">
        <v>0.0</v>
      </c>
      <c r="BE112" s="51">
        <v>0.7226351955961615</v>
      </c>
      <c r="BF112" s="51">
        <v>0.5469845504211207</v>
      </c>
      <c r="BG112" s="51">
        <v>0.1835902880853391</v>
      </c>
      <c r="BH112" s="51">
        <v>0.08597989839706568</v>
      </c>
      <c r="BI112" s="51">
        <v>0.0</v>
      </c>
      <c r="BJ112" s="51">
        <v>0.025312296110414054</v>
      </c>
      <c r="BK112" s="100"/>
      <c r="BL112" s="100"/>
      <c r="BM112" s="100"/>
      <c r="BN112" s="100"/>
      <c r="BO112" s="100"/>
      <c r="BP112" s="100"/>
      <c r="BQ112" s="100"/>
      <c r="BR112" s="100"/>
      <c r="BS112" s="100"/>
      <c r="BT112" s="100"/>
      <c r="BU112" s="100"/>
      <c r="BV112" s="100"/>
      <c r="BW112" s="100"/>
      <c r="BX112" s="100"/>
      <c r="BY112" s="100"/>
      <c r="BZ112" s="100"/>
      <c r="CA112" s="100"/>
      <c r="CB112" s="100"/>
      <c r="CC112" s="100"/>
      <c r="CD112" s="100"/>
      <c r="CE112" s="100"/>
      <c r="CF112" s="100"/>
      <c r="CG112" s="100"/>
      <c r="CH112" s="100"/>
      <c r="CI112" s="100"/>
      <c r="CJ112" s="100"/>
      <c r="CK112" s="100"/>
      <c r="CL112" s="100"/>
      <c r="CM112" s="100"/>
      <c r="CN112" s="100"/>
      <c r="CO112" s="100"/>
      <c r="CP112" s="100"/>
      <c r="CQ112" s="100"/>
      <c r="CR112" s="100"/>
      <c r="CS112" s="100"/>
      <c r="CT112" s="100"/>
      <c r="CU112" s="100"/>
      <c r="CV112" s="100"/>
      <c r="CW112" s="100"/>
      <c r="CX112" s="100"/>
      <c r="CY112" s="100"/>
      <c r="CZ112" s="100"/>
      <c r="DA112" s="100"/>
      <c r="DB112" s="100"/>
      <c r="DC112" s="100"/>
      <c r="DD112" s="100"/>
      <c r="DE112" s="100"/>
      <c r="DF112" s="100"/>
      <c r="DG112" s="100"/>
      <c r="DH112" s="100"/>
      <c r="DI112" s="100"/>
      <c r="DJ112" s="100"/>
      <c r="DK112" s="100"/>
      <c r="DL112" s="100"/>
      <c r="DM112" s="100"/>
      <c r="DN112" s="100"/>
      <c r="DO112" s="100"/>
      <c r="DP112" s="100"/>
      <c r="DQ112" s="100"/>
      <c r="DR112" s="100"/>
    </row>
    <row r="113" ht="15.75" hidden="1" customHeight="1" outlineLevel="1">
      <c r="B113" s="5" t="s">
        <v>71</v>
      </c>
      <c r="C113" s="72" t="s">
        <v>70</v>
      </c>
      <c r="F113" s="50">
        <f t="shared" ref="F113:M113" si="105">+SUMIFS($AA113:$DR113,$AA$7:$DR$7,F$7)</f>
        <v>0</v>
      </c>
      <c r="G113" s="50">
        <f t="shared" si="105"/>
        <v>0</v>
      </c>
      <c r="H113" s="50">
        <f t="shared" si="105"/>
        <v>14.6640973</v>
      </c>
      <c r="I113" s="50">
        <f t="shared" si="105"/>
        <v>0</v>
      </c>
      <c r="J113" s="50">
        <f t="shared" si="105"/>
        <v>0</v>
      </c>
      <c r="K113" s="50">
        <f t="shared" si="105"/>
        <v>0</v>
      </c>
      <c r="L113" s="50">
        <f t="shared" si="105"/>
        <v>0</v>
      </c>
      <c r="M113" s="50">
        <f t="shared" si="105"/>
        <v>0</v>
      </c>
      <c r="AA113" s="51">
        <v>0.0</v>
      </c>
      <c r="AB113" s="51">
        <v>0.0</v>
      </c>
      <c r="AC113" s="51">
        <v>0.0</v>
      </c>
      <c r="AD113" s="51">
        <v>0.0</v>
      </c>
      <c r="AE113" s="51">
        <v>0.0</v>
      </c>
      <c r="AF113" s="51">
        <v>0.0</v>
      </c>
      <c r="AG113" s="51">
        <v>0.0</v>
      </c>
      <c r="AH113" s="51">
        <v>0.0</v>
      </c>
      <c r="AI113" s="51">
        <v>0.0</v>
      </c>
      <c r="AJ113" s="51">
        <v>0.0</v>
      </c>
      <c r="AK113" s="51">
        <v>0.0</v>
      </c>
      <c r="AL113" s="51">
        <v>0.0</v>
      </c>
      <c r="AM113" s="51">
        <v>0.0</v>
      </c>
      <c r="AN113" s="51">
        <v>0.0</v>
      </c>
      <c r="AO113" s="51">
        <v>0.0</v>
      </c>
      <c r="AP113" s="51">
        <v>0.0</v>
      </c>
      <c r="AQ113" s="51">
        <v>0.0</v>
      </c>
      <c r="AR113" s="51">
        <v>0.0</v>
      </c>
      <c r="AS113" s="51">
        <v>0.0</v>
      </c>
      <c r="AT113" s="51">
        <v>0.0</v>
      </c>
      <c r="AU113" s="51">
        <v>0.0</v>
      </c>
      <c r="AV113" s="51">
        <v>0.0</v>
      </c>
      <c r="AW113" s="51">
        <v>0.0</v>
      </c>
      <c r="AX113" s="51">
        <v>0.0</v>
      </c>
      <c r="AY113" s="51">
        <v>0.0</v>
      </c>
      <c r="AZ113" s="51">
        <v>0.0</v>
      </c>
      <c r="BA113" s="51">
        <v>0.0</v>
      </c>
      <c r="BB113" s="51">
        <v>0.0</v>
      </c>
      <c r="BC113" s="51">
        <v>0.21435827360444812</v>
      </c>
      <c r="BD113" s="51">
        <v>2.7435031020817657</v>
      </c>
      <c r="BE113" s="51">
        <v>1.3197690366844024</v>
      </c>
      <c r="BF113" s="51">
        <v>0.4274195950065636</v>
      </c>
      <c r="BG113" s="51">
        <v>1.0284312097830401</v>
      </c>
      <c r="BH113" s="51">
        <v>4.950638527018639</v>
      </c>
      <c r="BI113" s="51">
        <v>2.457183568500962</v>
      </c>
      <c r="BJ113" s="51">
        <v>1.522793985380328</v>
      </c>
      <c r="BK113" s="100"/>
      <c r="BL113" s="100"/>
      <c r="BM113" s="100"/>
      <c r="BN113" s="100"/>
      <c r="BO113" s="100"/>
      <c r="BP113" s="100"/>
      <c r="BQ113" s="100"/>
      <c r="BR113" s="100"/>
      <c r="BS113" s="100"/>
      <c r="BT113" s="100"/>
      <c r="BU113" s="100"/>
      <c r="BV113" s="100"/>
      <c r="BW113" s="100"/>
      <c r="BX113" s="100"/>
      <c r="BY113" s="100"/>
      <c r="BZ113" s="100"/>
      <c r="CA113" s="100"/>
      <c r="CB113" s="100"/>
      <c r="CC113" s="100"/>
      <c r="CD113" s="100"/>
      <c r="CE113" s="100"/>
      <c r="CF113" s="100"/>
      <c r="CG113" s="100"/>
      <c r="CH113" s="100"/>
      <c r="CI113" s="100"/>
      <c r="CJ113" s="100"/>
      <c r="CK113" s="100"/>
      <c r="CL113" s="100"/>
      <c r="CM113" s="100"/>
      <c r="CN113" s="100"/>
      <c r="CO113" s="100"/>
      <c r="CP113" s="100"/>
      <c r="CQ113" s="100"/>
      <c r="CR113" s="100"/>
      <c r="CS113" s="100"/>
      <c r="CT113" s="100"/>
      <c r="CU113" s="100"/>
      <c r="CV113" s="100"/>
      <c r="CW113" s="100"/>
      <c r="CX113" s="100"/>
      <c r="CY113" s="100"/>
      <c r="CZ113" s="100"/>
      <c r="DA113" s="100"/>
      <c r="DB113" s="100"/>
      <c r="DC113" s="100"/>
      <c r="DD113" s="100"/>
      <c r="DE113" s="100"/>
      <c r="DF113" s="100"/>
      <c r="DG113" s="100"/>
      <c r="DH113" s="100"/>
      <c r="DI113" s="100"/>
      <c r="DJ113" s="100"/>
      <c r="DK113" s="100"/>
      <c r="DL113" s="100"/>
      <c r="DM113" s="100"/>
      <c r="DN113" s="100"/>
      <c r="DO113" s="100"/>
      <c r="DP113" s="100"/>
      <c r="DQ113" s="100"/>
      <c r="DR113" s="100"/>
    </row>
    <row r="114" ht="15.75" hidden="1" customHeight="1" outlineLevel="1">
      <c r="B114" s="5" t="s">
        <v>72</v>
      </c>
      <c r="C114" s="72" t="s">
        <v>70</v>
      </c>
      <c r="F114" s="50">
        <f t="shared" ref="F114:M114" si="106">+SUMIFS($AA114:$DR114,$AA$7:$DR$7,F$7)</f>
        <v>0</v>
      </c>
      <c r="G114" s="50">
        <f t="shared" si="106"/>
        <v>0</v>
      </c>
      <c r="H114" s="50">
        <f t="shared" si="106"/>
        <v>0</v>
      </c>
      <c r="I114" s="50">
        <f t="shared" si="106"/>
        <v>0</v>
      </c>
      <c r="J114" s="50">
        <f t="shared" si="106"/>
        <v>0</v>
      </c>
      <c r="K114" s="50">
        <f t="shared" si="106"/>
        <v>0</v>
      </c>
      <c r="L114" s="50">
        <f t="shared" si="106"/>
        <v>0</v>
      </c>
      <c r="M114" s="50">
        <f t="shared" si="106"/>
        <v>0</v>
      </c>
      <c r="AA114" s="51">
        <v>0.0</v>
      </c>
      <c r="AB114" s="51">
        <v>0.0</v>
      </c>
      <c r="AC114" s="51">
        <v>0.0</v>
      </c>
      <c r="AD114" s="51">
        <v>0.0</v>
      </c>
      <c r="AE114" s="51">
        <v>0.0</v>
      </c>
      <c r="AF114" s="51">
        <v>0.0</v>
      </c>
      <c r="AG114" s="51">
        <v>0.0</v>
      </c>
      <c r="AH114" s="51">
        <v>0.0</v>
      </c>
      <c r="AI114" s="51">
        <v>0.0</v>
      </c>
      <c r="AJ114" s="51">
        <v>0.0</v>
      </c>
      <c r="AK114" s="51">
        <v>0.0</v>
      </c>
      <c r="AL114" s="51">
        <v>0.0</v>
      </c>
      <c r="AM114" s="51">
        <v>0.0</v>
      </c>
      <c r="AN114" s="51">
        <v>0.0</v>
      </c>
      <c r="AO114" s="51">
        <v>0.0</v>
      </c>
      <c r="AP114" s="51">
        <v>0.0</v>
      </c>
      <c r="AQ114" s="51">
        <v>0.0</v>
      </c>
      <c r="AR114" s="51">
        <v>0.0</v>
      </c>
      <c r="AS114" s="51">
        <v>0.0</v>
      </c>
      <c r="AT114" s="51">
        <v>0.0</v>
      </c>
      <c r="AU114" s="51">
        <v>0.0</v>
      </c>
      <c r="AV114" s="51">
        <v>0.0</v>
      </c>
      <c r="AW114" s="51">
        <v>0.0</v>
      </c>
      <c r="AX114" s="51">
        <v>0.0</v>
      </c>
      <c r="AY114" s="51">
        <v>0.0</v>
      </c>
      <c r="AZ114" s="51">
        <v>0.0</v>
      </c>
      <c r="BA114" s="51">
        <v>0.0</v>
      </c>
      <c r="BB114" s="51">
        <v>0.0</v>
      </c>
      <c r="BC114" s="51">
        <v>0.0</v>
      </c>
      <c r="BD114" s="51">
        <v>0.0</v>
      </c>
      <c r="BE114" s="51">
        <v>0.0</v>
      </c>
      <c r="BF114" s="51">
        <v>0.0</v>
      </c>
      <c r="BG114" s="51">
        <v>0.0</v>
      </c>
      <c r="BH114" s="51">
        <v>0.0</v>
      </c>
      <c r="BI114" s="51">
        <v>0.0</v>
      </c>
      <c r="BJ114" s="51">
        <v>0.0</v>
      </c>
      <c r="BK114" s="100"/>
      <c r="BL114" s="100"/>
      <c r="BM114" s="100"/>
      <c r="BN114" s="100"/>
      <c r="BO114" s="100"/>
      <c r="BP114" s="100"/>
      <c r="BQ114" s="100"/>
      <c r="BR114" s="100"/>
      <c r="BS114" s="100"/>
      <c r="BT114" s="100"/>
      <c r="BU114" s="100"/>
      <c r="BV114" s="100"/>
      <c r="BW114" s="100"/>
      <c r="BX114" s="100"/>
      <c r="BY114" s="100"/>
      <c r="BZ114" s="100"/>
      <c r="CA114" s="100"/>
      <c r="CB114" s="100"/>
      <c r="CC114" s="100"/>
      <c r="CD114" s="100"/>
      <c r="CE114" s="100"/>
      <c r="CF114" s="100"/>
      <c r="CG114" s="100"/>
      <c r="CH114" s="100"/>
      <c r="CI114" s="100"/>
      <c r="CJ114" s="100"/>
      <c r="CK114" s="100"/>
      <c r="CL114" s="100"/>
      <c r="CM114" s="100"/>
      <c r="CN114" s="100"/>
      <c r="CO114" s="100"/>
      <c r="CP114" s="100"/>
      <c r="CQ114" s="100"/>
      <c r="CR114" s="100"/>
      <c r="CS114" s="100"/>
      <c r="CT114" s="100"/>
      <c r="CU114" s="100"/>
      <c r="CV114" s="100"/>
      <c r="CW114" s="100"/>
      <c r="CX114" s="100"/>
      <c r="CY114" s="100"/>
      <c r="CZ114" s="100"/>
      <c r="DA114" s="100"/>
      <c r="DB114" s="100"/>
      <c r="DC114" s="100"/>
      <c r="DD114" s="100"/>
      <c r="DE114" s="100"/>
      <c r="DF114" s="100"/>
      <c r="DG114" s="100"/>
      <c r="DH114" s="100"/>
      <c r="DI114" s="100"/>
      <c r="DJ114" s="100"/>
      <c r="DK114" s="100"/>
      <c r="DL114" s="100"/>
      <c r="DM114" s="100"/>
      <c r="DN114" s="100"/>
      <c r="DO114" s="100"/>
      <c r="DP114" s="100"/>
      <c r="DQ114" s="100"/>
      <c r="DR114" s="100"/>
    </row>
    <row r="115" ht="15.75" hidden="1" customHeight="1" outlineLevel="1">
      <c r="B115" s="5" t="s">
        <v>73</v>
      </c>
      <c r="C115" s="72" t="s">
        <v>74</v>
      </c>
      <c r="F115" s="50">
        <f t="shared" ref="F115:M115" si="107">+SUMIFS($AA115:$DR115,$AA$7:$DR$7,F$7)</f>
        <v>0</v>
      </c>
      <c r="G115" s="50">
        <f t="shared" si="107"/>
        <v>16.7593431</v>
      </c>
      <c r="H115" s="50">
        <f t="shared" si="107"/>
        <v>98.55719469</v>
      </c>
      <c r="I115" s="50">
        <f t="shared" si="107"/>
        <v>0</v>
      </c>
      <c r="J115" s="50">
        <f t="shared" si="107"/>
        <v>0</v>
      </c>
      <c r="K115" s="50">
        <f t="shared" si="107"/>
        <v>0</v>
      </c>
      <c r="L115" s="50">
        <f t="shared" si="107"/>
        <v>0</v>
      </c>
      <c r="M115" s="50">
        <f t="shared" si="107"/>
        <v>0</v>
      </c>
      <c r="AA115" s="51">
        <v>0.0</v>
      </c>
      <c r="AB115" s="51">
        <v>0.0</v>
      </c>
      <c r="AC115" s="51">
        <v>0.0</v>
      </c>
      <c r="AD115" s="51">
        <v>0.0</v>
      </c>
      <c r="AE115" s="51">
        <v>0.0</v>
      </c>
      <c r="AF115" s="51">
        <v>0.0</v>
      </c>
      <c r="AG115" s="51">
        <v>0.0</v>
      </c>
      <c r="AH115" s="51">
        <v>0.0</v>
      </c>
      <c r="AI115" s="51">
        <v>0.0</v>
      </c>
      <c r="AJ115" s="51">
        <v>0.0</v>
      </c>
      <c r="AK115" s="51">
        <v>0.0</v>
      </c>
      <c r="AL115" s="51">
        <v>0.0</v>
      </c>
      <c r="AM115" s="51">
        <v>0.0</v>
      </c>
      <c r="AN115" s="51">
        <v>0.0</v>
      </c>
      <c r="AO115" s="51">
        <v>0.0</v>
      </c>
      <c r="AP115" s="51">
        <v>0.0</v>
      </c>
      <c r="AQ115" s="51">
        <v>0.0</v>
      </c>
      <c r="AR115" s="51">
        <v>1.702076510627467</v>
      </c>
      <c r="AS115" s="51">
        <v>2.2836896280106007</v>
      </c>
      <c r="AT115" s="51">
        <v>0.20820407369801297</v>
      </c>
      <c r="AU115" s="51">
        <v>2.844966719264281</v>
      </c>
      <c r="AV115" s="51">
        <v>2.3278208240010305</v>
      </c>
      <c r="AW115" s="51">
        <v>4.118586165825381</v>
      </c>
      <c r="AX115" s="51">
        <v>3.2739991795258985</v>
      </c>
      <c r="AY115" s="51">
        <v>4.7828582326295335</v>
      </c>
      <c r="AZ115" s="51">
        <v>8.689540472676688</v>
      </c>
      <c r="BA115" s="51">
        <v>17.99066930239282</v>
      </c>
      <c r="BB115" s="51">
        <v>21.82622325109946</v>
      </c>
      <c r="BC115" s="51">
        <v>19.295887024934448</v>
      </c>
      <c r="BD115" s="51">
        <v>5.093697731424575</v>
      </c>
      <c r="BE115" s="51">
        <v>5.256835774280889</v>
      </c>
      <c r="BF115" s="51">
        <v>2.7182291843062663</v>
      </c>
      <c r="BG115" s="51">
        <v>4.105652652224136</v>
      </c>
      <c r="BH115" s="51">
        <v>6.508905501233364</v>
      </c>
      <c r="BI115" s="51">
        <v>1.5068321244576344</v>
      </c>
      <c r="BJ115" s="51">
        <v>0.7818634392327927</v>
      </c>
      <c r="BK115" s="100"/>
      <c r="BL115" s="100"/>
      <c r="BM115" s="100"/>
      <c r="BN115" s="100"/>
      <c r="BO115" s="100"/>
      <c r="BP115" s="100"/>
      <c r="BQ115" s="100"/>
      <c r="BR115" s="100"/>
      <c r="BS115" s="100"/>
      <c r="BT115" s="100"/>
      <c r="BU115" s="100"/>
      <c r="BV115" s="100"/>
      <c r="BW115" s="100"/>
      <c r="BX115" s="100"/>
      <c r="BY115" s="100"/>
      <c r="BZ115" s="100"/>
      <c r="CA115" s="100"/>
      <c r="CB115" s="100"/>
      <c r="CC115" s="100"/>
      <c r="CD115" s="100"/>
      <c r="CE115" s="100"/>
      <c r="CF115" s="100"/>
      <c r="CG115" s="100"/>
      <c r="CH115" s="100"/>
      <c r="CI115" s="100"/>
      <c r="CJ115" s="100"/>
      <c r="CK115" s="100"/>
      <c r="CL115" s="100"/>
      <c r="CM115" s="100"/>
      <c r="CN115" s="100"/>
      <c r="CO115" s="100"/>
      <c r="CP115" s="100"/>
      <c r="CQ115" s="100"/>
      <c r="CR115" s="100"/>
      <c r="CS115" s="100"/>
      <c r="CT115" s="100"/>
      <c r="CU115" s="100"/>
      <c r="CV115" s="100"/>
      <c r="CW115" s="100"/>
      <c r="CX115" s="100"/>
      <c r="CY115" s="100"/>
      <c r="CZ115" s="100"/>
      <c r="DA115" s="100"/>
      <c r="DB115" s="100"/>
      <c r="DC115" s="100"/>
      <c r="DD115" s="100"/>
      <c r="DE115" s="100"/>
      <c r="DF115" s="100"/>
      <c r="DG115" s="100"/>
      <c r="DH115" s="100"/>
      <c r="DI115" s="100"/>
      <c r="DJ115" s="100"/>
      <c r="DK115" s="100"/>
      <c r="DL115" s="100"/>
      <c r="DM115" s="100"/>
      <c r="DN115" s="100"/>
      <c r="DO115" s="100"/>
      <c r="DP115" s="100"/>
      <c r="DQ115" s="100"/>
      <c r="DR115" s="100"/>
    </row>
    <row r="116" ht="15.75" hidden="1" customHeight="1" outlineLevel="1">
      <c r="B116" s="5" t="s">
        <v>75</v>
      </c>
      <c r="C116" s="72" t="s">
        <v>76</v>
      </c>
      <c r="F116" s="50">
        <f t="shared" ref="F116:M116" si="108">+SUMIFS($AA116:$DR116,$AA$7:$DR$7,F$7)</f>
        <v>67.77748687</v>
      </c>
      <c r="G116" s="50">
        <f t="shared" si="108"/>
        <v>33.44312466</v>
      </c>
      <c r="H116" s="50">
        <f t="shared" si="108"/>
        <v>132.0480519</v>
      </c>
      <c r="I116" s="50">
        <f t="shared" si="108"/>
        <v>0</v>
      </c>
      <c r="J116" s="50">
        <f t="shared" si="108"/>
        <v>0</v>
      </c>
      <c r="K116" s="50">
        <f t="shared" si="108"/>
        <v>0</v>
      </c>
      <c r="L116" s="50">
        <f t="shared" si="108"/>
        <v>0</v>
      </c>
      <c r="M116" s="50">
        <f t="shared" si="108"/>
        <v>0</v>
      </c>
      <c r="AA116" s="51">
        <v>1.1918211398949168</v>
      </c>
      <c r="AB116" s="51">
        <v>0.8351071897205835</v>
      </c>
      <c r="AC116" s="51">
        <v>1.8023811753362193</v>
      </c>
      <c r="AD116" s="51">
        <v>2.746313847816571</v>
      </c>
      <c r="AE116" s="51">
        <v>2.3189026549964704</v>
      </c>
      <c r="AF116" s="51">
        <v>8.977131151115225</v>
      </c>
      <c r="AG116" s="51">
        <v>16.159629561559036</v>
      </c>
      <c r="AH116" s="51">
        <v>16.317083901316952</v>
      </c>
      <c r="AI116" s="51">
        <v>7.470661287983724</v>
      </c>
      <c r="AJ116" s="51">
        <v>4.343442391403345</v>
      </c>
      <c r="AK116" s="51">
        <v>2.51554193523739</v>
      </c>
      <c r="AL116" s="51">
        <v>3.099470638514939</v>
      </c>
      <c r="AM116" s="51">
        <v>4.3071864841474</v>
      </c>
      <c r="AN116" s="51">
        <v>5.283606222686376</v>
      </c>
      <c r="AO116" s="51">
        <v>4.9287659213275345</v>
      </c>
      <c r="AP116" s="51">
        <v>4.76420417508147</v>
      </c>
      <c r="AQ116" s="51">
        <v>5.045757866717038</v>
      </c>
      <c r="AR116" s="51">
        <v>2.0143779554369736</v>
      </c>
      <c r="AS116" s="51">
        <v>2.507686207091845</v>
      </c>
      <c r="AT116" s="51">
        <v>1.1682455862886396</v>
      </c>
      <c r="AU116" s="51">
        <v>1.164191970557792</v>
      </c>
      <c r="AV116" s="51">
        <v>1.9975452792949195</v>
      </c>
      <c r="AW116" s="51">
        <v>0.24925301886909607</v>
      </c>
      <c r="AX116" s="51">
        <v>0.012303971256712955</v>
      </c>
      <c r="AY116" s="51">
        <v>0.0</v>
      </c>
      <c r="AZ116" s="51">
        <v>1.6869130465511712</v>
      </c>
      <c r="BA116" s="51">
        <v>2.0995870725314187</v>
      </c>
      <c r="BB116" s="51">
        <v>6.117408333229513</v>
      </c>
      <c r="BC116" s="51">
        <v>8.489121233238986</v>
      </c>
      <c r="BD116" s="51">
        <v>9.682542402271824</v>
      </c>
      <c r="BE116" s="51">
        <v>27.816173736626617</v>
      </c>
      <c r="BF116" s="51">
        <v>18.496495300380147</v>
      </c>
      <c r="BG116" s="51">
        <v>27.00472611504094</v>
      </c>
      <c r="BH116" s="51">
        <v>19.876830994456487</v>
      </c>
      <c r="BI116" s="51">
        <v>8.843845365710546</v>
      </c>
      <c r="BJ116" s="51">
        <v>1.9344083252009363</v>
      </c>
      <c r="BK116" s="100"/>
      <c r="BL116" s="100"/>
      <c r="BM116" s="100"/>
      <c r="BN116" s="100"/>
      <c r="BO116" s="100"/>
      <c r="BP116" s="100"/>
      <c r="BQ116" s="100"/>
      <c r="BR116" s="100"/>
      <c r="BS116" s="100"/>
      <c r="BT116" s="100"/>
      <c r="BU116" s="100"/>
      <c r="BV116" s="100"/>
      <c r="BW116" s="100"/>
      <c r="BX116" s="100"/>
      <c r="BY116" s="100"/>
      <c r="BZ116" s="100"/>
      <c r="CA116" s="100"/>
      <c r="CB116" s="100"/>
      <c r="CC116" s="100"/>
      <c r="CD116" s="100"/>
      <c r="CE116" s="100"/>
      <c r="CF116" s="100"/>
      <c r="CG116" s="100"/>
      <c r="CH116" s="100"/>
      <c r="CI116" s="100"/>
      <c r="CJ116" s="100"/>
      <c r="CK116" s="100"/>
      <c r="CL116" s="100"/>
      <c r="CM116" s="100"/>
      <c r="CN116" s="100"/>
      <c r="CO116" s="100"/>
      <c r="CP116" s="100"/>
      <c r="CQ116" s="100"/>
      <c r="CR116" s="100"/>
      <c r="CS116" s="100"/>
      <c r="CT116" s="100"/>
      <c r="CU116" s="100"/>
      <c r="CV116" s="100"/>
      <c r="CW116" s="100"/>
      <c r="CX116" s="100"/>
      <c r="CY116" s="100"/>
      <c r="CZ116" s="100"/>
      <c r="DA116" s="100"/>
      <c r="DB116" s="100"/>
      <c r="DC116" s="100"/>
      <c r="DD116" s="100"/>
      <c r="DE116" s="100"/>
      <c r="DF116" s="100"/>
      <c r="DG116" s="100"/>
      <c r="DH116" s="100"/>
      <c r="DI116" s="100"/>
      <c r="DJ116" s="100"/>
      <c r="DK116" s="100"/>
      <c r="DL116" s="100"/>
      <c r="DM116" s="100"/>
      <c r="DN116" s="100"/>
      <c r="DO116" s="100"/>
      <c r="DP116" s="100"/>
      <c r="DQ116" s="100"/>
      <c r="DR116" s="100"/>
    </row>
    <row r="117" ht="15.75" hidden="1" customHeight="1" outlineLevel="1">
      <c r="B117" s="5" t="s">
        <v>77</v>
      </c>
      <c r="C117" s="72" t="s">
        <v>70</v>
      </c>
      <c r="F117" s="50">
        <f t="shared" ref="F117:M117" si="109">+SUMIFS($AA117:$DR117,$AA$7:$DR$7,F$7)</f>
        <v>0</v>
      </c>
      <c r="G117" s="50">
        <f t="shared" si="109"/>
        <v>0</v>
      </c>
      <c r="H117" s="50">
        <f t="shared" si="109"/>
        <v>8.919222576</v>
      </c>
      <c r="I117" s="50">
        <f t="shared" si="109"/>
        <v>0</v>
      </c>
      <c r="J117" s="50">
        <f t="shared" si="109"/>
        <v>0</v>
      </c>
      <c r="K117" s="50">
        <f t="shared" si="109"/>
        <v>0</v>
      </c>
      <c r="L117" s="50">
        <f t="shared" si="109"/>
        <v>0</v>
      </c>
      <c r="M117" s="50">
        <f t="shared" si="109"/>
        <v>0</v>
      </c>
      <c r="AA117" s="51">
        <v>0.0</v>
      </c>
      <c r="AB117" s="51">
        <v>0.0</v>
      </c>
      <c r="AC117" s="51">
        <v>0.0</v>
      </c>
      <c r="AD117" s="51">
        <v>0.0</v>
      </c>
      <c r="AE117" s="51">
        <v>0.0</v>
      </c>
      <c r="AF117" s="51">
        <v>0.0</v>
      </c>
      <c r="AG117" s="51">
        <v>0.0</v>
      </c>
      <c r="AH117" s="51">
        <v>0.0</v>
      </c>
      <c r="AI117" s="51">
        <v>0.0</v>
      </c>
      <c r="AJ117" s="51">
        <v>0.0</v>
      </c>
      <c r="AK117" s="51">
        <v>0.0</v>
      </c>
      <c r="AL117" s="51">
        <v>0.0</v>
      </c>
      <c r="AM117" s="51">
        <v>0.0</v>
      </c>
      <c r="AN117" s="51">
        <v>0.0</v>
      </c>
      <c r="AO117" s="51">
        <v>0.0</v>
      </c>
      <c r="AP117" s="51">
        <v>0.0</v>
      </c>
      <c r="AQ117" s="51">
        <v>0.0</v>
      </c>
      <c r="AR117" s="51">
        <v>0.0</v>
      </c>
      <c r="AS117" s="51">
        <v>0.0</v>
      </c>
      <c r="AT117" s="51">
        <v>0.0</v>
      </c>
      <c r="AU117" s="51">
        <v>0.0</v>
      </c>
      <c r="AV117" s="51">
        <v>0.0</v>
      </c>
      <c r="AW117" s="51">
        <v>0.0</v>
      </c>
      <c r="AX117" s="51">
        <v>0.0</v>
      </c>
      <c r="AY117" s="51">
        <v>0.0</v>
      </c>
      <c r="AZ117" s="51">
        <v>0.0</v>
      </c>
      <c r="BA117" s="51">
        <v>0.0</v>
      </c>
      <c r="BB117" s="51">
        <v>0.0</v>
      </c>
      <c r="BC117" s="51">
        <v>0.0</v>
      </c>
      <c r="BD117" s="51">
        <v>0.0</v>
      </c>
      <c r="BE117" s="51">
        <v>0.1274752747385916</v>
      </c>
      <c r="BF117" s="51">
        <v>1.7893680095783444</v>
      </c>
      <c r="BG117" s="51">
        <v>3.222171585281477</v>
      </c>
      <c r="BH117" s="51">
        <v>1.5673334200302225</v>
      </c>
      <c r="BI117" s="51">
        <v>1.914889711698958</v>
      </c>
      <c r="BJ117" s="51">
        <v>0.29798457463184647</v>
      </c>
      <c r="BK117" s="100"/>
      <c r="BL117" s="100"/>
      <c r="BM117" s="100"/>
      <c r="BN117" s="100"/>
      <c r="BO117" s="100"/>
      <c r="BP117" s="100"/>
      <c r="BQ117" s="100"/>
      <c r="BR117" s="100"/>
      <c r="BS117" s="100"/>
      <c r="BT117" s="100"/>
      <c r="BU117" s="100"/>
      <c r="BV117" s="100"/>
      <c r="BW117" s="100"/>
      <c r="BX117" s="100"/>
      <c r="BY117" s="100"/>
      <c r="BZ117" s="100"/>
      <c r="CA117" s="100"/>
      <c r="CB117" s="100"/>
      <c r="CC117" s="100"/>
      <c r="CD117" s="100"/>
      <c r="CE117" s="100"/>
      <c r="CF117" s="100"/>
      <c r="CG117" s="100"/>
      <c r="CH117" s="100"/>
      <c r="CI117" s="100"/>
      <c r="CJ117" s="100"/>
      <c r="CK117" s="100"/>
      <c r="CL117" s="100"/>
      <c r="CM117" s="100"/>
      <c r="CN117" s="100"/>
      <c r="CO117" s="100"/>
      <c r="CP117" s="100"/>
      <c r="CQ117" s="100"/>
      <c r="CR117" s="100"/>
      <c r="CS117" s="100"/>
      <c r="CT117" s="100"/>
      <c r="CU117" s="100"/>
      <c r="CV117" s="100"/>
      <c r="CW117" s="100"/>
      <c r="CX117" s="100"/>
      <c r="CY117" s="100"/>
      <c r="CZ117" s="100"/>
      <c r="DA117" s="100"/>
      <c r="DB117" s="100"/>
      <c r="DC117" s="100"/>
      <c r="DD117" s="100"/>
      <c r="DE117" s="100"/>
      <c r="DF117" s="100"/>
      <c r="DG117" s="100"/>
      <c r="DH117" s="100"/>
      <c r="DI117" s="100"/>
      <c r="DJ117" s="100"/>
      <c r="DK117" s="100"/>
      <c r="DL117" s="100"/>
      <c r="DM117" s="100"/>
      <c r="DN117" s="100"/>
      <c r="DO117" s="100"/>
      <c r="DP117" s="100"/>
      <c r="DQ117" s="100"/>
      <c r="DR117" s="100"/>
    </row>
    <row r="118" ht="15.75" hidden="1" customHeight="1" outlineLevel="1">
      <c r="B118" s="5" t="s">
        <v>78</v>
      </c>
      <c r="C118" s="72" t="s">
        <v>70</v>
      </c>
      <c r="F118" s="50">
        <f t="shared" ref="F118:M118" si="110">+SUMIFS($AA118:$DR118,$AA$7:$DR$7,F$7)</f>
        <v>0</v>
      </c>
      <c r="G118" s="50">
        <f t="shared" si="110"/>
        <v>0</v>
      </c>
      <c r="H118" s="50">
        <f t="shared" si="110"/>
        <v>0</v>
      </c>
      <c r="I118" s="50">
        <f t="shared" si="110"/>
        <v>0</v>
      </c>
      <c r="J118" s="50">
        <f t="shared" si="110"/>
        <v>0</v>
      </c>
      <c r="K118" s="50">
        <f t="shared" si="110"/>
        <v>0</v>
      </c>
      <c r="L118" s="50">
        <f t="shared" si="110"/>
        <v>0</v>
      </c>
      <c r="M118" s="50">
        <f t="shared" si="110"/>
        <v>0</v>
      </c>
      <c r="AA118" s="51">
        <v>0.0</v>
      </c>
      <c r="AB118" s="51">
        <v>0.0</v>
      </c>
      <c r="AC118" s="51">
        <v>0.0</v>
      </c>
      <c r="AD118" s="51">
        <v>0.0</v>
      </c>
      <c r="AE118" s="51">
        <v>0.0</v>
      </c>
      <c r="AF118" s="51">
        <v>0.0</v>
      </c>
      <c r="AG118" s="51">
        <v>0.0</v>
      </c>
      <c r="AH118" s="51">
        <v>0.0</v>
      </c>
      <c r="AI118" s="51">
        <v>0.0</v>
      </c>
      <c r="AJ118" s="51">
        <v>0.0</v>
      </c>
      <c r="AK118" s="51">
        <v>0.0</v>
      </c>
      <c r="AL118" s="51">
        <v>0.0</v>
      </c>
      <c r="AM118" s="51">
        <v>0.0</v>
      </c>
      <c r="AN118" s="51">
        <v>0.0</v>
      </c>
      <c r="AO118" s="51">
        <v>0.0</v>
      </c>
      <c r="AP118" s="51">
        <v>0.0</v>
      </c>
      <c r="AQ118" s="51">
        <v>0.0</v>
      </c>
      <c r="AR118" s="51">
        <v>0.0</v>
      </c>
      <c r="AS118" s="51">
        <v>0.0</v>
      </c>
      <c r="AT118" s="51">
        <v>0.0</v>
      </c>
      <c r="AU118" s="51">
        <v>0.0</v>
      </c>
      <c r="AV118" s="51">
        <v>0.0</v>
      </c>
      <c r="AW118" s="51">
        <v>0.0</v>
      </c>
      <c r="AX118" s="51">
        <v>0.0</v>
      </c>
      <c r="AY118" s="51">
        <v>0.0</v>
      </c>
      <c r="AZ118" s="51">
        <v>0.0</v>
      </c>
      <c r="BA118" s="51">
        <v>0.0</v>
      </c>
      <c r="BB118" s="51">
        <v>0.0</v>
      </c>
      <c r="BC118" s="51">
        <v>0.0</v>
      </c>
      <c r="BD118" s="51">
        <v>0.0</v>
      </c>
      <c r="BE118" s="51">
        <v>0.0</v>
      </c>
      <c r="BF118" s="51">
        <v>0.0</v>
      </c>
      <c r="BG118" s="51">
        <v>0.0</v>
      </c>
      <c r="BH118" s="51">
        <v>0.0</v>
      </c>
      <c r="BI118" s="51">
        <v>0.0</v>
      </c>
      <c r="BJ118" s="51">
        <v>0.0</v>
      </c>
      <c r="BK118" s="100"/>
      <c r="BL118" s="100"/>
      <c r="BM118" s="100"/>
      <c r="BN118" s="100"/>
      <c r="BO118" s="100"/>
      <c r="BP118" s="100"/>
      <c r="BQ118" s="100"/>
      <c r="BR118" s="100"/>
      <c r="BS118" s="100"/>
      <c r="BT118" s="100"/>
      <c r="BU118" s="100"/>
      <c r="BV118" s="100"/>
      <c r="BW118" s="100"/>
      <c r="BX118" s="100"/>
      <c r="BY118" s="100"/>
      <c r="BZ118" s="100"/>
      <c r="CA118" s="100"/>
      <c r="CB118" s="100"/>
      <c r="CC118" s="100"/>
      <c r="CD118" s="100"/>
      <c r="CE118" s="100"/>
      <c r="CF118" s="100"/>
      <c r="CG118" s="100"/>
      <c r="CH118" s="100"/>
      <c r="CI118" s="100"/>
      <c r="CJ118" s="100"/>
      <c r="CK118" s="100"/>
      <c r="CL118" s="100"/>
      <c r="CM118" s="100"/>
      <c r="CN118" s="100"/>
      <c r="CO118" s="100"/>
      <c r="CP118" s="100"/>
      <c r="CQ118" s="100"/>
      <c r="CR118" s="100"/>
      <c r="CS118" s="100"/>
      <c r="CT118" s="100"/>
      <c r="CU118" s="100"/>
      <c r="CV118" s="100"/>
      <c r="CW118" s="100"/>
      <c r="CX118" s="100"/>
      <c r="CY118" s="100"/>
      <c r="CZ118" s="100"/>
      <c r="DA118" s="100"/>
      <c r="DB118" s="100"/>
      <c r="DC118" s="100"/>
      <c r="DD118" s="100"/>
      <c r="DE118" s="100"/>
      <c r="DF118" s="100"/>
      <c r="DG118" s="100"/>
      <c r="DH118" s="100"/>
      <c r="DI118" s="100"/>
      <c r="DJ118" s="100"/>
      <c r="DK118" s="100"/>
      <c r="DL118" s="100"/>
      <c r="DM118" s="100"/>
      <c r="DN118" s="100"/>
      <c r="DO118" s="100"/>
      <c r="DP118" s="100"/>
      <c r="DQ118" s="100"/>
      <c r="DR118" s="100"/>
    </row>
    <row r="119" ht="15.75" hidden="1" customHeight="1" outlineLevel="1">
      <c r="B119" s="5" t="s">
        <v>79</v>
      </c>
      <c r="C119" s="72" t="s">
        <v>76</v>
      </c>
      <c r="F119" s="50">
        <f t="shared" ref="F119:M119" si="111">+SUMIFS($AA119:$DR119,$AA$7:$DR$7,F$7)</f>
        <v>0</v>
      </c>
      <c r="G119" s="50">
        <f t="shared" si="111"/>
        <v>0</v>
      </c>
      <c r="H119" s="50">
        <f t="shared" si="111"/>
        <v>0</v>
      </c>
      <c r="I119" s="50">
        <f t="shared" si="111"/>
        <v>0</v>
      </c>
      <c r="J119" s="50">
        <f t="shared" si="111"/>
        <v>0</v>
      </c>
      <c r="K119" s="50">
        <f t="shared" si="111"/>
        <v>0</v>
      </c>
      <c r="L119" s="50">
        <f t="shared" si="111"/>
        <v>0</v>
      </c>
      <c r="M119" s="50">
        <f t="shared" si="111"/>
        <v>0</v>
      </c>
      <c r="AA119" s="51">
        <v>0.0</v>
      </c>
      <c r="AB119" s="51">
        <v>0.0</v>
      </c>
      <c r="AC119" s="51">
        <v>0.0</v>
      </c>
      <c r="AD119" s="51">
        <v>0.0</v>
      </c>
      <c r="AE119" s="51">
        <v>0.0</v>
      </c>
      <c r="AF119" s="51">
        <v>0.0</v>
      </c>
      <c r="AG119" s="51">
        <v>0.0</v>
      </c>
      <c r="AH119" s="51">
        <v>0.0</v>
      </c>
      <c r="AI119" s="51">
        <v>0.0</v>
      </c>
      <c r="AJ119" s="51">
        <v>0.0</v>
      </c>
      <c r="AK119" s="51">
        <v>0.0</v>
      </c>
      <c r="AL119" s="51">
        <v>0.0</v>
      </c>
      <c r="AM119" s="51">
        <v>0.0</v>
      </c>
      <c r="AN119" s="51">
        <v>0.0</v>
      </c>
      <c r="AO119" s="51">
        <v>0.0</v>
      </c>
      <c r="AP119" s="51">
        <v>0.0</v>
      </c>
      <c r="AQ119" s="51">
        <v>0.0</v>
      </c>
      <c r="AR119" s="51">
        <v>0.0</v>
      </c>
      <c r="AS119" s="51">
        <v>0.0</v>
      </c>
      <c r="AT119" s="51">
        <v>0.0</v>
      </c>
      <c r="AU119" s="51">
        <v>0.0</v>
      </c>
      <c r="AV119" s="51">
        <v>0.0</v>
      </c>
      <c r="AW119" s="51">
        <v>0.0</v>
      </c>
      <c r="AX119" s="51">
        <v>0.0</v>
      </c>
      <c r="AY119" s="51">
        <v>0.0</v>
      </c>
      <c r="AZ119" s="51">
        <v>0.0</v>
      </c>
      <c r="BA119" s="51">
        <v>0.0</v>
      </c>
      <c r="BB119" s="51">
        <v>0.0</v>
      </c>
      <c r="BC119" s="51">
        <v>0.0</v>
      </c>
      <c r="BD119" s="51">
        <v>0.0</v>
      </c>
      <c r="BE119" s="51">
        <v>0.0</v>
      </c>
      <c r="BF119" s="51">
        <v>0.0</v>
      </c>
      <c r="BG119" s="51">
        <v>0.0</v>
      </c>
      <c r="BH119" s="51">
        <v>0.0</v>
      </c>
      <c r="BI119" s="51">
        <v>0.0</v>
      </c>
      <c r="BJ119" s="51">
        <v>0.0</v>
      </c>
      <c r="BK119" s="100"/>
      <c r="BL119" s="100"/>
      <c r="BM119" s="100"/>
      <c r="BN119" s="100"/>
      <c r="BO119" s="100"/>
      <c r="BP119" s="100"/>
      <c r="BQ119" s="100"/>
      <c r="BR119" s="100"/>
      <c r="BS119" s="100"/>
      <c r="BT119" s="100"/>
      <c r="BU119" s="100"/>
      <c r="BV119" s="100"/>
      <c r="BW119" s="100"/>
      <c r="BX119" s="100"/>
      <c r="BY119" s="100"/>
      <c r="BZ119" s="100"/>
      <c r="CA119" s="100"/>
      <c r="CB119" s="100"/>
      <c r="CC119" s="100"/>
      <c r="CD119" s="100"/>
      <c r="CE119" s="100"/>
      <c r="CF119" s="100"/>
      <c r="CG119" s="100"/>
      <c r="CH119" s="100"/>
      <c r="CI119" s="100"/>
      <c r="CJ119" s="100"/>
      <c r="CK119" s="100"/>
      <c r="CL119" s="100"/>
      <c r="CM119" s="100"/>
      <c r="CN119" s="100"/>
      <c r="CO119" s="100"/>
      <c r="CP119" s="100"/>
      <c r="CQ119" s="100"/>
      <c r="CR119" s="100"/>
      <c r="CS119" s="100"/>
      <c r="CT119" s="100"/>
      <c r="CU119" s="100"/>
      <c r="CV119" s="100"/>
      <c r="CW119" s="100"/>
      <c r="CX119" s="100"/>
      <c r="CY119" s="100"/>
      <c r="CZ119" s="100"/>
      <c r="DA119" s="100"/>
      <c r="DB119" s="100"/>
      <c r="DC119" s="100"/>
      <c r="DD119" s="100"/>
      <c r="DE119" s="100"/>
      <c r="DF119" s="100"/>
      <c r="DG119" s="100"/>
      <c r="DH119" s="100"/>
      <c r="DI119" s="100"/>
      <c r="DJ119" s="100"/>
      <c r="DK119" s="100"/>
      <c r="DL119" s="100"/>
      <c r="DM119" s="100"/>
      <c r="DN119" s="100"/>
      <c r="DO119" s="100"/>
      <c r="DP119" s="100"/>
      <c r="DQ119" s="100"/>
      <c r="DR119" s="100"/>
    </row>
    <row r="120" ht="15.75" hidden="1" customHeight="1" outlineLevel="1">
      <c r="B120" s="5" t="s">
        <v>80</v>
      </c>
      <c r="C120" s="72" t="s">
        <v>74</v>
      </c>
      <c r="F120" s="50">
        <f t="shared" ref="F120:M120" si="112">+SUMIFS($AA120:$DR120,$AA$7:$DR$7,F$7)</f>
        <v>0</v>
      </c>
      <c r="G120" s="50">
        <f t="shared" si="112"/>
        <v>11.31052346</v>
      </c>
      <c r="H120" s="50">
        <f t="shared" si="112"/>
        <v>23.27789454</v>
      </c>
      <c r="I120" s="50">
        <f t="shared" si="112"/>
        <v>0</v>
      </c>
      <c r="J120" s="50">
        <f t="shared" si="112"/>
        <v>0</v>
      </c>
      <c r="K120" s="50">
        <f t="shared" si="112"/>
        <v>0</v>
      </c>
      <c r="L120" s="50">
        <f t="shared" si="112"/>
        <v>0</v>
      </c>
      <c r="M120" s="50">
        <f t="shared" si="112"/>
        <v>0</v>
      </c>
      <c r="AA120" s="51">
        <v>0.0</v>
      </c>
      <c r="AB120" s="51">
        <v>0.0</v>
      </c>
      <c r="AC120" s="51">
        <v>0.0</v>
      </c>
      <c r="AD120" s="51">
        <v>0.0</v>
      </c>
      <c r="AE120" s="51">
        <v>0.0</v>
      </c>
      <c r="AF120" s="51">
        <v>0.0</v>
      </c>
      <c r="AG120" s="51">
        <v>0.0</v>
      </c>
      <c r="AH120" s="51">
        <v>0.0</v>
      </c>
      <c r="AI120" s="51">
        <v>0.0</v>
      </c>
      <c r="AJ120" s="51">
        <v>0.0</v>
      </c>
      <c r="AK120" s="51">
        <v>0.0</v>
      </c>
      <c r="AL120" s="51">
        <v>0.0</v>
      </c>
      <c r="AM120" s="51">
        <v>0.0</v>
      </c>
      <c r="AN120" s="51">
        <v>0.0</v>
      </c>
      <c r="AO120" s="51">
        <v>0.0</v>
      </c>
      <c r="AP120" s="51">
        <v>0.0</v>
      </c>
      <c r="AQ120" s="51">
        <v>0.07155611615356397</v>
      </c>
      <c r="AR120" s="51">
        <v>1.2392102284903688</v>
      </c>
      <c r="AS120" s="51">
        <v>2.101724238260774</v>
      </c>
      <c r="AT120" s="51">
        <v>5.272097441716747</v>
      </c>
      <c r="AU120" s="51">
        <v>1.000685148011441</v>
      </c>
      <c r="AV120" s="51">
        <v>1.0229592941932135</v>
      </c>
      <c r="AW120" s="51">
        <v>0.219070538860032</v>
      </c>
      <c r="AX120" s="51">
        <v>0.3832204517849605</v>
      </c>
      <c r="AY120" s="51">
        <v>0.3067692025382394</v>
      </c>
      <c r="AZ120" s="51">
        <v>3.7381287388235154</v>
      </c>
      <c r="BA120" s="51">
        <v>3.4229400445896605</v>
      </c>
      <c r="BB120" s="51">
        <v>1.4068406129675126</v>
      </c>
      <c r="BC120" s="51">
        <v>0.6892029251029247</v>
      </c>
      <c r="BD120" s="51">
        <v>3.654610935429196</v>
      </c>
      <c r="BE120" s="51">
        <v>3.085686805162026</v>
      </c>
      <c r="BF120" s="51">
        <v>1.4939537205995024</v>
      </c>
      <c r="BG120" s="51">
        <v>2.5653028192281555</v>
      </c>
      <c r="BH120" s="51">
        <v>1.2392552899963436</v>
      </c>
      <c r="BI120" s="51">
        <v>1.486784346931091</v>
      </c>
      <c r="BJ120" s="51">
        <v>0.18841909708557772</v>
      </c>
      <c r="BK120" s="100"/>
      <c r="BL120" s="100"/>
      <c r="BM120" s="100"/>
      <c r="BN120" s="100"/>
      <c r="BO120" s="100"/>
      <c r="BP120" s="100"/>
      <c r="BQ120" s="100"/>
      <c r="BR120" s="100"/>
      <c r="BS120" s="100"/>
      <c r="BT120" s="100"/>
      <c r="BU120" s="100"/>
      <c r="BV120" s="100"/>
      <c r="BW120" s="100"/>
      <c r="BX120" s="100"/>
      <c r="BY120" s="100"/>
      <c r="BZ120" s="100"/>
      <c r="CA120" s="100"/>
      <c r="CB120" s="100"/>
      <c r="CC120" s="100"/>
      <c r="CD120" s="100"/>
      <c r="CE120" s="100"/>
      <c r="CF120" s="100"/>
      <c r="CG120" s="100"/>
      <c r="CH120" s="100"/>
      <c r="CI120" s="100"/>
      <c r="CJ120" s="100"/>
      <c r="CK120" s="100"/>
      <c r="CL120" s="100"/>
      <c r="CM120" s="100"/>
      <c r="CN120" s="100"/>
      <c r="CO120" s="100"/>
      <c r="CP120" s="100"/>
      <c r="CQ120" s="100"/>
      <c r="CR120" s="100"/>
      <c r="CS120" s="100"/>
      <c r="CT120" s="100"/>
      <c r="CU120" s="100"/>
      <c r="CV120" s="100"/>
      <c r="CW120" s="100"/>
      <c r="CX120" s="100"/>
      <c r="CY120" s="100"/>
      <c r="CZ120" s="100"/>
      <c r="DA120" s="100"/>
      <c r="DB120" s="100"/>
      <c r="DC120" s="100"/>
      <c r="DD120" s="100"/>
      <c r="DE120" s="100"/>
      <c r="DF120" s="100"/>
      <c r="DG120" s="100"/>
      <c r="DH120" s="100"/>
      <c r="DI120" s="100"/>
      <c r="DJ120" s="100"/>
      <c r="DK120" s="100"/>
      <c r="DL120" s="100"/>
      <c r="DM120" s="100"/>
      <c r="DN120" s="100"/>
      <c r="DO120" s="100"/>
      <c r="DP120" s="100"/>
      <c r="DQ120" s="100"/>
      <c r="DR120" s="100"/>
    </row>
    <row r="121" ht="15.75" hidden="1" customHeight="1" outlineLevel="1">
      <c r="B121" s="5" t="s">
        <v>81</v>
      </c>
      <c r="C121" s="72" t="s">
        <v>82</v>
      </c>
      <c r="F121" s="50">
        <f t="shared" ref="F121:M121" si="113">+SUMIFS($AA121:$DR121,$AA$7:$DR$7,F$7)</f>
        <v>648.7457373</v>
      </c>
      <c r="G121" s="50">
        <f t="shared" si="113"/>
        <v>572.7652716</v>
      </c>
      <c r="H121" s="50">
        <f t="shared" si="113"/>
        <v>518.328525</v>
      </c>
      <c r="I121" s="50">
        <f t="shared" si="113"/>
        <v>0</v>
      </c>
      <c r="J121" s="50">
        <f t="shared" si="113"/>
        <v>0</v>
      </c>
      <c r="K121" s="50">
        <f t="shared" si="113"/>
        <v>0</v>
      </c>
      <c r="L121" s="50">
        <f t="shared" si="113"/>
        <v>0</v>
      </c>
      <c r="M121" s="50">
        <f t="shared" si="113"/>
        <v>0</v>
      </c>
      <c r="AA121" s="51">
        <v>50.413886952851584</v>
      </c>
      <c r="AB121" s="51">
        <v>47.17746826733903</v>
      </c>
      <c r="AC121" s="51">
        <v>62.37499746572448</v>
      </c>
      <c r="AD121" s="51">
        <v>41.45573010235445</v>
      </c>
      <c r="AE121" s="51">
        <v>43.89859370248297</v>
      </c>
      <c r="AF121" s="51">
        <v>55.95919866745646</v>
      </c>
      <c r="AG121" s="51">
        <v>43.845767601060494</v>
      </c>
      <c r="AH121" s="51">
        <v>65.3493343980143</v>
      </c>
      <c r="AI121" s="51">
        <v>72.3410418926738</v>
      </c>
      <c r="AJ121" s="51">
        <v>66.71786534566337</v>
      </c>
      <c r="AK121" s="51">
        <v>56.129502522205364</v>
      </c>
      <c r="AL121" s="51">
        <v>43.082350376926286</v>
      </c>
      <c r="AM121" s="51">
        <v>54.04270837240818</v>
      </c>
      <c r="AN121" s="51">
        <v>34.884647498905814</v>
      </c>
      <c r="AO121" s="51">
        <v>45.706343948123</v>
      </c>
      <c r="AP121" s="51">
        <v>34.1534526028396</v>
      </c>
      <c r="AQ121" s="51">
        <v>34.96365645727555</v>
      </c>
      <c r="AR121" s="51">
        <v>44.674599765227114</v>
      </c>
      <c r="AS121" s="51">
        <v>56.1290250112334</v>
      </c>
      <c r="AT121" s="51">
        <v>60.11282574665058</v>
      </c>
      <c r="AU121" s="51">
        <v>64.6227677826554</v>
      </c>
      <c r="AV121" s="51">
        <v>53.54732690860189</v>
      </c>
      <c r="AW121" s="51">
        <v>40.42914122171026</v>
      </c>
      <c r="AX121" s="51">
        <v>49.498776298086156</v>
      </c>
      <c r="AY121" s="51">
        <v>43.64678436361208</v>
      </c>
      <c r="AZ121" s="51">
        <v>44.09091143514108</v>
      </c>
      <c r="BA121" s="51">
        <v>48.78013493167354</v>
      </c>
      <c r="BB121" s="51">
        <v>54.62023062165275</v>
      </c>
      <c r="BC121" s="51">
        <v>43.15843091115472</v>
      </c>
      <c r="BD121" s="51">
        <v>50.78701982325256</v>
      </c>
      <c r="BE121" s="51">
        <v>45.224268566229824</v>
      </c>
      <c r="BF121" s="51">
        <v>43.65320493131673</v>
      </c>
      <c r="BG121" s="51">
        <v>41.77994904901859</v>
      </c>
      <c r="BH121" s="51">
        <v>41.074098911569145</v>
      </c>
      <c r="BI121" s="51">
        <v>30.811059442389723</v>
      </c>
      <c r="BJ121" s="51">
        <v>30.702431978649148</v>
      </c>
      <c r="BK121" s="100"/>
      <c r="BL121" s="100"/>
      <c r="BM121" s="100"/>
      <c r="BN121" s="100"/>
      <c r="BO121" s="100"/>
      <c r="BP121" s="100"/>
      <c r="BQ121" s="100"/>
      <c r="BR121" s="100"/>
      <c r="BS121" s="100"/>
      <c r="BT121" s="100"/>
      <c r="BU121" s="100"/>
      <c r="BV121" s="100"/>
      <c r="BW121" s="100"/>
      <c r="BX121" s="100"/>
      <c r="BY121" s="100"/>
      <c r="BZ121" s="100"/>
      <c r="CA121" s="100"/>
      <c r="CB121" s="100"/>
      <c r="CC121" s="100"/>
      <c r="CD121" s="100"/>
      <c r="CE121" s="100"/>
      <c r="CF121" s="100"/>
      <c r="CG121" s="100"/>
      <c r="CH121" s="100"/>
      <c r="CI121" s="100"/>
      <c r="CJ121" s="100"/>
      <c r="CK121" s="100"/>
      <c r="CL121" s="100"/>
      <c r="CM121" s="100"/>
      <c r="CN121" s="100"/>
      <c r="CO121" s="100"/>
      <c r="CP121" s="100"/>
      <c r="CQ121" s="100"/>
      <c r="CR121" s="100"/>
      <c r="CS121" s="100"/>
      <c r="CT121" s="100"/>
      <c r="CU121" s="100"/>
      <c r="CV121" s="100"/>
      <c r="CW121" s="100"/>
      <c r="CX121" s="100"/>
      <c r="CY121" s="100"/>
      <c r="CZ121" s="100"/>
      <c r="DA121" s="100"/>
      <c r="DB121" s="100"/>
      <c r="DC121" s="100"/>
      <c r="DD121" s="100"/>
      <c r="DE121" s="100"/>
      <c r="DF121" s="100"/>
      <c r="DG121" s="100"/>
      <c r="DH121" s="100"/>
      <c r="DI121" s="100"/>
      <c r="DJ121" s="100"/>
      <c r="DK121" s="100"/>
      <c r="DL121" s="100"/>
      <c r="DM121" s="100"/>
      <c r="DN121" s="100"/>
      <c r="DO121" s="100"/>
      <c r="DP121" s="100"/>
      <c r="DQ121" s="100"/>
      <c r="DR121" s="100"/>
    </row>
    <row r="122" ht="15.75" hidden="1" customHeight="1" outlineLevel="1">
      <c r="B122" s="5" t="s">
        <v>83</v>
      </c>
      <c r="C122" s="72" t="s">
        <v>70</v>
      </c>
      <c r="F122" s="50">
        <f t="shared" ref="F122:M122" si="114">+SUMIFS($AA122:$DR122,$AA$7:$DR$7,F$7)</f>
        <v>16.91346011</v>
      </c>
      <c r="G122" s="50">
        <f t="shared" si="114"/>
        <v>31.81969417</v>
      </c>
      <c r="H122" s="50">
        <f t="shared" si="114"/>
        <v>30.39584859</v>
      </c>
      <c r="I122" s="50">
        <f t="shared" si="114"/>
        <v>0</v>
      </c>
      <c r="J122" s="50">
        <f t="shared" si="114"/>
        <v>0</v>
      </c>
      <c r="K122" s="50">
        <f t="shared" si="114"/>
        <v>0</v>
      </c>
      <c r="L122" s="50">
        <f t="shared" si="114"/>
        <v>0</v>
      </c>
      <c r="M122" s="50">
        <f t="shared" si="114"/>
        <v>0</v>
      </c>
      <c r="AA122" s="51">
        <v>2.421033850411767</v>
      </c>
      <c r="AB122" s="51">
        <v>1.4392522203009084</v>
      </c>
      <c r="AC122" s="51">
        <v>0.6099763293796646</v>
      </c>
      <c r="AD122" s="51">
        <v>0.11071071657459414</v>
      </c>
      <c r="AE122" s="51">
        <v>0.16808071990903678</v>
      </c>
      <c r="AF122" s="51">
        <v>0.5274556757040458</v>
      </c>
      <c r="AG122" s="51">
        <v>0.2826195759358028</v>
      </c>
      <c r="AH122" s="51">
        <v>0.17026398266563952</v>
      </c>
      <c r="AI122" s="51">
        <v>1.8193047919070893</v>
      </c>
      <c r="AJ122" s="51">
        <v>2.63395439088449</v>
      </c>
      <c r="AK122" s="51">
        <v>6.103389385706334</v>
      </c>
      <c r="AL122" s="51">
        <v>0.627418469402497</v>
      </c>
      <c r="AM122" s="51">
        <v>1.3404918089371438</v>
      </c>
      <c r="AN122" s="51">
        <v>4.330791962519383</v>
      </c>
      <c r="AO122" s="51">
        <v>5.4941127131697876</v>
      </c>
      <c r="AP122" s="51">
        <v>6.240348376983444</v>
      </c>
      <c r="AQ122" s="51">
        <v>5.578085415160377</v>
      </c>
      <c r="AR122" s="51">
        <v>5.020191405707561</v>
      </c>
      <c r="AS122" s="51">
        <v>0.2432743389323697</v>
      </c>
      <c r="AT122" s="51">
        <v>0.2137416714175662</v>
      </c>
      <c r="AU122" s="51">
        <v>0.13796338089608257</v>
      </c>
      <c r="AV122" s="51">
        <v>0.7997026144906131</v>
      </c>
      <c r="AW122" s="51">
        <v>1.349729128110129</v>
      </c>
      <c r="AX122" s="51">
        <v>1.0712613508005513</v>
      </c>
      <c r="AY122" s="51">
        <v>1.4282088499821053</v>
      </c>
      <c r="AZ122" s="51">
        <v>2.2554133928548405</v>
      </c>
      <c r="BA122" s="51">
        <v>4.982854468189704</v>
      </c>
      <c r="BB122" s="51">
        <v>7.619981216160435</v>
      </c>
      <c r="BC122" s="51">
        <v>3.159108375788371</v>
      </c>
      <c r="BD122" s="51">
        <v>2.1549710135436113</v>
      </c>
      <c r="BE122" s="51">
        <v>1.7072004097548752</v>
      </c>
      <c r="BF122" s="51">
        <v>1.4455835766634393</v>
      </c>
      <c r="BG122" s="51">
        <v>1.5084768361741434</v>
      </c>
      <c r="BH122" s="51">
        <v>0.7703390320703825</v>
      </c>
      <c r="BI122" s="51">
        <v>1.4077360440098674</v>
      </c>
      <c r="BJ122" s="51">
        <v>1.9559753747065438</v>
      </c>
      <c r="BK122" s="100"/>
      <c r="BL122" s="100"/>
      <c r="BM122" s="100"/>
      <c r="BN122" s="100"/>
      <c r="BO122" s="100"/>
      <c r="BP122" s="100"/>
      <c r="BQ122" s="100"/>
      <c r="BR122" s="100"/>
      <c r="BS122" s="100"/>
      <c r="BT122" s="100"/>
      <c r="BU122" s="100"/>
      <c r="BV122" s="100"/>
      <c r="BW122" s="100"/>
      <c r="BX122" s="100"/>
      <c r="BY122" s="100"/>
      <c r="BZ122" s="100"/>
      <c r="CA122" s="100"/>
      <c r="CB122" s="100"/>
      <c r="CC122" s="100"/>
      <c r="CD122" s="100"/>
      <c r="CE122" s="100"/>
      <c r="CF122" s="100"/>
      <c r="CG122" s="100"/>
      <c r="CH122" s="100"/>
      <c r="CI122" s="100"/>
      <c r="CJ122" s="100"/>
      <c r="CK122" s="100"/>
      <c r="CL122" s="100"/>
      <c r="CM122" s="100"/>
      <c r="CN122" s="100"/>
      <c r="CO122" s="100"/>
      <c r="CP122" s="100"/>
      <c r="CQ122" s="100"/>
      <c r="CR122" s="100"/>
      <c r="CS122" s="100"/>
      <c r="CT122" s="100"/>
      <c r="CU122" s="100"/>
      <c r="CV122" s="100"/>
      <c r="CW122" s="100"/>
      <c r="CX122" s="100"/>
      <c r="CY122" s="100"/>
      <c r="CZ122" s="100"/>
      <c r="DA122" s="100"/>
      <c r="DB122" s="100"/>
      <c r="DC122" s="100"/>
      <c r="DD122" s="100"/>
      <c r="DE122" s="100"/>
      <c r="DF122" s="100"/>
      <c r="DG122" s="100"/>
      <c r="DH122" s="100"/>
      <c r="DI122" s="100"/>
      <c r="DJ122" s="100"/>
      <c r="DK122" s="100"/>
      <c r="DL122" s="100"/>
      <c r="DM122" s="100"/>
      <c r="DN122" s="100"/>
      <c r="DO122" s="100"/>
      <c r="DP122" s="100"/>
      <c r="DQ122" s="100"/>
      <c r="DR122" s="100"/>
    </row>
    <row r="123" ht="15.75" hidden="1" customHeight="1" outlineLevel="1">
      <c r="B123" s="5" t="s">
        <v>84</v>
      </c>
      <c r="C123" s="72" t="s">
        <v>70</v>
      </c>
      <c r="F123" s="50">
        <f t="shared" ref="F123:M123" si="115">+SUMIFS($AA123:$DR123,$AA$7:$DR$7,F$7)</f>
        <v>13.8962726</v>
      </c>
      <c r="G123" s="50">
        <f t="shared" si="115"/>
        <v>4.065456482</v>
      </c>
      <c r="H123" s="50">
        <f t="shared" si="115"/>
        <v>0.6100966834</v>
      </c>
      <c r="I123" s="50">
        <f t="shared" si="115"/>
        <v>0</v>
      </c>
      <c r="J123" s="50">
        <f t="shared" si="115"/>
        <v>0</v>
      </c>
      <c r="K123" s="50">
        <f t="shared" si="115"/>
        <v>0</v>
      </c>
      <c r="L123" s="50">
        <f t="shared" si="115"/>
        <v>0</v>
      </c>
      <c r="M123" s="50">
        <f t="shared" si="115"/>
        <v>0</v>
      </c>
      <c r="AA123" s="51">
        <v>0.0</v>
      </c>
      <c r="AB123" s="51">
        <v>0.0</v>
      </c>
      <c r="AC123" s="51">
        <v>0.0</v>
      </c>
      <c r="AD123" s="51">
        <v>0.18696046962347135</v>
      </c>
      <c r="AE123" s="51">
        <v>0.17728880391950186</v>
      </c>
      <c r="AF123" s="51">
        <v>0.07055271335617883</v>
      </c>
      <c r="AG123" s="51">
        <v>0.46448088680540045</v>
      </c>
      <c r="AH123" s="51">
        <v>1.237626172065844</v>
      </c>
      <c r="AI123" s="51">
        <v>2.423472734974705</v>
      </c>
      <c r="AJ123" s="51">
        <v>6.500810187357152</v>
      </c>
      <c r="AK123" s="51">
        <v>1.8925027512175812</v>
      </c>
      <c r="AL123" s="51">
        <v>0.942577884871878</v>
      </c>
      <c r="AM123" s="51">
        <v>0.13752549524639715</v>
      </c>
      <c r="AN123" s="51">
        <v>1.281521157238696</v>
      </c>
      <c r="AO123" s="51">
        <v>2.4718677780754446</v>
      </c>
      <c r="AP123" s="51">
        <v>0.02988819938866366</v>
      </c>
      <c r="AQ123" s="51">
        <v>0.0</v>
      </c>
      <c r="AR123" s="51">
        <v>0.0</v>
      </c>
      <c r="AS123" s="51">
        <v>0.0</v>
      </c>
      <c r="AT123" s="51">
        <v>0.14465385187898488</v>
      </c>
      <c r="AU123" s="51">
        <v>0.0</v>
      </c>
      <c r="AV123" s="51">
        <v>0.0</v>
      </c>
      <c r="AW123" s="51">
        <v>0.0</v>
      </c>
      <c r="AX123" s="51">
        <v>0.0</v>
      </c>
      <c r="AY123" s="51">
        <v>0.0</v>
      </c>
      <c r="AZ123" s="51">
        <v>0.12464796444983887</v>
      </c>
      <c r="BA123" s="51">
        <v>0.06177938522085883</v>
      </c>
      <c r="BB123" s="51">
        <v>0.18887372862990873</v>
      </c>
      <c r="BC123" s="51">
        <v>0.22245724029762073</v>
      </c>
      <c r="BD123" s="51">
        <v>0.0</v>
      </c>
      <c r="BE123" s="51">
        <v>0.0</v>
      </c>
      <c r="BF123" s="51">
        <v>0.0</v>
      </c>
      <c r="BG123" s="51">
        <v>0.012338364792515998</v>
      </c>
      <c r="BH123" s="51">
        <v>0.0</v>
      </c>
      <c r="BI123" s="51">
        <v>0.0</v>
      </c>
      <c r="BJ123" s="51">
        <v>0.0</v>
      </c>
      <c r="BK123" s="100"/>
      <c r="BL123" s="100"/>
      <c r="BM123" s="100"/>
      <c r="BN123" s="100"/>
      <c r="BO123" s="100"/>
      <c r="BP123" s="100"/>
      <c r="BQ123" s="100"/>
      <c r="BR123" s="100"/>
      <c r="BS123" s="100"/>
      <c r="BT123" s="100"/>
      <c r="BU123" s="100"/>
      <c r="BV123" s="100"/>
      <c r="BW123" s="100"/>
      <c r="BX123" s="100"/>
      <c r="BY123" s="100"/>
      <c r="BZ123" s="100"/>
      <c r="CA123" s="100"/>
      <c r="CB123" s="100"/>
      <c r="CC123" s="100"/>
      <c r="CD123" s="100"/>
      <c r="CE123" s="100"/>
      <c r="CF123" s="100"/>
      <c r="CG123" s="100"/>
      <c r="CH123" s="100"/>
      <c r="CI123" s="100"/>
      <c r="CJ123" s="100"/>
      <c r="CK123" s="100"/>
      <c r="CL123" s="100"/>
      <c r="CM123" s="100"/>
      <c r="CN123" s="100"/>
      <c r="CO123" s="100"/>
      <c r="CP123" s="100"/>
      <c r="CQ123" s="100"/>
      <c r="CR123" s="100"/>
      <c r="CS123" s="100"/>
      <c r="CT123" s="100"/>
      <c r="CU123" s="100"/>
      <c r="CV123" s="100"/>
      <c r="CW123" s="100"/>
      <c r="CX123" s="100"/>
      <c r="CY123" s="100"/>
      <c r="CZ123" s="100"/>
      <c r="DA123" s="100"/>
      <c r="DB123" s="100"/>
      <c r="DC123" s="100"/>
      <c r="DD123" s="100"/>
      <c r="DE123" s="100"/>
      <c r="DF123" s="100"/>
      <c r="DG123" s="100"/>
      <c r="DH123" s="100"/>
      <c r="DI123" s="100"/>
      <c r="DJ123" s="100"/>
      <c r="DK123" s="100"/>
      <c r="DL123" s="100"/>
      <c r="DM123" s="100"/>
      <c r="DN123" s="100"/>
      <c r="DO123" s="100"/>
      <c r="DP123" s="100"/>
      <c r="DQ123" s="100"/>
      <c r="DR123" s="100"/>
    </row>
    <row r="124" ht="15.75" hidden="1" customHeight="1" outlineLevel="1">
      <c r="B124" s="5" t="s">
        <v>85</v>
      </c>
      <c r="C124" s="72" t="s">
        <v>70</v>
      </c>
      <c r="F124" s="50">
        <f t="shared" ref="F124:M124" si="116">+SUMIFS($AA124:$DR124,$AA$7:$DR$7,F$7)</f>
        <v>0</v>
      </c>
      <c r="G124" s="50">
        <f t="shared" si="116"/>
        <v>0</v>
      </c>
      <c r="H124" s="50">
        <f t="shared" si="116"/>
        <v>0</v>
      </c>
      <c r="I124" s="50">
        <f t="shared" si="116"/>
        <v>0</v>
      </c>
      <c r="J124" s="50">
        <f t="shared" si="116"/>
        <v>0</v>
      </c>
      <c r="K124" s="50">
        <f t="shared" si="116"/>
        <v>0</v>
      </c>
      <c r="L124" s="50">
        <f t="shared" si="116"/>
        <v>0</v>
      </c>
      <c r="M124" s="50">
        <f t="shared" si="116"/>
        <v>0</v>
      </c>
      <c r="AA124" s="51">
        <v>0.0</v>
      </c>
      <c r="AB124" s="51">
        <v>0.0</v>
      </c>
      <c r="AC124" s="51">
        <v>0.0</v>
      </c>
      <c r="AD124" s="51">
        <v>0.0</v>
      </c>
      <c r="AE124" s="51">
        <v>0.0</v>
      </c>
      <c r="AF124" s="51">
        <v>0.0</v>
      </c>
      <c r="AG124" s="51">
        <v>0.0</v>
      </c>
      <c r="AH124" s="51">
        <v>0.0</v>
      </c>
      <c r="AI124" s="51">
        <v>0.0</v>
      </c>
      <c r="AJ124" s="51">
        <v>0.0</v>
      </c>
      <c r="AK124" s="51">
        <v>0.0</v>
      </c>
      <c r="AL124" s="51">
        <v>0.0</v>
      </c>
      <c r="AM124" s="51">
        <v>0.0</v>
      </c>
      <c r="AN124" s="51">
        <v>0.0</v>
      </c>
      <c r="AO124" s="51">
        <v>0.0</v>
      </c>
      <c r="AP124" s="51">
        <v>0.0</v>
      </c>
      <c r="AQ124" s="51">
        <v>0.0</v>
      </c>
      <c r="AR124" s="51">
        <v>0.0</v>
      </c>
      <c r="AS124" s="51">
        <v>0.0</v>
      </c>
      <c r="AT124" s="51">
        <v>0.0</v>
      </c>
      <c r="AU124" s="51">
        <v>0.0</v>
      </c>
      <c r="AV124" s="51">
        <v>0.0</v>
      </c>
      <c r="AW124" s="51">
        <v>0.0</v>
      </c>
      <c r="AX124" s="51">
        <v>0.0</v>
      </c>
      <c r="AY124" s="51">
        <v>0.0</v>
      </c>
      <c r="AZ124" s="51">
        <v>0.0</v>
      </c>
      <c r="BA124" s="51">
        <v>0.0</v>
      </c>
      <c r="BB124" s="51">
        <v>0.0</v>
      </c>
      <c r="BC124" s="51">
        <v>0.0</v>
      </c>
      <c r="BD124" s="51">
        <v>0.0</v>
      </c>
      <c r="BE124" s="51">
        <v>0.0</v>
      </c>
      <c r="BF124" s="51">
        <v>0.0</v>
      </c>
      <c r="BG124" s="51">
        <v>0.0</v>
      </c>
      <c r="BH124" s="51">
        <v>0.0</v>
      </c>
      <c r="BI124" s="51">
        <v>0.0</v>
      </c>
      <c r="BJ124" s="51">
        <v>0.0</v>
      </c>
      <c r="BK124" s="100"/>
      <c r="BL124" s="100"/>
      <c r="BM124" s="100"/>
      <c r="BN124" s="100"/>
      <c r="BO124" s="100"/>
      <c r="BP124" s="100"/>
      <c r="BQ124" s="100"/>
      <c r="BR124" s="100"/>
      <c r="BS124" s="100"/>
      <c r="BT124" s="100"/>
      <c r="BU124" s="100"/>
      <c r="BV124" s="100"/>
      <c r="BW124" s="100"/>
      <c r="BX124" s="100"/>
      <c r="BY124" s="100"/>
      <c r="BZ124" s="100"/>
      <c r="CA124" s="100"/>
      <c r="CB124" s="100"/>
      <c r="CC124" s="100"/>
      <c r="CD124" s="100"/>
      <c r="CE124" s="100"/>
      <c r="CF124" s="100"/>
      <c r="CG124" s="100"/>
      <c r="CH124" s="100"/>
      <c r="CI124" s="100"/>
      <c r="CJ124" s="100"/>
      <c r="CK124" s="100"/>
      <c r="CL124" s="100"/>
      <c r="CM124" s="100"/>
      <c r="CN124" s="100"/>
      <c r="CO124" s="100"/>
      <c r="CP124" s="100"/>
      <c r="CQ124" s="100"/>
      <c r="CR124" s="100"/>
      <c r="CS124" s="100"/>
      <c r="CT124" s="100"/>
      <c r="CU124" s="100"/>
      <c r="CV124" s="100"/>
      <c r="CW124" s="100"/>
      <c r="CX124" s="100"/>
      <c r="CY124" s="100"/>
      <c r="CZ124" s="100"/>
      <c r="DA124" s="100"/>
      <c r="DB124" s="100"/>
      <c r="DC124" s="100"/>
      <c r="DD124" s="100"/>
      <c r="DE124" s="100"/>
      <c r="DF124" s="100"/>
      <c r="DG124" s="100"/>
      <c r="DH124" s="100"/>
      <c r="DI124" s="100"/>
      <c r="DJ124" s="100"/>
      <c r="DK124" s="100"/>
      <c r="DL124" s="100"/>
      <c r="DM124" s="100"/>
      <c r="DN124" s="100"/>
      <c r="DO124" s="100"/>
      <c r="DP124" s="100"/>
      <c r="DQ124" s="100"/>
      <c r="DR124" s="100"/>
    </row>
    <row r="125" ht="15.75" hidden="1" customHeight="1" outlineLevel="1">
      <c r="B125" s="5" t="s">
        <v>86</v>
      </c>
      <c r="C125" s="72" t="s">
        <v>70</v>
      </c>
      <c r="F125" s="50">
        <f t="shared" ref="F125:M125" si="117">+SUMIFS($AA125:$DR125,$AA$7:$DR$7,F$7)</f>
        <v>0.9094191269</v>
      </c>
      <c r="G125" s="50">
        <f t="shared" si="117"/>
        <v>0.1246364186</v>
      </c>
      <c r="H125" s="50">
        <f t="shared" si="117"/>
        <v>3.962773806</v>
      </c>
      <c r="I125" s="50">
        <f t="shared" si="117"/>
        <v>0</v>
      </c>
      <c r="J125" s="50">
        <f t="shared" si="117"/>
        <v>0</v>
      </c>
      <c r="K125" s="50">
        <f t="shared" si="117"/>
        <v>0</v>
      </c>
      <c r="L125" s="50">
        <f t="shared" si="117"/>
        <v>0</v>
      </c>
      <c r="M125" s="50">
        <f t="shared" si="117"/>
        <v>0</v>
      </c>
      <c r="AA125" s="51">
        <v>0.14358469907044108</v>
      </c>
      <c r="AB125" s="51">
        <v>0.1621494300321379</v>
      </c>
      <c r="AC125" s="51">
        <v>0.5384121352725959</v>
      </c>
      <c r="AD125" s="51">
        <v>0.0450648395383068</v>
      </c>
      <c r="AE125" s="51">
        <v>0.02020802298738212</v>
      </c>
      <c r="AF125" s="51">
        <v>0.0</v>
      </c>
      <c r="AG125" s="51">
        <v>0.0</v>
      </c>
      <c r="AH125" s="51">
        <v>0.0</v>
      </c>
      <c r="AI125" s="51">
        <v>0.0</v>
      </c>
      <c r="AJ125" s="51">
        <v>0.0</v>
      </c>
      <c r="AK125" s="51">
        <v>0.0</v>
      </c>
      <c r="AL125" s="51">
        <v>0.0</v>
      </c>
      <c r="AM125" s="51">
        <v>0.0</v>
      </c>
      <c r="AN125" s="51">
        <v>0.04056553469626378</v>
      </c>
      <c r="AO125" s="51">
        <v>0.08407088389269898</v>
      </c>
      <c r="AP125" s="51">
        <v>0.0</v>
      </c>
      <c r="AQ125" s="51">
        <v>0.0</v>
      </c>
      <c r="AR125" s="51">
        <v>0.0</v>
      </c>
      <c r="AS125" s="51">
        <v>0.0</v>
      </c>
      <c r="AT125" s="51">
        <v>0.0</v>
      </c>
      <c r="AU125" s="51">
        <v>0.0</v>
      </c>
      <c r="AV125" s="51">
        <v>0.0</v>
      </c>
      <c r="AW125" s="51">
        <v>0.0</v>
      </c>
      <c r="AX125" s="51">
        <v>0.0</v>
      </c>
      <c r="AY125" s="51">
        <v>0.0</v>
      </c>
      <c r="AZ125" s="51">
        <v>0.03480029389230252</v>
      </c>
      <c r="BA125" s="51">
        <v>0.10080658856331165</v>
      </c>
      <c r="BB125" s="51">
        <v>0.8415163862261705</v>
      </c>
      <c r="BC125" s="51">
        <v>0.26749620033663596</v>
      </c>
      <c r="BD125" s="51">
        <v>0.12258518182193251</v>
      </c>
      <c r="BE125" s="51">
        <v>0.01858898183355069</v>
      </c>
      <c r="BF125" s="51">
        <v>0.04058837251684028</v>
      </c>
      <c r="BG125" s="51">
        <v>0.0</v>
      </c>
      <c r="BH125" s="51">
        <v>0.11761487120024017</v>
      </c>
      <c r="BI125" s="51">
        <v>1.5426354373439477</v>
      </c>
      <c r="BJ125" s="51">
        <v>0.8761414921731012</v>
      </c>
      <c r="BK125" s="100"/>
      <c r="BL125" s="100"/>
      <c r="BM125" s="100"/>
      <c r="BN125" s="100"/>
      <c r="BO125" s="100"/>
      <c r="BP125" s="100"/>
      <c r="BQ125" s="100"/>
      <c r="BR125" s="100"/>
      <c r="BS125" s="100"/>
      <c r="BT125" s="100"/>
      <c r="BU125" s="100"/>
      <c r="BV125" s="100"/>
      <c r="BW125" s="100"/>
      <c r="BX125" s="100"/>
      <c r="BY125" s="100"/>
      <c r="BZ125" s="100"/>
      <c r="CA125" s="100"/>
      <c r="CB125" s="100"/>
      <c r="CC125" s="100"/>
      <c r="CD125" s="100"/>
      <c r="CE125" s="100"/>
      <c r="CF125" s="100"/>
      <c r="CG125" s="100"/>
      <c r="CH125" s="100"/>
      <c r="CI125" s="100"/>
      <c r="CJ125" s="100"/>
      <c r="CK125" s="100"/>
      <c r="CL125" s="100"/>
      <c r="CM125" s="100"/>
      <c r="CN125" s="100"/>
      <c r="CO125" s="100"/>
      <c r="CP125" s="100"/>
      <c r="CQ125" s="100"/>
      <c r="CR125" s="100"/>
      <c r="CS125" s="100"/>
      <c r="CT125" s="100"/>
      <c r="CU125" s="100"/>
      <c r="CV125" s="100"/>
      <c r="CW125" s="100"/>
      <c r="CX125" s="100"/>
      <c r="CY125" s="100"/>
      <c r="CZ125" s="100"/>
      <c r="DA125" s="100"/>
      <c r="DB125" s="100"/>
      <c r="DC125" s="100"/>
      <c r="DD125" s="100"/>
      <c r="DE125" s="100"/>
      <c r="DF125" s="100"/>
      <c r="DG125" s="100"/>
      <c r="DH125" s="100"/>
      <c r="DI125" s="100"/>
      <c r="DJ125" s="100"/>
      <c r="DK125" s="100"/>
      <c r="DL125" s="100"/>
      <c r="DM125" s="100"/>
      <c r="DN125" s="100"/>
      <c r="DO125" s="100"/>
      <c r="DP125" s="100"/>
      <c r="DQ125" s="100"/>
      <c r="DR125" s="100"/>
    </row>
    <row r="126" ht="15.75" hidden="1" customHeight="1" outlineLevel="1">
      <c r="B126" s="5" t="s">
        <v>87</v>
      </c>
      <c r="C126" s="72" t="s">
        <v>74</v>
      </c>
      <c r="F126" s="50">
        <f t="shared" ref="F126:M126" si="118">+SUMIFS($AA126:$DR126,$AA$7:$DR$7,F$7)</f>
        <v>5.798939698</v>
      </c>
      <c r="G126" s="50">
        <f t="shared" si="118"/>
        <v>19.32004218</v>
      </c>
      <c r="H126" s="50">
        <f t="shared" si="118"/>
        <v>32.11349972</v>
      </c>
      <c r="I126" s="50">
        <f t="shared" si="118"/>
        <v>0</v>
      </c>
      <c r="J126" s="50">
        <f t="shared" si="118"/>
        <v>0</v>
      </c>
      <c r="K126" s="50">
        <f t="shared" si="118"/>
        <v>0</v>
      </c>
      <c r="L126" s="50">
        <f t="shared" si="118"/>
        <v>0</v>
      </c>
      <c r="M126" s="50">
        <f t="shared" si="118"/>
        <v>0</v>
      </c>
      <c r="AA126" s="51">
        <v>0.3939779755048525</v>
      </c>
      <c r="AB126" s="51">
        <v>0.23676065908803368</v>
      </c>
      <c r="AC126" s="51">
        <v>0.4567873628881518</v>
      </c>
      <c r="AD126" s="51">
        <v>0.02265339446859916</v>
      </c>
      <c r="AE126" s="51">
        <v>0.03349279496687703</v>
      </c>
      <c r="AF126" s="51">
        <v>0.0</v>
      </c>
      <c r="AG126" s="51">
        <v>0.03217320914455507</v>
      </c>
      <c r="AH126" s="51">
        <v>0.01409859775261018</v>
      </c>
      <c r="AI126" s="51">
        <v>0.6093397601193018</v>
      </c>
      <c r="AJ126" s="51">
        <v>2.082491258056437</v>
      </c>
      <c r="AK126" s="51">
        <v>0.576337442824379</v>
      </c>
      <c r="AL126" s="51">
        <v>1.3408272430652861</v>
      </c>
      <c r="AM126" s="51">
        <v>2.0080518651047097</v>
      </c>
      <c r="AN126" s="51">
        <v>1.4087532993466512</v>
      </c>
      <c r="AO126" s="51">
        <v>0.8853680186452408</v>
      </c>
      <c r="AP126" s="51">
        <v>0.5422444557554779</v>
      </c>
      <c r="AQ126" s="51">
        <v>1.0761505376809544</v>
      </c>
      <c r="AR126" s="51">
        <v>1.7177357664737711</v>
      </c>
      <c r="AS126" s="51">
        <v>3.616012607574609</v>
      </c>
      <c r="AT126" s="51">
        <v>1.0125199576958637</v>
      </c>
      <c r="AU126" s="51">
        <v>2.1893666486575025</v>
      </c>
      <c r="AV126" s="51">
        <v>1.8902886820967073</v>
      </c>
      <c r="AW126" s="51">
        <v>1.1631749454604086</v>
      </c>
      <c r="AX126" s="51">
        <v>1.8103753963059723</v>
      </c>
      <c r="AY126" s="51">
        <v>1.676584891179171</v>
      </c>
      <c r="AZ126" s="51">
        <v>3.028726002434605</v>
      </c>
      <c r="BA126" s="51">
        <v>1.6876886031093794</v>
      </c>
      <c r="BB126" s="51">
        <v>3.1227814590069936</v>
      </c>
      <c r="BC126" s="51">
        <v>5.937588447604388</v>
      </c>
      <c r="BD126" s="51">
        <v>2.7704599286739313</v>
      </c>
      <c r="BE126" s="51">
        <v>2.020921826842044</v>
      </c>
      <c r="BF126" s="51">
        <v>1.5534304547388829</v>
      </c>
      <c r="BG126" s="51">
        <v>6.034896013756754</v>
      </c>
      <c r="BH126" s="51">
        <v>2.498267969875831</v>
      </c>
      <c r="BI126" s="51">
        <v>1.5201784817859143</v>
      </c>
      <c r="BJ126" s="51">
        <v>0.2619756395851771</v>
      </c>
      <c r="BK126" s="100"/>
      <c r="BL126" s="100"/>
      <c r="BM126" s="100"/>
      <c r="BN126" s="100"/>
      <c r="BO126" s="100"/>
      <c r="BP126" s="100"/>
      <c r="BQ126" s="100"/>
      <c r="BR126" s="100"/>
      <c r="BS126" s="100"/>
      <c r="BT126" s="100"/>
      <c r="BU126" s="100"/>
      <c r="BV126" s="100"/>
      <c r="BW126" s="100"/>
      <c r="BX126" s="100"/>
      <c r="BY126" s="100"/>
      <c r="BZ126" s="100"/>
      <c r="CA126" s="100"/>
      <c r="CB126" s="100"/>
      <c r="CC126" s="100"/>
      <c r="CD126" s="100"/>
      <c r="CE126" s="100"/>
      <c r="CF126" s="100"/>
      <c r="CG126" s="100"/>
      <c r="CH126" s="100"/>
      <c r="CI126" s="100"/>
      <c r="CJ126" s="100"/>
      <c r="CK126" s="100"/>
      <c r="CL126" s="100"/>
      <c r="CM126" s="100"/>
      <c r="CN126" s="100"/>
      <c r="CO126" s="100"/>
      <c r="CP126" s="100"/>
      <c r="CQ126" s="100"/>
      <c r="CR126" s="100"/>
      <c r="CS126" s="100"/>
      <c r="CT126" s="100"/>
      <c r="CU126" s="100"/>
      <c r="CV126" s="100"/>
      <c r="CW126" s="100"/>
      <c r="CX126" s="100"/>
      <c r="CY126" s="100"/>
      <c r="CZ126" s="100"/>
      <c r="DA126" s="100"/>
      <c r="DB126" s="100"/>
      <c r="DC126" s="100"/>
      <c r="DD126" s="100"/>
      <c r="DE126" s="100"/>
      <c r="DF126" s="100"/>
      <c r="DG126" s="100"/>
      <c r="DH126" s="100"/>
      <c r="DI126" s="100"/>
      <c r="DJ126" s="100"/>
      <c r="DK126" s="100"/>
      <c r="DL126" s="100"/>
      <c r="DM126" s="100"/>
      <c r="DN126" s="100"/>
      <c r="DO126" s="100"/>
      <c r="DP126" s="100"/>
      <c r="DQ126" s="100"/>
      <c r="DR126" s="100"/>
    </row>
    <row r="127" ht="15.75" hidden="1" customHeight="1" outlineLevel="1">
      <c r="B127" s="5" t="s">
        <v>88</v>
      </c>
      <c r="C127" s="72" t="s">
        <v>74</v>
      </c>
      <c r="F127" s="50">
        <f t="shared" ref="F127:M127" si="119">+SUMIFS($AA127:$DR127,$AA$7:$DR$7,F$7)</f>
        <v>23.2079931</v>
      </c>
      <c r="G127" s="50">
        <f t="shared" si="119"/>
        <v>48.99644993</v>
      </c>
      <c r="H127" s="50">
        <f t="shared" si="119"/>
        <v>9.649938896</v>
      </c>
      <c r="I127" s="50">
        <f t="shared" si="119"/>
        <v>0</v>
      </c>
      <c r="J127" s="50">
        <f t="shared" si="119"/>
        <v>0</v>
      </c>
      <c r="K127" s="50">
        <f t="shared" si="119"/>
        <v>0</v>
      </c>
      <c r="L127" s="50">
        <f t="shared" si="119"/>
        <v>0</v>
      </c>
      <c r="M127" s="50">
        <f t="shared" si="119"/>
        <v>0</v>
      </c>
      <c r="AA127" s="51">
        <v>0.0</v>
      </c>
      <c r="AB127" s="51">
        <v>6.837193752095136</v>
      </c>
      <c r="AC127" s="51">
        <v>3.5414250970287857</v>
      </c>
      <c r="AD127" s="51">
        <v>2.693229218964486</v>
      </c>
      <c r="AE127" s="51">
        <v>4.930533557098614</v>
      </c>
      <c r="AF127" s="51">
        <v>2.6637217981794254</v>
      </c>
      <c r="AG127" s="51">
        <v>0.32192034487171445</v>
      </c>
      <c r="AH127" s="51">
        <v>0.8003134572164587</v>
      </c>
      <c r="AI127" s="51">
        <v>0.7050973585020538</v>
      </c>
      <c r="AJ127" s="51">
        <v>0.10870696200649752</v>
      </c>
      <c r="AK127" s="51">
        <v>0.2824036141167897</v>
      </c>
      <c r="AL127" s="51">
        <v>0.32344794020986817</v>
      </c>
      <c r="AM127" s="51">
        <v>0.8726178842877276</v>
      </c>
      <c r="AN127" s="51">
        <v>2.4600361661081127</v>
      </c>
      <c r="AO127" s="51">
        <v>3.0393529883457906</v>
      </c>
      <c r="AP127" s="51">
        <v>7.259239411732752</v>
      </c>
      <c r="AQ127" s="51">
        <v>4.0268688576881315</v>
      </c>
      <c r="AR127" s="51">
        <v>3.759807692241273</v>
      </c>
      <c r="AS127" s="51">
        <v>7.074658419455262</v>
      </c>
      <c r="AT127" s="51">
        <v>6.165457799374864</v>
      </c>
      <c r="AU127" s="51">
        <v>6.608867377517193</v>
      </c>
      <c r="AV127" s="51">
        <v>4.367175413949367</v>
      </c>
      <c r="AW127" s="51">
        <v>1.1174915521880393</v>
      </c>
      <c r="AX127" s="51">
        <v>2.2448763682586237</v>
      </c>
      <c r="AY127" s="51">
        <v>0.9738339676074971</v>
      </c>
      <c r="AZ127" s="51">
        <v>0.12144469462464635</v>
      </c>
      <c r="BA127" s="51">
        <v>1.1453695872478122</v>
      </c>
      <c r="BB127" s="51">
        <v>1.1008531379310886</v>
      </c>
      <c r="BC127" s="51">
        <v>0.47263534157565373</v>
      </c>
      <c r="BD127" s="51">
        <v>0.8585399517786708</v>
      </c>
      <c r="BE127" s="51">
        <v>1.5789314249464097</v>
      </c>
      <c r="BF127" s="51">
        <v>1.0911437117517884</v>
      </c>
      <c r="BG127" s="51">
        <v>1.1115874161703632</v>
      </c>
      <c r="BH127" s="51">
        <v>0.460126887234377</v>
      </c>
      <c r="BI127" s="51">
        <v>0.2403333523328881</v>
      </c>
      <c r="BJ127" s="51">
        <v>0.49513942292134183</v>
      </c>
      <c r="BK127" s="100"/>
      <c r="BL127" s="100"/>
      <c r="BM127" s="100"/>
      <c r="BN127" s="100"/>
      <c r="BO127" s="100"/>
      <c r="BP127" s="100"/>
      <c r="BQ127" s="100"/>
      <c r="BR127" s="100"/>
      <c r="BS127" s="100"/>
      <c r="BT127" s="100"/>
      <c r="BU127" s="100"/>
      <c r="BV127" s="100"/>
      <c r="BW127" s="100"/>
      <c r="BX127" s="100"/>
      <c r="BY127" s="100"/>
      <c r="BZ127" s="100"/>
      <c r="CA127" s="100"/>
      <c r="CB127" s="100"/>
      <c r="CC127" s="100"/>
      <c r="CD127" s="100"/>
      <c r="CE127" s="100"/>
      <c r="CF127" s="100"/>
      <c r="CG127" s="100"/>
      <c r="CH127" s="100"/>
      <c r="CI127" s="100"/>
      <c r="CJ127" s="100"/>
      <c r="CK127" s="100"/>
      <c r="CL127" s="100"/>
      <c r="CM127" s="100"/>
      <c r="CN127" s="100"/>
      <c r="CO127" s="100"/>
      <c r="CP127" s="100"/>
      <c r="CQ127" s="100"/>
      <c r="CR127" s="100"/>
      <c r="CS127" s="100"/>
      <c r="CT127" s="100"/>
      <c r="CU127" s="100"/>
      <c r="CV127" s="100"/>
      <c r="CW127" s="100"/>
      <c r="CX127" s="100"/>
      <c r="CY127" s="100"/>
      <c r="CZ127" s="100"/>
      <c r="DA127" s="100"/>
      <c r="DB127" s="100"/>
      <c r="DC127" s="100"/>
      <c r="DD127" s="100"/>
      <c r="DE127" s="100"/>
      <c r="DF127" s="100"/>
      <c r="DG127" s="100"/>
      <c r="DH127" s="100"/>
      <c r="DI127" s="100"/>
      <c r="DJ127" s="100"/>
      <c r="DK127" s="100"/>
      <c r="DL127" s="100"/>
      <c r="DM127" s="100"/>
      <c r="DN127" s="100"/>
      <c r="DO127" s="100"/>
      <c r="DP127" s="100"/>
      <c r="DQ127" s="100"/>
      <c r="DR127" s="100"/>
    </row>
    <row r="128" ht="15.75" hidden="1" customHeight="1" outlineLevel="1">
      <c r="B128" s="5" t="s">
        <v>89</v>
      </c>
      <c r="C128" s="72" t="s">
        <v>76</v>
      </c>
      <c r="F128" s="50">
        <f t="shared" ref="F128:M128" si="120">+SUMIFS($AA128:$DR128,$AA$7:$DR$7,F$7)</f>
        <v>0.5285409314</v>
      </c>
      <c r="G128" s="50">
        <f t="shared" si="120"/>
        <v>1.631579904</v>
      </c>
      <c r="H128" s="50">
        <f t="shared" si="120"/>
        <v>14.93986192</v>
      </c>
      <c r="I128" s="50">
        <f t="shared" si="120"/>
        <v>0</v>
      </c>
      <c r="J128" s="50">
        <f t="shared" si="120"/>
        <v>0</v>
      </c>
      <c r="K128" s="50">
        <f t="shared" si="120"/>
        <v>0</v>
      </c>
      <c r="L128" s="50">
        <f t="shared" si="120"/>
        <v>0</v>
      </c>
      <c r="M128" s="50">
        <f t="shared" si="120"/>
        <v>0</v>
      </c>
      <c r="AA128" s="51">
        <v>0.04875084193905601</v>
      </c>
      <c r="AB128" s="51">
        <v>0.01902868665874569</v>
      </c>
      <c r="AC128" s="51">
        <v>0.009881195187450051</v>
      </c>
      <c r="AD128" s="51">
        <v>0.0</v>
      </c>
      <c r="AE128" s="51">
        <v>0.0</v>
      </c>
      <c r="AF128" s="51">
        <v>0.013544597528616725</v>
      </c>
      <c r="AG128" s="51">
        <v>0.0</v>
      </c>
      <c r="AH128" s="51">
        <v>0.0</v>
      </c>
      <c r="AI128" s="51">
        <v>0.0</v>
      </c>
      <c r="AJ128" s="51">
        <v>0.09282610775989619</v>
      </c>
      <c r="AK128" s="51">
        <v>0.09258784012040787</v>
      </c>
      <c r="AL128" s="51">
        <v>0.25192166220714746</v>
      </c>
      <c r="AM128" s="51">
        <v>0.08051000603871854</v>
      </c>
      <c r="AN128" s="51">
        <v>0.1112306927209052</v>
      </c>
      <c r="AO128" s="51">
        <v>0.026809644852384414</v>
      </c>
      <c r="AP128" s="51">
        <v>0.2846662497209898</v>
      </c>
      <c r="AQ128" s="51">
        <v>0.022496140141254273</v>
      </c>
      <c r="AR128" s="51">
        <v>0.10785246354499613</v>
      </c>
      <c r="AS128" s="51">
        <v>0.06302836235981131</v>
      </c>
      <c r="AT128" s="51">
        <v>0.17417102754725386</v>
      </c>
      <c r="AU128" s="51">
        <v>0.2235819290076038</v>
      </c>
      <c r="AV128" s="51">
        <v>0.22364503859282142</v>
      </c>
      <c r="AW128" s="51">
        <v>0.17968500446509222</v>
      </c>
      <c r="AX128" s="51">
        <v>0.13390334474777316</v>
      </c>
      <c r="AY128" s="51">
        <v>0.06332655416986163</v>
      </c>
      <c r="AZ128" s="51">
        <v>0.6828940122993884</v>
      </c>
      <c r="BA128" s="51">
        <v>0.7806959676399715</v>
      </c>
      <c r="BB128" s="51">
        <v>0.6026087818482139</v>
      </c>
      <c r="BC128" s="51">
        <v>1.2299567371659408</v>
      </c>
      <c r="BD128" s="51">
        <v>1.0630528147206009</v>
      </c>
      <c r="BE128" s="51">
        <v>0.3776883993454194</v>
      </c>
      <c r="BF128" s="51">
        <v>0.2959796292062194</v>
      </c>
      <c r="BG128" s="51">
        <v>0.2230634403719286</v>
      </c>
      <c r="BH128" s="51">
        <v>5.608155961977392</v>
      </c>
      <c r="BI128" s="51">
        <v>2.9388262644453698</v>
      </c>
      <c r="BJ128" s="51">
        <v>1.0736133566777724</v>
      </c>
      <c r="BK128" s="100"/>
      <c r="BL128" s="100"/>
      <c r="BM128" s="100"/>
      <c r="BN128" s="100"/>
      <c r="BO128" s="100"/>
      <c r="BP128" s="100"/>
      <c r="BQ128" s="100"/>
      <c r="BR128" s="100"/>
      <c r="BS128" s="100"/>
      <c r="BT128" s="100"/>
      <c r="BU128" s="100"/>
      <c r="BV128" s="100"/>
      <c r="BW128" s="100"/>
      <c r="BX128" s="100"/>
      <c r="BY128" s="100"/>
      <c r="BZ128" s="100"/>
      <c r="CA128" s="100"/>
      <c r="CB128" s="100"/>
      <c r="CC128" s="100"/>
      <c r="CD128" s="100"/>
      <c r="CE128" s="100"/>
      <c r="CF128" s="100"/>
      <c r="CG128" s="100"/>
      <c r="CH128" s="100"/>
      <c r="CI128" s="100"/>
      <c r="CJ128" s="100"/>
      <c r="CK128" s="100"/>
      <c r="CL128" s="100"/>
      <c r="CM128" s="100"/>
      <c r="CN128" s="100"/>
      <c r="CO128" s="100"/>
      <c r="CP128" s="100"/>
      <c r="CQ128" s="100"/>
      <c r="CR128" s="100"/>
      <c r="CS128" s="100"/>
      <c r="CT128" s="100"/>
      <c r="CU128" s="100"/>
      <c r="CV128" s="100"/>
      <c r="CW128" s="100"/>
      <c r="CX128" s="100"/>
      <c r="CY128" s="100"/>
      <c r="CZ128" s="100"/>
      <c r="DA128" s="100"/>
      <c r="DB128" s="100"/>
      <c r="DC128" s="100"/>
      <c r="DD128" s="100"/>
      <c r="DE128" s="100"/>
      <c r="DF128" s="100"/>
      <c r="DG128" s="100"/>
      <c r="DH128" s="100"/>
      <c r="DI128" s="100"/>
      <c r="DJ128" s="100"/>
      <c r="DK128" s="100"/>
      <c r="DL128" s="100"/>
      <c r="DM128" s="100"/>
      <c r="DN128" s="100"/>
      <c r="DO128" s="100"/>
      <c r="DP128" s="100"/>
      <c r="DQ128" s="100"/>
      <c r="DR128" s="100"/>
    </row>
    <row r="129" ht="15.75" hidden="1" customHeight="1" outlineLevel="1">
      <c r="B129" s="5" t="s">
        <v>90</v>
      </c>
      <c r="C129" s="72" t="s">
        <v>74</v>
      </c>
      <c r="F129" s="50">
        <f t="shared" ref="F129:M129" si="121">+SUMIFS($AA129:$DR129,$AA$7:$DR$7,F$7)</f>
        <v>0</v>
      </c>
      <c r="G129" s="50">
        <f t="shared" si="121"/>
        <v>5.658050081</v>
      </c>
      <c r="H129" s="50">
        <f t="shared" si="121"/>
        <v>20.17275323</v>
      </c>
      <c r="I129" s="50">
        <f t="shared" si="121"/>
        <v>0</v>
      </c>
      <c r="J129" s="50">
        <f t="shared" si="121"/>
        <v>0</v>
      </c>
      <c r="K129" s="50">
        <f t="shared" si="121"/>
        <v>0</v>
      </c>
      <c r="L129" s="50">
        <f t="shared" si="121"/>
        <v>0</v>
      </c>
      <c r="M129" s="50">
        <f t="shared" si="121"/>
        <v>0</v>
      </c>
      <c r="AA129" s="51">
        <v>0.0</v>
      </c>
      <c r="AB129" s="51">
        <v>0.0</v>
      </c>
      <c r="AC129" s="51">
        <v>0.0</v>
      </c>
      <c r="AD129" s="51">
        <v>0.0</v>
      </c>
      <c r="AE129" s="51">
        <v>0.0</v>
      </c>
      <c r="AF129" s="51">
        <v>0.0</v>
      </c>
      <c r="AG129" s="51">
        <v>0.0</v>
      </c>
      <c r="AH129" s="51">
        <v>0.0</v>
      </c>
      <c r="AI129" s="51">
        <v>0.0</v>
      </c>
      <c r="AJ129" s="51">
        <v>0.0</v>
      </c>
      <c r="AK129" s="51">
        <v>0.0</v>
      </c>
      <c r="AL129" s="51">
        <v>0.0</v>
      </c>
      <c r="AM129" s="51">
        <v>0.0</v>
      </c>
      <c r="AN129" s="51">
        <v>0.0</v>
      </c>
      <c r="AO129" s="51">
        <v>0.0</v>
      </c>
      <c r="AP129" s="51">
        <v>0.0</v>
      </c>
      <c r="AQ129" s="51">
        <v>0.0</v>
      </c>
      <c r="AR129" s="51">
        <v>0.0</v>
      </c>
      <c r="AS129" s="51">
        <v>0.012788722903956043</v>
      </c>
      <c r="AT129" s="51">
        <v>0.46795695094361806</v>
      </c>
      <c r="AU129" s="51">
        <v>0.7340431774399</v>
      </c>
      <c r="AV129" s="51">
        <v>1.6698311272928712</v>
      </c>
      <c r="AW129" s="51">
        <v>0.5970183094632874</v>
      </c>
      <c r="AX129" s="51">
        <v>2.1764117929808595</v>
      </c>
      <c r="AY129" s="51">
        <v>4.246339414222031</v>
      </c>
      <c r="AZ129" s="51">
        <v>3.077075516123204</v>
      </c>
      <c r="BA129" s="51">
        <v>1.7692660613288231</v>
      </c>
      <c r="BB129" s="51">
        <v>2.5407802178307466</v>
      </c>
      <c r="BC129" s="51">
        <v>1.648908509953708</v>
      </c>
      <c r="BD129" s="51">
        <v>1.4141431132527587</v>
      </c>
      <c r="BE129" s="51">
        <v>0.5296777734872723</v>
      </c>
      <c r="BF129" s="51">
        <v>0.008975632110997625</v>
      </c>
      <c r="BG129" s="51">
        <v>0.3071564913431306</v>
      </c>
      <c r="BH129" s="51">
        <v>0.5303113819510974</v>
      </c>
      <c r="BI129" s="51">
        <v>2.024244343409434</v>
      </c>
      <c r="BJ129" s="51">
        <v>2.075874777990474</v>
      </c>
      <c r="BK129" s="100"/>
      <c r="BL129" s="100"/>
      <c r="BM129" s="100"/>
      <c r="BN129" s="100"/>
      <c r="BO129" s="100"/>
      <c r="BP129" s="100"/>
      <c r="BQ129" s="100"/>
      <c r="BR129" s="100"/>
      <c r="BS129" s="100"/>
      <c r="BT129" s="100"/>
      <c r="BU129" s="100"/>
      <c r="BV129" s="100"/>
      <c r="BW129" s="100"/>
      <c r="BX129" s="100"/>
      <c r="BY129" s="100"/>
      <c r="BZ129" s="100"/>
      <c r="CA129" s="100"/>
      <c r="CB129" s="100"/>
      <c r="CC129" s="100"/>
      <c r="CD129" s="100"/>
      <c r="CE129" s="100"/>
      <c r="CF129" s="100"/>
      <c r="CG129" s="100"/>
      <c r="CH129" s="100"/>
      <c r="CI129" s="100"/>
      <c r="CJ129" s="100"/>
      <c r="CK129" s="100"/>
      <c r="CL129" s="100"/>
      <c r="CM129" s="100"/>
      <c r="CN129" s="100"/>
      <c r="CO129" s="100"/>
      <c r="CP129" s="100"/>
      <c r="CQ129" s="100"/>
      <c r="CR129" s="100"/>
      <c r="CS129" s="100"/>
      <c r="CT129" s="100"/>
      <c r="CU129" s="100"/>
      <c r="CV129" s="100"/>
      <c r="CW129" s="100"/>
      <c r="CX129" s="100"/>
      <c r="CY129" s="100"/>
      <c r="CZ129" s="100"/>
      <c r="DA129" s="100"/>
      <c r="DB129" s="100"/>
      <c r="DC129" s="100"/>
      <c r="DD129" s="100"/>
      <c r="DE129" s="100"/>
      <c r="DF129" s="100"/>
      <c r="DG129" s="100"/>
      <c r="DH129" s="100"/>
      <c r="DI129" s="100"/>
      <c r="DJ129" s="100"/>
      <c r="DK129" s="100"/>
      <c r="DL129" s="100"/>
      <c r="DM129" s="100"/>
      <c r="DN129" s="100"/>
      <c r="DO129" s="100"/>
      <c r="DP129" s="100"/>
      <c r="DQ129" s="100"/>
      <c r="DR129" s="100"/>
    </row>
    <row r="130" ht="15.75" hidden="1" customHeight="1" outlineLevel="1">
      <c r="B130" s="5" t="s">
        <v>91</v>
      </c>
      <c r="C130" s="72" t="s">
        <v>74</v>
      </c>
      <c r="F130" s="50">
        <f t="shared" ref="F130:M130" si="122">+SUMIFS($AA130:$DR130,$AA$7:$DR$7,F$7)</f>
        <v>17.26962543</v>
      </c>
      <c r="G130" s="50">
        <f t="shared" si="122"/>
        <v>14.19485325</v>
      </c>
      <c r="H130" s="50">
        <f t="shared" si="122"/>
        <v>107.1583985</v>
      </c>
      <c r="I130" s="50">
        <f t="shared" si="122"/>
        <v>0</v>
      </c>
      <c r="J130" s="50">
        <f t="shared" si="122"/>
        <v>0</v>
      </c>
      <c r="K130" s="50">
        <f t="shared" si="122"/>
        <v>0</v>
      </c>
      <c r="L130" s="50">
        <f t="shared" si="122"/>
        <v>0</v>
      </c>
      <c r="M130" s="50">
        <f t="shared" si="122"/>
        <v>0</v>
      </c>
      <c r="AA130" s="51">
        <v>0.002807863456897302</v>
      </c>
      <c r="AB130" s="51">
        <v>0.33576848811439747</v>
      </c>
      <c r="AC130" s="51">
        <v>2.109471614424274</v>
      </c>
      <c r="AD130" s="51">
        <v>0.8737440774349103</v>
      </c>
      <c r="AE130" s="51">
        <v>0.4715320030569545</v>
      </c>
      <c r="AF130" s="51">
        <v>0.9265961996941018</v>
      </c>
      <c r="AG130" s="51">
        <v>3.422175039708165</v>
      </c>
      <c r="AH130" s="51">
        <v>1.468403397832826</v>
      </c>
      <c r="AI130" s="51">
        <v>0.8977014368071402</v>
      </c>
      <c r="AJ130" s="51">
        <v>2.2377184610089</v>
      </c>
      <c r="AK130" s="51">
        <v>2.07559539614563</v>
      </c>
      <c r="AL130" s="51">
        <v>2.448111455582979</v>
      </c>
      <c r="AM130" s="51">
        <v>0.5010772810205807</v>
      </c>
      <c r="AN130" s="51">
        <v>0.26718578117215874</v>
      </c>
      <c r="AO130" s="51">
        <v>0.14079499035673693</v>
      </c>
      <c r="AP130" s="51">
        <v>0.05722542931240999</v>
      </c>
      <c r="AQ130" s="51">
        <v>0.2212277535609601</v>
      </c>
      <c r="AR130" s="51">
        <v>1.0903543978486858</v>
      </c>
      <c r="AS130" s="51">
        <v>0.12051467807104563</v>
      </c>
      <c r="AT130" s="51">
        <v>1.1928909847863676</v>
      </c>
      <c r="AU130" s="51">
        <v>2.7514735639314267</v>
      </c>
      <c r="AV130" s="51">
        <v>2.7867944684795187</v>
      </c>
      <c r="AW130" s="51">
        <v>0.8673260999836424</v>
      </c>
      <c r="AX130" s="51">
        <v>4.1979878203651175</v>
      </c>
      <c r="AY130" s="51">
        <v>3.0014797580131263</v>
      </c>
      <c r="AZ130" s="51">
        <v>2.3252680943354243</v>
      </c>
      <c r="BA130" s="51">
        <v>15.295435490143815</v>
      </c>
      <c r="BB130" s="51">
        <v>5.98768383197552</v>
      </c>
      <c r="BC130" s="51">
        <v>15.550829298539277</v>
      </c>
      <c r="BD130" s="51">
        <v>6.738105043048738</v>
      </c>
      <c r="BE130" s="51">
        <v>5.7951573074022384</v>
      </c>
      <c r="BF130" s="51">
        <v>13.058843375053417</v>
      </c>
      <c r="BG130" s="51">
        <v>13.292738435708523</v>
      </c>
      <c r="BH130" s="51">
        <v>15.169596608364191</v>
      </c>
      <c r="BI130" s="51">
        <v>6.000643908211413</v>
      </c>
      <c r="BJ130" s="51">
        <v>4.942617389996572</v>
      </c>
      <c r="BK130" s="100"/>
      <c r="BL130" s="100"/>
      <c r="BM130" s="100"/>
      <c r="BN130" s="100"/>
      <c r="BO130" s="100"/>
      <c r="BP130" s="100"/>
      <c r="BQ130" s="100"/>
      <c r="BR130" s="100"/>
      <c r="BS130" s="100"/>
      <c r="BT130" s="100"/>
      <c r="BU130" s="100"/>
      <c r="BV130" s="100"/>
      <c r="BW130" s="100"/>
      <c r="BX130" s="100"/>
      <c r="BY130" s="100"/>
      <c r="BZ130" s="100"/>
      <c r="CA130" s="100"/>
      <c r="CB130" s="100"/>
      <c r="CC130" s="100"/>
      <c r="CD130" s="100"/>
      <c r="CE130" s="100"/>
      <c r="CF130" s="100"/>
      <c r="CG130" s="100"/>
      <c r="CH130" s="100"/>
      <c r="CI130" s="100"/>
      <c r="CJ130" s="100"/>
      <c r="CK130" s="100"/>
      <c r="CL130" s="100"/>
      <c r="CM130" s="100"/>
      <c r="CN130" s="100"/>
      <c r="CO130" s="100"/>
      <c r="CP130" s="100"/>
      <c r="CQ130" s="100"/>
      <c r="CR130" s="100"/>
      <c r="CS130" s="100"/>
      <c r="CT130" s="100"/>
      <c r="CU130" s="100"/>
      <c r="CV130" s="100"/>
      <c r="CW130" s="100"/>
      <c r="CX130" s="100"/>
      <c r="CY130" s="100"/>
      <c r="CZ130" s="100"/>
      <c r="DA130" s="100"/>
      <c r="DB130" s="100"/>
      <c r="DC130" s="100"/>
      <c r="DD130" s="100"/>
      <c r="DE130" s="100"/>
      <c r="DF130" s="100"/>
      <c r="DG130" s="100"/>
      <c r="DH130" s="100"/>
      <c r="DI130" s="100"/>
      <c r="DJ130" s="100"/>
      <c r="DK130" s="100"/>
      <c r="DL130" s="100"/>
      <c r="DM130" s="100"/>
      <c r="DN130" s="100"/>
      <c r="DO130" s="100"/>
      <c r="DP130" s="100"/>
      <c r="DQ130" s="100"/>
      <c r="DR130" s="100"/>
    </row>
    <row r="131" ht="15.75" hidden="1" customHeight="1" outlineLevel="1">
      <c r="B131" s="5" t="s">
        <v>92</v>
      </c>
      <c r="C131" s="72" t="s">
        <v>76</v>
      </c>
      <c r="F131" s="50">
        <f t="shared" ref="F131:M131" si="123">+SUMIFS($AA131:$DR131,$AA$7:$DR$7,F$7)</f>
        <v>39.91622369</v>
      </c>
      <c r="G131" s="50">
        <f t="shared" si="123"/>
        <v>29.21872797</v>
      </c>
      <c r="H131" s="50">
        <f t="shared" si="123"/>
        <v>40.36643061</v>
      </c>
      <c r="I131" s="50">
        <f t="shared" si="123"/>
        <v>0</v>
      </c>
      <c r="J131" s="50">
        <f t="shared" si="123"/>
        <v>0</v>
      </c>
      <c r="K131" s="50">
        <f t="shared" si="123"/>
        <v>0</v>
      </c>
      <c r="L131" s="50">
        <f t="shared" si="123"/>
        <v>0</v>
      </c>
      <c r="M131" s="50">
        <f t="shared" si="123"/>
        <v>0</v>
      </c>
      <c r="AA131" s="51">
        <v>1.8552128982504263</v>
      </c>
      <c r="AB131" s="51">
        <v>0.902808238106255</v>
      </c>
      <c r="AC131" s="51">
        <v>2.214351750635342</v>
      </c>
      <c r="AD131" s="51">
        <v>2.1504614797844104</v>
      </c>
      <c r="AE131" s="51">
        <v>1.041752347368953</v>
      </c>
      <c r="AF131" s="51">
        <v>2.329192024042582</v>
      </c>
      <c r="AG131" s="51">
        <v>4.887713628538478</v>
      </c>
      <c r="AH131" s="51">
        <v>6.219429932178426</v>
      </c>
      <c r="AI131" s="51">
        <v>2.94309481554917</v>
      </c>
      <c r="AJ131" s="51">
        <v>3.882519413760734</v>
      </c>
      <c r="AK131" s="51">
        <v>5.342155006761104</v>
      </c>
      <c r="AL131" s="51">
        <v>6.147532156202809</v>
      </c>
      <c r="AM131" s="51">
        <v>4.361342336917745</v>
      </c>
      <c r="AN131" s="51">
        <v>4.412180212599959</v>
      </c>
      <c r="AO131" s="51">
        <v>3.108062035157323</v>
      </c>
      <c r="AP131" s="51">
        <v>2.624115065750899</v>
      </c>
      <c r="AQ131" s="51">
        <v>1.1082714237762117</v>
      </c>
      <c r="AR131" s="51">
        <v>2.097904526716842</v>
      </c>
      <c r="AS131" s="51">
        <v>0.9837985728265144</v>
      </c>
      <c r="AT131" s="51">
        <v>0.9801519241702781</v>
      </c>
      <c r="AU131" s="51">
        <v>4.098576447155454</v>
      </c>
      <c r="AV131" s="51">
        <v>3.2745000039113945</v>
      </c>
      <c r="AW131" s="51">
        <v>1.8299241589880129</v>
      </c>
      <c r="AX131" s="51">
        <v>0.33990125811434097</v>
      </c>
      <c r="AY131" s="51">
        <v>1.3307074090062347</v>
      </c>
      <c r="AZ131" s="51">
        <v>4.549906320928467</v>
      </c>
      <c r="BA131" s="51">
        <v>0.7985860845688265</v>
      </c>
      <c r="BB131" s="51">
        <v>2.862861102756976</v>
      </c>
      <c r="BC131" s="51">
        <v>4.077716062379509</v>
      </c>
      <c r="BD131" s="51">
        <v>1.5045506189850384</v>
      </c>
      <c r="BE131" s="51">
        <v>3.796938405539759</v>
      </c>
      <c r="BF131" s="51">
        <v>1.1962298226509072</v>
      </c>
      <c r="BG131" s="51">
        <v>7.1414468109776</v>
      </c>
      <c r="BH131" s="51">
        <v>4.813948023869243</v>
      </c>
      <c r="BI131" s="51">
        <v>5.773307102207077</v>
      </c>
      <c r="BJ131" s="51">
        <v>2.5202328491824986</v>
      </c>
      <c r="BK131" s="100"/>
      <c r="BL131" s="100"/>
      <c r="BM131" s="100"/>
      <c r="BN131" s="100"/>
      <c r="BO131" s="100"/>
      <c r="BP131" s="100"/>
      <c r="BQ131" s="100"/>
      <c r="BR131" s="100"/>
      <c r="BS131" s="100"/>
      <c r="BT131" s="100"/>
      <c r="BU131" s="100"/>
      <c r="BV131" s="100"/>
      <c r="BW131" s="100"/>
      <c r="BX131" s="100"/>
      <c r="BY131" s="100"/>
      <c r="BZ131" s="100"/>
      <c r="CA131" s="100"/>
      <c r="CB131" s="100"/>
      <c r="CC131" s="100"/>
      <c r="CD131" s="100"/>
      <c r="CE131" s="100"/>
      <c r="CF131" s="100"/>
      <c r="CG131" s="100"/>
      <c r="CH131" s="100"/>
      <c r="CI131" s="100"/>
      <c r="CJ131" s="100"/>
      <c r="CK131" s="100"/>
      <c r="CL131" s="100"/>
      <c r="CM131" s="100"/>
      <c r="CN131" s="100"/>
      <c r="CO131" s="100"/>
      <c r="CP131" s="100"/>
      <c r="CQ131" s="100"/>
      <c r="CR131" s="100"/>
      <c r="CS131" s="100"/>
      <c r="CT131" s="100"/>
      <c r="CU131" s="100"/>
      <c r="CV131" s="100"/>
      <c r="CW131" s="100"/>
      <c r="CX131" s="100"/>
      <c r="CY131" s="100"/>
      <c r="CZ131" s="100"/>
      <c r="DA131" s="100"/>
      <c r="DB131" s="100"/>
      <c r="DC131" s="100"/>
      <c r="DD131" s="100"/>
      <c r="DE131" s="100"/>
      <c r="DF131" s="100"/>
      <c r="DG131" s="100"/>
      <c r="DH131" s="100"/>
      <c r="DI131" s="100"/>
      <c r="DJ131" s="100"/>
      <c r="DK131" s="100"/>
      <c r="DL131" s="100"/>
      <c r="DM131" s="100"/>
      <c r="DN131" s="100"/>
      <c r="DO131" s="100"/>
      <c r="DP131" s="100"/>
      <c r="DQ131" s="100"/>
      <c r="DR131" s="100"/>
    </row>
    <row r="132" ht="15.75" hidden="1" customHeight="1" outlineLevel="1">
      <c r="B132" s="5" t="s">
        <v>93</v>
      </c>
      <c r="C132" s="72" t="s">
        <v>74</v>
      </c>
      <c r="F132" s="50">
        <f t="shared" ref="F132:M132" si="124">+SUMIFS($AA132:$DR132,$AA$7:$DR$7,F$7)</f>
        <v>5.140704506</v>
      </c>
      <c r="G132" s="50">
        <f t="shared" si="124"/>
        <v>90.27729785</v>
      </c>
      <c r="H132" s="50">
        <f t="shared" si="124"/>
        <v>22.3088181</v>
      </c>
      <c r="I132" s="50">
        <f t="shared" si="124"/>
        <v>0</v>
      </c>
      <c r="J132" s="50">
        <f t="shared" si="124"/>
        <v>0</v>
      </c>
      <c r="K132" s="50">
        <f t="shared" si="124"/>
        <v>0</v>
      </c>
      <c r="L132" s="50">
        <f t="shared" si="124"/>
        <v>0</v>
      </c>
      <c r="M132" s="50">
        <f t="shared" si="124"/>
        <v>0</v>
      </c>
      <c r="AA132" s="51">
        <v>0.0</v>
      </c>
      <c r="AB132" s="51">
        <v>0.0</v>
      </c>
      <c r="AC132" s="51">
        <v>0.0</v>
      </c>
      <c r="AD132" s="51">
        <v>0.0</v>
      </c>
      <c r="AE132" s="51">
        <v>0.0</v>
      </c>
      <c r="AF132" s="51">
        <v>0.37084641814274516</v>
      </c>
      <c r="AG132" s="51">
        <v>0.015332299950863024</v>
      </c>
      <c r="AH132" s="51">
        <v>0.15926143086789182</v>
      </c>
      <c r="AI132" s="51">
        <v>0.22523223232791859</v>
      </c>
      <c r="AJ132" s="51">
        <v>0.5103555444702195</v>
      </c>
      <c r="AK132" s="51">
        <v>1.458433896706305</v>
      </c>
      <c r="AL132" s="51">
        <v>2.4012426840113306</v>
      </c>
      <c r="AM132" s="51">
        <v>2.856587858184744</v>
      </c>
      <c r="AN132" s="51">
        <v>3.7076939848727877</v>
      </c>
      <c r="AO132" s="51">
        <v>4.983152626808999</v>
      </c>
      <c r="AP132" s="51">
        <v>4.085922439192095</v>
      </c>
      <c r="AQ132" s="51">
        <v>4.980341567325743</v>
      </c>
      <c r="AR132" s="51">
        <v>14.294810316712367</v>
      </c>
      <c r="AS132" s="51">
        <v>21.00804196450969</v>
      </c>
      <c r="AT132" s="51">
        <v>17.90056185387793</v>
      </c>
      <c r="AU132" s="51">
        <v>7.036614165939081</v>
      </c>
      <c r="AV132" s="51">
        <v>5.122535901256738</v>
      </c>
      <c r="AW132" s="51">
        <v>3.6905739197564555</v>
      </c>
      <c r="AX132" s="51">
        <v>0.6104612530625267</v>
      </c>
      <c r="AY132" s="51">
        <v>1.4737221722849476</v>
      </c>
      <c r="AZ132" s="51">
        <v>0.5186268329953271</v>
      </c>
      <c r="BA132" s="51">
        <v>1.0093828644947196</v>
      </c>
      <c r="BB132" s="51">
        <v>1.1409145083205292</v>
      </c>
      <c r="BC132" s="51">
        <v>1.3507143295333062</v>
      </c>
      <c r="BD132" s="51">
        <v>3.2989744619899177</v>
      </c>
      <c r="BE132" s="51">
        <v>3.4908724892206298</v>
      </c>
      <c r="BF132" s="51">
        <v>2.356148317006484</v>
      </c>
      <c r="BG132" s="51">
        <v>2.1962299524484066</v>
      </c>
      <c r="BH132" s="51">
        <v>0.7128994339614194</v>
      </c>
      <c r="BI132" s="51">
        <v>2.366523262841618</v>
      </c>
      <c r="BJ132" s="51">
        <v>2.393809479535061</v>
      </c>
      <c r="BK132" s="100"/>
      <c r="BL132" s="100"/>
      <c r="BM132" s="100"/>
      <c r="BN132" s="100"/>
      <c r="BO132" s="100"/>
      <c r="BP132" s="100"/>
      <c r="BQ132" s="100"/>
      <c r="BR132" s="100"/>
      <c r="BS132" s="100"/>
      <c r="BT132" s="100"/>
      <c r="BU132" s="100"/>
      <c r="BV132" s="100"/>
      <c r="BW132" s="100"/>
      <c r="BX132" s="100"/>
      <c r="BY132" s="100"/>
      <c r="BZ132" s="100"/>
      <c r="CA132" s="100"/>
      <c r="CB132" s="100"/>
      <c r="CC132" s="100"/>
      <c r="CD132" s="100"/>
      <c r="CE132" s="100"/>
      <c r="CF132" s="100"/>
      <c r="CG132" s="100"/>
      <c r="CH132" s="100"/>
      <c r="CI132" s="100"/>
      <c r="CJ132" s="100"/>
      <c r="CK132" s="100"/>
      <c r="CL132" s="100"/>
      <c r="CM132" s="100"/>
      <c r="CN132" s="100"/>
      <c r="CO132" s="100"/>
      <c r="CP132" s="100"/>
      <c r="CQ132" s="100"/>
      <c r="CR132" s="100"/>
      <c r="CS132" s="100"/>
      <c r="CT132" s="100"/>
      <c r="CU132" s="100"/>
      <c r="CV132" s="100"/>
      <c r="CW132" s="100"/>
      <c r="CX132" s="100"/>
      <c r="CY132" s="100"/>
      <c r="CZ132" s="100"/>
      <c r="DA132" s="100"/>
      <c r="DB132" s="100"/>
      <c r="DC132" s="100"/>
      <c r="DD132" s="100"/>
      <c r="DE132" s="100"/>
      <c r="DF132" s="100"/>
      <c r="DG132" s="100"/>
      <c r="DH132" s="100"/>
      <c r="DI132" s="100"/>
      <c r="DJ132" s="100"/>
      <c r="DK132" s="100"/>
      <c r="DL132" s="100"/>
      <c r="DM132" s="100"/>
      <c r="DN132" s="100"/>
      <c r="DO132" s="100"/>
      <c r="DP132" s="100"/>
      <c r="DQ132" s="100"/>
      <c r="DR132" s="100"/>
    </row>
    <row r="133" ht="15.75" hidden="1" customHeight="1" outlineLevel="1">
      <c r="B133" s="5" t="s">
        <v>94</v>
      </c>
      <c r="C133" s="72" t="s">
        <v>70</v>
      </c>
      <c r="F133" s="50">
        <f t="shared" ref="F133:M133" si="125">+SUMIFS($AA133:$DR133,$AA$7:$DR$7,F$7)</f>
        <v>0</v>
      </c>
      <c r="G133" s="50">
        <f t="shared" si="125"/>
        <v>9.840570752</v>
      </c>
      <c r="H133" s="50">
        <f t="shared" si="125"/>
        <v>4.011555009</v>
      </c>
      <c r="I133" s="50">
        <f t="shared" si="125"/>
        <v>0</v>
      </c>
      <c r="J133" s="50">
        <f t="shared" si="125"/>
        <v>0</v>
      </c>
      <c r="K133" s="50">
        <f t="shared" si="125"/>
        <v>0</v>
      </c>
      <c r="L133" s="50">
        <f t="shared" si="125"/>
        <v>0</v>
      </c>
      <c r="M133" s="50">
        <f t="shared" si="125"/>
        <v>0</v>
      </c>
      <c r="AA133" s="51">
        <v>0.0</v>
      </c>
      <c r="AB133" s="51">
        <v>0.0</v>
      </c>
      <c r="AC133" s="51">
        <v>0.0</v>
      </c>
      <c r="AD133" s="51">
        <v>0.0</v>
      </c>
      <c r="AE133" s="51">
        <v>0.0</v>
      </c>
      <c r="AF133" s="51">
        <v>0.0</v>
      </c>
      <c r="AG133" s="51">
        <v>0.0</v>
      </c>
      <c r="AH133" s="51">
        <v>0.0</v>
      </c>
      <c r="AI133" s="51">
        <v>0.0</v>
      </c>
      <c r="AJ133" s="51">
        <v>0.0</v>
      </c>
      <c r="AK133" s="51">
        <v>0.0</v>
      </c>
      <c r="AL133" s="51">
        <v>0.0</v>
      </c>
      <c r="AM133" s="51">
        <v>0.0</v>
      </c>
      <c r="AN133" s="51">
        <v>0.0</v>
      </c>
      <c r="AO133" s="51">
        <v>0.0</v>
      </c>
      <c r="AP133" s="51">
        <v>0.0</v>
      </c>
      <c r="AQ133" s="51">
        <v>0.0</v>
      </c>
      <c r="AR133" s="51">
        <v>0.0</v>
      </c>
      <c r="AS133" s="51">
        <v>0.6341669559036864</v>
      </c>
      <c r="AT133" s="51">
        <v>0.7651695930980131</v>
      </c>
      <c r="AU133" s="51">
        <v>5.8254330030326</v>
      </c>
      <c r="AV133" s="51">
        <v>1.4875363490745797</v>
      </c>
      <c r="AW133" s="51">
        <v>0.7171638514281549</v>
      </c>
      <c r="AX133" s="51">
        <v>0.41110099980049275</v>
      </c>
      <c r="AY133" s="51">
        <v>0.7114771919062679</v>
      </c>
      <c r="AZ133" s="51">
        <v>1.2454169023332315</v>
      </c>
      <c r="BA133" s="51">
        <v>1.5648744770463285</v>
      </c>
      <c r="BB133" s="51">
        <v>0.219860145431384</v>
      </c>
      <c r="BC133" s="51">
        <v>0.02937446064139942</v>
      </c>
      <c r="BD133" s="51">
        <v>0.15362597712060788</v>
      </c>
      <c r="BE133" s="51">
        <v>0.0</v>
      </c>
      <c r="BF133" s="51">
        <v>0.003524173909595231</v>
      </c>
      <c r="BG133" s="51">
        <v>0.0</v>
      </c>
      <c r="BH133" s="51">
        <v>0.08340168096200933</v>
      </c>
      <c r="BI133" s="51">
        <v>0.0</v>
      </c>
      <c r="BJ133" s="51">
        <v>0.0</v>
      </c>
      <c r="BK133" s="100"/>
      <c r="BL133" s="100"/>
      <c r="BM133" s="100"/>
      <c r="BN133" s="100"/>
      <c r="BO133" s="100"/>
      <c r="BP133" s="100"/>
      <c r="BQ133" s="100"/>
      <c r="BR133" s="100"/>
      <c r="BS133" s="100"/>
      <c r="BT133" s="100"/>
      <c r="BU133" s="100"/>
      <c r="BV133" s="100"/>
      <c r="BW133" s="100"/>
      <c r="BX133" s="100"/>
      <c r="BY133" s="100"/>
      <c r="BZ133" s="100"/>
      <c r="CA133" s="100"/>
      <c r="CB133" s="100"/>
      <c r="CC133" s="100"/>
      <c r="CD133" s="100"/>
      <c r="CE133" s="100"/>
      <c r="CF133" s="100"/>
      <c r="CG133" s="100"/>
      <c r="CH133" s="100"/>
      <c r="CI133" s="100"/>
      <c r="CJ133" s="100"/>
      <c r="CK133" s="100"/>
      <c r="CL133" s="100"/>
      <c r="CM133" s="100"/>
      <c r="CN133" s="100"/>
      <c r="CO133" s="100"/>
      <c r="CP133" s="100"/>
      <c r="CQ133" s="100"/>
      <c r="CR133" s="100"/>
      <c r="CS133" s="100"/>
      <c r="CT133" s="100"/>
      <c r="CU133" s="100"/>
      <c r="CV133" s="100"/>
      <c r="CW133" s="100"/>
      <c r="CX133" s="100"/>
      <c r="CY133" s="100"/>
      <c r="CZ133" s="100"/>
      <c r="DA133" s="100"/>
      <c r="DB133" s="100"/>
      <c r="DC133" s="100"/>
      <c r="DD133" s="100"/>
      <c r="DE133" s="100"/>
      <c r="DF133" s="100"/>
      <c r="DG133" s="100"/>
      <c r="DH133" s="100"/>
      <c r="DI133" s="100"/>
      <c r="DJ133" s="100"/>
      <c r="DK133" s="100"/>
      <c r="DL133" s="100"/>
      <c r="DM133" s="100"/>
      <c r="DN133" s="100"/>
      <c r="DO133" s="100"/>
      <c r="DP133" s="100"/>
      <c r="DQ133" s="100"/>
      <c r="DR133" s="100"/>
    </row>
    <row r="134" ht="15.75" hidden="1" customHeight="1" outlineLevel="1">
      <c r="B134" s="5" t="s">
        <v>95</v>
      </c>
      <c r="C134" s="72" t="s">
        <v>70</v>
      </c>
      <c r="F134" s="50">
        <f t="shared" ref="F134:M134" si="126">+SUMIFS($AA134:$DR134,$AA$7:$DR$7,F$7)</f>
        <v>9.63458347</v>
      </c>
      <c r="G134" s="50">
        <f t="shared" si="126"/>
        <v>18.38505106</v>
      </c>
      <c r="H134" s="50">
        <f t="shared" si="126"/>
        <v>2.04573262</v>
      </c>
      <c r="I134" s="50">
        <f t="shared" si="126"/>
        <v>0</v>
      </c>
      <c r="J134" s="50">
        <f t="shared" si="126"/>
        <v>0</v>
      </c>
      <c r="K134" s="50">
        <f t="shared" si="126"/>
        <v>0</v>
      </c>
      <c r="L134" s="50">
        <f t="shared" si="126"/>
        <v>0</v>
      </c>
      <c r="M134" s="50">
        <f t="shared" si="126"/>
        <v>0</v>
      </c>
      <c r="AA134" s="51">
        <v>0.5109559301371801</v>
      </c>
      <c r="AB134" s="51">
        <v>0.6691034350103329</v>
      </c>
      <c r="AC134" s="51">
        <v>0.4732717514707225</v>
      </c>
      <c r="AD134" s="51">
        <v>1.1355509648643864</v>
      </c>
      <c r="AE134" s="51">
        <v>1.3309655781741847</v>
      </c>
      <c r="AF134" s="51">
        <v>1.1919700909479423</v>
      </c>
      <c r="AG134" s="51">
        <v>1.5620320577652371</v>
      </c>
      <c r="AH134" s="51">
        <v>0.19325365052476218</v>
      </c>
      <c r="AI134" s="51">
        <v>0.14251758568808537</v>
      </c>
      <c r="AJ134" s="51">
        <v>0.3039239584366131</v>
      </c>
      <c r="AK134" s="51">
        <v>1.0368634005248694</v>
      </c>
      <c r="AL134" s="51">
        <v>1.0841750666687133</v>
      </c>
      <c r="AM134" s="51">
        <v>5.616846171058671</v>
      </c>
      <c r="AN134" s="51">
        <v>3.75246992540121</v>
      </c>
      <c r="AO134" s="51">
        <v>4.508127987338434</v>
      </c>
      <c r="AP134" s="51">
        <v>0.048145791514933374</v>
      </c>
      <c r="AQ134" s="51">
        <v>0.6633772673006143</v>
      </c>
      <c r="AR134" s="51">
        <v>0.0804242288611715</v>
      </c>
      <c r="AS134" s="51">
        <v>1.4557396762766361</v>
      </c>
      <c r="AT134" s="51">
        <v>0.10858068517931219</v>
      </c>
      <c r="AU134" s="51">
        <v>0.18884281471589642</v>
      </c>
      <c r="AV134" s="51">
        <v>1.3953293710961805</v>
      </c>
      <c r="AW134" s="51">
        <v>0.3567373862491507</v>
      </c>
      <c r="AX134" s="51">
        <v>0.2104297508178888</v>
      </c>
      <c r="AY134" s="51">
        <v>0.5089380859480684</v>
      </c>
      <c r="AZ134" s="51">
        <v>0.29091576281068354</v>
      </c>
      <c r="BA134" s="51">
        <v>0.4058870595639377</v>
      </c>
      <c r="BB134" s="51">
        <v>0.5517595161736654</v>
      </c>
      <c r="BC134" s="51">
        <v>0.11649450080685593</v>
      </c>
      <c r="BD134" s="51">
        <v>0.0</v>
      </c>
      <c r="BE134" s="51">
        <v>0.0</v>
      </c>
      <c r="BF134" s="51">
        <v>0.04547243728299345</v>
      </c>
      <c r="BG134" s="51">
        <v>0.02697848595837335</v>
      </c>
      <c r="BH134" s="51">
        <v>0.07134502677863488</v>
      </c>
      <c r="BI134" s="51">
        <v>0.027941745152354574</v>
      </c>
      <c r="BJ134" s="51">
        <v>0.0</v>
      </c>
      <c r="BK134" s="100"/>
      <c r="BL134" s="100"/>
      <c r="BM134" s="100"/>
      <c r="BN134" s="100"/>
      <c r="BO134" s="100"/>
      <c r="BP134" s="100"/>
      <c r="BQ134" s="100"/>
      <c r="BR134" s="100"/>
      <c r="BS134" s="100"/>
      <c r="BT134" s="100"/>
      <c r="BU134" s="100"/>
      <c r="BV134" s="100"/>
      <c r="BW134" s="100"/>
      <c r="BX134" s="100"/>
      <c r="BY134" s="100"/>
      <c r="BZ134" s="100"/>
      <c r="CA134" s="100"/>
      <c r="CB134" s="100"/>
      <c r="CC134" s="100"/>
      <c r="CD134" s="100"/>
      <c r="CE134" s="100"/>
      <c r="CF134" s="100"/>
      <c r="CG134" s="100"/>
      <c r="CH134" s="100"/>
      <c r="CI134" s="100"/>
      <c r="CJ134" s="100"/>
      <c r="CK134" s="100"/>
      <c r="CL134" s="100"/>
      <c r="CM134" s="100"/>
      <c r="CN134" s="100"/>
      <c r="CO134" s="100"/>
      <c r="CP134" s="100"/>
      <c r="CQ134" s="100"/>
      <c r="CR134" s="100"/>
      <c r="CS134" s="100"/>
      <c r="CT134" s="100"/>
      <c r="CU134" s="100"/>
      <c r="CV134" s="100"/>
      <c r="CW134" s="100"/>
      <c r="CX134" s="100"/>
      <c r="CY134" s="100"/>
      <c r="CZ134" s="100"/>
      <c r="DA134" s="100"/>
      <c r="DB134" s="100"/>
      <c r="DC134" s="100"/>
      <c r="DD134" s="100"/>
      <c r="DE134" s="100"/>
      <c r="DF134" s="100"/>
      <c r="DG134" s="100"/>
      <c r="DH134" s="100"/>
      <c r="DI134" s="100"/>
      <c r="DJ134" s="100"/>
      <c r="DK134" s="100"/>
      <c r="DL134" s="100"/>
      <c r="DM134" s="100"/>
      <c r="DN134" s="100"/>
      <c r="DO134" s="100"/>
      <c r="DP134" s="100"/>
      <c r="DQ134" s="100"/>
      <c r="DR134" s="100"/>
    </row>
    <row r="135" ht="15.75" hidden="1" customHeight="1" outlineLevel="1">
      <c r="B135" s="5" t="s">
        <v>96</v>
      </c>
      <c r="C135" s="72" t="s">
        <v>74</v>
      </c>
      <c r="F135" s="50">
        <f t="shared" ref="F135:M135" si="127">+SUMIFS($AA135:$DR135,$AA$7:$DR$7,F$7)</f>
        <v>0</v>
      </c>
      <c r="G135" s="50">
        <f t="shared" si="127"/>
        <v>0</v>
      </c>
      <c r="H135" s="50">
        <f t="shared" si="127"/>
        <v>0.798399199</v>
      </c>
      <c r="I135" s="50">
        <f t="shared" si="127"/>
        <v>0</v>
      </c>
      <c r="J135" s="50">
        <f t="shared" si="127"/>
        <v>0</v>
      </c>
      <c r="K135" s="50">
        <f t="shared" si="127"/>
        <v>0</v>
      </c>
      <c r="L135" s="50">
        <f t="shared" si="127"/>
        <v>0</v>
      </c>
      <c r="M135" s="50">
        <f t="shared" si="127"/>
        <v>0</v>
      </c>
      <c r="AA135" s="51">
        <v>0.0</v>
      </c>
      <c r="AB135" s="51">
        <v>0.0</v>
      </c>
      <c r="AC135" s="51">
        <v>0.0</v>
      </c>
      <c r="AD135" s="51">
        <v>0.0</v>
      </c>
      <c r="AE135" s="51">
        <v>0.0</v>
      </c>
      <c r="AF135" s="51">
        <v>0.0</v>
      </c>
      <c r="AG135" s="51">
        <v>0.0</v>
      </c>
      <c r="AH135" s="51">
        <v>0.0</v>
      </c>
      <c r="AI135" s="51">
        <v>0.0</v>
      </c>
      <c r="AJ135" s="51">
        <v>0.0</v>
      </c>
      <c r="AK135" s="51">
        <v>0.0</v>
      </c>
      <c r="AL135" s="51">
        <v>0.0</v>
      </c>
      <c r="AM135" s="51">
        <v>0.0</v>
      </c>
      <c r="AN135" s="51">
        <v>0.0</v>
      </c>
      <c r="AO135" s="51">
        <v>0.0</v>
      </c>
      <c r="AP135" s="51">
        <v>0.0</v>
      </c>
      <c r="AQ135" s="51">
        <v>0.0</v>
      </c>
      <c r="AR135" s="51">
        <v>0.0</v>
      </c>
      <c r="AS135" s="51">
        <v>0.0</v>
      </c>
      <c r="AT135" s="51">
        <v>0.0</v>
      </c>
      <c r="AU135" s="51">
        <v>0.0</v>
      </c>
      <c r="AV135" s="51">
        <v>0.0</v>
      </c>
      <c r="AW135" s="51">
        <v>0.0</v>
      </c>
      <c r="AX135" s="51">
        <v>0.0</v>
      </c>
      <c r="AY135" s="51">
        <v>0.0</v>
      </c>
      <c r="AZ135" s="51">
        <v>0.0</v>
      </c>
      <c r="BA135" s="51">
        <v>0.0</v>
      </c>
      <c r="BB135" s="51">
        <v>0.0</v>
      </c>
      <c r="BC135" s="51">
        <v>0.0</v>
      </c>
      <c r="BD135" s="51">
        <v>0.0</v>
      </c>
      <c r="BE135" s="51">
        <v>0.01370621408797526</v>
      </c>
      <c r="BF135" s="51">
        <v>0.0401504771424562</v>
      </c>
      <c r="BG135" s="51">
        <v>0.028470222950121894</v>
      </c>
      <c r="BH135" s="51">
        <v>0.0</v>
      </c>
      <c r="BI135" s="51">
        <v>0.013199468732300991</v>
      </c>
      <c r="BJ135" s="51">
        <v>0.7028728160879314</v>
      </c>
      <c r="BK135" s="100"/>
      <c r="BL135" s="100"/>
      <c r="BM135" s="100"/>
      <c r="BN135" s="100"/>
      <c r="BO135" s="100"/>
      <c r="BP135" s="100"/>
      <c r="BQ135" s="100"/>
      <c r="BR135" s="100"/>
      <c r="BS135" s="100"/>
      <c r="BT135" s="100"/>
      <c r="BU135" s="100"/>
      <c r="BV135" s="100"/>
      <c r="BW135" s="100"/>
      <c r="BX135" s="100"/>
      <c r="BY135" s="100"/>
      <c r="BZ135" s="100"/>
      <c r="CA135" s="100"/>
      <c r="CB135" s="100"/>
      <c r="CC135" s="100"/>
      <c r="CD135" s="100"/>
      <c r="CE135" s="100"/>
      <c r="CF135" s="100"/>
      <c r="CG135" s="100"/>
      <c r="CH135" s="100"/>
      <c r="CI135" s="100"/>
      <c r="CJ135" s="100"/>
      <c r="CK135" s="100"/>
      <c r="CL135" s="100"/>
      <c r="CM135" s="100"/>
      <c r="CN135" s="100"/>
      <c r="CO135" s="100"/>
      <c r="CP135" s="100"/>
      <c r="CQ135" s="100"/>
      <c r="CR135" s="100"/>
      <c r="CS135" s="100"/>
      <c r="CT135" s="100"/>
      <c r="CU135" s="100"/>
      <c r="CV135" s="100"/>
      <c r="CW135" s="100"/>
      <c r="CX135" s="100"/>
      <c r="CY135" s="100"/>
      <c r="CZ135" s="100"/>
      <c r="DA135" s="100"/>
      <c r="DB135" s="100"/>
      <c r="DC135" s="100"/>
      <c r="DD135" s="100"/>
      <c r="DE135" s="100"/>
      <c r="DF135" s="100"/>
      <c r="DG135" s="100"/>
      <c r="DH135" s="100"/>
      <c r="DI135" s="100"/>
      <c r="DJ135" s="100"/>
      <c r="DK135" s="100"/>
      <c r="DL135" s="100"/>
      <c r="DM135" s="100"/>
      <c r="DN135" s="100"/>
      <c r="DO135" s="100"/>
      <c r="DP135" s="100"/>
      <c r="DQ135" s="100"/>
      <c r="DR135" s="100"/>
    </row>
    <row r="136" ht="15.75" hidden="1" customHeight="1" outlineLevel="1">
      <c r="B136" s="5" t="s">
        <v>97</v>
      </c>
      <c r="C136" s="72" t="s">
        <v>82</v>
      </c>
      <c r="F136" s="50">
        <f t="shared" ref="F136:M136" si="128">+SUMIFS($AA136:$DR136,$AA$7:$DR$7,F$7)</f>
        <v>432.3466273</v>
      </c>
      <c r="G136" s="50">
        <f t="shared" si="128"/>
        <v>438.3555756</v>
      </c>
      <c r="H136" s="50">
        <f t="shared" si="128"/>
        <v>455.4421261</v>
      </c>
      <c r="I136" s="50">
        <f t="shared" si="128"/>
        <v>0</v>
      </c>
      <c r="J136" s="50">
        <f t="shared" si="128"/>
        <v>0</v>
      </c>
      <c r="K136" s="50">
        <f t="shared" si="128"/>
        <v>0</v>
      </c>
      <c r="L136" s="50">
        <f t="shared" si="128"/>
        <v>0</v>
      </c>
      <c r="M136" s="50">
        <f t="shared" si="128"/>
        <v>0</v>
      </c>
      <c r="AA136" s="51">
        <v>28.409531528014814</v>
      </c>
      <c r="AB136" s="51">
        <v>32.36138539667496</v>
      </c>
      <c r="AC136" s="51">
        <v>32.655863311028966</v>
      </c>
      <c r="AD136" s="51">
        <v>33.54235894950955</v>
      </c>
      <c r="AE136" s="51">
        <v>37.785514136289656</v>
      </c>
      <c r="AF136" s="51">
        <v>40.22492057381212</v>
      </c>
      <c r="AG136" s="51">
        <v>28.95524214050431</v>
      </c>
      <c r="AH136" s="51">
        <v>56.723152726007164</v>
      </c>
      <c r="AI136" s="51">
        <v>52.835287742172994</v>
      </c>
      <c r="AJ136" s="51">
        <v>48.36392191471807</v>
      </c>
      <c r="AK136" s="51">
        <v>26.64767057990069</v>
      </c>
      <c r="AL136" s="51">
        <v>13.841778257873312</v>
      </c>
      <c r="AM136" s="51">
        <v>34.904200152993</v>
      </c>
      <c r="AN136" s="51">
        <v>44.37012016432685</v>
      </c>
      <c r="AO136" s="51">
        <v>39.84347257011028</v>
      </c>
      <c r="AP136" s="51">
        <v>43.054153372287026</v>
      </c>
      <c r="AQ136" s="51">
        <v>34.10138341874681</v>
      </c>
      <c r="AR136" s="51">
        <v>32.2840250955077</v>
      </c>
      <c r="AS136" s="51">
        <v>59.502609274121376</v>
      </c>
      <c r="AT136" s="51">
        <v>38.09634411612494</v>
      </c>
      <c r="AU136" s="51">
        <v>39.67440790146692</v>
      </c>
      <c r="AV136" s="51">
        <v>27.79060402120831</v>
      </c>
      <c r="AW136" s="51">
        <v>28.8003278444775</v>
      </c>
      <c r="AX136" s="51">
        <v>15.933927636466414</v>
      </c>
      <c r="AY136" s="51">
        <v>42.90813281784751</v>
      </c>
      <c r="AZ136" s="51">
        <v>60.3756914391461</v>
      </c>
      <c r="BA136" s="51">
        <v>57.05050209315875</v>
      </c>
      <c r="BB136" s="51">
        <v>31.075487768717874</v>
      </c>
      <c r="BC136" s="51">
        <v>28.51288015339333</v>
      </c>
      <c r="BD136" s="51">
        <v>41.02147335389477</v>
      </c>
      <c r="BE136" s="51">
        <v>50.21968238116322</v>
      </c>
      <c r="BF136" s="51">
        <v>39.10552280725989</v>
      </c>
      <c r="BG136" s="51">
        <v>28.09176410727213</v>
      </c>
      <c r="BH136" s="51">
        <v>23.017739193406253</v>
      </c>
      <c r="BI136" s="51">
        <v>32.39102865428366</v>
      </c>
      <c r="BJ136" s="51">
        <v>21.672221281377176</v>
      </c>
      <c r="BK136" s="100"/>
      <c r="BL136" s="100"/>
      <c r="BM136" s="100"/>
      <c r="BN136" s="100"/>
      <c r="BO136" s="100"/>
      <c r="BP136" s="100"/>
      <c r="BQ136" s="100"/>
      <c r="BR136" s="100"/>
      <c r="BS136" s="100"/>
      <c r="BT136" s="100"/>
      <c r="BU136" s="100"/>
      <c r="BV136" s="100"/>
      <c r="BW136" s="100"/>
      <c r="BX136" s="100"/>
      <c r="BY136" s="100"/>
      <c r="BZ136" s="100"/>
      <c r="CA136" s="100"/>
      <c r="CB136" s="100"/>
      <c r="CC136" s="100"/>
      <c r="CD136" s="100"/>
      <c r="CE136" s="100"/>
      <c r="CF136" s="100"/>
      <c r="CG136" s="100"/>
      <c r="CH136" s="100"/>
      <c r="CI136" s="100"/>
      <c r="CJ136" s="100"/>
      <c r="CK136" s="100"/>
      <c r="CL136" s="100"/>
      <c r="CM136" s="100"/>
      <c r="CN136" s="100"/>
      <c r="CO136" s="100"/>
      <c r="CP136" s="100"/>
      <c r="CQ136" s="100"/>
      <c r="CR136" s="100"/>
      <c r="CS136" s="100"/>
      <c r="CT136" s="100"/>
      <c r="CU136" s="100"/>
      <c r="CV136" s="100"/>
      <c r="CW136" s="100"/>
      <c r="CX136" s="100"/>
      <c r="CY136" s="100"/>
      <c r="CZ136" s="100"/>
      <c r="DA136" s="100"/>
      <c r="DB136" s="100"/>
      <c r="DC136" s="100"/>
      <c r="DD136" s="100"/>
      <c r="DE136" s="100"/>
      <c r="DF136" s="100"/>
      <c r="DG136" s="100"/>
      <c r="DH136" s="100"/>
      <c r="DI136" s="100"/>
      <c r="DJ136" s="100"/>
      <c r="DK136" s="100"/>
      <c r="DL136" s="100"/>
      <c r="DM136" s="100"/>
      <c r="DN136" s="100"/>
      <c r="DO136" s="100"/>
      <c r="DP136" s="100"/>
      <c r="DQ136" s="100"/>
      <c r="DR136" s="100"/>
    </row>
    <row r="137" ht="15.75" hidden="1" customHeight="1" outlineLevel="1">
      <c r="B137" s="5" t="s">
        <v>98</v>
      </c>
      <c r="C137" s="72" t="s">
        <v>74</v>
      </c>
      <c r="F137" s="50">
        <f t="shared" ref="F137:M137" si="129">+SUMIFS($AA137:$DR137,$AA$7:$DR$7,F$7)</f>
        <v>20.84697734</v>
      </c>
      <c r="G137" s="50">
        <f t="shared" si="129"/>
        <v>8.247768522</v>
      </c>
      <c r="H137" s="50">
        <f t="shared" si="129"/>
        <v>16.67547875</v>
      </c>
      <c r="I137" s="50">
        <f t="shared" si="129"/>
        <v>0</v>
      </c>
      <c r="J137" s="50">
        <f t="shared" si="129"/>
        <v>0</v>
      </c>
      <c r="K137" s="50">
        <f t="shared" si="129"/>
        <v>0</v>
      </c>
      <c r="L137" s="50">
        <f t="shared" si="129"/>
        <v>0</v>
      </c>
      <c r="M137" s="50">
        <f t="shared" si="129"/>
        <v>0</v>
      </c>
      <c r="AA137" s="51">
        <v>0.00616461055276382</v>
      </c>
      <c r="AB137" s="51">
        <v>0.0</v>
      </c>
      <c r="AC137" s="51">
        <v>0.0</v>
      </c>
      <c r="AD137" s="51">
        <v>0.4828938402258286</v>
      </c>
      <c r="AE137" s="51">
        <v>1.292266344815931</v>
      </c>
      <c r="AF137" s="51">
        <v>4.424063392749282</v>
      </c>
      <c r="AG137" s="51">
        <v>1.7994457498424543</v>
      </c>
      <c r="AH137" s="51">
        <v>1.5437168163969879</v>
      </c>
      <c r="AI137" s="51">
        <v>1.8980389708678096</v>
      </c>
      <c r="AJ137" s="51">
        <v>5.736081181182231</v>
      </c>
      <c r="AK137" s="51">
        <v>3.0863804221323266</v>
      </c>
      <c r="AL137" s="51">
        <v>0.5779260091762445</v>
      </c>
      <c r="AM137" s="51">
        <v>0.3566110302298968</v>
      </c>
      <c r="AN137" s="51">
        <v>0.3201954778885472</v>
      </c>
      <c r="AO137" s="51">
        <v>0.11831843471392611</v>
      </c>
      <c r="AP137" s="51">
        <v>0.0545595813958017</v>
      </c>
      <c r="AQ137" s="51">
        <v>0.1403884488641372</v>
      </c>
      <c r="AR137" s="51">
        <v>0.2535000363166595</v>
      </c>
      <c r="AS137" s="51">
        <v>1.0106705873994781</v>
      </c>
      <c r="AT137" s="51">
        <v>0.40171609352700294</v>
      </c>
      <c r="AU137" s="51">
        <v>1.2288351107697486</v>
      </c>
      <c r="AV137" s="51">
        <v>0.705206916182923</v>
      </c>
      <c r="AW137" s="51">
        <v>0.44087313377862375</v>
      </c>
      <c r="AX137" s="51">
        <v>3.2168936710190343</v>
      </c>
      <c r="AY137" s="51">
        <v>0.762653023258583</v>
      </c>
      <c r="AZ137" s="51">
        <v>2.166191464948314</v>
      </c>
      <c r="BA137" s="51">
        <v>4.188672099183746</v>
      </c>
      <c r="BB137" s="51">
        <v>2.144083155974358</v>
      </c>
      <c r="BC137" s="51">
        <v>1.3041075999482465</v>
      </c>
      <c r="BD137" s="51">
        <v>1.7047333761696655</v>
      </c>
      <c r="BE137" s="51">
        <v>1.1921028874668966</v>
      </c>
      <c r="BF137" s="51">
        <v>0.3162459640861578</v>
      </c>
      <c r="BG137" s="51">
        <v>0.13451975371008162</v>
      </c>
      <c r="BH137" s="51">
        <v>1.9297622515831956</v>
      </c>
      <c r="BI137" s="51">
        <v>0.31537484270484395</v>
      </c>
      <c r="BJ137" s="51">
        <v>0.5170323276054019</v>
      </c>
      <c r="BK137" s="100"/>
      <c r="BL137" s="100"/>
      <c r="BM137" s="100"/>
      <c r="BN137" s="100"/>
      <c r="BO137" s="100"/>
      <c r="BP137" s="100"/>
      <c r="BQ137" s="100"/>
      <c r="BR137" s="100"/>
      <c r="BS137" s="100"/>
      <c r="BT137" s="100"/>
      <c r="BU137" s="100"/>
      <c r="BV137" s="100"/>
      <c r="BW137" s="100"/>
      <c r="BX137" s="100"/>
      <c r="BY137" s="100"/>
      <c r="BZ137" s="100"/>
      <c r="CA137" s="100"/>
      <c r="CB137" s="100"/>
      <c r="CC137" s="100"/>
      <c r="CD137" s="100"/>
      <c r="CE137" s="100"/>
      <c r="CF137" s="100"/>
      <c r="CG137" s="100"/>
      <c r="CH137" s="100"/>
      <c r="CI137" s="100"/>
      <c r="CJ137" s="100"/>
      <c r="CK137" s="100"/>
      <c r="CL137" s="100"/>
      <c r="CM137" s="100"/>
      <c r="CN137" s="100"/>
      <c r="CO137" s="100"/>
      <c r="CP137" s="100"/>
      <c r="CQ137" s="100"/>
      <c r="CR137" s="100"/>
      <c r="CS137" s="100"/>
      <c r="CT137" s="100"/>
      <c r="CU137" s="100"/>
      <c r="CV137" s="100"/>
      <c r="CW137" s="100"/>
      <c r="CX137" s="100"/>
      <c r="CY137" s="100"/>
      <c r="CZ137" s="100"/>
      <c r="DA137" s="100"/>
      <c r="DB137" s="100"/>
      <c r="DC137" s="100"/>
      <c r="DD137" s="100"/>
      <c r="DE137" s="100"/>
      <c r="DF137" s="100"/>
      <c r="DG137" s="100"/>
      <c r="DH137" s="100"/>
      <c r="DI137" s="100"/>
      <c r="DJ137" s="100"/>
      <c r="DK137" s="100"/>
      <c r="DL137" s="100"/>
      <c r="DM137" s="100"/>
      <c r="DN137" s="100"/>
      <c r="DO137" s="100"/>
      <c r="DP137" s="100"/>
      <c r="DQ137" s="100"/>
      <c r="DR137" s="100"/>
    </row>
    <row r="138" ht="15.75" hidden="1" customHeight="1" outlineLevel="1">
      <c r="B138" s="5" t="s">
        <v>99</v>
      </c>
      <c r="C138" s="72" t="s">
        <v>70</v>
      </c>
      <c r="F138" s="50">
        <f t="shared" ref="F138:M138" si="130">+SUMIFS($AA138:$DR138,$AA$7:$DR$7,F$7)</f>
        <v>0</v>
      </c>
      <c r="G138" s="50">
        <f t="shared" si="130"/>
        <v>0</v>
      </c>
      <c r="H138" s="50">
        <f t="shared" si="130"/>
        <v>5.701571077</v>
      </c>
      <c r="I138" s="50">
        <f t="shared" si="130"/>
        <v>0</v>
      </c>
      <c r="J138" s="50">
        <f t="shared" si="130"/>
        <v>0</v>
      </c>
      <c r="K138" s="50">
        <f t="shared" si="130"/>
        <v>0</v>
      </c>
      <c r="L138" s="50">
        <f t="shared" si="130"/>
        <v>0</v>
      </c>
      <c r="M138" s="50">
        <f t="shared" si="130"/>
        <v>0</v>
      </c>
      <c r="AA138" s="51">
        <v>0.0</v>
      </c>
      <c r="AB138" s="51">
        <v>0.0</v>
      </c>
      <c r="AC138" s="51">
        <v>0.0</v>
      </c>
      <c r="AD138" s="51">
        <v>0.0</v>
      </c>
      <c r="AE138" s="51">
        <v>0.0</v>
      </c>
      <c r="AF138" s="51">
        <v>0.0</v>
      </c>
      <c r="AG138" s="51">
        <v>0.0</v>
      </c>
      <c r="AH138" s="51">
        <v>0.0</v>
      </c>
      <c r="AI138" s="51">
        <v>0.0</v>
      </c>
      <c r="AJ138" s="51">
        <v>0.0</v>
      </c>
      <c r="AK138" s="51">
        <v>0.0</v>
      </c>
      <c r="AL138" s="51">
        <v>0.0</v>
      </c>
      <c r="AM138" s="51">
        <v>0.0</v>
      </c>
      <c r="AN138" s="51">
        <v>0.0</v>
      </c>
      <c r="AO138" s="51">
        <v>0.0</v>
      </c>
      <c r="AP138" s="51">
        <v>0.0</v>
      </c>
      <c r="AQ138" s="51">
        <v>0.0</v>
      </c>
      <c r="AR138" s="51">
        <v>0.0</v>
      </c>
      <c r="AS138" s="51">
        <v>0.0</v>
      </c>
      <c r="AT138" s="51">
        <v>0.0</v>
      </c>
      <c r="AU138" s="51">
        <v>0.0</v>
      </c>
      <c r="AV138" s="51">
        <v>0.0</v>
      </c>
      <c r="AW138" s="51">
        <v>0.0</v>
      </c>
      <c r="AX138" s="51">
        <v>0.0</v>
      </c>
      <c r="AY138" s="51">
        <v>0.0</v>
      </c>
      <c r="AZ138" s="51">
        <v>0.0</v>
      </c>
      <c r="BA138" s="51">
        <v>0.0</v>
      </c>
      <c r="BB138" s="51">
        <v>0.0</v>
      </c>
      <c r="BC138" s="51">
        <v>0.0</v>
      </c>
      <c r="BD138" s="51">
        <v>0.0</v>
      </c>
      <c r="BE138" s="51">
        <v>0.23023402151967648</v>
      </c>
      <c r="BF138" s="51">
        <v>1.6468385686712785</v>
      </c>
      <c r="BG138" s="51">
        <v>1.511721119904036</v>
      </c>
      <c r="BH138" s="51">
        <v>0.7624106717240036</v>
      </c>
      <c r="BI138" s="51">
        <v>1.0835099758788096</v>
      </c>
      <c r="BJ138" s="51">
        <v>0.46685671947563134</v>
      </c>
      <c r="BK138" s="100"/>
      <c r="BL138" s="100"/>
      <c r="BM138" s="100"/>
      <c r="BN138" s="100"/>
      <c r="BO138" s="100"/>
      <c r="BP138" s="100"/>
      <c r="BQ138" s="100"/>
      <c r="BR138" s="100"/>
      <c r="BS138" s="100"/>
      <c r="BT138" s="100"/>
      <c r="BU138" s="100"/>
      <c r="BV138" s="100"/>
      <c r="BW138" s="100"/>
      <c r="BX138" s="100"/>
      <c r="BY138" s="100"/>
      <c r="BZ138" s="100"/>
      <c r="CA138" s="100"/>
      <c r="CB138" s="100"/>
      <c r="CC138" s="100"/>
      <c r="CD138" s="100"/>
      <c r="CE138" s="100"/>
      <c r="CF138" s="100"/>
      <c r="CG138" s="100"/>
      <c r="CH138" s="100"/>
      <c r="CI138" s="100"/>
      <c r="CJ138" s="100"/>
      <c r="CK138" s="100"/>
      <c r="CL138" s="100"/>
      <c r="CM138" s="100"/>
      <c r="CN138" s="100"/>
      <c r="CO138" s="100"/>
      <c r="CP138" s="100"/>
      <c r="CQ138" s="100"/>
      <c r="CR138" s="100"/>
      <c r="CS138" s="100"/>
      <c r="CT138" s="100"/>
      <c r="CU138" s="100"/>
      <c r="CV138" s="100"/>
      <c r="CW138" s="100"/>
      <c r="CX138" s="100"/>
      <c r="CY138" s="100"/>
      <c r="CZ138" s="100"/>
      <c r="DA138" s="100"/>
      <c r="DB138" s="100"/>
      <c r="DC138" s="100"/>
      <c r="DD138" s="100"/>
      <c r="DE138" s="100"/>
      <c r="DF138" s="100"/>
      <c r="DG138" s="100"/>
      <c r="DH138" s="100"/>
      <c r="DI138" s="100"/>
      <c r="DJ138" s="100"/>
      <c r="DK138" s="100"/>
      <c r="DL138" s="100"/>
      <c r="DM138" s="100"/>
      <c r="DN138" s="100"/>
      <c r="DO138" s="100"/>
      <c r="DP138" s="100"/>
      <c r="DQ138" s="100"/>
      <c r="DR138" s="100"/>
    </row>
    <row r="139" ht="15.75" hidden="1" customHeight="1" outlineLevel="1">
      <c r="B139" s="5" t="s">
        <v>100</v>
      </c>
      <c r="C139" s="72" t="s">
        <v>82</v>
      </c>
      <c r="F139" s="50">
        <f t="shared" ref="F139:M139" si="131">+SUMIFS($AA139:$DR139,$AA$7:$DR$7,F$7)</f>
        <v>222.867354</v>
      </c>
      <c r="G139" s="50">
        <f t="shared" si="131"/>
        <v>370.4345</v>
      </c>
      <c r="H139" s="50">
        <f t="shared" si="131"/>
        <v>426.3295416</v>
      </c>
      <c r="I139" s="50">
        <f t="shared" si="131"/>
        <v>0</v>
      </c>
      <c r="J139" s="50">
        <f t="shared" si="131"/>
        <v>0</v>
      </c>
      <c r="K139" s="50">
        <f t="shared" si="131"/>
        <v>0</v>
      </c>
      <c r="L139" s="50">
        <f t="shared" si="131"/>
        <v>0</v>
      </c>
      <c r="M139" s="50">
        <f t="shared" si="131"/>
        <v>0</v>
      </c>
      <c r="AA139" s="51">
        <v>24.449951497680228</v>
      </c>
      <c r="AB139" s="51">
        <v>15.697100109678956</v>
      </c>
      <c r="AC139" s="51">
        <v>15.663524873327372</v>
      </c>
      <c r="AD139" s="51">
        <v>9.926835973250784</v>
      </c>
      <c r="AE139" s="51">
        <v>23.566348422034086</v>
      </c>
      <c r="AF139" s="51">
        <v>20.987185841280066</v>
      </c>
      <c r="AG139" s="51">
        <v>17.610928179144825</v>
      </c>
      <c r="AH139" s="51">
        <v>20.71724130965991</v>
      </c>
      <c r="AI139" s="51">
        <v>18.092319086228233</v>
      </c>
      <c r="AJ139" s="51">
        <v>20.641579733251554</v>
      </c>
      <c r="AK139" s="51">
        <v>23.712364519610674</v>
      </c>
      <c r="AL139" s="51">
        <v>11.80197442117222</v>
      </c>
      <c r="AM139" s="51">
        <v>20.228801420322476</v>
      </c>
      <c r="AN139" s="51">
        <v>15.04342300546494</v>
      </c>
      <c r="AO139" s="51">
        <v>29.255673137672698</v>
      </c>
      <c r="AP139" s="51">
        <v>35.74197862618629</v>
      </c>
      <c r="AQ139" s="51">
        <v>38.76471300017312</v>
      </c>
      <c r="AR139" s="51">
        <v>55.60736249690209</v>
      </c>
      <c r="AS139" s="51">
        <v>32.64590554618036</v>
      </c>
      <c r="AT139" s="51">
        <v>31.523197427084913</v>
      </c>
      <c r="AU139" s="51">
        <v>24.459333279350524</v>
      </c>
      <c r="AV139" s="51">
        <v>32.93134909705015</v>
      </c>
      <c r="AW139" s="51">
        <v>27.827063570979234</v>
      </c>
      <c r="AX139" s="51">
        <v>26.405699421289036</v>
      </c>
      <c r="AY139" s="51">
        <v>36.150362386036214</v>
      </c>
      <c r="AZ139" s="51">
        <v>45.517438291180966</v>
      </c>
      <c r="BA139" s="51">
        <v>37.02719716884298</v>
      </c>
      <c r="BB139" s="51">
        <v>34.23764659741904</v>
      </c>
      <c r="BC139" s="51">
        <v>39.89951067577698</v>
      </c>
      <c r="BD139" s="51">
        <v>29.816580107378186</v>
      </c>
      <c r="BE139" s="51">
        <v>31.287347778250755</v>
      </c>
      <c r="BF139" s="51">
        <v>34.75031640702243</v>
      </c>
      <c r="BG139" s="51">
        <v>32.46131241047751</v>
      </c>
      <c r="BH139" s="51">
        <v>52.89819926145157</v>
      </c>
      <c r="BI139" s="51">
        <v>25.756348444496815</v>
      </c>
      <c r="BJ139" s="51">
        <v>26.5272820699589</v>
      </c>
      <c r="BK139" s="100"/>
      <c r="BL139" s="100"/>
      <c r="BM139" s="100"/>
      <c r="BN139" s="100"/>
      <c r="BO139" s="100"/>
      <c r="BP139" s="100"/>
      <c r="BQ139" s="100"/>
      <c r="BR139" s="100"/>
      <c r="BS139" s="100"/>
      <c r="BT139" s="100"/>
      <c r="BU139" s="100"/>
      <c r="BV139" s="100"/>
      <c r="BW139" s="100"/>
      <c r="BX139" s="100"/>
      <c r="BY139" s="100"/>
      <c r="BZ139" s="100"/>
      <c r="CA139" s="100"/>
      <c r="CB139" s="100"/>
      <c r="CC139" s="100"/>
      <c r="CD139" s="100"/>
      <c r="CE139" s="100"/>
      <c r="CF139" s="100"/>
      <c r="CG139" s="100"/>
      <c r="CH139" s="100"/>
      <c r="CI139" s="100"/>
      <c r="CJ139" s="100"/>
      <c r="CK139" s="100"/>
      <c r="CL139" s="100"/>
      <c r="CM139" s="100"/>
      <c r="CN139" s="100"/>
      <c r="CO139" s="100"/>
      <c r="CP139" s="100"/>
      <c r="CQ139" s="100"/>
      <c r="CR139" s="100"/>
      <c r="CS139" s="100"/>
      <c r="CT139" s="100"/>
      <c r="CU139" s="100"/>
      <c r="CV139" s="100"/>
      <c r="CW139" s="100"/>
      <c r="CX139" s="100"/>
      <c r="CY139" s="100"/>
      <c r="CZ139" s="100"/>
      <c r="DA139" s="100"/>
      <c r="DB139" s="100"/>
      <c r="DC139" s="100"/>
      <c r="DD139" s="100"/>
      <c r="DE139" s="100"/>
      <c r="DF139" s="100"/>
      <c r="DG139" s="100"/>
      <c r="DH139" s="100"/>
      <c r="DI139" s="100"/>
      <c r="DJ139" s="100"/>
      <c r="DK139" s="100"/>
      <c r="DL139" s="100"/>
      <c r="DM139" s="100"/>
      <c r="DN139" s="100"/>
      <c r="DO139" s="100"/>
      <c r="DP139" s="100"/>
      <c r="DQ139" s="100"/>
      <c r="DR139" s="100"/>
    </row>
    <row r="140" ht="15.75" hidden="1" customHeight="1" outlineLevel="1">
      <c r="B140" s="5" t="s">
        <v>101</v>
      </c>
      <c r="C140" s="72" t="s">
        <v>70</v>
      </c>
      <c r="F140" s="50">
        <f t="shared" ref="F140:M140" si="132">+SUMIFS($AA140:$DR140,$AA$7:$DR$7,F$7)</f>
        <v>0</v>
      </c>
      <c r="G140" s="50">
        <f t="shared" si="132"/>
        <v>12.50173281</v>
      </c>
      <c r="H140" s="50">
        <f t="shared" si="132"/>
        <v>2.727881211</v>
      </c>
      <c r="I140" s="50">
        <f t="shared" si="132"/>
        <v>0</v>
      </c>
      <c r="J140" s="50">
        <f t="shared" si="132"/>
        <v>0</v>
      </c>
      <c r="K140" s="50">
        <f t="shared" si="132"/>
        <v>0</v>
      </c>
      <c r="L140" s="50">
        <f t="shared" si="132"/>
        <v>0</v>
      </c>
      <c r="M140" s="50">
        <f t="shared" si="132"/>
        <v>0</v>
      </c>
      <c r="AA140" s="51">
        <v>0.0</v>
      </c>
      <c r="AB140" s="51">
        <v>0.0</v>
      </c>
      <c r="AC140" s="51">
        <v>0.0</v>
      </c>
      <c r="AD140" s="51">
        <v>0.0</v>
      </c>
      <c r="AE140" s="51">
        <v>0.0</v>
      </c>
      <c r="AF140" s="51">
        <v>0.0</v>
      </c>
      <c r="AG140" s="51">
        <v>0.0</v>
      </c>
      <c r="AH140" s="51">
        <v>0.0</v>
      </c>
      <c r="AI140" s="51">
        <v>0.0</v>
      </c>
      <c r="AJ140" s="51">
        <v>0.0</v>
      </c>
      <c r="AK140" s="51">
        <v>0.0</v>
      </c>
      <c r="AL140" s="51">
        <v>0.0</v>
      </c>
      <c r="AM140" s="51">
        <v>0.3963726127265491</v>
      </c>
      <c r="AN140" s="51">
        <v>0.4318928502377952</v>
      </c>
      <c r="AO140" s="51">
        <v>0.4344231721608277</v>
      </c>
      <c r="AP140" s="51">
        <v>0.9640462452689094</v>
      </c>
      <c r="AQ140" s="51">
        <v>0.3934005643677844</v>
      </c>
      <c r="AR140" s="51">
        <v>0.7983511242355879</v>
      </c>
      <c r="AS140" s="51">
        <v>0.0</v>
      </c>
      <c r="AT140" s="51">
        <v>0.8968038356017686</v>
      </c>
      <c r="AU140" s="51">
        <v>0.6286072205433787</v>
      </c>
      <c r="AV140" s="51">
        <v>0.7690930768404707</v>
      </c>
      <c r="AW140" s="51">
        <v>4.683971129757021</v>
      </c>
      <c r="AX140" s="51">
        <v>2.1047709739731864</v>
      </c>
      <c r="AY140" s="51">
        <v>1.2716695331921968</v>
      </c>
      <c r="AZ140" s="51">
        <v>0.1556274203584104</v>
      </c>
      <c r="BA140" s="51">
        <v>0.4685047284922489</v>
      </c>
      <c r="BB140" s="51">
        <v>0.3273270459577465</v>
      </c>
      <c r="BC140" s="51">
        <v>0.016569241201657824</v>
      </c>
      <c r="BD140" s="51">
        <v>0.23791293578653383</v>
      </c>
      <c r="BE140" s="51">
        <v>0.0</v>
      </c>
      <c r="BF140" s="51">
        <v>0.04547243728299345</v>
      </c>
      <c r="BG140" s="51">
        <v>0.07748207498773749</v>
      </c>
      <c r="BH140" s="51">
        <v>0.127315793840864</v>
      </c>
      <c r="BI140" s="51">
        <v>0.0</v>
      </c>
      <c r="BJ140" s="51">
        <v>0.0</v>
      </c>
      <c r="BK140" s="100"/>
      <c r="BL140" s="100"/>
      <c r="BM140" s="100"/>
      <c r="BN140" s="100"/>
      <c r="BO140" s="100"/>
      <c r="BP140" s="100"/>
      <c r="BQ140" s="100"/>
      <c r="BR140" s="100"/>
      <c r="BS140" s="100"/>
      <c r="BT140" s="100"/>
      <c r="BU140" s="100"/>
      <c r="BV140" s="100"/>
      <c r="BW140" s="100"/>
      <c r="BX140" s="100"/>
      <c r="BY140" s="100"/>
      <c r="BZ140" s="100"/>
      <c r="CA140" s="100"/>
      <c r="CB140" s="100"/>
      <c r="CC140" s="100"/>
      <c r="CD140" s="100"/>
      <c r="CE140" s="100"/>
      <c r="CF140" s="100"/>
      <c r="CG140" s="100"/>
      <c r="CH140" s="100"/>
      <c r="CI140" s="100"/>
      <c r="CJ140" s="100"/>
      <c r="CK140" s="100"/>
      <c r="CL140" s="100"/>
      <c r="CM140" s="100"/>
      <c r="CN140" s="100"/>
      <c r="CO140" s="100"/>
      <c r="CP140" s="100"/>
      <c r="CQ140" s="100"/>
      <c r="CR140" s="100"/>
      <c r="CS140" s="100"/>
      <c r="CT140" s="100"/>
      <c r="CU140" s="100"/>
      <c r="CV140" s="100"/>
      <c r="CW140" s="100"/>
      <c r="CX140" s="100"/>
      <c r="CY140" s="100"/>
      <c r="CZ140" s="100"/>
      <c r="DA140" s="100"/>
      <c r="DB140" s="100"/>
      <c r="DC140" s="100"/>
      <c r="DD140" s="100"/>
      <c r="DE140" s="100"/>
      <c r="DF140" s="100"/>
      <c r="DG140" s="100"/>
      <c r="DH140" s="100"/>
      <c r="DI140" s="100"/>
      <c r="DJ140" s="100"/>
      <c r="DK140" s="100"/>
      <c r="DL140" s="100"/>
      <c r="DM140" s="100"/>
      <c r="DN140" s="100"/>
      <c r="DO140" s="100"/>
      <c r="DP140" s="100"/>
      <c r="DQ140" s="100"/>
      <c r="DR140" s="100"/>
    </row>
    <row r="141" ht="15.75" hidden="1" customHeight="1" outlineLevel="1">
      <c r="B141" s="5" t="s">
        <v>102</v>
      </c>
      <c r="C141" s="72" t="s">
        <v>70</v>
      </c>
      <c r="F141" s="50">
        <f t="shared" ref="F141:M141" si="133">+SUMIFS($AA141:$DR141,$AA$7:$DR$7,F$7)</f>
        <v>0</v>
      </c>
      <c r="G141" s="50">
        <f t="shared" si="133"/>
        <v>0</v>
      </c>
      <c r="H141" s="50">
        <f t="shared" si="133"/>
        <v>0</v>
      </c>
      <c r="I141" s="50">
        <f t="shared" si="133"/>
        <v>0</v>
      </c>
      <c r="J141" s="50">
        <f t="shared" si="133"/>
        <v>0</v>
      </c>
      <c r="K141" s="50">
        <f t="shared" si="133"/>
        <v>0</v>
      </c>
      <c r="L141" s="50">
        <f t="shared" si="133"/>
        <v>0</v>
      </c>
      <c r="M141" s="50">
        <f t="shared" si="133"/>
        <v>0</v>
      </c>
      <c r="AA141" s="51">
        <v>0.0</v>
      </c>
      <c r="AB141" s="51">
        <v>0.0</v>
      </c>
      <c r="AC141" s="51">
        <v>0.0</v>
      </c>
      <c r="AD141" s="51">
        <v>0.0</v>
      </c>
      <c r="AE141" s="51">
        <v>0.0</v>
      </c>
      <c r="AF141" s="51">
        <v>0.0</v>
      </c>
      <c r="AG141" s="51">
        <v>0.0</v>
      </c>
      <c r="AH141" s="51">
        <v>0.0</v>
      </c>
      <c r="AI141" s="51">
        <v>0.0</v>
      </c>
      <c r="AJ141" s="51">
        <v>0.0</v>
      </c>
      <c r="AK141" s="51">
        <v>0.0</v>
      </c>
      <c r="AL141" s="51">
        <v>0.0</v>
      </c>
      <c r="AM141" s="51">
        <v>0.0</v>
      </c>
      <c r="AN141" s="51">
        <v>0.0</v>
      </c>
      <c r="AO141" s="51">
        <v>0.0</v>
      </c>
      <c r="AP141" s="51">
        <v>0.0</v>
      </c>
      <c r="AQ141" s="51">
        <v>0.0</v>
      </c>
      <c r="AR141" s="51">
        <v>0.0</v>
      </c>
      <c r="AS141" s="51">
        <v>0.0</v>
      </c>
      <c r="AT141" s="51">
        <v>0.0</v>
      </c>
      <c r="AU141" s="51">
        <v>0.0</v>
      </c>
      <c r="AV141" s="51">
        <v>0.0</v>
      </c>
      <c r="AW141" s="51">
        <v>0.0</v>
      </c>
      <c r="AX141" s="51">
        <v>0.0</v>
      </c>
      <c r="AY141" s="51">
        <v>0.0</v>
      </c>
      <c r="AZ141" s="51">
        <v>0.0</v>
      </c>
      <c r="BA141" s="51">
        <v>0.0</v>
      </c>
      <c r="BB141" s="51">
        <v>0.0</v>
      </c>
      <c r="BC141" s="51">
        <v>0.0</v>
      </c>
      <c r="BD141" s="51">
        <v>0.0</v>
      </c>
      <c r="BE141" s="51">
        <v>0.0</v>
      </c>
      <c r="BF141" s="51">
        <v>0.0</v>
      </c>
      <c r="BG141" s="51">
        <v>0.0</v>
      </c>
      <c r="BH141" s="51">
        <v>0.0</v>
      </c>
      <c r="BI141" s="51">
        <v>0.0</v>
      </c>
      <c r="BJ141" s="51">
        <v>0.0</v>
      </c>
      <c r="BK141" s="100"/>
      <c r="BL141" s="100"/>
      <c r="BM141" s="100"/>
      <c r="BN141" s="100"/>
      <c r="BO141" s="100"/>
      <c r="BP141" s="100"/>
      <c r="BQ141" s="100"/>
      <c r="BR141" s="100"/>
      <c r="BS141" s="100"/>
      <c r="BT141" s="100"/>
      <c r="BU141" s="100"/>
      <c r="BV141" s="100"/>
      <c r="BW141" s="100"/>
      <c r="BX141" s="100"/>
      <c r="BY141" s="100"/>
      <c r="BZ141" s="100"/>
      <c r="CA141" s="100"/>
      <c r="CB141" s="100"/>
      <c r="CC141" s="100"/>
      <c r="CD141" s="100"/>
      <c r="CE141" s="100"/>
      <c r="CF141" s="100"/>
      <c r="CG141" s="100"/>
      <c r="CH141" s="100"/>
      <c r="CI141" s="100"/>
      <c r="CJ141" s="100"/>
      <c r="CK141" s="100"/>
      <c r="CL141" s="100"/>
      <c r="CM141" s="100"/>
      <c r="CN141" s="100"/>
      <c r="CO141" s="100"/>
      <c r="CP141" s="100"/>
      <c r="CQ141" s="100"/>
      <c r="CR141" s="100"/>
      <c r="CS141" s="100"/>
      <c r="CT141" s="100"/>
      <c r="CU141" s="100"/>
      <c r="CV141" s="100"/>
      <c r="CW141" s="100"/>
      <c r="CX141" s="100"/>
      <c r="CY141" s="100"/>
      <c r="CZ141" s="100"/>
      <c r="DA141" s="100"/>
      <c r="DB141" s="100"/>
      <c r="DC141" s="100"/>
      <c r="DD141" s="100"/>
      <c r="DE141" s="100"/>
      <c r="DF141" s="100"/>
      <c r="DG141" s="100"/>
      <c r="DH141" s="100"/>
      <c r="DI141" s="100"/>
      <c r="DJ141" s="100"/>
      <c r="DK141" s="100"/>
      <c r="DL141" s="100"/>
      <c r="DM141" s="100"/>
      <c r="DN141" s="100"/>
      <c r="DO141" s="100"/>
      <c r="DP141" s="100"/>
      <c r="DQ141" s="100"/>
      <c r="DR141" s="100"/>
    </row>
    <row r="142" ht="15.75" hidden="1" customHeight="1" outlineLevel="1">
      <c r="B142" s="5" t="s">
        <v>103</v>
      </c>
      <c r="C142" s="72" t="s">
        <v>70</v>
      </c>
      <c r="F142" s="50">
        <f t="shared" ref="F142:M142" si="134">+SUMIFS($AA142:$DR142,$AA$7:$DR$7,F$7)</f>
        <v>0</v>
      </c>
      <c r="G142" s="50">
        <f t="shared" si="134"/>
        <v>13.06305165</v>
      </c>
      <c r="H142" s="50">
        <f t="shared" si="134"/>
        <v>7.03488979</v>
      </c>
      <c r="I142" s="50">
        <f t="shared" si="134"/>
        <v>0</v>
      </c>
      <c r="J142" s="50">
        <f t="shared" si="134"/>
        <v>0</v>
      </c>
      <c r="K142" s="50">
        <f t="shared" si="134"/>
        <v>0</v>
      </c>
      <c r="L142" s="50">
        <f t="shared" si="134"/>
        <v>0</v>
      </c>
      <c r="M142" s="50">
        <f t="shared" si="134"/>
        <v>0</v>
      </c>
      <c r="AA142" s="51">
        <v>0.0</v>
      </c>
      <c r="AB142" s="51">
        <v>0.0</v>
      </c>
      <c r="AC142" s="51">
        <v>0.0</v>
      </c>
      <c r="AD142" s="51">
        <v>0.0</v>
      </c>
      <c r="AE142" s="51">
        <v>0.0</v>
      </c>
      <c r="AF142" s="51">
        <v>0.0</v>
      </c>
      <c r="AG142" s="51">
        <v>0.0</v>
      </c>
      <c r="AH142" s="51">
        <v>0.0</v>
      </c>
      <c r="AI142" s="51">
        <v>0.0</v>
      </c>
      <c r="AJ142" s="51">
        <v>0.0</v>
      </c>
      <c r="AK142" s="51">
        <v>0.0</v>
      </c>
      <c r="AL142" s="51">
        <v>0.0</v>
      </c>
      <c r="AM142" s="51">
        <v>0.6408934559781573</v>
      </c>
      <c r="AN142" s="51">
        <v>0.5652993252435116</v>
      </c>
      <c r="AO142" s="51">
        <v>0.6459830421367385</v>
      </c>
      <c r="AP142" s="51">
        <v>0.5237034025070081</v>
      </c>
      <c r="AQ142" s="51">
        <v>1.1195908088454</v>
      </c>
      <c r="AR142" s="51">
        <v>0.7743230686954604</v>
      </c>
      <c r="AS142" s="51">
        <v>1.3908412442803377</v>
      </c>
      <c r="AT142" s="51">
        <v>2.169423131034715</v>
      </c>
      <c r="AU142" s="51">
        <v>4.36638360851343</v>
      </c>
      <c r="AV142" s="51">
        <v>0.866610567438242</v>
      </c>
      <c r="AW142" s="51">
        <v>0.0</v>
      </c>
      <c r="AX142" s="51">
        <v>0.0</v>
      </c>
      <c r="AY142" s="51">
        <v>0.03223828066476175</v>
      </c>
      <c r="AZ142" s="51">
        <v>0.9411101763947161</v>
      </c>
      <c r="BA142" s="51">
        <v>0.2837127171294028</v>
      </c>
      <c r="BB142" s="51">
        <v>0.3278001742886679</v>
      </c>
      <c r="BC142" s="51">
        <v>0.8275283920098014</v>
      </c>
      <c r="BD142" s="51">
        <v>3.3129964441649116</v>
      </c>
      <c r="BE142" s="51">
        <v>0.30533582204963916</v>
      </c>
      <c r="BF142" s="51">
        <v>0.0</v>
      </c>
      <c r="BG142" s="51">
        <v>0.672919910524465</v>
      </c>
      <c r="BH142" s="51">
        <v>0.2733572824670746</v>
      </c>
      <c r="BI142" s="51">
        <v>0.03919647627616827</v>
      </c>
      <c r="BJ142" s="51">
        <v>0.018694114001308427</v>
      </c>
      <c r="BK142" s="100"/>
      <c r="BL142" s="100"/>
      <c r="BM142" s="100"/>
      <c r="BN142" s="100"/>
      <c r="BO142" s="100"/>
      <c r="BP142" s="100"/>
      <c r="BQ142" s="100"/>
      <c r="BR142" s="100"/>
      <c r="BS142" s="100"/>
      <c r="BT142" s="100"/>
      <c r="BU142" s="100"/>
      <c r="BV142" s="100"/>
      <c r="BW142" s="100"/>
      <c r="BX142" s="100"/>
      <c r="BY142" s="100"/>
      <c r="BZ142" s="100"/>
      <c r="CA142" s="100"/>
      <c r="CB142" s="100"/>
      <c r="CC142" s="100"/>
      <c r="CD142" s="100"/>
      <c r="CE142" s="100"/>
      <c r="CF142" s="100"/>
      <c r="CG142" s="100"/>
      <c r="CH142" s="100"/>
      <c r="CI142" s="100"/>
      <c r="CJ142" s="100"/>
      <c r="CK142" s="100"/>
      <c r="CL142" s="100"/>
      <c r="CM142" s="100"/>
      <c r="CN142" s="100"/>
      <c r="CO142" s="100"/>
      <c r="CP142" s="100"/>
      <c r="CQ142" s="100"/>
      <c r="CR142" s="100"/>
      <c r="CS142" s="100"/>
      <c r="CT142" s="100"/>
      <c r="CU142" s="100"/>
      <c r="CV142" s="100"/>
      <c r="CW142" s="100"/>
      <c r="CX142" s="100"/>
      <c r="CY142" s="100"/>
      <c r="CZ142" s="100"/>
      <c r="DA142" s="100"/>
      <c r="DB142" s="100"/>
      <c r="DC142" s="100"/>
      <c r="DD142" s="100"/>
      <c r="DE142" s="100"/>
      <c r="DF142" s="100"/>
      <c r="DG142" s="100"/>
      <c r="DH142" s="100"/>
      <c r="DI142" s="100"/>
      <c r="DJ142" s="100"/>
      <c r="DK142" s="100"/>
      <c r="DL142" s="100"/>
      <c r="DM142" s="100"/>
      <c r="DN142" s="100"/>
      <c r="DO142" s="100"/>
      <c r="DP142" s="100"/>
      <c r="DQ142" s="100"/>
      <c r="DR142" s="100"/>
    </row>
    <row r="143" ht="15.75" hidden="1" customHeight="1" outlineLevel="1">
      <c r="B143" s="5" t="s">
        <v>104</v>
      </c>
      <c r="C143" s="72" t="s">
        <v>76</v>
      </c>
      <c r="F143" s="50">
        <f t="shared" ref="F143:M143" si="135">+SUMIFS($AA143:$DR143,$AA$7:$DR$7,F$7)</f>
        <v>87.14898449</v>
      </c>
      <c r="G143" s="50">
        <f t="shared" si="135"/>
        <v>64.78166694</v>
      </c>
      <c r="H143" s="50">
        <f t="shared" si="135"/>
        <v>47.16757616</v>
      </c>
      <c r="I143" s="50">
        <f t="shared" si="135"/>
        <v>0</v>
      </c>
      <c r="J143" s="50">
        <f t="shared" si="135"/>
        <v>0</v>
      </c>
      <c r="K143" s="50">
        <f t="shared" si="135"/>
        <v>0</v>
      </c>
      <c r="L143" s="50">
        <f t="shared" si="135"/>
        <v>0</v>
      </c>
      <c r="M143" s="50">
        <f t="shared" si="135"/>
        <v>0</v>
      </c>
      <c r="AA143" s="51">
        <v>0.8588502437890873</v>
      </c>
      <c r="AB143" s="51">
        <v>1.4480660388075888</v>
      </c>
      <c r="AC143" s="51">
        <v>7.939745772030142</v>
      </c>
      <c r="AD143" s="51">
        <v>6.123876511757624</v>
      </c>
      <c r="AE143" s="51">
        <v>4.369343890639165</v>
      </c>
      <c r="AF143" s="51">
        <v>6.463996292398742</v>
      </c>
      <c r="AG143" s="51">
        <v>10.576290566044094</v>
      </c>
      <c r="AH143" s="51">
        <v>7.524950846816783</v>
      </c>
      <c r="AI143" s="51">
        <v>2.886734903848416</v>
      </c>
      <c r="AJ143" s="51">
        <v>11.17626883635863</v>
      </c>
      <c r="AK143" s="51">
        <v>16.461850755674853</v>
      </c>
      <c r="AL143" s="51">
        <v>11.319009832021022</v>
      </c>
      <c r="AM143" s="51">
        <v>3.8334213723775794</v>
      </c>
      <c r="AN143" s="51">
        <v>7.326068666684129</v>
      </c>
      <c r="AO143" s="51">
        <v>7.0285837881714075</v>
      </c>
      <c r="AP143" s="51">
        <v>4.908355986877124</v>
      </c>
      <c r="AQ143" s="51">
        <v>2.7292138929032554</v>
      </c>
      <c r="AR143" s="51">
        <v>7.586926031034445</v>
      </c>
      <c r="AS143" s="51">
        <v>3.2912919226595276</v>
      </c>
      <c r="AT143" s="51">
        <v>8.896358031389676</v>
      </c>
      <c r="AU143" s="51">
        <v>5.472147476315526</v>
      </c>
      <c r="AV143" s="51">
        <v>7.454128070648113</v>
      </c>
      <c r="AW143" s="51">
        <v>2.2450236922130125</v>
      </c>
      <c r="AX143" s="51">
        <v>4.01014801347832</v>
      </c>
      <c r="AY143" s="51">
        <v>1.045966363742843</v>
      </c>
      <c r="AZ143" s="51">
        <v>1.938748569844805</v>
      </c>
      <c r="BA143" s="51">
        <v>1.9067249546030671</v>
      </c>
      <c r="BB143" s="51">
        <v>4.750164577530872</v>
      </c>
      <c r="BC143" s="51">
        <v>6.409769202884414</v>
      </c>
      <c r="BD143" s="51">
        <v>7.1991080855298595</v>
      </c>
      <c r="BE143" s="51">
        <v>4.117578121202869</v>
      </c>
      <c r="BF143" s="51">
        <v>13.60054470230295</v>
      </c>
      <c r="BG143" s="51">
        <v>3.9451386835529556</v>
      </c>
      <c r="BH143" s="51">
        <v>0.9899037224055146</v>
      </c>
      <c r="BI143" s="51">
        <v>0.7200266481224578</v>
      </c>
      <c r="BJ143" s="51">
        <v>0.5439025279778534</v>
      </c>
      <c r="BK143" s="100"/>
      <c r="BL143" s="100"/>
      <c r="BM143" s="100"/>
      <c r="BN143" s="100"/>
      <c r="BO143" s="100"/>
      <c r="BP143" s="100"/>
      <c r="BQ143" s="100"/>
      <c r="BR143" s="100"/>
      <c r="BS143" s="100"/>
      <c r="BT143" s="100"/>
      <c r="BU143" s="100"/>
      <c r="BV143" s="100"/>
      <c r="BW143" s="100"/>
      <c r="BX143" s="100"/>
      <c r="BY143" s="100"/>
      <c r="BZ143" s="100"/>
      <c r="CA143" s="100"/>
      <c r="CB143" s="100"/>
      <c r="CC143" s="100"/>
      <c r="CD143" s="100"/>
      <c r="CE143" s="100"/>
      <c r="CF143" s="100"/>
      <c r="CG143" s="100"/>
      <c r="CH143" s="100"/>
      <c r="CI143" s="100"/>
      <c r="CJ143" s="100"/>
      <c r="CK143" s="100"/>
      <c r="CL143" s="100"/>
      <c r="CM143" s="100"/>
      <c r="CN143" s="100"/>
      <c r="CO143" s="100"/>
      <c r="CP143" s="100"/>
      <c r="CQ143" s="100"/>
      <c r="CR143" s="100"/>
      <c r="CS143" s="100"/>
      <c r="CT143" s="100"/>
      <c r="CU143" s="100"/>
      <c r="CV143" s="100"/>
      <c r="CW143" s="100"/>
      <c r="CX143" s="100"/>
      <c r="CY143" s="100"/>
      <c r="CZ143" s="100"/>
      <c r="DA143" s="100"/>
      <c r="DB143" s="100"/>
      <c r="DC143" s="100"/>
      <c r="DD143" s="100"/>
      <c r="DE143" s="100"/>
      <c r="DF143" s="100"/>
      <c r="DG143" s="100"/>
      <c r="DH143" s="100"/>
      <c r="DI143" s="100"/>
      <c r="DJ143" s="100"/>
      <c r="DK143" s="100"/>
      <c r="DL143" s="100"/>
      <c r="DM143" s="100"/>
      <c r="DN143" s="100"/>
      <c r="DO143" s="100"/>
      <c r="DP143" s="100"/>
      <c r="DQ143" s="100"/>
      <c r="DR143" s="100"/>
    </row>
    <row r="144" ht="15.75" hidden="1" customHeight="1" outlineLevel="1">
      <c r="B144" s="5" t="s">
        <v>105</v>
      </c>
      <c r="C144" s="72" t="s">
        <v>74</v>
      </c>
      <c r="F144" s="50">
        <f t="shared" ref="F144:M144" si="136">+SUMIFS($AA144:$DR144,$AA$7:$DR$7,F$7)</f>
        <v>0</v>
      </c>
      <c r="G144" s="50">
        <f t="shared" si="136"/>
        <v>9.228538269</v>
      </c>
      <c r="H144" s="50">
        <f t="shared" si="136"/>
        <v>7.147573838</v>
      </c>
      <c r="I144" s="50">
        <f t="shared" si="136"/>
        <v>0</v>
      </c>
      <c r="J144" s="50">
        <f t="shared" si="136"/>
        <v>0</v>
      </c>
      <c r="K144" s="50">
        <f t="shared" si="136"/>
        <v>0</v>
      </c>
      <c r="L144" s="50">
        <f t="shared" si="136"/>
        <v>0</v>
      </c>
      <c r="M144" s="50">
        <f t="shared" si="136"/>
        <v>0</v>
      </c>
      <c r="AA144" s="51">
        <v>0.0</v>
      </c>
      <c r="AB144" s="51">
        <v>0.0</v>
      </c>
      <c r="AC144" s="51">
        <v>0.0</v>
      </c>
      <c r="AD144" s="51">
        <v>0.0</v>
      </c>
      <c r="AE144" s="51">
        <v>0.0</v>
      </c>
      <c r="AF144" s="51">
        <v>0.0</v>
      </c>
      <c r="AG144" s="51">
        <v>0.0</v>
      </c>
      <c r="AH144" s="51">
        <v>0.0</v>
      </c>
      <c r="AI144" s="51">
        <v>0.0</v>
      </c>
      <c r="AJ144" s="51">
        <v>0.0</v>
      </c>
      <c r="AK144" s="51">
        <v>0.0</v>
      </c>
      <c r="AL144" s="51">
        <v>0.0</v>
      </c>
      <c r="AM144" s="51">
        <v>0.0</v>
      </c>
      <c r="AN144" s="51">
        <v>0.0</v>
      </c>
      <c r="AO144" s="51">
        <v>0.09681273197069785</v>
      </c>
      <c r="AP144" s="51">
        <v>0.0</v>
      </c>
      <c r="AQ144" s="51">
        <v>0.2830741615236878</v>
      </c>
      <c r="AR144" s="51">
        <v>0.0</v>
      </c>
      <c r="AS144" s="51">
        <v>0.0</v>
      </c>
      <c r="AT144" s="51">
        <v>1.350703543422359</v>
      </c>
      <c r="AU144" s="51">
        <v>3.0763763502043497</v>
      </c>
      <c r="AV144" s="51">
        <v>1.2297458780355532</v>
      </c>
      <c r="AW144" s="51">
        <v>1.1629921871766185</v>
      </c>
      <c r="AX144" s="51">
        <v>2.028833416252063</v>
      </c>
      <c r="AY144" s="51">
        <v>0.026987433571535293</v>
      </c>
      <c r="AZ144" s="51">
        <v>1.2323895709075938</v>
      </c>
      <c r="BA144" s="51">
        <v>0.33646313592694677</v>
      </c>
      <c r="BB144" s="51">
        <v>0.104275829417216</v>
      </c>
      <c r="BC144" s="51">
        <v>0.5436851043054317</v>
      </c>
      <c r="BD144" s="51">
        <v>0.8388919872828342</v>
      </c>
      <c r="BE144" s="51">
        <v>0.8232380700914305</v>
      </c>
      <c r="BF144" s="51">
        <v>1.5795195633488308</v>
      </c>
      <c r="BG144" s="51">
        <v>0.2831234818040364</v>
      </c>
      <c r="BH144" s="51">
        <v>0.5686574485913124</v>
      </c>
      <c r="BI144" s="51">
        <v>0.2983972955254989</v>
      </c>
      <c r="BJ144" s="51">
        <v>0.5119449174234546</v>
      </c>
      <c r="BK144" s="100"/>
      <c r="BL144" s="100"/>
      <c r="BM144" s="100"/>
      <c r="BN144" s="100"/>
      <c r="BO144" s="100"/>
      <c r="BP144" s="100"/>
      <c r="BQ144" s="100"/>
      <c r="BR144" s="100"/>
      <c r="BS144" s="100"/>
      <c r="BT144" s="100"/>
      <c r="BU144" s="100"/>
      <c r="BV144" s="100"/>
      <c r="BW144" s="100"/>
      <c r="BX144" s="100"/>
      <c r="BY144" s="100"/>
      <c r="BZ144" s="100"/>
      <c r="CA144" s="100"/>
      <c r="CB144" s="100"/>
      <c r="CC144" s="100"/>
      <c r="CD144" s="100"/>
      <c r="CE144" s="100"/>
      <c r="CF144" s="100"/>
      <c r="CG144" s="100"/>
      <c r="CH144" s="100"/>
      <c r="CI144" s="100"/>
      <c r="CJ144" s="100"/>
      <c r="CK144" s="100"/>
      <c r="CL144" s="100"/>
      <c r="CM144" s="100"/>
      <c r="CN144" s="100"/>
      <c r="CO144" s="100"/>
      <c r="CP144" s="100"/>
      <c r="CQ144" s="100"/>
      <c r="CR144" s="100"/>
      <c r="CS144" s="100"/>
      <c r="CT144" s="100"/>
      <c r="CU144" s="100"/>
      <c r="CV144" s="100"/>
      <c r="CW144" s="100"/>
      <c r="CX144" s="100"/>
      <c r="CY144" s="100"/>
      <c r="CZ144" s="100"/>
      <c r="DA144" s="100"/>
      <c r="DB144" s="100"/>
      <c r="DC144" s="100"/>
      <c r="DD144" s="100"/>
      <c r="DE144" s="100"/>
      <c r="DF144" s="100"/>
      <c r="DG144" s="100"/>
      <c r="DH144" s="100"/>
      <c r="DI144" s="100"/>
      <c r="DJ144" s="100"/>
      <c r="DK144" s="100"/>
      <c r="DL144" s="100"/>
      <c r="DM144" s="100"/>
      <c r="DN144" s="100"/>
      <c r="DO144" s="100"/>
      <c r="DP144" s="100"/>
      <c r="DQ144" s="100"/>
      <c r="DR144" s="100"/>
    </row>
    <row r="145" ht="15.75" hidden="1" customHeight="1" outlineLevel="1">
      <c r="B145" s="5" t="s">
        <v>106</v>
      </c>
      <c r="C145" s="72" t="s">
        <v>70</v>
      </c>
      <c r="F145" s="50">
        <f t="shared" ref="F145:M145" si="137">+SUMIFS($AA145:$DR145,$AA$7:$DR$7,F$7)</f>
        <v>0</v>
      </c>
      <c r="G145" s="50">
        <f t="shared" si="137"/>
        <v>1.369398892</v>
      </c>
      <c r="H145" s="50">
        <f t="shared" si="137"/>
        <v>3.640619304</v>
      </c>
      <c r="I145" s="50">
        <f t="shared" si="137"/>
        <v>0</v>
      </c>
      <c r="J145" s="50">
        <f t="shared" si="137"/>
        <v>0</v>
      </c>
      <c r="K145" s="50">
        <f t="shared" si="137"/>
        <v>0</v>
      </c>
      <c r="L145" s="50">
        <f t="shared" si="137"/>
        <v>0</v>
      </c>
      <c r="M145" s="50">
        <f t="shared" si="137"/>
        <v>0</v>
      </c>
      <c r="AA145" s="51">
        <v>0.0</v>
      </c>
      <c r="AB145" s="51">
        <v>0.0</v>
      </c>
      <c r="AC145" s="51">
        <v>0.0</v>
      </c>
      <c r="AD145" s="51">
        <v>0.0</v>
      </c>
      <c r="AE145" s="51">
        <v>0.0</v>
      </c>
      <c r="AF145" s="51">
        <v>0.0</v>
      </c>
      <c r="AG145" s="51">
        <v>0.0</v>
      </c>
      <c r="AH145" s="51">
        <v>0.0</v>
      </c>
      <c r="AI145" s="51">
        <v>0.0</v>
      </c>
      <c r="AJ145" s="51">
        <v>0.0</v>
      </c>
      <c r="AK145" s="51">
        <v>0.0</v>
      </c>
      <c r="AL145" s="51">
        <v>0.0</v>
      </c>
      <c r="AM145" s="51">
        <v>0.0</v>
      </c>
      <c r="AN145" s="51">
        <v>0.0</v>
      </c>
      <c r="AO145" s="51">
        <v>0.0</v>
      </c>
      <c r="AP145" s="51">
        <v>0.0</v>
      </c>
      <c r="AQ145" s="51">
        <v>0.0</v>
      </c>
      <c r="AR145" s="51">
        <v>0.0</v>
      </c>
      <c r="AS145" s="51">
        <v>0.0</v>
      </c>
      <c r="AT145" s="51">
        <v>0.08375979678003088</v>
      </c>
      <c r="AU145" s="51">
        <v>0.0</v>
      </c>
      <c r="AV145" s="51">
        <v>0.15612033833499378</v>
      </c>
      <c r="AW145" s="51">
        <v>0.15732340043682427</v>
      </c>
      <c r="AX145" s="51">
        <v>0.9721953560518019</v>
      </c>
      <c r="AY145" s="51">
        <v>0.6199559361286742</v>
      </c>
      <c r="AZ145" s="51">
        <v>0.8890743689188638</v>
      </c>
      <c r="BA145" s="51">
        <v>0.029704460559899743</v>
      </c>
      <c r="BB145" s="51">
        <v>0.2405955656186552</v>
      </c>
      <c r="BC145" s="51">
        <v>0.7011049126329654</v>
      </c>
      <c r="BD145" s="51">
        <v>0.01697650568181818</v>
      </c>
      <c r="BE145" s="51">
        <v>0.0</v>
      </c>
      <c r="BF145" s="51">
        <v>0.09881202445994412</v>
      </c>
      <c r="BG145" s="51">
        <v>0.17085681453483437</v>
      </c>
      <c r="BH145" s="51">
        <v>0.3902220055268919</v>
      </c>
      <c r="BI145" s="51">
        <v>0.3688151542172767</v>
      </c>
      <c r="BJ145" s="51">
        <v>0.11450155578728671</v>
      </c>
      <c r="BK145" s="100"/>
      <c r="BL145" s="100"/>
      <c r="BM145" s="100"/>
      <c r="BN145" s="100"/>
      <c r="BO145" s="100"/>
      <c r="BP145" s="100"/>
      <c r="BQ145" s="100"/>
      <c r="BR145" s="100"/>
      <c r="BS145" s="100"/>
      <c r="BT145" s="100"/>
      <c r="BU145" s="100"/>
      <c r="BV145" s="100"/>
      <c r="BW145" s="100"/>
      <c r="BX145" s="100"/>
      <c r="BY145" s="100"/>
      <c r="BZ145" s="100"/>
      <c r="CA145" s="100"/>
      <c r="CB145" s="100"/>
      <c r="CC145" s="100"/>
      <c r="CD145" s="100"/>
      <c r="CE145" s="100"/>
      <c r="CF145" s="100"/>
      <c r="CG145" s="100"/>
      <c r="CH145" s="100"/>
      <c r="CI145" s="100"/>
      <c r="CJ145" s="100"/>
      <c r="CK145" s="100"/>
      <c r="CL145" s="100"/>
      <c r="CM145" s="100"/>
      <c r="CN145" s="100"/>
      <c r="CO145" s="100"/>
      <c r="CP145" s="100"/>
      <c r="CQ145" s="100"/>
      <c r="CR145" s="100"/>
      <c r="CS145" s="100"/>
      <c r="CT145" s="100"/>
      <c r="CU145" s="100"/>
      <c r="CV145" s="100"/>
      <c r="CW145" s="100"/>
      <c r="CX145" s="100"/>
      <c r="CY145" s="100"/>
      <c r="CZ145" s="100"/>
      <c r="DA145" s="100"/>
      <c r="DB145" s="100"/>
      <c r="DC145" s="100"/>
      <c r="DD145" s="100"/>
      <c r="DE145" s="100"/>
      <c r="DF145" s="100"/>
      <c r="DG145" s="100"/>
      <c r="DH145" s="100"/>
      <c r="DI145" s="100"/>
      <c r="DJ145" s="100"/>
      <c r="DK145" s="100"/>
      <c r="DL145" s="100"/>
      <c r="DM145" s="100"/>
      <c r="DN145" s="100"/>
      <c r="DO145" s="100"/>
      <c r="DP145" s="100"/>
      <c r="DQ145" s="100"/>
      <c r="DR145" s="100"/>
    </row>
    <row r="146" ht="15.75" hidden="1" customHeight="1" outlineLevel="1">
      <c r="B146" s="5" t="s">
        <v>107</v>
      </c>
      <c r="C146" s="72" t="s">
        <v>82</v>
      </c>
      <c r="F146" s="50">
        <f t="shared" ref="F146:M146" si="138">+SUMIFS($AA146:$DR146,$AA$7:$DR$7,F$7)</f>
        <v>282.5799405</v>
      </c>
      <c r="G146" s="50">
        <f t="shared" si="138"/>
        <v>112.2093746</v>
      </c>
      <c r="H146" s="50">
        <f t="shared" si="138"/>
        <v>231.6373639</v>
      </c>
      <c r="I146" s="50">
        <f t="shared" si="138"/>
        <v>0</v>
      </c>
      <c r="J146" s="50">
        <f t="shared" si="138"/>
        <v>0</v>
      </c>
      <c r="K146" s="50">
        <f t="shared" si="138"/>
        <v>0</v>
      </c>
      <c r="L146" s="50">
        <f t="shared" si="138"/>
        <v>0</v>
      </c>
      <c r="M146" s="50">
        <f t="shared" si="138"/>
        <v>0</v>
      </c>
      <c r="AA146" s="51">
        <v>37.56741179728946</v>
      </c>
      <c r="AB146" s="51">
        <v>40.57669942047937</v>
      </c>
      <c r="AC146" s="51">
        <v>21.316789238800276</v>
      </c>
      <c r="AD146" s="51">
        <v>8.838119185463235</v>
      </c>
      <c r="AE146" s="51">
        <v>20.67381318106713</v>
      </c>
      <c r="AF146" s="51">
        <v>32.55826572920064</v>
      </c>
      <c r="AG146" s="51">
        <v>15.383136138737898</v>
      </c>
      <c r="AH146" s="51">
        <v>11.247757763151782</v>
      </c>
      <c r="AI146" s="51">
        <v>19.126643529791597</v>
      </c>
      <c r="AJ146" s="51">
        <v>31.474548195779153</v>
      </c>
      <c r="AK146" s="51">
        <v>25.30688404703657</v>
      </c>
      <c r="AL146" s="51">
        <v>18.509872274978974</v>
      </c>
      <c r="AM146" s="51">
        <v>13.836544326650152</v>
      </c>
      <c r="AN146" s="51">
        <v>18.503520666237748</v>
      </c>
      <c r="AO146" s="51">
        <v>8.92455278837601</v>
      </c>
      <c r="AP146" s="51">
        <v>6.907740783744555</v>
      </c>
      <c r="AQ146" s="51">
        <v>4.338943996236832</v>
      </c>
      <c r="AR146" s="51">
        <v>9.59895698457181</v>
      </c>
      <c r="AS146" s="51">
        <v>5.416949990636332</v>
      </c>
      <c r="AT146" s="51">
        <v>10.43716556113157</v>
      </c>
      <c r="AU146" s="51">
        <v>6.515935097761609</v>
      </c>
      <c r="AV146" s="51">
        <v>10.161580723145985</v>
      </c>
      <c r="AW146" s="51">
        <v>7.939089681551395</v>
      </c>
      <c r="AX146" s="51">
        <v>9.628394041127589</v>
      </c>
      <c r="AY146" s="51">
        <v>11.854423517126992</v>
      </c>
      <c r="AZ146" s="51">
        <v>24.472100692635493</v>
      </c>
      <c r="BA146" s="51">
        <v>22.47826027904365</v>
      </c>
      <c r="BB146" s="51">
        <v>24.989019144244676</v>
      </c>
      <c r="BC146" s="51">
        <v>19.322001633851844</v>
      </c>
      <c r="BD146" s="51">
        <v>19.550841094546907</v>
      </c>
      <c r="BE146" s="51">
        <v>25.850034955696074</v>
      </c>
      <c r="BF146" s="51">
        <v>31.319888727864694</v>
      </c>
      <c r="BG146" s="51">
        <v>18.199540859156034</v>
      </c>
      <c r="BH146" s="51">
        <v>14.741959767741442</v>
      </c>
      <c r="BI146" s="51">
        <v>8.012383803091025</v>
      </c>
      <c r="BJ146" s="51">
        <v>10.846909421529558</v>
      </c>
      <c r="BK146" s="100"/>
      <c r="BL146" s="100"/>
      <c r="BM146" s="100"/>
      <c r="BN146" s="100"/>
      <c r="BO146" s="100"/>
      <c r="BP146" s="100"/>
      <c r="BQ146" s="100"/>
      <c r="BR146" s="100"/>
      <c r="BS146" s="100"/>
      <c r="BT146" s="100"/>
      <c r="BU146" s="100"/>
      <c r="BV146" s="100"/>
      <c r="BW146" s="100"/>
      <c r="BX146" s="100"/>
      <c r="BY146" s="100"/>
      <c r="BZ146" s="100"/>
      <c r="CA146" s="100"/>
      <c r="CB146" s="100"/>
      <c r="CC146" s="100"/>
      <c r="CD146" s="100"/>
      <c r="CE146" s="100"/>
      <c r="CF146" s="100"/>
      <c r="CG146" s="100"/>
      <c r="CH146" s="100"/>
      <c r="CI146" s="100"/>
      <c r="CJ146" s="100"/>
      <c r="CK146" s="100"/>
      <c r="CL146" s="100"/>
      <c r="CM146" s="100"/>
      <c r="CN146" s="100"/>
      <c r="CO146" s="100"/>
      <c r="CP146" s="100"/>
      <c r="CQ146" s="100"/>
      <c r="CR146" s="100"/>
      <c r="CS146" s="100"/>
      <c r="CT146" s="100"/>
      <c r="CU146" s="100"/>
      <c r="CV146" s="100"/>
      <c r="CW146" s="100"/>
      <c r="CX146" s="100"/>
      <c r="CY146" s="100"/>
      <c r="CZ146" s="100"/>
      <c r="DA146" s="100"/>
      <c r="DB146" s="100"/>
      <c r="DC146" s="100"/>
      <c r="DD146" s="100"/>
      <c r="DE146" s="100"/>
      <c r="DF146" s="100"/>
      <c r="DG146" s="100"/>
      <c r="DH146" s="100"/>
      <c r="DI146" s="100"/>
      <c r="DJ146" s="100"/>
      <c r="DK146" s="100"/>
      <c r="DL146" s="100"/>
      <c r="DM146" s="100"/>
      <c r="DN146" s="100"/>
      <c r="DO146" s="100"/>
      <c r="DP146" s="100"/>
      <c r="DQ146" s="100"/>
      <c r="DR146" s="100"/>
    </row>
    <row r="147" ht="15.75" hidden="1" customHeight="1" outlineLevel="1">
      <c r="B147" s="5" t="s">
        <v>108</v>
      </c>
      <c r="C147" s="72" t="s">
        <v>70</v>
      </c>
      <c r="F147" s="50">
        <f t="shared" ref="F147:M147" si="139">+SUMIFS($AA147:$DR147,$AA$7:$DR$7,F$7)</f>
        <v>1.559881284</v>
      </c>
      <c r="G147" s="50">
        <f t="shared" si="139"/>
        <v>0</v>
      </c>
      <c r="H147" s="50">
        <f t="shared" si="139"/>
        <v>0</v>
      </c>
      <c r="I147" s="50">
        <f t="shared" si="139"/>
        <v>0</v>
      </c>
      <c r="J147" s="50">
        <f t="shared" si="139"/>
        <v>0</v>
      </c>
      <c r="K147" s="50">
        <f t="shared" si="139"/>
        <v>0</v>
      </c>
      <c r="L147" s="50">
        <f t="shared" si="139"/>
        <v>0</v>
      </c>
      <c r="M147" s="50">
        <f t="shared" si="139"/>
        <v>0</v>
      </c>
      <c r="AA147" s="51">
        <v>0.0</v>
      </c>
      <c r="AB147" s="51">
        <v>0.2183096308582123</v>
      </c>
      <c r="AC147" s="51">
        <v>0.0</v>
      </c>
      <c r="AD147" s="51">
        <v>0.0</v>
      </c>
      <c r="AE147" s="51">
        <v>0.0</v>
      </c>
      <c r="AF147" s="51">
        <v>0.0</v>
      </c>
      <c r="AG147" s="51">
        <v>0.0</v>
      </c>
      <c r="AH147" s="51">
        <v>0.38498625457915514</v>
      </c>
      <c r="AI147" s="51">
        <v>0.8709326125724738</v>
      </c>
      <c r="AJ147" s="51">
        <v>0.029632082790280394</v>
      </c>
      <c r="AK147" s="51">
        <v>0.0</v>
      </c>
      <c r="AL147" s="51">
        <v>0.0560207027027027</v>
      </c>
      <c r="AM147" s="51">
        <v>0.0</v>
      </c>
      <c r="AN147" s="51">
        <v>0.0</v>
      </c>
      <c r="AO147" s="51">
        <v>0.0</v>
      </c>
      <c r="AP147" s="51">
        <v>0.0</v>
      </c>
      <c r="AQ147" s="51">
        <v>0.0</v>
      </c>
      <c r="AR147" s="51">
        <v>0.0</v>
      </c>
      <c r="AS147" s="51">
        <v>0.0</v>
      </c>
      <c r="AT147" s="51">
        <v>0.0</v>
      </c>
      <c r="AU147" s="51">
        <v>0.0</v>
      </c>
      <c r="AV147" s="51">
        <v>0.0</v>
      </c>
      <c r="AW147" s="51">
        <v>0.0</v>
      </c>
      <c r="AX147" s="51">
        <v>0.0</v>
      </c>
      <c r="AY147" s="51">
        <v>0.0</v>
      </c>
      <c r="AZ147" s="51">
        <v>0.0</v>
      </c>
      <c r="BA147" s="51">
        <v>0.0</v>
      </c>
      <c r="BB147" s="51">
        <v>0.0</v>
      </c>
      <c r="BC147" s="51">
        <v>0.0</v>
      </c>
      <c r="BD147" s="51">
        <v>0.0</v>
      </c>
      <c r="BE147" s="51">
        <v>0.0</v>
      </c>
      <c r="BF147" s="51">
        <v>0.0</v>
      </c>
      <c r="BG147" s="51">
        <v>0.0</v>
      </c>
      <c r="BH147" s="51">
        <v>0.0</v>
      </c>
      <c r="BI147" s="51">
        <v>0.0</v>
      </c>
      <c r="BJ147" s="51">
        <v>0.0</v>
      </c>
      <c r="BK147" s="100"/>
      <c r="BL147" s="100"/>
      <c r="BM147" s="100"/>
      <c r="BN147" s="100"/>
      <c r="BO147" s="100"/>
      <c r="BP147" s="100"/>
      <c r="BQ147" s="100"/>
      <c r="BR147" s="100"/>
      <c r="BS147" s="100"/>
      <c r="BT147" s="100"/>
      <c r="BU147" s="100"/>
      <c r="BV147" s="100"/>
      <c r="BW147" s="100"/>
      <c r="BX147" s="100"/>
      <c r="BY147" s="100"/>
      <c r="BZ147" s="100"/>
      <c r="CA147" s="100"/>
      <c r="CB147" s="100"/>
      <c r="CC147" s="100"/>
      <c r="CD147" s="100"/>
      <c r="CE147" s="100"/>
      <c r="CF147" s="100"/>
      <c r="CG147" s="100"/>
      <c r="CH147" s="100"/>
      <c r="CI147" s="100"/>
      <c r="CJ147" s="100"/>
      <c r="CK147" s="100"/>
      <c r="CL147" s="100"/>
      <c r="CM147" s="100"/>
      <c r="CN147" s="100"/>
      <c r="CO147" s="100"/>
      <c r="CP147" s="100"/>
      <c r="CQ147" s="100"/>
      <c r="CR147" s="100"/>
      <c r="CS147" s="100"/>
      <c r="CT147" s="100"/>
      <c r="CU147" s="100"/>
      <c r="CV147" s="100"/>
      <c r="CW147" s="100"/>
      <c r="CX147" s="100"/>
      <c r="CY147" s="100"/>
      <c r="CZ147" s="100"/>
      <c r="DA147" s="100"/>
      <c r="DB147" s="100"/>
      <c r="DC147" s="100"/>
      <c r="DD147" s="100"/>
      <c r="DE147" s="100"/>
      <c r="DF147" s="100"/>
      <c r="DG147" s="100"/>
      <c r="DH147" s="100"/>
      <c r="DI147" s="100"/>
      <c r="DJ147" s="100"/>
      <c r="DK147" s="100"/>
      <c r="DL147" s="100"/>
      <c r="DM147" s="100"/>
      <c r="DN147" s="100"/>
      <c r="DO147" s="100"/>
      <c r="DP147" s="100"/>
      <c r="DQ147" s="100"/>
      <c r="DR147" s="100"/>
    </row>
    <row r="148" ht="15.75" hidden="1" customHeight="1" outlineLevel="1">
      <c r="B148" s="5" t="s">
        <v>109</v>
      </c>
      <c r="C148" s="72" t="s">
        <v>70</v>
      </c>
      <c r="F148" s="50">
        <f t="shared" ref="F148:M148" si="140">+SUMIFS($AA148:$DR148,$AA$7:$DR$7,F$7)</f>
        <v>15.89513164</v>
      </c>
      <c r="G148" s="50">
        <f t="shared" si="140"/>
        <v>5.987657409</v>
      </c>
      <c r="H148" s="50">
        <f t="shared" si="140"/>
        <v>0</v>
      </c>
      <c r="I148" s="50">
        <f t="shared" si="140"/>
        <v>0</v>
      </c>
      <c r="J148" s="50">
        <f t="shared" si="140"/>
        <v>0</v>
      </c>
      <c r="K148" s="50">
        <f t="shared" si="140"/>
        <v>0</v>
      </c>
      <c r="L148" s="50">
        <f t="shared" si="140"/>
        <v>0</v>
      </c>
      <c r="M148" s="50">
        <f t="shared" si="140"/>
        <v>0</v>
      </c>
      <c r="AA148" s="51">
        <v>4.012016239609007</v>
      </c>
      <c r="AB148" s="51">
        <v>3.755794722547597</v>
      </c>
      <c r="AC148" s="51">
        <v>0.7610020959673891</v>
      </c>
      <c r="AD148" s="51">
        <v>1.366013339236632</v>
      </c>
      <c r="AE148" s="51">
        <v>0.6406632734406889</v>
      </c>
      <c r="AF148" s="51">
        <v>0.9950008703252159</v>
      </c>
      <c r="AG148" s="51">
        <v>1.3588683162608934</v>
      </c>
      <c r="AH148" s="51">
        <v>1.614411817393608</v>
      </c>
      <c r="AI148" s="51">
        <v>1.2260076455036542</v>
      </c>
      <c r="AJ148" s="51">
        <v>0.1322370746196015</v>
      </c>
      <c r="AK148" s="51">
        <v>0.03311624676590442</v>
      </c>
      <c r="AL148" s="51">
        <v>0.0</v>
      </c>
      <c r="AM148" s="51">
        <v>0.3132772797493527</v>
      </c>
      <c r="AN148" s="51">
        <v>0.11852193955524812</v>
      </c>
      <c r="AO148" s="51">
        <v>0.6627359817393694</v>
      </c>
      <c r="AP148" s="51">
        <v>0.04767030497237569</v>
      </c>
      <c r="AQ148" s="51">
        <v>3.72050017623551</v>
      </c>
      <c r="AR148" s="51">
        <v>0.71358895069242</v>
      </c>
      <c r="AS148" s="51">
        <v>0.3667118981461317</v>
      </c>
      <c r="AT148" s="51">
        <v>0.03882862964107575</v>
      </c>
      <c r="AU148" s="51">
        <v>0.005822248689711131</v>
      </c>
      <c r="AV148" s="51">
        <v>0.0</v>
      </c>
      <c r="AW148" s="51">
        <v>0.0</v>
      </c>
      <c r="AX148" s="51">
        <v>0.0</v>
      </c>
      <c r="AY148" s="51">
        <v>0.0</v>
      </c>
      <c r="AZ148" s="51">
        <v>0.0</v>
      </c>
      <c r="BA148" s="51">
        <v>0.0</v>
      </c>
      <c r="BB148" s="51">
        <v>0.0</v>
      </c>
      <c r="BC148" s="51">
        <v>0.0</v>
      </c>
      <c r="BD148" s="51">
        <v>0.0</v>
      </c>
      <c r="BE148" s="51">
        <v>0.0</v>
      </c>
      <c r="BF148" s="51">
        <v>0.0</v>
      </c>
      <c r="BG148" s="51">
        <v>0.0</v>
      </c>
      <c r="BH148" s="51">
        <v>0.0</v>
      </c>
      <c r="BI148" s="51">
        <v>0.0</v>
      </c>
      <c r="BJ148" s="51">
        <v>0.0</v>
      </c>
      <c r="BK148" s="100"/>
      <c r="BL148" s="100"/>
      <c r="BM148" s="100"/>
      <c r="BN148" s="100"/>
      <c r="BO148" s="100"/>
      <c r="BP148" s="100"/>
      <c r="BQ148" s="100"/>
      <c r="BR148" s="100"/>
      <c r="BS148" s="100"/>
      <c r="BT148" s="100"/>
      <c r="BU148" s="100"/>
      <c r="BV148" s="100"/>
      <c r="BW148" s="100"/>
      <c r="BX148" s="100"/>
      <c r="BY148" s="100"/>
      <c r="BZ148" s="100"/>
      <c r="CA148" s="100"/>
      <c r="CB148" s="100"/>
      <c r="CC148" s="100"/>
      <c r="CD148" s="100"/>
      <c r="CE148" s="100"/>
      <c r="CF148" s="100"/>
      <c r="CG148" s="100"/>
      <c r="CH148" s="100"/>
      <c r="CI148" s="100"/>
      <c r="CJ148" s="100"/>
      <c r="CK148" s="100"/>
      <c r="CL148" s="100"/>
      <c r="CM148" s="100"/>
      <c r="CN148" s="100"/>
      <c r="CO148" s="100"/>
      <c r="CP148" s="100"/>
      <c r="CQ148" s="100"/>
      <c r="CR148" s="100"/>
      <c r="CS148" s="100"/>
      <c r="CT148" s="100"/>
      <c r="CU148" s="100"/>
      <c r="CV148" s="100"/>
      <c r="CW148" s="100"/>
      <c r="CX148" s="100"/>
      <c r="CY148" s="100"/>
      <c r="CZ148" s="100"/>
      <c r="DA148" s="100"/>
      <c r="DB148" s="100"/>
      <c r="DC148" s="100"/>
      <c r="DD148" s="100"/>
      <c r="DE148" s="100"/>
      <c r="DF148" s="100"/>
      <c r="DG148" s="100"/>
      <c r="DH148" s="100"/>
      <c r="DI148" s="100"/>
      <c r="DJ148" s="100"/>
      <c r="DK148" s="100"/>
      <c r="DL148" s="100"/>
      <c r="DM148" s="100"/>
      <c r="DN148" s="100"/>
      <c r="DO148" s="100"/>
      <c r="DP148" s="100"/>
      <c r="DQ148" s="100"/>
      <c r="DR148" s="100"/>
    </row>
    <row r="149" ht="15.75" hidden="1" customHeight="1" outlineLevel="1">
      <c r="B149" s="5" t="s">
        <v>110</v>
      </c>
      <c r="C149" s="72" t="s">
        <v>70</v>
      </c>
      <c r="F149" s="50">
        <f t="shared" ref="F149:M149" si="141">+SUMIFS($AA149:$DR149,$AA$7:$DR$7,F$7)</f>
        <v>1.444068691</v>
      </c>
      <c r="G149" s="50">
        <f t="shared" si="141"/>
        <v>1.567038406</v>
      </c>
      <c r="H149" s="50">
        <f t="shared" si="141"/>
        <v>0.1301284508</v>
      </c>
      <c r="I149" s="50">
        <f t="shared" si="141"/>
        <v>0</v>
      </c>
      <c r="J149" s="50">
        <f t="shared" si="141"/>
        <v>0</v>
      </c>
      <c r="K149" s="50">
        <f t="shared" si="141"/>
        <v>0</v>
      </c>
      <c r="L149" s="50">
        <f t="shared" si="141"/>
        <v>0</v>
      </c>
      <c r="M149" s="50">
        <f t="shared" si="141"/>
        <v>0</v>
      </c>
      <c r="AA149" s="51">
        <v>0.8961844129788992</v>
      </c>
      <c r="AB149" s="51">
        <v>0.017654267475853466</v>
      </c>
      <c r="AC149" s="51">
        <v>0.16939385253766578</v>
      </c>
      <c r="AD149" s="51">
        <v>0.03810073856620097</v>
      </c>
      <c r="AE149" s="51">
        <v>0.012609922597767454</v>
      </c>
      <c r="AF149" s="51">
        <v>0.0</v>
      </c>
      <c r="AG149" s="51">
        <v>0.0</v>
      </c>
      <c r="AH149" s="51">
        <v>0.2271919455113509</v>
      </c>
      <c r="AI149" s="51">
        <v>0.08293355107522439</v>
      </c>
      <c r="AJ149" s="51">
        <v>0.0</v>
      </c>
      <c r="AK149" s="51">
        <v>0.0</v>
      </c>
      <c r="AL149" s="51">
        <v>0.0</v>
      </c>
      <c r="AM149" s="51">
        <v>0.032478849453464756</v>
      </c>
      <c r="AN149" s="51">
        <v>0.1805743874852875</v>
      </c>
      <c r="AO149" s="51">
        <v>0.004271656172317175</v>
      </c>
      <c r="AP149" s="51">
        <v>0.9546365875299867</v>
      </c>
      <c r="AQ149" s="51">
        <v>0.1178711274432589</v>
      </c>
      <c r="AR149" s="51">
        <v>0.04119450143123967</v>
      </c>
      <c r="AS149" s="51">
        <v>0.005168439618547005</v>
      </c>
      <c r="AT149" s="51">
        <v>0.02775905116894952</v>
      </c>
      <c r="AU149" s="51">
        <v>0.025328708157111298</v>
      </c>
      <c r="AV149" s="51">
        <v>0.05625480518957349</v>
      </c>
      <c r="AW149" s="51">
        <v>0.08326013509582308</v>
      </c>
      <c r="AX149" s="51">
        <v>0.03824015711231281</v>
      </c>
      <c r="AY149" s="51">
        <v>0.0</v>
      </c>
      <c r="AZ149" s="51">
        <v>0.022914970994026135</v>
      </c>
      <c r="BA149" s="51">
        <v>0.0</v>
      </c>
      <c r="BB149" s="51">
        <v>0.10721347983551904</v>
      </c>
      <c r="BC149" s="51">
        <v>0.0</v>
      </c>
      <c r="BD149" s="51">
        <v>0.0</v>
      </c>
      <c r="BE149" s="51">
        <v>0.0</v>
      </c>
      <c r="BF149" s="51">
        <v>0.0</v>
      </c>
      <c r="BG149" s="51">
        <v>0.0</v>
      </c>
      <c r="BH149" s="51">
        <v>0.0</v>
      </c>
      <c r="BI149" s="51">
        <v>0.0</v>
      </c>
      <c r="BJ149" s="51">
        <v>0.0</v>
      </c>
      <c r="BK149" s="100"/>
      <c r="BL149" s="100"/>
      <c r="BM149" s="100"/>
      <c r="BN149" s="100"/>
      <c r="BO149" s="100"/>
      <c r="BP149" s="100"/>
      <c r="BQ149" s="100"/>
      <c r="BR149" s="100"/>
      <c r="BS149" s="100"/>
      <c r="BT149" s="100"/>
      <c r="BU149" s="100"/>
      <c r="BV149" s="100"/>
      <c r="BW149" s="100"/>
      <c r="BX149" s="100"/>
      <c r="BY149" s="100"/>
      <c r="BZ149" s="100"/>
      <c r="CA149" s="100"/>
      <c r="CB149" s="100"/>
      <c r="CC149" s="100"/>
      <c r="CD149" s="100"/>
      <c r="CE149" s="100"/>
      <c r="CF149" s="100"/>
      <c r="CG149" s="100"/>
      <c r="CH149" s="100"/>
      <c r="CI149" s="100"/>
      <c r="CJ149" s="100"/>
      <c r="CK149" s="100"/>
      <c r="CL149" s="100"/>
      <c r="CM149" s="100"/>
      <c r="CN149" s="100"/>
      <c r="CO149" s="100"/>
      <c r="CP149" s="100"/>
      <c r="CQ149" s="100"/>
      <c r="CR149" s="100"/>
      <c r="CS149" s="100"/>
      <c r="CT149" s="100"/>
      <c r="CU149" s="100"/>
      <c r="CV149" s="100"/>
      <c r="CW149" s="100"/>
      <c r="CX149" s="100"/>
      <c r="CY149" s="100"/>
      <c r="CZ149" s="100"/>
      <c r="DA149" s="100"/>
      <c r="DB149" s="100"/>
      <c r="DC149" s="100"/>
      <c r="DD149" s="100"/>
      <c r="DE149" s="100"/>
      <c r="DF149" s="100"/>
      <c r="DG149" s="100"/>
      <c r="DH149" s="100"/>
      <c r="DI149" s="100"/>
      <c r="DJ149" s="100"/>
      <c r="DK149" s="100"/>
      <c r="DL149" s="100"/>
      <c r="DM149" s="100"/>
      <c r="DN149" s="100"/>
      <c r="DO149" s="100"/>
      <c r="DP149" s="100"/>
      <c r="DQ149" s="100"/>
      <c r="DR149" s="100"/>
    </row>
    <row r="150" ht="15.75" hidden="1" customHeight="1" outlineLevel="1">
      <c r="B150" s="5" t="s">
        <v>111</v>
      </c>
      <c r="C150" s="72" t="s">
        <v>70</v>
      </c>
      <c r="F150" s="50">
        <f t="shared" ref="F150:M150" si="142">+SUMIFS($AA150:$DR150,$AA$7:$DR$7,F$7)</f>
        <v>1.051167065</v>
      </c>
      <c r="G150" s="50">
        <f t="shared" si="142"/>
        <v>0</v>
      </c>
      <c r="H150" s="50">
        <f t="shared" si="142"/>
        <v>0</v>
      </c>
      <c r="I150" s="50">
        <f t="shared" si="142"/>
        <v>0</v>
      </c>
      <c r="J150" s="50">
        <f t="shared" si="142"/>
        <v>0</v>
      </c>
      <c r="K150" s="50">
        <f t="shared" si="142"/>
        <v>0</v>
      </c>
      <c r="L150" s="50">
        <f t="shared" si="142"/>
        <v>0</v>
      </c>
      <c r="M150" s="50">
        <f t="shared" si="142"/>
        <v>0</v>
      </c>
      <c r="AA150" s="51">
        <v>0.5785830988671002</v>
      </c>
      <c r="AB150" s="51">
        <v>0.28276414190706184</v>
      </c>
      <c r="AC150" s="51">
        <v>0.07897003411928911</v>
      </c>
      <c r="AD150" s="51">
        <v>0.01056637523362142</v>
      </c>
      <c r="AE150" s="51">
        <v>0.10028341463414633</v>
      </c>
      <c r="AF150" s="51">
        <v>0.0</v>
      </c>
      <c r="AG150" s="51">
        <v>0.0</v>
      </c>
      <c r="AH150" s="51">
        <v>0.0</v>
      </c>
      <c r="AI150" s="51">
        <v>0.0</v>
      </c>
      <c r="AJ150" s="51">
        <v>0.0</v>
      </c>
      <c r="AK150" s="51">
        <v>0.0</v>
      </c>
      <c r="AL150" s="51">
        <v>0.0</v>
      </c>
      <c r="AM150" s="51">
        <v>0.0</v>
      </c>
      <c r="AN150" s="51">
        <v>0.0</v>
      </c>
      <c r="AO150" s="51">
        <v>0.0</v>
      </c>
      <c r="AP150" s="51">
        <v>0.0</v>
      </c>
      <c r="AQ150" s="51">
        <v>0.0</v>
      </c>
      <c r="AR150" s="51">
        <v>0.0</v>
      </c>
      <c r="AS150" s="51">
        <v>0.0</v>
      </c>
      <c r="AT150" s="51">
        <v>0.0</v>
      </c>
      <c r="AU150" s="51">
        <v>0.0</v>
      </c>
      <c r="AV150" s="51">
        <v>0.0</v>
      </c>
      <c r="AW150" s="51">
        <v>0.0</v>
      </c>
      <c r="AX150" s="51">
        <v>0.0</v>
      </c>
      <c r="AY150" s="51">
        <v>0.0</v>
      </c>
      <c r="AZ150" s="51">
        <v>0.0</v>
      </c>
      <c r="BA150" s="51">
        <v>0.0</v>
      </c>
      <c r="BB150" s="51">
        <v>0.0</v>
      </c>
      <c r="BC150" s="51">
        <v>0.0</v>
      </c>
      <c r="BD150" s="51">
        <v>0.0</v>
      </c>
      <c r="BE150" s="51">
        <v>0.0</v>
      </c>
      <c r="BF150" s="51">
        <v>0.0</v>
      </c>
      <c r="BG150" s="51">
        <v>0.0</v>
      </c>
      <c r="BH150" s="51">
        <v>0.0</v>
      </c>
      <c r="BI150" s="51">
        <v>0.0</v>
      </c>
      <c r="BJ150" s="51">
        <v>0.0</v>
      </c>
      <c r="BK150" s="100"/>
      <c r="BL150" s="100"/>
      <c r="BM150" s="100"/>
      <c r="BN150" s="100"/>
      <c r="BO150" s="100"/>
      <c r="BP150" s="100"/>
      <c r="BQ150" s="100"/>
      <c r="BR150" s="100"/>
      <c r="BS150" s="100"/>
      <c r="BT150" s="100"/>
      <c r="BU150" s="100"/>
      <c r="BV150" s="100"/>
      <c r="BW150" s="100"/>
      <c r="BX150" s="100"/>
      <c r="BY150" s="100"/>
      <c r="BZ150" s="100"/>
      <c r="CA150" s="100"/>
      <c r="CB150" s="100"/>
      <c r="CC150" s="100"/>
      <c r="CD150" s="100"/>
      <c r="CE150" s="100"/>
      <c r="CF150" s="100"/>
      <c r="CG150" s="100"/>
      <c r="CH150" s="100"/>
      <c r="CI150" s="100"/>
      <c r="CJ150" s="100"/>
      <c r="CK150" s="100"/>
      <c r="CL150" s="100"/>
      <c r="CM150" s="100"/>
      <c r="CN150" s="100"/>
      <c r="CO150" s="100"/>
      <c r="CP150" s="100"/>
      <c r="CQ150" s="100"/>
      <c r="CR150" s="100"/>
      <c r="CS150" s="100"/>
      <c r="CT150" s="100"/>
      <c r="CU150" s="100"/>
      <c r="CV150" s="100"/>
      <c r="CW150" s="100"/>
      <c r="CX150" s="100"/>
      <c r="CY150" s="100"/>
      <c r="CZ150" s="100"/>
      <c r="DA150" s="100"/>
      <c r="DB150" s="100"/>
      <c r="DC150" s="100"/>
      <c r="DD150" s="100"/>
      <c r="DE150" s="100"/>
      <c r="DF150" s="100"/>
      <c r="DG150" s="100"/>
      <c r="DH150" s="100"/>
      <c r="DI150" s="100"/>
      <c r="DJ150" s="100"/>
      <c r="DK150" s="100"/>
      <c r="DL150" s="100"/>
      <c r="DM150" s="100"/>
      <c r="DN150" s="100"/>
      <c r="DO150" s="100"/>
      <c r="DP150" s="100"/>
      <c r="DQ150" s="100"/>
      <c r="DR150" s="100"/>
    </row>
    <row r="151" ht="15.75" hidden="1" customHeight="1" outlineLevel="1">
      <c r="B151" s="5" t="s">
        <v>112</v>
      </c>
      <c r="C151" s="72" t="s">
        <v>70</v>
      </c>
      <c r="F151" s="50">
        <f t="shared" ref="F151:M151" si="143">+SUMIFS($AA151:$DR151,$AA$7:$DR$7,F$7)</f>
        <v>0.2097368761</v>
      </c>
      <c r="G151" s="50">
        <f t="shared" si="143"/>
        <v>0.151708522</v>
      </c>
      <c r="H151" s="50">
        <f t="shared" si="143"/>
        <v>0</v>
      </c>
      <c r="I151" s="50">
        <f t="shared" si="143"/>
        <v>0</v>
      </c>
      <c r="J151" s="50">
        <f t="shared" si="143"/>
        <v>0</v>
      </c>
      <c r="K151" s="50">
        <f t="shared" si="143"/>
        <v>0</v>
      </c>
      <c r="L151" s="50">
        <f t="shared" si="143"/>
        <v>0</v>
      </c>
      <c r="M151" s="50">
        <f t="shared" si="143"/>
        <v>0</v>
      </c>
      <c r="AA151" s="51">
        <v>0.0</v>
      </c>
      <c r="AB151" s="51">
        <v>0.06789884057971016</v>
      </c>
      <c r="AC151" s="51">
        <v>0.013366462196861627</v>
      </c>
      <c r="AD151" s="51">
        <v>0.0638275204359673</v>
      </c>
      <c r="AE151" s="51">
        <v>0.0</v>
      </c>
      <c r="AF151" s="51">
        <v>0.014132564102564102</v>
      </c>
      <c r="AG151" s="51">
        <v>0.0</v>
      </c>
      <c r="AH151" s="51">
        <v>0.0</v>
      </c>
      <c r="AI151" s="51">
        <v>0.0</v>
      </c>
      <c r="AJ151" s="51">
        <v>0.050511488742664326</v>
      </c>
      <c r="AK151" s="51">
        <v>0.0</v>
      </c>
      <c r="AL151" s="51">
        <v>0.0</v>
      </c>
      <c r="AM151" s="51">
        <v>0.0</v>
      </c>
      <c r="AN151" s="51">
        <v>0.09603352005260511</v>
      </c>
      <c r="AO151" s="51">
        <v>0.0</v>
      </c>
      <c r="AP151" s="51">
        <v>0.004521990580964876</v>
      </c>
      <c r="AQ151" s="51">
        <v>0.00938153999421628</v>
      </c>
      <c r="AR151" s="51">
        <v>0.0</v>
      </c>
      <c r="AS151" s="51">
        <v>0.0</v>
      </c>
      <c r="AT151" s="51">
        <v>0.0</v>
      </c>
      <c r="AU151" s="51">
        <v>0.0</v>
      </c>
      <c r="AV151" s="51">
        <v>0.0</v>
      </c>
      <c r="AW151" s="51">
        <v>0.03313163112063567</v>
      </c>
      <c r="AX151" s="51">
        <v>0.008639840301519076</v>
      </c>
      <c r="AY151" s="51">
        <v>0.0</v>
      </c>
      <c r="AZ151" s="51">
        <v>0.0</v>
      </c>
      <c r="BA151" s="51">
        <v>0.0</v>
      </c>
      <c r="BB151" s="51">
        <v>0.0</v>
      </c>
      <c r="BC151" s="51">
        <v>0.0</v>
      </c>
      <c r="BD151" s="51">
        <v>0.0</v>
      </c>
      <c r="BE151" s="51">
        <v>0.0</v>
      </c>
      <c r="BF151" s="51">
        <v>0.0</v>
      </c>
      <c r="BG151" s="51">
        <v>0.0</v>
      </c>
      <c r="BH151" s="51">
        <v>0.0</v>
      </c>
      <c r="BI151" s="51">
        <v>0.0</v>
      </c>
      <c r="BJ151" s="51">
        <v>0.0</v>
      </c>
      <c r="BK151" s="100"/>
      <c r="BL151" s="100"/>
      <c r="BM151" s="100"/>
      <c r="BN151" s="100"/>
      <c r="BO151" s="100"/>
      <c r="BP151" s="100"/>
      <c r="BQ151" s="100"/>
      <c r="BR151" s="100"/>
      <c r="BS151" s="100"/>
      <c r="BT151" s="100"/>
      <c r="BU151" s="100"/>
      <c r="BV151" s="100"/>
      <c r="BW151" s="100"/>
      <c r="BX151" s="100"/>
      <c r="BY151" s="100"/>
      <c r="BZ151" s="100"/>
      <c r="CA151" s="100"/>
      <c r="CB151" s="100"/>
      <c r="CC151" s="100"/>
      <c r="CD151" s="100"/>
      <c r="CE151" s="100"/>
      <c r="CF151" s="100"/>
      <c r="CG151" s="100"/>
      <c r="CH151" s="100"/>
      <c r="CI151" s="100"/>
      <c r="CJ151" s="100"/>
      <c r="CK151" s="100"/>
      <c r="CL151" s="100"/>
      <c r="CM151" s="100"/>
      <c r="CN151" s="100"/>
      <c r="CO151" s="100"/>
      <c r="CP151" s="100"/>
      <c r="CQ151" s="100"/>
      <c r="CR151" s="100"/>
      <c r="CS151" s="100"/>
      <c r="CT151" s="100"/>
      <c r="CU151" s="100"/>
      <c r="CV151" s="100"/>
      <c r="CW151" s="100"/>
      <c r="CX151" s="100"/>
      <c r="CY151" s="100"/>
      <c r="CZ151" s="100"/>
      <c r="DA151" s="100"/>
      <c r="DB151" s="100"/>
      <c r="DC151" s="100"/>
      <c r="DD151" s="100"/>
      <c r="DE151" s="100"/>
      <c r="DF151" s="100"/>
      <c r="DG151" s="100"/>
      <c r="DH151" s="100"/>
      <c r="DI151" s="100"/>
      <c r="DJ151" s="100"/>
      <c r="DK151" s="100"/>
      <c r="DL151" s="100"/>
      <c r="DM151" s="100"/>
      <c r="DN151" s="100"/>
      <c r="DO151" s="100"/>
      <c r="DP151" s="100"/>
      <c r="DQ151" s="100"/>
      <c r="DR151" s="100"/>
    </row>
    <row r="152" ht="15.75" hidden="1" customHeight="1" outlineLevel="1">
      <c r="B152" s="5" t="s">
        <v>113</v>
      </c>
      <c r="C152" s="72" t="s">
        <v>70</v>
      </c>
      <c r="F152" s="50">
        <f t="shared" ref="F152:M152" si="144">+SUMIFS($AA152:$DR152,$AA$7:$DR$7,F$7)</f>
        <v>0.6385438034</v>
      </c>
      <c r="G152" s="50">
        <f t="shared" si="144"/>
        <v>1.346336455</v>
      </c>
      <c r="H152" s="50">
        <f t="shared" si="144"/>
        <v>0</v>
      </c>
      <c r="I152" s="50">
        <f t="shared" si="144"/>
        <v>0</v>
      </c>
      <c r="J152" s="50">
        <f t="shared" si="144"/>
        <v>0</v>
      </c>
      <c r="K152" s="50">
        <f t="shared" si="144"/>
        <v>0</v>
      </c>
      <c r="L152" s="50">
        <f t="shared" si="144"/>
        <v>0</v>
      </c>
      <c r="M152" s="50">
        <f t="shared" si="144"/>
        <v>0</v>
      </c>
      <c r="AA152" s="51">
        <v>0.010769361413043478</v>
      </c>
      <c r="AB152" s="51">
        <v>0.27596645044692086</v>
      </c>
      <c r="AC152" s="51">
        <v>0.1253456149182362</v>
      </c>
      <c r="AD152" s="51">
        <v>0.0</v>
      </c>
      <c r="AE152" s="51">
        <v>0.10532500289668548</v>
      </c>
      <c r="AF152" s="51">
        <v>0.0</v>
      </c>
      <c r="AG152" s="51">
        <v>0.0</v>
      </c>
      <c r="AH152" s="51">
        <v>0.0</v>
      </c>
      <c r="AI152" s="51">
        <v>0.004394859014236651</v>
      </c>
      <c r="AJ152" s="51">
        <v>0.11674251471637287</v>
      </c>
      <c r="AK152" s="51">
        <v>0.0</v>
      </c>
      <c r="AL152" s="51">
        <v>0.0</v>
      </c>
      <c r="AM152" s="51">
        <v>0.0</v>
      </c>
      <c r="AN152" s="51">
        <v>0.05113533121084631</v>
      </c>
      <c r="AO152" s="51">
        <v>0.13504269797544002</v>
      </c>
      <c r="AP152" s="51">
        <v>0.0</v>
      </c>
      <c r="AQ152" s="51">
        <v>0.06660400406348556</v>
      </c>
      <c r="AR152" s="51">
        <v>0.16135354809939692</v>
      </c>
      <c r="AS152" s="51">
        <v>0.02760977983862628</v>
      </c>
      <c r="AT152" s="51">
        <v>0.6967920640381047</v>
      </c>
      <c r="AU152" s="51">
        <v>0.08759685596956121</v>
      </c>
      <c r="AV152" s="51">
        <v>0.10543672509078877</v>
      </c>
      <c r="AW152" s="51">
        <v>0.01476544913103012</v>
      </c>
      <c r="AX152" s="51">
        <v>0.0</v>
      </c>
      <c r="AY152" s="51">
        <v>0.0</v>
      </c>
      <c r="AZ152" s="51">
        <v>0.0</v>
      </c>
      <c r="BA152" s="51">
        <v>0.0</v>
      </c>
      <c r="BB152" s="51">
        <v>0.0</v>
      </c>
      <c r="BC152" s="51">
        <v>0.0</v>
      </c>
      <c r="BD152" s="51">
        <v>0.0</v>
      </c>
      <c r="BE152" s="51">
        <v>0.0</v>
      </c>
      <c r="BF152" s="51">
        <v>0.0</v>
      </c>
      <c r="BG152" s="51">
        <v>0.0</v>
      </c>
      <c r="BH152" s="51">
        <v>0.0</v>
      </c>
      <c r="BI152" s="51">
        <v>0.0</v>
      </c>
      <c r="BJ152" s="51">
        <v>0.0</v>
      </c>
      <c r="BK152" s="100"/>
      <c r="BL152" s="100"/>
      <c r="BM152" s="100"/>
      <c r="BN152" s="100"/>
      <c r="BO152" s="100"/>
      <c r="BP152" s="100"/>
      <c r="BQ152" s="100"/>
      <c r="BR152" s="100"/>
      <c r="BS152" s="100"/>
      <c r="BT152" s="100"/>
      <c r="BU152" s="100"/>
      <c r="BV152" s="100"/>
      <c r="BW152" s="100"/>
      <c r="BX152" s="100"/>
      <c r="BY152" s="100"/>
      <c r="BZ152" s="100"/>
      <c r="CA152" s="100"/>
      <c r="CB152" s="100"/>
      <c r="CC152" s="100"/>
      <c r="CD152" s="100"/>
      <c r="CE152" s="100"/>
      <c r="CF152" s="100"/>
      <c r="CG152" s="100"/>
      <c r="CH152" s="100"/>
      <c r="CI152" s="100"/>
      <c r="CJ152" s="100"/>
      <c r="CK152" s="100"/>
      <c r="CL152" s="100"/>
      <c r="CM152" s="100"/>
      <c r="CN152" s="100"/>
      <c r="CO152" s="100"/>
      <c r="CP152" s="100"/>
      <c r="CQ152" s="100"/>
      <c r="CR152" s="100"/>
      <c r="CS152" s="100"/>
      <c r="CT152" s="100"/>
      <c r="CU152" s="100"/>
      <c r="CV152" s="100"/>
      <c r="CW152" s="100"/>
      <c r="CX152" s="100"/>
      <c r="CY152" s="100"/>
      <c r="CZ152" s="100"/>
      <c r="DA152" s="100"/>
      <c r="DB152" s="100"/>
      <c r="DC152" s="100"/>
      <c r="DD152" s="100"/>
      <c r="DE152" s="100"/>
      <c r="DF152" s="100"/>
      <c r="DG152" s="100"/>
      <c r="DH152" s="100"/>
      <c r="DI152" s="100"/>
      <c r="DJ152" s="100"/>
      <c r="DK152" s="100"/>
      <c r="DL152" s="100"/>
      <c r="DM152" s="100"/>
      <c r="DN152" s="100"/>
      <c r="DO152" s="100"/>
      <c r="DP152" s="100"/>
      <c r="DQ152" s="100"/>
      <c r="DR152" s="100"/>
    </row>
    <row r="153" ht="15.75" hidden="1" customHeight="1" outlineLevel="1">
      <c r="B153" s="5" t="s">
        <v>114</v>
      </c>
      <c r="C153" s="72" t="s">
        <v>70</v>
      </c>
      <c r="F153" s="50">
        <f t="shared" ref="F153:M153" si="145">+SUMIFS($AA153:$DR153,$AA$7:$DR$7,F$7)</f>
        <v>0</v>
      </c>
      <c r="G153" s="50">
        <f t="shared" si="145"/>
        <v>0</v>
      </c>
      <c r="H153" s="50">
        <f t="shared" si="145"/>
        <v>0</v>
      </c>
      <c r="I153" s="50">
        <f t="shared" si="145"/>
        <v>0</v>
      </c>
      <c r="J153" s="50">
        <f t="shared" si="145"/>
        <v>0</v>
      </c>
      <c r="K153" s="50">
        <f t="shared" si="145"/>
        <v>0</v>
      </c>
      <c r="L153" s="50">
        <f t="shared" si="145"/>
        <v>0</v>
      </c>
      <c r="M153" s="50">
        <f t="shared" si="145"/>
        <v>0</v>
      </c>
      <c r="AA153" s="51">
        <v>0.0</v>
      </c>
      <c r="AB153" s="51">
        <v>0.0</v>
      </c>
      <c r="AC153" s="51">
        <v>0.0</v>
      </c>
      <c r="AD153" s="51">
        <v>0.0</v>
      </c>
      <c r="AE153" s="51">
        <v>0.0</v>
      </c>
      <c r="AF153" s="51">
        <v>0.0</v>
      </c>
      <c r="AG153" s="51">
        <v>0.0</v>
      </c>
      <c r="AH153" s="51">
        <v>0.0</v>
      </c>
      <c r="AI153" s="51">
        <v>0.0</v>
      </c>
      <c r="AJ153" s="51">
        <v>0.0</v>
      </c>
      <c r="AK153" s="51">
        <v>0.0</v>
      </c>
      <c r="AL153" s="51">
        <v>0.0</v>
      </c>
      <c r="AM153" s="51">
        <v>0.0</v>
      </c>
      <c r="AN153" s="51">
        <v>0.0</v>
      </c>
      <c r="AO153" s="51">
        <v>0.0</v>
      </c>
      <c r="AP153" s="51">
        <v>0.0</v>
      </c>
      <c r="AQ153" s="51">
        <v>0.0</v>
      </c>
      <c r="AR153" s="51">
        <v>0.0</v>
      </c>
      <c r="AS153" s="51">
        <v>0.0</v>
      </c>
      <c r="AT153" s="51">
        <v>0.0</v>
      </c>
      <c r="AU153" s="51">
        <v>0.0</v>
      </c>
      <c r="AV153" s="51">
        <v>0.0</v>
      </c>
      <c r="AW153" s="51">
        <v>0.0</v>
      </c>
      <c r="AX153" s="51">
        <v>0.0</v>
      </c>
      <c r="AY153" s="51">
        <v>0.0</v>
      </c>
      <c r="AZ153" s="51">
        <v>0.0</v>
      </c>
      <c r="BA153" s="51">
        <v>0.0</v>
      </c>
      <c r="BB153" s="51">
        <v>0.0</v>
      </c>
      <c r="BC153" s="51">
        <v>0.0</v>
      </c>
      <c r="BD153" s="51">
        <v>0.0</v>
      </c>
      <c r="BE153" s="51">
        <v>0.0</v>
      </c>
      <c r="BF153" s="51">
        <v>0.0</v>
      </c>
      <c r="BG153" s="51">
        <v>0.0</v>
      </c>
      <c r="BH153" s="51">
        <v>0.0</v>
      </c>
      <c r="BI153" s="51">
        <v>0.0</v>
      </c>
      <c r="BJ153" s="51">
        <v>0.0</v>
      </c>
      <c r="BK153" s="100"/>
      <c r="BL153" s="100"/>
      <c r="BM153" s="100"/>
      <c r="BN153" s="100"/>
      <c r="BO153" s="100"/>
      <c r="BP153" s="100"/>
      <c r="BQ153" s="100"/>
      <c r="BR153" s="100"/>
      <c r="BS153" s="100"/>
      <c r="BT153" s="100"/>
      <c r="BU153" s="100"/>
      <c r="BV153" s="100"/>
      <c r="BW153" s="100"/>
      <c r="BX153" s="100"/>
      <c r="BY153" s="100"/>
      <c r="BZ153" s="100"/>
      <c r="CA153" s="100"/>
      <c r="CB153" s="100"/>
      <c r="CC153" s="100"/>
      <c r="CD153" s="100"/>
      <c r="CE153" s="100"/>
      <c r="CF153" s="100"/>
      <c r="CG153" s="100"/>
      <c r="CH153" s="100"/>
      <c r="CI153" s="100"/>
      <c r="CJ153" s="100"/>
      <c r="CK153" s="100"/>
      <c r="CL153" s="100"/>
      <c r="CM153" s="100"/>
      <c r="CN153" s="100"/>
      <c r="CO153" s="100"/>
      <c r="CP153" s="100"/>
      <c r="CQ153" s="100"/>
      <c r="CR153" s="100"/>
      <c r="CS153" s="100"/>
      <c r="CT153" s="100"/>
      <c r="CU153" s="100"/>
      <c r="CV153" s="100"/>
      <c r="CW153" s="100"/>
      <c r="CX153" s="100"/>
      <c r="CY153" s="100"/>
      <c r="CZ153" s="100"/>
      <c r="DA153" s="100"/>
      <c r="DB153" s="100"/>
      <c r="DC153" s="100"/>
      <c r="DD153" s="100"/>
      <c r="DE153" s="100"/>
      <c r="DF153" s="100"/>
      <c r="DG153" s="100"/>
      <c r="DH153" s="100"/>
      <c r="DI153" s="100"/>
      <c r="DJ153" s="100"/>
      <c r="DK153" s="100"/>
      <c r="DL153" s="100"/>
      <c r="DM153" s="100"/>
      <c r="DN153" s="100"/>
      <c r="DO153" s="100"/>
      <c r="DP153" s="100"/>
      <c r="DQ153" s="100"/>
      <c r="DR153" s="100"/>
    </row>
    <row r="154" ht="15.75" hidden="1" customHeight="1" outlineLevel="1">
      <c r="B154" s="5" t="s">
        <v>115</v>
      </c>
      <c r="C154" s="72" t="s">
        <v>74</v>
      </c>
      <c r="F154" s="50">
        <f t="shared" ref="F154:M154" si="146">+SUMIFS($AA154:$DR154,$AA$7:$DR$7,F$7)</f>
        <v>32.19899505</v>
      </c>
      <c r="G154" s="50">
        <f t="shared" si="146"/>
        <v>0</v>
      </c>
      <c r="H154" s="50">
        <f t="shared" si="146"/>
        <v>0</v>
      </c>
      <c r="I154" s="50">
        <f t="shared" si="146"/>
        <v>0</v>
      </c>
      <c r="J154" s="50">
        <f t="shared" si="146"/>
        <v>0</v>
      </c>
      <c r="K154" s="50">
        <f t="shared" si="146"/>
        <v>0</v>
      </c>
      <c r="L154" s="50">
        <f t="shared" si="146"/>
        <v>0</v>
      </c>
      <c r="M154" s="50">
        <f t="shared" si="146"/>
        <v>0</v>
      </c>
      <c r="AA154" s="51">
        <v>2.3654781169375587</v>
      </c>
      <c r="AB154" s="51">
        <v>2.634660855745496</v>
      </c>
      <c r="AC154" s="51">
        <v>4.416425242950076</v>
      </c>
      <c r="AD154" s="51">
        <v>4.281267168775767</v>
      </c>
      <c r="AE154" s="51">
        <v>2.825448276179755</v>
      </c>
      <c r="AF154" s="51">
        <v>3.0499201215614726</v>
      </c>
      <c r="AG154" s="51">
        <v>4.058900234367045</v>
      </c>
      <c r="AH154" s="51">
        <v>4.286737358913934</v>
      </c>
      <c r="AI154" s="51">
        <v>4.217982619196158</v>
      </c>
      <c r="AJ154" s="51">
        <v>0.0621750506471535</v>
      </c>
      <c r="AK154" s="51">
        <v>0.0</v>
      </c>
      <c r="AL154" s="51">
        <v>0.0</v>
      </c>
      <c r="AM154" s="51">
        <v>0.0</v>
      </c>
      <c r="AN154" s="51">
        <v>0.0</v>
      </c>
      <c r="AO154" s="51">
        <v>0.0</v>
      </c>
      <c r="AP154" s="51">
        <v>0.0</v>
      </c>
      <c r="AQ154" s="51">
        <v>0.0</v>
      </c>
      <c r="AR154" s="51">
        <v>0.0</v>
      </c>
      <c r="AS154" s="51">
        <v>0.0</v>
      </c>
      <c r="AT154" s="51">
        <v>0.0</v>
      </c>
      <c r="AU154" s="51">
        <v>0.0</v>
      </c>
      <c r="AV154" s="51">
        <v>0.0</v>
      </c>
      <c r="AW154" s="51">
        <v>0.0</v>
      </c>
      <c r="AX154" s="51">
        <v>0.0</v>
      </c>
      <c r="AY154" s="51">
        <v>0.0</v>
      </c>
      <c r="AZ154" s="51">
        <v>0.0</v>
      </c>
      <c r="BA154" s="51">
        <v>0.0</v>
      </c>
      <c r="BB154" s="51">
        <v>0.0</v>
      </c>
      <c r="BC154" s="51">
        <v>0.0</v>
      </c>
      <c r="BD154" s="51">
        <v>0.0</v>
      </c>
      <c r="BE154" s="51">
        <v>0.0</v>
      </c>
      <c r="BF154" s="51">
        <v>0.0</v>
      </c>
      <c r="BG154" s="51">
        <v>0.0</v>
      </c>
      <c r="BH154" s="51">
        <v>0.0</v>
      </c>
      <c r="BI154" s="51">
        <v>0.0</v>
      </c>
      <c r="BJ154" s="51">
        <v>0.0</v>
      </c>
      <c r="BK154" s="100"/>
      <c r="BL154" s="100"/>
      <c r="BM154" s="100"/>
      <c r="BN154" s="100"/>
      <c r="BO154" s="100"/>
      <c r="BP154" s="100"/>
      <c r="BQ154" s="100"/>
      <c r="BR154" s="100"/>
      <c r="BS154" s="100"/>
      <c r="BT154" s="100"/>
      <c r="BU154" s="100"/>
      <c r="BV154" s="100"/>
      <c r="BW154" s="100"/>
      <c r="BX154" s="100"/>
      <c r="BY154" s="100"/>
      <c r="BZ154" s="100"/>
      <c r="CA154" s="100"/>
      <c r="CB154" s="100"/>
      <c r="CC154" s="100"/>
      <c r="CD154" s="100"/>
      <c r="CE154" s="100"/>
      <c r="CF154" s="100"/>
      <c r="CG154" s="100"/>
      <c r="CH154" s="100"/>
      <c r="CI154" s="100"/>
      <c r="CJ154" s="100"/>
      <c r="CK154" s="100"/>
      <c r="CL154" s="100"/>
      <c r="CM154" s="100"/>
      <c r="CN154" s="100"/>
      <c r="CO154" s="100"/>
      <c r="CP154" s="100"/>
      <c r="CQ154" s="100"/>
      <c r="CR154" s="100"/>
      <c r="CS154" s="100"/>
      <c r="CT154" s="100"/>
      <c r="CU154" s="100"/>
      <c r="CV154" s="100"/>
      <c r="CW154" s="100"/>
      <c r="CX154" s="100"/>
      <c r="CY154" s="100"/>
      <c r="CZ154" s="100"/>
      <c r="DA154" s="100"/>
      <c r="DB154" s="100"/>
      <c r="DC154" s="100"/>
      <c r="DD154" s="100"/>
      <c r="DE154" s="100"/>
      <c r="DF154" s="100"/>
      <c r="DG154" s="100"/>
      <c r="DH154" s="100"/>
      <c r="DI154" s="100"/>
      <c r="DJ154" s="100"/>
      <c r="DK154" s="100"/>
      <c r="DL154" s="100"/>
      <c r="DM154" s="100"/>
      <c r="DN154" s="100"/>
      <c r="DO154" s="100"/>
      <c r="DP154" s="100"/>
      <c r="DQ154" s="100"/>
      <c r="DR154" s="100"/>
    </row>
    <row r="155" ht="15.75" hidden="1" customHeight="1" outlineLevel="1">
      <c r="B155" s="5" t="s">
        <v>116</v>
      </c>
      <c r="C155" s="72" t="s">
        <v>70</v>
      </c>
      <c r="F155" s="50">
        <f t="shared" ref="F155:M155" si="147">+SUMIFS($AA155:$DR155,$AA$7:$DR$7,F$7)</f>
        <v>0</v>
      </c>
      <c r="G155" s="50">
        <f t="shared" si="147"/>
        <v>0</v>
      </c>
      <c r="H155" s="50">
        <f t="shared" si="147"/>
        <v>0</v>
      </c>
      <c r="I155" s="50">
        <f t="shared" si="147"/>
        <v>0</v>
      </c>
      <c r="J155" s="50">
        <f t="shared" si="147"/>
        <v>0</v>
      </c>
      <c r="K155" s="50">
        <f t="shared" si="147"/>
        <v>0</v>
      </c>
      <c r="L155" s="50">
        <f t="shared" si="147"/>
        <v>0</v>
      </c>
      <c r="M155" s="50">
        <f t="shared" si="147"/>
        <v>0</v>
      </c>
      <c r="AA155" s="51">
        <v>0.0</v>
      </c>
      <c r="AB155" s="51">
        <v>0.0</v>
      </c>
      <c r="AC155" s="51">
        <v>0.0</v>
      </c>
      <c r="AD155" s="51">
        <v>0.0</v>
      </c>
      <c r="AE155" s="51">
        <v>0.0</v>
      </c>
      <c r="AF155" s="51">
        <v>0.0</v>
      </c>
      <c r="AG155" s="51">
        <v>0.0</v>
      </c>
      <c r="AH155" s="51">
        <v>0.0</v>
      </c>
      <c r="AI155" s="51">
        <v>0.0</v>
      </c>
      <c r="AJ155" s="51">
        <v>0.0</v>
      </c>
      <c r="AK155" s="51">
        <v>0.0</v>
      </c>
      <c r="AL155" s="51">
        <v>0.0</v>
      </c>
      <c r="AM155" s="51">
        <v>0.0</v>
      </c>
      <c r="AN155" s="51">
        <v>0.0</v>
      </c>
      <c r="AO155" s="51">
        <v>0.0</v>
      </c>
      <c r="AP155" s="51">
        <v>0.0</v>
      </c>
      <c r="AQ155" s="51">
        <v>0.0</v>
      </c>
      <c r="AR155" s="51">
        <v>0.0</v>
      </c>
      <c r="AS155" s="51">
        <v>0.0</v>
      </c>
      <c r="AT155" s="51">
        <v>0.0</v>
      </c>
      <c r="AU155" s="51">
        <v>0.0</v>
      </c>
      <c r="AV155" s="51">
        <v>0.0</v>
      </c>
      <c r="AW155" s="51">
        <v>0.0</v>
      </c>
      <c r="AX155" s="51">
        <v>0.0</v>
      </c>
      <c r="AY155" s="51">
        <v>0.0</v>
      </c>
      <c r="AZ155" s="51">
        <v>0.0</v>
      </c>
      <c r="BA155" s="51">
        <v>0.0</v>
      </c>
      <c r="BB155" s="51">
        <v>0.0</v>
      </c>
      <c r="BC155" s="51">
        <v>0.0</v>
      </c>
      <c r="BD155" s="51">
        <v>0.0</v>
      </c>
      <c r="BE155" s="51">
        <v>0.0</v>
      </c>
      <c r="BF155" s="51">
        <v>0.0</v>
      </c>
      <c r="BG155" s="51">
        <v>0.0</v>
      </c>
      <c r="BH155" s="51">
        <v>0.0</v>
      </c>
      <c r="BI155" s="51">
        <v>0.0</v>
      </c>
      <c r="BJ155" s="51">
        <v>0.0</v>
      </c>
      <c r="BK155" s="100"/>
      <c r="BL155" s="100"/>
      <c r="BM155" s="100"/>
      <c r="BN155" s="100"/>
      <c r="BO155" s="100"/>
      <c r="BP155" s="100"/>
      <c r="BQ155" s="100"/>
      <c r="BR155" s="100"/>
      <c r="BS155" s="100"/>
      <c r="BT155" s="100"/>
      <c r="BU155" s="100"/>
      <c r="BV155" s="100"/>
      <c r="BW155" s="100"/>
      <c r="BX155" s="100"/>
      <c r="BY155" s="100"/>
      <c r="BZ155" s="100"/>
      <c r="CA155" s="100"/>
      <c r="CB155" s="100"/>
      <c r="CC155" s="100"/>
      <c r="CD155" s="100"/>
      <c r="CE155" s="100"/>
      <c r="CF155" s="100"/>
      <c r="CG155" s="100"/>
      <c r="CH155" s="100"/>
      <c r="CI155" s="100"/>
      <c r="CJ155" s="100"/>
      <c r="CK155" s="100"/>
      <c r="CL155" s="100"/>
      <c r="CM155" s="100"/>
      <c r="CN155" s="100"/>
      <c r="CO155" s="100"/>
      <c r="CP155" s="100"/>
      <c r="CQ155" s="100"/>
      <c r="CR155" s="100"/>
      <c r="CS155" s="100"/>
      <c r="CT155" s="100"/>
      <c r="CU155" s="100"/>
      <c r="CV155" s="100"/>
      <c r="CW155" s="100"/>
      <c r="CX155" s="100"/>
      <c r="CY155" s="100"/>
      <c r="CZ155" s="100"/>
      <c r="DA155" s="100"/>
      <c r="DB155" s="100"/>
      <c r="DC155" s="100"/>
      <c r="DD155" s="100"/>
      <c r="DE155" s="100"/>
      <c r="DF155" s="100"/>
      <c r="DG155" s="100"/>
      <c r="DH155" s="100"/>
      <c r="DI155" s="100"/>
      <c r="DJ155" s="100"/>
      <c r="DK155" s="100"/>
      <c r="DL155" s="100"/>
      <c r="DM155" s="100"/>
      <c r="DN155" s="100"/>
      <c r="DO155" s="100"/>
      <c r="DP155" s="100"/>
      <c r="DQ155" s="100"/>
      <c r="DR155" s="100"/>
    </row>
    <row r="156" ht="15.75" hidden="1" customHeight="1" outlineLevel="1">
      <c r="B156" s="5" t="s">
        <v>117</v>
      </c>
      <c r="C156" s="72" t="s">
        <v>70</v>
      </c>
      <c r="F156" s="50">
        <f t="shared" ref="F156:M156" si="148">+SUMIFS($AA156:$DR156,$AA$7:$DR$7,F$7)</f>
        <v>0</v>
      </c>
      <c r="G156" s="50">
        <f t="shared" si="148"/>
        <v>0</v>
      </c>
      <c r="H156" s="50">
        <f t="shared" si="148"/>
        <v>0</v>
      </c>
      <c r="I156" s="50">
        <f t="shared" si="148"/>
        <v>0</v>
      </c>
      <c r="J156" s="50">
        <f t="shared" si="148"/>
        <v>0</v>
      </c>
      <c r="K156" s="50">
        <f t="shared" si="148"/>
        <v>0</v>
      </c>
      <c r="L156" s="50">
        <f t="shared" si="148"/>
        <v>0</v>
      </c>
      <c r="M156" s="50">
        <f t="shared" si="148"/>
        <v>0</v>
      </c>
      <c r="AA156" s="51">
        <v>0.0</v>
      </c>
      <c r="AB156" s="51">
        <v>0.0</v>
      </c>
      <c r="AC156" s="51">
        <v>0.0</v>
      </c>
      <c r="AD156" s="51">
        <v>0.0</v>
      </c>
      <c r="AE156" s="51">
        <v>0.0</v>
      </c>
      <c r="AF156" s="51">
        <v>0.0</v>
      </c>
      <c r="AG156" s="51">
        <v>0.0</v>
      </c>
      <c r="AH156" s="51">
        <v>0.0</v>
      </c>
      <c r="AI156" s="51">
        <v>0.0</v>
      </c>
      <c r="AJ156" s="51">
        <v>0.0</v>
      </c>
      <c r="AK156" s="51">
        <v>0.0</v>
      </c>
      <c r="AL156" s="51">
        <v>0.0</v>
      </c>
      <c r="AM156" s="51">
        <v>0.0</v>
      </c>
      <c r="AN156" s="51">
        <v>0.0</v>
      </c>
      <c r="AO156" s="51">
        <v>0.0</v>
      </c>
      <c r="AP156" s="51">
        <v>0.0</v>
      </c>
      <c r="AQ156" s="51">
        <v>0.0</v>
      </c>
      <c r="AR156" s="51">
        <v>0.0</v>
      </c>
      <c r="AS156" s="51">
        <v>0.0</v>
      </c>
      <c r="AT156" s="51">
        <v>0.0</v>
      </c>
      <c r="AU156" s="51">
        <v>0.0</v>
      </c>
      <c r="AV156" s="51">
        <v>0.0</v>
      </c>
      <c r="AW156" s="51">
        <v>0.0</v>
      </c>
      <c r="AX156" s="51">
        <v>0.0</v>
      </c>
      <c r="AY156" s="51">
        <v>0.0</v>
      </c>
      <c r="AZ156" s="51">
        <v>0.0</v>
      </c>
      <c r="BA156" s="51">
        <v>0.0</v>
      </c>
      <c r="BB156" s="51">
        <v>0.0</v>
      </c>
      <c r="BC156" s="51">
        <v>0.0</v>
      </c>
      <c r="BD156" s="51">
        <v>0.0</v>
      </c>
      <c r="BE156" s="51">
        <v>0.0</v>
      </c>
      <c r="BF156" s="51">
        <v>0.0</v>
      </c>
      <c r="BG156" s="51">
        <v>0.0</v>
      </c>
      <c r="BH156" s="51">
        <v>0.0</v>
      </c>
      <c r="BI156" s="51">
        <v>0.0</v>
      </c>
      <c r="BJ156" s="51">
        <v>0.0</v>
      </c>
      <c r="BK156" s="100"/>
      <c r="BL156" s="100"/>
      <c r="BM156" s="100"/>
      <c r="BN156" s="100"/>
      <c r="BO156" s="100"/>
      <c r="BP156" s="100"/>
      <c r="BQ156" s="100"/>
      <c r="BR156" s="100"/>
      <c r="BS156" s="100"/>
      <c r="BT156" s="100"/>
      <c r="BU156" s="100"/>
      <c r="BV156" s="100"/>
      <c r="BW156" s="100"/>
      <c r="BX156" s="100"/>
      <c r="BY156" s="100"/>
      <c r="BZ156" s="100"/>
      <c r="CA156" s="100"/>
      <c r="CB156" s="100"/>
      <c r="CC156" s="100"/>
      <c r="CD156" s="100"/>
      <c r="CE156" s="100"/>
      <c r="CF156" s="100"/>
      <c r="CG156" s="100"/>
      <c r="CH156" s="100"/>
      <c r="CI156" s="100"/>
      <c r="CJ156" s="100"/>
      <c r="CK156" s="100"/>
      <c r="CL156" s="100"/>
      <c r="CM156" s="100"/>
      <c r="CN156" s="100"/>
      <c r="CO156" s="100"/>
      <c r="CP156" s="100"/>
      <c r="CQ156" s="100"/>
      <c r="CR156" s="100"/>
      <c r="CS156" s="100"/>
      <c r="CT156" s="100"/>
      <c r="CU156" s="100"/>
      <c r="CV156" s="100"/>
      <c r="CW156" s="100"/>
      <c r="CX156" s="100"/>
      <c r="CY156" s="100"/>
      <c r="CZ156" s="100"/>
      <c r="DA156" s="100"/>
      <c r="DB156" s="100"/>
      <c r="DC156" s="100"/>
      <c r="DD156" s="100"/>
      <c r="DE156" s="100"/>
      <c r="DF156" s="100"/>
      <c r="DG156" s="100"/>
      <c r="DH156" s="100"/>
      <c r="DI156" s="100"/>
      <c r="DJ156" s="100"/>
      <c r="DK156" s="100"/>
      <c r="DL156" s="100"/>
      <c r="DM156" s="100"/>
      <c r="DN156" s="100"/>
      <c r="DO156" s="100"/>
      <c r="DP156" s="100"/>
      <c r="DQ156" s="100"/>
      <c r="DR156" s="100"/>
    </row>
    <row r="157" ht="15.75" hidden="1" customHeight="1" outlineLevel="1">
      <c r="B157" s="5" t="s">
        <v>118</v>
      </c>
      <c r="C157" s="72" t="s">
        <v>70</v>
      </c>
      <c r="F157" s="50">
        <f t="shared" ref="F157:M157" si="149">+SUMIFS($AA157:$DR157,$AA$7:$DR$7,F$7)</f>
        <v>0</v>
      </c>
      <c r="G157" s="50">
        <f t="shared" si="149"/>
        <v>0</v>
      </c>
      <c r="H157" s="50">
        <f t="shared" si="149"/>
        <v>0</v>
      </c>
      <c r="I157" s="50">
        <f t="shared" si="149"/>
        <v>0</v>
      </c>
      <c r="J157" s="50">
        <f t="shared" si="149"/>
        <v>0</v>
      </c>
      <c r="K157" s="50">
        <f t="shared" si="149"/>
        <v>0</v>
      </c>
      <c r="L157" s="50">
        <f t="shared" si="149"/>
        <v>0</v>
      </c>
      <c r="M157" s="50">
        <f t="shared" si="149"/>
        <v>0</v>
      </c>
      <c r="AA157" s="51">
        <v>0.0</v>
      </c>
      <c r="AB157" s="51">
        <v>0.0</v>
      </c>
      <c r="AC157" s="51">
        <v>0.0</v>
      </c>
      <c r="AD157" s="51">
        <v>0.0</v>
      </c>
      <c r="AE157" s="51">
        <v>0.0</v>
      </c>
      <c r="AF157" s="51">
        <v>0.0</v>
      </c>
      <c r="AG157" s="51">
        <v>0.0</v>
      </c>
      <c r="AH157" s="51">
        <v>0.0</v>
      </c>
      <c r="AI157" s="51">
        <v>0.0</v>
      </c>
      <c r="AJ157" s="51">
        <v>0.0</v>
      </c>
      <c r="AK157" s="51">
        <v>0.0</v>
      </c>
      <c r="AL157" s="51">
        <v>0.0</v>
      </c>
      <c r="AM157" s="51">
        <v>0.0</v>
      </c>
      <c r="AN157" s="51">
        <v>0.0</v>
      </c>
      <c r="AO157" s="51">
        <v>0.0</v>
      </c>
      <c r="AP157" s="51">
        <v>0.0</v>
      </c>
      <c r="AQ157" s="51">
        <v>0.0</v>
      </c>
      <c r="AR157" s="51">
        <v>0.0</v>
      </c>
      <c r="AS157" s="51">
        <v>0.0</v>
      </c>
      <c r="AT157" s="51">
        <v>0.0</v>
      </c>
      <c r="AU157" s="51">
        <v>0.0</v>
      </c>
      <c r="AV157" s="51">
        <v>0.0</v>
      </c>
      <c r="AW157" s="51">
        <v>0.0</v>
      </c>
      <c r="AX157" s="51">
        <v>0.0</v>
      </c>
      <c r="AY157" s="51">
        <v>0.0</v>
      </c>
      <c r="AZ157" s="51">
        <v>0.0</v>
      </c>
      <c r="BA157" s="51">
        <v>0.0</v>
      </c>
      <c r="BB157" s="51">
        <v>0.0</v>
      </c>
      <c r="BC157" s="51">
        <v>0.0</v>
      </c>
      <c r="BD157" s="51">
        <v>0.0</v>
      </c>
      <c r="BE157" s="51">
        <v>0.0</v>
      </c>
      <c r="BF157" s="51">
        <v>0.0</v>
      </c>
      <c r="BG157" s="51">
        <v>0.0</v>
      </c>
      <c r="BH157" s="51">
        <v>0.0</v>
      </c>
      <c r="BI157" s="51">
        <v>0.0</v>
      </c>
      <c r="BJ157" s="51">
        <v>0.0</v>
      </c>
      <c r="BK157" s="100"/>
      <c r="BL157" s="100"/>
      <c r="BM157" s="100"/>
      <c r="BN157" s="100"/>
      <c r="BO157" s="100"/>
      <c r="BP157" s="100"/>
      <c r="BQ157" s="100"/>
      <c r="BR157" s="100"/>
      <c r="BS157" s="100"/>
      <c r="BT157" s="100"/>
      <c r="BU157" s="100"/>
      <c r="BV157" s="100"/>
      <c r="BW157" s="100"/>
      <c r="BX157" s="100"/>
      <c r="BY157" s="100"/>
      <c r="BZ157" s="100"/>
      <c r="CA157" s="100"/>
      <c r="CB157" s="100"/>
      <c r="CC157" s="100"/>
      <c r="CD157" s="100"/>
      <c r="CE157" s="100"/>
      <c r="CF157" s="100"/>
      <c r="CG157" s="100"/>
      <c r="CH157" s="100"/>
      <c r="CI157" s="100"/>
      <c r="CJ157" s="100"/>
      <c r="CK157" s="100"/>
      <c r="CL157" s="100"/>
      <c r="CM157" s="100"/>
      <c r="CN157" s="100"/>
      <c r="CO157" s="100"/>
      <c r="CP157" s="100"/>
      <c r="CQ157" s="100"/>
      <c r="CR157" s="100"/>
      <c r="CS157" s="100"/>
      <c r="CT157" s="100"/>
      <c r="CU157" s="100"/>
      <c r="CV157" s="100"/>
      <c r="CW157" s="100"/>
      <c r="CX157" s="100"/>
      <c r="CY157" s="100"/>
      <c r="CZ157" s="100"/>
      <c r="DA157" s="100"/>
      <c r="DB157" s="100"/>
      <c r="DC157" s="100"/>
      <c r="DD157" s="100"/>
      <c r="DE157" s="100"/>
      <c r="DF157" s="100"/>
      <c r="DG157" s="100"/>
      <c r="DH157" s="100"/>
      <c r="DI157" s="100"/>
      <c r="DJ157" s="100"/>
      <c r="DK157" s="100"/>
      <c r="DL157" s="100"/>
      <c r="DM157" s="100"/>
      <c r="DN157" s="100"/>
      <c r="DO157" s="100"/>
      <c r="DP157" s="100"/>
      <c r="DQ157" s="100"/>
      <c r="DR157" s="100"/>
    </row>
    <row r="158" ht="4.5" hidden="1" customHeight="1" outlineLevel="1">
      <c r="F158" s="50"/>
      <c r="G158" s="50"/>
      <c r="H158" s="50"/>
      <c r="I158" s="50"/>
      <c r="J158" s="50"/>
      <c r="K158" s="50"/>
      <c r="L158" s="50"/>
      <c r="M158" s="50"/>
    </row>
    <row r="159" ht="15.75" hidden="1" customHeight="1" outlineLevel="1">
      <c r="B159" s="54" t="s">
        <v>145</v>
      </c>
      <c r="C159" s="54"/>
      <c r="D159" s="54"/>
      <c r="F159" s="55">
        <f t="shared" ref="F159:M159" si="150">+SUMIFS($AA159:$DR159,$AA$7:$DR$7,F$7)</f>
        <v>1948.526395</v>
      </c>
      <c r="G159" s="55">
        <f t="shared" si="150"/>
        <v>1950.845247</v>
      </c>
      <c r="H159" s="55">
        <f t="shared" si="150"/>
        <v>2291.431483</v>
      </c>
      <c r="I159" s="55">
        <f t="shared" si="150"/>
        <v>0</v>
      </c>
      <c r="J159" s="55">
        <f t="shared" si="150"/>
        <v>0</v>
      </c>
      <c r="K159" s="55">
        <f t="shared" si="150"/>
        <v>0</v>
      </c>
      <c r="L159" s="55">
        <f t="shared" si="150"/>
        <v>0</v>
      </c>
      <c r="M159" s="55">
        <f t="shared" si="150"/>
        <v>0</v>
      </c>
      <c r="AA159" s="55">
        <f t="shared" ref="AA159:DR159" si="151">SUM(AA112:AA158)</f>
        <v>156.1369731</v>
      </c>
      <c r="AB159" s="55">
        <f t="shared" si="151"/>
        <v>155.9509402</v>
      </c>
      <c r="AC159" s="55">
        <f t="shared" si="151"/>
        <v>157.2713824</v>
      </c>
      <c r="AD159" s="55">
        <f t="shared" si="151"/>
        <v>116.0942787</v>
      </c>
      <c r="AE159" s="55">
        <f t="shared" si="151"/>
        <v>145.762966</v>
      </c>
      <c r="AF159" s="55">
        <f t="shared" si="151"/>
        <v>181.7476947</v>
      </c>
      <c r="AG159" s="55">
        <f t="shared" si="151"/>
        <v>150.7366555</v>
      </c>
      <c r="AH159" s="55">
        <f t="shared" si="151"/>
        <v>196.1992158</v>
      </c>
      <c r="AI159" s="55">
        <f t="shared" si="151"/>
        <v>190.8187394</v>
      </c>
      <c r="AJ159" s="55">
        <f t="shared" si="151"/>
        <v>207.1983121</v>
      </c>
      <c r="AK159" s="55">
        <f t="shared" si="151"/>
        <v>172.7535798</v>
      </c>
      <c r="AL159" s="55">
        <f t="shared" si="151"/>
        <v>117.8556571</v>
      </c>
      <c r="AM159" s="55">
        <f t="shared" si="151"/>
        <v>150.6802751</v>
      </c>
      <c r="AN159" s="55">
        <f t="shared" si="151"/>
        <v>149.0428919</v>
      </c>
      <c r="AO159" s="55">
        <f t="shared" si="151"/>
        <v>162.6743749</v>
      </c>
      <c r="AP159" s="55">
        <f t="shared" si="151"/>
        <v>153.268907</v>
      </c>
      <c r="AQ159" s="55">
        <f t="shared" si="151"/>
        <v>143.6886821</v>
      </c>
      <c r="AR159" s="55">
        <f t="shared" si="151"/>
        <v>185.8452595</v>
      </c>
      <c r="AS159" s="55">
        <f t="shared" si="151"/>
        <v>202.1206783</v>
      </c>
      <c r="AT159" s="55">
        <f t="shared" si="151"/>
        <v>190.7632091</v>
      </c>
      <c r="AU159" s="55">
        <f t="shared" si="151"/>
        <v>185.5813276</v>
      </c>
      <c r="AV159" s="55">
        <f t="shared" si="151"/>
        <v>165.5973172</v>
      </c>
      <c r="AW159" s="55">
        <f t="shared" si="151"/>
        <v>130.642629</v>
      </c>
      <c r="AX159" s="55">
        <f t="shared" si="151"/>
        <v>130.9396956</v>
      </c>
      <c r="AY159" s="55">
        <f t="shared" si="151"/>
        <v>159.6303831</v>
      </c>
      <c r="AZ159" s="55">
        <f t="shared" si="151"/>
        <v>214.5205418</v>
      </c>
      <c r="BA159" s="55">
        <f t="shared" si="151"/>
        <v>225.8860329</v>
      </c>
      <c r="BB159" s="55">
        <f t="shared" si="151"/>
        <v>209.3709828</v>
      </c>
      <c r="BC159" s="55">
        <f t="shared" si="151"/>
        <v>203.6584596</v>
      </c>
      <c r="BD159" s="55">
        <f t="shared" si="151"/>
        <v>195.739896</v>
      </c>
      <c r="BE159" s="55">
        <f t="shared" si="151"/>
        <v>216.9080817</v>
      </c>
      <c r="BF159" s="55">
        <f t="shared" si="151"/>
        <v>212.7248865</v>
      </c>
      <c r="BG159" s="55">
        <f t="shared" si="151"/>
        <v>197.3215854</v>
      </c>
      <c r="BH159" s="55">
        <f t="shared" si="151"/>
        <v>201.8385768</v>
      </c>
      <c r="BI159" s="55">
        <f t="shared" si="151"/>
        <v>139.8612453</v>
      </c>
      <c r="BJ159" s="55">
        <f t="shared" si="151"/>
        <v>113.9708112</v>
      </c>
      <c r="BK159" s="55">
        <f t="shared" si="151"/>
        <v>0</v>
      </c>
      <c r="BL159" s="55">
        <f t="shared" si="151"/>
        <v>0</v>
      </c>
      <c r="BM159" s="55">
        <f t="shared" si="151"/>
        <v>0</v>
      </c>
      <c r="BN159" s="55">
        <f t="shared" si="151"/>
        <v>0</v>
      </c>
      <c r="BO159" s="55">
        <f t="shared" si="151"/>
        <v>0</v>
      </c>
      <c r="BP159" s="55">
        <f t="shared" si="151"/>
        <v>0</v>
      </c>
      <c r="BQ159" s="55">
        <f t="shared" si="151"/>
        <v>0</v>
      </c>
      <c r="BR159" s="55">
        <f t="shared" si="151"/>
        <v>0</v>
      </c>
      <c r="BS159" s="55">
        <f t="shared" si="151"/>
        <v>0</v>
      </c>
      <c r="BT159" s="55">
        <f t="shared" si="151"/>
        <v>0</v>
      </c>
      <c r="BU159" s="55">
        <f t="shared" si="151"/>
        <v>0</v>
      </c>
      <c r="BV159" s="55">
        <f t="shared" si="151"/>
        <v>0</v>
      </c>
      <c r="BW159" s="55">
        <f t="shared" si="151"/>
        <v>0</v>
      </c>
      <c r="BX159" s="55">
        <f t="shared" si="151"/>
        <v>0</v>
      </c>
      <c r="BY159" s="55">
        <f t="shared" si="151"/>
        <v>0</v>
      </c>
      <c r="BZ159" s="55">
        <f t="shared" si="151"/>
        <v>0</v>
      </c>
      <c r="CA159" s="55">
        <f t="shared" si="151"/>
        <v>0</v>
      </c>
      <c r="CB159" s="55">
        <f t="shared" si="151"/>
        <v>0</v>
      </c>
      <c r="CC159" s="55">
        <f t="shared" si="151"/>
        <v>0</v>
      </c>
      <c r="CD159" s="55">
        <f t="shared" si="151"/>
        <v>0</v>
      </c>
      <c r="CE159" s="55">
        <f t="shared" si="151"/>
        <v>0</v>
      </c>
      <c r="CF159" s="55">
        <f t="shared" si="151"/>
        <v>0</v>
      </c>
      <c r="CG159" s="55">
        <f t="shared" si="151"/>
        <v>0</v>
      </c>
      <c r="CH159" s="55">
        <f t="shared" si="151"/>
        <v>0</v>
      </c>
      <c r="CI159" s="55">
        <f t="shared" si="151"/>
        <v>0</v>
      </c>
      <c r="CJ159" s="55">
        <f t="shared" si="151"/>
        <v>0</v>
      </c>
      <c r="CK159" s="55">
        <f t="shared" si="151"/>
        <v>0</v>
      </c>
      <c r="CL159" s="55">
        <f t="shared" si="151"/>
        <v>0</v>
      </c>
      <c r="CM159" s="55">
        <f t="shared" si="151"/>
        <v>0</v>
      </c>
      <c r="CN159" s="55">
        <f t="shared" si="151"/>
        <v>0</v>
      </c>
      <c r="CO159" s="55">
        <f t="shared" si="151"/>
        <v>0</v>
      </c>
      <c r="CP159" s="55">
        <f t="shared" si="151"/>
        <v>0</v>
      </c>
      <c r="CQ159" s="55">
        <f t="shared" si="151"/>
        <v>0</v>
      </c>
      <c r="CR159" s="55">
        <f t="shared" si="151"/>
        <v>0</v>
      </c>
      <c r="CS159" s="55">
        <f t="shared" si="151"/>
        <v>0</v>
      </c>
      <c r="CT159" s="55">
        <f t="shared" si="151"/>
        <v>0</v>
      </c>
      <c r="CU159" s="55">
        <f t="shared" si="151"/>
        <v>0</v>
      </c>
      <c r="CV159" s="55">
        <f t="shared" si="151"/>
        <v>0</v>
      </c>
      <c r="CW159" s="55">
        <f t="shared" si="151"/>
        <v>0</v>
      </c>
      <c r="CX159" s="55">
        <f t="shared" si="151"/>
        <v>0</v>
      </c>
      <c r="CY159" s="55">
        <f t="shared" si="151"/>
        <v>0</v>
      </c>
      <c r="CZ159" s="55">
        <f t="shared" si="151"/>
        <v>0</v>
      </c>
      <c r="DA159" s="55">
        <f t="shared" si="151"/>
        <v>0</v>
      </c>
      <c r="DB159" s="55">
        <f t="shared" si="151"/>
        <v>0</v>
      </c>
      <c r="DC159" s="55">
        <f t="shared" si="151"/>
        <v>0</v>
      </c>
      <c r="DD159" s="55">
        <f t="shared" si="151"/>
        <v>0</v>
      </c>
      <c r="DE159" s="55">
        <f t="shared" si="151"/>
        <v>0</v>
      </c>
      <c r="DF159" s="55">
        <f t="shared" si="151"/>
        <v>0</v>
      </c>
      <c r="DG159" s="55">
        <f t="shared" si="151"/>
        <v>0</v>
      </c>
      <c r="DH159" s="55">
        <f t="shared" si="151"/>
        <v>0</v>
      </c>
      <c r="DI159" s="55">
        <f t="shared" si="151"/>
        <v>0</v>
      </c>
      <c r="DJ159" s="55">
        <f t="shared" si="151"/>
        <v>0</v>
      </c>
      <c r="DK159" s="55">
        <f t="shared" si="151"/>
        <v>0</v>
      </c>
      <c r="DL159" s="55">
        <f t="shared" si="151"/>
        <v>0</v>
      </c>
      <c r="DM159" s="55">
        <f t="shared" si="151"/>
        <v>0</v>
      </c>
      <c r="DN159" s="55">
        <f t="shared" si="151"/>
        <v>0</v>
      </c>
      <c r="DO159" s="55">
        <f t="shared" si="151"/>
        <v>0</v>
      </c>
      <c r="DP159" s="55">
        <f t="shared" si="151"/>
        <v>0</v>
      </c>
      <c r="DQ159" s="55">
        <f t="shared" si="151"/>
        <v>0</v>
      </c>
      <c r="DR159" s="55">
        <f t="shared" si="151"/>
        <v>0</v>
      </c>
    </row>
    <row r="160" ht="4.5" hidden="1" customHeight="1" outlineLevel="1"/>
    <row r="161" ht="15.75" customHeight="1" collapsed="1">
      <c r="B161" s="47" t="s">
        <v>40</v>
      </c>
    </row>
    <row r="162" ht="15.75" customHeight="1">
      <c r="B162" s="5" t="s">
        <v>82</v>
      </c>
      <c r="F162" s="52">
        <f>+Revenue_Calcs!F192</f>
        <v>5771.188</v>
      </c>
      <c r="G162" s="52">
        <f>+Revenue_Calcs!G192</f>
        <v>4972.649</v>
      </c>
      <c r="H162" s="52">
        <f>+Revenue_Calcs!H192</f>
        <v>5881.46</v>
      </c>
      <c r="I162" s="52">
        <f>+Revenue_Calcs!I192</f>
        <v>6810.12</v>
      </c>
      <c r="J162" s="52">
        <f>+Revenue_Calcs!J192</f>
        <v>7205.617161</v>
      </c>
      <c r="K162" s="52">
        <f>+Revenue_Calcs!K192</f>
        <v>8273.762042</v>
      </c>
      <c r="L162" s="52">
        <f>+Revenue_Calcs!L192</f>
        <v>9434.246689</v>
      </c>
      <c r="M162" s="52">
        <f>+Revenue_Calcs!M192</f>
        <v>10693.82938</v>
      </c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100"/>
      <c r="AQ162" s="100"/>
      <c r="AR162" s="100"/>
      <c r="AS162" s="100"/>
      <c r="AT162" s="100"/>
      <c r="AU162" s="100"/>
      <c r="AV162" s="100"/>
      <c r="AW162" s="100"/>
      <c r="AX162" s="100"/>
      <c r="AY162" s="100"/>
      <c r="AZ162" s="100"/>
      <c r="BA162" s="100"/>
      <c r="BB162" s="100"/>
      <c r="BC162" s="100"/>
      <c r="BD162" s="100"/>
      <c r="BE162" s="100"/>
      <c r="BF162" s="100"/>
      <c r="BG162" s="100"/>
      <c r="BH162" s="100"/>
      <c r="BI162" s="100"/>
      <c r="BJ162" s="100"/>
      <c r="BK162" s="100"/>
      <c r="BL162" s="100"/>
      <c r="BM162" s="100"/>
      <c r="BN162" s="100"/>
      <c r="BO162" s="100"/>
      <c r="BP162" s="100"/>
      <c r="BQ162" s="100"/>
      <c r="BR162" s="100"/>
      <c r="BS162" s="100"/>
      <c r="BT162" s="100"/>
      <c r="BU162" s="100"/>
      <c r="BV162" s="100"/>
      <c r="BW162" s="100"/>
      <c r="BX162" s="100"/>
      <c r="BY162" s="100"/>
      <c r="BZ162" s="100"/>
      <c r="CA162" s="100"/>
      <c r="CB162" s="100"/>
      <c r="CC162" s="100"/>
      <c r="CD162" s="100"/>
      <c r="CE162" s="100"/>
      <c r="CF162" s="100"/>
      <c r="CG162" s="100"/>
      <c r="CH162" s="100"/>
      <c r="CI162" s="100"/>
      <c r="CJ162" s="100"/>
      <c r="CK162" s="100"/>
      <c r="CL162" s="100"/>
      <c r="CM162" s="100"/>
      <c r="CN162" s="100"/>
      <c r="CO162" s="100"/>
      <c r="CP162" s="100"/>
      <c r="CQ162" s="100"/>
      <c r="CR162" s="100"/>
      <c r="CS162" s="100"/>
      <c r="CT162" s="100"/>
      <c r="CU162" s="100"/>
      <c r="CV162" s="100"/>
      <c r="CW162" s="100"/>
      <c r="CX162" s="100"/>
      <c r="CY162" s="100"/>
      <c r="CZ162" s="100"/>
      <c r="DA162" s="100"/>
      <c r="DB162" s="100"/>
      <c r="DC162" s="100"/>
      <c r="DD162" s="100"/>
      <c r="DE162" s="100"/>
      <c r="DF162" s="100"/>
      <c r="DG162" s="100"/>
      <c r="DH162" s="100"/>
      <c r="DI162" s="100"/>
      <c r="DJ162" s="100"/>
      <c r="DK162" s="100"/>
      <c r="DL162" s="100"/>
      <c r="DM162" s="100"/>
      <c r="DN162" s="100"/>
      <c r="DO162" s="100"/>
      <c r="DP162" s="100"/>
      <c r="DQ162" s="100"/>
      <c r="DR162" s="100"/>
    </row>
    <row r="163" ht="15.75" customHeight="1">
      <c r="B163" s="5" t="s">
        <v>76</v>
      </c>
      <c r="F163" s="52">
        <f>+Revenue_Calcs!F197</f>
        <v>613.39</v>
      </c>
      <c r="G163" s="52">
        <f>+Revenue_Calcs!G197</f>
        <v>511.382</v>
      </c>
      <c r="H163" s="52">
        <f>+Revenue_Calcs!H197</f>
        <v>754.264</v>
      </c>
      <c r="I163" s="52">
        <f>+Revenue_Calcs!I197</f>
        <v>625.984</v>
      </c>
      <c r="J163" s="52">
        <f>+Revenue_Calcs!J197</f>
        <v>1118.829947</v>
      </c>
      <c r="K163" s="52">
        <f>+Revenue_Calcs!K197</f>
        <v>1321.418636</v>
      </c>
      <c r="L163" s="52">
        <f>+Revenue_Calcs!L197</f>
        <v>1535.117379</v>
      </c>
      <c r="M163" s="52">
        <f>+Revenue_Calcs!M197</f>
        <v>1760.109047</v>
      </c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  <c r="AM163" s="100"/>
      <c r="AN163" s="100"/>
      <c r="AO163" s="100"/>
      <c r="AP163" s="100"/>
      <c r="AQ163" s="100"/>
      <c r="AR163" s="100"/>
      <c r="AS163" s="100"/>
      <c r="AT163" s="100"/>
      <c r="AU163" s="100"/>
      <c r="AV163" s="100"/>
      <c r="AW163" s="100"/>
      <c r="AX163" s="100"/>
      <c r="AY163" s="100"/>
      <c r="AZ163" s="100"/>
      <c r="BA163" s="100"/>
      <c r="BB163" s="100"/>
      <c r="BC163" s="100"/>
      <c r="BD163" s="100"/>
      <c r="BE163" s="100"/>
      <c r="BF163" s="100"/>
      <c r="BG163" s="100"/>
      <c r="BH163" s="100"/>
      <c r="BI163" s="100"/>
      <c r="BJ163" s="100"/>
      <c r="BK163" s="100"/>
      <c r="BL163" s="100"/>
      <c r="BM163" s="100"/>
      <c r="BN163" s="100"/>
      <c r="BO163" s="100"/>
      <c r="BP163" s="100"/>
      <c r="BQ163" s="100"/>
      <c r="BR163" s="100"/>
      <c r="BS163" s="100"/>
      <c r="BT163" s="100"/>
      <c r="BU163" s="100"/>
      <c r="BV163" s="100"/>
      <c r="BW163" s="100"/>
      <c r="BX163" s="100"/>
      <c r="BY163" s="100"/>
      <c r="BZ163" s="100"/>
      <c r="CA163" s="100"/>
      <c r="CB163" s="100"/>
      <c r="CC163" s="100"/>
      <c r="CD163" s="100"/>
      <c r="CE163" s="100"/>
      <c r="CF163" s="100"/>
      <c r="CG163" s="100"/>
      <c r="CH163" s="100"/>
      <c r="CI163" s="100"/>
      <c r="CJ163" s="100"/>
      <c r="CK163" s="100"/>
      <c r="CL163" s="100"/>
      <c r="CM163" s="100"/>
      <c r="CN163" s="100"/>
      <c r="CO163" s="100"/>
      <c r="CP163" s="100"/>
      <c r="CQ163" s="100"/>
      <c r="CR163" s="100"/>
      <c r="CS163" s="100"/>
      <c r="CT163" s="100"/>
      <c r="CU163" s="100"/>
      <c r="CV163" s="100"/>
      <c r="CW163" s="100"/>
      <c r="CX163" s="100"/>
      <c r="CY163" s="100"/>
      <c r="CZ163" s="100"/>
      <c r="DA163" s="100"/>
      <c r="DB163" s="100"/>
      <c r="DC163" s="100"/>
      <c r="DD163" s="100"/>
      <c r="DE163" s="100"/>
      <c r="DF163" s="100"/>
      <c r="DG163" s="100"/>
      <c r="DH163" s="100"/>
      <c r="DI163" s="100"/>
      <c r="DJ163" s="100"/>
      <c r="DK163" s="100"/>
      <c r="DL163" s="100"/>
      <c r="DM163" s="100"/>
      <c r="DN163" s="100"/>
      <c r="DO163" s="100"/>
      <c r="DP163" s="100"/>
      <c r="DQ163" s="100"/>
      <c r="DR163" s="100"/>
    </row>
    <row r="164" ht="15.75" customHeight="1">
      <c r="B164" s="5" t="s">
        <v>74</v>
      </c>
      <c r="F164" s="52">
        <f>+Revenue_Calcs!F202</f>
        <v>140.926</v>
      </c>
      <c r="G164" s="52">
        <f>+Revenue_Calcs!G202</f>
        <v>440.998</v>
      </c>
      <c r="H164" s="52">
        <f>+Revenue_Calcs!H202</f>
        <v>945.901</v>
      </c>
      <c r="I164" s="52">
        <f>+Revenue_Calcs!I202</f>
        <v>804.7058824</v>
      </c>
      <c r="J164" s="52">
        <f>+Revenue_Calcs!J202</f>
        <v>1162.645984</v>
      </c>
      <c r="K164" s="52">
        <f>+Revenue_Calcs!K202</f>
        <v>1450.160529</v>
      </c>
      <c r="L164" s="52">
        <f>+Revenue_Calcs!L202</f>
        <v>1832.79592</v>
      </c>
      <c r="M164" s="52">
        <f>+Revenue_Calcs!M202</f>
        <v>2378.696901</v>
      </c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  <c r="AQ164" s="100"/>
      <c r="AR164" s="100"/>
      <c r="AS164" s="100"/>
      <c r="AT164" s="100"/>
      <c r="AU164" s="100"/>
      <c r="AV164" s="100"/>
      <c r="AW164" s="100"/>
      <c r="AX164" s="100"/>
      <c r="AY164" s="100"/>
      <c r="AZ164" s="100"/>
      <c r="BA164" s="100"/>
      <c r="BB164" s="100"/>
      <c r="BC164" s="100"/>
      <c r="BD164" s="100"/>
      <c r="BE164" s="100"/>
      <c r="BF164" s="100"/>
      <c r="BG164" s="100"/>
      <c r="BH164" s="100"/>
      <c r="BI164" s="100"/>
      <c r="BJ164" s="100"/>
      <c r="BK164" s="100"/>
      <c r="BL164" s="100"/>
      <c r="BM164" s="100"/>
      <c r="BN164" s="100"/>
      <c r="BO164" s="100"/>
      <c r="BP164" s="100"/>
      <c r="BQ164" s="100"/>
      <c r="BR164" s="100"/>
      <c r="BS164" s="100"/>
      <c r="BT164" s="100"/>
      <c r="BU164" s="100"/>
      <c r="BV164" s="100"/>
      <c r="BW164" s="100"/>
      <c r="BX164" s="100"/>
      <c r="BY164" s="100"/>
      <c r="BZ164" s="100"/>
      <c r="CA164" s="100"/>
      <c r="CB164" s="100"/>
      <c r="CC164" s="100"/>
      <c r="CD164" s="100"/>
      <c r="CE164" s="100"/>
      <c r="CF164" s="100"/>
      <c r="CG164" s="100"/>
      <c r="CH164" s="100"/>
      <c r="CI164" s="100"/>
      <c r="CJ164" s="100"/>
      <c r="CK164" s="100"/>
      <c r="CL164" s="100"/>
      <c r="CM164" s="100"/>
      <c r="CN164" s="100"/>
      <c r="CO164" s="100"/>
      <c r="CP164" s="100"/>
      <c r="CQ164" s="100"/>
      <c r="CR164" s="100"/>
      <c r="CS164" s="100"/>
      <c r="CT164" s="100"/>
      <c r="CU164" s="100"/>
      <c r="CV164" s="100"/>
      <c r="CW164" s="100"/>
      <c r="CX164" s="100"/>
      <c r="CY164" s="100"/>
      <c r="CZ164" s="100"/>
      <c r="DA164" s="100"/>
      <c r="DB164" s="100"/>
      <c r="DC164" s="100"/>
      <c r="DD164" s="100"/>
      <c r="DE164" s="100"/>
      <c r="DF164" s="100"/>
      <c r="DG164" s="100"/>
      <c r="DH164" s="100"/>
      <c r="DI164" s="100"/>
      <c r="DJ164" s="100"/>
      <c r="DK164" s="100"/>
      <c r="DL164" s="100"/>
      <c r="DM164" s="100"/>
      <c r="DN164" s="100"/>
      <c r="DO164" s="100"/>
      <c r="DP164" s="100"/>
      <c r="DQ164" s="100"/>
      <c r="DR164" s="100"/>
    </row>
    <row r="165" ht="15.75" customHeight="1">
      <c r="B165" s="5" t="s">
        <v>70</v>
      </c>
      <c r="F165" s="52">
        <f>+Revenue_Calcs!F207</f>
        <v>209.259</v>
      </c>
      <c r="G165" s="52">
        <f>+Revenue_Calcs!G207</f>
        <v>191.321</v>
      </c>
      <c r="H165" s="52">
        <f>+Revenue_Calcs!H207</f>
        <v>334.085</v>
      </c>
      <c r="I165" s="52">
        <f>+Revenue_Calcs!I207</f>
        <v>416</v>
      </c>
      <c r="J165" s="52">
        <f>+Revenue_Calcs!J207</f>
        <v>708.8057014</v>
      </c>
      <c r="K165" s="52">
        <f>+Revenue_Calcs!K207</f>
        <v>857.8320465</v>
      </c>
      <c r="L165" s="52">
        <f>+Revenue_Calcs!L207</f>
        <v>1059.433265</v>
      </c>
      <c r="M165" s="52">
        <f>+Revenue_Calcs!M207</f>
        <v>1343.571898</v>
      </c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00"/>
      <c r="AN165" s="100"/>
      <c r="AO165" s="100"/>
      <c r="AP165" s="100"/>
      <c r="AQ165" s="100"/>
      <c r="AR165" s="100"/>
      <c r="AS165" s="100"/>
      <c r="AT165" s="100"/>
      <c r="AU165" s="100"/>
      <c r="AV165" s="100"/>
      <c r="AW165" s="100"/>
      <c r="AX165" s="100"/>
      <c r="AY165" s="100"/>
      <c r="AZ165" s="100"/>
      <c r="BA165" s="100"/>
      <c r="BB165" s="100"/>
      <c r="BC165" s="100"/>
      <c r="BD165" s="100"/>
      <c r="BE165" s="100"/>
      <c r="BF165" s="100"/>
      <c r="BG165" s="100"/>
      <c r="BH165" s="100"/>
      <c r="BI165" s="100"/>
      <c r="BJ165" s="100"/>
      <c r="BK165" s="100"/>
      <c r="BL165" s="100"/>
      <c r="BM165" s="100"/>
      <c r="BN165" s="100"/>
      <c r="BO165" s="100"/>
      <c r="BP165" s="100"/>
      <c r="BQ165" s="100"/>
      <c r="BR165" s="100"/>
      <c r="BS165" s="100"/>
      <c r="BT165" s="100"/>
      <c r="BU165" s="100"/>
      <c r="BV165" s="100"/>
      <c r="BW165" s="100"/>
      <c r="BX165" s="100"/>
      <c r="BY165" s="100"/>
      <c r="BZ165" s="100"/>
      <c r="CA165" s="100"/>
      <c r="CB165" s="100"/>
      <c r="CC165" s="100"/>
      <c r="CD165" s="100"/>
      <c r="CE165" s="100"/>
      <c r="CF165" s="100"/>
      <c r="CG165" s="100"/>
      <c r="CH165" s="100"/>
      <c r="CI165" s="100"/>
      <c r="CJ165" s="100"/>
      <c r="CK165" s="100"/>
      <c r="CL165" s="100"/>
      <c r="CM165" s="100"/>
      <c r="CN165" s="100"/>
      <c r="CO165" s="100"/>
      <c r="CP165" s="100"/>
      <c r="CQ165" s="100"/>
      <c r="CR165" s="100"/>
      <c r="CS165" s="100"/>
      <c r="CT165" s="100"/>
      <c r="CU165" s="100"/>
      <c r="CV165" s="100"/>
      <c r="CW165" s="100"/>
      <c r="CX165" s="100"/>
      <c r="CY165" s="100"/>
      <c r="CZ165" s="100"/>
      <c r="DA165" s="100"/>
      <c r="DB165" s="100"/>
      <c r="DC165" s="100"/>
      <c r="DD165" s="100"/>
      <c r="DE165" s="100"/>
      <c r="DF165" s="100"/>
      <c r="DG165" s="100"/>
      <c r="DH165" s="100"/>
      <c r="DI165" s="100"/>
      <c r="DJ165" s="100"/>
      <c r="DK165" s="100"/>
      <c r="DL165" s="100"/>
      <c r="DM165" s="100"/>
      <c r="DN165" s="100"/>
      <c r="DO165" s="100"/>
      <c r="DP165" s="100"/>
      <c r="DQ165" s="100"/>
      <c r="DR165" s="100"/>
    </row>
    <row r="166" ht="15.75" customHeight="1">
      <c r="B166" s="54" t="s">
        <v>145</v>
      </c>
      <c r="C166" s="54"/>
      <c r="D166" s="54"/>
      <c r="F166" s="55">
        <f t="shared" ref="F166:M166" si="152">SUM(F162:F165)</f>
        <v>6734.763</v>
      </c>
      <c r="G166" s="55">
        <f t="shared" si="152"/>
        <v>6116.35</v>
      </c>
      <c r="H166" s="55">
        <f t="shared" si="152"/>
        <v>7915.71</v>
      </c>
      <c r="I166" s="55">
        <f t="shared" si="152"/>
        <v>8656.809882</v>
      </c>
      <c r="J166" s="55">
        <f t="shared" si="152"/>
        <v>10195.89879</v>
      </c>
      <c r="K166" s="55">
        <f t="shared" si="152"/>
        <v>11903.17325</v>
      </c>
      <c r="L166" s="55">
        <f t="shared" si="152"/>
        <v>13861.59325</v>
      </c>
      <c r="M166" s="55">
        <f t="shared" si="152"/>
        <v>16176.20722</v>
      </c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  <c r="AQ166" s="100"/>
      <c r="AR166" s="100"/>
      <c r="AS166" s="100"/>
      <c r="AT166" s="100"/>
      <c r="AU166" s="100"/>
      <c r="AV166" s="100"/>
      <c r="AW166" s="100"/>
      <c r="AX166" s="100"/>
      <c r="AY166" s="100"/>
      <c r="AZ166" s="100"/>
      <c r="BA166" s="100"/>
      <c r="BB166" s="100"/>
      <c r="BC166" s="100"/>
      <c r="BD166" s="100"/>
      <c r="BE166" s="100"/>
      <c r="BF166" s="100"/>
      <c r="BG166" s="100"/>
      <c r="BH166" s="100"/>
      <c r="BI166" s="100"/>
      <c r="BJ166" s="100"/>
      <c r="BK166" s="100"/>
      <c r="BL166" s="100"/>
      <c r="BM166" s="100"/>
      <c r="BN166" s="100"/>
      <c r="BO166" s="100"/>
      <c r="BP166" s="100"/>
      <c r="BQ166" s="100"/>
      <c r="BR166" s="100"/>
      <c r="BS166" s="100"/>
      <c r="BT166" s="100"/>
      <c r="BU166" s="100"/>
      <c r="BV166" s="100"/>
      <c r="BW166" s="100"/>
      <c r="BX166" s="100"/>
      <c r="BY166" s="100"/>
      <c r="BZ166" s="100"/>
      <c r="CA166" s="100"/>
      <c r="CB166" s="100"/>
      <c r="CC166" s="100"/>
      <c r="CD166" s="100"/>
      <c r="CE166" s="100"/>
      <c r="CF166" s="100"/>
      <c r="CG166" s="100"/>
      <c r="CH166" s="100"/>
      <c r="CI166" s="100"/>
      <c r="CJ166" s="100"/>
      <c r="CK166" s="100"/>
      <c r="CL166" s="100"/>
      <c r="CM166" s="100"/>
      <c r="CN166" s="100"/>
      <c r="CO166" s="100"/>
      <c r="CP166" s="100"/>
      <c r="CQ166" s="100"/>
      <c r="CR166" s="100"/>
      <c r="CS166" s="100"/>
      <c r="CT166" s="100"/>
      <c r="CU166" s="100"/>
      <c r="CV166" s="100"/>
      <c r="CW166" s="100"/>
      <c r="CX166" s="100"/>
      <c r="CY166" s="100"/>
      <c r="CZ166" s="100"/>
      <c r="DA166" s="100"/>
      <c r="DB166" s="100"/>
      <c r="DC166" s="100"/>
      <c r="DD166" s="100"/>
      <c r="DE166" s="100"/>
      <c r="DF166" s="100"/>
      <c r="DG166" s="100"/>
      <c r="DH166" s="100"/>
      <c r="DI166" s="100"/>
      <c r="DJ166" s="100"/>
      <c r="DK166" s="100"/>
      <c r="DL166" s="100"/>
      <c r="DM166" s="100"/>
      <c r="DN166" s="100"/>
      <c r="DO166" s="100"/>
      <c r="DP166" s="100"/>
      <c r="DQ166" s="100"/>
      <c r="DR166" s="100"/>
    </row>
    <row r="167" ht="4.5" customHeight="1"/>
    <row r="168" ht="15.75" customHeight="1">
      <c r="B168" s="47" t="s">
        <v>19</v>
      </c>
    </row>
    <row r="169" ht="15.75" customHeight="1">
      <c r="B169" s="5" t="s">
        <v>82</v>
      </c>
      <c r="F169" s="50">
        <f t="shared" ref="F169:H169" si="153">+SUMIFS($AA169:$DR169,$AA$7:$DR$7,F$7)</f>
        <v>1586.539659</v>
      </c>
      <c r="G169" s="50">
        <f t="shared" si="153"/>
        <v>1493.764722</v>
      </c>
      <c r="H169" s="50">
        <f t="shared" si="153"/>
        <v>1631.737557</v>
      </c>
      <c r="I169" s="52">
        <f>+I162*(1-COGS_Assumptions!I24)</f>
        <v>2111.1372</v>
      </c>
      <c r="J169" s="52">
        <f>+J162*(1-COGS_Assumptions!J24)</f>
        <v>2233.74132</v>
      </c>
      <c r="K169" s="52">
        <f>+K162*(1-COGS_Assumptions!K24)</f>
        <v>2540.044947</v>
      </c>
      <c r="L169" s="52">
        <f>+L162*(1-COGS_Assumptions!L24)</f>
        <v>2868.010993</v>
      </c>
      <c r="M169" s="52">
        <f>+M162*(1-COGS_Assumptions!M24)</f>
        <v>3218.842643</v>
      </c>
      <c r="AA169" s="50">
        <f t="shared" ref="AA169:BJ169" si="154">+SUMIFS(AA$112:AA$157,$C$13:$C$58,$B169)</f>
        <v>140.8407818</v>
      </c>
      <c r="AB169" s="50">
        <f t="shared" si="154"/>
        <v>135.8126532</v>
      </c>
      <c r="AC169" s="50">
        <f t="shared" si="154"/>
        <v>132.0111749</v>
      </c>
      <c r="AD169" s="50">
        <f t="shared" si="154"/>
        <v>93.76304421</v>
      </c>
      <c r="AE169" s="50">
        <f t="shared" si="154"/>
        <v>125.9242694</v>
      </c>
      <c r="AF169" s="50">
        <f t="shared" si="154"/>
        <v>149.7295708</v>
      </c>
      <c r="AG169" s="50">
        <f t="shared" si="154"/>
        <v>105.7950741</v>
      </c>
      <c r="AH169" s="50">
        <f t="shared" si="154"/>
        <v>154.0374862</v>
      </c>
      <c r="AI169" s="50">
        <f t="shared" si="154"/>
        <v>162.3952923</v>
      </c>
      <c r="AJ169" s="50">
        <f t="shared" si="154"/>
        <v>167.1979152</v>
      </c>
      <c r="AK169" s="50">
        <f t="shared" si="154"/>
        <v>131.7964217</v>
      </c>
      <c r="AL169" s="50">
        <f t="shared" si="154"/>
        <v>87.23597533</v>
      </c>
      <c r="AM169" s="50">
        <f t="shared" si="154"/>
        <v>123.0122543</v>
      </c>
      <c r="AN169" s="50">
        <f t="shared" si="154"/>
        <v>112.8017113</v>
      </c>
      <c r="AO169" s="50">
        <f t="shared" si="154"/>
        <v>123.7300424</v>
      </c>
      <c r="AP169" s="50">
        <f t="shared" si="154"/>
        <v>119.8573254</v>
      </c>
      <c r="AQ169" s="50">
        <f t="shared" si="154"/>
        <v>112.1686969</v>
      </c>
      <c r="AR169" s="50">
        <f t="shared" si="154"/>
        <v>142.1649443</v>
      </c>
      <c r="AS169" s="50">
        <f t="shared" si="154"/>
        <v>153.6944898</v>
      </c>
      <c r="AT169" s="50">
        <f t="shared" si="154"/>
        <v>140.1695329</v>
      </c>
      <c r="AU169" s="50">
        <f t="shared" si="154"/>
        <v>135.2724441</v>
      </c>
      <c r="AV169" s="50">
        <f t="shared" si="154"/>
        <v>124.4308608</v>
      </c>
      <c r="AW169" s="50">
        <f t="shared" si="154"/>
        <v>104.9956223</v>
      </c>
      <c r="AX169" s="50">
        <f t="shared" si="154"/>
        <v>101.4667974</v>
      </c>
      <c r="AY169" s="50">
        <f t="shared" si="154"/>
        <v>134.5597031</v>
      </c>
      <c r="AZ169" s="50">
        <f t="shared" si="154"/>
        <v>174.4561419</v>
      </c>
      <c r="BA169" s="50">
        <f t="shared" si="154"/>
        <v>165.3360945</v>
      </c>
      <c r="BB169" s="50">
        <f t="shared" si="154"/>
        <v>144.9223841</v>
      </c>
      <c r="BC169" s="50">
        <f t="shared" si="154"/>
        <v>130.8928234</v>
      </c>
      <c r="BD169" s="50">
        <f t="shared" si="154"/>
        <v>141.1759144</v>
      </c>
      <c r="BE169" s="50">
        <f t="shared" si="154"/>
        <v>152.5813337</v>
      </c>
      <c r="BF169" s="50">
        <f t="shared" si="154"/>
        <v>148.8289329</v>
      </c>
      <c r="BG169" s="50">
        <f t="shared" si="154"/>
        <v>120.5325664</v>
      </c>
      <c r="BH169" s="50">
        <f t="shared" si="154"/>
        <v>131.7319971</v>
      </c>
      <c r="BI169" s="50">
        <f t="shared" si="154"/>
        <v>96.97082034</v>
      </c>
      <c r="BJ169" s="50">
        <f t="shared" si="154"/>
        <v>89.74884475</v>
      </c>
      <c r="BK169" s="119">
        <f t="shared" ref="BK169:DR169" si="155">+SUMIFS($F169:$M169,$F$7:$M$7,BK$7)*BK$175</f>
        <v>159.7661463</v>
      </c>
      <c r="BL169" s="119">
        <f t="shared" si="155"/>
        <v>175.9654186</v>
      </c>
      <c r="BM169" s="119">
        <f t="shared" si="155"/>
        <v>184.8498815</v>
      </c>
      <c r="BN169" s="119">
        <f t="shared" si="155"/>
        <v>161.5140977</v>
      </c>
      <c r="BO169" s="119">
        <f t="shared" si="155"/>
        <v>167.0188298</v>
      </c>
      <c r="BP169" s="119">
        <f t="shared" si="155"/>
        <v>192.7897109</v>
      </c>
      <c r="BQ169" s="119">
        <f t="shared" si="155"/>
        <v>193.9618164</v>
      </c>
      <c r="BR169" s="119">
        <f t="shared" si="155"/>
        <v>204.9990977</v>
      </c>
      <c r="BS169" s="119">
        <f t="shared" si="155"/>
        <v>196.4562688</v>
      </c>
      <c r="BT169" s="119">
        <f t="shared" si="155"/>
        <v>196.5502962</v>
      </c>
      <c r="BU169" s="119">
        <f t="shared" si="155"/>
        <v>152.4680147</v>
      </c>
      <c r="BV169" s="119">
        <f t="shared" si="155"/>
        <v>124.7976213</v>
      </c>
      <c r="BW169" s="119">
        <f t="shared" si="155"/>
        <v>165.7289121</v>
      </c>
      <c r="BX169" s="119">
        <f t="shared" si="155"/>
        <v>188.6533915</v>
      </c>
      <c r="BY169" s="119">
        <f t="shared" si="155"/>
        <v>200.6827208</v>
      </c>
      <c r="BZ169" s="119">
        <f t="shared" si="155"/>
        <v>183.4961738</v>
      </c>
      <c r="CA169" s="119">
        <f t="shared" si="155"/>
        <v>179.9249218</v>
      </c>
      <c r="CB169" s="119">
        <f t="shared" si="155"/>
        <v>202.5309584</v>
      </c>
      <c r="CC169" s="119">
        <f t="shared" si="155"/>
        <v>216.0346156</v>
      </c>
      <c r="CD169" s="119">
        <f t="shared" si="155"/>
        <v>214.233267</v>
      </c>
      <c r="CE169" s="119">
        <f t="shared" si="155"/>
        <v>204.2373437</v>
      </c>
      <c r="CF169" s="119">
        <f t="shared" si="155"/>
        <v>198.1109519</v>
      </c>
      <c r="CG169" s="119">
        <f t="shared" si="155"/>
        <v>149.0833331</v>
      </c>
      <c r="CH169" s="119">
        <f t="shared" si="155"/>
        <v>131.0247302</v>
      </c>
      <c r="CI169" s="119">
        <f t="shared" si="155"/>
        <v>185.8764516</v>
      </c>
      <c r="CJ169" s="119">
        <f t="shared" si="155"/>
        <v>221.3444453</v>
      </c>
      <c r="CK169" s="119">
        <f t="shared" si="155"/>
        <v>233.6667595</v>
      </c>
      <c r="CL169" s="119">
        <f t="shared" si="155"/>
        <v>211.6911153</v>
      </c>
      <c r="CM169" s="119">
        <f t="shared" si="155"/>
        <v>210.4343884</v>
      </c>
      <c r="CN169" s="119">
        <f t="shared" si="155"/>
        <v>226.412658</v>
      </c>
      <c r="CO169" s="119">
        <f t="shared" si="155"/>
        <v>239.8228124</v>
      </c>
      <c r="CP169" s="119">
        <f t="shared" si="155"/>
        <v>242.0208937</v>
      </c>
      <c r="CQ169" s="119">
        <f t="shared" si="155"/>
        <v>229.1143728</v>
      </c>
      <c r="CR169" s="119">
        <f t="shared" si="155"/>
        <v>228.4989473</v>
      </c>
      <c r="CS169" s="119">
        <f t="shared" si="155"/>
        <v>169.3354518</v>
      </c>
      <c r="CT169" s="119">
        <f t="shared" si="155"/>
        <v>141.826651</v>
      </c>
      <c r="CU169" s="119">
        <f t="shared" si="155"/>
        <v>213.236233</v>
      </c>
      <c r="CV169" s="119">
        <f t="shared" si="155"/>
        <v>243.7323599</v>
      </c>
      <c r="CW169" s="119">
        <f t="shared" si="155"/>
        <v>257.5417179</v>
      </c>
      <c r="CX169" s="119">
        <f t="shared" si="155"/>
        <v>231.3477966</v>
      </c>
      <c r="CY169" s="119">
        <f t="shared" si="155"/>
        <v>231.8391164</v>
      </c>
      <c r="CZ169" s="119">
        <f t="shared" si="155"/>
        <v>259.1979449</v>
      </c>
      <c r="DA169" s="119">
        <f t="shared" si="155"/>
        <v>270.5552734</v>
      </c>
      <c r="DB169" s="119">
        <f t="shared" si="155"/>
        <v>275.6097276</v>
      </c>
      <c r="DC169" s="119">
        <f t="shared" si="155"/>
        <v>262.6054585</v>
      </c>
      <c r="DD169" s="119">
        <f t="shared" si="155"/>
        <v>259.7944159</v>
      </c>
      <c r="DE169" s="119">
        <f t="shared" si="155"/>
        <v>196.5817511</v>
      </c>
      <c r="DF169" s="119">
        <f t="shared" si="155"/>
        <v>165.9691982</v>
      </c>
      <c r="DG169" s="119">
        <f t="shared" si="155"/>
        <v>237.8957524</v>
      </c>
      <c r="DH169" s="119">
        <f t="shared" si="155"/>
        <v>275.2982155</v>
      </c>
      <c r="DI169" s="119">
        <f t="shared" si="155"/>
        <v>291.4476446</v>
      </c>
      <c r="DJ169" s="119">
        <f t="shared" si="155"/>
        <v>264.1101536</v>
      </c>
      <c r="DK169" s="119">
        <f t="shared" si="155"/>
        <v>262.0477002</v>
      </c>
      <c r="DL169" s="119">
        <f t="shared" si="155"/>
        <v>289.890804</v>
      </c>
      <c r="DM169" s="119">
        <f t="shared" si="155"/>
        <v>306.290599</v>
      </c>
      <c r="DN169" s="119">
        <f t="shared" si="155"/>
        <v>308.2447579</v>
      </c>
      <c r="DO169" s="119">
        <f t="shared" si="155"/>
        <v>293.1264622</v>
      </c>
      <c r="DP169" s="119">
        <f t="shared" si="155"/>
        <v>288.8721337</v>
      </c>
      <c r="DQ169" s="119">
        <f t="shared" si="155"/>
        <v>216.6825577</v>
      </c>
      <c r="DR169" s="119">
        <f t="shared" si="155"/>
        <v>184.935862</v>
      </c>
    </row>
    <row r="170" ht="15.75" customHeight="1">
      <c r="B170" s="5" t="s">
        <v>76</v>
      </c>
      <c r="F170" s="50">
        <f t="shared" ref="F170:H170" si="156">+SUMIFS($AA170:$DR170,$AA$7:$DR$7,F$7)</f>
        <v>195.371236</v>
      </c>
      <c r="G170" s="50">
        <f t="shared" si="156"/>
        <v>129.0750995</v>
      </c>
      <c r="H170" s="50">
        <f t="shared" si="156"/>
        <v>234.5219206</v>
      </c>
      <c r="I170" s="52">
        <f>+I163*(1-COGS_Assumptions!I25)</f>
        <v>194.05504</v>
      </c>
      <c r="J170" s="52">
        <f>+J163*(1-COGS_Assumptions!J25)</f>
        <v>346.8372837</v>
      </c>
      <c r="K170" s="52">
        <f>+K163*(1-COGS_Assumptions!K25)</f>
        <v>405.6755211</v>
      </c>
      <c r="L170" s="52">
        <f>+L163*(1-COGS_Assumptions!L25)</f>
        <v>466.6756831</v>
      </c>
      <c r="M170" s="52">
        <f>+M163*(1-COGS_Assumptions!M25)</f>
        <v>529.792823</v>
      </c>
      <c r="AA170" s="50">
        <f t="shared" ref="AA170:BJ170" si="157">+SUMIFS(AA$112:AA$157,$C$13:$C$58,$B170)</f>
        <v>3.954635124</v>
      </c>
      <c r="AB170" s="50">
        <f t="shared" si="157"/>
        <v>3.205010153</v>
      </c>
      <c r="AC170" s="50">
        <f t="shared" si="157"/>
        <v>11.96635989</v>
      </c>
      <c r="AD170" s="50">
        <f t="shared" si="157"/>
        <v>11.02065184</v>
      </c>
      <c r="AE170" s="50">
        <f t="shared" si="157"/>
        <v>7.729998893</v>
      </c>
      <c r="AF170" s="50">
        <f t="shared" si="157"/>
        <v>17.78386407</v>
      </c>
      <c r="AG170" s="50">
        <f t="shared" si="157"/>
        <v>31.62363376</v>
      </c>
      <c r="AH170" s="50">
        <f t="shared" si="157"/>
        <v>30.06146468</v>
      </c>
      <c r="AI170" s="50">
        <f t="shared" si="157"/>
        <v>13.30049101</v>
      </c>
      <c r="AJ170" s="50">
        <f t="shared" si="157"/>
        <v>19.49505675</v>
      </c>
      <c r="AK170" s="50">
        <f t="shared" si="157"/>
        <v>24.41213554</v>
      </c>
      <c r="AL170" s="50">
        <f t="shared" si="157"/>
        <v>20.81793429</v>
      </c>
      <c r="AM170" s="50">
        <f t="shared" si="157"/>
        <v>12.5824602</v>
      </c>
      <c r="AN170" s="50">
        <f t="shared" si="157"/>
        <v>17.13308579</v>
      </c>
      <c r="AO170" s="50">
        <f t="shared" si="157"/>
        <v>15.09222139</v>
      </c>
      <c r="AP170" s="50">
        <f t="shared" si="157"/>
        <v>12.58134148</v>
      </c>
      <c r="AQ170" s="50">
        <f t="shared" si="157"/>
        <v>8.905739324</v>
      </c>
      <c r="AR170" s="50">
        <f t="shared" si="157"/>
        <v>11.80706098</v>
      </c>
      <c r="AS170" s="50">
        <f t="shared" si="157"/>
        <v>6.845805065</v>
      </c>
      <c r="AT170" s="50">
        <f t="shared" si="157"/>
        <v>11.21892657</v>
      </c>
      <c r="AU170" s="50">
        <f t="shared" si="157"/>
        <v>10.95849782</v>
      </c>
      <c r="AV170" s="50">
        <f t="shared" si="157"/>
        <v>12.94981839</v>
      </c>
      <c r="AW170" s="50">
        <f t="shared" si="157"/>
        <v>4.503885875</v>
      </c>
      <c r="AX170" s="50">
        <f t="shared" si="157"/>
        <v>4.496256588</v>
      </c>
      <c r="AY170" s="50">
        <f t="shared" si="157"/>
        <v>2.440000327</v>
      </c>
      <c r="AZ170" s="50">
        <f t="shared" si="157"/>
        <v>8.85846195</v>
      </c>
      <c r="BA170" s="50">
        <f t="shared" si="157"/>
        <v>5.585594079</v>
      </c>
      <c r="BB170" s="50">
        <f t="shared" si="157"/>
        <v>14.3330428</v>
      </c>
      <c r="BC170" s="50">
        <f t="shared" si="157"/>
        <v>20.20656324</v>
      </c>
      <c r="BD170" s="50">
        <f t="shared" si="157"/>
        <v>19.44925392</v>
      </c>
      <c r="BE170" s="50">
        <f t="shared" si="157"/>
        <v>36.10837866</v>
      </c>
      <c r="BF170" s="50">
        <f t="shared" si="157"/>
        <v>33.58924945</v>
      </c>
      <c r="BG170" s="50">
        <f t="shared" si="157"/>
        <v>38.31437505</v>
      </c>
      <c r="BH170" s="50">
        <f t="shared" si="157"/>
        <v>31.2888387</v>
      </c>
      <c r="BI170" s="50">
        <f t="shared" si="157"/>
        <v>18.27600538</v>
      </c>
      <c r="BJ170" s="50">
        <f t="shared" si="157"/>
        <v>6.072157059</v>
      </c>
      <c r="BK170" s="119">
        <f t="shared" ref="BK170:DR170" si="158">+SUMIFS($F170:$M170,$F$7:$M$7,BK$7)*BK$175</f>
        <v>14.68565184</v>
      </c>
      <c r="BL170" s="119">
        <f t="shared" si="158"/>
        <v>16.17468365</v>
      </c>
      <c r="BM170" s="119">
        <f t="shared" si="158"/>
        <v>16.99134056</v>
      </c>
      <c r="BN170" s="119">
        <f t="shared" si="158"/>
        <v>14.84632296</v>
      </c>
      <c r="BO170" s="119">
        <f t="shared" si="158"/>
        <v>15.35231614</v>
      </c>
      <c r="BP170" s="119">
        <f t="shared" si="158"/>
        <v>17.72116709</v>
      </c>
      <c r="BQ170" s="119">
        <f t="shared" si="158"/>
        <v>17.82890663</v>
      </c>
      <c r="BR170" s="119">
        <f t="shared" si="158"/>
        <v>18.84344992</v>
      </c>
      <c r="BS170" s="119">
        <f t="shared" si="158"/>
        <v>18.05819589</v>
      </c>
      <c r="BT170" s="119">
        <f t="shared" si="158"/>
        <v>18.06683886</v>
      </c>
      <c r="BU170" s="119">
        <f t="shared" si="158"/>
        <v>14.01480998</v>
      </c>
      <c r="BV170" s="119">
        <f t="shared" si="158"/>
        <v>11.47135648</v>
      </c>
      <c r="BW170" s="119">
        <f t="shared" si="158"/>
        <v>25.7330449</v>
      </c>
      <c r="BX170" s="119">
        <f t="shared" si="158"/>
        <v>29.29257264</v>
      </c>
      <c r="BY170" s="119">
        <f t="shared" si="158"/>
        <v>31.16038958</v>
      </c>
      <c r="BZ170" s="119">
        <f t="shared" si="158"/>
        <v>28.49180159</v>
      </c>
      <c r="CA170" s="119">
        <f t="shared" si="158"/>
        <v>27.93728646</v>
      </c>
      <c r="CB170" s="119">
        <f t="shared" si="158"/>
        <v>31.44736897</v>
      </c>
      <c r="CC170" s="119">
        <f t="shared" si="158"/>
        <v>33.54410763</v>
      </c>
      <c r="CD170" s="119">
        <f t="shared" si="158"/>
        <v>33.2644088</v>
      </c>
      <c r="CE170" s="119">
        <f t="shared" si="158"/>
        <v>31.71232268</v>
      </c>
      <c r="CF170" s="119">
        <f t="shared" si="158"/>
        <v>30.76106612</v>
      </c>
      <c r="CG170" s="119">
        <f t="shared" si="158"/>
        <v>23.14845405</v>
      </c>
      <c r="CH170" s="119">
        <f t="shared" si="158"/>
        <v>20.34446027</v>
      </c>
      <c r="CI170" s="119">
        <f t="shared" si="158"/>
        <v>29.68668978</v>
      </c>
      <c r="CJ170" s="119">
        <f t="shared" si="158"/>
        <v>35.35135206</v>
      </c>
      <c r="CK170" s="119">
        <f t="shared" si="158"/>
        <v>37.31937284</v>
      </c>
      <c r="CL170" s="119">
        <f t="shared" si="158"/>
        <v>33.80959995</v>
      </c>
      <c r="CM170" s="119">
        <f t="shared" si="158"/>
        <v>33.60888566</v>
      </c>
      <c r="CN170" s="119">
        <f t="shared" si="158"/>
        <v>36.16080618</v>
      </c>
      <c r="CO170" s="119">
        <f t="shared" si="158"/>
        <v>38.30256804</v>
      </c>
      <c r="CP170" s="119">
        <f t="shared" si="158"/>
        <v>38.65362787</v>
      </c>
      <c r="CQ170" s="119">
        <f t="shared" si="158"/>
        <v>36.59230231</v>
      </c>
      <c r="CR170" s="119">
        <f t="shared" si="158"/>
        <v>36.49401151</v>
      </c>
      <c r="CS170" s="119">
        <f t="shared" si="158"/>
        <v>27.04489452</v>
      </c>
      <c r="CT170" s="119">
        <f t="shared" si="158"/>
        <v>22.65141041</v>
      </c>
      <c r="CU170" s="119">
        <f t="shared" si="158"/>
        <v>34.6972745</v>
      </c>
      <c r="CV170" s="119">
        <f t="shared" si="158"/>
        <v>39.65952914</v>
      </c>
      <c r="CW170" s="119">
        <f t="shared" si="158"/>
        <v>41.90655385</v>
      </c>
      <c r="CX170" s="119">
        <f t="shared" si="158"/>
        <v>37.64434351</v>
      </c>
      <c r="CY170" s="119">
        <f t="shared" si="158"/>
        <v>37.72428985</v>
      </c>
      <c r="CZ170" s="119">
        <f t="shared" si="158"/>
        <v>42.17605103</v>
      </c>
      <c r="DA170" s="119">
        <f t="shared" si="158"/>
        <v>44.02408754</v>
      </c>
      <c r="DB170" s="119">
        <f t="shared" si="158"/>
        <v>44.84653587</v>
      </c>
      <c r="DC170" s="119">
        <f t="shared" si="158"/>
        <v>42.73051325</v>
      </c>
      <c r="DD170" s="119">
        <f t="shared" si="158"/>
        <v>42.27310731</v>
      </c>
      <c r="DE170" s="119">
        <f t="shared" si="158"/>
        <v>31.98729824</v>
      </c>
      <c r="DF170" s="119">
        <f t="shared" si="158"/>
        <v>27.00609905</v>
      </c>
      <c r="DG170" s="119">
        <f t="shared" si="158"/>
        <v>39.15552148</v>
      </c>
      <c r="DH170" s="119">
        <f t="shared" si="158"/>
        <v>45.31163369</v>
      </c>
      <c r="DI170" s="119">
        <f t="shared" si="158"/>
        <v>47.96968586</v>
      </c>
      <c r="DJ170" s="119">
        <f t="shared" si="158"/>
        <v>43.47017838</v>
      </c>
      <c r="DK170" s="119">
        <f t="shared" si="158"/>
        <v>43.13071692</v>
      </c>
      <c r="DL170" s="119">
        <f t="shared" si="158"/>
        <v>47.71344376</v>
      </c>
      <c r="DM170" s="119">
        <f t="shared" si="158"/>
        <v>50.41270393</v>
      </c>
      <c r="DN170" s="119">
        <f t="shared" si="158"/>
        <v>50.73434107</v>
      </c>
      <c r="DO170" s="119">
        <f t="shared" si="158"/>
        <v>48.24600428</v>
      </c>
      <c r="DP170" s="119">
        <f t="shared" si="158"/>
        <v>47.5457797</v>
      </c>
      <c r="DQ170" s="119">
        <f t="shared" si="158"/>
        <v>35.66401863</v>
      </c>
      <c r="DR170" s="119">
        <f t="shared" si="158"/>
        <v>30.43879534</v>
      </c>
    </row>
    <row r="171" ht="15.75" customHeight="1">
      <c r="B171" s="5" t="s">
        <v>74</v>
      </c>
      <c r="F171" s="50">
        <f t="shared" ref="F171:H171" si="159">+SUMIFS($AA171:$DR171,$AA$7:$DR$7,F$7)</f>
        <v>104.4632351</v>
      </c>
      <c r="G171" s="50">
        <f t="shared" si="159"/>
        <v>223.9928666</v>
      </c>
      <c r="H171" s="50">
        <f t="shared" si="159"/>
        <v>337.8599495</v>
      </c>
      <c r="I171" s="52">
        <f>+I164*(1-COGS_Assumptions!I26)</f>
        <v>281.6470588</v>
      </c>
      <c r="J171" s="52">
        <f>+J164*(1-COGS_Assumptions!J26)</f>
        <v>406.9260943</v>
      </c>
      <c r="K171" s="52">
        <f>+K164*(1-COGS_Assumptions!K26)</f>
        <v>503.2057035</v>
      </c>
      <c r="L171" s="52">
        <f>+L164*(1-COGS_Assumptions!L26)</f>
        <v>630.4817964</v>
      </c>
      <c r="M171" s="52">
        <f>+M164*(1-COGS_Assumptions!M26)</f>
        <v>811.1356433</v>
      </c>
      <c r="AA171" s="50">
        <f t="shared" ref="AA171:BJ171" si="160">+SUMIFS(AA$112:AA$157,$C$13:$C$58,$B171)</f>
        <v>2.768428566</v>
      </c>
      <c r="AB171" s="50">
        <f t="shared" si="160"/>
        <v>10.04438376</v>
      </c>
      <c r="AC171" s="50">
        <f t="shared" si="160"/>
        <v>10.52410932</v>
      </c>
      <c r="AD171" s="50">
        <f t="shared" si="160"/>
        <v>8.3537877</v>
      </c>
      <c r="AE171" s="50">
        <f t="shared" si="160"/>
        <v>9.553272976</v>
      </c>
      <c r="AF171" s="50">
        <f t="shared" si="160"/>
        <v>11.43514793</v>
      </c>
      <c r="AG171" s="50">
        <f t="shared" si="160"/>
        <v>9.649946878</v>
      </c>
      <c r="AH171" s="50">
        <f t="shared" si="160"/>
        <v>8.272531059</v>
      </c>
      <c r="AI171" s="50">
        <f t="shared" si="160"/>
        <v>8.553392378</v>
      </c>
      <c r="AJ171" s="50">
        <f t="shared" si="160"/>
        <v>10.73752846</v>
      </c>
      <c r="AK171" s="50">
        <f t="shared" si="160"/>
        <v>7.479150772</v>
      </c>
      <c r="AL171" s="50">
        <f t="shared" si="160"/>
        <v>7.091555332</v>
      </c>
      <c r="AM171" s="50">
        <f t="shared" si="160"/>
        <v>6.594945919</v>
      </c>
      <c r="AN171" s="50">
        <f t="shared" si="160"/>
        <v>8.163864709</v>
      </c>
      <c r="AO171" s="50">
        <f t="shared" si="160"/>
        <v>9.263799791</v>
      </c>
      <c r="AP171" s="50">
        <f t="shared" si="160"/>
        <v>11.99919132</v>
      </c>
      <c r="AQ171" s="50">
        <f t="shared" si="160"/>
        <v>10.79960744</v>
      </c>
      <c r="AR171" s="50">
        <f t="shared" si="160"/>
        <v>24.05749495</v>
      </c>
      <c r="AS171" s="50">
        <f t="shared" si="160"/>
        <v>37.22810085</v>
      </c>
      <c r="AT171" s="50">
        <f t="shared" si="160"/>
        <v>33.9721087</v>
      </c>
      <c r="AU171" s="50">
        <f t="shared" si="160"/>
        <v>27.47122826</v>
      </c>
      <c r="AV171" s="50">
        <f t="shared" si="160"/>
        <v>21.12235851</v>
      </c>
      <c r="AW171" s="50">
        <f t="shared" si="160"/>
        <v>13.37710685</v>
      </c>
      <c r="AX171" s="50">
        <f t="shared" si="160"/>
        <v>19.94305935</v>
      </c>
      <c r="AY171" s="50">
        <f t="shared" si="160"/>
        <v>17.2512281</v>
      </c>
      <c r="AZ171" s="50">
        <f t="shared" si="160"/>
        <v>24.89739139</v>
      </c>
      <c r="BA171" s="50">
        <f t="shared" si="160"/>
        <v>46.84588719</v>
      </c>
      <c r="BB171" s="50">
        <f t="shared" si="160"/>
        <v>39.374436</v>
      </c>
      <c r="BC171" s="50">
        <f t="shared" si="160"/>
        <v>46.79355858</v>
      </c>
      <c r="BD171" s="50">
        <f t="shared" si="160"/>
        <v>26.37215653</v>
      </c>
      <c r="BE171" s="50">
        <f t="shared" si="160"/>
        <v>23.78713057</v>
      </c>
      <c r="BF171" s="50">
        <f t="shared" si="160"/>
        <v>24.2166404</v>
      </c>
      <c r="BG171" s="50">
        <f t="shared" si="160"/>
        <v>30.05967724</v>
      </c>
      <c r="BH171" s="50">
        <f t="shared" si="160"/>
        <v>29.61778277</v>
      </c>
      <c r="BI171" s="50">
        <f t="shared" si="160"/>
        <v>15.77251143</v>
      </c>
      <c r="BJ171" s="50">
        <f t="shared" si="160"/>
        <v>12.87154931</v>
      </c>
      <c r="BK171" s="119">
        <f t="shared" ref="BK171:DR171" si="161">+SUMIFS($F171:$M171,$F$7:$M$7,BK$7)*BK$75</f>
        <v>24.35563376</v>
      </c>
      <c r="BL171" s="119">
        <f t="shared" si="161"/>
        <v>24.75664781</v>
      </c>
      <c r="BM171" s="119">
        <f t="shared" si="161"/>
        <v>24.42599479</v>
      </c>
      <c r="BN171" s="119">
        <f t="shared" si="161"/>
        <v>26.27564189</v>
      </c>
      <c r="BO171" s="119">
        <f t="shared" si="161"/>
        <v>23.11084093</v>
      </c>
      <c r="BP171" s="119">
        <f t="shared" si="161"/>
        <v>22.84260071</v>
      </c>
      <c r="BQ171" s="119">
        <f t="shared" si="161"/>
        <v>23.180424</v>
      </c>
      <c r="BR171" s="119">
        <f t="shared" si="161"/>
        <v>24.74557438</v>
      </c>
      <c r="BS171" s="119">
        <f t="shared" si="161"/>
        <v>21.72021435</v>
      </c>
      <c r="BT171" s="119">
        <f t="shared" si="161"/>
        <v>24.73998878</v>
      </c>
      <c r="BU171" s="119">
        <f t="shared" si="161"/>
        <v>22.68279166</v>
      </c>
      <c r="BV171" s="119">
        <f t="shared" si="161"/>
        <v>18.81070576</v>
      </c>
      <c r="BW171" s="119">
        <f t="shared" si="161"/>
        <v>36.0227567</v>
      </c>
      <c r="BX171" s="119">
        <f t="shared" si="161"/>
        <v>36.82080769</v>
      </c>
      <c r="BY171" s="119">
        <f t="shared" si="161"/>
        <v>35.93522336</v>
      </c>
      <c r="BZ171" s="119">
        <f t="shared" si="161"/>
        <v>37.71801959</v>
      </c>
      <c r="CA171" s="119">
        <f t="shared" si="161"/>
        <v>31.83819648</v>
      </c>
      <c r="CB171" s="119">
        <f t="shared" si="161"/>
        <v>31.80141011</v>
      </c>
      <c r="CC171" s="119">
        <f t="shared" si="161"/>
        <v>32.46697384</v>
      </c>
      <c r="CD171" s="119">
        <f t="shared" si="161"/>
        <v>35.30080218</v>
      </c>
      <c r="CE171" s="119">
        <f t="shared" si="161"/>
        <v>31.86782786</v>
      </c>
      <c r="CF171" s="119">
        <f t="shared" si="161"/>
        <v>36.95441292</v>
      </c>
      <c r="CG171" s="119">
        <f t="shared" si="161"/>
        <v>32.73473723</v>
      </c>
      <c r="CH171" s="119">
        <f t="shared" si="161"/>
        <v>27.46492634</v>
      </c>
      <c r="CI171" s="119">
        <f t="shared" si="161"/>
        <v>43.86530528</v>
      </c>
      <c r="CJ171" s="119">
        <f t="shared" si="161"/>
        <v>42.96752932</v>
      </c>
      <c r="CK171" s="119">
        <f t="shared" si="161"/>
        <v>42.78247286</v>
      </c>
      <c r="CL171" s="119">
        <f t="shared" si="161"/>
        <v>45.34267281</v>
      </c>
      <c r="CM171" s="119">
        <f t="shared" si="161"/>
        <v>40.18801953</v>
      </c>
      <c r="CN171" s="119">
        <f t="shared" si="161"/>
        <v>39.41892821</v>
      </c>
      <c r="CO171" s="119">
        <f t="shared" si="161"/>
        <v>40.24577838</v>
      </c>
      <c r="CP171" s="119">
        <f t="shared" si="161"/>
        <v>43.71643806</v>
      </c>
      <c r="CQ171" s="119">
        <f t="shared" si="161"/>
        <v>40.5751834</v>
      </c>
      <c r="CR171" s="119">
        <f t="shared" si="161"/>
        <v>46.62403062</v>
      </c>
      <c r="CS171" s="119">
        <f t="shared" si="161"/>
        <v>41.93394557</v>
      </c>
      <c r="CT171" s="119">
        <f t="shared" si="161"/>
        <v>35.54539941</v>
      </c>
      <c r="CU171" s="119">
        <f t="shared" si="161"/>
        <v>55.09812347</v>
      </c>
      <c r="CV171" s="119">
        <f t="shared" si="161"/>
        <v>55.43456406</v>
      </c>
      <c r="CW171" s="119">
        <f t="shared" si="161"/>
        <v>54.65318045</v>
      </c>
      <c r="CX171" s="119">
        <f t="shared" si="161"/>
        <v>58.02334985</v>
      </c>
      <c r="CY171" s="119">
        <f t="shared" si="161"/>
        <v>50.4723308</v>
      </c>
      <c r="CZ171" s="119">
        <f t="shared" si="161"/>
        <v>49.93196952</v>
      </c>
      <c r="DA171" s="119">
        <f t="shared" si="161"/>
        <v>50.87311286</v>
      </c>
      <c r="DB171" s="119">
        <f t="shared" si="161"/>
        <v>54.95405776</v>
      </c>
      <c r="DC171" s="119">
        <f t="shared" si="161"/>
        <v>49.61166702</v>
      </c>
      <c r="DD171" s="119">
        <f t="shared" si="161"/>
        <v>57.01824902</v>
      </c>
      <c r="DE171" s="119">
        <f t="shared" si="161"/>
        <v>51.34512831</v>
      </c>
      <c r="DF171" s="119">
        <f t="shared" si="161"/>
        <v>43.06606324</v>
      </c>
      <c r="DG171" s="119">
        <f t="shared" si="161"/>
        <v>71.13289176</v>
      </c>
      <c r="DH171" s="119">
        <f t="shared" si="161"/>
        <v>71.32504459</v>
      </c>
      <c r="DI171" s="119">
        <f t="shared" si="161"/>
        <v>70.30210065</v>
      </c>
      <c r="DJ171" s="119">
        <f t="shared" si="161"/>
        <v>74.30756895</v>
      </c>
      <c r="DK171" s="119">
        <f t="shared" si="161"/>
        <v>64.39290131</v>
      </c>
      <c r="DL171" s="119">
        <f t="shared" si="161"/>
        <v>63.72348591</v>
      </c>
      <c r="DM171" s="119">
        <f t="shared" si="161"/>
        <v>65.01359466</v>
      </c>
      <c r="DN171" s="119">
        <f t="shared" si="161"/>
        <v>70.51142535</v>
      </c>
      <c r="DO171" s="119">
        <f t="shared" si="161"/>
        <v>64.25152669</v>
      </c>
      <c r="DP171" s="119">
        <f t="shared" si="161"/>
        <v>74.0576544</v>
      </c>
      <c r="DQ171" s="119">
        <f t="shared" si="161"/>
        <v>66.30100168</v>
      </c>
      <c r="DR171" s="119">
        <f t="shared" si="161"/>
        <v>55.81644734</v>
      </c>
    </row>
    <row r="172" ht="15.75" customHeight="1">
      <c r="B172" s="5" t="s">
        <v>70</v>
      </c>
      <c r="F172" s="50">
        <f t="shared" ref="F172:H172" si="162">+SUMIFS($AA172:$DR172,$AA$7:$DR$7,F$7)</f>
        <v>62.15226467</v>
      </c>
      <c r="G172" s="50">
        <f t="shared" si="162"/>
        <v>104.0125595</v>
      </c>
      <c r="H172" s="50">
        <f t="shared" si="162"/>
        <v>87.31205643</v>
      </c>
      <c r="I172" s="52">
        <f>+I165*(1-COGS_Assumptions!I27)</f>
        <v>104</v>
      </c>
      <c r="J172" s="52">
        <f>+J165*(1-COGS_Assumptions!J27)</f>
        <v>177.2014253</v>
      </c>
      <c r="K172" s="52">
        <f>+K165*(1-COGS_Assumptions!K27)</f>
        <v>211.8845155</v>
      </c>
      <c r="L172" s="52">
        <f>+L165*(1-COGS_Assumptions!L27)</f>
        <v>258.5017167</v>
      </c>
      <c r="M172" s="52">
        <f>+M165*(1-COGS_Assumptions!M27)</f>
        <v>323.8008274</v>
      </c>
      <c r="AA172" s="50">
        <f t="shared" ref="AA172:BJ172" si="163">+SUMIFS(AA$112:AA$157,$C$13:$C$58,$B172)</f>
        <v>8.573127592</v>
      </c>
      <c r="AB172" s="50">
        <f t="shared" si="163"/>
        <v>6.888893139</v>
      </c>
      <c r="AC172" s="50">
        <f t="shared" si="163"/>
        <v>2.769738276</v>
      </c>
      <c r="AD172" s="50">
        <f t="shared" si="163"/>
        <v>2.956794964</v>
      </c>
      <c r="AE172" s="50">
        <f t="shared" si="163"/>
        <v>2.555424739</v>
      </c>
      <c r="AF172" s="50">
        <f t="shared" si="163"/>
        <v>2.799111914</v>
      </c>
      <c r="AG172" s="50">
        <f t="shared" si="163"/>
        <v>3.668000837</v>
      </c>
      <c r="AH172" s="50">
        <f t="shared" si="163"/>
        <v>3.827733823</v>
      </c>
      <c r="AI172" s="50">
        <f t="shared" si="163"/>
        <v>6.569563781</v>
      </c>
      <c r="AJ172" s="50">
        <f t="shared" si="163"/>
        <v>9.767811698</v>
      </c>
      <c r="AK172" s="50">
        <f t="shared" si="163"/>
        <v>9.065871784</v>
      </c>
      <c r="AL172" s="50">
        <f t="shared" si="163"/>
        <v>2.710192124</v>
      </c>
      <c r="AM172" s="50">
        <f t="shared" si="163"/>
        <v>8.490614735</v>
      </c>
      <c r="AN172" s="50">
        <f t="shared" si="163"/>
        <v>10.94423006</v>
      </c>
      <c r="AO172" s="50">
        <f t="shared" si="163"/>
        <v>14.58831131</v>
      </c>
      <c r="AP172" s="50">
        <f t="shared" si="163"/>
        <v>8.831048861</v>
      </c>
      <c r="AQ172" s="50">
        <f t="shared" si="163"/>
        <v>11.8146385</v>
      </c>
      <c r="AR172" s="50">
        <f t="shared" si="163"/>
        <v>7.815759193</v>
      </c>
      <c r="AS172" s="50">
        <f t="shared" si="163"/>
        <v>4.352282566</v>
      </c>
      <c r="AT172" s="50">
        <f t="shared" si="163"/>
        <v>5.402640991</v>
      </c>
      <c r="AU172" s="50">
        <f t="shared" si="163"/>
        <v>11.87915743</v>
      </c>
      <c r="AV172" s="50">
        <f t="shared" si="163"/>
        <v>7.094279529</v>
      </c>
      <c r="AW172" s="50">
        <f t="shared" si="163"/>
        <v>7.766013979</v>
      </c>
      <c r="AX172" s="50">
        <f t="shared" si="163"/>
        <v>5.033582306</v>
      </c>
      <c r="AY172" s="50">
        <f t="shared" si="163"/>
        <v>5.379451597</v>
      </c>
      <c r="AZ172" s="50">
        <f t="shared" si="163"/>
        <v>6.308546618</v>
      </c>
      <c r="BA172" s="50">
        <f t="shared" si="163"/>
        <v>8.118457193</v>
      </c>
      <c r="BB172" s="50">
        <f t="shared" si="163"/>
        <v>10.74111987</v>
      </c>
      <c r="BC172" s="50">
        <f t="shared" si="163"/>
        <v>5.765514371</v>
      </c>
      <c r="BD172" s="50">
        <f t="shared" si="163"/>
        <v>8.74257116</v>
      </c>
      <c r="BE172" s="50">
        <f t="shared" si="163"/>
        <v>4.431238742</v>
      </c>
      <c r="BF172" s="50">
        <f t="shared" si="163"/>
        <v>6.090063746</v>
      </c>
      <c r="BG172" s="50">
        <f t="shared" si="163"/>
        <v>8.41496669</v>
      </c>
      <c r="BH172" s="50">
        <f t="shared" si="163"/>
        <v>9.19995821</v>
      </c>
      <c r="BI172" s="50">
        <f t="shared" si="163"/>
        <v>8.841908113</v>
      </c>
      <c r="BJ172" s="50">
        <f t="shared" si="163"/>
        <v>5.278260112</v>
      </c>
      <c r="BK172" s="119">
        <f t="shared" ref="BK172:DR172" si="164">+SUMIFS($F172:$M172,$F$7:$M$7,BK$7)*BK$75</f>
        <v>8.993475455</v>
      </c>
      <c r="BL172" s="119">
        <f t="shared" si="164"/>
        <v>9.14155249</v>
      </c>
      <c r="BM172" s="119">
        <f t="shared" si="164"/>
        <v>9.019456723</v>
      </c>
      <c r="BN172" s="119">
        <f t="shared" si="164"/>
        <v>9.702450888</v>
      </c>
      <c r="BO172" s="119">
        <f t="shared" si="164"/>
        <v>8.533827646</v>
      </c>
      <c r="BP172" s="119">
        <f t="shared" si="164"/>
        <v>8.434778208</v>
      </c>
      <c r="BQ172" s="119">
        <f t="shared" si="164"/>
        <v>8.559521646</v>
      </c>
      <c r="BR172" s="119">
        <f t="shared" si="164"/>
        <v>9.137463557</v>
      </c>
      <c r="BS172" s="119">
        <f t="shared" si="164"/>
        <v>8.020329777</v>
      </c>
      <c r="BT172" s="119">
        <f t="shared" si="164"/>
        <v>9.135401035</v>
      </c>
      <c r="BU172" s="119">
        <f t="shared" si="164"/>
        <v>8.375767682</v>
      </c>
      <c r="BV172" s="119">
        <f t="shared" si="164"/>
        <v>6.945974892</v>
      </c>
      <c r="BW172" s="119">
        <f t="shared" si="164"/>
        <v>15.68659253</v>
      </c>
      <c r="BX172" s="119">
        <f t="shared" si="164"/>
        <v>16.03411454</v>
      </c>
      <c r="BY172" s="119">
        <f t="shared" si="164"/>
        <v>15.64847497</v>
      </c>
      <c r="BZ172" s="119">
        <f t="shared" si="164"/>
        <v>16.4248175</v>
      </c>
      <c r="CA172" s="119">
        <f t="shared" si="164"/>
        <v>13.86436966</v>
      </c>
      <c r="CB172" s="119">
        <f t="shared" si="164"/>
        <v>13.84835054</v>
      </c>
      <c r="CC172" s="119">
        <f t="shared" si="164"/>
        <v>14.1381792</v>
      </c>
      <c r="CD172" s="119">
        <f t="shared" si="164"/>
        <v>15.37220775</v>
      </c>
      <c r="CE172" s="119">
        <f t="shared" si="164"/>
        <v>13.87727304</v>
      </c>
      <c r="CF172" s="119">
        <f t="shared" si="164"/>
        <v>16.09229473</v>
      </c>
      <c r="CG172" s="119">
        <f t="shared" si="164"/>
        <v>14.25478035</v>
      </c>
      <c r="CH172" s="119">
        <f t="shared" si="164"/>
        <v>11.95997053</v>
      </c>
      <c r="CI172" s="119">
        <f t="shared" si="164"/>
        <v>18.47033706</v>
      </c>
      <c r="CJ172" s="119">
        <f t="shared" si="164"/>
        <v>18.0923111</v>
      </c>
      <c r="CK172" s="119">
        <f t="shared" si="164"/>
        <v>18.01438948</v>
      </c>
      <c r="CL172" s="119">
        <f t="shared" si="164"/>
        <v>19.0924113</v>
      </c>
      <c r="CM172" s="119">
        <f t="shared" si="164"/>
        <v>16.92194462</v>
      </c>
      <c r="CN172" s="119">
        <f t="shared" si="164"/>
        <v>16.59810381</v>
      </c>
      <c r="CO172" s="119">
        <f t="shared" si="164"/>
        <v>16.9462651</v>
      </c>
      <c r="CP172" s="119">
        <f t="shared" si="164"/>
        <v>18.40765363</v>
      </c>
      <c r="CQ172" s="119">
        <f t="shared" si="164"/>
        <v>17.08496747</v>
      </c>
      <c r="CR172" s="119">
        <f t="shared" si="164"/>
        <v>19.63195184</v>
      </c>
      <c r="CS172" s="119">
        <f t="shared" si="164"/>
        <v>17.65710062</v>
      </c>
      <c r="CT172" s="119">
        <f t="shared" si="164"/>
        <v>14.96707943</v>
      </c>
      <c r="CU172" s="119">
        <f t="shared" si="164"/>
        <v>22.59059593</v>
      </c>
      <c r="CV172" s="119">
        <f t="shared" si="164"/>
        <v>22.72853881</v>
      </c>
      <c r="CW172" s="119">
        <f t="shared" si="164"/>
        <v>22.40816635</v>
      </c>
      <c r="CX172" s="119">
        <f t="shared" si="164"/>
        <v>23.78995815</v>
      </c>
      <c r="CY172" s="119">
        <f t="shared" si="164"/>
        <v>20.69399027</v>
      </c>
      <c r="CZ172" s="119">
        <f t="shared" si="164"/>
        <v>20.47243856</v>
      </c>
      <c r="DA172" s="119">
        <f t="shared" si="164"/>
        <v>20.85831357</v>
      </c>
      <c r="DB172" s="119">
        <f t="shared" si="164"/>
        <v>22.53152804</v>
      </c>
      <c r="DC172" s="119">
        <f t="shared" si="164"/>
        <v>20.34111241</v>
      </c>
      <c r="DD172" s="119">
        <f t="shared" si="164"/>
        <v>23.37786014</v>
      </c>
      <c r="DE172" s="119">
        <f t="shared" si="164"/>
        <v>21.05184304</v>
      </c>
      <c r="DF172" s="119">
        <f t="shared" si="164"/>
        <v>17.65737147</v>
      </c>
      <c r="DG172" s="119">
        <f t="shared" si="164"/>
        <v>28.39585389</v>
      </c>
      <c r="DH172" s="119">
        <f t="shared" si="164"/>
        <v>28.47256023</v>
      </c>
      <c r="DI172" s="119">
        <f t="shared" si="164"/>
        <v>28.06420671</v>
      </c>
      <c r="DJ172" s="119">
        <f t="shared" si="164"/>
        <v>29.66316733</v>
      </c>
      <c r="DK172" s="119">
        <f t="shared" si="164"/>
        <v>25.70528727</v>
      </c>
      <c r="DL172" s="119">
        <f t="shared" si="164"/>
        <v>25.43806037</v>
      </c>
      <c r="DM172" s="119">
        <f t="shared" si="164"/>
        <v>25.9530646</v>
      </c>
      <c r="DN172" s="119">
        <f t="shared" si="164"/>
        <v>28.14776796</v>
      </c>
      <c r="DO172" s="119">
        <f t="shared" si="164"/>
        <v>25.64885131</v>
      </c>
      <c r="DP172" s="119">
        <f t="shared" si="164"/>
        <v>29.56340283</v>
      </c>
      <c r="DQ172" s="119">
        <f t="shared" si="164"/>
        <v>26.4669903</v>
      </c>
      <c r="DR172" s="119">
        <f t="shared" si="164"/>
        <v>22.28161465</v>
      </c>
    </row>
    <row r="173" ht="15.75" customHeight="1">
      <c r="B173" s="54" t="s">
        <v>145</v>
      </c>
      <c r="C173" s="54"/>
      <c r="D173" s="54"/>
      <c r="F173" s="55">
        <f t="shared" ref="F173:M173" si="165">+SUMIFS($AA173:$DR173,$AA$7:$DR$7,F$7)</f>
        <v>1948.526395</v>
      </c>
      <c r="G173" s="55">
        <f t="shared" si="165"/>
        <v>1950.845247</v>
      </c>
      <c r="H173" s="55">
        <f t="shared" si="165"/>
        <v>2291.431483</v>
      </c>
      <c r="I173" s="55">
        <f t="shared" si="165"/>
        <v>2690.839299</v>
      </c>
      <c r="J173" s="55">
        <f t="shared" si="165"/>
        <v>3164.706123</v>
      </c>
      <c r="K173" s="55">
        <f t="shared" si="165"/>
        <v>3660.810687</v>
      </c>
      <c r="L173" s="55">
        <f t="shared" si="165"/>
        <v>4223.67019</v>
      </c>
      <c r="M173" s="55">
        <f t="shared" si="165"/>
        <v>4883.571937</v>
      </c>
      <c r="AA173" s="55">
        <f t="shared" ref="AA173:DR173" si="166">SUM(AA169:AA172)</f>
        <v>156.1369731</v>
      </c>
      <c r="AB173" s="55">
        <f t="shared" si="166"/>
        <v>155.9509402</v>
      </c>
      <c r="AC173" s="55">
        <f t="shared" si="166"/>
        <v>157.2713824</v>
      </c>
      <c r="AD173" s="55">
        <f t="shared" si="166"/>
        <v>116.0942787</v>
      </c>
      <c r="AE173" s="55">
        <f t="shared" si="166"/>
        <v>145.762966</v>
      </c>
      <c r="AF173" s="55">
        <f t="shared" si="166"/>
        <v>181.7476947</v>
      </c>
      <c r="AG173" s="55">
        <f t="shared" si="166"/>
        <v>150.7366555</v>
      </c>
      <c r="AH173" s="55">
        <f t="shared" si="166"/>
        <v>196.1992158</v>
      </c>
      <c r="AI173" s="55">
        <f t="shared" si="166"/>
        <v>190.8187394</v>
      </c>
      <c r="AJ173" s="55">
        <f t="shared" si="166"/>
        <v>207.1983121</v>
      </c>
      <c r="AK173" s="55">
        <f t="shared" si="166"/>
        <v>172.7535798</v>
      </c>
      <c r="AL173" s="55">
        <f t="shared" si="166"/>
        <v>117.8556571</v>
      </c>
      <c r="AM173" s="55">
        <f t="shared" si="166"/>
        <v>150.6802751</v>
      </c>
      <c r="AN173" s="55">
        <f t="shared" si="166"/>
        <v>149.0428919</v>
      </c>
      <c r="AO173" s="55">
        <f t="shared" si="166"/>
        <v>162.6743749</v>
      </c>
      <c r="AP173" s="55">
        <f t="shared" si="166"/>
        <v>153.268907</v>
      </c>
      <c r="AQ173" s="55">
        <f t="shared" si="166"/>
        <v>143.6886821</v>
      </c>
      <c r="AR173" s="55">
        <f t="shared" si="166"/>
        <v>185.8452595</v>
      </c>
      <c r="AS173" s="55">
        <f t="shared" si="166"/>
        <v>202.1206783</v>
      </c>
      <c r="AT173" s="55">
        <f t="shared" si="166"/>
        <v>190.7632091</v>
      </c>
      <c r="AU173" s="55">
        <f t="shared" si="166"/>
        <v>185.5813276</v>
      </c>
      <c r="AV173" s="55">
        <f t="shared" si="166"/>
        <v>165.5973172</v>
      </c>
      <c r="AW173" s="55">
        <f t="shared" si="166"/>
        <v>130.642629</v>
      </c>
      <c r="AX173" s="55">
        <f t="shared" si="166"/>
        <v>130.9396956</v>
      </c>
      <c r="AY173" s="55">
        <f t="shared" si="166"/>
        <v>159.6303831</v>
      </c>
      <c r="AZ173" s="55">
        <f t="shared" si="166"/>
        <v>214.5205418</v>
      </c>
      <c r="BA173" s="55">
        <f t="shared" si="166"/>
        <v>225.8860329</v>
      </c>
      <c r="BB173" s="55">
        <f t="shared" si="166"/>
        <v>209.3709828</v>
      </c>
      <c r="BC173" s="55">
        <f t="shared" si="166"/>
        <v>203.6584596</v>
      </c>
      <c r="BD173" s="55">
        <f t="shared" si="166"/>
        <v>195.739896</v>
      </c>
      <c r="BE173" s="55">
        <f t="shared" si="166"/>
        <v>216.9080817</v>
      </c>
      <c r="BF173" s="55">
        <f t="shared" si="166"/>
        <v>212.7248865</v>
      </c>
      <c r="BG173" s="55">
        <f t="shared" si="166"/>
        <v>197.3215854</v>
      </c>
      <c r="BH173" s="55">
        <f t="shared" si="166"/>
        <v>201.8385768</v>
      </c>
      <c r="BI173" s="55">
        <f t="shared" si="166"/>
        <v>139.8612453</v>
      </c>
      <c r="BJ173" s="55">
        <f t="shared" si="166"/>
        <v>113.9708112</v>
      </c>
      <c r="BK173" s="55">
        <f t="shared" si="166"/>
        <v>207.8009073</v>
      </c>
      <c r="BL173" s="55">
        <f t="shared" si="166"/>
        <v>226.0383026</v>
      </c>
      <c r="BM173" s="55">
        <f t="shared" si="166"/>
        <v>235.2866736</v>
      </c>
      <c r="BN173" s="55">
        <f t="shared" si="166"/>
        <v>212.3385135</v>
      </c>
      <c r="BO173" s="55">
        <f t="shared" si="166"/>
        <v>214.0158145</v>
      </c>
      <c r="BP173" s="55">
        <f t="shared" si="166"/>
        <v>241.7882569</v>
      </c>
      <c r="BQ173" s="55">
        <f t="shared" si="166"/>
        <v>243.5306686</v>
      </c>
      <c r="BR173" s="55">
        <f t="shared" si="166"/>
        <v>257.7255856</v>
      </c>
      <c r="BS173" s="55">
        <f t="shared" si="166"/>
        <v>244.2550088</v>
      </c>
      <c r="BT173" s="55">
        <f t="shared" si="166"/>
        <v>248.4925249</v>
      </c>
      <c r="BU173" s="55">
        <f t="shared" si="166"/>
        <v>197.5413841</v>
      </c>
      <c r="BV173" s="55">
        <f t="shared" si="166"/>
        <v>162.0256584</v>
      </c>
      <c r="BW173" s="55">
        <f t="shared" si="166"/>
        <v>243.1713062</v>
      </c>
      <c r="BX173" s="55">
        <f t="shared" si="166"/>
        <v>270.8008864</v>
      </c>
      <c r="BY173" s="55">
        <f t="shared" si="166"/>
        <v>283.4268087</v>
      </c>
      <c r="BZ173" s="55">
        <f t="shared" si="166"/>
        <v>266.1308125</v>
      </c>
      <c r="CA173" s="55">
        <f t="shared" si="166"/>
        <v>253.5647744</v>
      </c>
      <c r="CB173" s="55">
        <f t="shared" si="166"/>
        <v>279.628088</v>
      </c>
      <c r="CC173" s="55">
        <f t="shared" si="166"/>
        <v>296.1838762</v>
      </c>
      <c r="CD173" s="55">
        <f t="shared" si="166"/>
        <v>298.1706858</v>
      </c>
      <c r="CE173" s="55">
        <f t="shared" si="166"/>
        <v>281.6947673</v>
      </c>
      <c r="CF173" s="55">
        <f t="shared" si="166"/>
        <v>281.9187257</v>
      </c>
      <c r="CG173" s="55">
        <f t="shared" si="166"/>
        <v>219.2213047</v>
      </c>
      <c r="CH173" s="55">
        <f t="shared" si="166"/>
        <v>190.7940874</v>
      </c>
      <c r="CI173" s="55">
        <f t="shared" si="166"/>
        <v>277.8987837</v>
      </c>
      <c r="CJ173" s="55">
        <f t="shared" si="166"/>
        <v>317.7556377</v>
      </c>
      <c r="CK173" s="55">
        <f t="shared" si="166"/>
        <v>331.7829946</v>
      </c>
      <c r="CL173" s="55">
        <f t="shared" si="166"/>
        <v>309.9357994</v>
      </c>
      <c r="CM173" s="55">
        <f t="shared" si="166"/>
        <v>301.1532382</v>
      </c>
      <c r="CN173" s="55">
        <f t="shared" si="166"/>
        <v>318.5904962</v>
      </c>
      <c r="CO173" s="55">
        <f t="shared" si="166"/>
        <v>335.3174239</v>
      </c>
      <c r="CP173" s="55">
        <f t="shared" si="166"/>
        <v>342.7986132</v>
      </c>
      <c r="CQ173" s="55">
        <f t="shared" si="166"/>
        <v>323.366826</v>
      </c>
      <c r="CR173" s="55">
        <f t="shared" si="166"/>
        <v>331.2489413</v>
      </c>
      <c r="CS173" s="55">
        <f t="shared" si="166"/>
        <v>255.9713926</v>
      </c>
      <c r="CT173" s="55">
        <f t="shared" si="166"/>
        <v>214.9905403</v>
      </c>
      <c r="CU173" s="55">
        <f t="shared" si="166"/>
        <v>325.6222269</v>
      </c>
      <c r="CV173" s="55">
        <f t="shared" si="166"/>
        <v>361.5549919</v>
      </c>
      <c r="CW173" s="55">
        <f t="shared" si="166"/>
        <v>376.5096186</v>
      </c>
      <c r="CX173" s="55">
        <f t="shared" si="166"/>
        <v>350.8054481</v>
      </c>
      <c r="CY173" s="55">
        <f t="shared" si="166"/>
        <v>340.7297273</v>
      </c>
      <c r="CZ173" s="55">
        <f t="shared" si="166"/>
        <v>371.778404</v>
      </c>
      <c r="DA173" s="55">
        <f t="shared" si="166"/>
        <v>386.3107874</v>
      </c>
      <c r="DB173" s="55">
        <f t="shared" si="166"/>
        <v>397.9418492</v>
      </c>
      <c r="DC173" s="55">
        <f t="shared" si="166"/>
        <v>375.2887512</v>
      </c>
      <c r="DD173" s="55">
        <f t="shared" si="166"/>
        <v>382.4636323</v>
      </c>
      <c r="DE173" s="55">
        <f t="shared" si="166"/>
        <v>300.9660207</v>
      </c>
      <c r="DF173" s="55">
        <f t="shared" si="166"/>
        <v>253.698732</v>
      </c>
      <c r="DG173" s="55">
        <f t="shared" si="166"/>
        <v>376.5800195</v>
      </c>
      <c r="DH173" s="55">
        <f t="shared" si="166"/>
        <v>420.407454</v>
      </c>
      <c r="DI173" s="55">
        <f t="shared" si="166"/>
        <v>437.7836379</v>
      </c>
      <c r="DJ173" s="55">
        <f t="shared" si="166"/>
        <v>411.5510682</v>
      </c>
      <c r="DK173" s="55">
        <f t="shared" si="166"/>
        <v>395.2766057</v>
      </c>
      <c r="DL173" s="55">
        <f t="shared" si="166"/>
        <v>426.765794</v>
      </c>
      <c r="DM173" s="55">
        <f t="shared" si="166"/>
        <v>447.6699622</v>
      </c>
      <c r="DN173" s="55">
        <f t="shared" si="166"/>
        <v>457.6382923</v>
      </c>
      <c r="DO173" s="55">
        <f t="shared" si="166"/>
        <v>431.2728445</v>
      </c>
      <c r="DP173" s="55">
        <f t="shared" si="166"/>
        <v>440.0389706</v>
      </c>
      <c r="DQ173" s="55">
        <f t="shared" si="166"/>
        <v>345.1145683</v>
      </c>
      <c r="DR173" s="55">
        <f t="shared" si="166"/>
        <v>293.4727194</v>
      </c>
    </row>
    <row r="174" ht="15.75" customHeight="1">
      <c r="F174" s="50"/>
      <c r="G174" s="50"/>
      <c r="H174" s="124"/>
      <c r="I174" s="124"/>
      <c r="J174" s="124"/>
      <c r="K174" s="50"/>
      <c r="L174" s="50"/>
      <c r="M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  <c r="BI174" s="50"/>
      <c r="BJ174" s="50"/>
      <c r="BK174" s="50"/>
      <c r="BL174" s="50"/>
      <c r="BM174" s="50"/>
      <c r="BN174" s="50"/>
      <c r="BO174" s="50"/>
      <c r="BP174" s="50"/>
      <c r="BQ174" s="50"/>
      <c r="BR174" s="50"/>
      <c r="BS174" s="50"/>
      <c r="BT174" s="50"/>
      <c r="BU174" s="50"/>
      <c r="BV174" s="50"/>
      <c r="BW174" s="50"/>
      <c r="BX174" s="50"/>
      <c r="BY174" s="50"/>
      <c r="BZ174" s="50"/>
      <c r="CA174" s="50"/>
      <c r="CB174" s="50"/>
      <c r="CC174" s="50"/>
      <c r="CD174" s="50"/>
      <c r="CE174" s="50"/>
      <c r="CF174" s="50"/>
      <c r="CG174" s="50"/>
      <c r="CH174" s="50"/>
      <c r="CI174" s="50"/>
      <c r="CJ174" s="50"/>
      <c r="CK174" s="50"/>
      <c r="CL174" s="50"/>
      <c r="CM174" s="50"/>
      <c r="CN174" s="50"/>
      <c r="CO174" s="50"/>
      <c r="CP174" s="50"/>
      <c r="CQ174" s="50"/>
      <c r="CR174" s="50"/>
      <c r="CS174" s="50"/>
      <c r="CT174" s="50"/>
      <c r="CU174" s="50"/>
      <c r="CV174" s="50"/>
      <c r="CW174" s="50"/>
      <c r="CX174" s="50"/>
      <c r="CY174" s="50"/>
      <c r="CZ174" s="50"/>
      <c r="DA174" s="50"/>
      <c r="DB174" s="50"/>
      <c r="DC174" s="50"/>
      <c r="DD174" s="50"/>
      <c r="DE174" s="50"/>
      <c r="DF174" s="50"/>
      <c r="DG174" s="50"/>
      <c r="DH174" s="50"/>
      <c r="DI174" s="50"/>
      <c r="DJ174" s="50"/>
      <c r="DK174" s="50"/>
      <c r="DL174" s="50"/>
      <c r="DM174" s="50"/>
      <c r="DN174" s="50"/>
      <c r="DO174" s="50"/>
      <c r="DP174" s="50"/>
      <c r="DQ174" s="50"/>
      <c r="DR174" s="50"/>
    </row>
    <row r="175" ht="15.75" customHeight="1">
      <c r="A175" s="70"/>
      <c r="B175" s="70" t="s">
        <v>132</v>
      </c>
      <c r="C175" s="70"/>
      <c r="D175" s="70"/>
      <c r="E175" s="70"/>
      <c r="F175" s="104">
        <f t="shared" ref="F175:M175" si="167">+F173/SUMIFS($AA173:$DR173,$AA$7:$DR$7,F$7)</f>
        <v>1</v>
      </c>
      <c r="G175" s="104">
        <f t="shared" si="167"/>
        <v>1</v>
      </c>
      <c r="H175" s="104">
        <f t="shared" si="167"/>
        <v>1</v>
      </c>
      <c r="I175" s="104">
        <f t="shared" si="167"/>
        <v>1</v>
      </c>
      <c r="J175" s="104">
        <f t="shared" si="167"/>
        <v>1</v>
      </c>
      <c r="K175" s="104">
        <f t="shared" si="167"/>
        <v>1</v>
      </c>
      <c r="L175" s="104">
        <f t="shared" si="167"/>
        <v>1</v>
      </c>
      <c r="M175" s="104">
        <f t="shared" si="167"/>
        <v>1</v>
      </c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104">
        <f t="shared" ref="AA175:BJ175" si="168">+AA173/SUMIFS($AA173:$DR173,$AA$7:$DR$7,AA$7)</f>
        <v>0.08013079703</v>
      </c>
      <c r="AB175" s="104">
        <f t="shared" si="168"/>
        <v>0.08003532344</v>
      </c>
      <c r="AC175" s="104">
        <f t="shared" si="168"/>
        <v>0.08071298536</v>
      </c>
      <c r="AD175" s="104">
        <f t="shared" si="168"/>
        <v>0.05958055227</v>
      </c>
      <c r="AE175" s="104">
        <f t="shared" si="168"/>
        <v>0.0748067701</v>
      </c>
      <c r="AF175" s="104">
        <f t="shared" si="168"/>
        <v>0.09327443303</v>
      </c>
      <c r="AG175" s="104">
        <f t="shared" si="168"/>
        <v>0.07735930903</v>
      </c>
      <c r="AH175" s="104">
        <f t="shared" si="168"/>
        <v>0.1006910742</v>
      </c>
      <c r="AI175" s="104">
        <f t="shared" si="168"/>
        <v>0.09792976884</v>
      </c>
      <c r="AJ175" s="104">
        <f t="shared" si="168"/>
        <v>0.1063359022</v>
      </c>
      <c r="AK175" s="104">
        <f t="shared" si="168"/>
        <v>0.08865857821</v>
      </c>
      <c r="AL175" s="104">
        <f t="shared" si="168"/>
        <v>0.06048450634</v>
      </c>
      <c r="AM175" s="104">
        <f t="shared" si="168"/>
        <v>0.07723845616</v>
      </c>
      <c r="AN175" s="104">
        <f t="shared" si="168"/>
        <v>0.07639913627</v>
      </c>
      <c r="AO175" s="104">
        <f t="shared" si="168"/>
        <v>0.0833866116</v>
      </c>
      <c r="AP175" s="104">
        <f t="shared" si="168"/>
        <v>0.07856538454</v>
      </c>
      <c r="AQ175" s="104">
        <f t="shared" si="168"/>
        <v>0.07365457733</v>
      </c>
      <c r="AR175" s="104">
        <f t="shared" si="168"/>
        <v>0.09526396812</v>
      </c>
      <c r="AS175" s="104">
        <f t="shared" si="168"/>
        <v>0.1036067205</v>
      </c>
      <c r="AT175" s="104">
        <f t="shared" si="168"/>
        <v>0.09778490086</v>
      </c>
      <c r="AU175" s="104">
        <f t="shared" si="168"/>
        <v>0.09512867708</v>
      </c>
      <c r="AV175" s="104">
        <f t="shared" si="168"/>
        <v>0.08488490689</v>
      </c>
      <c r="AW175" s="104">
        <f t="shared" si="168"/>
        <v>0.0669671924</v>
      </c>
      <c r="AX175" s="104">
        <f t="shared" si="168"/>
        <v>0.06711946825</v>
      </c>
      <c r="AY175" s="104">
        <f t="shared" si="168"/>
        <v>0.06966404376</v>
      </c>
      <c r="AZ175" s="104">
        <f t="shared" si="168"/>
        <v>0.09361857136</v>
      </c>
      <c r="BA175" s="104">
        <f t="shared" si="168"/>
        <v>0.09857856742</v>
      </c>
      <c r="BB175" s="104">
        <f t="shared" si="168"/>
        <v>0.09137126043</v>
      </c>
      <c r="BC175" s="104">
        <f t="shared" si="168"/>
        <v>0.08887826717</v>
      </c>
      <c r="BD175" s="104">
        <f t="shared" si="168"/>
        <v>0.08542253933</v>
      </c>
      <c r="BE175" s="104">
        <f t="shared" si="168"/>
        <v>0.09466051386</v>
      </c>
      <c r="BF175" s="104">
        <f t="shared" si="168"/>
        <v>0.09283493224</v>
      </c>
      <c r="BG175" s="104">
        <f t="shared" si="168"/>
        <v>0.08611280192</v>
      </c>
      <c r="BH175" s="104">
        <f t="shared" si="168"/>
        <v>0.08808405502</v>
      </c>
      <c r="BI175" s="104">
        <f t="shared" si="168"/>
        <v>0.06103662549</v>
      </c>
      <c r="BJ175" s="104">
        <f t="shared" si="168"/>
        <v>0.049737822</v>
      </c>
      <c r="BK175" s="105">
        <f t="shared" ref="BK175:DR175" si="169">+AVERAGE(AA175,AM175,AY175)</f>
        <v>0.07567776565</v>
      </c>
      <c r="BL175" s="105">
        <f t="shared" si="169"/>
        <v>0.08335101036</v>
      </c>
      <c r="BM175" s="105">
        <f t="shared" si="169"/>
        <v>0.08755938812</v>
      </c>
      <c r="BN175" s="105">
        <f t="shared" si="169"/>
        <v>0.07650573241</v>
      </c>
      <c r="BO175" s="105">
        <f t="shared" si="169"/>
        <v>0.07911320487</v>
      </c>
      <c r="BP175" s="105">
        <f t="shared" si="169"/>
        <v>0.0913203135</v>
      </c>
      <c r="BQ175" s="105">
        <f t="shared" si="169"/>
        <v>0.09187551447</v>
      </c>
      <c r="BR175" s="105">
        <f t="shared" si="169"/>
        <v>0.09710363576</v>
      </c>
      <c r="BS175" s="105">
        <f t="shared" si="169"/>
        <v>0.09305708261</v>
      </c>
      <c r="BT175" s="105">
        <f t="shared" si="169"/>
        <v>0.09310162136</v>
      </c>
      <c r="BU175" s="105">
        <f t="shared" si="169"/>
        <v>0.0722207987</v>
      </c>
      <c r="BV175" s="105">
        <f t="shared" si="169"/>
        <v>0.0591139322</v>
      </c>
      <c r="BW175" s="105">
        <f t="shared" si="169"/>
        <v>0.07419342186</v>
      </c>
      <c r="BX175" s="105">
        <f t="shared" si="169"/>
        <v>0.08445623933</v>
      </c>
      <c r="BY175" s="105">
        <f t="shared" si="169"/>
        <v>0.08984152238</v>
      </c>
      <c r="BZ175" s="105">
        <f t="shared" si="169"/>
        <v>0.08214745913</v>
      </c>
      <c r="CA175" s="105">
        <f t="shared" si="169"/>
        <v>0.08054868312</v>
      </c>
      <c r="CB175" s="105">
        <f t="shared" si="169"/>
        <v>0.09066894032</v>
      </c>
      <c r="CC175" s="105">
        <f t="shared" si="169"/>
        <v>0.09671424961</v>
      </c>
      <c r="CD175" s="105">
        <f t="shared" si="169"/>
        <v>0.09590782295</v>
      </c>
      <c r="CE175" s="105">
        <f t="shared" si="169"/>
        <v>0.09143285387</v>
      </c>
      <c r="CF175" s="105">
        <f t="shared" si="169"/>
        <v>0.08869019442</v>
      </c>
      <c r="CG175" s="105">
        <f t="shared" si="169"/>
        <v>0.06674153886</v>
      </c>
      <c r="CH175" s="105">
        <f t="shared" si="169"/>
        <v>0.05865707415</v>
      </c>
      <c r="CI175" s="105">
        <f t="shared" si="169"/>
        <v>0.07317841042</v>
      </c>
      <c r="CJ175" s="105">
        <f t="shared" si="169"/>
        <v>0.08714194035</v>
      </c>
      <c r="CK175" s="105">
        <f t="shared" si="169"/>
        <v>0.09199315931</v>
      </c>
      <c r="CL175" s="105">
        <f t="shared" si="169"/>
        <v>0.08334148399</v>
      </c>
      <c r="CM175" s="105">
        <f t="shared" si="169"/>
        <v>0.08284671839</v>
      </c>
      <c r="CN175" s="105">
        <f t="shared" si="169"/>
        <v>0.08913726438</v>
      </c>
      <c r="CO175" s="105">
        <f t="shared" si="169"/>
        <v>0.09441675931</v>
      </c>
      <c r="CP175" s="105">
        <f t="shared" si="169"/>
        <v>0.09528213032</v>
      </c>
      <c r="CQ175" s="105">
        <f t="shared" si="169"/>
        <v>0.0902009128</v>
      </c>
      <c r="CR175" s="105">
        <f t="shared" si="169"/>
        <v>0.0899586236</v>
      </c>
      <c r="CS175" s="105">
        <f t="shared" si="169"/>
        <v>0.06666632102</v>
      </c>
      <c r="CT175" s="105">
        <f t="shared" si="169"/>
        <v>0.05583627611</v>
      </c>
      <c r="CU175" s="105">
        <f t="shared" si="169"/>
        <v>0.07434986598</v>
      </c>
      <c r="CV175" s="105">
        <f t="shared" si="169"/>
        <v>0.08498306334</v>
      </c>
      <c r="CW175" s="105">
        <f t="shared" si="169"/>
        <v>0.08979802327</v>
      </c>
      <c r="CX175" s="105">
        <f t="shared" si="169"/>
        <v>0.08066489185</v>
      </c>
      <c r="CY175" s="105">
        <f t="shared" si="169"/>
        <v>0.08083620213</v>
      </c>
      <c r="CZ175" s="105">
        <f t="shared" si="169"/>
        <v>0.09037550606</v>
      </c>
      <c r="DA175" s="105">
        <f t="shared" si="169"/>
        <v>0.0943355078</v>
      </c>
      <c r="DB175" s="105">
        <f t="shared" si="169"/>
        <v>0.09609786301</v>
      </c>
      <c r="DC175" s="105">
        <f t="shared" si="169"/>
        <v>0.09156361643</v>
      </c>
      <c r="DD175" s="105">
        <f t="shared" si="169"/>
        <v>0.09058347979</v>
      </c>
      <c r="DE175" s="105">
        <f t="shared" si="169"/>
        <v>0.06854288619</v>
      </c>
      <c r="DF175" s="105">
        <f t="shared" si="169"/>
        <v>0.05786909415</v>
      </c>
      <c r="DG175" s="105">
        <f t="shared" si="169"/>
        <v>0.07390723275</v>
      </c>
      <c r="DH175" s="105">
        <f t="shared" si="169"/>
        <v>0.08552708101</v>
      </c>
      <c r="DI175" s="105">
        <f t="shared" si="169"/>
        <v>0.09054423499</v>
      </c>
      <c r="DJ175" s="105">
        <f t="shared" si="169"/>
        <v>0.08205127832</v>
      </c>
      <c r="DK175" s="105">
        <f t="shared" si="169"/>
        <v>0.08141053455</v>
      </c>
      <c r="DL175" s="105">
        <f t="shared" si="169"/>
        <v>0.09006057025</v>
      </c>
      <c r="DM175" s="105">
        <f t="shared" si="169"/>
        <v>0.09515550557</v>
      </c>
      <c r="DN175" s="105">
        <f t="shared" si="169"/>
        <v>0.09576260543</v>
      </c>
      <c r="DO175" s="105">
        <f t="shared" si="169"/>
        <v>0.09106579437</v>
      </c>
      <c r="DP175" s="105">
        <f t="shared" si="169"/>
        <v>0.08974409927</v>
      </c>
      <c r="DQ175" s="105">
        <f t="shared" si="169"/>
        <v>0.06731691536</v>
      </c>
      <c r="DR175" s="105">
        <f t="shared" si="169"/>
        <v>0.05745414814</v>
      </c>
      <c r="DS175" s="70"/>
    </row>
    <row r="176" ht="4.5" customHeight="1"/>
    <row r="177" ht="15.75" customHeight="1">
      <c r="B177" s="47" t="s">
        <v>20</v>
      </c>
    </row>
    <row r="178" ht="15.75" customHeight="1">
      <c r="B178" s="5" t="s">
        <v>82</v>
      </c>
      <c r="F178" s="50">
        <f t="shared" ref="F178:M178" si="170">+F162-F169</f>
        <v>4184.648341</v>
      </c>
      <c r="G178" s="50">
        <f t="shared" si="170"/>
        <v>3478.884278</v>
      </c>
      <c r="H178" s="50">
        <f t="shared" si="170"/>
        <v>4249.722443</v>
      </c>
      <c r="I178" s="50">
        <f t="shared" si="170"/>
        <v>4698.9828</v>
      </c>
      <c r="J178" s="50">
        <f t="shared" si="170"/>
        <v>4971.875841</v>
      </c>
      <c r="K178" s="50">
        <f t="shared" si="170"/>
        <v>5733.717095</v>
      </c>
      <c r="L178" s="50">
        <f t="shared" si="170"/>
        <v>6566.235696</v>
      </c>
      <c r="M178" s="50">
        <f t="shared" si="170"/>
        <v>7474.986735</v>
      </c>
      <c r="AA178" s="53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  <c r="AM178" s="100"/>
      <c r="AN178" s="100"/>
      <c r="AO178" s="100"/>
      <c r="AP178" s="100"/>
      <c r="AQ178" s="100"/>
      <c r="AR178" s="100"/>
      <c r="AS178" s="100"/>
      <c r="AT178" s="100"/>
      <c r="AU178" s="100"/>
      <c r="AV178" s="100"/>
      <c r="AW178" s="100"/>
      <c r="AX178" s="100"/>
      <c r="AY178" s="100"/>
      <c r="AZ178" s="100"/>
      <c r="BA178" s="100"/>
      <c r="BB178" s="100"/>
      <c r="BC178" s="100"/>
      <c r="BD178" s="100"/>
      <c r="BE178" s="100"/>
      <c r="BF178" s="100"/>
      <c r="BG178" s="100"/>
      <c r="BH178" s="100"/>
      <c r="BI178" s="100"/>
      <c r="BJ178" s="100"/>
      <c r="BK178" s="100"/>
      <c r="BL178" s="100"/>
      <c r="BM178" s="100"/>
      <c r="BN178" s="100"/>
      <c r="BO178" s="100"/>
      <c r="BP178" s="100"/>
      <c r="BQ178" s="100"/>
      <c r="BR178" s="100"/>
      <c r="BS178" s="100"/>
      <c r="BT178" s="100"/>
      <c r="BU178" s="100"/>
      <c r="BV178" s="100"/>
      <c r="BW178" s="100"/>
      <c r="BX178" s="100"/>
      <c r="BY178" s="100"/>
      <c r="BZ178" s="100"/>
      <c r="CA178" s="100"/>
      <c r="CB178" s="100"/>
      <c r="CC178" s="100"/>
      <c r="CD178" s="100"/>
      <c r="CE178" s="100"/>
      <c r="CF178" s="100"/>
      <c r="CG178" s="100"/>
      <c r="CH178" s="100"/>
      <c r="CI178" s="100"/>
      <c r="CJ178" s="100"/>
      <c r="CK178" s="100"/>
      <c r="CL178" s="100"/>
      <c r="CM178" s="100"/>
      <c r="CN178" s="100"/>
      <c r="CO178" s="100"/>
      <c r="CP178" s="100"/>
      <c r="CQ178" s="100"/>
      <c r="CR178" s="100"/>
      <c r="CS178" s="100"/>
      <c r="CT178" s="100"/>
      <c r="CU178" s="100"/>
      <c r="CV178" s="100"/>
      <c r="CW178" s="100"/>
      <c r="CX178" s="100"/>
      <c r="CY178" s="100"/>
      <c r="CZ178" s="100"/>
      <c r="DA178" s="100"/>
      <c r="DB178" s="100"/>
      <c r="DC178" s="100"/>
      <c r="DD178" s="100"/>
      <c r="DE178" s="100"/>
      <c r="DF178" s="100"/>
      <c r="DG178" s="100"/>
      <c r="DH178" s="100"/>
      <c r="DI178" s="100"/>
      <c r="DJ178" s="100"/>
      <c r="DK178" s="100"/>
      <c r="DL178" s="100"/>
      <c r="DM178" s="100"/>
      <c r="DN178" s="100"/>
      <c r="DO178" s="100"/>
      <c r="DP178" s="100"/>
      <c r="DQ178" s="100"/>
      <c r="DR178" s="100"/>
    </row>
    <row r="179" ht="15.75" customHeight="1">
      <c r="B179" s="5" t="s">
        <v>76</v>
      </c>
      <c r="F179" s="50">
        <f t="shared" ref="F179:M179" si="171">+F163-F170</f>
        <v>418.018764</v>
      </c>
      <c r="G179" s="50">
        <f t="shared" si="171"/>
        <v>382.3069005</v>
      </c>
      <c r="H179" s="50">
        <f t="shared" si="171"/>
        <v>519.7420794</v>
      </c>
      <c r="I179" s="50">
        <f t="shared" si="171"/>
        <v>431.92896</v>
      </c>
      <c r="J179" s="50">
        <f t="shared" si="171"/>
        <v>771.9926637</v>
      </c>
      <c r="K179" s="50">
        <f t="shared" si="171"/>
        <v>915.7431145</v>
      </c>
      <c r="L179" s="50">
        <f t="shared" si="171"/>
        <v>1068.441696</v>
      </c>
      <c r="M179" s="50">
        <f t="shared" si="171"/>
        <v>1230.316224</v>
      </c>
      <c r="AA179" s="53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  <c r="AM179" s="100"/>
      <c r="AN179" s="100"/>
      <c r="AO179" s="100"/>
      <c r="AP179" s="100"/>
      <c r="AQ179" s="100"/>
      <c r="AR179" s="100"/>
      <c r="AS179" s="100"/>
      <c r="AT179" s="100"/>
      <c r="AU179" s="100"/>
      <c r="AV179" s="100"/>
      <c r="AW179" s="100"/>
      <c r="AX179" s="100"/>
      <c r="AY179" s="100"/>
      <c r="AZ179" s="100"/>
      <c r="BA179" s="100"/>
      <c r="BB179" s="100"/>
      <c r="BC179" s="100"/>
      <c r="BD179" s="100"/>
      <c r="BE179" s="100"/>
      <c r="BF179" s="100"/>
      <c r="BG179" s="100"/>
      <c r="BH179" s="100"/>
      <c r="BI179" s="100"/>
      <c r="BJ179" s="100"/>
      <c r="BK179" s="100"/>
      <c r="BL179" s="100"/>
      <c r="BM179" s="100"/>
      <c r="BN179" s="100"/>
      <c r="BO179" s="100"/>
      <c r="BP179" s="100"/>
      <c r="BQ179" s="100"/>
      <c r="BR179" s="100"/>
      <c r="BS179" s="100"/>
      <c r="BT179" s="100"/>
      <c r="BU179" s="100"/>
      <c r="BV179" s="100"/>
      <c r="BW179" s="100"/>
      <c r="BX179" s="100"/>
      <c r="BY179" s="100"/>
      <c r="BZ179" s="100"/>
      <c r="CA179" s="100"/>
      <c r="CB179" s="100"/>
      <c r="CC179" s="100"/>
      <c r="CD179" s="100"/>
      <c r="CE179" s="100"/>
      <c r="CF179" s="100"/>
      <c r="CG179" s="100"/>
      <c r="CH179" s="100"/>
      <c r="CI179" s="100"/>
      <c r="CJ179" s="100"/>
      <c r="CK179" s="100"/>
      <c r="CL179" s="100"/>
      <c r="CM179" s="100"/>
      <c r="CN179" s="100"/>
      <c r="CO179" s="100"/>
      <c r="CP179" s="100"/>
      <c r="CQ179" s="100"/>
      <c r="CR179" s="100"/>
      <c r="CS179" s="100"/>
      <c r="CT179" s="100"/>
      <c r="CU179" s="100"/>
      <c r="CV179" s="100"/>
      <c r="CW179" s="100"/>
      <c r="CX179" s="100"/>
      <c r="CY179" s="100"/>
      <c r="CZ179" s="100"/>
      <c r="DA179" s="100"/>
      <c r="DB179" s="100"/>
      <c r="DC179" s="100"/>
      <c r="DD179" s="100"/>
      <c r="DE179" s="100"/>
      <c r="DF179" s="100"/>
      <c r="DG179" s="100"/>
      <c r="DH179" s="100"/>
      <c r="DI179" s="100"/>
      <c r="DJ179" s="100"/>
      <c r="DK179" s="100"/>
      <c r="DL179" s="100"/>
      <c r="DM179" s="100"/>
      <c r="DN179" s="100"/>
      <c r="DO179" s="100"/>
      <c r="DP179" s="100"/>
      <c r="DQ179" s="100"/>
      <c r="DR179" s="100"/>
    </row>
    <row r="180" ht="15.75" customHeight="1">
      <c r="B180" s="5" t="s">
        <v>74</v>
      </c>
      <c r="F180" s="50">
        <f t="shared" ref="F180:M180" si="172">+F164-F171</f>
        <v>36.46276488</v>
      </c>
      <c r="G180" s="50">
        <f t="shared" si="172"/>
        <v>217.0051334</v>
      </c>
      <c r="H180" s="50">
        <f t="shared" si="172"/>
        <v>608.0410505</v>
      </c>
      <c r="I180" s="50">
        <f t="shared" si="172"/>
        <v>523.0588235</v>
      </c>
      <c r="J180" s="50">
        <f t="shared" si="172"/>
        <v>755.7198894</v>
      </c>
      <c r="K180" s="50">
        <f t="shared" si="172"/>
        <v>946.9548252</v>
      </c>
      <c r="L180" s="50">
        <f t="shared" si="172"/>
        <v>1202.314123</v>
      </c>
      <c r="M180" s="50">
        <f t="shared" si="172"/>
        <v>1567.561258</v>
      </c>
      <c r="AA180" s="53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  <c r="AQ180" s="100"/>
      <c r="AR180" s="100"/>
      <c r="AS180" s="100"/>
      <c r="AT180" s="100"/>
      <c r="AU180" s="100"/>
      <c r="AV180" s="100"/>
      <c r="AW180" s="100"/>
      <c r="AX180" s="100"/>
      <c r="AY180" s="100"/>
      <c r="AZ180" s="100"/>
      <c r="BA180" s="100"/>
      <c r="BB180" s="100"/>
      <c r="BC180" s="100"/>
      <c r="BD180" s="100"/>
      <c r="BE180" s="100"/>
      <c r="BF180" s="100"/>
      <c r="BG180" s="100"/>
      <c r="BH180" s="100"/>
      <c r="BI180" s="100"/>
      <c r="BJ180" s="100"/>
      <c r="BK180" s="100"/>
      <c r="BL180" s="100"/>
      <c r="BM180" s="100"/>
      <c r="BN180" s="100"/>
      <c r="BO180" s="100"/>
      <c r="BP180" s="100"/>
      <c r="BQ180" s="100"/>
      <c r="BR180" s="100"/>
      <c r="BS180" s="100"/>
      <c r="BT180" s="100"/>
      <c r="BU180" s="100"/>
      <c r="BV180" s="100"/>
      <c r="BW180" s="100"/>
      <c r="BX180" s="100"/>
      <c r="BY180" s="100"/>
      <c r="BZ180" s="100"/>
      <c r="CA180" s="100"/>
      <c r="CB180" s="100"/>
      <c r="CC180" s="100"/>
      <c r="CD180" s="100"/>
      <c r="CE180" s="100"/>
      <c r="CF180" s="100"/>
      <c r="CG180" s="100"/>
      <c r="CH180" s="100"/>
      <c r="CI180" s="100"/>
      <c r="CJ180" s="100"/>
      <c r="CK180" s="100"/>
      <c r="CL180" s="100"/>
      <c r="CM180" s="100"/>
      <c r="CN180" s="100"/>
      <c r="CO180" s="100"/>
      <c r="CP180" s="100"/>
      <c r="CQ180" s="100"/>
      <c r="CR180" s="100"/>
      <c r="CS180" s="100"/>
      <c r="CT180" s="100"/>
      <c r="CU180" s="100"/>
      <c r="CV180" s="100"/>
      <c r="CW180" s="100"/>
      <c r="CX180" s="100"/>
      <c r="CY180" s="100"/>
      <c r="CZ180" s="100"/>
      <c r="DA180" s="100"/>
      <c r="DB180" s="100"/>
      <c r="DC180" s="100"/>
      <c r="DD180" s="100"/>
      <c r="DE180" s="100"/>
      <c r="DF180" s="100"/>
      <c r="DG180" s="100"/>
      <c r="DH180" s="100"/>
      <c r="DI180" s="100"/>
      <c r="DJ180" s="100"/>
      <c r="DK180" s="100"/>
      <c r="DL180" s="100"/>
      <c r="DM180" s="100"/>
      <c r="DN180" s="100"/>
      <c r="DO180" s="100"/>
      <c r="DP180" s="100"/>
      <c r="DQ180" s="100"/>
      <c r="DR180" s="100"/>
    </row>
    <row r="181" ht="15.75" customHeight="1">
      <c r="B181" s="5" t="s">
        <v>70</v>
      </c>
      <c r="F181" s="50">
        <f t="shared" ref="F181:M181" si="173">+F165-F172</f>
        <v>147.1067353</v>
      </c>
      <c r="G181" s="50">
        <f t="shared" si="173"/>
        <v>87.30844054</v>
      </c>
      <c r="H181" s="50">
        <f t="shared" si="173"/>
        <v>246.7729436</v>
      </c>
      <c r="I181" s="50">
        <f t="shared" si="173"/>
        <v>312</v>
      </c>
      <c r="J181" s="50">
        <f t="shared" si="173"/>
        <v>531.604276</v>
      </c>
      <c r="K181" s="50">
        <f t="shared" si="173"/>
        <v>645.947531</v>
      </c>
      <c r="L181" s="50">
        <f t="shared" si="173"/>
        <v>800.9315486</v>
      </c>
      <c r="M181" s="50">
        <f t="shared" si="173"/>
        <v>1019.771071</v>
      </c>
      <c r="AA181" s="53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100"/>
      <c r="AQ181" s="100"/>
      <c r="AR181" s="100"/>
      <c r="AS181" s="100"/>
      <c r="AT181" s="100"/>
      <c r="AU181" s="100"/>
      <c r="AV181" s="100"/>
      <c r="AW181" s="100"/>
      <c r="AX181" s="100"/>
      <c r="AY181" s="100"/>
      <c r="AZ181" s="100"/>
      <c r="BA181" s="100"/>
      <c r="BB181" s="100"/>
      <c r="BC181" s="100"/>
      <c r="BD181" s="100"/>
      <c r="BE181" s="100"/>
      <c r="BF181" s="100"/>
      <c r="BG181" s="100"/>
      <c r="BH181" s="100"/>
      <c r="BI181" s="100"/>
      <c r="BJ181" s="100"/>
      <c r="BK181" s="100"/>
      <c r="BL181" s="100"/>
      <c r="BM181" s="100"/>
      <c r="BN181" s="100"/>
      <c r="BO181" s="100"/>
      <c r="BP181" s="100"/>
      <c r="BQ181" s="100"/>
      <c r="BR181" s="100"/>
      <c r="BS181" s="100"/>
      <c r="BT181" s="100"/>
      <c r="BU181" s="100"/>
      <c r="BV181" s="100"/>
      <c r="BW181" s="100"/>
      <c r="BX181" s="100"/>
      <c r="BY181" s="100"/>
      <c r="BZ181" s="100"/>
      <c r="CA181" s="100"/>
      <c r="CB181" s="100"/>
      <c r="CC181" s="100"/>
      <c r="CD181" s="100"/>
      <c r="CE181" s="100"/>
      <c r="CF181" s="100"/>
      <c r="CG181" s="100"/>
      <c r="CH181" s="100"/>
      <c r="CI181" s="100"/>
      <c r="CJ181" s="100"/>
      <c r="CK181" s="100"/>
      <c r="CL181" s="100"/>
      <c r="CM181" s="100"/>
      <c r="CN181" s="100"/>
      <c r="CO181" s="100"/>
      <c r="CP181" s="100"/>
      <c r="CQ181" s="100"/>
      <c r="CR181" s="100"/>
      <c r="CS181" s="100"/>
      <c r="CT181" s="100"/>
      <c r="CU181" s="100"/>
      <c r="CV181" s="100"/>
      <c r="CW181" s="100"/>
      <c r="CX181" s="100"/>
      <c r="CY181" s="100"/>
      <c r="CZ181" s="100"/>
      <c r="DA181" s="100"/>
      <c r="DB181" s="100"/>
      <c r="DC181" s="100"/>
      <c r="DD181" s="100"/>
      <c r="DE181" s="100"/>
      <c r="DF181" s="100"/>
      <c r="DG181" s="100"/>
      <c r="DH181" s="100"/>
      <c r="DI181" s="100"/>
      <c r="DJ181" s="100"/>
      <c r="DK181" s="100"/>
      <c r="DL181" s="100"/>
      <c r="DM181" s="100"/>
      <c r="DN181" s="100"/>
      <c r="DO181" s="100"/>
      <c r="DP181" s="100"/>
      <c r="DQ181" s="100"/>
      <c r="DR181" s="100"/>
    </row>
    <row r="182" ht="15.75" customHeight="1">
      <c r="B182" s="54" t="s">
        <v>145</v>
      </c>
      <c r="C182" s="54"/>
      <c r="D182" s="54"/>
      <c r="F182" s="55">
        <f t="shared" ref="F182:M182" si="174">SUM(F178:F181)</f>
        <v>4786.236605</v>
      </c>
      <c r="G182" s="55">
        <f t="shared" si="174"/>
        <v>4165.504753</v>
      </c>
      <c r="H182" s="55">
        <f t="shared" si="174"/>
        <v>5624.278517</v>
      </c>
      <c r="I182" s="55">
        <f t="shared" si="174"/>
        <v>5965.970584</v>
      </c>
      <c r="J182" s="55">
        <f t="shared" si="174"/>
        <v>7031.19267</v>
      </c>
      <c r="K182" s="55">
        <f t="shared" si="174"/>
        <v>8242.362566</v>
      </c>
      <c r="L182" s="55">
        <f t="shared" si="174"/>
        <v>9637.923063</v>
      </c>
      <c r="M182" s="55">
        <f t="shared" si="174"/>
        <v>11292.63529</v>
      </c>
      <c r="AA182" s="53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  <c r="AM182" s="100"/>
      <c r="AN182" s="100"/>
      <c r="AO182" s="100"/>
      <c r="AP182" s="100"/>
      <c r="AQ182" s="100"/>
      <c r="AR182" s="100"/>
      <c r="AS182" s="100"/>
      <c r="AT182" s="100"/>
      <c r="AU182" s="100"/>
      <c r="AV182" s="100"/>
      <c r="AW182" s="100"/>
      <c r="AX182" s="100"/>
      <c r="AY182" s="100"/>
      <c r="AZ182" s="100"/>
      <c r="BA182" s="100"/>
      <c r="BB182" s="100"/>
      <c r="BC182" s="100"/>
      <c r="BD182" s="100"/>
      <c r="BE182" s="100"/>
      <c r="BF182" s="100"/>
      <c r="BG182" s="100"/>
      <c r="BH182" s="100"/>
      <c r="BI182" s="100"/>
      <c r="BJ182" s="100"/>
      <c r="BK182" s="100"/>
      <c r="BL182" s="100"/>
      <c r="BM182" s="100"/>
      <c r="BN182" s="100"/>
      <c r="BO182" s="100"/>
      <c r="BP182" s="100"/>
      <c r="BQ182" s="100"/>
      <c r="BR182" s="100"/>
      <c r="BS182" s="100"/>
      <c r="BT182" s="100"/>
      <c r="BU182" s="100"/>
      <c r="BV182" s="100"/>
      <c r="BW182" s="100"/>
      <c r="BX182" s="100"/>
      <c r="BY182" s="100"/>
      <c r="BZ182" s="100"/>
      <c r="CA182" s="100"/>
      <c r="CB182" s="100"/>
      <c r="CC182" s="100"/>
      <c r="CD182" s="100"/>
      <c r="CE182" s="100"/>
      <c r="CF182" s="100"/>
      <c r="CG182" s="100"/>
      <c r="CH182" s="100"/>
      <c r="CI182" s="100"/>
      <c r="CJ182" s="100"/>
      <c r="CK182" s="100"/>
      <c r="CL182" s="100"/>
      <c r="CM182" s="100"/>
      <c r="CN182" s="100"/>
      <c r="CO182" s="100"/>
      <c r="CP182" s="100"/>
      <c r="CQ182" s="100"/>
      <c r="CR182" s="100"/>
      <c r="CS182" s="100"/>
      <c r="CT182" s="100"/>
      <c r="CU182" s="100"/>
      <c r="CV182" s="100"/>
      <c r="CW182" s="100"/>
      <c r="CX182" s="100"/>
      <c r="CY182" s="100"/>
      <c r="CZ182" s="100"/>
      <c r="DA182" s="100"/>
      <c r="DB182" s="100"/>
      <c r="DC182" s="100"/>
      <c r="DD182" s="100"/>
      <c r="DE182" s="100"/>
      <c r="DF182" s="100"/>
      <c r="DG182" s="100"/>
      <c r="DH182" s="100"/>
      <c r="DI182" s="100"/>
      <c r="DJ182" s="100"/>
      <c r="DK182" s="100"/>
      <c r="DL182" s="100"/>
      <c r="DM182" s="100"/>
      <c r="DN182" s="100"/>
      <c r="DO182" s="100"/>
      <c r="DP182" s="100"/>
      <c r="DQ182" s="100"/>
      <c r="DR182" s="100"/>
    </row>
    <row r="183" ht="4.5" customHeight="1"/>
    <row r="184" ht="15.75" customHeight="1">
      <c r="B184" s="47" t="s">
        <v>146</v>
      </c>
    </row>
    <row r="185" ht="15.75" customHeight="1">
      <c r="B185" s="5" t="s">
        <v>82</v>
      </c>
      <c r="F185" s="49">
        <f t="shared" ref="F185:M185" si="175">+F178/F162</f>
        <v>0.7250930555</v>
      </c>
      <c r="G185" s="49">
        <f t="shared" si="175"/>
        <v>0.6996038285</v>
      </c>
      <c r="H185" s="49">
        <f t="shared" si="175"/>
        <v>0.7225625004</v>
      </c>
      <c r="I185" s="49">
        <f t="shared" si="175"/>
        <v>0.69</v>
      </c>
      <c r="J185" s="49">
        <f t="shared" si="175"/>
        <v>0.69</v>
      </c>
      <c r="K185" s="49">
        <f t="shared" si="175"/>
        <v>0.693</v>
      </c>
      <c r="L185" s="49">
        <f t="shared" si="175"/>
        <v>0.696</v>
      </c>
      <c r="M185" s="49">
        <f t="shared" si="175"/>
        <v>0.699</v>
      </c>
      <c r="AA185" s="53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00"/>
      <c r="AQ185" s="100"/>
      <c r="AR185" s="100"/>
      <c r="AS185" s="100"/>
      <c r="AT185" s="100"/>
      <c r="AU185" s="100"/>
      <c r="AV185" s="100"/>
      <c r="AW185" s="100"/>
      <c r="AX185" s="100"/>
      <c r="AY185" s="100"/>
      <c r="AZ185" s="100"/>
      <c r="BA185" s="100"/>
      <c r="BB185" s="100"/>
      <c r="BC185" s="100"/>
      <c r="BD185" s="100"/>
      <c r="BE185" s="100"/>
      <c r="BF185" s="100"/>
      <c r="BG185" s="100"/>
      <c r="BH185" s="100"/>
      <c r="BI185" s="100"/>
      <c r="BJ185" s="100"/>
      <c r="BK185" s="100"/>
      <c r="BL185" s="100"/>
      <c r="BM185" s="100"/>
      <c r="BN185" s="100"/>
      <c r="BO185" s="100"/>
      <c r="BP185" s="100"/>
      <c r="BQ185" s="100"/>
      <c r="BR185" s="100"/>
      <c r="BS185" s="100"/>
      <c r="BT185" s="100"/>
      <c r="BU185" s="100"/>
      <c r="BV185" s="100"/>
      <c r="BW185" s="100"/>
      <c r="BX185" s="100"/>
      <c r="BY185" s="100"/>
      <c r="BZ185" s="100"/>
      <c r="CA185" s="100"/>
      <c r="CB185" s="100"/>
      <c r="CC185" s="100"/>
      <c r="CD185" s="100"/>
      <c r="CE185" s="100"/>
      <c r="CF185" s="100"/>
      <c r="CG185" s="100"/>
      <c r="CH185" s="100"/>
      <c r="CI185" s="100"/>
      <c r="CJ185" s="100"/>
      <c r="CK185" s="100"/>
      <c r="CL185" s="100"/>
      <c r="CM185" s="100"/>
      <c r="CN185" s="100"/>
      <c r="CO185" s="100"/>
      <c r="CP185" s="100"/>
      <c r="CQ185" s="100"/>
      <c r="CR185" s="100"/>
      <c r="CS185" s="100"/>
      <c r="CT185" s="100"/>
      <c r="CU185" s="100"/>
      <c r="CV185" s="100"/>
      <c r="CW185" s="100"/>
      <c r="CX185" s="100"/>
      <c r="CY185" s="100"/>
      <c r="CZ185" s="100"/>
      <c r="DA185" s="100"/>
      <c r="DB185" s="100"/>
      <c r="DC185" s="100"/>
      <c r="DD185" s="100"/>
      <c r="DE185" s="100"/>
      <c r="DF185" s="100"/>
      <c r="DG185" s="100"/>
      <c r="DH185" s="100"/>
      <c r="DI185" s="100"/>
      <c r="DJ185" s="100"/>
      <c r="DK185" s="100"/>
      <c r="DL185" s="100"/>
      <c r="DM185" s="100"/>
      <c r="DN185" s="100"/>
      <c r="DO185" s="100"/>
      <c r="DP185" s="100"/>
      <c r="DQ185" s="100"/>
      <c r="DR185" s="100"/>
    </row>
    <row r="186" ht="15.75" customHeight="1">
      <c r="B186" s="5" t="s">
        <v>76</v>
      </c>
      <c r="F186" s="49">
        <f t="shared" ref="F186:M186" si="176">+F179/F163</f>
        <v>0.6814893689</v>
      </c>
      <c r="G186" s="49">
        <f t="shared" si="176"/>
        <v>0.7475955363</v>
      </c>
      <c r="H186" s="49">
        <f t="shared" si="176"/>
        <v>0.6890718361</v>
      </c>
      <c r="I186" s="49">
        <f t="shared" si="176"/>
        <v>0.69</v>
      </c>
      <c r="J186" s="49">
        <f t="shared" si="176"/>
        <v>0.69</v>
      </c>
      <c r="K186" s="49">
        <f t="shared" si="176"/>
        <v>0.693</v>
      </c>
      <c r="L186" s="49">
        <f t="shared" si="176"/>
        <v>0.696</v>
      </c>
      <c r="M186" s="49">
        <f t="shared" si="176"/>
        <v>0.699</v>
      </c>
      <c r="AA186" s="53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100"/>
      <c r="AQ186" s="100"/>
      <c r="AR186" s="100"/>
      <c r="AS186" s="100"/>
      <c r="AT186" s="100"/>
      <c r="AU186" s="100"/>
      <c r="AV186" s="100"/>
      <c r="AW186" s="100"/>
      <c r="AX186" s="100"/>
      <c r="AY186" s="100"/>
      <c r="AZ186" s="100"/>
      <c r="BA186" s="100"/>
      <c r="BB186" s="100"/>
      <c r="BC186" s="100"/>
      <c r="BD186" s="100"/>
      <c r="BE186" s="100"/>
      <c r="BF186" s="100"/>
      <c r="BG186" s="100"/>
      <c r="BH186" s="100"/>
      <c r="BI186" s="100"/>
      <c r="BJ186" s="100"/>
      <c r="BK186" s="100"/>
      <c r="BL186" s="100"/>
      <c r="BM186" s="100"/>
      <c r="BN186" s="100"/>
      <c r="BO186" s="100"/>
      <c r="BP186" s="100"/>
      <c r="BQ186" s="100"/>
      <c r="BR186" s="100"/>
      <c r="BS186" s="100"/>
      <c r="BT186" s="100"/>
      <c r="BU186" s="100"/>
      <c r="BV186" s="100"/>
      <c r="BW186" s="100"/>
      <c r="BX186" s="100"/>
      <c r="BY186" s="100"/>
      <c r="BZ186" s="100"/>
      <c r="CA186" s="100"/>
      <c r="CB186" s="100"/>
      <c r="CC186" s="100"/>
      <c r="CD186" s="100"/>
      <c r="CE186" s="100"/>
      <c r="CF186" s="100"/>
      <c r="CG186" s="100"/>
      <c r="CH186" s="100"/>
      <c r="CI186" s="100"/>
      <c r="CJ186" s="100"/>
      <c r="CK186" s="100"/>
      <c r="CL186" s="100"/>
      <c r="CM186" s="100"/>
      <c r="CN186" s="100"/>
      <c r="CO186" s="100"/>
      <c r="CP186" s="100"/>
      <c r="CQ186" s="100"/>
      <c r="CR186" s="100"/>
      <c r="CS186" s="100"/>
      <c r="CT186" s="100"/>
      <c r="CU186" s="100"/>
      <c r="CV186" s="100"/>
      <c r="CW186" s="100"/>
      <c r="CX186" s="100"/>
      <c r="CY186" s="100"/>
      <c r="CZ186" s="100"/>
      <c r="DA186" s="100"/>
      <c r="DB186" s="100"/>
      <c r="DC186" s="100"/>
      <c r="DD186" s="100"/>
      <c r="DE186" s="100"/>
      <c r="DF186" s="100"/>
      <c r="DG186" s="100"/>
      <c r="DH186" s="100"/>
      <c r="DI186" s="100"/>
      <c r="DJ186" s="100"/>
      <c r="DK186" s="100"/>
      <c r="DL186" s="100"/>
      <c r="DM186" s="100"/>
      <c r="DN186" s="100"/>
      <c r="DO186" s="100"/>
      <c r="DP186" s="100"/>
      <c r="DQ186" s="100"/>
      <c r="DR186" s="100"/>
    </row>
    <row r="187" ht="15.75" customHeight="1">
      <c r="B187" s="5" t="s">
        <v>74</v>
      </c>
      <c r="F187" s="49">
        <f t="shared" ref="F187:M187" si="177">+F180/F164</f>
        <v>0.2587369604</v>
      </c>
      <c r="G187" s="49">
        <f t="shared" si="177"/>
        <v>0.492077364</v>
      </c>
      <c r="H187" s="49">
        <f t="shared" si="177"/>
        <v>0.6428167964</v>
      </c>
      <c r="I187" s="49">
        <f t="shared" si="177"/>
        <v>0.65</v>
      </c>
      <c r="J187" s="49">
        <f t="shared" si="177"/>
        <v>0.65</v>
      </c>
      <c r="K187" s="49">
        <f t="shared" si="177"/>
        <v>0.653</v>
      </c>
      <c r="L187" s="49">
        <f t="shared" si="177"/>
        <v>0.656</v>
      </c>
      <c r="M187" s="49">
        <f t="shared" si="177"/>
        <v>0.659</v>
      </c>
      <c r="AA187" s="53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00"/>
      <c r="AQ187" s="100"/>
      <c r="AR187" s="100"/>
      <c r="AS187" s="100"/>
      <c r="AT187" s="100"/>
      <c r="AU187" s="100"/>
      <c r="AV187" s="100"/>
      <c r="AW187" s="100"/>
      <c r="AX187" s="100"/>
      <c r="AY187" s="100"/>
      <c r="AZ187" s="100"/>
      <c r="BA187" s="100"/>
      <c r="BB187" s="100"/>
      <c r="BC187" s="100"/>
      <c r="BD187" s="100"/>
      <c r="BE187" s="100"/>
      <c r="BF187" s="100"/>
      <c r="BG187" s="100"/>
      <c r="BH187" s="100"/>
      <c r="BI187" s="100"/>
      <c r="BJ187" s="100"/>
      <c r="BK187" s="100"/>
      <c r="BL187" s="100"/>
      <c r="BM187" s="100"/>
      <c r="BN187" s="100"/>
      <c r="BO187" s="100"/>
      <c r="BP187" s="100"/>
      <c r="BQ187" s="100"/>
      <c r="BR187" s="100"/>
      <c r="BS187" s="100"/>
      <c r="BT187" s="100"/>
      <c r="BU187" s="100"/>
      <c r="BV187" s="100"/>
      <c r="BW187" s="100"/>
      <c r="BX187" s="100"/>
      <c r="BY187" s="100"/>
      <c r="BZ187" s="100"/>
      <c r="CA187" s="100"/>
      <c r="CB187" s="100"/>
      <c r="CC187" s="100"/>
      <c r="CD187" s="100"/>
      <c r="CE187" s="100"/>
      <c r="CF187" s="100"/>
      <c r="CG187" s="100"/>
      <c r="CH187" s="100"/>
      <c r="CI187" s="100"/>
      <c r="CJ187" s="100"/>
      <c r="CK187" s="100"/>
      <c r="CL187" s="100"/>
      <c r="CM187" s="100"/>
      <c r="CN187" s="100"/>
      <c r="CO187" s="100"/>
      <c r="CP187" s="100"/>
      <c r="CQ187" s="100"/>
      <c r="CR187" s="100"/>
      <c r="CS187" s="100"/>
      <c r="CT187" s="100"/>
      <c r="CU187" s="100"/>
      <c r="CV187" s="100"/>
      <c r="CW187" s="100"/>
      <c r="CX187" s="100"/>
      <c r="CY187" s="100"/>
      <c r="CZ187" s="100"/>
      <c r="DA187" s="100"/>
      <c r="DB187" s="100"/>
      <c r="DC187" s="100"/>
      <c r="DD187" s="100"/>
      <c r="DE187" s="100"/>
      <c r="DF187" s="100"/>
      <c r="DG187" s="100"/>
      <c r="DH187" s="100"/>
      <c r="DI187" s="100"/>
      <c r="DJ187" s="100"/>
      <c r="DK187" s="100"/>
      <c r="DL187" s="100"/>
      <c r="DM187" s="100"/>
      <c r="DN187" s="100"/>
      <c r="DO187" s="100"/>
      <c r="DP187" s="100"/>
      <c r="DQ187" s="100"/>
      <c r="DR187" s="100"/>
    </row>
    <row r="188" ht="15.75" customHeight="1">
      <c r="B188" s="5" t="s">
        <v>70</v>
      </c>
      <c r="F188" s="49">
        <f t="shared" ref="F188:M188" si="178">+F181/F165</f>
        <v>0.7029888097</v>
      </c>
      <c r="G188" s="49">
        <f t="shared" si="178"/>
        <v>0.4563453073</v>
      </c>
      <c r="H188" s="49">
        <f t="shared" si="178"/>
        <v>0.7386531678</v>
      </c>
      <c r="I188" s="49">
        <f t="shared" si="178"/>
        <v>0.75</v>
      </c>
      <c r="J188" s="49">
        <f t="shared" si="178"/>
        <v>0.75</v>
      </c>
      <c r="K188" s="49">
        <f t="shared" si="178"/>
        <v>0.753</v>
      </c>
      <c r="L188" s="49">
        <f t="shared" si="178"/>
        <v>0.756</v>
      </c>
      <c r="M188" s="49">
        <f t="shared" si="178"/>
        <v>0.759</v>
      </c>
      <c r="AA188" s="53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  <c r="AR188" s="100"/>
      <c r="AS188" s="100"/>
      <c r="AT188" s="100"/>
      <c r="AU188" s="100"/>
      <c r="AV188" s="100"/>
      <c r="AW188" s="100"/>
      <c r="AX188" s="100"/>
      <c r="AY188" s="100"/>
      <c r="AZ188" s="100"/>
      <c r="BA188" s="100"/>
      <c r="BB188" s="100"/>
      <c r="BC188" s="100"/>
      <c r="BD188" s="100"/>
      <c r="BE188" s="100"/>
      <c r="BF188" s="100"/>
      <c r="BG188" s="100"/>
      <c r="BH188" s="100"/>
      <c r="BI188" s="100"/>
      <c r="BJ188" s="100"/>
      <c r="BK188" s="100"/>
      <c r="BL188" s="100"/>
      <c r="BM188" s="100"/>
      <c r="BN188" s="100"/>
      <c r="BO188" s="100"/>
      <c r="BP188" s="100"/>
      <c r="BQ188" s="100"/>
      <c r="BR188" s="100"/>
      <c r="BS188" s="100"/>
      <c r="BT188" s="100"/>
      <c r="BU188" s="100"/>
      <c r="BV188" s="100"/>
      <c r="BW188" s="100"/>
      <c r="BX188" s="100"/>
      <c r="BY188" s="100"/>
      <c r="BZ188" s="100"/>
      <c r="CA188" s="100"/>
      <c r="CB188" s="100"/>
      <c r="CC188" s="100"/>
      <c r="CD188" s="100"/>
      <c r="CE188" s="100"/>
      <c r="CF188" s="100"/>
      <c r="CG188" s="100"/>
      <c r="CH188" s="100"/>
      <c r="CI188" s="100"/>
      <c r="CJ188" s="100"/>
      <c r="CK188" s="100"/>
      <c r="CL188" s="100"/>
      <c r="CM188" s="100"/>
      <c r="CN188" s="100"/>
      <c r="CO188" s="100"/>
      <c r="CP188" s="100"/>
      <c r="CQ188" s="100"/>
      <c r="CR188" s="100"/>
      <c r="CS188" s="100"/>
      <c r="CT188" s="100"/>
      <c r="CU188" s="100"/>
      <c r="CV188" s="100"/>
      <c r="CW188" s="100"/>
      <c r="CX188" s="100"/>
      <c r="CY188" s="100"/>
      <c r="CZ188" s="100"/>
      <c r="DA188" s="100"/>
      <c r="DB188" s="100"/>
      <c r="DC188" s="100"/>
      <c r="DD188" s="100"/>
      <c r="DE188" s="100"/>
      <c r="DF188" s="100"/>
      <c r="DG188" s="100"/>
      <c r="DH188" s="100"/>
      <c r="DI188" s="100"/>
      <c r="DJ188" s="100"/>
      <c r="DK188" s="100"/>
      <c r="DL188" s="100"/>
      <c r="DM188" s="100"/>
      <c r="DN188" s="100"/>
      <c r="DO188" s="100"/>
      <c r="DP188" s="100"/>
      <c r="DQ188" s="100"/>
      <c r="DR188" s="100"/>
    </row>
    <row r="189" ht="15.75" customHeight="1">
      <c r="B189" s="54" t="s">
        <v>145</v>
      </c>
      <c r="C189" s="54"/>
      <c r="D189" s="54"/>
      <c r="F189" s="57">
        <f t="shared" ref="F189:M189" si="179">+F182/F166</f>
        <v>0.710676323</v>
      </c>
      <c r="G189" s="57">
        <f t="shared" si="179"/>
        <v>0.6810442098</v>
      </c>
      <c r="H189" s="57">
        <f t="shared" si="179"/>
        <v>0.7105210419</v>
      </c>
      <c r="I189" s="57">
        <f t="shared" si="179"/>
        <v>0.6891650232</v>
      </c>
      <c r="J189" s="57">
        <f t="shared" si="179"/>
        <v>0.6896098924</v>
      </c>
      <c r="K189" s="57">
        <f t="shared" si="179"/>
        <v>0.6924508609</v>
      </c>
      <c r="L189" s="57">
        <f t="shared" si="179"/>
        <v>0.6952969177</v>
      </c>
      <c r="M189" s="57">
        <f t="shared" si="179"/>
        <v>0.698101547</v>
      </c>
      <c r="AA189" s="53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100"/>
      <c r="AU189" s="100"/>
      <c r="AV189" s="100"/>
      <c r="AW189" s="100"/>
      <c r="AX189" s="100"/>
      <c r="AY189" s="100"/>
      <c r="AZ189" s="100"/>
      <c r="BA189" s="100"/>
      <c r="BB189" s="100"/>
      <c r="BC189" s="100"/>
      <c r="BD189" s="100"/>
      <c r="BE189" s="100"/>
      <c r="BF189" s="100"/>
      <c r="BG189" s="100"/>
      <c r="BH189" s="100"/>
      <c r="BI189" s="100"/>
      <c r="BJ189" s="100"/>
      <c r="BK189" s="100"/>
      <c r="BL189" s="100"/>
      <c r="BM189" s="100"/>
      <c r="BN189" s="100"/>
      <c r="BO189" s="100"/>
      <c r="BP189" s="100"/>
      <c r="BQ189" s="100"/>
      <c r="BR189" s="100"/>
      <c r="BS189" s="100"/>
      <c r="BT189" s="100"/>
      <c r="BU189" s="100"/>
      <c r="BV189" s="100"/>
      <c r="BW189" s="100"/>
      <c r="BX189" s="100"/>
      <c r="BY189" s="100"/>
      <c r="BZ189" s="100"/>
      <c r="CA189" s="100"/>
      <c r="CB189" s="100"/>
      <c r="CC189" s="100"/>
      <c r="CD189" s="100"/>
      <c r="CE189" s="100"/>
      <c r="CF189" s="100"/>
      <c r="CG189" s="100"/>
      <c r="CH189" s="100"/>
      <c r="CI189" s="100"/>
      <c r="CJ189" s="100"/>
      <c r="CK189" s="100"/>
      <c r="CL189" s="100"/>
      <c r="CM189" s="100"/>
      <c r="CN189" s="100"/>
      <c r="CO189" s="100"/>
      <c r="CP189" s="100"/>
      <c r="CQ189" s="100"/>
      <c r="CR189" s="100"/>
      <c r="CS189" s="100"/>
      <c r="CT189" s="100"/>
      <c r="CU189" s="100"/>
      <c r="CV189" s="100"/>
      <c r="CW189" s="100"/>
      <c r="CX189" s="100"/>
      <c r="CY189" s="100"/>
      <c r="CZ189" s="100"/>
      <c r="DA189" s="100"/>
      <c r="DB189" s="100"/>
      <c r="DC189" s="100"/>
      <c r="DD189" s="100"/>
      <c r="DE189" s="100"/>
      <c r="DF189" s="100"/>
      <c r="DG189" s="100"/>
      <c r="DH189" s="100"/>
      <c r="DI189" s="100"/>
      <c r="DJ189" s="100"/>
      <c r="DK189" s="100"/>
      <c r="DL189" s="100"/>
      <c r="DM189" s="100"/>
      <c r="DN189" s="100"/>
      <c r="DO189" s="100"/>
      <c r="DP189" s="100"/>
      <c r="DQ189" s="100"/>
      <c r="DR189" s="100"/>
    </row>
    <row r="190" ht="4.5" customHeight="1"/>
    <row r="191" ht="15.75" customHeight="1">
      <c r="B191" s="122" t="s">
        <v>151</v>
      </c>
      <c r="C191" s="122"/>
      <c r="D191" s="122"/>
      <c r="F191" s="116">
        <f t="shared" ref="F191:M191" si="180">+F173</f>
        <v>1948.526395</v>
      </c>
      <c r="G191" s="116">
        <f t="shared" si="180"/>
        <v>1950.845247</v>
      </c>
      <c r="H191" s="116">
        <f t="shared" si="180"/>
        <v>2291.431483</v>
      </c>
      <c r="I191" s="116">
        <f t="shared" si="180"/>
        <v>2690.839299</v>
      </c>
      <c r="J191" s="116">
        <f t="shared" si="180"/>
        <v>3164.706123</v>
      </c>
      <c r="K191" s="116">
        <f t="shared" si="180"/>
        <v>3660.810687</v>
      </c>
      <c r="L191" s="116">
        <f t="shared" si="180"/>
        <v>4223.67019</v>
      </c>
      <c r="M191" s="116">
        <f t="shared" si="180"/>
        <v>4883.571937</v>
      </c>
      <c r="AA191" s="116">
        <f t="shared" ref="AA191:DR191" si="181">+AA173</f>
        <v>156.1369731</v>
      </c>
      <c r="AB191" s="116">
        <f t="shared" si="181"/>
        <v>155.9509402</v>
      </c>
      <c r="AC191" s="116">
        <f t="shared" si="181"/>
        <v>157.2713824</v>
      </c>
      <c r="AD191" s="116">
        <f t="shared" si="181"/>
        <v>116.0942787</v>
      </c>
      <c r="AE191" s="116">
        <f t="shared" si="181"/>
        <v>145.762966</v>
      </c>
      <c r="AF191" s="116">
        <f t="shared" si="181"/>
        <v>181.7476947</v>
      </c>
      <c r="AG191" s="116">
        <f t="shared" si="181"/>
        <v>150.7366555</v>
      </c>
      <c r="AH191" s="116">
        <f t="shared" si="181"/>
        <v>196.1992158</v>
      </c>
      <c r="AI191" s="116">
        <f t="shared" si="181"/>
        <v>190.8187394</v>
      </c>
      <c r="AJ191" s="116">
        <f t="shared" si="181"/>
        <v>207.1983121</v>
      </c>
      <c r="AK191" s="116">
        <f t="shared" si="181"/>
        <v>172.7535798</v>
      </c>
      <c r="AL191" s="116">
        <f t="shared" si="181"/>
        <v>117.8556571</v>
      </c>
      <c r="AM191" s="116">
        <f t="shared" si="181"/>
        <v>150.6802751</v>
      </c>
      <c r="AN191" s="116">
        <f t="shared" si="181"/>
        <v>149.0428919</v>
      </c>
      <c r="AO191" s="116">
        <f t="shared" si="181"/>
        <v>162.6743749</v>
      </c>
      <c r="AP191" s="116">
        <f t="shared" si="181"/>
        <v>153.268907</v>
      </c>
      <c r="AQ191" s="116">
        <f t="shared" si="181"/>
        <v>143.6886821</v>
      </c>
      <c r="AR191" s="116">
        <f t="shared" si="181"/>
        <v>185.8452595</v>
      </c>
      <c r="AS191" s="116">
        <f t="shared" si="181"/>
        <v>202.1206783</v>
      </c>
      <c r="AT191" s="116">
        <f t="shared" si="181"/>
        <v>190.7632091</v>
      </c>
      <c r="AU191" s="116">
        <f t="shared" si="181"/>
        <v>185.5813276</v>
      </c>
      <c r="AV191" s="116">
        <f t="shared" si="181"/>
        <v>165.5973172</v>
      </c>
      <c r="AW191" s="116">
        <f t="shared" si="181"/>
        <v>130.642629</v>
      </c>
      <c r="AX191" s="116">
        <f t="shared" si="181"/>
        <v>130.9396956</v>
      </c>
      <c r="AY191" s="116">
        <f t="shared" si="181"/>
        <v>159.6303831</v>
      </c>
      <c r="AZ191" s="116">
        <f t="shared" si="181"/>
        <v>214.5205418</v>
      </c>
      <c r="BA191" s="116">
        <f t="shared" si="181"/>
        <v>225.8860329</v>
      </c>
      <c r="BB191" s="116">
        <f t="shared" si="181"/>
        <v>209.3709828</v>
      </c>
      <c r="BC191" s="116">
        <f t="shared" si="181"/>
        <v>203.6584596</v>
      </c>
      <c r="BD191" s="116">
        <f t="shared" si="181"/>
        <v>195.739896</v>
      </c>
      <c r="BE191" s="116">
        <f t="shared" si="181"/>
        <v>216.9080817</v>
      </c>
      <c r="BF191" s="116">
        <f t="shared" si="181"/>
        <v>212.7248865</v>
      </c>
      <c r="BG191" s="116">
        <f t="shared" si="181"/>
        <v>197.3215854</v>
      </c>
      <c r="BH191" s="116">
        <f t="shared" si="181"/>
        <v>201.8385768</v>
      </c>
      <c r="BI191" s="116">
        <f t="shared" si="181"/>
        <v>139.8612453</v>
      </c>
      <c r="BJ191" s="116">
        <f t="shared" si="181"/>
        <v>113.9708112</v>
      </c>
      <c r="BK191" s="116">
        <f t="shared" si="181"/>
        <v>207.8009073</v>
      </c>
      <c r="BL191" s="116">
        <f t="shared" si="181"/>
        <v>226.0383026</v>
      </c>
      <c r="BM191" s="116">
        <f t="shared" si="181"/>
        <v>235.2866736</v>
      </c>
      <c r="BN191" s="116">
        <f t="shared" si="181"/>
        <v>212.3385135</v>
      </c>
      <c r="BO191" s="116">
        <f t="shared" si="181"/>
        <v>214.0158145</v>
      </c>
      <c r="BP191" s="116">
        <f t="shared" si="181"/>
        <v>241.7882569</v>
      </c>
      <c r="BQ191" s="116">
        <f t="shared" si="181"/>
        <v>243.5306686</v>
      </c>
      <c r="BR191" s="116">
        <f t="shared" si="181"/>
        <v>257.7255856</v>
      </c>
      <c r="BS191" s="116">
        <f t="shared" si="181"/>
        <v>244.2550088</v>
      </c>
      <c r="BT191" s="116">
        <f t="shared" si="181"/>
        <v>248.4925249</v>
      </c>
      <c r="BU191" s="116">
        <f t="shared" si="181"/>
        <v>197.5413841</v>
      </c>
      <c r="BV191" s="116">
        <f t="shared" si="181"/>
        <v>162.0256584</v>
      </c>
      <c r="BW191" s="116">
        <f t="shared" si="181"/>
        <v>243.1713062</v>
      </c>
      <c r="BX191" s="116">
        <f t="shared" si="181"/>
        <v>270.8008864</v>
      </c>
      <c r="BY191" s="116">
        <f t="shared" si="181"/>
        <v>283.4268087</v>
      </c>
      <c r="BZ191" s="116">
        <f t="shared" si="181"/>
        <v>266.1308125</v>
      </c>
      <c r="CA191" s="116">
        <f t="shared" si="181"/>
        <v>253.5647744</v>
      </c>
      <c r="CB191" s="116">
        <f t="shared" si="181"/>
        <v>279.628088</v>
      </c>
      <c r="CC191" s="116">
        <f t="shared" si="181"/>
        <v>296.1838762</v>
      </c>
      <c r="CD191" s="116">
        <f t="shared" si="181"/>
        <v>298.1706858</v>
      </c>
      <c r="CE191" s="116">
        <f t="shared" si="181"/>
        <v>281.6947673</v>
      </c>
      <c r="CF191" s="116">
        <f t="shared" si="181"/>
        <v>281.9187257</v>
      </c>
      <c r="CG191" s="116">
        <f t="shared" si="181"/>
        <v>219.2213047</v>
      </c>
      <c r="CH191" s="116">
        <f t="shared" si="181"/>
        <v>190.7940874</v>
      </c>
      <c r="CI191" s="116">
        <f t="shared" si="181"/>
        <v>277.8987837</v>
      </c>
      <c r="CJ191" s="116">
        <f t="shared" si="181"/>
        <v>317.7556377</v>
      </c>
      <c r="CK191" s="116">
        <f t="shared" si="181"/>
        <v>331.7829946</v>
      </c>
      <c r="CL191" s="116">
        <f t="shared" si="181"/>
        <v>309.9357994</v>
      </c>
      <c r="CM191" s="116">
        <f t="shared" si="181"/>
        <v>301.1532382</v>
      </c>
      <c r="CN191" s="116">
        <f t="shared" si="181"/>
        <v>318.5904962</v>
      </c>
      <c r="CO191" s="116">
        <f t="shared" si="181"/>
        <v>335.3174239</v>
      </c>
      <c r="CP191" s="116">
        <f t="shared" si="181"/>
        <v>342.7986132</v>
      </c>
      <c r="CQ191" s="116">
        <f t="shared" si="181"/>
        <v>323.366826</v>
      </c>
      <c r="CR191" s="116">
        <f t="shared" si="181"/>
        <v>331.2489413</v>
      </c>
      <c r="CS191" s="116">
        <f t="shared" si="181"/>
        <v>255.9713926</v>
      </c>
      <c r="CT191" s="116">
        <f t="shared" si="181"/>
        <v>214.9905403</v>
      </c>
      <c r="CU191" s="116">
        <f t="shared" si="181"/>
        <v>325.6222269</v>
      </c>
      <c r="CV191" s="116">
        <f t="shared" si="181"/>
        <v>361.5549919</v>
      </c>
      <c r="CW191" s="116">
        <f t="shared" si="181"/>
        <v>376.5096186</v>
      </c>
      <c r="CX191" s="116">
        <f t="shared" si="181"/>
        <v>350.8054481</v>
      </c>
      <c r="CY191" s="116">
        <f t="shared" si="181"/>
        <v>340.7297273</v>
      </c>
      <c r="CZ191" s="116">
        <f t="shared" si="181"/>
        <v>371.778404</v>
      </c>
      <c r="DA191" s="116">
        <f t="shared" si="181"/>
        <v>386.3107874</v>
      </c>
      <c r="DB191" s="116">
        <f t="shared" si="181"/>
        <v>397.9418492</v>
      </c>
      <c r="DC191" s="116">
        <f t="shared" si="181"/>
        <v>375.2887512</v>
      </c>
      <c r="DD191" s="116">
        <f t="shared" si="181"/>
        <v>382.4636323</v>
      </c>
      <c r="DE191" s="116">
        <f t="shared" si="181"/>
        <v>300.9660207</v>
      </c>
      <c r="DF191" s="116">
        <f t="shared" si="181"/>
        <v>253.698732</v>
      </c>
      <c r="DG191" s="116">
        <f t="shared" si="181"/>
        <v>376.5800195</v>
      </c>
      <c r="DH191" s="116">
        <f t="shared" si="181"/>
        <v>420.407454</v>
      </c>
      <c r="DI191" s="116">
        <f t="shared" si="181"/>
        <v>437.7836379</v>
      </c>
      <c r="DJ191" s="116">
        <f t="shared" si="181"/>
        <v>411.5510682</v>
      </c>
      <c r="DK191" s="116">
        <f t="shared" si="181"/>
        <v>395.2766057</v>
      </c>
      <c r="DL191" s="116">
        <f t="shared" si="181"/>
        <v>426.765794</v>
      </c>
      <c r="DM191" s="116">
        <f t="shared" si="181"/>
        <v>447.6699622</v>
      </c>
      <c r="DN191" s="116">
        <f t="shared" si="181"/>
        <v>457.6382923</v>
      </c>
      <c r="DO191" s="116">
        <f t="shared" si="181"/>
        <v>431.2728445</v>
      </c>
      <c r="DP191" s="116">
        <f t="shared" si="181"/>
        <v>440.0389706</v>
      </c>
      <c r="DQ191" s="116">
        <f t="shared" si="181"/>
        <v>345.1145683</v>
      </c>
      <c r="DR191" s="116">
        <f t="shared" si="181"/>
        <v>293.4727194</v>
      </c>
    </row>
    <row r="192" ht="15.75" customHeight="1"/>
    <row r="193" ht="15.75" customHeight="1">
      <c r="B193" s="71" t="s">
        <v>44</v>
      </c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71"/>
      <c r="AJ193" s="71"/>
      <c r="AK193" s="71"/>
      <c r="AL193" s="71"/>
      <c r="AM193" s="71"/>
      <c r="AN193" s="71"/>
      <c r="AO193" s="71"/>
      <c r="AP193" s="71"/>
      <c r="AQ193" s="71"/>
      <c r="AR193" s="71"/>
      <c r="AS193" s="71"/>
      <c r="AT193" s="71"/>
      <c r="AU193" s="71"/>
      <c r="AV193" s="71"/>
      <c r="AW193" s="71"/>
      <c r="AX193" s="71"/>
      <c r="AY193" s="71"/>
      <c r="AZ193" s="71"/>
      <c r="BA193" s="71"/>
      <c r="BB193" s="71"/>
      <c r="BC193" s="71"/>
      <c r="BD193" s="71"/>
      <c r="BE193" s="71"/>
      <c r="BF193" s="71"/>
      <c r="BG193" s="71"/>
      <c r="BH193" s="71"/>
      <c r="BI193" s="71"/>
      <c r="BJ193" s="71"/>
      <c r="BK193" s="71"/>
      <c r="BL193" s="71"/>
      <c r="BM193" s="71"/>
      <c r="BN193" s="71"/>
      <c r="BO193" s="71"/>
      <c r="BP193" s="71"/>
      <c r="BQ193" s="71"/>
      <c r="BR193" s="71"/>
      <c r="BS193" s="71"/>
      <c r="BT193" s="71"/>
      <c r="BU193" s="71"/>
      <c r="BV193" s="71"/>
      <c r="BW193" s="71"/>
      <c r="BX193" s="71"/>
      <c r="BY193" s="71"/>
      <c r="BZ193" s="71"/>
      <c r="CA193" s="71"/>
      <c r="CB193" s="71"/>
      <c r="CC193" s="71"/>
      <c r="CD193" s="71"/>
      <c r="CE193" s="71"/>
      <c r="CF193" s="71"/>
      <c r="CG193" s="71"/>
      <c r="CH193" s="71"/>
      <c r="CI193" s="71"/>
      <c r="CJ193" s="71"/>
      <c r="CK193" s="71"/>
      <c r="CL193" s="71"/>
      <c r="CM193" s="71"/>
      <c r="CN193" s="71"/>
      <c r="CO193" s="71"/>
      <c r="CP193" s="71"/>
      <c r="CQ193" s="71"/>
      <c r="CR193" s="71"/>
      <c r="CS193" s="71"/>
      <c r="CT193" s="71"/>
      <c r="CU193" s="71"/>
      <c r="CV193" s="71"/>
      <c r="CW193" s="71"/>
      <c r="CX193" s="71"/>
      <c r="CY193" s="71"/>
      <c r="CZ193" s="71"/>
      <c r="DA193" s="71"/>
      <c r="DB193" s="71"/>
      <c r="DC193" s="71"/>
      <c r="DD193" s="71"/>
      <c r="DE193" s="71"/>
      <c r="DF193" s="71"/>
      <c r="DG193" s="71"/>
      <c r="DH193" s="71"/>
      <c r="DI193" s="71"/>
      <c r="DJ193" s="71"/>
      <c r="DK193" s="71"/>
      <c r="DL193" s="71"/>
      <c r="DM193" s="71"/>
      <c r="DN193" s="71"/>
      <c r="DO193" s="71"/>
      <c r="DP193" s="71"/>
      <c r="DQ193" s="71"/>
      <c r="DR193" s="71"/>
      <c r="DS193" s="71"/>
    </row>
    <row r="194" ht="4.5" customHeight="1"/>
    <row r="195" ht="15.75" customHeight="1" outlineLevel="1">
      <c r="B195" s="5" t="s">
        <v>69</v>
      </c>
      <c r="C195" s="72" t="s">
        <v>70</v>
      </c>
      <c r="F195" s="50">
        <f t="shared" ref="F195:M195" si="182">+SUMIFS($AA195:$DR195,$AA$7:$DR$7,F$7)</f>
        <v>119.6705088</v>
      </c>
      <c r="G195" s="50">
        <f t="shared" si="182"/>
        <v>15.00981308</v>
      </c>
      <c r="H195" s="50">
        <f t="shared" si="182"/>
        <v>0</v>
      </c>
      <c r="I195" s="50">
        <f t="shared" si="182"/>
        <v>0</v>
      </c>
      <c r="J195" s="50">
        <f t="shared" si="182"/>
        <v>0</v>
      </c>
      <c r="K195" s="50">
        <f t="shared" si="182"/>
        <v>0</v>
      </c>
      <c r="L195" s="50">
        <f t="shared" si="182"/>
        <v>0</v>
      </c>
      <c r="M195" s="50">
        <f t="shared" si="182"/>
        <v>0</v>
      </c>
      <c r="AA195" s="51">
        <v>0.5327979973094205</v>
      </c>
      <c r="AB195" s="51">
        <v>3.7926951942650877</v>
      </c>
      <c r="AC195" s="51">
        <v>3.042904959616583</v>
      </c>
      <c r="AD195" s="51">
        <v>11.177625040773298</v>
      </c>
      <c r="AE195" s="51">
        <v>17.900817327362326</v>
      </c>
      <c r="AF195" s="51">
        <v>10.763133063031042</v>
      </c>
      <c r="AG195" s="51">
        <v>7.028926103520268</v>
      </c>
      <c r="AH195" s="51">
        <v>14.882513395861952</v>
      </c>
      <c r="AI195" s="51">
        <v>11.312129713230412</v>
      </c>
      <c r="AJ195" s="51">
        <v>14.523027058495146</v>
      </c>
      <c r="AK195" s="51">
        <v>17.64973390550043</v>
      </c>
      <c r="AL195" s="51">
        <v>7.064205013931929</v>
      </c>
      <c r="AM195" s="51">
        <v>2.774753513351236</v>
      </c>
      <c r="AN195" s="51">
        <v>7.021499162428557</v>
      </c>
      <c r="AO195" s="51">
        <v>3.658802616569403</v>
      </c>
      <c r="AP195" s="51">
        <v>1.2529209635985912</v>
      </c>
      <c r="AQ195" s="51">
        <v>0.20735105105801935</v>
      </c>
      <c r="AR195" s="51">
        <v>0.010652484354821528</v>
      </c>
      <c r="AS195" s="51">
        <v>0.08383328611740065</v>
      </c>
      <c r="AT195" s="51">
        <v>0.0</v>
      </c>
      <c r="AU195" s="51">
        <v>0.0</v>
      </c>
      <c r="AV195" s="51">
        <v>0.0</v>
      </c>
      <c r="AW195" s="51">
        <v>0.0</v>
      </c>
      <c r="AX195" s="51">
        <v>0.0</v>
      </c>
      <c r="AY195" s="51">
        <v>0.0</v>
      </c>
      <c r="AZ195" s="51">
        <v>0.0</v>
      </c>
      <c r="BA195" s="51">
        <v>0.0</v>
      </c>
      <c r="BB195" s="51">
        <v>0.0</v>
      </c>
      <c r="BC195" s="51">
        <v>0.0</v>
      </c>
      <c r="BD195" s="51">
        <v>0.0</v>
      </c>
      <c r="BE195" s="51">
        <v>0.0</v>
      </c>
      <c r="BF195" s="51">
        <v>0.0</v>
      </c>
      <c r="BG195" s="51">
        <v>0.0</v>
      </c>
      <c r="BH195" s="51">
        <v>0.0</v>
      </c>
      <c r="BI195" s="51">
        <v>0.0</v>
      </c>
      <c r="BJ195" s="51">
        <v>0.0</v>
      </c>
    </row>
    <row r="196" ht="15.75" customHeight="1" outlineLevel="1">
      <c r="B196" s="5" t="s">
        <v>71</v>
      </c>
      <c r="C196" s="72" t="s">
        <v>70</v>
      </c>
      <c r="F196" s="50">
        <f t="shared" ref="F196:M196" si="183">+SUMIFS($AA196:$DR196,$AA$7:$DR$7,F$7)</f>
        <v>0</v>
      </c>
      <c r="G196" s="50">
        <f t="shared" si="183"/>
        <v>0</v>
      </c>
      <c r="H196" s="50">
        <f t="shared" si="183"/>
        <v>101.1764743</v>
      </c>
      <c r="I196" s="50">
        <f t="shared" si="183"/>
        <v>0</v>
      </c>
      <c r="J196" s="50">
        <f t="shared" si="183"/>
        <v>0</v>
      </c>
      <c r="K196" s="50">
        <f t="shared" si="183"/>
        <v>0</v>
      </c>
      <c r="L196" s="50">
        <f t="shared" si="183"/>
        <v>0</v>
      </c>
      <c r="M196" s="50">
        <f t="shared" si="183"/>
        <v>0</v>
      </c>
      <c r="AA196" s="51">
        <v>0.0</v>
      </c>
      <c r="AB196" s="51">
        <v>0.0</v>
      </c>
      <c r="AC196" s="51">
        <v>0.0</v>
      </c>
      <c r="AD196" s="51">
        <v>0.0</v>
      </c>
      <c r="AE196" s="51">
        <v>0.0</v>
      </c>
      <c r="AF196" s="51">
        <v>0.0</v>
      </c>
      <c r="AG196" s="51">
        <v>0.0</v>
      </c>
      <c r="AH196" s="51">
        <v>0.0</v>
      </c>
      <c r="AI196" s="51">
        <v>0.0</v>
      </c>
      <c r="AJ196" s="51">
        <v>0.0</v>
      </c>
      <c r="AK196" s="51">
        <v>0.0</v>
      </c>
      <c r="AL196" s="51">
        <v>0.0</v>
      </c>
      <c r="AM196" s="51">
        <v>0.0</v>
      </c>
      <c r="AN196" s="51">
        <v>0.0</v>
      </c>
      <c r="AO196" s="51">
        <v>0.0</v>
      </c>
      <c r="AP196" s="51">
        <v>0.0</v>
      </c>
      <c r="AQ196" s="51">
        <v>0.0</v>
      </c>
      <c r="AR196" s="51">
        <v>0.0</v>
      </c>
      <c r="AS196" s="51">
        <v>0.0</v>
      </c>
      <c r="AT196" s="51">
        <v>0.0</v>
      </c>
      <c r="AU196" s="51">
        <v>0.0</v>
      </c>
      <c r="AV196" s="51">
        <v>0.0</v>
      </c>
      <c r="AW196" s="51">
        <v>0.0</v>
      </c>
      <c r="AX196" s="51">
        <v>0.0</v>
      </c>
      <c r="AY196" s="51">
        <v>0.0</v>
      </c>
      <c r="AZ196" s="51">
        <v>0.0</v>
      </c>
      <c r="BA196" s="51">
        <v>6.154176448255703</v>
      </c>
      <c r="BB196" s="51">
        <v>7.739461644031347</v>
      </c>
      <c r="BC196" s="51">
        <v>14.831836693736891</v>
      </c>
      <c r="BD196" s="51">
        <v>19.84659344187092</v>
      </c>
      <c r="BE196" s="51">
        <v>13.265245740842971</v>
      </c>
      <c r="BF196" s="51">
        <v>10.198596226683906</v>
      </c>
      <c r="BG196" s="51">
        <v>8.023127742850587</v>
      </c>
      <c r="BH196" s="51">
        <v>9.675962202803243</v>
      </c>
      <c r="BI196" s="51">
        <v>6.041242204361746</v>
      </c>
      <c r="BJ196" s="51">
        <v>5.400231964421901</v>
      </c>
    </row>
    <row r="197" ht="15.75" customHeight="1" outlineLevel="1">
      <c r="B197" s="5" t="s">
        <v>72</v>
      </c>
      <c r="C197" s="72" t="s">
        <v>70</v>
      </c>
      <c r="F197" s="50">
        <f t="shared" ref="F197:M197" si="184">+SUMIFS($AA197:$DR197,$AA$7:$DR$7,F$7)</f>
        <v>0</v>
      </c>
      <c r="G197" s="50">
        <f t="shared" si="184"/>
        <v>0</v>
      </c>
      <c r="H197" s="50">
        <f t="shared" si="184"/>
        <v>0.3283670058</v>
      </c>
      <c r="I197" s="50">
        <f t="shared" si="184"/>
        <v>0</v>
      </c>
      <c r="J197" s="50">
        <f t="shared" si="184"/>
        <v>0</v>
      </c>
      <c r="K197" s="50">
        <f t="shared" si="184"/>
        <v>0</v>
      </c>
      <c r="L197" s="50">
        <f t="shared" si="184"/>
        <v>0</v>
      </c>
      <c r="M197" s="50">
        <f t="shared" si="184"/>
        <v>0</v>
      </c>
      <c r="AA197" s="51">
        <v>0.0</v>
      </c>
      <c r="AB197" s="51">
        <v>0.0</v>
      </c>
      <c r="AC197" s="51">
        <v>0.0</v>
      </c>
      <c r="AD197" s="51">
        <v>0.0</v>
      </c>
      <c r="AE197" s="51">
        <v>0.0</v>
      </c>
      <c r="AF197" s="51">
        <v>0.0</v>
      </c>
      <c r="AG197" s="51">
        <v>0.0</v>
      </c>
      <c r="AH197" s="51">
        <v>0.0</v>
      </c>
      <c r="AI197" s="51">
        <v>0.0</v>
      </c>
      <c r="AJ197" s="51">
        <v>0.0</v>
      </c>
      <c r="AK197" s="51">
        <v>0.0</v>
      </c>
      <c r="AL197" s="51">
        <v>0.0</v>
      </c>
      <c r="AM197" s="51">
        <v>0.0</v>
      </c>
      <c r="AN197" s="51">
        <v>0.0</v>
      </c>
      <c r="AO197" s="51">
        <v>0.0</v>
      </c>
      <c r="AP197" s="51">
        <v>0.0</v>
      </c>
      <c r="AQ197" s="51">
        <v>0.0</v>
      </c>
      <c r="AR197" s="51">
        <v>0.0</v>
      </c>
      <c r="AS197" s="51">
        <v>0.0</v>
      </c>
      <c r="AT197" s="51">
        <v>0.0</v>
      </c>
      <c r="AU197" s="51">
        <v>0.0</v>
      </c>
      <c r="AV197" s="51">
        <v>0.0</v>
      </c>
      <c r="AW197" s="51">
        <v>0.0</v>
      </c>
      <c r="AX197" s="51">
        <v>0.0</v>
      </c>
      <c r="AY197" s="51">
        <v>0.0</v>
      </c>
      <c r="AZ197" s="51">
        <v>0.0</v>
      </c>
      <c r="BA197" s="51">
        <v>0.0</v>
      </c>
      <c r="BB197" s="51">
        <v>0.0</v>
      </c>
      <c r="BC197" s="51">
        <v>0.0</v>
      </c>
      <c r="BD197" s="51">
        <v>0.0</v>
      </c>
      <c r="BE197" s="51">
        <v>0.0</v>
      </c>
      <c r="BF197" s="51">
        <v>0.0</v>
      </c>
      <c r="BG197" s="51">
        <v>0.0</v>
      </c>
      <c r="BH197" s="51">
        <v>0.0</v>
      </c>
      <c r="BI197" s="51">
        <v>0.0</v>
      </c>
      <c r="BJ197" s="51">
        <v>0.32836700575335515</v>
      </c>
    </row>
    <row r="198" ht="15.75" customHeight="1" outlineLevel="1">
      <c r="B198" s="5" t="s">
        <v>73</v>
      </c>
      <c r="C198" s="72" t="s">
        <v>74</v>
      </c>
      <c r="F198" s="50">
        <f t="shared" ref="F198:M198" si="185">+SUMIFS($AA198:$DR198,$AA$7:$DR$7,F$7)</f>
        <v>0</v>
      </c>
      <c r="G198" s="50">
        <f t="shared" si="185"/>
        <v>61.27158654</v>
      </c>
      <c r="H198" s="50">
        <f t="shared" si="185"/>
        <v>29.65330849</v>
      </c>
      <c r="I198" s="50">
        <f t="shared" si="185"/>
        <v>0</v>
      </c>
      <c r="J198" s="50">
        <f t="shared" si="185"/>
        <v>0</v>
      </c>
      <c r="K198" s="50">
        <f t="shared" si="185"/>
        <v>0</v>
      </c>
      <c r="L198" s="50">
        <f t="shared" si="185"/>
        <v>0</v>
      </c>
      <c r="M198" s="50">
        <f t="shared" si="185"/>
        <v>0</v>
      </c>
      <c r="AA198" s="51">
        <v>0.0</v>
      </c>
      <c r="AB198" s="51">
        <v>0.0</v>
      </c>
      <c r="AC198" s="51">
        <v>0.0</v>
      </c>
      <c r="AD198" s="51">
        <v>0.0</v>
      </c>
      <c r="AE198" s="51">
        <v>0.0</v>
      </c>
      <c r="AF198" s="51">
        <v>0.0</v>
      </c>
      <c r="AG198" s="51">
        <v>0.0</v>
      </c>
      <c r="AH198" s="51">
        <v>0.0</v>
      </c>
      <c r="AI198" s="51">
        <v>0.0</v>
      </c>
      <c r="AJ198" s="51">
        <v>0.0</v>
      </c>
      <c r="AK198" s="51">
        <v>0.0</v>
      </c>
      <c r="AL198" s="51">
        <v>0.0</v>
      </c>
      <c r="AM198" s="51">
        <v>0.0</v>
      </c>
      <c r="AN198" s="51">
        <v>0.0</v>
      </c>
      <c r="AO198" s="51">
        <v>0.0</v>
      </c>
      <c r="AP198" s="51">
        <v>0.0</v>
      </c>
      <c r="AQ198" s="51">
        <v>2.2426609678260667</v>
      </c>
      <c r="AR198" s="51">
        <v>9.037751797531069</v>
      </c>
      <c r="AS198" s="51">
        <v>3.181142412092013</v>
      </c>
      <c r="AT198" s="51">
        <v>7.616529068345416</v>
      </c>
      <c r="AU198" s="51">
        <v>18.9117762107663</v>
      </c>
      <c r="AV198" s="51">
        <v>12.465568634786129</v>
      </c>
      <c r="AW198" s="51">
        <v>3.3408014629840133</v>
      </c>
      <c r="AX198" s="51">
        <v>4.475355987315369</v>
      </c>
      <c r="AY198" s="51">
        <v>1.7463319403839277</v>
      </c>
      <c r="AZ198" s="51">
        <v>3.808434582828601</v>
      </c>
      <c r="BA198" s="51">
        <v>3.9506285223850317</v>
      </c>
      <c r="BB198" s="51">
        <v>9.529158517979992</v>
      </c>
      <c r="BC198" s="51">
        <v>8.786373095528614</v>
      </c>
      <c r="BD198" s="51">
        <v>1.3127344950828825</v>
      </c>
      <c r="BE198" s="51">
        <v>0.45797529407973214</v>
      </c>
      <c r="BF198" s="51">
        <v>0.06167204021367334</v>
      </c>
      <c r="BG198" s="51">
        <v>0.0</v>
      </c>
      <c r="BH198" s="51">
        <v>0.0</v>
      </c>
      <c r="BI198" s="51">
        <v>0.0</v>
      </c>
      <c r="BJ198" s="51">
        <v>0.0</v>
      </c>
    </row>
    <row r="199" ht="15.75" customHeight="1" outlineLevel="1">
      <c r="B199" s="5" t="s">
        <v>75</v>
      </c>
      <c r="C199" s="72" t="s">
        <v>76</v>
      </c>
      <c r="F199" s="50">
        <f t="shared" ref="F199:M199" si="186">+SUMIFS($AA199:$DR199,$AA$7:$DR$7,F$7)</f>
        <v>0.01007616113</v>
      </c>
      <c r="G199" s="50">
        <f t="shared" si="186"/>
        <v>0.7624753532</v>
      </c>
      <c r="H199" s="50">
        <f t="shared" si="186"/>
        <v>200.1486694</v>
      </c>
      <c r="I199" s="50">
        <f t="shared" si="186"/>
        <v>0</v>
      </c>
      <c r="J199" s="50">
        <f t="shared" si="186"/>
        <v>0</v>
      </c>
      <c r="K199" s="50">
        <f t="shared" si="186"/>
        <v>0</v>
      </c>
      <c r="L199" s="50">
        <f t="shared" si="186"/>
        <v>0</v>
      </c>
      <c r="M199" s="50">
        <f t="shared" si="186"/>
        <v>0</v>
      </c>
      <c r="AA199" s="51">
        <v>0.0</v>
      </c>
      <c r="AB199" s="51">
        <v>0.0</v>
      </c>
      <c r="AC199" s="51">
        <v>0.0</v>
      </c>
      <c r="AD199" s="51">
        <v>0.0</v>
      </c>
      <c r="AE199" s="51">
        <v>0.01007616112697835</v>
      </c>
      <c r="AF199" s="51">
        <v>0.0</v>
      </c>
      <c r="AG199" s="51">
        <v>0.0</v>
      </c>
      <c r="AH199" s="51">
        <v>0.0</v>
      </c>
      <c r="AI199" s="51">
        <v>0.0</v>
      </c>
      <c r="AJ199" s="51">
        <v>0.0</v>
      </c>
      <c r="AK199" s="51">
        <v>0.0</v>
      </c>
      <c r="AL199" s="51">
        <v>0.0</v>
      </c>
      <c r="AM199" s="51">
        <v>0.0</v>
      </c>
      <c r="AN199" s="51">
        <v>0.0</v>
      </c>
      <c r="AO199" s="51">
        <v>0.0</v>
      </c>
      <c r="AP199" s="51">
        <v>0.0</v>
      </c>
      <c r="AQ199" s="51">
        <v>0.0</v>
      </c>
      <c r="AR199" s="51">
        <v>0.022919050674165206</v>
      </c>
      <c r="AS199" s="51">
        <v>0.0</v>
      </c>
      <c r="AT199" s="51">
        <v>0.0</v>
      </c>
      <c r="AU199" s="51">
        <v>0.0</v>
      </c>
      <c r="AV199" s="51">
        <v>0.0</v>
      </c>
      <c r="AW199" s="51">
        <v>0.0</v>
      </c>
      <c r="AX199" s="51">
        <v>0.7395563024833289</v>
      </c>
      <c r="AY199" s="51">
        <v>1.2891295621874936</v>
      </c>
      <c r="AZ199" s="51">
        <v>10.575254626080756</v>
      </c>
      <c r="BA199" s="51">
        <v>20.924489745008675</v>
      </c>
      <c r="BB199" s="51">
        <v>15.758567444029111</v>
      </c>
      <c r="BC199" s="51">
        <v>15.49900111841272</v>
      </c>
      <c r="BD199" s="51">
        <v>18.356318798354216</v>
      </c>
      <c r="BE199" s="51">
        <v>17.44646179375692</v>
      </c>
      <c r="BF199" s="51">
        <v>19.525702582387236</v>
      </c>
      <c r="BG199" s="51">
        <v>18.34588882749279</v>
      </c>
      <c r="BH199" s="51">
        <v>31.13860669573347</v>
      </c>
      <c r="BI199" s="51">
        <v>23.442621134477527</v>
      </c>
      <c r="BJ199" s="51">
        <v>7.846627107169085</v>
      </c>
    </row>
    <row r="200" ht="15.75" customHeight="1" outlineLevel="1">
      <c r="B200" s="5" t="s">
        <v>77</v>
      </c>
      <c r="C200" s="72" t="s">
        <v>70</v>
      </c>
      <c r="F200" s="50">
        <f t="shared" ref="F200:M200" si="187">+SUMIFS($AA200:$DR200,$AA$7:$DR$7,F$7)</f>
        <v>0</v>
      </c>
      <c r="G200" s="50">
        <f t="shared" si="187"/>
        <v>0</v>
      </c>
      <c r="H200" s="50">
        <f t="shared" si="187"/>
        <v>72.74529819</v>
      </c>
      <c r="I200" s="50">
        <f t="shared" si="187"/>
        <v>0</v>
      </c>
      <c r="J200" s="50">
        <f t="shared" si="187"/>
        <v>0</v>
      </c>
      <c r="K200" s="50">
        <f t="shared" si="187"/>
        <v>0</v>
      </c>
      <c r="L200" s="50">
        <f t="shared" si="187"/>
        <v>0</v>
      </c>
      <c r="M200" s="50">
        <f t="shared" si="187"/>
        <v>0</v>
      </c>
      <c r="AA200" s="51">
        <v>0.0</v>
      </c>
      <c r="AB200" s="51">
        <v>0.0</v>
      </c>
      <c r="AC200" s="51">
        <v>0.0</v>
      </c>
      <c r="AD200" s="51">
        <v>0.0</v>
      </c>
      <c r="AE200" s="51">
        <v>0.0</v>
      </c>
      <c r="AF200" s="51">
        <v>0.0</v>
      </c>
      <c r="AG200" s="51">
        <v>0.0</v>
      </c>
      <c r="AH200" s="51">
        <v>0.0</v>
      </c>
      <c r="AI200" s="51">
        <v>0.0</v>
      </c>
      <c r="AJ200" s="51">
        <v>0.0</v>
      </c>
      <c r="AK200" s="51">
        <v>0.0</v>
      </c>
      <c r="AL200" s="51">
        <v>0.0</v>
      </c>
      <c r="AM200" s="51">
        <v>0.0</v>
      </c>
      <c r="AN200" s="51">
        <v>0.0</v>
      </c>
      <c r="AO200" s="51">
        <v>0.0</v>
      </c>
      <c r="AP200" s="51">
        <v>0.0</v>
      </c>
      <c r="AQ200" s="51">
        <v>0.0</v>
      </c>
      <c r="AR200" s="51">
        <v>0.0</v>
      </c>
      <c r="AS200" s="51">
        <v>0.0</v>
      </c>
      <c r="AT200" s="51">
        <v>0.0</v>
      </c>
      <c r="AU200" s="51">
        <v>0.0</v>
      </c>
      <c r="AV200" s="51">
        <v>0.0</v>
      </c>
      <c r="AW200" s="51">
        <v>0.0</v>
      </c>
      <c r="AX200" s="51">
        <v>0.0</v>
      </c>
      <c r="AY200" s="51">
        <v>0.0</v>
      </c>
      <c r="AZ200" s="51">
        <v>0.0</v>
      </c>
      <c r="BA200" s="51">
        <v>0.02647693989908784</v>
      </c>
      <c r="BB200" s="51">
        <v>2.0763333480593085</v>
      </c>
      <c r="BC200" s="51">
        <v>3.5766771874846164</v>
      </c>
      <c r="BD200" s="51">
        <v>4.973568342792764</v>
      </c>
      <c r="BE200" s="51">
        <v>11.479359328290771</v>
      </c>
      <c r="BF200" s="51">
        <v>7.74092824661094</v>
      </c>
      <c r="BG200" s="51">
        <v>9.56002218466047</v>
      </c>
      <c r="BH200" s="51">
        <v>12.854356491430497</v>
      </c>
      <c r="BI200" s="51">
        <v>8.586776119251816</v>
      </c>
      <c r="BJ200" s="51">
        <v>11.870800006446627</v>
      </c>
    </row>
    <row r="201" ht="15.75" customHeight="1" outlineLevel="1">
      <c r="B201" s="5" t="s">
        <v>78</v>
      </c>
      <c r="C201" s="72" t="s">
        <v>70</v>
      </c>
      <c r="F201" s="50">
        <f t="shared" ref="F201:M201" si="188">+SUMIFS($AA201:$DR201,$AA$7:$DR$7,F$7)</f>
        <v>0</v>
      </c>
      <c r="G201" s="50">
        <f t="shared" si="188"/>
        <v>0</v>
      </c>
      <c r="H201" s="50">
        <f t="shared" si="188"/>
        <v>0</v>
      </c>
      <c r="I201" s="50">
        <f t="shared" si="188"/>
        <v>0</v>
      </c>
      <c r="J201" s="50">
        <f t="shared" si="188"/>
        <v>0</v>
      </c>
      <c r="K201" s="50">
        <f t="shared" si="188"/>
        <v>0</v>
      </c>
      <c r="L201" s="50">
        <f t="shared" si="188"/>
        <v>0</v>
      </c>
      <c r="M201" s="50">
        <f t="shared" si="188"/>
        <v>0</v>
      </c>
      <c r="AA201" s="51">
        <v>0.0</v>
      </c>
      <c r="AB201" s="51">
        <v>0.0</v>
      </c>
      <c r="AC201" s="51">
        <v>0.0</v>
      </c>
      <c r="AD201" s="51">
        <v>0.0</v>
      </c>
      <c r="AE201" s="51">
        <v>0.0</v>
      </c>
      <c r="AF201" s="51">
        <v>0.0</v>
      </c>
      <c r="AG201" s="51">
        <v>0.0</v>
      </c>
      <c r="AH201" s="51">
        <v>0.0</v>
      </c>
      <c r="AI201" s="51">
        <v>0.0</v>
      </c>
      <c r="AJ201" s="51">
        <v>0.0</v>
      </c>
      <c r="AK201" s="51">
        <v>0.0</v>
      </c>
      <c r="AL201" s="51">
        <v>0.0</v>
      </c>
      <c r="AM201" s="51">
        <v>0.0</v>
      </c>
      <c r="AN201" s="51">
        <v>0.0</v>
      </c>
      <c r="AO201" s="51">
        <v>0.0</v>
      </c>
      <c r="AP201" s="51">
        <v>0.0</v>
      </c>
      <c r="AQ201" s="51">
        <v>0.0</v>
      </c>
      <c r="AR201" s="51">
        <v>0.0</v>
      </c>
      <c r="AS201" s="51">
        <v>0.0</v>
      </c>
      <c r="AT201" s="51">
        <v>0.0</v>
      </c>
      <c r="AU201" s="51">
        <v>0.0</v>
      </c>
      <c r="AV201" s="51">
        <v>0.0</v>
      </c>
      <c r="AW201" s="51">
        <v>0.0</v>
      </c>
      <c r="AX201" s="51">
        <v>0.0</v>
      </c>
      <c r="AY201" s="51">
        <v>0.0</v>
      </c>
      <c r="AZ201" s="51">
        <v>0.0</v>
      </c>
      <c r="BA201" s="51">
        <v>0.0</v>
      </c>
      <c r="BB201" s="51">
        <v>0.0</v>
      </c>
      <c r="BC201" s="51">
        <v>0.0</v>
      </c>
      <c r="BD201" s="51">
        <v>0.0</v>
      </c>
      <c r="BE201" s="51">
        <v>0.0</v>
      </c>
      <c r="BF201" s="51">
        <v>0.0</v>
      </c>
      <c r="BG201" s="51">
        <v>0.0</v>
      </c>
      <c r="BH201" s="51">
        <v>0.0</v>
      </c>
      <c r="BI201" s="51">
        <v>0.0</v>
      </c>
      <c r="BJ201" s="51">
        <v>0.0</v>
      </c>
    </row>
    <row r="202" ht="15.75" customHeight="1" outlineLevel="1">
      <c r="B202" s="5" t="s">
        <v>79</v>
      </c>
      <c r="C202" s="72" t="s">
        <v>76</v>
      </c>
      <c r="F202" s="50">
        <f t="shared" ref="F202:M202" si="189">+SUMIFS($AA202:$DR202,$AA$7:$DR$7,F$7)</f>
        <v>0</v>
      </c>
      <c r="G202" s="50">
        <f t="shared" si="189"/>
        <v>0</v>
      </c>
      <c r="H202" s="50">
        <f t="shared" si="189"/>
        <v>0</v>
      </c>
      <c r="I202" s="50">
        <f t="shared" si="189"/>
        <v>0</v>
      </c>
      <c r="J202" s="50">
        <f t="shared" si="189"/>
        <v>0</v>
      </c>
      <c r="K202" s="50">
        <f t="shared" si="189"/>
        <v>0</v>
      </c>
      <c r="L202" s="50">
        <f t="shared" si="189"/>
        <v>0</v>
      </c>
      <c r="M202" s="50">
        <f t="shared" si="189"/>
        <v>0</v>
      </c>
      <c r="AA202" s="51">
        <v>0.0</v>
      </c>
      <c r="AB202" s="51">
        <v>0.0</v>
      </c>
      <c r="AC202" s="51">
        <v>0.0</v>
      </c>
      <c r="AD202" s="51">
        <v>0.0</v>
      </c>
      <c r="AE202" s="51">
        <v>0.0</v>
      </c>
      <c r="AF202" s="51">
        <v>0.0</v>
      </c>
      <c r="AG202" s="51">
        <v>0.0</v>
      </c>
      <c r="AH202" s="51">
        <v>0.0</v>
      </c>
      <c r="AI202" s="51">
        <v>0.0</v>
      </c>
      <c r="AJ202" s="51">
        <v>0.0</v>
      </c>
      <c r="AK202" s="51">
        <v>0.0</v>
      </c>
      <c r="AL202" s="51">
        <v>0.0</v>
      </c>
      <c r="AM202" s="51">
        <v>0.0</v>
      </c>
      <c r="AN202" s="51">
        <v>0.0</v>
      </c>
      <c r="AO202" s="51">
        <v>0.0</v>
      </c>
      <c r="AP202" s="51">
        <v>0.0</v>
      </c>
      <c r="AQ202" s="51">
        <v>0.0</v>
      </c>
      <c r="AR202" s="51">
        <v>0.0</v>
      </c>
      <c r="AS202" s="51">
        <v>0.0</v>
      </c>
      <c r="AT202" s="51">
        <v>0.0</v>
      </c>
      <c r="AU202" s="51">
        <v>0.0</v>
      </c>
      <c r="AV202" s="51">
        <v>0.0</v>
      </c>
      <c r="AW202" s="51">
        <v>0.0</v>
      </c>
      <c r="AX202" s="51">
        <v>0.0</v>
      </c>
      <c r="AY202" s="51">
        <v>0.0</v>
      </c>
      <c r="AZ202" s="51">
        <v>0.0</v>
      </c>
      <c r="BA202" s="51">
        <v>0.0</v>
      </c>
      <c r="BB202" s="51">
        <v>0.0</v>
      </c>
      <c r="BC202" s="51">
        <v>0.0</v>
      </c>
      <c r="BD202" s="51">
        <v>0.0</v>
      </c>
      <c r="BE202" s="51">
        <v>0.0</v>
      </c>
      <c r="BF202" s="51">
        <v>0.0</v>
      </c>
      <c r="BG202" s="51">
        <v>0.0</v>
      </c>
      <c r="BH202" s="51">
        <v>0.0</v>
      </c>
      <c r="BI202" s="51">
        <v>0.0</v>
      </c>
      <c r="BJ202" s="51">
        <v>0.0</v>
      </c>
    </row>
    <row r="203" ht="15.75" customHeight="1" outlineLevel="1">
      <c r="B203" s="5" t="s">
        <v>80</v>
      </c>
      <c r="C203" s="72" t="s">
        <v>74</v>
      </c>
      <c r="F203" s="50">
        <f t="shared" ref="F203:M203" si="190">+SUMIFS($AA203:$DR203,$AA$7:$DR$7,F$7)</f>
        <v>271.3503897</v>
      </c>
      <c r="G203" s="50">
        <f t="shared" si="190"/>
        <v>265.1934249</v>
      </c>
      <c r="H203" s="50">
        <f t="shared" si="190"/>
        <v>1.662003076</v>
      </c>
      <c r="I203" s="50">
        <f t="shared" si="190"/>
        <v>0</v>
      </c>
      <c r="J203" s="50">
        <f t="shared" si="190"/>
        <v>0</v>
      </c>
      <c r="K203" s="50">
        <f t="shared" si="190"/>
        <v>0</v>
      </c>
      <c r="L203" s="50">
        <f t="shared" si="190"/>
        <v>0</v>
      </c>
      <c r="M203" s="50">
        <f t="shared" si="190"/>
        <v>0</v>
      </c>
      <c r="AA203" s="51">
        <v>2.0387593360881326</v>
      </c>
      <c r="AB203" s="51">
        <v>5.24335055658222</v>
      </c>
      <c r="AC203" s="51">
        <v>10.901071860503574</v>
      </c>
      <c r="AD203" s="51">
        <v>8.78952858632632</v>
      </c>
      <c r="AE203" s="51">
        <v>13.523224272386464</v>
      </c>
      <c r="AF203" s="51">
        <v>27.561244299241757</v>
      </c>
      <c r="AG203" s="51">
        <v>17.203926026185286</v>
      </c>
      <c r="AH203" s="51">
        <v>29.787378106691957</v>
      </c>
      <c r="AI203" s="51">
        <v>24.303333157410265</v>
      </c>
      <c r="AJ203" s="51">
        <v>54.74323362883715</v>
      </c>
      <c r="AK203" s="51">
        <v>51.35358229479974</v>
      </c>
      <c r="AL203" s="51">
        <v>25.901757593413734</v>
      </c>
      <c r="AM203" s="51">
        <v>34.093250148187</v>
      </c>
      <c r="AN203" s="51">
        <v>41.820328829872146</v>
      </c>
      <c r="AO203" s="51">
        <v>40.6345636708965</v>
      </c>
      <c r="AP203" s="51">
        <v>38.582521876724336</v>
      </c>
      <c r="AQ203" s="51">
        <v>33.78384383701278</v>
      </c>
      <c r="AR203" s="51">
        <v>26.285260430730442</v>
      </c>
      <c r="AS203" s="51">
        <v>14.307399724175967</v>
      </c>
      <c r="AT203" s="51">
        <v>12.194302066733865</v>
      </c>
      <c r="AU203" s="51">
        <v>5.890821501716797</v>
      </c>
      <c r="AV203" s="51">
        <v>5.536828998193361</v>
      </c>
      <c r="AW203" s="51">
        <v>9.863092136265557</v>
      </c>
      <c r="AX203" s="51">
        <v>2.201211646019755</v>
      </c>
      <c r="AY203" s="51">
        <v>1.4545422580772478</v>
      </c>
      <c r="AZ203" s="51">
        <v>0.20505893478702092</v>
      </c>
      <c r="BA203" s="51">
        <v>0.002401882889281477</v>
      </c>
      <c r="BB203" s="51">
        <v>0.0</v>
      </c>
      <c r="BC203" s="51">
        <v>0.0</v>
      </c>
      <c r="BD203" s="51">
        <v>0.0</v>
      </c>
      <c r="BE203" s="51">
        <v>0.0</v>
      </c>
      <c r="BF203" s="51">
        <v>0.0</v>
      </c>
      <c r="BG203" s="51">
        <v>0.0</v>
      </c>
      <c r="BH203" s="51">
        <v>0.0</v>
      </c>
      <c r="BI203" s="51">
        <v>0.0</v>
      </c>
      <c r="BJ203" s="51">
        <v>0.0</v>
      </c>
    </row>
    <row r="204" ht="15.75" customHeight="1" outlineLevel="1">
      <c r="B204" s="5" t="s">
        <v>81</v>
      </c>
      <c r="C204" s="72" t="s">
        <v>82</v>
      </c>
      <c r="F204" s="50">
        <f t="shared" ref="F204:M204" si="191">+SUMIFS($AA204:$DR204,$AA$7:$DR$7,F$7)</f>
        <v>17.96250073</v>
      </c>
      <c r="G204" s="50">
        <f t="shared" si="191"/>
        <v>100.3946251</v>
      </c>
      <c r="H204" s="50">
        <f t="shared" si="191"/>
        <v>1.778446404</v>
      </c>
      <c r="I204" s="50">
        <f t="shared" si="191"/>
        <v>0</v>
      </c>
      <c r="J204" s="50">
        <f t="shared" si="191"/>
        <v>0</v>
      </c>
      <c r="K204" s="50">
        <f t="shared" si="191"/>
        <v>0</v>
      </c>
      <c r="L204" s="50">
        <f t="shared" si="191"/>
        <v>0</v>
      </c>
      <c r="M204" s="50">
        <f t="shared" si="191"/>
        <v>0</v>
      </c>
      <c r="AA204" s="51">
        <v>0.0</v>
      </c>
      <c r="AB204" s="51">
        <v>0.0</v>
      </c>
      <c r="AC204" s="51">
        <v>0.0</v>
      </c>
      <c r="AD204" s="51">
        <v>0.0</v>
      </c>
      <c r="AE204" s="51">
        <v>0.0</v>
      </c>
      <c r="AF204" s="51">
        <v>0.0</v>
      </c>
      <c r="AG204" s="51">
        <v>0.0</v>
      </c>
      <c r="AH204" s="51">
        <v>0.0</v>
      </c>
      <c r="AI204" s="51">
        <v>0.926561440231398</v>
      </c>
      <c r="AJ204" s="51">
        <v>12.251812139283846</v>
      </c>
      <c r="AK204" s="51">
        <v>4.7690015854296135</v>
      </c>
      <c r="AL204" s="51">
        <v>0.015125568181818183</v>
      </c>
      <c r="AM204" s="51">
        <v>1.0931251690732289</v>
      </c>
      <c r="AN204" s="51">
        <v>2.0172372903012787</v>
      </c>
      <c r="AO204" s="51">
        <v>0.021908308114326744</v>
      </c>
      <c r="AP204" s="51">
        <v>0.21774166080788185</v>
      </c>
      <c r="AQ204" s="51">
        <v>0.7027182902788843</v>
      </c>
      <c r="AR204" s="51">
        <v>8.204225225351474</v>
      </c>
      <c r="AS204" s="51">
        <v>18.262214517411316</v>
      </c>
      <c r="AT204" s="51">
        <v>15.504134671543842</v>
      </c>
      <c r="AU204" s="51">
        <v>15.387474241366904</v>
      </c>
      <c r="AV204" s="51">
        <v>24.362097698952024</v>
      </c>
      <c r="AW204" s="51">
        <v>8.116946339206748</v>
      </c>
      <c r="AX204" s="51">
        <v>6.504801671414579</v>
      </c>
      <c r="AY204" s="51">
        <v>0.7458310270838554</v>
      </c>
      <c r="AZ204" s="51">
        <v>0.7778732441572315</v>
      </c>
      <c r="BA204" s="51">
        <v>0.25474213253875433</v>
      </c>
      <c r="BB204" s="51">
        <v>0.0</v>
      </c>
      <c r="BC204" s="51">
        <v>0.0</v>
      </c>
      <c r="BD204" s="51">
        <v>0.0</v>
      </c>
      <c r="BE204" s="51">
        <v>0.0</v>
      </c>
      <c r="BF204" s="51">
        <v>0.0</v>
      </c>
      <c r="BG204" s="51">
        <v>0.0</v>
      </c>
      <c r="BH204" s="51">
        <v>0.0</v>
      </c>
      <c r="BI204" s="51">
        <v>0.0</v>
      </c>
      <c r="BJ204" s="51">
        <v>0.0</v>
      </c>
    </row>
    <row r="205" ht="15.75" customHeight="1" outlineLevel="1">
      <c r="B205" s="5" t="s">
        <v>83</v>
      </c>
      <c r="C205" s="72" t="s">
        <v>70</v>
      </c>
      <c r="F205" s="50">
        <f t="shared" ref="F205:M205" si="192">+SUMIFS($AA205:$DR205,$AA$7:$DR$7,F$7)</f>
        <v>0</v>
      </c>
      <c r="G205" s="50">
        <f t="shared" si="192"/>
        <v>0</v>
      </c>
      <c r="H205" s="50">
        <f t="shared" si="192"/>
        <v>0</v>
      </c>
      <c r="I205" s="50">
        <f t="shared" si="192"/>
        <v>0</v>
      </c>
      <c r="J205" s="50">
        <f t="shared" si="192"/>
        <v>0</v>
      </c>
      <c r="K205" s="50">
        <f t="shared" si="192"/>
        <v>0</v>
      </c>
      <c r="L205" s="50">
        <f t="shared" si="192"/>
        <v>0</v>
      </c>
      <c r="M205" s="50">
        <f t="shared" si="192"/>
        <v>0</v>
      </c>
      <c r="AA205" s="51">
        <v>0.0</v>
      </c>
      <c r="AB205" s="51">
        <v>0.0</v>
      </c>
      <c r="AC205" s="51">
        <v>0.0</v>
      </c>
      <c r="AD205" s="51">
        <v>0.0</v>
      </c>
      <c r="AE205" s="51">
        <v>0.0</v>
      </c>
      <c r="AF205" s="51">
        <v>0.0</v>
      </c>
      <c r="AG205" s="51">
        <v>0.0</v>
      </c>
      <c r="AH205" s="51">
        <v>0.0</v>
      </c>
      <c r="AI205" s="51">
        <v>0.0</v>
      </c>
      <c r="AJ205" s="51">
        <v>0.0</v>
      </c>
      <c r="AK205" s="51">
        <v>0.0</v>
      </c>
      <c r="AL205" s="51">
        <v>0.0</v>
      </c>
      <c r="AM205" s="51">
        <v>0.0</v>
      </c>
      <c r="AN205" s="51">
        <v>0.0</v>
      </c>
      <c r="AO205" s="51">
        <v>0.0</v>
      </c>
      <c r="AP205" s="51">
        <v>0.0</v>
      </c>
      <c r="AQ205" s="51">
        <v>0.0</v>
      </c>
      <c r="AR205" s="51">
        <v>0.0</v>
      </c>
      <c r="AS205" s="51">
        <v>0.0</v>
      </c>
      <c r="AT205" s="51">
        <v>0.0</v>
      </c>
      <c r="AU205" s="51">
        <v>0.0</v>
      </c>
      <c r="AV205" s="51">
        <v>0.0</v>
      </c>
      <c r="AW205" s="51">
        <v>0.0</v>
      </c>
      <c r="AX205" s="51">
        <v>0.0</v>
      </c>
      <c r="AY205" s="51">
        <v>0.0</v>
      </c>
      <c r="AZ205" s="51">
        <v>0.0</v>
      </c>
      <c r="BA205" s="51">
        <v>0.0</v>
      </c>
      <c r="BB205" s="51">
        <v>0.0</v>
      </c>
      <c r="BC205" s="51">
        <v>0.0</v>
      </c>
      <c r="BD205" s="51">
        <v>0.0</v>
      </c>
      <c r="BE205" s="51">
        <v>0.0</v>
      </c>
      <c r="BF205" s="51">
        <v>0.0</v>
      </c>
      <c r="BG205" s="51">
        <v>0.0</v>
      </c>
      <c r="BH205" s="51">
        <v>0.0</v>
      </c>
      <c r="BI205" s="51">
        <v>0.0</v>
      </c>
      <c r="BJ205" s="51">
        <v>0.0</v>
      </c>
    </row>
    <row r="206" ht="15.75" customHeight="1" outlineLevel="1">
      <c r="B206" s="5" t="s">
        <v>84</v>
      </c>
      <c r="C206" s="72" t="s">
        <v>70</v>
      </c>
      <c r="F206" s="50">
        <f t="shared" ref="F206:M206" si="193">+SUMIFS($AA206:$DR206,$AA$7:$DR$7,F$7)</f>
        <v>0</v>
      </c>
      <c r="G206" s="50">
        <f t="shared" si="193"/>
        <v>0</v>
      </c>
      <c r="H206" s="50">
        <f t="shared" si="193"/>
        <v>61.19662131</v>
      </c>
      <c r="I206" s="50">
        <f t="shared" si="193"/>
        <v>0</v>
      </c>
      <c r="J206" s="50">
        <f t="shared" si="193"/>
        <v>0</v>
      </c>
      <c r="K206" s="50">
        <f t="shared" si="193"/>
        <v>0</v>
      </c>
      <c r="L206" s="50">
        <f t="shared" si="193"/>
        <v>0</v>
      </c>
      <c r="M206" s="50">
        <f t="shared" si="193"/>
        <v>0</v>
      </c>
      <c r="AA206" s="51">
        <v>0.0</v>
      </c>
      <c r="AB206" s="51">
        <v>0.0</v>
      </c>
      <c r="AC206" s="51">
        <v>0.0</v>
      </c>
      <c r="AD206" s="51">
        <v>0.0</v>
      </c>
      <c r="AE206" s="51">
        <v>0.0</v>
      </c>
      <c r="AF206" s="51">
        <v>0.0</v>
      </c>
      <c r="AG206" s="51">
        <v>0.0</v>
      </c>
      <c r="AH206" s="51">
        <v>0.0</v>
      </c>
      <c r="AI206" s="51">
        <v>0.0</v>
      </c>
      <c r="AJ206" s="51">
        <v>0.0</v>
      </c>
      <c r="AK206" s="51">
        <v>0.0</v>
      </c>
      <c r="AL206" s="51">
        <v>0.0</v>
      </c>
      <c r="AM206" s="51">
        <v>0.0</v>
      </c>
      <c r="AN206" s="51">
        <v>0.0</v>
      </c>
      <c r="AO206" s="51">
        <v>0.0</v>
      </c>
      <c r="AP206" s="51">
        <v>0.0</v>
      </c>
      <c r="AQ206" s="51">
        <v>0.0</v>
      </c>
      <c r="AR206" s="51">
        <v>0.0</v>
      </c>
      <c r="AS206" s="51">
        <v>0.0</v>
      </c>
      <c r="AT206" s="51">
        <v>0.0</v>
      </c>
      <c r="AU206" s="51">
        <v>0.0</v>
      </c>
      <c r="AV206" s="51">
        <v>0.0</v>
      </c>
      <c r="AW206" s="51">
        <v>0.0</v>
      </c>
      <c r="AX206" s="51">
        <v>0.0</v>
      </c>
      <c r="AY206" s="51">
        <v>0.888857090448956</v>
      </c>
      <c r="AZ206" s="51">
        <v>7.190895125422667</v>
      </c>
      <c r="BA206" s="51">
        <v>2.951254123626625</v>
      </c>
      <c r="BB206" s="51">
        <v>5.636291212336121</v>
      </c>
      <c r="BC206" s="51">
        <v>11.529388424835174</v>
      </c>
      <c r="BD206" s="51">
        <v>5.345158407479405</v>
      </c>
      <c r="BE206" s="51">
        <v>4.117236356896833</v>
      </c>
      <c r="BF206" s="51">
        <v>6.818715809617943</v>
      </c>
      <c r="BG206" s="51">
        <v>10.184472829372552</v>
      </c>
      <c r="BH206" s="51">
        <v>2.204086165993253</v>
      </c>
      <c r="BI206" s="51">
        <v>1.3131100915998308</v>
      </c>
      <c r="BJ206" s="51">
        <v>3.017155669204379</v>
      </c>
    </row>
    <row r="207" ht="15.75" customHeight="1" outlineLevel="1">
      <c r="B207" s="5" t="s">
        <v>85</v>
      </c>
      <c r="C207" s="72" t="s">
        <v>70</v>
      </c>
      <c r="F207" s="50">
        <f t="shared" ref="F207:M207" si="194">+SUMIFS($AA207:$DR207,$AA$7:$DR$7,F$7)</f>
        <v>0</v>
      </c>
      <c r="G207" s="50">
        <f t="shared" si="194"/>
        <v>0</v>
      </c>
      <c r="H207" s="50">
        <f t="shared" si="194"/>
        <v>17.52367024</v>
      </c>
      <c r="I207" s="50">
        <f t="shared" si="194"/>
        <v>0</v>
      </c>
      <c r="J207" s="50">
        <f t="shared" si="194"/>
        <v>0</v>
      </c>
      <c r="K207" s="50">
        <f t="shared" si="194"/>
        <v>0</v>
      </c>
      <c r="L207" s="50">
        <f t="shared" si="194"/>
        <v>0</v>
      </c>
      <c r="M207" s="50">
        <f t="shared" si="194"/>
        <v>0</v>
      </c>
      <c r="AA207" s="51">
        <v>0.0</v>
      </c>
      <c r="AB207" s="51">
        <v>0.0</v>
      </c>
      <c r="AC207" s="51">
        <v>0.0</v>
      </c>
      <c r="AD207" s="51">
        <v>0.0</v>
      </c>
      <c r="AE207" s="51">
        <v>0.0</v>
      </c>
      <c r="AF207" s="51">
        <v>0.0</v>
      </c>
      <c r="AG207" s="51">
        <v>0.0</v>
      </c>
      <c r="AH207" s="51">
        <v>0.0</v>
      </c>
      <c r="AI207" s="51">
        <v>0.0</v>
      </c>
      <c r="AJ207" s="51">
        <v>0.0</v>
      </c>
      <c r="AK207" s="51">
        <v>0.0</v>
      </c>
      <c r="AL207" s="51">
        <v>0.0</v>
      </c>
      <c r="AM207" s="51">
        <v>0.0</v>
      </c>
      <c r="AN207" s="51">
        <v>0.0</v>
      </c>
      <c r="AO207" s="51">
        <v>0.0</v>
      </c>
      <c r="AP207" s="51">
        <v>0.0</v>
      </c>
      <c r="AQ207" s="51">
        <v>0.0</v>
      </c>
      <c r="AR207" s="51">
        <v>0.0</v>
      </c>
      <c r="AS207" s="51">
        <v>0.0</v>
      </c>
      <c r="AT207" s="51">
        <v>0.0</v>
      </c>
      <c r="AU207" s="51">
        <v>0.0</v>
      </c>
      <c r="AV207" s="51">
        <v>0.0</v>
      </c>
      <c r="AW207" s="51">
        <v>0.0</v>
      </c>
      <c r="AX207" s="51">
        <v>0.0</v>
      </c>
      <c r="AY207" s="51">
        <v>0.0</v>
      </c>
      <c r="AZ207" s="51">
        <v>0.0</v>
      </c>
      <c r="BA207" s="51">
        <v>0.0</v>
      </c>
      <c r="BB207" s="51">
        <v>0.009482479539453243</v>
      </c>
      <c r="BC207" s="51">
        <v>0.0339853007057776</v>
      </c>
      <c r="BD207" s="51">
        <v>0.1296398807143608</v>
      </c>
      <c r="BE207" s="51">
        <v>0.0</v>
      </c>
      <c r="BF207" s="51">
        <v>0.0</v>
      </c>
      <c r="BG207" s="51">
        <v>1.1320272573609638</v>
      </c>
      <c r="BH207" s="51">
        <v>5.522300154438409</v>
      </c>
      <c r="BI207" s="51">
        <v>6.104079621736498</v>
      </c>
      <c r="BJ207" s="51">
        <v>4.592155544313667</v>
      </c>
    </row>
    <row r="208" ht="15.75" customHeight="1" outlineLevel="1">
      <c r="B208" s="5" t="s">
        <v>86</v>
      </c>
      <c r="C208" s="72" t="s">
        <v>70</v>
      </c>
      <c r="F208" s="50">
        <f t="shared" ref="F208:M208" si="195">+SUMIFS($AA208:$DR208,$AA$7:$DR$7,F$7)</f>
        <v>0</v>
      </c>
      <c r="G208" s="50">
        <f t="shared" si="195"/>
        <v>0</v>
      </c>
      <c r="H208" s="50">
        <f t="shared" si="195"/>
        <v>0</v>
      </c>
      <c r="I208" s="50">
        <f t="shared" si="195"/>
        <v>0</v>
      </c>
      <c r="J208" s="50">
        <f t="shared" si="195"/>
        <v>0</v>
      </c>
      <c r="K208" s="50">
        <f t="shared" si="195"/>
        <v>0</v>
      </c>
      <c r="L208" s="50">
        <f t="shared" si="195"/>
        <v>0</v>
      </c>
      <c r="M208" s="50">
        <f t="shared" si="195"/>
        <v>0</v>
      </c>
      <c r="AA208" s="51">
        <v>0.0</v>
      </c>
      <c r="AB208" s="51">
        <v>0.0</v>
      </c>
      <c r="AC208" s="51">
        <v>0.0</v>
      </c>
      <c r="AD208" s="51">
        <v>0.0</v>
      </c>
      <c r="AE208" s="51">
        <v>0.0</v>
      </c>
      <c r="AF208" s="51">
        <v>0.0</v>
      </c>
      <c r="AG208" s="51">
        <v>0.0</v>
      </c>
      <c r="AH208" s="51">
        <v>0.0</v>
      </c>
      <c r="AI208" s="51">
        <v>0.0</v>
      </c>
      <c r="AJ208" s="51">
        <v>0.0</v>
      </c>
      <c r="AK208" s="51">
        <v>0.0</v>
      </c>
      <c r="AL208" s="51">
        <v>0.0</v>
      </c>
      <c r="AM208" s="51">
        <v>0.0</v>
      </c>
      <c r="AN208" s="51">
        <v>0.0</v>
      </c>
      <c r="AO208" s="51">
        <v>0.0</v>
      </c>
      <c r="AP208" s="51">
        <v>0.0</v>
      </c>
      <c r="AQ208" s="51">
        <v>0.0</v>
      </c>
      <c r="AR208" s="51">
        <v>0.0</v>
      </c>
      <c r="AS208" s="51">
        <v>0.0</v>
      </c>
      <c r="AT208" s="51">
        <v>0.0</v>
      </c>
      <c r="AU208" s="51">
        <v>0.0</v>
      </c>
      <c r="AV208" s="51">
        <v>0.0</v>
      </c>
      <c r="AW208" s="51">
        <v>0.0</v>
      </c>
      <c r="AX208" s="51">
        <v>0.0</v>
      </c>
      <c r="AY208" s="51">
        <v>0.0</v>
      </c>
      <c r="AZ208" s="51">
        <v>0.0</v>
      </c>
      <c r="BA208" s="51">
        <v>0.0</v>
      </c>
      <c r="BB208" s="51">
        <v>0.0</v>
      </c>
      <c r="BC208" s="51">
        <v>0.0</v>
      </c>
      <c r="BD208" s="51">
        <v>0.0</v>
      </c>
      <c r="BE208" s="51">
        <v>0.0</v>
      </c>
      <c r="BF208" s="51">
        <v>0.0</v>
      </c>
      <c r="BG208" s="51">
        <v>0.0</v>
      </c>
      <c r="BH208" s="51">
        <v>0.0</v>
      </c>
      <c r="BI208" s="51">
        <v>0.0</v>
      </c>
      <c r="BJ208" s="51">
        <v>0.0</v>
      </c>
    </row>
    <row r="209" ht="15.75" customHeight="1" outlineLevel="1">
      <c r="B209" s="5" t="s">
        <v>87</v>
      </c>
      <c r="C209" s="72" t="s">
        <v>74</v>
      </c>
      <c r="F209" s="50">
        <f t="shared" ref="F209:M209" si="196">+SUMIFS($AA209:$DR209,$AA$7:$DR$7,F$7)</f>
        <v>23.59937643</v>
      </c>
      <c r="G209" s="50">
        <f t="shared" si="196"/>
        <v>178.4748105</v>
      </c>
      <c r="H209" s="50">
        <f t="shared" si="196"/>
        <v>0.5090189593</v>
      </c>
      <c r="I209" s="50">
        <f t="shared" si="196"/>
        <v>0</v>
      </c>
      <c r="J209" s="50">
        <f t="shared" si="196"/>
        <v>0</v>
      </c>
      <c r="K209" s="50">
        <f t="shared" si="196"/>
        <v>0</v>
      </c>
      <c r="L209" s="50">
        <f t="shared" si="196"/>
        <v>0</v>
      </c>
      <c r="M209" s="50">
        <f t="shared" si="196"/>
        <v>0</v>
      </c>
      <c r="AA209" s="51">
        <v>0.0</v>
      </c>
      <c r="AB209" s="51">
        <v>0.0</v>
      </c>
      <c r="AC209" s="51">
        <v>0.0</v>
      </c>
      <c r="AD209" s="51">
        <v>0.0</v>
      </c>
      <c r="AE209" s="51">
        <v>0.0</v>
      </c>
      <c r="AF209" s="51">
        <v>0.0</v>
      </c>
      <c r="AG209" s="51">
        <v>0.9096224860637435</v>
      </c>
      <c r="AH209" s="51">
        <v>1.780521827897057</v>
      </c>
      <c r="AI209" s="51">
        <v>0.7799704325060483</v>
      </c>
      <c r="AJ209" s="51">
        <v>1.5216933000076855</v>
      </c>
      <c r="AK209" s="51">
        <v>6.786015302536845</v>
      </c>
      <c r="AL209" s="51">
        <v>11.821553085376864</v>
      </c>
      <c r="AM209" s="51">
        <v>15.612652873518057</v>
      </c>
      <c r="AN209" s="51">
        <v>19.00930615250397</v>
      </c>
      <c r="AO209" s="51">
        <v>26.496609101274103</v>
      </c>
      <c r="AP209" s="51">
        <v>22.600056028153364</v>
      </c>
      <c r="AQ209" s="51">
        <v>16.783129288207252</v>
      </c>
      <c r="AR209" s="51">
        <v>21.796120096654665</v>
      </c>
      <c r="AS209" s="51">
        <v>11.28670465689341</v>
      </c>
      <c r="AT209" s="51">
        <v>20.605118145901745</v>
      </c>
      <c r="AU209" s="51">
        <v>16.62846549258221</v>
      </c>
      <c r="AV209" s="51">
        <v>2.9554334941102605</v>
      </c>
      <c r="AW209" s="51">
        <v>3.0632856488695057</v>
      </c>
      <c r="AX209" s="51">
        <v>1.6379295163067533</v>
      </c>
      <c r="AY209" s="51">
        <v>0.36993518899718425</v>
      </c>
      <c r="AZ209" s="51">
        <v>0.01075389886880377</v>
      </c>
      <c r="BA209" s="51">
        <v>0.11417386745968515</v>
      </c>
      <c r="BB209" s="51">
        <v>0.0</v>
      </c>
      <c r="BC209" s="51">
        <v>0.0</v>
      </c>
      <c r="BD209" s="51">
        <v>0.014156003952130037</v>
      </c>
      <c r="BE209" s="51">
        <v>0.0</v>
      </c>
      <c r="BF209" s="51">
        <v>0.0</v>
      </c>
      <c r="BG209" s="51">
        <v>0.0</v>
      </c>
      <c r="BH209" s="51">
        <v>0.0</v>
      </c>
      <c r="BI209" s="51">
        <v>0.0</v>
      </c>
      <c r="BJ209" s="51">
        <v>0.0</v>
      </c>
    </row>
    <row r="210" ht="15.75" customHeight="1" outlineLevel="1">
      <c r="B210" s="5" t="s">
        <v>88</v>
      </c>
      <c r="C210" s="72" t="s">
        <v>74</v>
      </c>
      <c r="F210" s="50">
        <f t="shared" ref="F210:M210" si="197">+SUMIFS($AA210:$DR210,$AA$7:$DR$7,F$7)</f>
        <v>6.733018692</v>
      </c>
      <c r="G210" s="50">
        <f t="shared" si="197"/>
        <v>0.01851982772</v>
      </c>
      <c r="H210" s="50">
        <f t="shared" si="197"/>
        <v>0</v>
      </c>
      <c r="I210" s="50">
        <f t="shared" si="197"/>
        <v>0</v>
      </c>
      <c r="J210" s="50">
        <f t="shared" si="197"/>
        <v>0</v>
      </c>
      <c r="K210" s="50">
        <f t="shared" si="197"/>
        <v>0</v>
      </c>
      <c r="L210" s="50">
        <f t="shared" si="197"/>
        <v>0</v>
      </c>
      <c r="M210" s="50">
        <f t="shared" si="197"/>
        <v>0</v>
      </c>
      <c r="AA210" s="51">
        <v>6.095895262619991</v>
      </c>
      <c r="AB210" s="51">
        <v>0.39338395670110216</v>
      </c>
      <c r="AC210" s="51">
        <v>0.10913670289647286</v>
      </c>
      <c r="AD210" s="51">
        <v>0.0226563679720415</v>
      </c>
      <c r="AE210" s="51">
        <v>0.01010401149369106</v>
      </c>
      <c r="AF210" s="51">
        <v>0.04965871775104773</v>
      </c>
      <c r="AG210" s="51">
        <v>0.0</v>
      </c>
      <c r="AH210" s="51">
        <v>0.05218367210633534</v>
      </c>
      <c r="AI210" s="51">
        <v>0.0</v>
      </c>
      <c r="AJ210" s="51">
        <v>0.0</v>
      </c>
      <c r="AK210" s="51">
        <v>0.0</v>
      </c>
      <c r="AL210" s="51">
        <v>0.0</v>
      </c>
      <c r="AM210" s="51">
        <v>0.018519827716132746</v>
      </c>
      <c r="AN210" s="51">
        <v>0.0</v>
      </c>
      <c r="AO210" s="51">
        <v>0.0</v>
      </c>
      <c r="AP210" s="51">
        <v>0.0</v>
      </c>
      <c r="AQ210" s="51">
        <v>0.0</v>
      </c>
      <c r="AR210" s="51">
        <v>0.0</v>
      </c>
      <c r="AS210" s="51">
        <v>0.0</v>
      </c>
      <c r="AT210" s="51">
        <v>0.0</v>
      </c>
      <c r="AU210" s="51">
        <v>0.0</v>
      </c>
      <c r="AV210" s="51">
        <v>0.0</v>
      </c>
      <c r="AW210" s="51">
        <v>0.0</v>
      </c>
      <c r="AX210" s="51">
        <v>0.0</v>
      </c>
      <c r="AY210" s="51">
        <v>0.0</v>
      </c>
      <c r="AZ210" s="51">
        <v>0.0</v>
      </c>
      <c r="BA210" s="51">
        <v>0.0</v>
      </c>
      <c r="BB210" s="51">
        <v>0.0</v>
      </c>
      <c r="BC210" s="51">
        <v>0.0</v>
      </c>
      <c r="BD210" s="51">
        <v>0.0</v>
      </c>
      <c r="BE210" s="51">
        <v>0.0</v>
      </c>
      <c r="BF210" s="51">
        <v>0.0</v>
      </c>
      <c r="BG210" s="51">
        <v>0.0</v>
      </c>
      <c r="BH210" s="51">
        <v>0.0</v>
      </c>
      <c r="BI210" s="51">
        <v>0.0</v>
      </c>
      <c r="BJ210" s="51">
        <v>0.0</v>
      </c>
    </row>
    <row r="211" ht="15.75" customHeight="1" outlineLevel="1">
      <c r="B211" s="5" t="s">
        <v>89</v>
      </c>
      <c r="C211" s="72" t="s">
        <v>76</v>
      </c>
      <c r="F211" s="50">
        <f t="shared" ref="F211:M211" si="198">+SUMIFS($AA211:$DR211,$AA$7:$DR$7,F$7)</f>
        <v>512.7588665</v>
      </c>
      <c r="G211" s="50">
        <f t="shared" si="198"/>
        <v>3.341644484</v>
      </c>
      <c r="H211" s="50">
        <f t="shared" si="198"/>
        <v>0.1819812559</v>
      </c>
      <c r="I211" s="50">
        <f t="shared" si="198"/>
        <v>0</v>
      </c>
      <c r="J211" s="50">
        <f t="shared" si="198"/>
        <v>0</v>
      </c>
      <c r="K211" s="50">
        <f t="shared" si="198"/>
        <v>0</v>
      </c>
      <c r="L211" s="50">
        <f t="shared" si="198"/>
        <v>0</v>
      </c>
      <c r="M211" s="50">
        <f t="shared" si="198"/>
        <v>0</v>
      </c>
      <c r="AA211" s="51">
        <v>60.85505007065645</v>
      </c>
      <c r="AB211" s="51">
        <v>77.17829193436265</v>
      </c>
      <c r="AC211" s="51">
        <v>87.9212405515484</v>
      </c>
      <c r="AD211" s="51">
        <v>64.04779591929045</v>
      </c>
      <c r="AE211" s="51">
        <v>59.04057742336218</v>
      </c>
      <c r="AF211" s="51">
        <v>59.76642426127072</v>
      </c>
      <c r="AG211" s="51">
        <v>39.7045656098866</v>
      </c>
      <c r="AH211" s="51">
        <v>43.661373735106864</v>
      </c>
      <c r="AI211" s="51">
        <v>11.016133695475219</v>
      </c>
      <c r="AJ211" s="51">
        <v>6.267761141641464</v>
      </c>
      <c r="AK211" s="51">
        <v>1.7717855466140915</v>
      </c>
      <c r="AL211" s="51">
        <v>1.5278666164689865</v>
      </c>
      <c r="AM211" s="51">
        <v>0.8221611537576153</v>
      </c>
      <c r="AN211" s="51">
        <v>0.9387661120280477</v>
      </c>
      <c r="AO211" s="51">
        <v>0.0057060936379115116</v>
      </c>
      <c r="AP211" s="51">
        <v>0.0</v>
      </c>
      <c r="AQ211" s="51">
        <v>0.0</v>
      </c>
      <c r="AR211" s="51">
        <v>0.19383902681742593</v>
      </c>
      <c r="AS211" s="51">
        <v>0.032374078474188016</v>
      </c>
      <c r="AT211" s="51">
        <v>0.12746430650674256</v>
      </c>
      <c r="AU211" s="51">
        <v>0.0</v>
      </c>
      <c r="AV211" s="51">
        <v>0.44647467097580695</v>
      </c>
      <c r="AW211" s="51">
        <v>0.05680945107127362</v>
      </c>
      <c r="AX211" s="51">
        <v>0.7180495906294523</v>
      </c>
      <c r="AY211" s="51">
        <v>0.1819812558729542</v>
      </c>
      <c r="AZ211" s="51">
        <v>0.0</v>
      </c>
      <c r="BA211" s="51">
        <v>0.0</v>
      </c>
      <c r="BB211" s="51">
        <v>0.0</v>
      </c>
      <c r="BC211" s="51">
        <v>0.0</v>
      </c>
      <c r="BD211" s="51">
        <v>0.0</v>
      </c>
      <c r="BE211" s="51">
        <v>0.0</v>
      </c>
      <c r="BF211" s="51">
        <v>0.0</v>
      </c>
      <c r="BG211" s="51">
        <v>0.0</v>
      </c>
      <c r="BH211" s="51">
        <v>0.0</v>
      </c>
      <c r="BI211" s="51">
        <v>0.0</v>
      </c>
      <c r="BJ211" s="51">
        <v>0.0</v>
      </c>
    </row>
    <row r="212" ht="15.75" customHeight="1" outlineLevel="1">
      <c r="B212" s="5" t="s">
        <v>90</v>
      </c>
      <c r="C212" s="72" t="s">
        <v>74</v>
      </c>
      <c r="F212" s="50">
        <f t="shared" ref="F212:M212" si="199">+SUMIFS($AA212:$DR212,$AA$7:$DR$7,F$7)</f>
        <v>0</v>
      </c>
      <c r="G212" s="50">
        <f t="shared" si="199"/>
        <v>55.31065569</v>
      </c>
      <c r="H212" s="50">
        <f t="shared" si="199"/>
        <v>52.4568745</v>
      </c>
      <c r="I212" s="50">
        <f t="shared" si="199"/>
        <v>0</v>
      </c>
      <c r="J212" s="50">
        <f t="shared" si="199"/>
        <v>0</v>
      </c>
      <c r="K212" s="50">
        <f t="shared" si="199"/>
        <v>0</v>
      </c>
      <c r="L212" s="50">
        <f t="shared" si="199"/>
        <v>0</v>
      </c>
      <c r="M212" s="50">
        <f t="shared" si="199"/>
        <v>0</v>
      </c>
      <c r="AA212" s="51">
        <v>0.0</v>
      </c>
      <c r="AB212" s="51">
        <v>0.0</v>
      </c>
      <c r="AC212" s="51">
        <v>0.0</v>
      </c>
      <c r="AD212" s="51">
        <v>0.0</v>
      </c>
      <c r="AE212" s="51">
        <v>0.0</v>
      </c>
      <c r="AF212" s="51">
        <v>0.0</v>
      </c>
      <c r="AG212" s="51">
        <v>0.0</v>
      </c>
      <c r="AH212" s="51">
        <v>0.0</v>
      </c>
      <c r="AI212" s="51">
        <v>0.0</v>
      </c>
      <c r="AJ212" s="51">
        <v>0.0</v>
      </c>
      <c r="AK212" s="51">
        <v>0.0</v>
      </c>
      <c r="AL212" s="51">
        <v>0.0</v>
      </c>
      <c r="AM212" s="51">
        <v>0.0</v>
      </c>
      <c r="AN212" s="51">
        <v>0.0</v>
      </c>
      <c r="AO212" s="51">
        <v>0.0</v>
      </c>
      <c r="AP212" s="51">
        <v>1.291683995622451</v>
      </c>
      <c r="AQ212" s="51">
        <v>1.66874912846145</v>
      </c>
      <c r="AR212" s="51">
        <v>6.205313510979043</v>
      </c>
      <c r="AS212" s="51">
        <v>6.2896121237276175</v>
      </c>
      <c r="AT212" s="51">
        <v>7.997009441569728</v>
      </c>
      <c r="AU212" s="51">
        <v>10.717134510025875</v>
      </c>
      <c r="AV212" s="51">
        <v>10.155136613434406</v>
      </c>
      <c r="AW212" s="51">
        <v>5.958295258509521</v>
      </c>
      <c r="AX212" s="51">
        <v>5.02772110440215</v>
      </c>
      <c r="AY212" s="51">
        <v>11.803583718245871</v>
      </c>
      <c r="AZ212" s="51">
        <v>9.641998237522122</v>
      </c>
      <c r="BA212" s="51">
        <v>9.21198360602014</v>
      </c>
      <c r="BB212" s="51">
        <v>11.867310017368569</v>
      </c>
      <c r="BC212" s="51">
        <v>1.8211959766203678</v>
      </c>
      <c r="BD212" s="51">
        <v>4.831448906647464</v>
      </c>
      <c r="BE212" s="51">
        <v>2.4338870131756947</v>
      </c>
      <c r="BF212" s="51">
        <v>0.8323513416327291</v>
      </c>
      <c r="BG212" s="51">
        <v>0.013115683164257484</v>
      </c>
      <c r="BH212" s="51">
        <v>0.0</v>
      </c>
      <c r="BI212" s="51">
        <v>0.0</v>
      </c>
      <c r="BJ212" s="51">
        <v>0.0</v>
      </c>
    </row>
    <row r="213" ht="15.75" customHeight="1" outlineLevel="1">
      <c r="B213" s="5" t="s">
        <v>91</v>
      </c>
      <c r="C213" s="72" t="s">
        <v>74</v>
      </c>
      <c r="F213" s="50">
        <f t="shared" ref="F213:M213" si="200">+SUMIFS($AA213:$DR213,$AA$7:$DR$7,F$7)</f>
        <v>14.17923603</v>
      </c>
      <c r="G213" s="50">
        <f t="shared" si="200"/>
        <v>0.02394742512</v>
      </c>
      <c r="H213" s="50">
        <f t="shared" si="200"/>
        <v>0</v>
      </c>
      <c r="I213" s="50">
        <f t="shared" si="200"/>
        <v>0</v>
      </c>
      <c r="J213" s="50">
        <f t="shared" si="200"/>
        <v>0</v>
      </c>
      <c r="K213" s="50">
        <f t="shared" si="200"/>
        <v>0</v>
      </c>
      <c r="L213" s="50">
        <f t="shared" si="200"/>
        <v>0</v>
      </c>
      <c r="M213" s="50">
        <f t="shared" si="200"/>
        <v>0</v>
      </c>
      <c r="AA213" s="51">
        <v>7.741367185884391</v>
      </c>
      <c r="AB213" s="51">
        <v>3.5592138285819104</v>
      </c>
      <c r="AC213" s="51">
        <v>2.3799240717745325</v>
      </c>
      <c r="AD213" s="51">
        <v>0.30863580910633914</v>
      </c>
      <c r="AE213" s="51">
        <v>0.05653301749131194</v>
      </c>
      <c r="AF213" s="51">
        <v>0.011620071314176271</v>
      </c>
      <c r="AG213" s="51">
        <v>0.11048941259989138</v>
      </c>
      <c r="AH213" s="51">
        <v>0.01145263345904266</v>
      </c>
      <c r="AI213" s="51">
        <v>0.0</v>
      </c>
      <c r="AJ213" s="51">
        <v>0.0</v>
      </c>
      <c r="AK213" s="51">
        <v>0.0</v>
      </c>
      <c r="AL213" s="51">
        <v>0.0</v>
      </c>
      <c r="AM213" s="51">
        <v>0.023947425116265905</v>
      </c>
      <c r="AN213" s="51">
        <v>0.0</v>
      </c>
      <c r="AO213" s="51">
        <v>0.0</v>
      </c>
      <c r="AP213" s="51">
        <v>0.0</v>
      </c>
      <c r="AQ213" s="51">
        <v>0.0</v>
      </c>
      <c r="AR213" s="51">
        <v>0.0</v>
      </c>
      <c r="AS213" s="51">
        <v>0.0</v>
      </c>
      <c r="AT213" s="51">
        <v>0.0</v>
      </c>
      <c r="AU213" s="51">
        <v>0.0</v>
      </c>
      <c r="AV213" s="51">
        <v>0.0</v>
      </c>
      <c r="AW213" s="51">
        <v>0.0</v>
      </c>
      <c r="AX213" s="51">
        <v>0.0</v>
      </c>
      <c r="AY213" s="51">
        <v>0.0</v>
      </c>
      <c r="AZ213" s="51">
        <v>0.0</v>
      </c>
      <c r="BA213" s="51">
        <v>0.0</v>
      </c>
      <c r="BB213" s="51">
        <v>0.0</v>
      </c>
      <c r="BC213" s="51">
        <v>0.0</v>
      </c>
      <c r="BD213" s="51">
        <v>0.0</v>
      </c>
      <c r="BE213" s="51">
        <v>0.0</v>
      </c>
      <c r="BF213" s="51">
        <v>0.0</v>
      </c>
      <c r="BG213" s="51">
        <v>0.0</v>
      </c>
      <c r="BH213" s="51">
        <v>0.0</v>
      </c>
      <c r="BI213" s="51">
        <v>0.0</v>
      </c>
      <c r="BJ213" s="51">
        <v>0.0</v>
      </c>
    </row>
    <row r="214" ht="15.75" customHeight="1" outlineLevel="1">
      <c r="B214" s="5" t="s">
        <v>92</v>
      </c>
      <c r="C214" s="72" t="s">
        <v>76</v>
      </c>
      <c r="F214" s="50">
        <f t="shared" ref="F214:M214" si="201">+SUMIFS($AA214:$DR214,$AA$7:$DR$7,F$7)</f>
        <v>5.24023236</v>
      </c>
      <c r="G214" s="50">
        <f t="shared" si="201"/>
        <v>0.1275565085</v>
      </c>
      <c r="H214" s="50">
        <f t="shared" si="201"/>
        <v>0</v>
      </c>
      <c r="I214" s="50">
        <f t="shared" si="201"/>
        <v>0</v>
      </c>
      <c r="J214" s="50">
        <f t="shared" si="201"/>
        <v>0</v>
      </c>
      <c r="K214" s="50">
        <f t="shared" si="201"/>
        <v>0</v>
      </c>
      <c r="L214" s="50">
        <f t="shared" si="201"/>
        <v>0</v>
      </c>
      <c r="M214" s="50">
        <f t="shared" si="201"/>
        <v>0</v>
      </c>
      <c r="AA214" s="51">
        <v>3.4533605875602778</v>
      </c>
      <c r="AB214" s="51">
        <v>0.9162864901703054</v>
      </c>
      <c r="AC214" s="51">
        <v>0.13972214530505214</v>
      </c>
      <c r="AD214" s="51">
        <v>0.0</v>
      </c>
      <c r="AE214" s="51">
        <v>0.0</v>
      </c>
      <c r="AF214" s="51">
        <v>0.02433404162231755</v>
      </c>
      <c r="AG214" s="51">
        <v>0.42733668082928383</v>
      </c>
      <c r="AH214" s="51">
        <v>0.0760560688792974</v>
      </c>
      <c r="AI214" s="51">
        <v>0.0</v>
      </c>
      <c r="AJ214" s="51">
        <v>0.20313634547780784</v>
      </c>
      <c r="AK214" s="51">
        <v>0.0</v>
      </c>
      <c r="AL214" s="51">
        <v>0.0</v>
      </c>
      <c r="AM214" s="51">
        <v>0.03538113759871088</v>
      </c>
      <c r="AN214" s="51">
        <v>0.0</v>
      </c>
      <c r="AO214" s="51">
        <v>0.0</v>
      </c>
      <c r="AP214" s="51">
        <v>0.0</v>
      </c>
      <c r="AQ214" s="51">
        <v>0.09217537091988132</v>
      </c>
      <c r="AR214" s="51">
        <v>0.0</v>
      </c>
      <c r="AS214" s="51">
        <v>0.0</v>
      </c>
      <c r="AT214" s="51">
        <v>0.0</v>
      </c>
      <c r="AU214" s="51">
        <v>0.0</v>
      </c>
      <c r="AV214" s="51">
        <v>0.0</v>
      </c>
      <c r="AW214" s="51">
        <v>0.0</v>
      </c>
      <c r="AX214" s="51">
        <v>0.0</v>
      </c>
      <c r="AY214" s="51">
        <v>0.0</v>
      </c>
      <c r="AZ214" s="51">
        <v>0.0</v>
      </c>
      <c r="BA214" s="51">
        <v>0.0</v>
      </c>
      <c r="BB214" s="51">
        <v>0.0</v>
      </c>
      <c r="BC214" s="51">
        <v>0.0</v>
      </c>
      <c r="BD214" s="51">
        <v>0.0</v>
      </c>
      <c r="BE214" s="51">
        <v>0.0</v>
      </c>
      <c r="BF214" s="51">
        <v>0.0</v>
      </c>
      <c r="BG214" s="51">
        <v>0.0</v>
      </c>
      <c r="BH214" s="51">
        <v>0.0</v>
      </c>
      <c r="BI214" s="51">
        <v>0.0</v>
      </c>
      <c r="BJ214" s="51">
        <v>0.0</v>
      </c>
    </row>
    <row r="215" ht="15.75" customHeight="1" outlineLevel="1">
      <c r="B215" s="5" t="s">
        <v>93</v>
      </c>
      <c r="C215" s="72" t="s">
        <v>74</v>
      </c>
      <c r="F215" s="50">
        <f t="shared" ref="F215:M215" si="202">+SUMIFS($AA215:$DR215,$AA$7:$DR$7,F$7)</f>
        <v>217.1284798</v>
      </c>
      <c r="G215" s="50">
        <f t="shared" si="202"/>
        <v>31.62515169</v>
      </c>
      <c r="H215" s="50">
        <f t="shared" si="202"/>
        <v>0</v>
      </c>
      <c r="I215" s="50">
        <f t="shared" si="202"/>
        <v>0</v>
      </c>
      <c r="J215" s="50">
        <f t="shared" si="202"/>
        <v>0</v>
      </c>
      <c r="K215" s="50">
        <f t="shared" si="202"/>
        <v>0</v>
      </c>
      <c r="L215" s="50">
        <f t="shared" si="202"/>
        <v>0</v>
      </c>
      <c r="M215" s="50">
        <f t="shared" si="202"/>
        <v>0</v>
      </c>
      <c r="AA215" s="51">
        <v>4.809980888295138</v>
      </c>
      <c r="AB215" s="51">
        <v>6.426597254046562</v>
      </c>
      <c r="AC215" s="51">
        <v>19.818132197014872</v>
      </c>
      <c r="AD215" s="51">
        <v>25.24159305204768</v>
      </c>
      <c r="AE215" s="51">
        <v>15.09456635155085</v>
      </c>
      <c r="AF215" s="51">
        <v>15.035985595397559</v>
      </c>
      <c r="AG215" s="51">
        <v>24.044372823929958</v>
      </c>
      <c r="AH215" s="51">
        <v>27.565615035905033</v>
      </c>
      <c r="AI215" s="51">
        <v>30.163797767158965</v>
      </c>
      <c r="AJ215" s="51">
        <v>24.81348244851393</v>
      </c>
      <c r="AK215" s="51">
        <v>18.25746738635159</v>
      </c>
      <c r="AL215" s="51">
        <v>5.85688904691045</v>
      </c>
      <c r="AM215" s="51">
        <v>8.893694825514084</v>
      </c>
      <c r="AN215" s="51">
        <v>2.041109077614317</v>
      </c>
      <c r="AO215" s="51">
        <v>11.049054457966887</v>
      </c>
      <c r="AP215" s="51">
        <v>8.474670023862815</v>
      </c>
      <c r="AQ215" s="51">
        <v>0.07079328593995603</v>
      </c>
      <c r="AR215" s="51">
        <v>0.816798308241302</v>
      </c>
      <c r="AS215" s="51">
        <v>0.12379476987395432</v>
      </c>
      <c r="AT215" s="51">
        <v>0.1552369364116651</v>
      </c>
      <c r="AU215" s="51">
        <v>0.0</v>
      </c>
      <c r="AV215" s="51">
        <v>0.0</v>
      </c>
      <c r="AW215" s="51">
        <v>0.0</v>
      </c>
      <c r="AX215" s="51">
        <v>0.0</v>
      </c>
      <c r="AY215" s="51">
        <v>0.0</v>
      </c>
      <c r="AZ215" s="51">
        <v>0.0</v>
      </c>
      <c r="BA215" s="51">
        <v>0.0</v>
      </c>
      <c r="BB215" s="51">
        <v>0.0</v>
      </c>
      <c r="BC215" s="51">
        <v>0.0</v>
      </c>
      <c r="BD215" s="51">
        <v>0.0</v>
      </c>
      <c r="BE215" s="51">
        <v>0.0</v>
      </c>
      <c r="BF215" s="51">
        <v>0.0</v>
      </c>
      <c r="BG215" s="51">
        <v>0.0</v>
      </c>
      <c r="BH215" s="51">
        <v>0.0</v>
      </c>
      <c r="BI215" s="51">
        <v>0.0</v>
      </c>
      <c r="BJ215" s="51">
        <v>0.0</v>
      </c>
    </row>
    <row r="216" ht="15.75" customHeight="1" outlineLevel="1">
      <c r="B216" s="5" t="s">
        <v>94</v>
      </c>
      <c r="C216" s="72" t="s">
        <v>70</v>
      </c>
      <c r="F216" s="50">
        <f t="shared" ref="F216:M216" si="203">+SUMIFS($AA216:$DR216,$AA$7:$DR$7,F$7)</f>
        <v>0</v>
      </c>
      <c r="G216" s="50">
        <f t="shared" si="203"/>
        <v>36.97488731</v>
      </c>
      <c r="H216" s="50">
        <f t="shared" si="203"/>
        <v>7.37499392</v>
      </c>
      <c r="I216" s="50">
        <f t="shared" si="203"/>
        <v>0</v>
      </c>
      <c r="J216" s="50">
        <f t="shared" si="203"/>
        <v>0</v>
      </c>
      <c r="K216" s="50">
        <f t="shared" si="203"/>
        <v>0</v>
      </c>
      <c r="L216" s="50">
        <f t="shared" si="203"/>
        <v>0</v>
      </c>
      <c r="M216" s="50">
        <f t="shared" si="203"/>
        <v>0</v>
      </c>
      <c r="AA216" s="51">
        <v>0.0</v>
      </c>
      <c r="AB216" s="51">
        <v>0.0</v>
      </c>
      <c r="AC216" s="51">
        <v>0.0</v>
      </c>
      <c r="AD216" s="51">
        <v>0.0</v>
      </c>
      <c r="AE216" s="51">
        <v>0.0</v>
      </c>
      <c r="AF216" s="51">
        <v>0.0</v>
      </c>
      <c r="AG216" s="51">
        <v>0.0</v>
      </c>
      <c r="AH216" s="51">
        <v>0.0</v>
      </c>
      <c r="AI216" s="51">
        <v>0.0</v>
      </c>
      <c r="AJ216" s="51">
        <v>0.0</v>
      </c>
      <c r="AK216" s="51">
        <v>0.0</v>
      </c>
      <c r="AL216" s="51">
        <v>0.0</v>
      </c>
      <c r="AM216" s="51">
        <v>0.0</v>
      </c>
      <c r="AN216" s="51">
        <v>0.0</v>
      </c>
      <c r="AO216" s="51">
        <v>0.0</v>
      </c>
      <c r="AP216" s="51">
        <v>0.0</v>
      </c>
      <c r="AQ216" s="51">
        <v>0.0</v>
      </c>
      <c r="AR216" s="51">
        <v>0.0</v>
      </c>
      <c r="AS216" s="51">
        <v>6.237966760932739</v>
      </c>
      <c r="AT216" s="51">
        <v>6.590405734627866</v>
      </c>
      <c r="AU216" s="51">
        <v>6.867417654352861</v>
      </c>
      <c r="AV216" s="51">
        <v>9.364828112441664</v>
      </c>
      <c r="AW216" s="51">
        <v>3.9032412308386553</v>
      </c>
      <c r="AX216" s="51">
        <v>4.011027821093657</v>
      </c>
      <c r="AY216" s="51">
        <v>3.3301803437276587</v>
      </c>
      <c r="AZ216" s="51">
        <v>2.972495074753283</v>
      </c>
      <c r="BA216" s="51">
        <v>1.0558176507077708</v>
      </c>
      <c r="BB216" s="51">
        <v>0.01650085106382979</v>
      </c>
      <c r="BC216" s="51">
        <v>0.0</v>
      </c>
      <c r="BD216" s="51">
        <v>0.0</v>
      </c>
      <c r="BE216" s="51">
        <v>0.0</v>
      </c>
      <c r="BF216" s="51">
        <v>0.0</v>
      </c>
      <c r="BG216" s="51">
        <v>0.0</v>
      </c>
      <c r="BH216" s="51">
        <v>0.0</v>
      </c>
      <c r="BI216" s="51">
        <v>0.0</v>
      </c>
      <c r="BJ216" s="51">
        <v>0.0</v>
      </c>
    </row>
    <row r="217" ht="15.75" customHeight="1" outlineLevel="1">
      <c r="B217" s="5" t="s">
        <v>95</v>
      </c>
      <c r="C217" s="72" t="s">
        <v>70</v>
      </c>
      <c r="F217" s="50">
        <f t="shared" ref="F217:M217" si="204">+SUMIFS($AA217:$DR217,$AA$7:$DR$7,F$7)</f>
        <v>0.121947463</v>
      </c>
      <c r="G217" s="50">
        <f t="shared" si="204"/>
        <v>0.3538021194</v>
      </c>
      <c r="H217" s="50">
        <f t="shared" si="204"/>
        <v>0</v>
      </c>
      <c r="I217" s="50">
        <f t="shared" si="204"/>
        <v>0</v>
      </c>
      <c r="J217" s="50">
        <f t="shared" si="204"/>
        <v>0</v>
      </c>
      <c r="K217" s="50">
        <f t="shared" si="204"/>
        <v>0</v>
      </c>
      <c r="L217" s="50">
        <f t="shared" si="204"/>
        <v>0</v>
      </c>
      <c r="M217" s="50">
        <f t="shared" si="204"/>
        <v>0</v>
      </c>
      <c r="AA217" s="51">
        <v>0.0</v>
      </c>
      <c r="AB217" s="51">
        <v>0.0</v>
      </c>
      <c r="AC217" s="51">
        <v>0.0</v>
      </c>
      <c r="AD217" s="51">
        <v>0.0</v>
      </c>
      <c r="AE217" s="51">
        <v>0.0</v>
      </c>
      <c r="AF217" s="51">
        <v>0.0</v>
      </c>
      <c r="AG217" s="51">
        <v>0.0</v>
      </c>
      <c r="AH217" s="51">
        <v>0.08690647623064401</v>
      </c>
      <c r="AI217" s="51">
        <v>0.0</v>
      </c>
      <c r="AJ217" s="51">
        <v>0.0</v>
      </c>
      <c r="AK217" s="51">
        <v>0.027347464027849582</v>
      </c>
      <c r="AL217" s="51">
        <v>0.007693522727272728</v>
      </c>
      <c r="AM217" s="51">
        <v>0.353802119377525</v>
      </c>
      <c r="AN217" s="51">
        <v>0.0</v>
      </c>
      <c r="AO217" s="51">
        <v>0.0</v>
      </c>
      <c r="AP217" s="51">
        <v>0.0</v>
      </c>
      <c r="AQ217" s="51">
        <v>0.0</v>
      </c>
      <c r="AR217" s="51">
        <v>0.0</v>
      </c>
      <c r="AS217" s="51">
        <v>0.0</v>
      </c>
      <c r="AT217" s="51">
        <v>0.0</v>
      </c>
      <c r="AU217" s="51">
        <v>0.0</v>
      </c>
      <c r="AV217" s="51">
        <v>0.0</v>
      </c>
      <c r="AW217" s="51">
        <v>0.0</v>
      </c>
      <c r="AX217" s="51">
        <v>0.0</v>
      </c>
      <c r="AY217" s="51">
        <v>0.0</v>
      </c>
      <c r="AZ217" s="51">
        <v>0.0</v>
      </c>
      <c r="BA217" s="51">
        <v>0.0</v>
      </c>
      <c r="BB217" s="51">
        <v>0.0</v>
      </c>
      <c r="BC217" s="51">
        <v>0.0</v>
      </c>
      <c r="BD217" s="51">
        <v>0.0</v>
      </c>
      <c r="BE217" s="51">
        <v>0.0</v>
      </c>
      <c r="BF217" s="51">
        <v>0.0</v>
      </c>
      <c r="BG217" s="51">
        <v>0.0</v>
      </c>
      <c r="BH217" s="51">
        <v>0.0</v>
      </c>
      <c r="BI217" s="51">
        <v>0.0</v>
      </c>
      <c r="BJ217" s="51">
        <v>0.0</v>
      </c>
    </row>
    <row r="218" ht="15.75" customHeight="1" outlineLevel="1">
      <c r="B218" s="5" t="s">
        <v>96</v>
      </c>
      <c r="C218" s="72" t="s">
        <v>74</v>
      </c>
      <c r="F218" s="50">
        <f t="shared" ref="F218:M218" si="205">+SUMIFS($AA218:$DR218,$AA$7:$DR$7,F$7)</f>
        <v>0</v>
      </c>
      <c r="G218" s="50">
        <f t="shared" si="205"/>
        <v>5.040354475</v>
      </c>
      <c r="H218" s="50">
        <f t="shared" si="205"/>
        <v>49.52829896</v>
      </c>
      <c r="I218" s="50">
        <f t="shared" si="205"/>
        <v>0</v>
      </c>
      <c r="J218" s="50">
        <f t="shared" si="205"/>
        <v>0</v>
      </c>
      <c r="K218" s="50">
        <f t="shared" si="205"/>
        <v>0</v>
      </c>
      <c r="L218" s="50">
        <f t="shared" si="205"/>
        <v>0</v>
      </c>
      <c r="M218" s="50">
        <f t="shared" si="205"/>
        <v>0</v>
      </c>
      <c r="AA218" s="51">
        <v>0.0</v>
      </c>
      <c r="AB218" s="51">
        <v>0.0</v>
      </c>
      <c r="AC218" s="51">
        <v>0.0</v>
      </c>
      <c r="AD218" s="51">
        <v>0.0</v>
      </c>
      <c r="AE218" s="51">
        <v>0.0</v>
      </c>
      <c r="AF218" s="51">
        <v>0.0</v>
      </c>
      <c r="AG218" s="51">
        <v>0.0</v>
      </c>
      <c r="AH218" s="51">
        <v>0.0</v>
      </c>
      <c r="AI218" s="51">
        <v>0.0</v>
      </c>
      <c r="AJ218" s="51">
        <v>0.0</v>
      </c>
      <c r="AK218" s="51">
        <v>0.0</v>
      </c>
      <c r="AL218" s="51">
        <v>0.0</v>
      </c>
      <c r="AM218" s="51">
        <v>0.0</v>
      </c>
      <c r="AN218" s="51">
        <v>0.0</v>
      </c>
      <c r="AO218" s="51">
        <v>0.0</v>
      </c>
      <c r="AP218" s="51">
        <v>0.0</v>
      </c>
      <c r="AQ218" s="51">
        <v>0.0</v>
      </c>
      <c r="AR218" s="51">
        <v>0.0</v>
      </c>
      <c r="AS218" s="51">
        <v>0.0</v>
      </c>
      <c r="AT218" s="51">
        <v>0.0</v>
      </c>
      <c r="AU218" s="51">
        <v>0.0</v>
      </c>
      <c r="AV218" s="51">
        <v>0.0</v>
      </c>
      <c r="AW218" s="51">
        <v>0.09919418879330899</v>
      </c>
      <c r="AX218" s="51">
        <v>4.941160286260665</v>
      </c>
      <c r="AY218" s="51">
        <v>2.397563790518664</v>
      </c>
      <c r="AZ218" s="51">
        <v>0.3005449059557109</v>
      </c>
      <c r="BA218" s="51">
        <v>0.10890147558318246</v>
      </c>
      <c r="BB218" s="51">
        <v>0.07338752418086872</v>
      </c>
      <c r="BC218" s="51">
        <v>0.07428721410808001</v>
      </c>
      <c r="BD218" s="51">
        <v>0.06010231721298803</v>
      </c>
      <c r="BE218" s="51">
        <v>1.4407464040754148</v>
      </c>
      <c r="BF218" s="51">
        <v>2.210638544984567</v>
      </c>
      <c r="BG218" s="51">
        <v>5.403477472945427</v>
      </c>
      <c r="BH218" s="51">
        <v>6.866864082673106</v>
      </c>
      <c r="BI218" s="51">
        <v>12.358617152855079</v>
      </c>
      <c r="BJ218" s="51">
        <v>18.23316807536545</v>
      </c>
    </row>
    <row r="219" ht="15.75" customHeight="1" outlineLevel="1">
      <c r="B219" s="5" t="s">
        <v>97</v>
      </c>
      <c r="C219" s="72" t="s">
        <v>82</v>
      </c>
      <c r="F219" s="50">
        <f t="shared" ref="F219:M219" si="206">+SUMIFS($AA219:$DR219,$AA$7:$DR$7,F$7)</f>
        <v>0</v>
      </c>
      <c r="G219" s="50">
        <f t="shared" si="206"/>
        <v>0</v>
      </c>
      <c r="H219" s="50">
        <f t="shared" si="206"/>
        <v>0</v>
      </c>
      <c r="I219" s="50">
        <f t="shared" si="206"/>
        <v>0</v>
      </c>
      <c r="J219" s="50">
        <f t="shared" si="206"/>
        <v>0</v>
      </c>
      <c r="K219" s="50">
        <f t="shared" si="206"/>
        <v>0</v>
      </c>
      <c r="L219" s="50">
        <f t="shared" si="206"/>
        <v>0</v>
      </c>
      <c r="M219" s="50">
        <f t="shared" si="206"/>
        <v>0</v>
      </c>
      <c r="AA219" s="51">
        <v>0.0</v>
      </c>
      <c r="AB219" s="51">
        <v>0.0</v>
      </c>
      <c r="AC219" s="51">
        <v>0.0</v>
      </c>
      <c r="AD219" s="51">
        <v>0.0</v>
      </c>
      <c r="AE219" s="51">
        <v>0.0</v>
      </c>
      <c r="AF219" s="51">
        <v>0.0</v>
      </c>
      <c r="AG219" s="51">
        <v>0.0</v>
      </c>
      <c r="AH219" s="51">
        <v>0.0</v>
      </c>
      <c r="AI219" s="51">
        <v>0.0</v>
      </c>
      <c r="AJ219" s="51">
        <v>0.0</v>
      </c>
      <c r="AK219" s="51">
        <v>0.0</v>
      </c>
      <c r="AL219" s="51">
        <v>0.0</v>
      </c>
      <c r="AM219" s="51">
        <v>0.0</v>
      </c>
      <c r="AN219" s="51">
        <v>0.0</v>
      </c>
      <c r="AO219" s="51">
        <v>0.0</v>
      </c>
      <c r="AP219" s="51">
        <v>0.0</v>
      </c>
      <c r="AQ219" s="51">
        <v>0.0</v>
      </c>
      <c r="AR219" s="51">
        <v>0.0</v>
      </c>
      <c r="AS219" s="51">
        <v>0.0</v>
      </c>
      <c r="AT219" s="51">
        <v>0.0</v>
      </c>
      <c r="AU219" s="51">
        <v>0.0</v>
      </c>
      <c r="AV219" s="51">
        <v>0.0</v>
      </c>
      <c r="AW219" s="51">
        <v>0.0</v>
      </c>
      <c r="AX219" s="51">
        <v>0.0</v>
      </c>
      <c r="AY219" s="51">
        <v>0.0</v>
      </c>
      <c r="AZ219" s="51">
        <v>0.0</v>
      </c>
      <c r="BA219" s="51">
        <v>0.0</v>
      </c>
      <c r="BB219" s="51">
        <v>0.0</v>
      </c>
      <c r="BC219" s="51">
        <v>0.0</v>
      </c>
      <c r="BD219" s="51">
        <v>0.0</v>
      </c>
      <c r="BE219" s="51">
        <v>0.0</v>
      </c>
      <c r="BF219" s="51">
        <v>0.0</v>
      </c>
      <c r="BG219" s="51">
        <v>0.0</v>
      </c>
      <c r="BH219" s="51">
        <v>0.0</v>
      </c>
      <c r="BI219" s="51">
        <v>0.0</v>
      </c>
      <c r="BJ219" s="51">
        <v>0.0</v>
      </c>
    </row>
    <row r="220" ht="15.75" customHeight="1" outlineLevel="1">
      <c r="B220" s="5" t="s">
        <v>98</v>
      </c>
      <c r="C220" s="72" t="s">
        <v>74</v>
      </c>
      <c r="F220" s="50">
        <f t="shared" ref="F220:M220" si="207">+SUMIFS($AA220:$DR220,$AA$7:$DR$7,F$7)</f>
        <v>8.987021372</v>
      </c>
      <c r="G220" s="50">
        <f t="shared" si="207"/>
        <v>78.68598571</v>
      </c>
      <c r="H220" s="50">
        <f t="shared" si="207"/>
        <v>20.37477798</v>
      </c>
      <c r="I220" s="50">
        <f t="shared" si="207"/>
        <v>0</v>
      </c>
      <c r="J220" s="50">
        <f t="shared" si="207"/>
        <v>0</v>
      </c>
      <c r="K220" s="50">
        <f t="shared" si="207"/>
        <v>0</v>
      </c>
      <c r="L220" s="50">
        <f t="shared" si="207"/>
        <v>0</v>
      </c>
      <c r="M220" s="50">
        <f t="shared" si="207"/>
        <v>0</v>
      </c>
      <c r="AA220" s="51">
        <v>2.588053358194187</v>
      </c>
      <c r="AB220" s="51">
        <v>0.3155894879064498</v>
      </c>
      <c r="AC220" s="51">
        <v>0.7786009039185426</v>
      </c>
      <c r="AD220" s="51">
        <v>0.04865650799853636</v>
      </c>
      <c r="AE220" s="51">
        <v>0.11653771525896742</v>
      </c>
      <c r="AF220" s="51">
        <v>0.07996453507498791</v>
      </c>
      <c r="AG220" s="51">
        <v>0.05374649411225798</v>
      </c>
      <c r="AH220" s="51">
        <v>0.01327178590565765</v>
      </c>
      <c r="AI220" s="51">
        <v>0.027269766112299105</v>
      </c>
      <c r="AJ220" s="51">
        <v>0.2112654526775803</v>
      </c>
      <c r="AK220" s="51">
        <v>3.1443544526632086</v>
      </c>
      <c r="AL220" s="51">
        <v>1.6097109117742974</v>
      </c>
      <c r="AM220" s="51">
        <v>2.22796323551625</v>
      </c>
      <c r="AN220" s="51">
        <v>2.9124646029149184</v>
      </c>
      <c r="AO220" s="51">
        <v>2.0462393993675323</v>
      </c>
      <c r="AP220" s="51">
        <v>4.990000529609277</v>
      </c>
      <c r="AQ220" s="51">
        <v>7.697256786615483</v>
      </c>
      <c r="AR220" s="51">
        <v>12.549307800023179</v>
      </c>
      <c r="AS220" s="51">
        <v>4.948507938669015</v>
      </c>
      <c r="AT220" s="51">
        <v>10.729546319707286</v>
      </c>
      <c r="AU220" s="51">
        <v>10.718208434896093</v>
      </c>
      <c r="AV220" s="51">
        <v>9.517406423501356</v>
      </c>
      <c r="AW220" s="51">
        <v>5.75901357994643</v>
      </c>
      <c r="AX220" s="51">
        <v>4.590070662661756</v>
      </c>
      <c r="AY220" s="51">
        <v>4.1440521537156245</v>
      </c>
      <c r="AZ220" s="51">
        <v>4.142216441919367</v>
      </c>
      <c r="BA220" s="51">
        <v>9.026648427824755</v>
      </c>
      <c r="BB220" s="51">
        <v>1.8365186738639572</v>
      </c>
      <c r="BC220" s="51">
        <v>1.0793415592611078</v>
      </c>
      <c r="BD220" s="51">
        <v>0.14600072318768714</v>
      </c>
      <c r="BE220" s="51">
        <v>0.0</v>
      </c>
      <c r="BF220" s="51">
        <v>0.0</v>
      </c>
      <c r="BG220" s="51">
        <v>0.0</v>
      </c>
      <c r="BH220" s="51">
        <v>0.0</v>
      </c>
      <c r="BI220" s="51">
        <v>0.0</v>
      </c>
      <c r="BJ220" s="51">
        <v>0.0</v>
      </c>
    </row>
    <row r="221" ht="15.75" customHeight="1" outlineLevel="1">
      <c r="B221" s="5" t="s">
        <v>99</v>
      </c>
      <c r="C221" s="72" t="s">
        <v>70</v>
      </c>
      <c r="F221" s="50">
        <f t="shared" ref="F221:M221" si="208">+SUMIFS($AA221:$DR221,$AA$7:$DR$7,F$7)</f>
        <v>0</v>
      </c>
      <c r="G221" s="50">
        <f t="shared" si="208"/>
        <v>0</v>
      </c>
      <c r="H221" s="50">
        <f t="shared" si="208"/>
        <v>49.56783845</v>
      </c>
      <c r="I221" s="50">
        <f t="shared" si="208"/>
        <v>0</v>
      </c>
      <c r="J221" s="50">
        <f t="shared" si="208"/>
        <v>0</v>
      </c>
      <c r="K221" s="50">
        <f t="shared" si="208"/>
        <v>0</v>
      </c>
      <c r="L221" s="50">
        <f t="shared" si="208"/>
        <v>0</v>
      </c>
      <c r="M221" s="50">
        <f t="shared" si="208"/>
        <v>0</v>
      </c>
      <c r="AA221" s="51">
        <v>0.0</v>
      </c>
      <c r="AB221" s="51">
        <v>0.0</v>
      </c>
      <c r="AC221" s="51">
        <v>0.0</v>
      </c>
      <c r="AD221" s="51">
        <v>0.0</v>
      </c>
      <c r="AE221" s="51">
        <v>0.0</v>
      </c>
      <c r="AF221" s="51">
        <v>0.0</v>
      </c>
      <c r="AG221" s="51">
        <v>0.0</v>
      </c>
      <c r="AH221" s="51">
        <v>0.0</v>
      </c>
      <c r="AI221" s="51">
        <v>0.0</v>
      </c>
      <c r="AJ221" s="51">
        <v>0.0</v>
      </c>
      <c r="AK221" s="51">
        <v>0.0</v>
      </c>
      <c r="AL221" s="51">
        <v>0.0</v>
      </c>
      <c r="AM221" s="51">
        <v>0.0</v>
      </c>
      <c r="AN221" s="51">
        <v>0.0</v>
      </c>
      <c r="AO221" s="51">
        <v>0.0</v>
      </c>
      <c r="AP221" s="51">
        <v>0.0</v>
      </c>
      <c r="AQ221" s="51">
        <v>0.0</v>
      </c>
      <c r="AR221" s="51">
        <v>0.0</v>
      </c>
      <c r="AS221" s="51">
        <v>0.0</v>
      </c>
      <c r="AT221" s="51">
        <v>0.0</v>
      </c>
      <c r="AU221" s="51">
        <v>0.0</v>
      </c>
      <c r="AV221" s="51">
        <v>0.0</v>
      </c>
      <c r="AW221" s="51">
        <v>0.0</v>
      </c>
      <c r="AX221" s="51">
        <v>0.0</v>
      </c>
      <c r="AY221" s="51">
        <v>0.0</v>
      </c>
      <c r="AZ221" s="51">
        <v>0.0</v>
      </c>
      <c r="BA221" s="51">
        <v>3.5942404942589437</v>
      </c>
      <c r="BB221" s="51">
        <v>3.5214373970276953</v>
      </c>
      <c r="BC221" s="51">
        <v>8.790678934723134</v>
      </c>
      <c r="BD221" s="51">
        <v>6.498848282827398</v>
      </c>
      <c r="BE221" s="51">
        <v>9.466571829803517</v>
      </c>
      <c r="BF221" s="51">
        <v>9.298798316896136</v>
      </c>
      <c r="BG221" s="51">
        <v>3.718798071843219</v>
      </c>
      <c r="BH221" s="51">
        <v>3.628873901407468</v>
      </c>
      <c r="BI221" s="51">
        <v>0.31816594390200326</v>
      </c>
      <c r="BJ221" s="51">
        <v>0.7314252797505626</v>
      </c>
    </row>
    <row r="222" ht="15.75" customHeight="1" outlineLevel="1">
      <c r="B222" s="5" t="s">
        <v>100</v>
      </c>
      <c r="C222" s="72" t="s">
        <v>82</v>
      </c>
      <c r="F222" s="50">
        <f t="shared" ref="F222:M222" si="209">+SUMIFS($AA222:$DR222,$AA$7:$DR$7,F$7)</f>
        <v>648.0074535</v>
      </c>
      <c r="G222" s="50">
        <f t="shared" si="209"/>
        <v>677.8416974</v>
      </c>
      <c r="H222" s="50">
        <f t="shared" si="209"/>
        <v>241.2234041</v>
      </c>
      <c r="I222" s="50">
        <f t="shared" si="209"/>
        <v>0</v>
      </c>
      <c r="J222" s="50">
        <f t="shared" si="209"/>
        <v>0</v>
      </c>
      <c r="K222" s="50">
        <f t="shared" si="209"/>
        <v>0</v>
      </c>
      <c r="L222" s="50">
        <f t="shared" si="209"/>
        <v>0</v>
      </c>
      <c r="M222" s="50">
        <f t="shared" si="209"/>
        <v>0</v>
      </c>
      <c r="AA222" s="51">
        <v>26.255681411192985</v>
      </c>
      <c r="AB222" s="51">
        <v>44.38810115467488</v>
      </c>
      <c r="AC222" s="51">
        <v>43.748431534363064</v>
      </c>
      <c r="AD222" s="51">
        <v>39.14730036199202</v>
      </c>
      <c r="AE222" s="51">
        <v>56.9455029496964</v>
      </c>
      <c r="AF222" s="51">
        <v>65.1555448974123</v>
      </c>
      <c r="AG222" s="51">
        <v>51.21712195016594</v>
      </c>
      <c r="AH222" s="51">
        <v>54.13537316401288</v>
      </c>
      <c r="AI222" s="51">
        <v>58.751340226038224</v>
      </c>
      <c r="AJ222" s="51">
        <v>75.19843199143078</v>
      </c>
      <c r="AK222" s="51">
        <v>68.95428201083094</v>
      </c>
      <c r="AL222" s="51">
        <v>64.11034182177958</v>
      </c>
      <c r="AM222" s="51">
        <v>84.20771459655914</v>
      </c>
      <c r="AN222" s="51">
        <v>101.64433502262013</v>
      </c>
      <c r="AO222" s="51">
        <v>104.10223052383681</v>
      </c>
      <c r="AP222" s="51">
        <v>103.88203033364739</v>
      </c>
      <c r="AQ222" s="51">
        <v>100.35371129066031</v>
      </c>
      <c r="AR222" s="51">
        <v>45.09128934646936</v>
      </c>
      <c r="AS222" s="51">
        <v>33.433317600937706</v>
      </c>
      <c r="AT222" s="51">
        <v>26.33850245624931</v>
      </c>
      <c r="AU222" s="51">
        <v>30.716509387443203</v>
      </c>
      <c r="AV222" s="51">
        <v>24.568812276352922</v>
      </c>
      <c r="AW222" s="51">
        <v>13.422961816272203</v>
      </c>
      <c r="AX222" s="51">
        <v>10.080282723576783</v>
      </c>
      <c r="AY222" s="51">
        <v>16.36186317372514</v>
      </c>
      <c r="AZ222" s="51">
        <v>27.26470632065238</v>
      </c>
      <c r="BA222" s="51">
        <v>36.99400259132495</v>
      </c>
      <c r="BB222" s="51">
        <v>29.23105899854571</v>
      </c>
      <c r="BC222" s="51">
        <v>22.93897652926068</v>
      </c>
      <c r="BD222" s="51">
        <v>22.61010109101284</v>
      </c>
      <c r="BE222" s="51">
        <v>16.378585519599365</v>
      </c>
      <c r="BF222" s="51">
        <v>15.053204921512998</v>
      </c>
      <c r="BG222" s="51">
        <v>10.244015584123314</v>
      </c>
      <c r="BH222" s="51">
        <v>13.10876291024936</v>
      </c>
      <c r="BI222" s="51">
        <v>16.58185352575119</v>
      </c>
      <c r="BJ222" s="51">
        <v>14.456272955859218</v>
      </c>
    </row>
    <row r="223" ht="15.75" customHeight="1" outlineLevel="1">
      <c r="B223" s="5" t="s">
        <v>101</v>
      </c>
      <c r="C223" s="72" t="s">
        <v>70</v>
      </c>
      <c r="F223" s="50">
        <f t="shared" ref="F223:M223" si="210">+SUMIFS($AA223:$DR223,$AA$7:$DR$7,F$7)</f>
        <v>159.0801683</v>
      </c>
      <c r="G223" s="50">
        <f t="shared" si="210"/>
        <v>3.27816741</v>
      </c>
      <c r="H223" s="50">
        <f t="shared" si="210"/>
        <v>0</v>
      </c>
      <c r="I223" s="50">
        <f t="shared" si="210"/>
        <v>0</v>
      </c>
      <c r="J223" s="50">
        <f t="shared" si="210"/>
        <v>0</v>
      </c>
      <c r="K223" s="50">
        <f t="shared" si="210"/>
        <v>0</v>
      </c>
      <c r="L223" s="50">
        <f t="shared" si="210"/>
        <v>0</v>
      </c>
      <c r="M223" s="50">
        <f t="shared" si="210"/>
        <v>0</v>
      </c>
      <c r="AA223" s="51">
        <v>1.1874485914888366</v>
      </c>
      <c r="AB223" s="51">
        <v>1.0620196987743307</v>
      </c>
      <c r="AC223" s="51">
        <v>3.3731283569917307</v>
      </c>
      <c r="AD223" s="51">
        <v>5.382079026504243</v>
      </c>
      <c r="AE223" s="51">
        <v>9.212717515248485</v>
      </c>
      <c r="AF223" s="51">
        <v>13.909849984704229</v>
      </c>
      <c r="AG223" s="51">
        <v>19.42154821115767</v>
      </c>
      <c r="AH223" s="51">
        <v>28.56584719124071</v>
      </c>
      <c r="AI223" s="51">
        <v>28.40656176853819</v>
      </c>
      <c r="AJ223" s="51">
        <v>27.882178119889975</v>
      </c>
      <c r="AK223" s="51">
        <v>14.27012368735389</v>
      </c>
      <c r="AL223" s="51">
        <v>6.406666189551537</v>
      </c>
      <c r="AM223" s="51">
        <v>2.0276252534510313</v>
      </c>
      <c r="AN223" s="51">
        <v>0.25917279458797793</v>
      </c>
      <c r="AO223" s="51">
        <v>0.044999084418328894</v>
      </c>
      <c r="AP223" s="51">
        <v>0.9463702775688659</v>
      </c>
      <c r="AQ223" s="51">
        <v>0.0</v>
      </c>
      <c r="AR223" s="51">
        <v>0.0</v>
      </c>
      <c r="AS223" s="51">
        <v>0.0</v>
      </c>
      <c r="AT223" s="51">
        <v>0.0</v>
      </c>
      <c r="AU223" s="51">
        <v>0.0</v>
      </c>
      <c r="AV223" s="51">
        <v>0.0</v>
      </c>
      <c r="AW223" s="51">
        <v>0.0</v>
      </c>
      <c r="AX223" s="51">
        <v>0.0</v>
      </c>
      <c r="AY223" s="51">
        <v>0.0</v>
      </c>
      <c r="AZ223" s="51">
        <v>0.0</v>
      </c>
      <c r="BA223" s="51">
        <v>0.0</v>
      </c>
      <c r="BB223" s="51">
        <v>0.0</v>
      </c>
      <c r="BC223" s="51">
        <v>0.0</v>
      </c>
      <c r="BD223" s="51">
        <v>0.0</v>
      </c>
      <c r="BE223" s="51">
        <v>0.0</v>
      </c>
      <c r="BF223" s="51">
        <v>0.0</v>
      </c>
      <c r="BG223" s="51">
        <v>0.0</v>
      </c>
      <c r="BH223" s="51">
        <v>0.0</v>
      </c>
      <c r="BI223" s="51">
        <v>0.0</v>
      </c>
      <c r="BJ223" s="51">
        <v>0.0</v>
      </c>
    </row>
    <row r="224" ht="15.75" customHeight="1" outlineLevel="1">
      <c r="B224" s="5" t="s">
        <v>102</v>
      </c>
      <c r="C224" s="72" t="s">
        <v>70</v>
      </c>
      <c r="F224" s="50">
        <f t="shared" ref="F224:M224" si="211">+SUMIFS($AA224:$DR224,$AA$7:$DR$7,F$7)</f>
        <v>0</v>
      </c>
      <c r="G224" s="50">
        <f t="shared" si="211"/>
        <v>0</v>
      </c>
      <c r="H224" s="50">
        <f t="shared" si="211"/>
        <v>0</v>
      </c>
      <c r="I224" s="50">
        <f t="shared" si="211"/>
        <v>0</v>
      </c>
      <c r="J224" s="50">
        <f t="shared" si="211"/>
        <v>0</v>
      </c>
      <c r="K224" s="50">
        <f t="shared" si="211"/>
        <v>0</v>
      </c>
      <c r="L224" s="50">
        <f t="shared" si="211"/>
        <v>0</v>
      </c>
      <c r="M224" s="50">
        <f t="shared" si="211"/>
        <v>0</v>
      </c>
      <c r="AA224" s="51">
        <v>0.0</v>
      </c>
      <c r="AB224" s="51">
        <v>0.0</v>
      </c>
      <c r="AC224" s="51">
        <v>0.0</v>
      </c>
      <c r="AD224" s="51">
        <v>0.0</v>
      </c>
      <c r="AE224" s="51">
        <v>0.0</v>
      </c>
      <c r="AF224" s="51">
        <v>0.0</v>
      </c>
      <c r="AG224" s="51">
        <v>0.0</v>
      </c>
      <c r="AH224" s="51">
        <v>0.0</v>
      </c>
      <c r="AI224" s="51">
        <v>0.0</v>
      </c>
      <c r="AJ224" s="51">
        <v>0.0</v>
      </c>
      <c r="AK224" s="51">
        <v>0.0</v>
      </c>
      <c r="AL224" s="51">
        <v>0.0</v>
      </c>
      <c r="AM224" s="51">
        <v>0.0</v>
      </c>
      <c r="AN224" s="51">
        <v>0.0</v>
      </c>
      <c r="AO224" s="51">
        <v>0.0</v>
      </c>
      <c r="AP224" s="51">
        <v>0.0</v>
      </c>
      <c r="AQ224" s="51">
        <v>0.0</v>
      </c>
      <c r="AR224" s="51">
        <v>0.0</v>
      </c>
      <c r="AS224" s="51">
        <v>0.0</v>
      </c>
      <c r="AT224" s="51">
        <v>0.0</v>
      </c>
      <c r="AU224" s="51">
        <v>0.0</v>
      </c>
      <c r="AV224" s="51">
        <v>0.0</v>
      </c>
      <c r="AW224" s="51">
        <v>0.0</v>
      </c>
      <c r="AX224" s="51">
        <v>0.0</v>
      </c>
      <c r="AY224" s="51">
        <v>0.0</v>
      </c>
      <c r="AZ224" s="51">
        <v>0.0</v>
      </c>
      <c r="BA224" s="51">
        <v>0.0</v>
      </c>
      <c r="BB224" s="51">
        <v>0.0</v>
      </c>
      <c r="BC224" s="51">
        <v>0.0</v>
      </c>
      <c r="BD224" s="51">
        <v>0.0</v>
      </c>
      <c r="BE224" s="51">
        <v>0.0</v>
      </c>
      <c r="BF224" s="51">
        <v>0.0</v>
      </c>
      <c r="BG224" s="51">
        <v>0.0</v>
      </c>
      <c r="BH224" s="51">
        <v>0.0</v>
      </c>
      <c r="BI224" s="51">
        <v>0.0</v>
      </c>
      <c r="BJ224" s="51">
        <v>0.0</v>
      </c>
    </row>
    <row r="225" ht="15.75" customHeight="1" outlineLevel="1">
      <c r="B225" s="5" t="s">
        <v>103</v>
      </c>
      <c r="C225" s="72" t="s">
        <v>70</v>
      </c>
      <c r="F225" s="50">
        <f t="shared" ref="F225:M225" si="212">+SUMIFS($AA225:$DR225,$AA$7:$DR$7,F$7)</f>
        <v>148.8951855</v>
      </c>
      <c r="G225" s="50">
        <f t="shared" si="212"/>
        <v>35.51035603</v>
      </c>
      <c r="H225" s="50">
        <f t="shared" si="212"/>
        <v>0</v>
      </c>
      <c r="I225" s="50">
        <f t="shared" si="212"/>
        <v>0</v>
      </c>
      <c r="J225" s="50">
        <f t="shared" si="212"/>
        <v>0</v>
      </c>
      <c r="K225" s="50">
        <f t="shared" si="212"/>
        <v>0</v>
      </c>
      <c r="L225" s="50">
        <f t="shared" si="212"/>
        <v>0</v>
      </c>
      <c r="M225" s="50">
        <f t="shared" si="212"/>
        <v>0</v>
      </c>
      <c r="AA225" s="51">
        <v>0.7480846089835199</v>
      </c>
      <c r="AB225" s="51">
        <v>3.3897717218958765</v>
      </c>
      <c r="AC225" s="51">
        <v>4.638357571237652</v>
      </c>
      <c r="AD225" s="51">
        <v>2.74354915666936</v>
      </c>
      <c r="AE225" s="51">
        <v>3.83202200678823</v>
      </c>
      <c r="AF225" s="51">
        <v>9.101750717727047</v>
      </c>
      <c r="AG225" s="51">
        <v>16.521774752347493</v>
      </c>
      <c r="AH225" s="51">
        <v>18.984959430165514</v>
      </c>
      <c r="AI225" s="51">
        <v>22.804729694948033</v>
      </c>
      <c r="AJ225" s="51">
        <v>19.563130395628765</v>
      </c>
      <c r="AK225" s="51">
        <v>19.49356634558871</v>
      </c>
      <c r="AL225" s="51">
        <v>27.073489137316624</v>
      </c>
      <c r="AM225" s="51">
        <v>14.701700611336324</v>
      </c>
      <c r="AN225" s="51">
        <v>6.943145679500325</v>
      </c>
      <c r="AO225" s="51">
        <v>1.5793939938540216</v>
      </c>
      <c r="AP225" s="51">
        <v>2.3042007790145096</v>
      </c>
      <c r="AQ225" s="51">
        <v>5.8282313494536995</v>
      </c>
      <c r="AR225" s="51">
        <v>3.456162698553298</v>
      </c>
      <c r="AS225" s="51">
        <v>0.6820507527508823</v>
      </c>
      <c r="AT225" s="51">
        <v>0.015470160978536387</v>
      </c>
      <c r="AU225" s="51">
        <v>0.0</v>
      </c>
      <c r="AV225" s="51">
        <v>0.0</v>
      </c>
      <c r="AW225" s="51">
        <v>0.0</v>
      </c>
      <c r="AX225" s="51">
        <v>0.0</v>
      </c>
      <c r="AY225" s="51">
        <v>0.0</v>
      </c>
      <c r="AZ225" s="51">
        <v>0.0</v>
      </c>
      <c r="BA225" s="51">
        <v>0.0</v>
      </c>
      <c r="BB225" s="51">
        <v>0.0</v>
      </c>
      <c r="BC225" s="51">
        <v>0.0</v>
      </c>
      <c r="BD225" s="51">
        <v>0.0</v>
      </c>
      <c r="BE225" s="51">
        <v>0.0</v>
      </c>
      <c r="BF225" s="51">
        <v>0.0</v>
      </c>
      <c r="BG225" s="51">
        <v>0.0</v>
      </c>
      <c r="BH225" s="51">
        <v>0.0</v>
      </c>
      <c r="BI225" s="51">
        <v>0.0</v>
      </c>
      <c r="BJ225" s="51">
        <v>0.0</v>
      </c>
    </row>
    <row r="226" ht="15.75" customHeight="1" outlineLevel="1">
      <c r="B226" s="5" t="s">
        <v>104</v>
      </c>
      <c r="C226" s="72" t="s">
        <v>76</v>
      </c>
      <c r="F226" s="50">
        <f t="shared" ref="F226:M226" si="213">+SUMIFS($AA226:$DR226,$AA$7:$DR$7,F$7)</f>
        <v>0</v>
      </c>
      <c r="G226" s="50">
        <f t="shared" si="213"/>
        <v>0</v>
      </c>
      <c r="H226" s="50">
        <f t="shared" si="213"/>
        <v>0</v>
      </c>
      <c r="I226" s="50">
        <f t="shared" si="213"/>
        <v>0</v>
      </c>
      <c r="J226" s="50">
        <f t="shared" si="213"/>
        <v>0</v>
      </c>
      <c r="K226" s="50">
        <f t="shared" si="213"/>
        <v>0</v>
      </c>
      <c r="L226" s="50">
        <f t="shared" si="213"/>
        <v>0</v>
      </c>
      <c r="M226" s="50">
        <f t="shared" si="213"/>
        <v>0</v>
      </c>
      <c r="AA226" s="51">
        <v>0.0</v>
      </c>
      <c r="AB226" s="51">
        <v>0.0</v>
      </c>
      <c r="AC226" s="51">
        <v>0.0</v>
      </c>
      <c r="AD226" s="51">
        <v>0.0</v>
      </c>
      <c r="AE226" s="51">
        <v>0.0</v>
      </c>
      <c r="AF226" s="51">
        <v>0.0</v>
      </c>
      <c r="AG226" s="51">
        <v>0.0</v>
      </c>
      <c r="AH226" s="51">
        <v>0.0</v>
      </c>
      <c r="AI226" s="51">
        <v>0.0</v>
      </c>
      <c r="AJ226" s="51">
        <v>0.0</v>
      </c>
      <c r="AK226" s="51">
        <v>0.0</v>
      </c>
      <c r="AL226" s="51">
        <v>0.0</v>
      </c>
      <c r="AM226" s="51">
        <v>0.0</v>
      </c>
      <c r="AN226" s="51">
        <v>0.0</v>
      </c>
      <c r="AO226" s="51">
        <v>0.0</v>
      </c>
      <c r="AP226" s="51">
        <v>0.0</v>
      </c>
      <c r="AQ226" s="51">
        <v>0.0</v>
      </c>
      <c r="AR226" s="51">
        <v>0.0</v>
      </c>
      <c r="AS226" s="51">
        <v>0.0</v>
      </c>
      <c r="AT226" s="51">
        <v>0.0</v>
      </c>
      <c r="AU226" s="51">
        <v>0.0</v>
      </c>
      <c r="AV226" s="51">
        <v>0.0</v>
      </c>
      <c r="AW226" s="51">
        <v>0.0</v>
      </c>
      <c r="AX226" s="51">
        <v>0.0</v>
      </c>
      <c r="AY226" s="51">
        <v>0.0</v>
      </c>
      <c r="AZ226" s="51">
        <v>0.0</v>
      </c>
      <c r="BA226" s="51">
        <v>0.0</v>
      </c>
      <c r="BB226" s="51">
        <v>0.0</v>
      </c>
      <c r="BC226" s="51">
        <v>0.0</v>
      </c>
      <c r="BD226" s="51">
        <v>0.0</v>
      </c>
      <c r="BE226" s="51">
        <v>0.0</v>
      </c>
      <c r="BF226" s="51">
        <v>0.0</v>
      </c>
      <c r="BG226" s="51">
        <v>0.0</v>
      </c>
      <c r="BH226" s="51">
        <v>0.0</v>
      </c>
      <c r="BI226" s="51">
        <v>0.0</v>
      </c>
      <c r="BJ226" s="51">
        <v>0.0</v>
      </c>
    </row>
    <row r="227" ht="15.75" customHeight="1" outlineLevel="1">
      <c r="B227" s="5" t="s">
        <v>105</v>
      </c>
      <c r="C227" s="72" t="s">
        <v>74</v>
      </c>
      <c r="F227" s="50">
        <f t="shared" ref="F227:M227" si="214">+SUMIFS($AA227:$DR227,$AA$7:$DR$7,F$7)</f>
        <v>14.48476523</v>
      </c>
      <c r="G227" s="50">
        <f t="shared" si="214"/>
        <v>281.9320286</v>
      </c>
      <c r="H227" s="50">
        <f t="shared" si="214"/>
        <v>31.71059729</v>
      </c>
      <c r="I227" s="50">
        <f t="shared" si="214"/>
        <v>0</v>
      </c>
      <c r="J227" s="50">
        <f t="shared" si="214"/>
        <v>0</v>
      </c>
      <c r="K227" s="50">
        <f t="shared" si="214"/>
        <v>0</v>
      </c>
      <c r="L227" s="50">
        <f t="shared" si="214"/>
        <v>0</v>
      </c>
      <c r="M227" s="50">
        <f t="shared" si="214"/>
        <v>0</v>
      </c>
      <c r="AA227" s="51">
        <v>0.0</v>
      </c>
      <c r="AB227" s="51">
        <v>0.0</v>
      </c>
      <c r="AC227" s="51">
        <v>0.0</v>
      </c>
      <c r="AD227" s="51">
        <v>0.0</v>
      </c>
      <c r="AE227" s="51">
        <v>0.0</v>
      </c>
      <c r="AF227" s="51">
        <v>0.0</v>
      </c>
      <c r="AG227" s="51">
        <v>0.9814533619151536</v>
      </c>
      <c r="AH227" s="51">
        <v>1.685497560255634</v>
      </c>
      <c r="AI227" s="51">
        <v>0.04561406711409396</v>
      </c>
      <c r="AJ227" s="51">
        <v>0.8608398094123534</v>
      </c>
      <c r="AK227" s="51">
        <v>1.5196557105983626</v>
      </c>
      <c r="AL227" s="51">
        <v>9.391704721323876</v>
      </c>
      <c r="AM227" s="51">
        <v>17.568696611587473</v>
      </c>
      <c r="AN227" s="51">
        <v>19.15633678150566</v>
      </c>
      <c r="AO227" s="51">
        <v>24.830997669104327</v>
      </c>
      <c r="AP227" s="51">
        <v>36.49921596142913</v>
      </c>
      <c r="AQ227" s="51">
        <v>34.9655428142153</v>
      </c>
      <c r="AR227" s="51">
        <v>19.891029336772615</v>
      </c>
      <c r="AS227" s="51">
        <v>25.362087188356178</v>
      </c>
      <c r="AT227" s="51">
        <v>24.138149213657655</v>
      </c>
      <c r="AU227" s="51">
        <v>23.645057563579293</v>
      </c>
      <c r="AV227" s="51">
        <v>29.705930001119082</v>
      </c>
      <c r="AW227" s="51">
        <v>16.345378661884506</v>
      </c>
      <c r="AX227" s="51">
        <v>9.823606773459048</v>
      </c>
      <c r="AY227" s="51">
        <v>16.219289784991737</v>
      </c>
      <c r="AZ227" s="51">
        <v>10.04037772558583</v>
      </c>
      <c r="BA227" s="51">
        <v>4.148438326850733</v>
      </c>
      <c r="BB227" s="51">
        <v>1.105786539039897</v>
      </c>
      <c r="BC227" s="51">
        <v>0.1402798705322332</v>
      </c>
      <c r="BD227" s="51">
        <v>0.0</v>
      </c>
      <c r="BE227" s="51">
        <v>0.0</v>
      </c>
      <c r="BF227" s="51">
        <v>0.0</v>
      </c>
      <c r="BG227" s="51">
        <v>0.0</v>
      </c>
      <c r="BH227" s="51">
        <v>0.0</v>
      </c>
      <c r="BI227" s="51">
        <v>0.05642504763285685</v>
      </c>
      <c r="BJ227" s="51">
        <v>0.0</v>
      </c>
    </row>
    <row r="228" ht="15.75" customHeight="1" outlineLevel="1">
      <c r="B228" s="5" t="s">
        <v>106</v>
      </c>
      <c r="C228" s="72" t="s">
        <v>70</v>
      </c>
      <c r="F228" s="50">
        <f t="shared" ref="F228:M228" si="215">+SUMIFS($AA228:$DR228,$AA$7:$DR$7,F$7)</f>
        <v>73.12153032</v>
      </c>
      <c r="G228" s="50">
        <f t="shared" si="215"/>
        <v>100.6016447</v>
      </c>
      <c r="H228" s="50">
        <f t="shared" si="215"/>
        <v>1.306181345</v>
      </c>
      <c r="I228" s="50">
        <f t="shared" si="215"/>
        <v>0</v>
      </c>
      <c r="J228" s="50">
        <f t="shared" si="215"/>
        <v>0</v>
      </c>
      <c r="K228" s="50">
        <f t="shared" si="215"/>
        <v>0</v>
      </c>
      <c r="L228" s="50">
        <f t="shared" si="215"/>
        <v>0</v>
      </c>
      <c r="M228" s="50">
        <f t="shared" si="215"/>
        <v>0</v>
      </c>
      <c r="AA228" s="51">
        <v>0.0</v>
      </c>
      <c r="AB228" s="51">
        <v>0.0</v>
      </c>
      <c r="AC228" s="51">
        <v>0.0</v>
      </c>
      <c r="AD228" s="51">
        <v>0.0</v>
      </c>
      <c r="AE228" s="51">
        <v>0.0</v>
      </c>
      <c r="AF228" s="51">
        <v>0.0</v>
      </c>
      <c r="AG228" s="51">
        <v>1.748648653744487</v>
      </c>
      <c r="AH228" s="51">
        <v>11.646670746678074</v>
      </c>
      <c r="AI228" s="51">
        <v>16.643009266067477</v>
      </c>
      <c r="AJ228" s="51">
        <v>13.078126675972715</v>
      </c>
      <c r="AK228" s="51">
        <v>14.531769432182102</v>
      </c>
      <c r="AL228" s="51">
        <v>15.473305544129568</v>
      </c>
      <c r="AM228" s="51">
        <v>17.61208014416902</v>
      </c>
      <c r="AN228" s="51">
        <v>17.006451697405883</v>
      </c>
      <c r="AO228" s="51">
        <v>12.09802493166674</v>
      </c>
      <c r="AP228" s="51">
        <v>7.578930076214759</v>
      </c>
      <c r="AQ228" s="51">
        <v>12.69964931557809</v>
      </c>
      <c r="AR228" s="51">
        <v>3.4146449373290966</v>
      </c>
      <c r="AS228" s="51">
        <v>3.5901066533154147</v>
      </c>
      <c r="AT228" s="51">
        <v>9.471328608139647</v>
      </c>
      <c r="AU228" s="51">
        <v>4.4579924955725945</v>
      </c>
      <c r="AV228" s="51">
        <v>4.684476068557172</v>
      </c>
      <c r="AW228" s="51">
        <v>7.023309960757679</v>
      </c>
      <c r="AX228" s="51">
        <v>0.9646498130959585</v>
      </c>
      <c r="AY228" s="51">
        <v>0.008299991030682494</v>
      </c>
      <c r="AZ228" s="51">
        <v>0.13480210820076738</v>
      </c>
      <c r="BA228" s="51">
        <v>0.02604639508440343</v>
      </c>
      <c r="BB228" s="51">
        <v>1.0976231906911946</v>
      </c>
      <c r="BC228" s="51">
        <v>0.028057194986038637</v>
      </c>
      <c r="BD228" s="51">
        <v>0.011352465493706276</v>
      </c>
      <c r="BE228" s="51">
        <v>0.0</v>
      </c>
      <c r="BF228" s="51">
        <v>0.0</v>
      </c>
      <c r="BG228" s="51">
        <v>0.0</v>
      </c>
      <c r="BH228" s="51">
        <v>0.0</v>
      </c>
      <c r="BI228" s="51">
        <v>0.0</v>
      </c>
      <c r="BJ228" s="51">
        <v>0.0</v>
      </c>
    </row>
    <row r="229" ht="15.75" customHeight="1" outlineLevel="1">
      <c r="B229" s="5" t="s">
        <v>107</v>
      </c>
      <c r="C229" s="72" t="s">
        <v>82</v>
      </c>
      <c r="F229" s="50">
        <f t="shared" ref="F229:M229" si="216">+SUMIFS($AA229:$DR229,$AA$7:$DR$7,F$7)</f>
        <v>0</v>
      </c>
      <c r="G229" s="50">
        <f t="shared" si="216"/>
        <v>0</v>
      </c>
      <c r="H229" s="50">
        <f t="shared" si="216"/>
        <v>0</v>
      </c>
      <c r="I229" s="50">
        <f t="shared" si="216"/>
        <v>0</v>
      </c>
      <c r="J229" s="50">
        <f t="shared" si="216"/>
        <v>0</v>
      </c>
      <c r="K229" s="50">
        <f t="shared" si="216"/>
        <v>0</v>
      </c>
      <c r="L229" s="50">
        <f t="shared" si="216"/>
        <v>0</v>
      </c>
      <c r="M229" s="50">
        <f t="shared" si="216"/>
        <v>0</v>
      </c>
      <c r="AA229" s="51">
        <v>0.0</v>
      </c>
      <c r="AB229" s="51">
        <v>0.0</v>
      </c>
      <c r="AC229" s="51">
        <v>0.0</v>
      </c>
      <c r="AD229" s="51">
        <v>0.0</v>
      </c>
      <c r="AE229" s="51">
        <v>0.0</v>
      </c>
      <c r="AF229" s="51">
        <v>0.0</v>
      </c>
      <c r="AG229" s="51">
        <v>0.0</v>
      </c>
      <c r="AH229" s="51">
        <v>0.0</v>
      </c>
      <c r="AI229" s="51">
        <v>0.0</v>
      </c>
      <c r="AJ229" s="51">
        <v>0.0</v>
      </c>
      <c r="AK229" s="51">
        <v>0.0</v>
      </c>
      <c r="AL229" s="51">
        <v>0.0</v>
      </c>
      <c r="AM229" s="51">
        <v>0.0</v>
      </c>
      <c r="AN229" s="51">
        <v>0.0</v>
      </c>
      <c r="AO229" s="51">
        <v>0.0</v>
      </c>
      <c r="AP229" s="51">
        <v>0.0</v>
      </c>
      <c r="AQ229" s="51">
        <v>0.0</v>
      </c>
      <c r="AR229" s="51">
        <v>0.0</v>
      </c>
      <c r="AS229" s="51">
        <v>0.0</v>
      </c>
      <c r="AT229" s="51">
        <v>0.0</v>
      </c>
      <c r="AU229" s="51">
        <v>0.0</v>
      </c>
      <c r="AV229" s="51">
        <v>0.0</v>
      </c>
      <c r="AW229" s="51">
        <v>0.0</v>
      </c>
      <c r="AX229" s="51">
        <v>0.0</v>
      </c>
      <c r="AY229" s="51">
        <v>0.0</v>
      </c>
      <c r="AZ229" s="51">
        <v>0.0</v>
      </c>
      <c r="BA229" s="51">
        <v>0.0</v>
      </c>
      <c r="BB229" s="51">
        <v>0.0</v>
      </c>
      <c r="BC229" s="51">
        <v>0.0</v>
      </c>
      <c r="BD229" s="51">
        <v>0.0</v>
      </c>
      <c r="BE229" s="51">
        <v>0.0</v>
      </c>
      <c r="BF229" s="51">
        <v>0.0</v>
      </c>
      <c r="BG229" s="51">
        <v>0.0</v>
      </c>
      <c r="BH229" s="51">
        <v>0.0</v>
      </c>
      <c r="BI229" s="51">
        <v>0.0</v>
      </c>
      <c r="BJ229" s="51">
        <v>0.0</v>
      </c>
    </row>
    <row r="230" ht="15.75" customHeight="1" outlineLevel="1">
      <c r="B230" s="5" t="s">
        <v>108</v>
      </c>
      <c r="C230" s="72" t="s">
        <v>70</v>
      </c>
      <c r="F230" s="50">
        <f t="shared" ref="F230:M230" si="217">+SUMIFS($AA230:$DR230,$AA$7:$DR$7,F$7)</f>
        <v>0</v>
      </c>
      <c r="G230" s="50">
        <f t="shared" si="217"/>
        <v>0</v>
      </c>
      <c r="H230" s="50">
        <f t="shared" si="217"/>
        <v>0</v>
      </c>
      <c r="I230" s="50">
        <f t="shared" si="217"/>
        <v>0</v>
      </c>
      <c r="J230" s="50">
        <f t="shared" si="217"/>
        <v>0</v>
      </c>
      <c r="K230" s="50">
        <f t="shared" si="217"/>
        <v>0</v>
      </c>
      <c r="L230" s="50">
        <f t="shared" si="217"/>
        <v>0</v>
      </c>
      <c r="M230" s="50">
        <f t="shared" si="217"/>
        <v>0</v>
      </c>
      <c r="AA230" s="51">
        <v>0.0</v>
      </c>
      <c r="AB230" s="51">
        <v>0.0</v>
      </c>
      <c r="AC230" s="51">
        <v>0.0</v>
      </c>
      <c r="AD230" s="51">
        <v>0.0</v>
      </c>
      <c r="AE230" s="51">
        <v>0.0</v>
      </c>
      <c r="AF230" s="51">
        <v>0.0</v>
      </c>
      <c r="AG230" s="51">
        <v>0.0</v>
      </c>
      <c r="AH230" s="51">
        <v>0.0</v>
      </c>
      <c r="AI230" s="51">
        <v>0.0</v>
      </c>
      <c r="AJ230" s="51">
        <v>0.0</v>
      </c>
      <c r="AK230" s="51">
        <v>0.0</v>
      </c>
      <c r="AL230" s="51">
        <v>0.0</v>
      </c>
      <c r="AM230" s="51">
        <v>0.0</v>
      </c>
      <c r="AN230" s="51">
        <v>0.0</v>
      </c>
      <c r="AO230" s="51">
        <v>0.0</v>
      </c>
      <c r="AP230" s="51">
        <v>0.0</v>
      </c>
      <c r="AQ230" s="51">
        <v>0.0</v>
      </c>
      <c r="AR230" s="51">
        <v>0.0</v>
      </c>
      <c r="AS230" s="51">
        <v>0.0</v>
      </c>
      <c r="AT230" s="51">
        <v>0.0</v>
      </c>
      <c r="AU230" s="51">
        <v>0.0</v>
      </c>
      <c r="AV230" s="51">
        <v>0.0</v>
      </c>
      <c r="AW230" s="51">
        <v>0.0</v>
      </c>
      <c r="AX230" s="51">
        <v>0.0</v>
      </c>
      <c r="AY230" s="51">
        <v>0.0</v>
      </c>
      <c r="AZ230" s="51">
        <v>0.0</v>
      </c>
      <c r="BA230" s="51">
        <v>0.0</v>
      </c>
      <c r="BB230" s="51">
        <v>0.0</v>
      </c>
      <c r="BC230" s="51">
        <v>0.0</v>
      </c>
      <c r="BD230" s="51">
        <v>0.0</v>
      </c>
      <c r="BE230" s="51">
        <v>0.0</v>
      </c>
      <c r="BF230" s="51">
        <v>0.0</v>
      </c>
      <c r="BG230" s="51">
        <v>0.0</v>
      </c>
      <c r="BH230" s="51">
        <v>0.0</v>
      </c>
      <c r="BI230" s="51">
        <v>0.0</v>
      </c>
      <c r="BJ230" s="51">
        <v>0.0</v>
      </c>
    </row>
    <row r="231" ht="15.75" customHeight="1" outlineLevel="1">
      <c r="B231" s="5" t="s">
        <v>109</v>
      </c>
      <c r="C231" s="72" t="s">
        <v>70</v>
      </c>
      <c r="F231" s="50">
        <f t="shared" ref="F231:M231" si="218">+SUMIFS($AA231:$DR231,$AA$7:$DR$7,F$7)</f>
        <v>0</v>
      </c>
      <c r="G231" s="50">
        <f t="shared" si="218"/>
        <v>0</v>
      </c>
      <c r="H231" s="50">
        <f t="shared" si="218"/>
        <v>0</v>
      </c>
      <c r="I231" s="50">
        <f t="shared" si="218"/>
        <v>0</v>
      </c>
      <c r="J231" s="50">
        <f t="shared" si="218"/>
        <v>0</v>
      </c>
      <c r="K231" s="50">
        <f t="shared" si="218"/>
        <v>0</v>
      </c>
      <c r="L231" s="50">
        <f t="shared" si="218"/>
        <v>0</v>
      </c>
      <c r="M231" s="50">
        <f t="shared" si="218"/>
        <v>0</v>
      </c>
      <c r="AA231" s="51">
        <v>0.0</v>
      </c>
      <c r="AB231" s="51">
        <v>0.0</v>
      </c>
      <c r="AC231" s="51">
        <v>0.0</v>
      </c>
      <c r="AD231" s="51">
        <v>0.0</v>
      </c>
      <c r="AE231" s="51">
        <v>0.0</v>
      </c>
      <c r="AF231" s="51">
        <v>0.0</v>
      </c>
      <c r="AG231" s="51">
        <v>0.0</v>
      </c>
      <c r="AH231" s="51">
        <v>0.0</v>
      </c>
      <c r="AI231" s="51">
        <v>0.0</v>
      </c>
      <c r="AJ231" s="51">
        <v>0.0</v>
      </c>
      <c r="AK231" s="51">
        <v>0.0</v>
      </c>
      <c r="AL231" s="51">
        <v>0.0</v>
      </c>
      <c r="AM231" s="51">
        <v>0.0</v>
      </c>
      <c r="AN231" s="51">
        <v>0.0</v>
      </c>
      <c r="AO231" s="51">
        <v>0.0</v>
      </c>
      <c r="AP231" s="51">
        <v>0.0</v>
      </c>
      <c r="AQ231" s="51">
        <v>0.0</v>
      </c>
      <c r="AR231" s="51">
        <v>0.0</v>
      </c>
      <c r="AS231" s="51">
        <v>0.0</v>
      </c>
      <c r="AT231" s="51">
        <v>0.0</v>
      </c>
      <c r="AU231" s="51">
        <v>0.0</v>
      </c>
      <c r="AV231" s="51">
        <v>0.0</v>
      </c>
      <c r="AW231" s="51">
        <v>0.0</v>
      </c>
      <c r="AX231" s="51">
        <v>0.0</v>
      </c>
      <c r="AY231" s="51">
        <v>0.0</v>
      </c>
      <c r="AZ231" s="51">
        <v>0.0</v>
      </c>
      <c r="BA231" s="51">
        <v>0.0</v>
      </c>
      <c r="BB231" s="51">
        <v>0.0</v>
      </c>
      <c r="BC231" s="51">
        <v>0.0</v>
      </c>
      <c r="BD231" s="51">
        <v>0.0</v>
      </c>
      <c r="BE231" s="51">
        <v>0.0</v>
      </c>
      <c r="BF231" s="51">
        <v>0.0</v>
      </c>
      <c r="BG231" s="51">
        <v>0.0</v>
      </c>
      <c r="BH231" s="51">
        <v>0.0</v>
      </c>
      <c r="BI231" s="51">
        <v>0.0</v>
      </c>
      <c r="BJ231" s="51">
        <v>0.0</v>
      </c>
    </row>
    <row r="232" ht="15.75" customHeight="1" outlineLevel="1">
      <c r="B232" s="5" t="s">
        <v>110</v>
      </c>
      <c r="C232" s="72" t="s">
        <v>70</v>
      </c>
      <c r="F232" s="50">
        <f t="shared" ref="F232:M232" si="219">+SUMIFS($AA232:$DR232,$AA$7:$DR$7,F$7)</f>
        <v>0</v>
      </c>
      <c r="G232" s="50">
        <f t="shared" si="219"/>
        <v>0</v>
      </c>
      <c r="H232" s="50">
        <f t="shared" si="219"/>
        <v>0</v>
      </c>
      <c r="I232" s="50">
        <f t="shared" si="219"/>
        <v>0</v>
      </c>
      <c r="J232" s="50">
        <f t="shared" si="219"/>
        <v>0</v>
      </c>
      <c r="K232" s="50">
        <f t="shared" si="219"/>
        <v>0</v>
      </c>
      <c r="L232" s="50">
        <f t="shared" si="219"/>
        <v>0</v>
      </c>
      <c r="M232" s="50">
        <f t="shared" si="219"/>
        <v>0</v>
      </c>
      <c r="AA232" s="51">
        <v>0.0</v>
      </c>
      <c r="AB232" s="51">
        <v>0.0</v>
      </c>
      <c r="AC232" s="51">
        <v>0.0</v>
      </c>
      <c r="AD232" s="51">
        <v>0.0</v>
      </c>
      <c r="AE232" s="51">
        <v>0.0</v>
      </c>
      <c r="AF232" s="51">
        <v>0.0</v>
      </c>
      <c r="AG232" s="51">
        <v>0.0</v>
      </c>
      <c r="AH232" s="51">
        <v>0.0</v>
      </c>
      <c r="AI232" s="51">
        <v>0.0</v>
      </c>
      <c r="AJ232" s="51">
        <v>0.0</v>
      </c>
      <c r="AK232" s="51">
        <v>0.0</v>
      </c>
      <c r="AL232" s="51">
        <v>0.0</v>
      </c>
      <c r="AM232" s="51">
        <v>0.0</v>
      </c>
      <c r="AN232" s="51">
        <v>0.0</v>
      </c>
      <c r="AO232" s="51">
        <v>0.0</v>
      </c>
      <c r="AP232" s="51">
        <v>0.0</v>
      </c>
      <c r="AQ232" s="51">
        <v>0.0</v>
      </c>
      <c r="AR232" s="51">
        <v>0.0</v>
      </c>
      <c r="AS232" s="51">
        <v>0.0</v>
      </c>
      <c r="AT232" s="51">
        <v>0.0</v>
      </c>
      <c r="AU232" s="51">
        <v>0.0</v>
      </c>
      <c r="AV232" s="51">
        <v>0.0</v>
      </c>
      <c r="AW232" s="51">
        <v>0.0</v>
      </c>
      <c r="AX232" s="51">
        <v>0.0</v>
      </c>
      <c r="AY232" s="51">
        <v>0.0</v>
      </c>
      <c r="AZ232" s="51">
        <v>0.0</v>
      </c>
      <c r="BA232" s="51">
        <v>0.0</v>
      </c>
      <c r="BB232" s="51">
        <v>0.0</v>
      </c>
      <c r="BC232" s="51">
        <v>0.0</v>
      </c>
      <c r="BD232" s="51">
        <v>0.0</v>
      </c>
      <c r="BE232" s="51">
        <v>0.0</v>
      </c>
      <c r="BF232" s="51">
        <v>0.0</v>
      </c>
      <c r="BG232" s="51">
        <v>0.0</v>
      </c>
      <c r="BH232" s="51">
        <v>0.0</v>
      </c>
      <c r="BI232" s="51">
        <v>0.0</v>
      </c>
      <c r="BJ232" s="51">
        <v>0.0</v>
      </c>
    </row>
    <row r="233" ht="15.75" customHeight="1" outlineLevel="1">
      <c r="B233" s="5" t="s">
        <v>111</v>
      </c>
      <c r="C233" s="72" t="s">
        <v>70</v>
      </c>
      <c r="F233" s="50">
        <f t="shared" ref="F233:M233" si="220">+SUMIFS($AA233:$DR233,$AA$7:$DR$7,F$7)</f>
        <v>0</v>
      </c>
      <c r="G233" s="50">
        <f t="shared" si="220"/>
        <v>0</v>
      </c>
      <c r="H233" s="50">
        <f t="shared" si="220"/>
        <v>0</v>
      </c>
      <c r="I233" s="50">
        <f t="shared" si="220"/>
        <v>0</v>
      </c>
      <c r="J233" s="50">
        <f t="shared" si="220"/>
        <v>0</v>
      </c>
      <c r="K233" s="50">
        <f t="shared" si="220"/>
        <v>0</v>
      </c>
      <c r="L233" s="50">
        <f t="shared" si="220"/>
        <v>0</v>
      </c>
      <c r="M233" s="50">
        <f t="shared" si="220"/>
        <v>0</v>
      </c>
      <c r="AA233" s="51">
        <v>0.0</v>
      </c>
      <c r="AB233" s="51">
        <v>0.0</v>
      </c>
      <c r="AC233" s="51">
        <v>0.0</v>
      </c>
      <c r="AD233" s="51">
        <v>0.0</v>
      </c>
      <c r="AE233" s="51">
        <v>0.0</v>
      </c>
      <c r="AF233" s="51">
        <v>0.0</v>
      </c>
      <c r="AG233" s="51">
        <v>0.0</v>
      </c>
      <c r="AH233" s="51">
        <v>0.0</v>
      </c>
      <c r="AI233" s="51">
        <v>0.0</v>
      </c>
      <c r="AJ233" s="51">
        <v>0.0</v>
      </c>
      <c r="AK233" s="51">
        <v>0.0</v>
      </c>
      <c r="AL233" s="51">
        <v>0.0</v>
      </c>
      <c r="AM233" s="51">
        <v>0.0</v>
      </c>
      <c r="AN233" s="51">
        <v>0.0</v>
      </c>
      <c r="AO233" s="51">
        <v>0.0</v>
      </c>
      <c r="AP233" s="51">
        <v>0.0</v>
      </c>
      <c r="AQ233" s="51">
        <v>0.0</v>
      </c>
      <c r="AR233" s="51">
        <v>0.0</v>
      </c>
      <c r="AS233" s="51">
        <v>0.0</v>
      </c>
      <c r="AT233" s="51">
        <v>0.0</v>
      </c>
      <c r="AU233" s="51">
        <v>0.0</v>
      </c>
      <c r="AV233" s="51">
        <v>0.0</v>
      </c>
      <c r="AW233" s="51">
        <v>0.0</v>
      </c>
      <c r="AX233" s="51">
        <v>0.0</v>
      </c>
      <c r="AY233" s="51">
        <v>0.0</v>
      </c>
      <c r="AZ233" s="51">
        <v>0.0</v>
      </c>
      <c r="BA233" s="51">
        <v>0.0</v>
      </c>
      <c r="BB233" s="51">
        <v>0.0</v>
      </c>
      <c r="BC233" s="51">
        <v>0.0</v>
      </c>
      <c r="BD233" s="51">
        <v>0.0</v>
      </c>
      <c r="BE233" s="51">
        <v>0.0</v>
      </c>
      <c r="BF233" s="51">
        <v>0.0</v>
      </c>
      <c r="BG233" s="51">
        <v>0.0</v>
      </c>
      <c r="BH233" s="51">
        <v>0.0</v>
      </c>
      <c r="BI233" s="51">
        <v>0.0</v>
      </c>
      <c r="BJ233" s="51">
        <v>0.0</v>
      </c>
    </row>
    <row r="234" ht="15.75" customHeight="1" outlineLevel="1">
      <c r="B234" s="5" t="s">
        <v>112</v>
      </c>
      <c r="C234" s="72" t="s">
        <v>70</v>
      </c>
      <c r="F234" s="50">
        <f t="shared" ref="F234:M234" si="221">+SUMIFS($AA234:$DR234,$AA$7:$DR$7,F$7)</f>
        <v>0</v>
      </c>
      <c r="G234" s="50">
        <f t="shared" si="221"/>
        <v>0</v>
      </c>
      <c r="H234" s="50">
        <f t="shared" si="221"/>
        <v>0</v>
      </c>
      <c r="I234" s="50">
        <f t="shared" si="221"/>
        <v>0</v>
      </c>
      <c r="J234" s="50">
        <f t="shared" si="221"/>
        <v>0</v>
      </c>
      <c r="K234" s="50">
        <f t="shared" si="221"/>
        <v>0</v>
      </c>
      <c r="L234" s="50">
        <f t="shared" si="221"/>
        <v>0</v>
      </c>
      <c r="M234" s="50">
        <f t="shared" si="221"/>
        <v>0</v>
      </c>
      <c r="AA234" s="51">
        <v>0.0</v>
      </c>
      <c r="AB234" s="51">
        <v>0.0</v>
      </c>
      <c r="AC234" s="51">
        <v>0.0</v>
      </c>
      <c r="AD234" s="51">
        <v>0.0</v>
      </c>
      <c r="AE234" s="51">
        <v>0.0</v>
      </c>
      <c r="AF234" s="51">
        <v>0.0</v>
      </c>
      <c r="AG234" s="51">
        <v>0.0</v>
      </c>
      <c r="AH234" s="51">
        <v>0.0</v>
      </c>
      <c r="AI234" s="51">
        <v>0.0</v>
      </c>
      <c r="AJ234" s="51">
        <v>0.0</v>
      </c>
      <c r="AK234" s="51">
        <v>0.0</v>
      </c>
      <c r="AL234" s="51">
        <v>0.0</v>
      </c>
      <c r="AM234" s="51">
        <v>0.0</v>
      </c>
      <c r="AN234" s="51">
        <v>0.0</v>
      </c>
      <c r="AO234" s="51">
        <v>0.0</v>
      </c>
      <c r="AP234" s="51">
        <v>0.0</v>
      </c>
      <c r="AQ234" s="51">
        <v>0.0</v>
      </c>
      <c r="AR234" s="51">
        <v>0.0</v>
      </c>
      <c r="AS234" s="51">
        <v>0.0</v>
      </c>
      <c r="AT234" s="51">
        <v>0.0</v>
      </c>
      <c r="AU234" s="51">
        <v>0.0</v>
      </c>
      <c r="AV234" s="51">
        <v>0.0</v>
      </c>
      <c r="AW234" s="51">
        <v>0.0</v>
      </c>
      <c r="AX234" s="51">
        <v>0.0</v>
      </c>
      <c r="AY234" s="51">
        <v>0.0</v>
      </c>
      <c r="AZ234" s="51">
        <v>0.0</v>
      </c>
      <c r="BA234" s="51">
        <v>0.0</v>
      </c>
      <c r="BB234" s="51">
        <v>0.0</v>
      </c>
      <c r="BC234" s="51">
        <v>0.0</v>
      </c>
      <c r="BD234" s="51">
        <v>0.0</v>
      </c>
      <c r="BE234" s="51">
        <v>0.0</v>
      </c>
      <c r="BF234" s="51">
        <v>0.0</v>
      </c>
      <c r="BG234" s="51">
        <v>0.0</v>
      </c>
      <c r="BH234" s="51">
        <v>0.0</v>
      </c>
      <c r="BI234" s="51">
        <v>0.0</v>
      </c>
      <c r="BJ234" s="51">
        <v>0.0</v>
      </c>
    </row>
    <row r="235" ht="15.75" customHeight="1" outlineLevel="1">
      <c r="B235" s="5" t="s">
        <v>113</v>
      </c>
      <c r="C235" s="72" t="s">
        <v>70</v>
      </c>
      <c r="F235" s="50">
        <f t="shared" ref="F235:M235" si="222">+SUMIFS($AA235:$DR235,$AA$7:$DR$7,F$7)</f>
        <v>0</v>
      </c>
      <c r="G235" s="50">
        <f t="shared" si="222"/>
        <v>0</v>
      </c>
      <c r="H235" s="50">
        <f t="shared" si="222"/>
        <v>0</v>
      </c>
      <c r="I235" s="50">
        <f t="shared" si="222"/>
        <v>0</v>
      </c>
      <c r="J235" s="50">
        <f t="shared" si="222"/>
        <v>0</v>
      </c>
      <c r="K235" s="50">
        <f t="shared" si="222"/>
        <v>0</v>
      </c>
      <c r="L235" s="50">
        <f t="shared" si="222"/>
        <v>0</v>
      </c>
      <c r="M235" s="50">
        <f t="shared" si="222"/>
        <v>0</v>
      </c>
      <c r="AA235" s="51">
        <v>0.0</v>
      </c>
      <c r="AB235" s="51">
        <v>0.0</v>
      </c>
      <c r="AC235" s="51">
        <v>0.0</v>
      </c>
      <c r="AD235" s="51">
        <v>0.0</v>
      </c>
      <c r="AE235" s="51">
        <v>0.0</v>
      </c>
      <c r="AF235" s="51">
        <v>0.0</v>
      </c>
      <c r="AG235" s="51">
        <v>0.0</v>
      </c>
      <c r="AH235" s="51">
        <v>0.0</v>
      </c>
      <c r="AI235" s="51">
        <v>0.0</v>
      </c>
      <c r="AJ235" s="51">
        <v>0.0</v>
      </c>
      <c r="AK235" s="51">
        <v>0.0</v>
      </c>
      <c r="AL235" s="51">
        <v>0.0</v>
      </c>
      <c r="AM235" s="51">
        <v>0.0</v>
      </c>
      <c r="AN235" s="51">
        <v>0.0</v>
      </c>
      <c r="AO235" s="51">
        <v>0.0</v>
      </c>
      <c r="AP235" s="51">
        <v>0.0</v>
      </c>
      <c r="AQ235" s="51">
        <v>0.0</v>
      </c>
      <c r="AR235" s="51">
        <v>0.0</v>
      </c>
      <c r="AS235" s="51">
        <v>0.0</v>
      </c>
      <c r="AT235" s="51">
        <v>0.0</v>
      </c>
      <c r="AU235" s="51">
        <v>0.0</v>
      </c>
      <c r="AV235" s="51">
        <v>0.0</v>
      </c>
      <c r="AW235" s="51">
        <v>0.0</v>
      </c>
      <c r="AX235" s="51">
        <v>0.0</v>
      </c>
      <c r="AY235" s="51">
        <v>0.0</v>
      </c>
      <c r="AZ235" s="51">
        <v>0.0</v>
      </c>
      <c r="BA235" s="51">
        <v>0.0</v>
      </c>
      <c r="BB235" s="51">
        <v>0.0</v>
      </c>
      <c r="BC235" s="51">
        <v>0.0</v>
      </c>
      <c r="BD235" s="51">
        <v>0.0</v>
      </c>
      <c r="BE235" s="51">
        <v>0.0</v>
      </c>
      <c r="BF235" s="51">
        <v>0.0</v>
      </c>
      <c r="BG235" s="51">
        <v>0.0</v>
      </c>
      <c r="BH235" s="51">
        <v>0.0</v>
      </c>
      <c r="BI235" s="51">
        <v>0.0</v>
      </c>
      <c r="BJ235" s="51">
        <v>0.0</v>
      </c>
    </row>
    <row r="236" ht="15.75" customHeight="1" outlineLevel="1">
      <c r="B236" s="5" t="s">
        <v>114</v>
      </c>
      <c r="C236" s="72" t="s">
        <v>70</v>
      </c>
      <c r="F236" s="50">
        <f t="shared" ref="F236:M236" si="223">+SUMIFS($AA236:$DR236,$AA$7:$DR$7,F$7)</f>
        <v>0</v>
      </c>
      <c r="G236" s="50">
        <f t="shared" si="223"/>
        <v>0</v>
      </c>
      <c r="H236" s="50">
        <f t="shared" si="223"/>
        <v>0</v>
      </c>
      <c r="I236" s="50">
        <f t="shared" si="223"/>
        <v>0</v>
      </c>
      <c r="J236" s="50">
        <f t="shared" si="223"/>
        <v>0</v>
      </c>
      <c r="K236" s="50">
        <f t="shared" si="223"/>
        <v>0</v>
      </c>
      <c r="L236" s="50">
        <f t="shared" si="223"/>
        <v>0</v>
      </c>
      <c r="M236" s="50">
        <f t="shared" si="223"/>
        <v>0</v>
      </c>
      <c r="AA236" s="51">
        <v>0.0</v>
      </c>
      <c r="AB236" s="51">
        <v>0.0</v>
      </c>
      <c r="AC236" s="51">
        <v>0.0</v>
      </c>
      <c r="AD236" s="51">
        <v>0.0</v>
      </c>
      <c r="AE236" s="51">
        <v>0.0</v>
      </c>
      <c r="AF236" s="51">
        <v>0.0</v>
      </c>
      <c r="AG236" s="51">
        <v>0.0</v>
      </c>
      <c r="AH236" s="51">
        <v>0.0</v>
      </c>
      <c r="AI236" s="51">
        <v>0.0</v>
      </c>
      <c r="AJ236" s="51">
        <v>0.0</v>
      </c>
      <c r="AK236" s="51">
        <v>0.0</v>
      </c>
      <c r="AL236" s="51">
        <v>0.0</v>
      </c>
      <c r="AM236" s="51">
        <v>0.0</v>
      </c>
      <c r="AN236" s="51">
        <v>0.0</v>
      </c>
      <c r="AO236" s="51">
        <v>0.0</v>
      </c>
      <c r="AP236" s="51">
        <v>0.0</v>
      </c>
      <c r="AQ236" s="51">
        <v>0.0</v>
      </c>
      <c r="AR236" s="51">
        <v>0.0</v>
      </c>
      <c r="AS236" s="51">
        <v>0.0</v>
      </c>
      <c r="AT236" s="51">
        <v>0.0</v>
      </c>
      <c r="AU236" s="51">
        <v>0.0</v>
      </c>
      <c r="AV236" s="51">
        <v>0.0</v>
      </c>
      <c r="AW236" s="51">
        <v>0.0</v>
      </c>
      <c r="AX236" s="51">
        <v>0.0</v>
      </c>
      <c r="AY236" s="51">
        <v>0.0</v>
      </c>
      <c r="AZ236" s="51">
        <v>0.0</v>
      </c>
      <c r="BA236" s="51">
        <v>0.0</v>
      </c>
      <c r="BB236" s="51">
        <v>0.0</v>
      </c>
      <c r="BC236" s="51">
        <v>0.0</v>
      </c>
      <c r="BD236" s="51">
        <v>0.0</v>
      </c>
      <c r="BE236" s="51">
        <v>0.0</v>
      </c>
      <c r="BF236" s="51">
        <v>0.0</v>
      </c>
      <c r="BG236" s="51">
        <v>0.0</v>
      </c>
      <c r="BH236" s="51">
        <v>0.0</v>
      </c>
      <c r="BI236" s="51">
        <v>0.0</v>
      </c>
      <c r="BJ236" s="51">
        <v>0.0</v>
      </c>
    </row>
    <row r="237" ht="15.75" customHeight="1" outlineLevel="1">
      <c r="B237" s="5" t="s">
        <v>115</v>
      </c>
      <c r="C237" s="72" t="s">
        <v>74</v>
      </c>
      <c r="F237" s="50">
        <f t="shared" ref="F237:M237" si="224">+SUMIFS($AA237:$DR237,$AA$7:$DR$7,F$7)</f>
        <v>0</v>
      </c>
      <c r="G237" s="50">
        <f t="shared" si="224"/>
        <v>0</v>
      </c>
      <c r="H237" s="50">
        <f t="shared" si="224"/>
        <v>0</v>
      </c>
      <c r="I237" s="50">
        <f t="shared" si="224"/>
        <v>0</v>
      </c>
      <c r="J237" s="50">
        <f t="shared" si="224"/>
        <v>0</v>
      </c>
      <c r="K237" s="50">
        <f t="shared" si="224"/>
        <v>0</v>
      </c>
      <c r="L237" s="50">
        <f t="shared" si="224"/>
        <v>0</v>
      </c>
      <c r="M237" s="50">
        <f t="shared" si="224"/>
        <v>0</v>
      </c>
      <c r="AA237" s="51">
        <v>0.0</v>
      </c>
      <c r="AB237" s="51">
        <v>0.0</v>
      </c>
      <c r="AC237" s="51">
        <v>0.0</v>
      </c>
      <c r="AD237" s="51">
        <v>0.0</v>
      </c>
      <c r="AE237" s="51">
        <v>0.0</v>
      </c>
      <c r="AF237" s="51">
        <v>0.0</v>
      </c>
      <c r="AG237" s="51">
        <v>0.0</v>
      </c>
      <c r="AH237" s="51">
        <v>0.0</v>
      </c>
      <c r="AI237" s="51">
        <v>0.0</v>
      </c>
      <c r="AJ237" s="51">
        <v>0.0</v>
      </c>
      <c r="AK237" s="51">
        <v>0.0</v>
      </c>
      <c r="AL237" s="51">
        <v>0.0</v>
      </c>
      <c r="AM237" s="51">
        <v>0.0</v>
      </c>
      <c r="AN237" s="51">
        <v>0.0</v>
      </c>
      <c r="AO237" s="51">
        <v>0.0</v>
      </c>
      <c r="AP237" s="51">
        <v>0.0</v>
      </c>
      <c r="AQ237" s="51">
        <v>0.0</v>
      </c>
      <c r="AR237" s="51">
        <v>0.0</v>
      </c>
      <c r="AS237" s="51">
        <v>0.0</v>
      </c>
      <c r="AT237" s="51">
        <v>0.0</v>
      </c>
      <c r="AU237" s="51">
        <v>0.0</v>
      </c>
      <c r="AV237" s="51">
        <v>0.0</v>
      </c>
      <c r="AW237" s="51">
        <v>0.0</v>
      </c>
      <c r="AX237" s="51">
        <v>0.0</v>
      </c>
      <c r="AY237" s="51">
        <v>0.0</v>
      </c>
      <c r="AZ237" s="51">
        <v>0.0</v>
      </c>
      <c r="BA237" s="51">
        <v>0.0</v>
      </c>
      <c r="BB237" s="51">
        <v>0.0</v>
      </c>
      <c r="BC237" s="51">
        <v>0.0</v>
      </c>
      <c r="BD237" s="51">
        <v>0.0</v>
      </c>
      <c r="BE237" s="51">
        <v>0.0</v>
      </c>
      <c r="BF237" s="51">
        <v>0.0</v>
      </c>
      <c r="BG237" s="51">
        <v>0.0</v>
      </c>
      <c r="BH237" s="51">
        <v>0.0</v>
      </c>
      <c r="BI237" s="51">
        <v>0.0</v>
      </c>
      <c r="BJ237" s="51">
        <v>0.0</v>
      </c>
    </row>
    <row r="238" ht="15.75" customHeight="1" outlineLevel="1">
      <c r="B238" s="5" t="s">
        <v>116</v>
      </c>
      <c r="C238" s="72" t="s">
        <v>70</v>
      </c>
      <c r="F238" s="50">
        <f t="shared" ref="F238:M238" si="225">+SUMIFS($AA238:$DR238,$AA$7:$DR$7,F$7)</f>
        <v>0</v>
      </c>
      <c r="G238" s="50">
        <f t="shared" si="225"/>
        <v>0</v>
      </c>
      <c r="H238" s="50">
        <f t="shared" si="225"/>
        <v>0</v>
      </c>
      <c r="I238" s="50">
        <f t="shared" si="225"/>
        <v>0</v>
      </c>
      <c r="J238" s="50">
        <f t="shared" si="225"/>
        <v>0</v>
      </c>
      <c r="K238" s="50">
        <f t="shared" si="225"/>
        <v>0</v>
      </c>
      <c r="L238" s="50">
        <f t="shared" si="225"/>
        <v>0</v>
      </c>
      <c r="M238" s="50">
        <f t="shared" si="225"/>
        <v>0</v>
      </c>
      <c r="AA238" s="51">
        <v>0.0</v>
      </c>
      <c r="AB238" s="51">
        <v>0.0</v>
      </c>
      <c r="AC238" s="51">
        <v>0.0</v>
      </c>
      <c r="AD238" s="51">
        <v>0.0</v>
      </c>
      <c r="AE238" s="51">
        <v>0.0</v>
      </c>
      <c r="AF238" s="51">
        <v>0.0</v>
      </c>
      <c r="AG238" s="51">
        <v>0.0</v>
      </c>
      <c r="AH238" s="51">
        <v>0.0</v>
      </c>
      <c r="AI238" s="51">
        <v>0.0</v>
      </c>
      <c r="AJ238" s="51">
        <v>0.0</v>
      </c>
      <c r="AK238" s="51">
        <v>0.0</v>
      </c>
      <c r="AL238" s="51">
        <v>0.0</v>
      </c>
      <c r="AM238" s="51">
        <v>0.0</v>
      </c>
      <c r="AN238" s="51">
        <v>0.0</v>
      </c>
      <c r="AO238" s="51">
        <v>0.0</v>
      </c>
      <c r="AP238" s="51">
        <v>0.0</v>
      </c>
      <c r="AQ238" s="51">
        <v>0.0</v>
      </c>
      <c r="AR238" s="51">
        <v>0.0</v>
      </c>
      <c r="AS238" s="51">
        <v>0.0</v>
      </c>
      <c r="AT238" s="51">
        <v>0.0</v>
      </c>
      <c r="AU238" s="51">
        <v>0.0</v>
      </c>
      <c r="AV238" s="51">
        <v>0.0</v>
      </c>
      <c r="AW238" s="51">
        <v>0.0</v>
      </c>
      <c r="AX238" s="51">
        <v>0.0</v>
      </c>
      <c r="AY238" s="51">
        <v>0.0</v>
      </c>
      <c r="AZ238" s="51">
        <v>0.0</v>
      </c>
      <c r="BA238" s="51">
        <v>0.0</v>
      </c>
      <c r="BB238" s="51">
        <v>0.0</v>
      </c>
      <c r="BC238" s="51">
        <v>0.0</v>
      </c>
      <c r="BD238" s="51">
        <v>0.0</v>
      </c>
      <c r="BE238" s="51">
        <v>0.0</v>
      </c>
      <c r="BF238" s="51">
        <v>0.0</v>
      </c>
      <c r="BG238" s="51">
        <v>0.0</v>
      </c>
      <c r="BH238" s="51">
        <v>0.0</v>
      </c>
      <c r="BI238" s="51">
        <v>0.0</v>
      </c>
      <c r="BJ238" s="51">
        <v>0.0</v>
      </c>
    </row>
    <row r="239" ht="15.75" customHeight="1" outlineLevel="1">
      <c r="B239" s="5" t="s">
        <v>117</v>
      </c>
      <c r="C239" s="72" t="s">
        <v>70</v>
      </c>
      <c r="F239" s="50">
        <f t="shared" ref="F239:M239" si="226">+SUMIFS($AA239:$DR239,$AA$7:$DR$7,F$7)</f>
        <v>7.704466823</v>
      </c>
      <c r="G239" s="50">
        <f t="shared" si="226"/>
        <v>32.02519964</v>
      </c>
      <c r="H239" s="50">
        <f t="shared" si="226"/>
        <v>0</v>
      </c>
      <c r="I239" s="50">
        <f t="shared" si="226"/>
        <v>0</v>
      </c>
      <c r="J239" s="50">
        <f t="shared" si="226"/>
        <v>0</v>
      </c>
      <c r="K239" s="50">
        <f t="shared" si="226"/>
        <v>0</v>
      </c>
      <c r="L239" s="50">
        <f t="shared" si="226"/>
        <v>0</v>
      </c>
      <c r="M239" s="50">
        <f t="shared" si="226"/>
        <v>0</v>
      </c>
      <c r="AA239" s="51">
        <v>0.0</v>
      </c>
      <c r="AB239" s="51">
        <v>0.0</v>
      </c>
      <c r="AC239" s="51">
        <v>0.0</v>
      </c>
      <c r="AD239" s="51">
        <v>0.0</v>
      </c>
      <c r="AE239" s="51">
        <v>0.0</v>
      </c>
      <c r="AF239" s="51">
        <v>0.0</v>
      </c>
      <c r="AG239" s="51">
        <v>0.0</v>
      </c>
      <c r="AH239" s="51">
        <v>0.0</v>
      </c>
      <c r="AI239" s="51">
        <v>0.0</v>
      </c>
      <c r="AJ239" s="51">
        <v>0.0</v>
      </c>
      <c r="AK239" s="51">
        <v>0.0</v>
      </c>
      <c r="AL239" s="51">
        <v>7.704466823094069</v>
      </c>
      <c r="AM239" s="51">
        <v>14.458699103705346</v>
      </c>
      <c r="AN239" s="51">
        <v>8.873448250921212</v>
      </c>
      <c r="AO239" s="51">
        <v>4.839428962373791</v>
      </c>
      <c r="AP239" s="51">
        <v>2.788660103900205</v>
      </c>
      <c r="AQ239" s="51">
        <v>0.8441066990251185</v>
      </c>
      <c r="AR239" s="51">
        <v>0.2208565194805195</v>
      </c>
      <c r="AS239" s="51">
        <v>0.0</v>
      </c>
      <c r="AT239" s="51">
        <v>0.0</v>
      </c>
      <c r="AU239" s="51">
        <v>0.0</v>
      </c>
      <c r="AV239" s="51">
        <v>0.0</v>
      </c>
      <c r="AW239" s="51">
        <v>0.0</v>
      </c>
      <c r="AX239" s="51">
        <v>0.0</v>
      </c>
      <c r="AY239" s="51">
        <v>0.0</v>
      </c>
      <c r="AZ239" s="51">
        <v>0.0</v>
      </c>
      <c r="BA239" s="51">
        <v>0.0</v>
      </c>
      <c r="BB239" s="51">
        <v>0.0</v>
      </c>
      <c r="BC239" s="51">
        <v>0.0</v>
      </c>
      <c r="BD239" s="51">
        <v>0.0</v>
      </c>
      <c r="BE239" s="51">
        <v>0.0</v>
      </c>
      <c r="BF239" s="51">
        <v>0.0</v>
      </c>
      <c r="BG239" s="51">
        <v>0.0</v>
      </c>
      <c r="BH239" s="51">
        <v>0.0</v>
      </c>
      <c r="BI239" s="51">
        <v>0.0</v>
      </c>
      <c r="BJ239" s="51">
        <v>0.0</v>
      </c>
    </row>
    <row r="240" ht="15.75" customHeight="1" outlineLevel="1">
      <c r="B240" s="5" t="s">
        <v>118</v>
      </c>
      <c r="C240" s="72" t="s">
        <v>70</v>
      </c>
      <c r="F240" s="50">
        <f t="shared" ref="F240:M240" si="227">+SUMIFS($AA240:$DR240,$AA$7:$DR$7,F$7)</f>
        <v>0.5682760534</v>
      </c>
      <c r="G240" s="50">
        <f t="shared" si="227"/>
        <v>0.0124095327</v>
      </c>
      <c r="H240" s="50">
        <f t="shared" si="227"/>
        <v>0</v>
      </c>
      <c r="I240" s="50">
        <f t="shared" si="227"/>
        <v>0</v>
      </c>
      <c r="J240" s="50">
        <f t="shared" si="227"/>
        <v>0</v>
      </c>
      <c r="K240" s="50">
        <f t="shared" si="227"/>
        <v>0</v>
      </c>
      <c r="L240" s="50">
        <f t="shared" si="227"/>
        <v>0</v>
      </c>
      <c r="M240" s="50">
        <f t="shared" si="227"/>
        <v>0</v>
      </c>
      <c r="AA240" s="51">
        <v>0.0</v>
      </c>
      <c r="AB240" s="51">
        <v>0.0</v>
      </c>
      <c r="AC240" s="51">
        <v>0.0</v>
      </c>
      <c r="AD240" s="51">
        <v>0.0</v>
      </c>
      <c r="AE240" s="51">
        <v>0.0</v>
      </c>
      <c r="AF240" s="51">
        <v>0.0</v>
      </c>
      <c r="AG240" s="51">
        <v>0.5682760534042631</v>
      </c>
      <c r="AH240" s="51">
        <v>0.0</v>
      </c>
      <c r="AI240" s="51">
        <v>0.0</v>
      </c>
      <c r="AJ240" s="51">
        <v>0.0</v>
      </c>
      <c r="AK240" s="51">
        <v>0.0</v>
      </c>
      <c r="AL240" s="51">
        <v>0.0</v>
      </c>
      <c r="AM240" s="51">
        <v>0.0</v>
      </c>
      <c r="AN240" s="51">
        <v>0.0</v>
      </c>
      <c r="AO240" s="51">
        <v>0.0</v>
      </c>
      <c r="AP240" s="51">
        <v>0.012409532701484965</v>
      </c>
      <c r="AQ240" s="51">
        <v>0.0</v>
      </c>
      <c r="AR240" s="51">
        <v>0.0</v>
      </c>
      <c r="AS240" s="51">
        <v>0.0</v>
      </c>
      <c r="AT240" s="51">
        <v>0.0</v>
      </c>
      <c r="AU240" s="51">
        <v>0.0</v>
      </c>
      <c r="AV240" s="51">
        <v>0.0</v>
      </c>
      <c r="AW240" s="51">
        <v>0.0</v>
      </c>
      <c r="AX240" s="51">
        <v>0.0</v>
      </c>
      <c r="AY240" s="51">
        <v>0.0</v>
      </c>
      <c r="AZ240" s="51">
        <v>0.0</v>
      </c>
      <c r="BA240" s="51">
        <v>0.0</v>
      </c>
      <c r="BB240" s="51">
        <v>0.0</v>
      </c>
      <c r="BC240" s="51">
        <v>0.0</v>
      </c>
      <c r="BD240" s="51">
        <v>0.0</v>
      </c>
      <c r="BE240" s="51">
        <v>0.0</v>
      </c>
      <c r="BF240" s="51">
        <v>0.0</v>
      </c>
      <c r="BG240" s="51">
        <v>0.0</v>
      </c>
      <c r="BH240" s="51">
        <v>0.0</v>
      </c>
      <c r="BI240" s="51">
        <v>0.0</v>
      </c>
      <c r="BJ240" s="51">
        <v>0.0</v>
      </c>
    </row>
    <row r="241" ht="4.5" customHeight="1" outlineLevel="1">
      <c r="F241" s="50"/>
      <c r="G241" s="50"/>
      <c r="H241" s="50"/>
      <c r="I241" s="50"/>
      <c r="J241" s="50"/>
      <c r="K241" s="50"/>
      <c r="L241" s="50"/>
      <c r="M241" s="50"/>
    </row>
    <row r="242" ht="15.75" customHeight="1" outlineLevel="1">
      <c r="B242" s="54" t="s">
        <v>145</v>
      </c>
      <c r="C242" s="54"/>
      <c r="D242" s="54"/>
      <c r="F242" s="55">
        <f t="shared" ref="F242:M242" si="228">+SUMIFS($AA242:$DR242,$AA$7:$DR$7,F$7)</f>
        <v>2249.6035</v>
      </c>
      <c r="G242" s="55">
        <f t="shared" si="228"/>
        <v>1963.810744</v>
      </c>
      <c r="H242" s="55">
        <f t="shared" si="228"/>
        <v>940.4468252</v>
      </c>
      <c r="I242" s="55">
        <f t="shared" si="228"/>
        <v>0</v>
      </c>
      <c r="J242" s="55">
        <f t="shared" si="228"/>
        <v>0</v>
      </c>
      <c r="K242" s="55">
        <f t="shared" si="228"/>
        <v>0</v>
      </c>
      <c r="L242" s="55">
        <f t="shared" si="228"/>
        <v>0</v>
      </c>
      <c r="M242" s="55">
        <f t="shared" si="228"/>
        <v>0</v>
      </c>
      <c r="AA242" s="55">
        <f t="shared" ref="AA242:BJ242" si="229">SUM(AA195:AA241)</f>
        <v>116.3064793</v>
      </c>
      <c r="AB242" s="55">
        <f t="shared" si="229"/>
        <v>146.6653013</v>
      </c>
      <c r="AC242" s="55">
        <f t="shared" si="229"/>
        <v>176.8506509</v>
      </c>
      <c r="AD242" s="55">
        <f t="shared" si="229"/>
        <v>156.9094198</v>
      </c>
      <c r="AE242" s="55">
        <f t="shared" si="229"/>
        <v>175.7426788</v>
      </c>
      <c r="AF242" s="55">
        <f t="shared" si="229"/>
        <v>201.4595102</v>
      </c>
      <c r="AG242" s="55">
        <f t="shared" si="229"/>
        <v>179.9418086</v>
      </c>
      <c r="AH242" s="55">
        <f t="shared" si="229"/>
        <v>232.9356208</v>
      </c>
      <c r="AI242" s="55">
        <f t="shared" si="229"/>
        <v>205.180451</v>
      </c>
      <c r="AJ242" s="55">
        <f t="shared" si="229"/>
        <v>251.1181185</v>
      </c>
      <c r="AK242" s="55">
        <f t="shared" si="229"/>
        <v>222.5286851</v>
      </c>
      <c r="AL242" s="55">
        <f t="shared" si="229"/>
        <v>183.9647756</v>
      </c>
      <c r="AM242" s="55">
        <f t="shared" si="229"/>
        <v>216.5257677</v>
      </c>
      <c r="AN242" s="55">
        <f t="shared" si="229"/>
        <v>229.6436015</v>
      </c>
      <c r="AO242" s="55">
        <f t="shared" si="229"/>
        <v>231.4079588</v>
      </c>
      <c r="AP242" s="55">
        <f t="shared" si="229"/>
        <v>231.4214121</v>
      </c>
      <c r="AQ242" s="55">
        <f t="shared" si="229"/>
        <v>217.9399195</v>
      </c>
      <c r="AR242" s="55">
        <f t="shared" si="229"/>
        <v>157.1961706</v>
      </c>
      <c r="AS242" s="55">
        <f t="shared" si="229"/>
        <v>127.8211125</v>
      </c>
      <c r="AT242" s="55">
        <f t="shared" si="229"/>
        <v>141.4831971</v>
      </c>
      <c r="AU242" s="55">
        <f t="shared" si="229"/>
        <v>143.9408575</v>
      </c>
      <c r="AV242" s="55">
        <f t="shared" si="229"/>
        <v>133.762993</v>
      </c>
      <c r="AW242" s="55">
        <f t="shared" si="229"/>
        <v>76.95232974</v>
      </c>
      <c r="AX242" s="55">
        <f t="shared" si="229"/>
        <v>55.7154239</v>
      </c>
      <c r="AY242" s="55">
        <f t="shared" si="229"/>
        <v>60.94144128</v>
      </c>
      <c r="AZ242" s="55">
        <f t="shared" si="229"/>
        <v>77.06541123</v>
      </c>
      <c r="BA242" s="55">
        <f t="shared" si="229"/>
        <v>98.54442263</v>
      </c>
      <c r="BB242" s="55">
        <f t="shared" si="229"/>
        <v>89.49891784</v>
      </c>
      <c r="BC242" s="55">
        <f t="shared" si="229"/>
        <v>89.1300791</v>
      </c>
      <c r="BD242" s="55">
        <f t="shared" si="229"/>
        <v>84.13602316</v>
      </c>
      <c r="BE242" s="55">
        <f t="shared" si="229"/>
        <v>76.48606928</v>
      </c>
      <c r="BF242" s="55">
        <f t="shared" si="229"/>
        <v>71.74060803</v>
      </c>
      <c r="BG242" s="55">
        <f t="shared" si="229"/>
        <v>66.62494565</v>
      </c>
      <c r="BH242" s="55">
        <f t="shared" si="229"/>
        <v>84.9998126</v>
      </c>
      <c r="BI242" s="55">
        <f t="shared" si="229"/>
        <v>74.80289084</v>
      </c>
      <c r="BJ242" s="55">
        <f t="shared" si="229"/>
        <v>66.47620361</v>
      </c>
    </row>
    <row r="243" ht="4.5" customHeight="1" outlineLevel="1"/>
    <row r="244" ht="15.75" customHeight="1">
      <c r="B244" s="47" t="s">
        <v>40</v>
      </c>
    </row>
    <row r="245" ht="15.75" customHeight="1">
      <c r="B245" s="5" t="s">
        <v>82</v>
      </c>
      <c r="F245" s="52">
        <f>+Revenue_Calcs!F266</f>
        <v>194.439</v>
      </c>
      <c r="G245" s="52">
        <f>+Revenue_Calcs!G266</f>
        <v>518.909</v>
      </c>
      <c r="H245" s="52">
        <f>+Revenue_Calcs!H266</f>
        <v>151.934</v>
      </c>
      <c r="I245" s="52">
        <f>+Revenue_Calcs!I266</f>
        <v>37.408</v>
      </c>
      <c r="J245" s="52">
        <f>+Revenue_Calcs!J266</f>
        <v>673.75</v>
      </c>
      <c r="K245" s="52">
        <f>+Revenue_Calcs!K266</f>
        <v>1212.75</v>
      </c>
      <c r="L245" s="52">
        <f>+Revenue_Calcs!L266</f>
        <v>1273.3875</v>
      </c>
      <c r="M245" s="52">
        <f>+Revenue_Calcs!M266</f>
        <v>1337.056875</v>
      </c>
      <c r="AA245" s="53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  <c r="AM245" s="100"/>
      <c r="AN245" s="100"/>
      <c r="AO245" s="100"/>
      <c r="AP245" s="100"/>
      <c r="AQ245" s="100"/>
      <c r="AR245" s="100"/>
      <c r="AS245" s="100"/>
      <c r="AT245" s="100"/>
      <c r="AU245" s="100"/>
      <c r="AV245" s="100"/>
      <c r="AW245" s="100"/>
      <c r="AX245" s="100"/>
      <c r="AY245" s="100"/>
      <c r="AZ245" s="100"/>
      <c r="BA245" s="100"/>
      <c r="BB245" s="100"/>
      <c r="BC245" s="100"/>
      <c r="BD245" s="100"/>
      <c r="BE245" s="100"/>
      <c r="BF245" s="100"/>
      <c r="BG245" s="100"/>
      <c r="BH245" s="100"/>
      <c r="BI245" s="100"/>
      <c r="BJ245" s="100"/>
      <c r="BK245" s="100"/>
      <c r="BL245" s="100"/>
      <c r="BM245" s="100"/>
      <c r="BN245" s="100"/>
      <c r="BO245" s="100"/>
      <c r="BP245" s="100"/>
      <c r="BQ245" s="100"/>
      <c r="BR245" s="100"/>
      <c r="BS245" s="100"/>
      <c r="BT245" s="100"/>
      <c r="BU245" s="100"/>
      <c r="BV245" s="100"/>
      <c r="BW245" s="100"/>
      <c r="BX245" s="100"/>
      <c r="BY245" s="100"/>
      <c r="BZ245" s="100"/>
      <c r="CA245" s="100"/>
      <c r="CB245" s="100"/>
      <c r="CC245" s="100"/>
      <c r="CD245" s="100"/>
      <c r="CE245" s="100"/>
      <c r="CF245" s="100"/>
      <c r="CG245" s="100"/>
      <c r="CH245" s="100"/>
      <c r="CI245" s="100"/>
      <c r="CJ245" s="100"/>
      <c r="CK245" s="100"/>
      <c r="CL245" s="100"/>
      <c r="CM245" s="100"/>
      <c r="CN245" s="100"/>
      <c r="CO245" s="100"/>
      <c r="CP245" s="100"/>
      <c r="CQ245" s="100"/>
      <c r="CR245" s="100"/>
      <c r="CS245" s="100"/>
      <c r="CT245" s="100"/>
      <c r="CU245" s="100"/>
      <c r="CV245" s="100"/>
      <c r="CW245" s="100"/>
      <c r="CX245" s="100"/>
      <c r="CY245" s="100"/>
      <c r="CZ245" s="100"/>
      <c r="DA245" s="100"/>
      <c r="DB245" s="100"/>
      <c r="DC245" s="100"/>
      <c r="DD245" s="100"/>
      <c r="DE245" s="100"/>
      <c r="DF245" s="100"/>
      <c r="DG245" s="100"/>
      <c r="DH245" s="100"/>
      <c r="DI245" s="100"/>
      <c r="DJ245" s="100"/>
      <c r="DK245" s="100"/>
      <c r="DL245" s="100"/>
      <c r="DM245" s="100"/>
      <c r="DN245" s="100"/>
      <c r="DO245" s="100"/>
      <c r="DP245" s="100"/>
      <c r="DQ245" s="100"/>
      <c r="DR245" s="100"/>
    </row>
    <row r="246" ht="15.75" customHeight="1">
      <c r="B246" s="5" t="s">
        <v>76</v>
      </c>
      <c r="F246" s="52">
        <f>+Revenue_Calcs!F271</f>
        <v>220.355</v>
      </c>
      <c r="G246" s="52">
        <f>+Revenue_Calcs!G271</f>
        <v>0.001</v>
      </c>
      <c r="H246" s="52">
        <f>+Revenue_Calcs!H271</f>
        <v>288</v>
      </c>
      <c r="I246" s="52">
        <f>+Revenue_Calcs!I271</f>
        <v>87.82936364</v>
      </c>
      <c r="J246" s="52">
        <f>+Revenue_Calcs!J271</f>
        <v>401.953125</v>
      </c>
      <c r="K246" s="52">
        <f>+Revenue_Calcs!K271</f>
        <v>434.109375</v>
      </c>
      <c r="L246" s="52">
        <f>+Revenue_Calcs!L271</f>
        <v>455.8148438</v>
      </c>
      <c r="M246" s="52">
        <f>+Revenue_Calcs!M271</f>
        <v>478.6055859</v>
      </c>
      <c r="AA246" s="53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  <c r="AM246" s="100"/>
      <c r="AN246" s="100"/>
      <c r="AO246" s="100"/>
      <c r="AP246" s="100"/>
      <c r="AQ246" s="100"/>
      <c r="AR246" s="100"/>
      <c r="AS246" s="100"/>
      <c r="AT246" s="100"/>
      <c r="AU246" s="100"/>
      <c r="AV246" s="100"/>
      <c r="AW246" s="100"/>
      <c r="AX246" s="100"/>
      <c r="AY246" s="100"/>
      <c r="AZ246" s="100"/>
      <c r="BA246" s="100"/>
      <c r="BB246" s="100"/>
      <c r="BC246" s="100"/>
      <c r="BD246" s="100"/>
      <c r="BE246" s="100"/>
      <c r="BF246" s="100"/>
      <c r="BG246" s="100"/>
      <c r="BH246" s="100"/>
      <c r="BI246" s="100"/>
      <c r="BJ246" s="100"/>
      <c r="BK246" s="100"/>
      <c r="BL246" s="100"/>
      <c r="BM246" s="100"/>
      <c r="BN246" s="100"/>
      <c r="BO246" s="100"/>
      <c r="BP246" s="100"/>
      <c r="BQ246" s="100"/>
      <c r="BR246" s="100"/>
      <c r="BS246" s="100"/>
      <c r="BT246" s="100"/>
      <c r="BU246" s="100"/>
      <c r="BV246" s="100"/>
      <c r="BW246" s="100"/>
      <c r="BX246" s="100"/>
      <c r="BY246" s="100"/>
      <c r="BZ246" s="100"/>
      <c r="CA246" s="100"/>
      <c r="CB246" s="100"/>
      <c r="CC246" s="100"/>
      <c r="CD246" s="100"/>
      <c r="CE246" s="100"/>
      <c r="CF246" s="100"/>
      <c r="CG246" s="100"/>
      <c r="CH246" s="100"/>
      <c r="CI246" s="100"/>
      <c r="CJ246" s="100"/>
      <c r="CK246" s="100"/>
      <c r="CL246" s="100"/>
      <c r="CM246" s="100"/>
      <c r="CN246" s="100"/>
      <c r="CO246" s="100"/>
      <c r="CP246" s="100"/>
      <c r="CQ246" s="100"/>
      <c r="CR246" s="100"/>
      <c r="CS246" s="100"/>
      <c r="CT246" s="100"/>
      <c r="CU246" s="100"/>
      <c r="CV246" s="100"/>
      <c r="CW246" s="100"/>
      <c r="CX246" s="100"/>
      <c r="CY246" s="100"/>
      <c r="CZ246" s="100"/>
      <c r="DA246" s="100"/>
      <c r="DB246" s="100"/>
      <c r="DC246" s="100"/>
      <c r="DD246" s="100"/>
      <c r="DE246" s="100"/>
      <c r="DF246" s="100"/>
      <c r="DG246" s="100"/>
      <c r="DH246" s="100"/>
      <c r="DI246" s="100"/>
      <c r="DJ246" s="100"/>
      <c r="DK246" s="100"/>
      <c r="DL246" s="100"/>
      <c r="DM246" s="100"/>
      <c r="DN246" s="100"/>
      <c r="DO246" s="100"/>
      <c r="DP246" s="100"/>
      <c r="DQ246" s="100"/>
      <c r="DR246" s="100"/>
    </row>
    <row r="247" ht="15.75" customHeight="1">
      <c r="B247" s="5" t="s">
        <v>74</v>
      </c>
      <c r="F247" s="52">
        <f>+Revenue_Calcs!F276</f>
        <v>221.231</v>
      </c>
      <c r="G247" s="52">
        <f>+Revenue_Calcs!G276</f>
        <v>476.578</v>
      </c>
      <c r="H247" s="52">
        <f>+Revenue_Calcs!H276</f>
        <v>153.081</v>
      </c>
      <c r="I247" s="52">
        <f>+Revenue_Calcs!I276</f>
        <v>354.9659238</v>
      </c>
      <c r="J247" s="52">
        <f>+Revenue_Calcs!J276</f>
        <v>673.75</v>
      </c>
      <c r="K247" s="52">
        <f>+Revenue_Calcs!K276</f>
        <v>964.6875</v>
      </c>
      <c r="L247" s="52">
        <f>+Revenue_Calcs!L276</f>
        <v>1485.61875</v>
      </c>
      <c r="M247" s="52">
        <f>+Revenue_Calcs!M276</f>
        <v>2127.135938</v>
      </c>
      <c r="AA247" s="53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0"/>
      <c r="AL247" s="100"/>
      <c r="AM247" s="100"/>
      <c r="AN247" s="100"/>
      <c r="AO247" s="100"/>
      <c r="AP247" s="100"/>
      <c r="AQ247" s="100"/>
      <c r="AR247" s="100"/>
      <c r="AS247" s="100"/>
      <c r="AT247" s="100"/>
      <c r="AU247" s="100"/>
      <c r="AV247" s="100"/>
      <c r="AW247" s="100"/>
      <c r="AX247" s="100"/>
      <c r="AY247" s="100"/>
      <c r="AZ247" s="100"/>
      <c r="BA247" s="100"/>
      <c r="BB247" s="100"/>
      <c r="BC247" s="100"/>
      <c r="BD247" s="100"/>
      <c r="BE247" s="100"/>
      <c r="BF247" s="100"/>
      <c r="BG247" s="100"/>
      <c r="BH247" s="100"/>
      <c r="BI247" s="100"/>
      <c r="BJ247" s="100"/>
      <c r="BK247" s="100"/>
      <c r="BL247" s="100"/>
      <c r="BM247" s="100"/>
      <c r="BN247" s="100"/>
      <c r="BO247" s="100"/>
      <c r="BP247" s="100"/>
      <c r="BQ247" s="100"/>
      <c r="BR247" s="100"/>
      <c r="BS247" s="100"/>
      <c r="BT247" s="100"/>
      <c r="BU247" s="100"/>
      <c r="BV247" s="100"/>
      <c r="BW247" s="100"/>
      <c r="BX247" s="100"/>
      <c r="BY247" s="100"/>
      <c r="BZ247" s="100"/>
      <c r="CA247" s="100"/>
      <c r="CB247" s="100"/>
      <c r="CC247" s="100"/>
      <c r="CD247" s="100"/>
      <c r="CE247" s="100"/>
      <c r="CF247" s="100"/>
      <c r="CG247" s="100"/>
      <c r="CH247" s="100"/>
      <c r="CI247" s="100"/>
      <c r="CJ247" s="100"/>
      <c r="CK247" s="100"/>
      <c r="CL247" s="100"/>
      <c r="CM247" s="100"/>
      <c r="CN247" s="100"/>
      <c r="CO247" s="100"/>
      <c r="CP247" s="100"/>
      <c r="CQ247" s="100"/>
      <c r="CR247" s="100"/>
      <c r="CS247" s="100"/>
      <c r="CT247" s="100"/>
      <c r="CU247" s="100"/>
      <c r="CV247" s="100"/>
      <c r="CW247" s="100"/>
      <c r="CX247" s="100"/>
      <c r="CY247" s="100"/>
      <c r="CZ247" s="100"/>
      <c r="DA247" s="100"/>
      <c r="DB247" s="100"/>
      <c r="DC247" s="100"/>
      <c r="DD247" s="100"/>
      <c r="DE247" s="100"/>
      <c r="DF247" s="100"/>
      <c r="DG247" s="100"/>
      <c r="DH247" s="100"/>
      <c r="DI247" s="100"/>
      <c r="DJ247" s="100"/>
      <c r="DK247" s="100"/>
      <c r="DL247" s="100"/>
      <c r="DM247" s="100"/>
      <c r="DN247" s="100"/>
      <c r="DO247" s="100"/>
      <c r="DP247" s="100"/>
      <c r="DQ247" s="100"/>
      <c r="DR247" s="100"/>
    </row>
    <row r="248" ht="15.75" customHeight="1">
      <c r="B248" s="5" t="s">
        <v>70</v>
      </c>
      <c r="F248" s="52">
        <f>+Revenue_Calcs!F281</f>
        <v>234.565</v>
      </c>
      <c r="G248" s="52">
        <f>+Revenue_Calcs!G281</f>
        <v>165.773</v>
      </c>
      <c r="H248" s="52">
        <f>+Revenue_Calcs!H281</f>
        <v>526.273</v>
      </c>
      <c r="I248" s="52">
        <f>+Revenue_Calcs!I281</f>
        <v>696.332</v>
      </c>
      <c r="J248" s="52">
        <f>+Revenue_Calcs!J281</f>
        <v>754.6875</v>
      </c>
      <c r="K248" s="52">
        <f>+Revenue_Calcs!K281</f>
        <v>826.875</v>
      </c>
      <c r="L248" s="52">
        <f>+Revenue_Calcs!L281</f>
        <v>1410.855469</v>
      </c>
      <c r="M248" s="52">
        <f>+Revenue_Calcs!M281</f>
        <v>1975.197656</v>
      </c>
      <c r="AA248" s="53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0"/>
      <c r="AL248" s="100"/>
      <c r="AM248" s="100"/>
      <c r="AN248" s="100"/>
      <c r="AO248" s="100"/>
      <c r="AP248" s="100"/>
      <c r="AQ248" s="100"/>
      <c r="AR248" s="100"/>
      <c r="AS248" s="100"/>
      <c r="AT248" s="100"/>
      <c r="AU248" s="100"/>
      <c r="AV248" s="100"/>
      <c r="AW248" s="100"/>
      <c r="AX248" s="100"/>
      <c r="AY248" s="100"/>
      <c r="AZ248" s="100"/>
      <c r="BA248" s="100"/>
      <c r="BB248" s="100"/>
      <c r="BC248" s="100"/>
      <c r="BD248" s="100"/>
      <c r="BE248" s="100"/>
      <c r="BF248" s="100"/>
      <c r="BG248" s="100"/>
      <c r="BH248" s="100"/>
      <c r="BI248" s="100"/>
      <c r="BJ248" s="100"/>
      <c r="BK248" s="100"/>
      <c r="BL248" s="100"/>
      <c r="BM248" s="100"/>
      <c r="BN248" s="100"/>
      <c r="BO248" s="100"/>
      <c r="BP248" s="100"/>
      <c r="BQ248" s="100"/>
      <c r="BR248" s="100"/>
      <c r="BS248" s="100"/>
      <c r="BT248" s="100"/>
      <c r="BU248" s="100"/>
      <c r="BV248" s="100"/>
      <c r="BW248" s="100"/>
      <c r="BX248" s="100"/>
      <c r="BY248" s="100"/>
      <c r="BZ248" s="100"/>
      <c r="CA248" s="100"/>
      <c r="CB248" s="100"/>
      <c r="CC248" s="100"/>
      <c r="CD248" s="100"/>
      <c r="CE248" s="100"/>
      <c r="CF248" s="100"/>
      <c r="CG248" s="100"/>
      <c r="CH248" s="100"/>
      <c r="CI248" s="100"/>
      <c r="CJ248" s="100"/>
      <c r="CK248" s="100"/>
      <c r="CL248" s="100"/>
      <c r="CM248" s="100"/>
      <c r="CN248" s="100"/>
      <c r="CO248" s="100"/>
      <c r="CP248" s="100"/>
      <c r="CQ248" s="100"/>
      <c r="CR248" s="100"/>
      <c r="CS248" s="100"/>
      <c r="CT248" s="100"/>
      <c r="CU248" s="100"/>
      <c r="CV248" s="100"/>
      <c r="CW248" s="100"/>
      <c r="CX248" s="100"/>
      <c r="CY248" s="100"/>
      <c r="CZ248" s="100"/>
      <c r="DA248" s="100"/>
      <c r="DB248" s="100"/>
      <c r="DC248" s="100"/>
      <c r="DD248" s="100"/>
      <c r="DE248" s="100"/>
      <c r="DF248" s="100"/>
      <c r="DG248" s="100"/>
      <c r="DH248" s="100"/>
      <c r="DI248" s="100"/>
      <c r="DJ248" s="100"/>
      <c r="DK248" s="100"/>
      <c r="DL248" s="100"/>
      <c r="DM248" s="100"/>
      <c r="DN248" s="100"/>
      <c r="DO248" s="100"/>
      <c r="DP248" s="100"/>
      <c r="DQ248" s="100"/>
      <c r="DR248" s="100"/>
    </row>
    <row r="249" ht="15.75" customHeight="1">
      <c r="B249" s="54" t="s">
        <v>145</v>
      </c>
      <c r="C249" s="54"/>
      <c r="D249" s="54"/>
      <c r="F249" s="55">
        <f t="shared" ref="F249:M249" si="230">SUM(F245:F248)</f>
        <v>870.59</v>
      </c>
      <c r="G249" s="55">
        <f t="shared" si="230"/>
        <v>1161.261</v>
      </c>
      <c r="H249" s="55">
        <f t="shared" si="230"/>
        <v>1119.288</v>
      </c>
      <c r="I249" s="55">
        <f t="shared" si="230"/>
        <v>1176.535287</v>
      </c>
      <c r="J249" s="55">
        <f t="shared" si="230"/>
        <v>2504.140625</v>
      </c>
      <c r="K249" s="55">
        <f t="shared" si="230"/>
        <v>3438.421875</v>
      </c>
      <c r="L249" s="55">
        <f t="shared" si="230"/>
        <v>4625.676563</v>
      </c>
      <c r="M249" s="55">
        <f t="shared" si="230"/>
        <v>5917.996055</v>
      </c>
      <c r="AA249" s="53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0"/>
      <c r="AL249" s="100"/>
      <c r="AM249" s="100"/>
      <c r="AN249" s="100"/>
      <c r="AO249" s="100"/>
      <c r="AP249" s="100"/>
      <c r="AQ249" s="100"/>
      <c r="AR249" s="100"/>
      <c r="AS249" s="100"/>
      <c r="AT249" s="100"/>
      <c r="AU249" s="100"/>
      <c r="AV249" s="100"/>
      <c r="AW249" s="100"/>
      <c r="AX249" s="100"/>
      <c r="AY249" s="100"/>
      <c r="AZ249" s="100"/>
      <c r="BA249" s="100"/>
      <c r="BB249" s="100"/>
      <c r="BC249" s="100"/>
      <c r="BD249" s="100"/>
      <c r="BE249" s="100"/>
      <c r="BF249" s="100"/>
      <c r="BG249" s="100"/>
      <c r="BH249" s="100"/>
      <c r="BI249" s="100"/>
      <c r="BJ249" s="100"/>
      <c r="BK249" s="100"/>
      <c r="BL249" s="100"/>
      <c r="BM249" s="100"/>
      <c r="BN249" s="100"/>
      <c r="BO249" s="100"/>
      <c r="BP249" s="100"/>
      <c r="BQ249" s="100"/>
      <c r="BR249" s="100"/>
      <c r="BS249" s="100"/>
      <c r="BT249" s="100"/>
      <c r="BU249" s="100"/>
      <c r="BV249" s="100"/>
      <c r="BW249" s="100"/>
      <c r="BX249" s="100"/>
      <c r="BY249" s="100"/>
      <c r="BZ249" s="100"/>
      <c r="CA249" s="100"/>
      <c r="CB249" s="100"/>
      <c r="CC249" s="100"/>
      <c r="CD249" s="100"/>
      <c r="CE249" s="100"/>
      <c r="CF249" s="100"/>
      <c r="CG249" s="100"/>
      <c r="CH249" s="100"/>
      <c r="CI249" s="100"/>
      <c r="CJ249" s="100"/>
      <c r="CK249" s="100"/>
      <c r="CL249" s="100"/>
      <c r="CM249" s="100"/>
      <c r="CN249" s="100"/>
      <c r="CO249" s="100"/>
      <c r="CP249" s="100"/>
      <c r="CQ249" s="100"/>
      <c r="CR249" s="100"/>
      <c r="CS249" s="100"/>
      <c r="CT249" s="100"/>
      <c r="CU249" s="100"/>
      <c r="CV249" s="100"/>
      <c r="CW249" s="100"/>
      <c r="CX249" s="100"/>
      <c r="CY249" s="100"/>
      <c r="CZ249" s="100"/>
      <c r="DA249" s="100"/>
      <c r="DB249" s="100"/>
      <c r="DC249" s="100"/>
      <c r="DD249" s="100"/>
      <c r="DE249" s="100"/>
      <c r="DF249" s="100"/>
      <c r="DG249" s="100"/>
      <c r="DH249" s="100"/>
      <c r="DI249" s="100"/>
      <c r="DJ249" s="100"/>
      <c r="DK249" s="100"/>
      <c r="DL249" s="100"/>
      <c r="DM249" s="100"/>
      <c r="DN249" s="100"/>
      <c r="DO249" s="100"/>
      <c r="DP249" s="100"/>
      <c r="DQ249" s="100"/>
      <c r="DR249" s="100"/>
    </row>
    <row r="250" ht="4.5" customHeight="1"/>
    <row r="251" ht="15.75" customHeight="1">
      <c r="B251" s="47" t="s">
        <v>19</v>
      </c>
    </row>
    <row r="252" ht="15.75" customHeight="1">
      <c r="B252" s="5" t="s">
        <v>82</v>
      </c>
      <c r="F252" s="50">
        <f t="shared" ref="F252:H252" si="231">+SUMIFS($AA252:$DR252,$AA$7:$DR$7,F$7)</f>
        <v>665.9699542</v>
      </c>
      <c r="G252" s="50">
        <f t="shared" si="231"/>
        <v>778.2363225</v>
      </c>
      <c r="H252" s="50">
        <f t="shared" si="231"/>
        <v>243.0018505</v>
      </c>
      <c r="I252" s="52">
        <f>+I245*(1-COGS_Assumptions!I31)</f>
        <v>168.336</v>
      </c>
      <c r="J252" s="52">
        <f>+J245*(1-COGS_Assumptions!J31)</f>
        <v>505.3125</v>
      </c>
      <c r="K252" s="52">
        <f>+K245*(1-COGS_Assumptions!K31)</f>
        <v>897.435</v>
      </c>
      <c r="L252" s="52">
        <f>+L245*(1-COGS_Assumptions!L31)</f>
        <v>929.572875</v>
      </c>
      <c r="M252" s="52">
        <f>+M245*(1-COGS_Assumptions!M31)</f>
        <v>962.68095</v>
      </c>
      <c r="AA252" s="50">
        <f t="shared" ref="AA252:BJ252" si="232">+SUMIFS(AA$195:AA$240,$C$13:$C$58,$B252)</f>
        <v>26.25568141</v>
      </c>
      <c r="AB252" s="50">
        <f t="shared" si="232"/>
        <v>44.38810115</v>
      </c>
      <c r="AC252" s="50">
        <f t="shared" si="232"/>
        <v>43.74843153</v>
      </c>
      <c r="AD252" s="50">
        <f t="shared" si="232"/>
        <v>39.14730036</v>
      </c>
      <c r="AE252" s="50">
        <f t="shared" si="232"/>
        <v>56.94550295</v>
      </c>
      <c r="AF252" s="50">
        <f t="shared" si="232"/>
        <v>65.1555449</v>
      </c>
      <c r="AG252" s="50">
        <f t="shared" si="232"/>
        <v>51.21712195</v>
      </c>
      <c r="AH252" s="50">
        <f t="shared" si="232"/>
        <v>54.13537316</v>
      </c>
      <c r="AI252" s="50">
        <f t="shared" si="232"/>
        <v>59.67790167</v>
      </c>
      <c r="AJ252" s="50">
        <f t="shared" si="232"/>
        <v>87.45024413</v>
      </c>
      <c r="AK252" s="50">
        <f t="shared" si="232"/>
        <v>73.7232836</v>
      </c>
      <c r="AL252" s="50">
        <f t="shared" si="232"/>
        <v>64.12546739</v>
      </c>
      <c r="AM252" s="50">
        <f t="shared" si="232"/>
        <v>85.30083977</v>
      </c>
      <c r="AN252" s="50">
        <f t="shared" si="232"/>
        <v>103.6615723</v>
      </c>
      <c r="AO252" s="50">
        <f t="shared" si="232"/>
        <v>104.1241388</v>
      </c>
      <c r="AP252" s="50">
        <f t="shared" si="232"/>
        <v>104.099772</v>
      </c>
      <c r="AQ252" s="50">
        <f t="shared" si="232"/>
        <v>101.0564296</v>
      </c>
      <c r="AR252" s="50">
        <f t="shared" si="232"/>
        <v>53.29551457</v>
      </c>
      <c r="AS252" s="50">
        <f t="shared" si="232"/>
        <v>51.69553212</v>
      </c>
      <c r="AT252" s="50">
        <f t="shared" si="232"/>
        <v>41.84263713</v>
      </c>
      <c r="AU252" s="50">
        <f t="shared" si="232"/>
        <v>46.10398363</v>
      </c>
      <c r="AV252" s="50">
        <f t="shared" si="232"/>
        <v>48.93090998</v>
      </c>
      <c r="AW252" s="50">
        <f t="shared" si="232"/>
        <v>21.53990816</v>
      </c>
      <c r="AX252" s="50">
        <f t="shared" si="232"/>
        <v>16.58508439</v>
      </c>
      <c r="AY252" s="50">
        <f t="shared" si="232"/>
        <v>17.1076942</v>
      </c>
      <c r="AZ252" s="50">
        <f t="shared" si="232"/>
        <v>28.04257956</v>
      </c>
      <c r="BA252" s="50">
        <f t="shared" si="232"/>
        <v>37.24874472</v>
      </c>
      <c r="BB252" s="50">
        <f t="shared" si="232"/>
        <v>29.231059</v>
      </c>
      <c r="BC252" s="50">
        <f t="shared" si="232"/>
        <v>22.93897653</v>
      </c>
      <c r="BD252" s="50">
        <f t="shared" si="232"/>
        <v>22.61010109</v>
      </c>
      <c r="BE252" s="50">
        <f t="shared" si="232"/>
        <v>16.37858552</v>
      </c>
      <c r="BF252" s="50">
        <f t="shared" si="232"/>
        <v>15.05320492</v>
      </c>
      <c r="BG252" s="50">
        <f t="shared" si="232"/>
        <v>10.24401558</v>
      </c>
      <c r="BH252" s="50">
        <f t="shared" si="232"/>
        <v>13.10876291</v>
      </c>
      <c r="BI252" s="50">
        <f t="shared" si="232"/>
        <v>16.58185353</v>
      </c>
      <c r="BJ252" s="50">
        <f t="shared" si="232"/>
        <v>14.45627296</v>
      </c>
      <c r="BK252" s="119">
        <f t="shared" ref="BK252:DR252" si="233">+SUMIFS($F252:$M252,$F$7:$M$7,BK$7)*BK$257</f>
        <v>12.72392109</v>
      </c>
      <c r="BL252" s="119">
        <f t="shared" si="233"/>
        <v>14.81801996</v>
      </c>
      <c r="BM252" s="119">
        <f t="shared" si="233"/>
        <v>16.90289873</v>
      </c>
      <c r="BN252" s="119">
        <f t="shared" si="233"/>
        <v>15.86618541</v>
      </c>
      <c r="BO252" s="119">
        <f t="shared" si="233"/>
        <v>15.92873077</v>
      </c>
      <c r="BP252" s="119">
        <f t="shared" si="233"/>
        <v>14.53658343</v>
      </c>
      <c r="BQ252" s="119">
        <f t="shared" si="233"/>
        <v>12.70409554</v>
      </c>
      <c r="BR252" s="119">
        <f t="shared" si="233"/>
        <v>14.13315133</v>
      </c>
      <c r="BS252" s="119">
        <f t="shared" si="233"/>
        <v>13.20584788</v>
      </c>
      <c r="BT252" s="119">
        <f t="shared" si="233"/>
        <v>15.1572028</v>
      </c>
      <c r="BU252" s="119">
        <f t="shared" si="233"/>
        <v>12.21244073</v>
      </c>
      <c r="BV252" s="119">
        <f t="shared" si="233"/>
        <v>10.14692232</v>
      </c>
      <c r="BW252" s="119">
        <f t="shared" si="233"/>
        <v>42.21800559</v>
      </c>
      <c r="BX252" s="119">
        <f t="shared" si="233"/>
        <v>48.32635599</v>
      </c>
      <c r="BY252" s="119">
        <f t="shared" si="233"/>
        <v>54.41079237</v>
      </c>
      <c r="BZ252" s="119">
        <f t="shared" si="233"/>
        <v>51.75452454</v>
      </c>
      <c r="CA252" s="119">
        <f t="shared" si="233"/>
        <v>50.59472963</v>
      </c>
      <c r="CB252" s="119">
        <f t="shared" si="233"/>
        <v>43.09725275</v>
      </c>
      <c r="CC252" s="119">
        <f t="shared" si="233"/>
        <v>37.37400449</v>
      </c>
      <c r="CD252" s="119">
        <f t="shared" si="233"/>
        <v>39.12579941</v>
      </c>
      <c r="CE252" s="119">
        <f t="shared" si="233"/>
        <v>37.49249815</v>
      </c>
      <c r="CF252" s="119">
        <f t="shared" si="233"/>
        <v>41.86307323</v>
      </c>
      <c r="CG252" s="119">
        <f t="shared" si="233"/>
        <v>32.21753663</v>
      </c>
      <c r="CH252" s="119">
        <f t="shared" si="233"/>
        <v>26.83792723</v>
      </c>
      <c r="CI252" s="119">
        <f t="shared" si="233"/>
        <v>66.98911959</v>
      </c>
      <c r="CJ252" s="119">
        <f t="shared" si="233"/>
        <v>79.45546904</v>
      </c>
      <c r="CK252" s="119">
        <f t="shared" si="233"/>
        <v>93.59465188</v>
      </c>
      <c r="CL252" s="119">
        <f t="shared" si="233"/>
        <v>87.30256033</v>
      </c>
      <c r="CM252" s="119">
        <f t="shared" si="233"/>
        <v>86.60978604</v>
      </c>
      <c r="CN252" s="119">
        <f t="shared" si="233"/>
        <v>78.1087852</v>
      </c>
      <c r="CO252" s="119">
        <f t="shared" si="233"/>
        <v>69.03080165</v>
      </c>
      <c r="CP252" s="119">
        <f t="shared" si="233"/>
        <v>71.09792261</v>
      </c>
      <c r="CQ252" s="119">
        <f t="shared" si="233"/>
        <v>66.85589268</v>
      </c>
      <c r="CR252" s="119">
        <f t="shared" si="233"/>
        <v>78.75579671</v>
      </c>
      <c r="CS252" s="119">
        <f t="shared" si="233"/>
        <v>64.56906811</v>
      </c>
      <c r="CT252" s="119">
        <f t="shared" si="233"/>
        <v>55.06514615</v>
      </c>
      <c r="CU252" s="119">
        <f t="shared" si="233"/>
        <v>72.43847115</v>
      </c>
      <c r="CV252" s="119">
        <f t="shared" si="233"/>
        <v>84.34299853</v>
      </c>
      <c r="CW252" s="119">
        <f t="shared" si="233"/>
        <v>96.79346994</v>
      </c>
      <c r="CX252" s="119">
        <f t="shared" si="233"/>
        <v>91.08388661</v>
      </c>
      <c r="CY252" s="119">
        <f t="shared" si="233"/>
        <v>90.24863382</v>
      </c>
      <c r="CZ252" s="119">
        <f t="shared" si="233"/>
        <v>80.15349972</v>
      </c>
      <c r="DA252" s="119">
        <f t="shared" si="233"/>
        <v>70.13656872</v>
      </c>
      <c r="DB252" s="119">
        <f t="shared" si="233"/>
        <v>74.55496093</v>
      </c>
      <c r="DC252" s="119">
        <f t="shared" si="233"/>
        <v>70.38187777</v>
      </c>
      <c r="DD252" s="119">
        <f t="shared" si="233"/>
        <v>80.76247446</v>
      </c>
      <c r="DE252" s="119">
        <f t="shared" si="233"/>
        <v>64.52912515</v>
      </c>
      <c r="DF252" s="119">
        <f t="shared" si="233"/>
        <v>54.14690821</v>
      </c>
      <c r="DG252" s="119">
        <f t="shared" si="233"/>
        <v>75.76941598</v>
      </c>
      <c r="DH252" s="119">
        <f t="shared" si="233"/>
        <v>88.21553315</v>
      </c>
      <c r="DI252" s="119">
        <f t="shared" si="233"/>
        <v>101.4330778</v>
      </c>
      <c r="DJ252" s="119">
        <f t="shared" si="233"/>
        <v>95.52541415</v>
      </c>
      <c r="DK252" s="119">
        <f t="shared" si="233"/>
        <v>94.25285053</v>
      </c>
      <c r="DL252" s="119">
        <f t="shared" si="233"/>
        <v>82.96707501</v>
      </c>
      <c r="DM252" s="119">
        <f t="shared" si="233"/>
        <v>72.62869148</v>
      </c>
      <c r="DN252" s="119">
        <f t="shared" si="233"/>
        <v>76.00553994</v>
      </c>
      <c r="DO252" s="119">
        <f t="shared" si="233"/>
        <v>72.01094481</v>
      </c>
      <c r="DP252" s="119">
        <f t="shared" si="233"/>
        <v>82.6248934</v>
      </c>
      <c r="DQ252" s="119">
        <f t="shared" si="233"/>
        <v>65.82303667</v>
      </c>
      <c r="DR252" s="119">
        <f t="shared" si="233"/>
        <v>55.42447709</v>
      </c>
    </row>
    <row r="253" ht="15.75" customHeight="1">
      <c r="B253" s="5" t="s">
        <v>76</v>
      </c>
      <c r="F253" s="50">
        <f t="shared" ref="F253:H253" si="234">+SUMIFS($AA253:$DR253,$AA$7:$DR$7,F$7)</f>
        <v>518.009175</v>
      </c>
      <c r="G253" s="50">
        <f t="shared" si="234"/>
        <v>4.231676346</v>
      </c>
      <c r="H253" s="50">
        <f t="shared" si="234"/>
        <v>200.3306507</v>
      </c>
      <c r="I253" s="52">
        <f>+I246*(1-COGS_Assumptions!I32)</f>
        <v>74.65495909</v>
      </c>
      <c r="J253" s="52">
        <f>+J246*(1-COGS_Assumptions!J32)</f>
        <v>321.5625</v>
      </c>
      <c r="K253" s="52">
        <f>+K246*(1-COGS_Assumptions!K32)</f>
        <v>342.9464063</v>
      </c>
      <c r="L253" s="52">
        <f>+L246*(1-COGS_Assumptions!L32)</f>
        <v>355.5355781</v>
      </c>
      <c r="M253" s="52">
        <f>+M246*(1-COGS_Assumptions!M32)</f>
        <v>368.5263012</v>
      </c>
      <c r="AA253" s="50">
        <f t="shared" ref="AA253:BJ253" si="235">+SUMIFS(AA$195:AA$240,$C$13:$C$58,$B253)</f>
        <v>64.30841066</v>
      </c>
      <c r="AB253" s="50">
        <f t="shared" si="235"/>
        <v>78.09457842</v>
      </c>
      <c r="AC253" s="50">
        <f t="shared" si="235"/>
        <v>88.0609627</v>
      </c>
      <c r="AD253" s="50">
        <f t="shared" si="235"/>
        <v>64.04779592</v>
      </c>
      <c r="AE253" s="50">
        <f t="shared" si="235"/>
        <v>59.05065358</v>
      </c>
      <c r="AF253" s="50">
        <f t="shared" si="235"/>
        <v>59.7907583</v>
      </c>
      <c r="AG253" s="50">
        <f t="shared" si="235"/>
        <v>40.13190229</v>
      </c>
      <c r="AH253" s="50">
        <f t="shared" si="235"/>
        <v>43.7374298</v>
      </c>
      <c r="AI253" s="50">
        <f t="shared" si="235"/>
        <v>11.0161337</v>
      </c>
      <c r="AJ253" s="50">
        <f t="shared" si="235"/>
        <v>6.470897487</v>
      </c>
      <c r="AK253" s="50">
        <f t="shared" si="235"/>
        <v>1.771785547</v>
      </c>
      <c r="AL253" s="50">
        <f t="shared" si="235"/>
        <v>1.527866616</v>
      </c>
      <c r="AM253" s="50">
        <f t="shared" si="235"/>
        <v>0.8575422914</v>
      </c>
      <c r="AN253" s="50">
        <f t="shared" si="235"/>
        <v>0.938766112</v>
      </c>
      <c r="AO253" s="50">
        <f t="shared" si="235"/>
        <v>0.005706093638</v>
      </c>
      <c r="AP253" s="50">
        <f t="shared" si="235"/>
        <v>0</v>
      </c>
      <c r="AQ253" s="50">
        <f t="shared" si="235"/>
        <v>0.09217537092</v>
      </c>
      <c r="AR253" s="50">
        <f t="shared" si="235"/>
        <v>0.2167580775</v>
      </c>
      <c r="AS253" s="50">
        <f t="shared" si="235"/>
        <v>0.03237407847</v>
      </c>
      <c r="AT253" s="50">
        <f t="shared" si="235"/>
        <v>0.1274643065</v>
      </c>
      <c r="AU253" s="50">
        <f t="shared" si="235"/>
        <v>0</v>
      </c>
      <c r="AV253" s="50">
        <f t="shared" si="235"/>
        <v>0.446474671</v>
      </c>
      <c r="AW253" s="50">
        <f t="shared" si="235"/>
        <v>0.05680945107</v>
      </c>
      <c r="AX253" s="50">
        <f t="shared" si="235"/>
        <v>1.457605893</v>
      </c>
      <c r="AY253" s="50">
        <f t="shared" si="235"/>
        <v>1.471110818</v>
      </c>
      <c r="AZ253" s="50">
        <f t="shared" si="235"/>
        <v>10.57525463</v>
      </c>
      <c r="BA253" s="50">
        <f t="shared" si="235"/>
        <v>20.92448975</v>
      </c>
      <c r="BB253" s="50">
        <f t="shared" si="235"/>
        <v>15.75856744</v>
      </c>
      <c r="BC253" s="50">
        <f t="shared" si="235"/>
        <v>15.49900112</v>
      </c>
      <c r="BD253" s="50">
        <f t="shared" si="235"/>
        <v>18.3563188</v>
      </c>
      <c r="BE253" s="50">
        <f t="shared" si="235"/>
        <v>17.44646179</v>
      </c>
      <c r="BF253" s="50">
        <f t="shared" si="235"/>
        <v>19.52570258</v>
      </c>
      <c r="BG253" s="50">
        <f t="shared" si="235"/>
        <v>18.34588883</v>
      </c>
      <c r="BH253" s="50">
        <f t="shared" si="235"/>
        <v>31.1386067</v>
      </c>
      <c r="BI253" s="50">
        <f t="shared" si="235"/>
        <v>23.44262113</v>
      </c>
      <c r="BJ253" s="50">
        <f t="shared" si="235"/>
        <v>7.846627107</v>
      </c>
      <c r="BK253" s="119">
        <f t="shared" ref="BK253:DR253" si="236">+SUMIFS($F253:$M253,$F$7:$M$7,BK$7)*BK$257</f>
        <v>5.64290353</v>
      </c>
      <c r="BL253" s="119">
        <f t="shared" si="236"/>
        <v>6.571610791</v>
      </c>
      <c r="BM253" s="119">
        <f t="shared" si="236"/>
        <v>7.496229049</v>
      </c>
      <c r="BN253" s="119">
        <f t="shared" si="236"/>
        <v>7.03645936</v>
      </c>
      <c r="BO253" s="119">
        <f t="shared" si="236"/>
        <v>7.064197462</v>
      </c>
      <c r="BP253" s="119">
        <f t="shared" si="236"/>
        <v>6.446797129</v>
      </c>
      <c r="BQ253" s="119">
        <f t="shared" si="236"/>
        <v>5.634111142</v>
      </c>
      <c r="BR253" s="119">
        <f t="shared" si="236"/>
        <v>6.267879922</v>
      </c>
      <c r="BS253" s="119">
        <f t="shared" si="236"/>
        <v>5.856632171</v>
      </c>
      <c r="BT253" s="119">
        <f t="shared" si="236"/>
        <v>6.722034234</v>
      </c>
      <c r="BU253" s="119">
        <f t="shared" si="236"/>
        <v>5.416068239</v>
      </c>
      <c r="BV253" s="119">
        <f t="shared" si="236"/>
        <v>4.500036063</v>
      </c>
      <c r="BW253" s="119">
        <f t="shared" si="236"/>
        <v>26.86600356</v>
      </c>
      <c r="BX253" s="119">
        <f t="shared" si="236"/>
        <v>30.75313563</v>
      </c>
      <c r="BY253" s="119">
        <f t="shared" si="236"/>
        <v>34.62504969</v>
      </c>
      <c r="BZ253" s="119">
        <f t="shared" si="236"/>
        <v>32.93469743</v>
      </c>
      <c r="CA253" s="119">
        <f t="shared" si="236"/>
        <v>32.19664613</v>
      </c>
      <c r="CB253" s="119">
        <f t="shared" si="236"/>
        <v>27.42552448</v>
      </c>
      <c r="CC253" s="119">
        <f t="shared" si="236"/>
        <v>23.7834574</v>
      </c>
      <c r="CD253" s="119">
        <f t="shared" si="236"/>
        <v>24.89823599</v>
      </c>
      <c r="CE253" s="119">
        <f t="shared" si="236"/>
        <v>23.85886246</v>
      </c>
      <c r="CF253" s="119">
        <f t="shared" si="236"/>
        <v>26.64013751</v>
      </c>
      <c r="CG253" s="119">
        <f t="shared" si="236"/>
        <v>20.50206876</v>
      </c>
      <c r="CH253" s="119">
        <f t="shared" si="236"/>
        <v>17.07868097</v>
      </c>
      <c r="CI253" s="119">
        <f t="shared" si="236"/>
        <v>25.5992666</v>
      </c>
      <c r="CJ253" s="119">
        <f t="shared" si="236"/>
        <v>30.36316565</v>
      </c>
      <c r="CK253" s="119">
        <f t="shared" si="236"/>
        <v>35.76632236</v>
      </c>
      <c r="CL253" s="119">
        <f t="shared" si="236"/>
        <v>33.36185832</v>
      </c>
      <c r="CM253" s="119">
        <f t="shared" si="236"/>
        <v>33.09712109</v>
      </c>
      <c r="CN253" s="119">
        <f t="shared" si="236"/>
        <v>29.84854299</v>
      </c>
      <c r="CO253" s="119">
        <f t="shared" si="236"/>
        <v>26.37947634</v>
      </c>
      <c r="CP253" s="119">
        <f t="shared" si="236"/>
        <v>27.16940731</v>
      </c>
      <c r="CQ253" s="119">
        <f t="shared" si="236"/>
        <v>25.54835518</v>
      </c>
      <c r="CR253" s="119">
        <f t="shared" si="236"/>
        <v>30.0957924</v>
      </c>
      <c r="CS253" s="119">
        <f t="shared" si="236"/>
        <v>24.67446652</v>
      </c>
      <c r="CT253" s="119">
        <f t="shared" si="236"/>
        <v>21.04263148</v>
      </c>
      <c r="CU253" s="119">
        <f t="shared" si="236"/>
        <v>27.7056855</v>
      </c>
      <c r="CV253" s="119">
        <f t="shared" si="236"/>
        <v>32.25883365</v>
      </c>
      <c r="CW253" s="119">
        <f t="shared" si="236"/>
        <v>37.02079011</v>
      </c>
      <c r="CX253" s="119">
        <f t="shared" si="236"/>
        <v>34.83703446</v>
      </c>
      <c r="CY253" s="119">
        <f t="shared" si="236"/>
        <v>34.51757368</v>
      </c>
      <c r="CZ253" s="119">
        <f t="shared" si="236"/>
        <v>30.65646775</v>
      </c>
      <c r="DA253" s="119">
        <f t="shared" si="236"/>
        <v>26.82527232</v>
      </c>
      <c r="DB253" s="119">
        <f t="shared" si="236"/>
        <v>28.51518353</v>
      </c>
      <c r="DC253" s="119">
        <f t="shared" si="236"/>
        <v>26.91909615</v>
      </c>
      <c r="DD253" s="119">
        <f t="shared" si="236"/>
        <v>30.88938352</v>
      </c>
      <c r="DE253" s="119">
        <f t="shared" si="236"/>
        <v>24.68058227</v>
      </c>
      <c r="DF253" s="119">
        <f t="shared" si="236"/>
        <v>20.7096752</v>
      </c>
      <c r="DG253" s="119">
        <f t="shared" si="236"/>
        <v>29.00547956</v>
      </c>
      <c r="DH253" s="119">
        <f t="shared" si="236"/>
        <v>33.77000878</v>
      </c>
      <c r="DI253" s="119">
        <f t="shared" si="236"/>
        <v>38.82985009</v>
      </c>
      <c r="DJ253" s="119">
        <f t="shared" si="236"/>
        <v>36.5683226</v>
      </c>
      <c r="DK253" s="119">
        <f t="shared" si="236"/>
        <v>36.08116935</v>
      </c>
      <c r="DL253" s="119">
        <f t="shared" si="236"/>
        <v>31.7608334</v>
      </c>
      <c r="DM253" s="119">
        <f t="shared" si="236"/>
        <v>27.80317096</v>
      </c>
      <c r="DN253" s="119">
        <f t="shared" si="236"/>
        <v>29.09587076</v>
      </c>
      <c r="DO253" s="119">
        <f t="shared" si="236"/>
        <v>27.56668981</v>
      </c>
      <c r="DP253" s="119">
        <f t="shared" si="236"/>
        <v>31.62984201</v>
      </c>
      <c r="DQ253" s="119">
        <f t="shared" si="236"/>
        <v>25.19788122</v>
      </c>
      <c r="DR253" s="119">
        <f t="shared" si="236"/>
        <v>21.21718264</v>
      </c>
    </row>
    <row r="254" ht="15.75" customHeight="1">
      <c r="B254" s="5" t="s">
        <v>74</v>
      </c>
      <c r="F254" s="50">
        <f t="shared" ref="F254:H254" si="237">+SUMIFS($AA254:$DR254,$AA$7:$DR$7,F$7)</f>
        <v>556.4622873</v>
      </c>
      <c r="G254" s="50">
        <f t="shared" si="237"/>
        <v>957.5764653</v>
      </c>
      <c r="H254" s="50">
        <f t="shared" si="237"/>
        <v>185.8948793</v>
      </c>
      <c r="I254" s="52">
        <f>+I247*(1-COGS_Assumptions!I33)</f>
        <v>283.972739</v>
      </c>
      <c r="J254" s="52">
        <f>+J247*(1-COGS_Assumptions!J33)</f>
        <v>505.3125</v>
      </c>
      <c r="K254" s="52">
        <f>+K247*(1-COGS_Assumptions!K33)</f>
        <v>713.86875</v>
      </c>
      <c r="L254" s="52">
        <f>+L247*(1-COGS_Assumptions!L33)</f>
        <v>1084.501688</v>
      </c>
      <c r="M254" s="52">
        <f>+M247*(1-COGS_Assumptions!M33)</f>
        <v>1531.537875</v>
      </c>
      <c r="AA254" s="50">
        <f t="shared" ref="AA254:BJ254" si="238">+SUMIFS(AA$195:AA$240,$C$13:$C$58,$B254)</f>
        <v>23.27405603</v>
      </c>
      <c r="AB254" s="50">
        <f t="shared" si="238"/>
        <v>15.93813508</v>
      </c>
      <c r="AC254" s="50">
        <f t="shared" si="238"/>
        <v>33.98686574</v>
      </c>
      <c r="AD254" s="50">
        <f t="shared" si="238"/>
        <v>34.41107032</v>
      </c>
      <c r="AE254" s="50">
        <f t="shared" si="238"/>
        <v>28.80096537</v>
      </c>
      <c r="AF254" s="50">
        <f t="shared" si="238"/>
        <v>42.73847322</v>
      </c>
      <c r="AG254" s="50">
        <f t="shared" si="238"/>
        <v>43.3036106</v>
      </c>
      <c r="AH254" s="50">
        <f t="shared" si="238"/>
        <v>60.89592062</v>
      </c>
      <c r="AI254" s="50">
        <f t="shared" si="238"/>
        <v>55.31998519</v>
      </c>
      <c r="AJ254" s="50">
        <f t="shared" si="238"/>
        <v>82.15051464</v>
      </c>
      <c r="AK254" s="50">
        <f t="shared" si="238"/>
        <v>81.06107515</v>
      </c>
      <c r="AL254" s="50">
        <f t="shared" si="238"/>
        <v>54.58161536</v>
      </c>
      <c r="AM254" s="50">
        <f t="shared" si="238"/>
        <v>78.43872495</v>
      </c>
      <c r="AN254" s="50">
        <f t="shared" si="238"/>
        <v>84.93954544</v>
      </c>
      <c r="AO254" s="50">
        <f t="shared" si="238"/>
        <v>105.0574643</v>
      </c>
      <c r="AP254" s="50">
        <f t="shared" si="238"/>
        <v>112.4381484</v>
      </c>
      <c r="AQ254" s="50">
        <f t="shared" si="238"/>
        <v>97.21197611</v>
      </c>
      <c r="AR254" s="50">
        <f t="shared" si="238"/>
        <v>96.58158128</v>
      </c>
      <c r="AS254" s="50">
        <f t="shared" si="238"/>
        <v>65.49924881</v>
      </c>
      <c r="AT254" s="50">
        <f t="shared" si="238"/>
        <v>83.43589119</v>
      </c>
      <c r="AU254" s="50">
        <f t="shared" si="238"/>
        <v>86.51146371</v>
      </c>
      <c r="AV254" s="50">
        <f t="shared" si="238"/>
        <v>70.33630417</v>
      </c>
      <c r="AW254" s="50">
        <f t="shared" si="238"/>
        <v>44.42906094</v>
      </c>
      <c r="AX254" s="50">
        <f t="shared" si="238"/>
        <v>32.69705598</v>
      </c>
      <c r="AY254" s="50">
        <f t="shared" si="238"/>
        <v>38.13529883</v>
      </c>
      <c r="AZ254" s="50">
        <f t="shared" si="238"/>
        <v>28.14938473</v>
      </c>
      <c r="BA254" s="50">
        <f t="shared" si="238"/>
        <v>26.56317611</v>
      </c>
      <c r="BB254" s="50">
        <f t="shared" si="238"/>
        <v>24.41216127</v>
      </c>
      <c r="BC254" s="50">
        <f t="shared" si="238"/>
        <v>11.90147772</v>
      </c>
      <c r="BD254" s="50">
        <f t="shared" si="238"/>
        <v>6.364442446</v>
      </c>
      <c r="BE254" s="50">
        <f t="shared" si="238"/>
        <v>4.332608711</v>
      </c>
      <c r="BF254" s="50">
        <f t="shared" si="238"/>
        <v>3.104661927</v>
      </c>
      <c r="BG254" s="50">
        <f t="shared" si="238"/>
        <v>5.416593156</v>
      </c>
      <c r="BH254" s="50">
        <f t="shared" si="238"/>
        <v>6.866864083</v>
      </c>
      <c r="BI254" s="50">
        <f t="shared" si="238"/>
        <v>12.4150422</v>
      </c>
      <c r="BJ254" s="50">
        <f t="shared" si="238"/>
        <v>18.23316808</v>
      </c>
      <c r="BK254" s="119">
        <f t="shared" ref="BK254:DR254" si="239">+SUMIFS($F254:$M254,$F$7:$M$7,BK$7)*BK$257</f>
        <v>21.46449199</v>
      </c>
      <c r="BL254" s="119">
        <f t="shared" si="239"/>
        <v>24.99711123</v>
      </c>
      <c r="BM254" s="119">
        <f t="shared" si="239"/>
        <v>28.5141767</v>
      </c>
      <c r="BN254" s="119">
        <f t="shared" si="239"/>
        <v>26.7653035</v>
      </c>
      <c r="BO254" s="119">
        <f t="shared" si="239"/>
        <v>26.87081376</v>
      </c>
      <c r="BP254" s="119">
        <f t="shared" si="239"/>
        <v>24.52234468</v>
      </c>
      <c r="BQ254" s="119">
        <f t="shared" si="239"/>
        <v>21.43104748</v>
      </c>
      <c r="BR254" s="119">
        <f t="shared" si="239"/>
        <v>23.84177891</v>
      </c>
      <c r="BS254" s="119">
        <f t="shared" si="239"/>
        <v>22.27747358</v>
      </c>
      <c r="BT254" s="119">
        <f t="shared" si="239"/>
        <v>25.56929234</v>
      </c>
      <c r="BU254" s="119">
        <f t="shared" si="239"/>
        <v>20.60165529</v>
      </c>
      <c r="BV254" s="119">
        <f t="shared" si="239"/>
        <v>17.11724957</v>
      </c>
      <c r="BW254" s="119">
        <f t="shared" si="239"/>
        <v>42.21800559</v>
      </c>
      <c r="BX254" s="119">
        <f t="shared" si="239"/>
        <v>48.32635599</v>
      </c>
      <c r="BY254" s="119">
        <f t="shared" si="239"/>
        <v>54.41079237</v>
      </c>
      <c r="BZ254" s="119">
        <f t="shared" si="239"/>
        <v>51.75452454</v>
      </c>
      <c r="CA254" s="119">
        <f t="shared" si="239"/>
        <v>50.59472963</v>
      </c>
      <c r="CB254" s="119">
        <f t="shared" si="239"/>
        <v>43.09725275</v>
      </c>
      <c r="CC254" s="119">
        <f t="shared" si="239"/>
        <v>37.37400449</v>
      </c>
      <c r="CD254" s="119">
        <f t="shared" si="239"/>
        <v>39.12579941</v>
      </c>
      <c r="CE254" s="119">
        <f t="shared" si="239"/>
        <v>37.49249815</v>
      </c>
      <c r="CF254" s="119">
        <f t="shared" si="239"/>
        <v>41.86307323</v>
      </c>
      <c r="CG254" s="119">
        <f t="shared" si="239"/>
        <v>32.21753663</v>
      </c>
      <c r="CH254" s="119">
        <f t="shared" si="239"/>
        <v>26.83792723</v>
      </c>
      <c r="CI254" s="119">
        <f t="shared" si="239"/>
        <v>53.28679968</v>
      </c>
      <c r="CJ254" s="119">
        <f t="shared" si="239"/>
        <v>63.20321401</v>
      </c>
      <c r="CK254" s="119">
        <f t="shared" si="239"/>
        <v>74.45029127</v>
      </c>
      <c r="CL254" s="119">
        <f t="shared" si="239"/>
        <v>69.44521845</v>
      </c>
      <c r="CM254" s="119">
        <f t="shared" si="239"/>
        <v>68.89414799</v>
      </c>
      <c r="CN254" s="119">
        <f t="shared" si="239"/>
        <v>62.13198823</v>
      </c>
      <c r="CO254" s="119">
        <f t="shared" si="239"/>
        <v>54.91086495</v>
      </c>
      <c r="CP254" s="119">
        <f t="shared" si="239"/>
        <v>56.55516571</v>
      </c>
      <c r="CQ254" s="119">
        <f t="shared" si="239"/>
        <v>53.18082372</v>
      </c>
      <c r="CR254" s="119">
        <f t="shared" si="239"/>
        <v>62.64665647</v>
      </c>
      <c r="CS254" s="119">
        <f t="shared" si="239"/>
        <v>51.36175872</v>
      </c>
      <c r="CT254" s="119">
        <f t="shared" si="239"/>
        <v>43.8018208</v>
      </c>
      <c r="CU254" s="119">
        <f t="shared" si="239"/>
        <v>84.51154968</v>
      </c>
      <c r="CV254" s="119">
        <f t="shared" si="239"/>
        <v>98.40016495</v>
      </c>
      <c r="CW254" s="119">
        <f t="shared" si="239"/>
        <v>112.9257149</v>
      </c>
      <c r="CX254" s="119">
        <f t="shared" si="239"/>
        <v>106.2645344</v>
      </c>
      <c r="CY254" s="119">
        <f t="shared" si="239"/>
        <v>105.2900728</v>
      </c>
      <c r="CZ254" s="119">
        <f t="shared" si="239"/>
        <v>93.51241634</v>
      </c>
      <c r="DA254" s="119">
        <f t="shared" si="239"/>
        <v>81.82599684</v>
      </c>
      <c r="DB254" s="119">
        <f t="shared" si="239"/>
        <v>86.98078775</v>
      </c>
      <c r="DC254" s="119">
        <f t="shared" si="239"/>
        <v>82.11219073</v>
      </c>
      <c r="DD254" s="119">
        <f t="shared" si="239"/>
        <v>94.22288687</v>
      </c>
      <c r="DE254" s="119">
        <f t="shared" si="239"/>
        <v>75.28397934</v>
      </c>
      <c r="DF254" s="119">
        <f t="shared" si="239"/>
        <v>63.17139291</v>
      </c>
      <c r="DG254" s="119">
        <f t="shared" si="239"/>
        <v>120.5422527</v>
      </c>
      <c r="DH254" s="119">
        <f t="shared" si="239"/>
        <v>140.3428936</v>
      </c>
      <c r="DI254" s="119">
        <f t="shared" si="239"/>
        <v>161.3708056</v>
      </c>
      <c r="DJ254" s="119">
        <f t="shared" si="239"/>
        <v>151.9722498</v>
      </c>
      <c r="DK254" s="119">
        <f t="shared" si="239"/>
        <v>149.9477168</v>
      </c>
      <c r="DL254" s="119">
        <f t="shared" si="239"/>
        <v>131.9930739</v>
      </c>
      <c r="DM254" s="119">
        <f t="shared" si="239"/>
        <v>115.5456455</v>
      </c>
      <c r="DN254" s="119">
        <f t="shared" si="239"/>
        <v>120.9179044</v>
      </c>
      <c r="DO254" s="119">
        <f t="shared" si="239"/>
        <v>114.5628667</v>
      </c>
      <c r="DP254" s="119">
        <f t="shared" si="239"/>
        <v>131.448694</v>
      </c>
      <c r="DQ254" s="119">
        <f t="shared" si="239"/>
        <v>104.7184674</v>
      </c>
      <c r="DR254" s="119">
        <f t="shared" si="239"/>
        <v>88.17530446</v>
      </c>
    </row>
    <row r="255" ht="15.75" customHeight="1">
      <c r="B255" s="5" t="s">
        <v>70</v>
      </c>
      <c r="F255" s="50">
        <f t="shared" ref="F255:H255" si="240">+SUMIFS($AA255:$DR255,$AA$7:$DR$7,F$7)</f>
        <v>509.1620833</v>
      </c>
      <c r="G255" s="50">
        <f t="shared" si="240"/>
        <v>223.7662798</v>
      </c>
      <c r="H255" s="50">
        <f t="shared" si="240"/>
        <v>311.2194448</v>
      </c>
      <c r="I255" s="52">
        <f>+I248*(1-COGS_Assumptions!I34)</f>
        <v>557.0656</v>
      </c>
      <c r="J255" s="52">
        <f>+J248*(1-COGS_Assumptions!J34)</f>
        <v>566.015625</v>
      </c>
      <c r="K255" s="52">
        <f>+K248*(1-COGS_Assumptions!K34)</f>
        <v>611.8875</v>
      </c>
      <c r="L255" s="52">
        <f>+L248*(1-COGS_Assumptions!L34)</f>
        <v>1029.924492</v>
      </c>
      <c r="M255" s="52">
        <f>+M248*(1-COGS_Assumptions!M34)</f>
        <v>1422.142313</v>
      </c>
      <c r="AA255" s="50">
        <f t="shared" ref="AA255:BJ255" si="241">+SUMIFS(AA$195:AA$240,$C$13:$C$58,$B255)</f>
        <v>2.468331198</v>
      </c>
      <c r="AB255" s="50">
        <f t="shared" si="241"/>
        <v>8.244486615</v>
      </c>
      <c r="AC255" s="50">
        <f t="shared" si="241"/>
        <v>11.05439089</v>
      </c>
      <c r="AD255" s="50">
        <f t="shared" si="241"/>
        <v>19.30325322</v>
      </c>
      <c r="AE255" s="50">
        <f t="shared" si="241"/>
        <v>30.94555685</v>
      </c>
      <c r="AF255" s="50">
        <f t="shared" si="241"/>
        <v>33.77473377</v>
      </c>
      <c r="AG255" s="50">
        <f t="shared" si="241"/>
        <v>45.28917377</v>
      </c>
      <c r="AH255" s="50">
        <f t="shared" si="241"/>
        <v>74.16689724</v>
      </c>
      <c r="AI255" s="50">
        <f t="shared" si="241"/>
        <v>79.16643044</v>
      </c>
      <c r="AJ255" s="50">
        <f t="shared" si="241"/>
        <v>75.04646225</v>
      </c>
      <c r="AK255" s="50">
        <f t="shared" si="241"/>
        <v>65.97254083</v>
      </c>
      <c r="AL255" s="50">
        <f t="shared" si="241"/>
        <v>63.72982623</v>
      </c>
      <c r="AM255" s="50">
        <f t="shared" si="241"/>
        <v>51.92866075</v>
      </c>
      <c r="AN255" s="50">
        <f t="shared" si="241"/>
        <v>40.10371758</v>
      </c>
      <c r="AO255" s="50">
        <f t="shared" si="241"/>
        <v>22.22064959</v>
      </c>
      <c r="AP255" s="50">
        <f t="shared" si="241"/>
        <v>14.88349173</v>
      </c>
      <c r="AQ255" s="50">
        <f t="shared" si="241"/>
        <v>19.57933842</v>
      </c>
      <c r="AR255" s="50">
        <f t="shared" si="241"/>
        <v>7.10231664</v>
      </c>
      <c r="AS255" s="50">
        <f t="shared" si="241"/>
        <v>10.59395745</v>
      </c>
      <c r="AT255" s="50">
        <f t="shared" si="241"/>
        <v>16.0772045</v>
      </c>
      <c r="AU255" s="50">
        <f t="shared" si="241"/>
        <v>11.32541015</v>
      </c>
      <c r="AV255" s="50">
        <f t="shared" si="241"/>
        <v>14.04930418</v>
      </c>
      <c r="AW255" s="50">
        <f t="shared" si="241"/>
        <v>10.92655119</v>
      </c>
      <c r="AX255" s="50">
        <f t="shared" si="241"/>
        <v>4.975677634</v>
      </c>
      <c r="AY255" s="50">
        <f t="shared" si="241"/>
        <v>4.227337425</v>
      </c>
      <c r="AZ255" s="50">
        <f t="shared" si="241"/>
        <v>10.29819231</v>
      </c>
      <c r="BA255" s="50">
        <f t="shared" si="241"/>
        <v>13.80801205</v>
      </c>
      <c r="BB255" s="50">
        <f t="shared" si="241"/>
        <v>20.09713012</v>
      </c>
      <c r="BC255" s="50">
        <f t="shared" si="241"/>
        <v>38.79062374</v>
      </c>
      <c r="BD255" s="50">
        <f t="shared" si="241"/>
        <v>36.80516082</v>
      </c>
      <c r="BE255" s="50">
        <f t="shared" si="241"/>
        <v>38.32841326</v>
      </c>
      <c r="BF255" s="50">
        <f t="shared" si="241"/>
        <v>34.0570386</v>
      </c>
      <c r="BG255" s="50">
        <f t="shared" si="241"/>
        <v>32.61844809</v>
      </c>
      <c r="BH255" s="50">
        <f t="shared" si="241"/>
        <v>33.88557892</v>
      </c>
      <c r="BI255" s="50">
        <f t="shared" si="241"/>
        <v>22.36337398</v>
      </c>
      <c r="BJ255" s="50">
        <f t="shared" si="241"/>
        <v>25.94013547</v>
      </c>
      <c r="BK255" s="119">
        <f t="shared" ref="BK255:DR255" si="242">+SUMIFS($F255:$M255,$F$7:$M$7,BK$7)*BK$257</f>
        <v>42.10661259</v>
      </c>
      <c r="BL255" s="119">
        <f t="shared" si="242"/>
        <v>49.03650545</v>
      </c>
      <c r="BM255" s="119">
        <f t="shared" si="242"/>
        <v>55.93588669</v>
      </c>
      <c r="BN255" s="119">
        <f t="shared" si="242"/>
        <v>52.50514504</v>
      </c>
      <c r="BO255" s="119">
        <f t="shared" si="242"/>
        <v>52.71212315</v>
      </c>
      <c r="BP255" s="119">
        <f t="shared" si="242"/>
        <v>48.10516213</v>
      </c>
      <c r="BQ255" s="119">
        <f t="shared" si="242"/>
        <v>42.04100494</v>
      </c>
      <c r="BR255" s="119">
        <f t="shared" si="242"/>
        <v>46.77010519</v>
      </c>
      <c r="BS255" s="119">
        <f t="shared" si="242"/>
        <v>43.70142793</v>
      </c>
      <c r="BT255" s="119">
        <f t="shared" si="242"/>
        <v>50.15894563</v>
      </c>
      <c r="BU255" s="119">
        <f t="shared" si="242"/>
        <v>40.41399714</v>
      </c>
      <c r="BV255" s="119">
        <f t="shared" si="242"/>
        <v>33.57868412</v>
      </c>
      <c r="BW255" s="119">
        <f t="shared" si="242"/>
        <v>47.28964912</v>
      </c>
      <c r="BX255" s="119">
        <f t="shared" si="242"/>
        <v>54.13179486</v>
      </c>
      <c r="BY255" s="119">
        <f t="shared" si="242"/>
        <v>60.94715379</v>
      </c>
      <c r="BZ255" s="119">
        <f t="shared" si="242"/>
        <v>57.97178885</v>
      </c>
      <c r="CA255" s="119">
        <f t="shared" si="242"/>
        <v>56.67266793</v>
      </c>
      <c r="CB255" s="119">
        <f t="shared" si="242"/>
        <v>48.27452012</v>
      </c>
      <c r="CC255" s="119">
        <f t="shared" si="242"/>
        <v>41.86373879</v>
      </c>
      <c r="CD255" s="119">
        <f t="shared" si="242"/>
        <v>43.82597661</v>
      </c>
      <c r="CE255" s="119">
        <f t="shared" si="242"/>
        <v>41.99646708</v>
      </c>
      <c r="CF255" s="119">
        <f t="shared" si="242"/>
        <v>46.89207878</v>
      </c>
      <c r="CG255" s="119">
        <f t="shared" si="242"/>
        <v>36.08782512</v>
      </c>
      <c r="CH255" s="119">
        <f t="shared" si="242"/>
        <v>30.06196395</v>
      </c>
      <c r="CI255" s="119">
        <f t="shared" si="242"/>
        <v>45.67439972</v>
      </c>
      <c r="CJ255" s="119">
        <f t="shared" si="242"/>
        <v>54.17418343</v>
      </c>
      <c r="CK255" s="119">
        <f t="shared" si="242"/>
        <v>63.81453538</v>
      </c>
      <c r="CL255" s="119">
        <f t="shared" si="242"/>
        <v>59.52447295</v>
      </c>
      <c r="CM255" s="119">
        <f t="shared" si="242"/>
        <v>59.05212685</v>
      </c>
      <c r="CN255" s="119">
        <f t="shared" si="242"/>
        <v>53.25598991</v>
      </c>
      <c r="CO255" s="119">
        <f t="shared" si="242"/>
        <v>47.06645567</v>
      </c>
      <c r="CP255" s="119">
        <f t="shared" si="242"/>
        <v>48.47585632</v>
      </c>
      <c r="CQ255" s="119">
        <f t="shared" si="242"/>
        <v>45.58356319</v>
      </c>
      <c r="CR255" s="119">
        <f t="shared" si="242"/>
        <v>53.69713412</v>
      </c>
      <c r="CS255" s="119">
        <f t="shared" si="242"/>
        <v>44.02436462</v>
      </c>
      <c r="CT255" s="119">
        <f t="shared" si="242"/>
        <v>37.54441783</v>
      </c>
      <c r="CU255" s="119">
        <f t="shared" si="242"/>
        <v>80.25853338</v>
      </c>
      <c r="CV255" s="119">
        <f t="shared" si="242"/>
        <v>93.4482086</v>
      </c>
      <c r="CW255" s="119">
        <f t="shared" si="242"/>
        <v>107.242765</v>
      </c>
      <c r="CX255" s="119">
        <f t="shared" si="242"/>
        <v>100.9168062</v>
      </c>
      <c r="CY255" s="119">
        <f t="shared" si="242"/>
        <v>99.99138406</v>
      </c>
      <c r="CZ255" s="119">
        <f t="shared" si="242"/>
        <v>88.80643434</v>
      </c>
      <c r="DA255" s="119">
        <f t="shared" si="242"/>
        <v>77.70813012</v>
      </c>
      <c r="DB255" s="119">
        <f t="shared" si="242"/>
        <v>82.60350785</v>
      </c>
      <c r="DC255" s="119">
        <f t="shared" si="242"/>
        <v>77.97992139</v>
      </c>
      <c r="DD255" s="119">
        <f t="shared" si="242"/>
        <v>89.48115068</v>
      </c>
      <c r="DE255" s="119">
        <f t="shared" si="242"/>
        <v>71.49533752</v>
      </c>
      <c r="DF255" s="119">
        <f t="shared" si="242"/>
        <v>59.99231307</v>
      </c>
      <c r="DG255" s="119">
        <f t="shared" si="242"/>
        <v>111.9320918</v>
      </c>
      <c r="DH255" s="119">
        <f t="shared" si="242"/>
        <v>130.3184012</v>
      </c>
      <c r="DI255" s="119">
        <f t="shared" si="242"/>
        <v>149.8443195</v>
      </c>
      <c r="DJ255" s="119">
        <f t="shared" si="242"/>
        <v>141.1170891</v>
      </c>
      <c r="DK255" s="119">
        <f t="shared" si="242"/>
        <v>139.2371656</v>
      </c>
      <c r="DL255" s="119">
        <f t="shared" si="242"/>
        <v>122.5649972</v>
      </c>
      <c r="DM255" s="119">
        <f t="shared" si="242"/>
        <v>107.2923851</v>
      </c>
      <c r="DN255" s="119">
        <f t="shared" si="242"/>
        <v>112.2809113</v>
      </c>
      <c r="DO255" s="119">
        <f t="shared" si="242"/>
        <v>106.3798048</v>
      </c>
      <c r="DP255" s="119">
        <f t="shared" si="242"/>
        <v>122.0595016</v>
      </c>
      <c r="DQ255" s="119">
        <f t="shared" si="242"/>
        <v>97.2385769</v>
      </c>
      <c r="DR255" s="119">
        <f t="shared" si="242"/>
        <v>81.87706842</v>
      </c>
    </row>
    <row r="256" ht="15.75" customHeight="1">
      <c r="B256" s="54" t="s">
        <v>145</v>
      </c>
      <c r="C256" s="54"/>
      <c r="D256" s="54"/>
      <c r="F256" s="55">
        <f t="shared" ref="F256:M256" si="243">+SUMIFS($AA256:$DR256,$AA$7:$DR$7,F$7)</f>
        <v>2249.6035</v>
      </c>
      <c r="G256" s="55">
        <f t="shared" si="243"/>
        <v>1963.810744</v>
      </c>
      <c r="H256" s="55">
        <f t="shared" si="243"/>
        <v>940.4468252</v>
      </c>
      <c r="I256" s="55">
        <f t="shared" si="243"/>
        <v>1084.029298</v>
      </c>
      <c r="J256" s="55">
        <f t="shared" si="243"/>
        <v>1898.203125</v>
      </c>
      <c r="K256" s="55">
        <f t="shared" si="243"/>
        <v>2566.137656</v>
      </c>
      <c r="L256" s="55">
        <f t="shared" si="243"/>
        <v>3399.534633</v>
      </c>
      <c r="M256" s="55">
        <f t="shared" si="243"/>
        <v>4284.887439</v>
      </c>
      <c r="AA256" s="55">
        <f t="shared" ref="AA256:DR256" si="244">SUM(AA252:AA255)</f>
        <v>116.3064793</v>
      </c>
      <c r="AB256" s="55">
        <f t="shared" si="244"/>
        <v>146.6653013</v>
      </c>
      <c r="AC256" s="55">
        <f t="shared" si="244"/>
        <v>176.8506509</v>
      </c>
      <c r="AD256" s="55">
        <f t="shared" si="244"/>
        <v>156.9094198</v>
      </c>
      <c r="AE256" s="55">
        <f t="shared" si="244"/>
        <v>175.7426788</v>
      </c>
      <c r="AF256" s="55">
        <f t="shared" si="244"/>
        <v>201.4595102</v>
      </c>
      <c r="AG256" s="55">
        <f t="shared" si="244"/>
        <v>179.9418086</v>
      </c>
      <c r="AH256" s="55">
        <f t="shared" si="244"/>
        <v>232.9356208</v>
      </c>
      <c r="AI256" s="55">
        <f t="shared" si="244"/>
        <v>205.180451</v>
      </c>
      <c r="AJ256" s="55">
        <f t="shared" si="244"/>
        <v>251.1181185</v>
      </c>
      <c r="AK256" s="55">
        <f t="shared" si="244"/>
        <v>222.5286851</v>
      </c>
      <c r="AL256" s="55">
        <f t="shared" si="244"/>
        <v>183.9647756</v>
      </c>
      <c r="AM256" s="55">
        <f t="shared" si="244"/>
        <v>216.5257677</v>
      </c>
      <c r="AN256" s="55">
        <f t="shared" si="244"/>
        <v>229.6436015</v>
      </c>
      <c r="AO256" s="55">
        <f t="shared" si="244"/>
        <v>231.4079588</v>
      </c>
      <c r="AP256" s="55">
        <f t="shared" si="244"/>
        <v>231.4214121</v>
      </c>
      <c r="AQ256" s="55">
        <f t="shared" si="244"/>
        <v>217.9399195</v>
      </c>
      <c r="AR256" s="55">
        <f t="shared" si="244"/>
        <v>157.1961706</v>
      </c>
      <c r="AS256" s="55">
        <f t="shared" si="244"/>
        <v>127.8211125</v>
      </c>
      <c r="AT256" s="55">
        <f t="shared" si="244"/>
        <v>141.4831971</v>
      </c>
      <c r="AU256" s="55">
        <f t="shared" si="244"/>
        <v>143.9408575</v>
      </c>
      <c r="AV256" s="55">
        <f t="shared" si="244"/>
        <v>133.762993</v>
      </c>
      <c r="AW256" s="55">
        <f t="shared" si="244"/>
        <v>76.95232974</v>
      </c>
      <c r="AX256" s="55">
        <f t="shared" si="244"/>
        <v>55.7154239</v>
      </c>
      <c r="AY256" s="55">
        <f t="shared" si="244"/>
        <v>60.94144128</v>
      </c>
      <c r="AZ256" s="55">
        <f t="shared" si="244"/>
        <v>77.06541123</v>
      </c>
      <c r="BA256" s="55">
        <f t="shared" si="244"/>
        <v>98.54442263</v>
      </c>
      <c r="BB256" s="55">
        <f t="shared" si="244"/>
        <v>89.49891784</v>
      </c>
      <c r="BC256" s="55">
        <f t="shared" si="244"/>
        <v>89.1300791</v>
      </c>
      <c r="BD256" s="55">
        <f t="shared" si="244"/>
        <v>84.13602316</v>
      </c>
      <c r="BE256" s="55">
        <f t="shared" si="244"/>
        <v>76.48606928</v>
      </c>
      <c r="BF256" s="55">
        <f t="shared" si="244"/>
        <v>71.74060803</v>
      </c>
      <c r="BG256" s="55">
        <f t="shared" si="244"/>
        <v>66.62494565</v>
      </c>
      <c r="BH256" s="55">
        <f t="shared" si="244"/>
        <v>84.9998126</v>
      </c>
      <c r="BI256" s="55">
        <f t="shared" si="244"/>
        <v>74.80289084</v>
      </c>
      <c r="BJ256" s="55">
        <f t="shared" si="244"/>
        <v>66.47620361</v>
      </c>
      <c r="BK256" s="55">
        <f t="shared" si="244"/>
        <v>81.93792921</v>
      </c>
      <c r="BL256" s="55">
        <f t="shared" si="244"/>
        <v>95.42324743</v>
      </c>
      <c r="BM256" s="55">
        <f t="shared" si="244"/>
        <v>108.8491912</v>
      </c>
      <c r="BN256" s="55">
        <f t="shared" si="244"/>
        <v>102.1730933</v>
      </c>
      <c r="BO256" s="55">
        <f t="shared" si="244"/>
        <v>102.5758651</v>
      </c>
      <c r="BP256" s="55">
        <f t="shared" si="244"/>
        <v>93.61088736</v>
      </c>
      <c r="BQ256" s="55">
        <f t="shared" si="244"/>
        <v>81.8102591</v>
      </c>
      <c r="BR256" s="55">
        <f t="shared" si="244"/>
        <v>91.01291536</v>
      </c>
      <c r="BS256" s="55">
        <f t="shared" si="244"/>
        <v>85.04138156</v>
      </c>
      <c r="BT256" s="55">
        <f t="shared" si="244"/>
        <v>97.60747499</v>
      </c>
      <c r="BU256" s="55">
        <f t="shared" si="244"/>
        <v>78.6441614</v>
      </c>
      <c r="BV256" s="55">
        <f t="shared" si="244"/>
        <v>65.34289208</v>
      </c>
      <c r="BW256" s="55">
        <f t="shared" si="244"/>
        <v>158.5916639</v>
      </c>
      <c r="BX256" s="55">
        <f t="shared" si="244"/>
        <v>181.5376425</v>
      </c>
      <c r="BY256" s="55">
        <f t="shared" si="244"/>
        <v>204.3937882</v>
      </c>
      <c r="BZ256" s="55">
        <f t="shared" si="244"/>
        <v>194.4155354</v>
      </c>
      <c r="CA256" s="55">
        <f t="shared" si="244"/>
        <v>190.0587733</v>
      </c>
      <c r="CB256" s="55">
        <f t="shared" si="244"/>
        <v>161.8945501</v>
      </c>
      <c r="CC256" s="55">
        <f t="shared" si="244"/>
        <v>140.3952052</v>
      </c>
      <c r="CD256" s="55">
        <f t="shared" si="244"/>
        <v>146.9758114</v>
      </c>
      <c r="CE256" s="55">
        <f t="shared" si="244"/>
        <v>140.8403258</v>
      </c>
      <c r="CF256" s="55">
        <f t="shared" si="244"/>
        <v>157.2583627</v>
      </c>
      <c r="CG256" s="55">
        <f t="shared" si="244"/>
        <v>121.0249671</v>
      </c>
      <c r="CH256" s="55">
        <f t="shared" si="244"/>
        <v>100.8164994</v>
      </c>
      <c r="CI256" s="55">
        <f t="shared" si="244"/>
        <v>191.5495856</v>
      </c>
      <c r="CJ256" s="55">
        <f t="shared" si="244"/>
        <v>227.1960321</v>
      </c>
      <c r="CK256" s="55">
        <f t="shared" si="244"/>
        <v>267.6258009</v>
      </c>
      <c r="CL256" s="55">
        <f t="shared" si="244"/>
        <v>249.63411</v>
      </c>
      <c r="CM256" s="55">
        <f t="shared" si="244"/>
        <v>247.653182</v>
      </c>
      <c r="CN256" s="55">
        <f t="shared" si="244"/>
        <v>223.3453063</v>
      </c>
      <c r="CO256" s="55">
        <f t="shared" si="244"/>
        <v>197.3875986</v>
      </c>
      <c r="CP256" s="55">
        <f t="shared" si="244"/>
        <v>203.298352</v>
      </c>
      <c r="CQ256" s="55">
        <f t="shared" si="244"/>
        <v>191.1686348</v>
      </c>
      <c r="CR256" s="55">
        <f t="shared" si="244"/>
        <v>225.1953797</v>
      </c>
      <c r="CS256" s="55">
        <f t="shared" si="244"/>
        <v>184.629658</v>
      </c>
      <c r="CT256" s="55">
        <f t="shared" si="244"/>
        <v>157.4540163</v>
      </c>
      <c r="CU256" s="55">
        <f t="shared" si="244"/>
        <v>264.9142397</v>
      </c>
      <c r="CV256" s="55">
        <f t="shared" si="244"/>
        <v>308.4502057</v>
      </c>
      <c r="CW256" s="55">
        <f t="shared" si="244"/>
        <v>353.98274</v>
      </c>
      <c r="CX256" s="55">
        <f t="shared" si="244"/>
        <v>333.1022616</v>
      </c>
      <c r="CY256" s="55">
        <f t="shared" si="244"/>
        <v>330.0476643</v>
      </c>
      <c r="CZ256" s="55">
        <f t="shared" si="244"/>
        <v>293.1288181</v>
      </c>
      <c r="DA256" s="55">
        <f t="shared" si="244"/>
        <v>256.495968</v>
      </c>
      <c r="DB256" s="55">
        <f t="shared" si="244"/>
        <v>272.6544401</v>
      </c>
      <c r="DC256" s="55">
        <f t="shared" si="244"/>
        <v>257.393086</v>
      </c>
      <c r="DD256" s="55">
        <f t="shared" si="244"/>
        <v>295.3558955</v>
      </c>
      <c r="DE256" s="55">
        <f t="shared" si="244"/>
        <v>235.9890243</v>
      </c>
      <c r="DF256" s="55">
        <f t="shared" si="244"/>
        <v>198.0202894</v>
      </c>
      <c r="DG256" s="55">
        <f t="shared" si="244"/>
        <v>337.24924</v>
      </c>
      <c r="DH256" s="55">
        <f t="shared" si="244"/>
        <v>392.6468368</v>
      </c>
      <c r="DI256" s="55">
        <f t="shared" si="244"/>
        <v>451.478053</v>
      </c>
      <c r="DJ256" s="55">
        <f t="shared" si="244"/>
        <v>425.1830756</v>
      </c>
      <c r="DK256" s="55">
        <f t="shared" si="244"/>
        <v>419.5189022</v>
      </c>
      <c r="DL256" s="55">
        <f t="shared" si="244"/>
        <v>369.2859795</v>
      </c>
      <c r="DM256" s="55">
        <f t="shared" si="244"/>
        <v>323.2698931</v>
      </c>
      <c r="DN256" s="55">
        <f t="shared" si="244"/>
        <v>338.3002264</v>
      </c>
      <c r="DO256" s="55">
        <f t="shared" si="244"/>
        <v>320.5203062</v>
      </c>
      <c r="DP256" s="55">
        <f t="shared" si="244"/>
        <v>367.7629311</v>
      </c>
      <c r="DQ256" s="55">
        <f t="shared" si="244"/>
        <v>292.9779622</v>
      </c>
      <c r="DR256" s="55">
        <f t="shared" si="244"/>
        <v>246.6940326</v>
      </c>
    </row>
    <row r="257" ht="15.75" customHeight="1">
      <c r="A257" s="70"/>
      <c r="B257" s="70" t="s">
        <v>132</v>
      </c>
      <c r="C257" s="70"/>
      <c r="D257" s="70"/>
      <c r="E257" s="70"/>
      <c r="F257" s="104">
        <f t="shared" ref="F257:M257" si="245">+F256/SUMIFS($AA256:$DR256,$AA$7:$DR$7,F$7)</f>
        <v>1</v>
      </c>
      <c r="G257" s="104">
        <f t="shared" si="245"/>
        <v>1</v>
      </c>
      <c r="H257" s="104">
        <f t="shared" si="245"/>
        <v>1</v>
      </c>
      <c r="I257" s="104">
        <f t="shared" si="245"/>
        <v>1</v>
      </c>
      <c r="J257" s="104">
        <f t="shared" si="245"/>
        <v>1</v>
      </c>
      <c r="K257" s="104">
        <f t="shared" si="245"/>
        <v>1</v>
      </c>
      <c r="L257" s="104">
        <f t="shared" si="245"/>
        <v>1</v>
      </c>
      <c r="M257" s="104">
        <f t="shared" si="245"/>
        <v>1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104">
        <f t="shared" ref="AA257:BJ257" si="246">+AA256/SUMIFS($AA256:$DR256,$AA$7:$DR$7,AA$7)</f>
        <v>0.05170087942</v>
      </c>
      <c r="AB257" s="104">
        <f t="shared" si="246"/>
        <v>0.06519606735</v>
      </c>
      <c r="AC257" s="104">
        <f t="shared" si="246"/>
        <v>0.07861414283</v>
      </c>
      <c r="AD257" s="104">
        <f t="shared" si="246"/>
        <v>0.06974981139</v>
      </c>
      <c r="AE257" s="104">
        <f t="shared" si="246"/>
        <v>0.07812162399</v>
      </c>
      <c r="AF257" s="104">
        <f t="shared" si="246"/>
        <v>0.08955334138</v>
      </c>
      <c r="AG257" s="104">
        <f t="shared" si="246"/>
        <v>0.07998823287</v>
      </c>
      <c r="AH257" s="104">
        <f t="shared" si="246"/>
        <v>0.1035451896</v>
      </c>
      <c r="AI257" s="104">
        <f t="shared" si="246"/>
        <v>0.09120738433</v>
      </c>
      <c r="AJ257" s="104">
        <f t="shared" si="246"/>
        <v>0.111627724</v>
      </c>
      <c r="AK257" s="104">
        <f t="shared" si="246"/>
        <v>0.09891906958</v>
      </c>
      <c r="AL257" s="104">
        <f t="shared" si="246"/>
        <v>0.08177653333</v>
      </c>
      <c r="AM257" s="104">
        <f t="shared" si="246"/>
        <v>0.1102579607</v>
      </c>
      <c r="AN257" s="104">
        <f t="shared" si="246"/>
        <v>0.1169377457</v>
      </c>
      <c r="AO257" s="104">
        <f t="shared" si="246"/>
        <v>0.1178361813</v>
      </c>
      <c r="AP257" s="104">
        <f t="shared" si="246"/>
        <v>0.1178430319</v>
      </c>
      <c r="AQ257" s="104">
        <f t="shared" si="246"/>
        <v>0.1109780666</v>
      </c>
      <c r="AR257" s="104">
        <f t="shared" si="246"/>
        <v>0.08004649687</v>
      </c>
      <c r="AS257" s="104">
        <f t="shared" si="246"/>
        <v>0.0650883049</v>
      </c>
      <c r="AT257" s="104">
        <f t="shared" si="246"/>
        <v>0.07204523021</v>
      </c>
      <c r="AU257" s="104">
        <f t="shared" si="246"/>
        <v>0.07329670537</v>
      </c>
      <c r="AV257" s="104">
        <f t="shared" si="246"/>
        <v>0.06811399388</v>
      </c>
      <c r="AW257" s="104">
        <f t="shared" si="246"/>
        <v>0.03918520661</v>
      </c>
      <c r="AX257" s="104">
        <f t="shared" si="246"/>
        <v>0.02837107602</v>
      </c>
      <c r="AY257" s="104">
        <f t="shared" si="246"/>
        <v>0.06480051784</v>
      </c>
      <c r="AZ257" s="104">
        <f t="shared" si="246"/>
        <v>0.08194552755</v>
      </c>
      <c r="BA257" s="104">
        <f t="shared" si="246"/>
        <v>0.1047846832</v>
      </c>
      <c r="BB257" s="104">
        <f t="shared" si="246"/>
        <v>0.09516637776</v>
      </c>
      <c r="BC257" s="104">
        <f t="shared" si="246"/>
        <v>0.09477418256</v>
      </c>
      <c r="BD257" s="104">
        <f t="shared" si="246"/>
        <v>0.08946388131</v>
      </c>
      <c r="BE257" s="104">
        <f t="shared" si="246"/>
        <v>0.08132949916</v>
      </c>
      <c r="BF257" s="104">
        <f t="shared" si="246"/>
        <v>0.0762835347</v>
      </c>
      <c r="BG257" s="104">
        <f t="shared" si="246"/>
        <v>0.07084392638</v>
      </c>
      <c r="BH257" s="104">
        <f t="shared" si="246"/>
        <v>0.09038236966</v>
      </c>
      <c r="BI257" s="104">
        <f t="shared" si="246"/>
        <v>0.07953973455</v>
      </c>
      <c r="BJ257" s="104">
        <f t="shared" si="246"/>
        <v>0.07068576534</v>
      </c>
      <c r="BK257" s="105">
        <f t="shared" ref="BK257:DR257" si="247">+AVERAGE(AA257,AM257,AY257)</f>
        <v>0.07558645264</v>
      </c>
      <c r="BL257" s="105">
        <f t="shared" si="247"/>
        <v>0.08802644688</v>
      </c>
      <c r="BM257" s="105">
        <f t="shared" si="247"/>
        <v>0.1004116691</v>
      </c>
      <c r="BN257" s="105">
        <f t="shared" si="247"/>
        <v>0.09425307369</v>
      </c>
      <c r="BO257" s="105">
        <f t="shared" si="247"/>
        <v>0.09462462437</v>
      </c>
      <c r="BP257" s="105">
        <f t="shared" si="247"/>
        <v>0.08635457319</v>
      </c>
      <c r="BQ257" s="105">
        <f t="shared" si="247"/>
        <v>0.07546867898</v>
      </c>
      <c r="BR257" s="105">
        <f t="shared" si="247"/>
        <v>0.08395798482</v>
      </c>
      <c r="BS257" s="105">
        <f t="shared" si="247"/>
        <v>0.07844933869</v>
      </c>
      <c r="BT257" s="105">
        <f t="shared" si="247"/>
        <v>0.0900413625</v>
      </c>
      <c r="BU257" s="105">
        <f t="shared" si="247"/>
        <v>0.07254800358</v>
      </c>
      <c r="BV257" s="105">
        <f t="shared" si="247"/>
        <v>0.06027779157</v>
      </c>
      <c r="BW257" s="105">
        <f t="shared" si="247"/>
        <v>0.08354831038</v>
      </c>
      <c r="BX257" s="105">
        <f t="shared" si="247"/>
        <v>0.09563657339</v>
      </c>
      <c r="BY257" s="105">
        <f t="shared" si="247"/>
        <v>0.1076775112</v>
      </c>
      <c r="BZ257" s="105">
        <f t="shared" si="247"/>
        <v>0.1024208278</v>
      </c>
      <c r="CA257" s="105">
        <f t="shared" si="247"/>
        <v>0.1001256245</v>
      </c>
      <c r="CB257" s="105">
        <f t="shared" si="247"/>
        <v>0.08528831712</v>
      </c>
      <c r="CC257" s="105">
        <f t="shared" si="247"/>
        <v>0.07396216101</v>
      </c>
      <c r="CD257" s="105">
        <f t="shared" si="247"/>
        <v>0.07742891658</v>
      </c>
      <c r="CE257" s="105">
        <f t="shared" si="247"/>
        <v>0.07419665681</v>
      </c>
      <c r="CF257" s="105">
        <f t="shared" si="247"/>
        <v>0.08284590868</v>
      </c>
      <c r="CG257" s="105">
        <f t="shared" si="247"/>
        <v>0.06375764825</v>
      </c>
      <c r="CH257" s="105">
        <f t="shared" si="247"/>
        <v>0.05311154431</v>
      </c>
      <c r="CI257" s="105">
        <f t="shared" si="247"/>
        <v>0.07464509362</v>
      </c>
      <c r="CJ257" s="105">
        <f t="shared" si="247"/>
        <v>0.08853618261</v>
      </c>
      <c r="CK257" s="105">
        <f t="shared" si="247"/>
        <v>0.1042912878</v>
      </c>
      <c r="CL257" s="105">
        <f t="shared" si="247"/>
        <v>0.09728009308</v>
      </c>
      <c r="CM257" s="105">
        <f t="shared" si="247"/>
        <v>0.09650814381</v>
      </c>
      <c r="CN257" s="105">
        <f t="shared" si="247"/>
        <v>0.08703559054</v>
      </c>
      <c r="CO257" s="105">
        <f t="shared" si="247"/>
        <v>0.07692011305</v>
      </c>
      <c r="CP257" s="105">
        <f t="shared" si="247"/>
        <v>0.0792234787</v>
      </c>
      <c r="CQ257" s="105">
        <f t="shared" si="247"/>
        <v>0.07449664063</v>
      </c>
      <c r="CR257" s="105">
        <f t="shared" si="247"/>
        <v>0.08775654695</v>
      </c>
      <c r="CS257" s="105">
        <f t="shared" si="247"/>
        <v>0.07194846213</v>
      </c>
      <c r="CT257" s="105">
        <f t="shared" si="247"/>
        <v>0.06135836707</v>
      </c>
      <c r="CU257" s="105">
        <f t="shared" si="247"/>
        <v>0.07792661888</v>
      </c>
      <c r="CV257" s="105">
        <f t="shared" si="247"/>
        <v>0.09073306762</v>
      </c>
      <c r="CW257" s="105">
        <f t="shared" si="247"/>
        <v>0.1041268227</v>
      </c>
      <c r="CX257" s="105">
        <f t="shared" si="247"/>
        <v>0.09798466485</v>
      </c>
      <c r="CY257" s="105">
        <f t="shared" si="247"/>
        <v>0.0970861309</v>
      </c>
      <c r="CZ257" s="105">
        <f t="shared" si="247"/>
        <v>0.08622616028</v>
      </c>
      <c r="DA257" s="105">
        <f t="shared" si="247"/>
        <v>0.07545031768</v>
      </c>
      <c r="DB257" s="105">
        <f t="shared" si="247"/>
        <v>0.08020346003</v>
      </c>
      <c r="DC257" s="105">
        <f t="shared" si="247"/>
        <v>0.07571421204</v>
      </c>
      <c r="DD257" s="105">
        <f t="shared" si="247"/>
        <v>0.08688127271</v>
      </c>
      <c r="DE257" s="105">
        <f t="shared" si="247"/>
        <v>0.06941803798</v>
      </c>
      <c r="DF257" s="105">
        <f t="shared" si="247"/>
        <v>0.05824923432</v>
      </c>
      <c r="DG257" s="105">
        <f t="shared" si="247"/>
        <v>0.0787066743</v>
      </c>
      <c r="DH257" s="105">
        <f t="shared" si="247"/>
        <v>0.09163527454</v>
      </c>
      <c r="DI257" s="105">
        <f t="shared" si="247"/>
        <v>0.1053652072</v>
      </c>
      <c r="DJ257" s="105">
        <f t="shared" si="247"/>
        <v>0.09922852857</v>
      </c>
      <c r="DK257" s="105">
        <f t="shared" si="247"/>
        <v>0.09790663307</v>
      </c>
      <c r="DL257" s="105">
        <f t="shared" si="247"/>
        <v>0.08618335598</v>
      </c>
      <c r="DM257" s="105">
        <f t="shared" si="247"/>
        <v>0.07544419725</v>
      </c>
      <c r="DN257" s="105">
        <f t="shared" si="247"/>
        <v>0.07895195177</v>
      </c>
      <c r="DO257" s="105">
        <f t="shared" si="247"/>
        <v>0.07480250316</v>
      </c>
      <c r="DP257" s="105">
        <f t="shared" si="247"/>
        <v>0.08582790945</v>
      </c>
      <c r="DQ257" s="105">
        <f t="shared" si="247"/>
        <v>0.06837471612</v>
      </c>
      <c r="DR257" s="105">
        <f t="shared" si="247"/>
        <v>0.05757304857</v>
      </c>
      <c r="DS257" s="70"/>
    </row>
    <row r="258" ht="4.5" customHeight="1"/>
    <row r="259" ht="15.75" customHeight="1">
      <c r="B259" s="47" t="s">
        <v>20</v>
      </c>
    </row>
    <row r="260" ht="15.75" customHeight="1">
      <c r="B260" s="5" t="s">
        <v>82</v>
      </c>
      <c r="F260" s="50">
        <f t="shared" ref="F260:M260" si="248">+F245-F252</f>
        <v>-471.5309542</v>
      </c>
      <c r="G260" s="50">
        <f t="shared" si="248"/>
        <v>-259.3273225</v>
      </c>
      <c r="H260" s="50">
        <f t="shared" si="248"/>
        <v>-91.06785053</v>
      </c>
      <c r="I260" s="50">
        <f t="shared" si="248"/>
        <v>-130.928</v>
      </c>
      <c r="J260" s="50">
        <f t="shared" si="248"/>
        <v>168.4375</v>
      </c>
      <c r="K260" s="50">
        <f t="shared" si="248"/>
        <v>315.315</v>
      </c>
      <c r="L260" s="50">
        <f t="shared" si="248"/>
        <v>343.814625</v>
      </c>
      <c r="M260" s="50">
        <f t="shared" si="248"/>
        <v>374.375925</v>
      </c>
      <c r="AA260" s="53"/>
      <c r="AB260" s="100"/>
      <c r="AC260" s="100"/>
      <c r="AD260" s="100"/>
      <c r="AE260" s="100"/>
      <c r="AF260" s="100"/>
      <c r="AG260" s="100"/>
      <c r="AH260" s="100"/>
      <c r="AI260" s="100"/>
      <c r="AJ260" s="100"/>
      <c r="AK260" s="100"/>
      <c r="AL260" s="100"/>
      <c r="AM260" s="100"/>
      <c r="AN260" s="100"/>
      <c r="AO260" s="100"/>
      <c r="AP260" s="100"/>
      <c r="AQ260" s="100"/>
      <c r="AR260" s="100"/>
      <c r="AS260" s="100"/>
      <c r="AT260" s="100"/>
      <c r="AU260" s="100"/>
      <c r="AV260" s="100"/>
      <c r="AW260" s="100"/>
      <c r="AX260" s="100"/>
      <c r="AY260" s="100"/>
      <c r="AZ260" s="100"/>
      <c r="BA260" s="100"/>
      <c r="BB260" s="100"/>
      <c r="BC260" s="100"/>
      <c r="BD260" s="100"/>
      <c r="BE260" s="100"/>
      <c r="BF260" s="100"/>
      <c r="BG260" s="100"/>
      <c r="BH260" s="100"/>
      <c r="BI260" s="100"/>
      <c r="BJ260" s="100"/>
      <c r="BK260" s="100"/>
      <c r="BL260" s="100"/>
      <c r="BM260" s="100"/>
      <c r="BN260" s="100"/>
      <c r="BO260" s="100"/>
      <c r="BP260" s="100"/>
      <c r="BQ260" s="100"/>
      <c r="BR260" s="100"/>
      <c r="BS260" s="100"/>
      <c r="BT260" s="100"/>
      <c r="BU260" s="100"/>
      <c r="BV260" s="100"/>
      <c r="BW260" s="100"/>
      <c r="BX260" s="100"/>
      <c r="BY260" s="100"/>
      <c r="BZ260" s="100"/>
      <c r="CA260" s="100"/>
      <c r="CB260" s="100"/>
      <c r="CC260" s="100"/>
      <c r="CD260" s="100"/>
      <c r="CE260" s="100"/>
      <c r="CF260" s="100"/>
      <c r="CG260" s="100"/>
      <c r="CH260" s="100"/>
      <c r="CI260" s="100"/>
      <c r="CJ260" s="100"/>
      <c r="CK260" s="100"/>
      <c r="CL260" s="100"/>
      <c r="CM260" s="100"/>
      <c r="CN260" s="100"/>
      <c r="CO260" s="100"/>
      <c r="CP260" s="100"/>
      <c r="CQ260" s="100"/>
      <c r="CR260" s="100"/>
      <c r="CS260" s="100"/>
      <c r="CT260" s="100"/>
      <c r="CU260" s="100"/>
      <c r="CV260" s="100"/>
      <c r="CW260" s="100"/>
      <c r="CX260" s="100"/>
      <c r="CY260" s="100"/>
      <c r="CZ260" s="100"/>
      <c r="DA260" s="100"/>
      <c r="DB260" s="100"/>
      <c r="DC260" s="100"/>
      <c r="DD260" s="100"/>
      <c r="DE260" s="100"/>
      <c r="DF260" s="100"/>
      <c r="DG260" s="100"/>
      <c r="DH260" s="100"/>
      <c r="DI260" s="100"/>
      <c r="DJ260" s="100"/>
      <c r="DK260" s="100"/>
      <c r="DL260" s="100"/>
      <c r="DM260" s="100"/>
      <c r="DN260" s="100"/>
      <c r="DO260" s="100"/>
      <c r="DP260" s="100"/>
      <c r="DQ260" s="100"/>
      <c r="DR260" s="100"/>
    </row>
    <row r="261" ht="15.75" customHeight="1">
      <c r="B261" s="5" t="s">
        <v>76</v>
      </c>
      <c r="F261" s="50">
        <f t="shared" ref="F261:I261" si="249">+F247-F254</f>
        <v>-335.2312873</v>
      </c>
      <c r="G261" s="50">
        <f t="shared" si="249"/>
        <v>-480.9984653</v>
      </c>
      <c r="H261" s="50">
        <f t="shared" si="249"/>
        <v>-32.81387926</v>
      </c>
      <c r="I261" s="50">
        <f t="shared" si="249"/>
        <v>70.99318476</v>
      </c>
      <c r="J261" s="50">
        <f t="shared" ref="J261:M261" si="250">+J246-J253</f>
        <v>80.390625</v>
      </c>
      <c r="K261" s="50">
        <f t="shared" si="250"/>
        <v>91.16296875</v>
      </c>
      <c r="L261" s="50">
        <f t="shared" si="250"/>
        <v>100.2792656</v>
      </c>
      <c r="M261" s="50">
        <f t="shared" si="250"/>
        <v>110.0792848</v>
      </c>
      <c r="AA261" s="53"/>
      <c r="AB261" s="100"/>
      <c r="AC261" s="100"/>
      <c r="AD261" s="100"/>
      <c r="AE261" s="100"/>
      <c r="AF261" s="100"/>
      <c r="AG261" s="100"/>
      <c r="AH261" s="100"/>
      <c r="AI261" s="100"/>
      <c r="AJ261" s="100"/>
      <c r="AK261" s="100"/>
      <c r="AL261" s="100"/>
      <c r="AM261" s="100"/>
      <c r="AN261" s="100"/>
      <c r="AO261" s="100"/>
      <c r="AP261" s="100"/>
      <c r="AQ261" s="100"/>
      <c r="AR261" s="100"/>
      <c r="AS261" s="100"/>
      <c r="AT261" s="100"/>
      <c r="AU261" s="100"/>
      <c r="AV261" s="100"/>
      <c r="AW261" s="100"/>
      <c r="AX261" s="100"/>
      <c r="AY261" s="100"/>
      <c r="AZ261" s="100"/>
      <c r="BA261" s="100"/>
      <c r="BB261" s="100"/>
      <c r="BC261" s="100"/>
      <c r="BD261" s="100"/>
      <c r="BE261" s="100"/>
      <c r="BF261" s="100"/>
      <c r="BG261" s="100"/>
      <c r="BH261" s="100"/>
      <c r="BI261" s="100"/>
      <c r="BJ261" s="100"/>
      <c r="BK261" s="100"/>
      <c r="BL261" s="100"/>
      <c r="BM261" s="100"/>
      <c r="BN261" s="100"/>
      <c r="BO261" s="100"/>
      <c r="BP261" s="100"/>
      <c r="BQ261" s="100"/>
      <c r="BR261" s="100"/>
      <c r="BS261" s="100"/>
      <c r="BT261" s="100"/>
      <c r="BU261" s="100"/>
      <c r="BV261" s="100"/>
      <c r="BW261" s="100"/>
      <c r="BX261" s="100"/>
      <c r="BY261" s="100"/>
      <c r="BZ261" s="100"/>
      <c r="CA261" s="100"/>
      <c r="CB261" s="100"/>
      <c r="CC261" s="100"/>
      <c r="CD261" s="100"/>
      <c r="CE261" s="100"/>
      <c r="CF261" s="100"/>
      <c r="CG261" s="100"/>
      <c r="CH261" s="100"/>
      <c r="CI261" s="100"/>
      <c r="CJ261" s="100"/>
      <c r="CK261" s="100"/>
      <c r="CL261" s="100"/>
      <c r="CM261" s="100"/>
      <c r="CN261" s="100"/>
      <c r="CO261" s="100"/>
      <c r="CP261" s="100"/>
      <c r="CQ261" s="100"/>
      <c r="CR261" s="100"/>
      <c r="CS261" s="100"/>
      <c r="CT261" s="100"/>
      <c r="CU261" s="100"/>
      <c r="CV261" s="100"/>
      <c r="CW261" s="100"/>
      <c r="CX261" s="100"/>
      <c r="CY261" s="100"/>
      <c r="CZ261" s="100"/>
      <c r="DA261" s="100"/>
      <c r="DB261" s="100"/>
      <c r="DC261" s="100"/>
      <c r="DD261" s="100"/>
      <c r="DE261" s="100"/>
      <c r="DF261" s="100"/>
      <c r="DG261" s="100"/>
      <c r="DH261" s="100"/>
      <c r="DI261" s="100"/>
      <c r="DJ261" s="100"/>
      <c r="DK261" s="100"/>
      <c r="DL261" s="100"/>
      <c r="DM261" s="100"/>
      <c r="DN261" s="100"/>
      <c r="DO261" s="100"/>
      <c r="DP261" s="100"/>
      <c r="DQ261" s="100"/>
      <c r="DR261" s="100"/>
    </row>
    <row r="262" ht="15.75" customHeight="1">
      <c r="B262" s="5" t="s">
        <v>74</v>
      </c>
      <c r="F262" s="50">
        <f t="shared" ref="F262:I262" si="251">+F248-F255</f>
        <v>-274.5970833</v>
      </c>
      <c r="G262" s="50">
        <f t="shared" si="251"/>
        <v>-57.99327982</v>
      </c>
      <c r="H262" s="50">
        <f t="shared" si="251"/>
        <v>215.0535552</v>
      </c>
      <c r="I262" s="50">
        <f t="shared" si="251"/>
        <v>139.2664</v>
      </c>
      <c r="J262" s="50">
        <f t="shared" ref="J262:M262" si="252">+J247-J254</f>
        <v>168.4375</v>
      </c>
      <c r="K262" s="50">
        <f t="shared" si="252"/>
        <v>250.81875</v>
      </c>
      <c r="L262" s="50">
        <f t="shared" si="252"/>
        <v>401.1170625</v>
      </c>
      <c r="M262" s="50">
        <f t="shared" si="252"/>
        <v>595.5980625</v>
      </c>
      <c r="AA262" s="53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  <c r="AM262" s="100"/>
      <c r="AN262" s="100"/>
      <c r="AO262" s="100"/>
      <c r="AP262" s="100"/>
      <c r="AQ262" s="100"/>
      <c r="AR262" s="100"/>
      <c r="AS262" s="100"/>
      <c r="AT262" s="100"/>
      <c r="AU262" s="100"/>
      <c r="AV262" s="100"/>
      <c r="AW262" s="100"/>
      <c r="AX262" s="100"/>
      <c r="AY262" s="100"/>
      <c r="AZ262" s="100"/>
      <c r="BA262" s="100"/>
      <c r="BB262" s="100"/>
      <c r="BC262" s="100"/>
      <c r="BD262" s="100"/>
      <c r="BE262" s="100"/>
      <c r="BF262" s="100"/>
      <c r="BG262" s="100"/>
      <c r="BH262" s="100"/>
      <c r="BI262" s="100"/>
      <c r="BJ262" s="100"/>
      <c r="BK262" s="100"/>
      <c r="BL262" s="100"/>
      <c r="BM262" s="100"/>
      <c r="BN262" s="100"/>
      <c r="BO262" s="100"/>
      <c r="BP262" s="100"/>
      <c r="BQ262" s="100"/>
      <c r="BR262" s="100"/>
      <c r="BS262" s="100"/>
      <c r="BT262" s="100"/>
      <c r="BU262" s="100"/>
      <c r="BV262" s="100"/>
      <c r="BW262" s="100"/>
      <c r="BX262" s="100"/>
      <c r="BY262" s="100"/>
      <c r="BZ262" s="100"/>
      <c r="CA262" s="100"/>
      <c r="CB262" s="100"/>
      <c r="CC262" s="100"/>
      <c r="CD262" s="100"/>
      <c r="CE262" s="100"/>
      <c r="CF262" s="100"/>
      <c r="CG262" s="100"/>
      <c r="CH262" s="100"/>
      <c r="CI262" s="100"/>
      <c r="CJ262" s="100"/>
      <c r="CK262" s="100"/>
      <c r="CL262" s="100"/>
      <c r="CM262" s="100"/>
      <c r="CN262" s="100"/>
      <c r="CO262" s="100"/>
      <c r="CP262" s="100"/>
      <c r="CQ262" s="100"/>
      <c r="CR262" s="100"/>
      <c r="CS262" s="100"/>
      <c r="CT262" s="100"/>
      <c r="CU262" s="100"/>
      <c r="CV262" s="100"/>
      <c r="CW262" s="100"/>
      <c r="CX262" s="100"/>
      <c r="CY262" s="100"/>
      <c r="CZ262" s="100"/>
      <c r="DA262" s="100"/>
      <c r="DB262" s="100"/>
      <c r="DC262" s="100"/>
      <c r="DD262" s="100"/>
      <c r="DE262" s="100"/>
      <c r="DF262" s="100"/>
      <c r="DG262" s="100"/>
      <c r="DH262" s="100"/>
      <c r="DI262" s="100"/>
      <c r="DJ262" s="100"/>
      <c r="DK262" s="100"/>
      <c r="DL262" s="100"/>
      <c r="DM262" s="100"/>
      <c r="DN262" s="100"/>
      <c r="DO262" s="100"/>
      <c r="DP262" s="100"/>
      <c r="DQ262" s="100"/>
      <c r="DR262" s="100"/>
    </row>
    <row r="263" ht="15.75" customHeight="1">
      <c r="B263" s="5" t="s">
        <v>70</v>
      </c>
      <c r="F263" s="50">
        <f t="shared" ref="F263:M263" si="253">+F248-F255</f>
        <v>-274.5970833</v>
      </c>
      <c r="G263" s="50">
        <f t="shared" si="253"/>
        <v>-57.99327982</v>
      </c>
      <c r="H263" s="50">
        <f t="shared" si="253"/>
        <v>215.0535552</v>
      </c>
      <c r="I263" s="50">
        <f t="shared" si="253"/>
        <v>139.2664</v>
      </c>
      <c r="J263" s="50">
        <f t="shared" si="253"/>
        <v>188.671875</v>
      </c>
      <c r="K263" s="50">
        <f t="shared" si="253"/>
        <v>214.9875</v>
      </c>
      <c r="L263" s="50">
        <f t="shared" si="253"/>
        <v>380.9309766</v>
      </c>
      <c r="M263" s="50">
        <f t="shared" si="253"/>
        <v>553.0553438</v>
      </c>
      <c r="AA263" s="53"/>
      <c r="AB263" s="100"/>
      <c r="AC263" s="100"/>
      <c r="AD263" s="100"/>
      <c r="AE263" s="100"/>
      <c r="AF263" s="100"/>
      <c r="AG263" s="100"/>
      <c r="AH263" s="100"/>
      <c r="AI263" s="100"/>
      <c r="AJ263" s="100"/>
      <c r="AK263" s="100"/>
      <c r="AL263" s="100"/>
      <c r="AM263" s="100"/>
      <c r="AN263" s="100"/>
      <c r="AO263" s="100"/>
      <c r="AP263" s="100"/>
      <c r="AQ263" s="100"/>
      <c r="AR263" s="100"/>
      <c r="AS263" s="100"/>
      <c r="AT263" s="100"/>
      <c r="AU263" s="100"/>
      <c r="AV263" s="100"/>
      <c r="AW263" s="100"/>
      <c r="AX263" s="100"/>
      <c r="AY263" s="100"/>
      <c r="AZ263" s="100"/>
      <c r="BA263" s="100"/>
      <c r="BB263" s="100"/>
      <c r="BC263" s="100"/>
      <c r="BD263" s="100"/>
      <c r="BE263" s="100"/>
      <c r="BF263" s="100"/>
      <c r="BG263" s="100"/>
      <c r="BH263" s="100"/>
      <c r="BI263" s="100"/>
      <c r="BJ263" s="100"/>
      <c r="BK263" s="100"/>
      <c r="BL263" s="100"/>
      <c r="BM263" s="100"/>
      <c r="BN263" s="100"/>
      <c r="BO263" s="100"/>
      <c r="BP263" s="100"/>
      <c r="BQ263" s="100"/>
      <c r="BR263" s="100"/>
      <c r="BS263" s="100"/>
      <c r="BT263" s="100"/>
      <c r="BU263" s="100"/>
      <c r="BV263" s="100"/>
      <c r="BW263" s="100"/>
      <c r="BX263" s="100"/>
      <c r="BY263" s="100"/>
      <c r="BZ263" s="100"/>
      <c r="CA263" s="100"/>
      <c r="CB263" s="100"/>
      <c r="CC263" s="100"/>
      <c r="CD263" s="100"/>
      <c r="CE263" s="100"/>
      <c r="CF263" s="100"/>
      <c r="CG263" s="100"/>
      <c r="CH263" s="100"/>
      <c r="CI263" s="100"/>
      <c r="CJ263" s="100"/>
      <c r="CK263" s="100"/>
      <c r="CL263" s="100"/>
      <c r="CM263" s="100"/>
      <c r="CN263" s="100"/>
      <c r="CO263" s="100"/>
      <c r="CP263" s="100"/>
      <c r="CQ263" s="100"/>
      <c r="CR263" s="100"/>
      <c r="CS263" s="100"/>
      <c r="CT263" s="100"/>
      <c r="CU263" s="100"/>
      <c r="CV263" s="100"/>
      <c r="CW263" s="100"/>
      <c r="CX263" s="100"/>
      <c r="CY263" s="100"/>
      <c r="CZ263" s="100"/>
      <c r="DA263" s="100"/>
      <c r="DB263" s="100"/>
      <c r="DC263" s="100"/>
      <c r="DD263" s="100"/>
      <c r="DE263" s="100"/>
      <c r="DF263" s="100"/>
      <c r="DG263" s="100"/>
      <c r="DH263" s="100"/>
      <c r="DI263" s="100"/>
      <c r="DJ263" s="100"/>
      <c r="DK263" s="100"/>
      <c r="DL263" s="100"/>
      <c r="DM263" s="100"/>
      <c r="DN263" s="100"/>
      <c r="DO263" s="100"/>
      <c r="DP263" s="100"/>
      <c r="DQ263" s="100"/>
      <c r="DR263" s="100"/>
    </row>
    <row r="264" ht="15.75" customHeight="1">
      <c r="B264" s="54" t="s">
        <v>145</v>
      </c>
      <c r="C264" s="54"/>
      <c r="D264" s="54"/>
      <c r="F264" s="55">
        <f t="shared" ref="F264:M264" si="254">SUM(F260:F263)</f>
        <v>-1355.956408</v>
      </c>
      <c r="G264" s="55">
        <f t="shared" si="254"/>
        <v>-856.3123474</v>
      </c>
      <c r="H264" s="55">
        <f t="shared" si="254"/>
        <v>306.2253807</v>
      </c>
      <c r="I264" s="55">
        <f t="shared" si="254"/>
        <v>218.5979848</v>
      </c>
      <c r="J264" s="55">
        <f t="shared" si="254"/>
        <v>605.9375</v>
      </c>
      <c r="K264" s="55">
        <f t="shared" si="254"/>
        <v>872.2842188</v>
      </c>
      <c r="L264" s="55">
        <f t="shared" si="254"/>
        <v>1226.14193</v>
      </c>
      <c r="M264" s="55">
        <f t="shared" si="254"/>
        <v>1633.108616</v>
      </c>
      <c r="AA264" s="53"/>
      <c r="AB264" s="100"/>
      <c r="AC264" s="100"/>
      <c r="AD264" s="100"/>
      <c r="AE264" s="100"/>
      <c r="AF264" s="100"/>
      <c r="AG264" s="100"/>
      <c r="AH264" s="100"/>
      <c r="AI264" s="100"/>
      <c r="AJ264" s="100"/>
      <c r="AK264" s="100"/>
      <c r="AL264" s="100"/>
      <c r="AM264" s="100"/>
      <c r="AN264" s="100"/>
      <c r="AO264" s="100"/>
      <c r="AP264" s="100"/>
      <c r="AQ264" s="100"/>
      <c r="AR264" s="100"/>
      <c r="AS264" s="100"/>
      <c r="AT264" s="100"/>
      <c r="AU264" s="100"/>
      <c r="AV264" s="100"/>
      <c r="AW264" s="100"/>
      <c r="AX264" s="100"/>
      <c r="AY264" s="100"/>
      <c r="AZ264" s="100"/>
      <c r="BA264" s="100"/>
      <c r="BB264" s="100"/>
      <c r="BC264" s="100"/>
      <c r="BD264" s="100"/>
      <c r="BE264" s="100"/>
      <c r="BF264" s="100"/>
      <c r="BG264" s="100"/>
      <c r="BH264" s="100"/>
      <c r="BI264" s="100"/>
      <c r="BJ264" s="100"/>
      <c r="BK264" s="100"/>
      <c r="BL264" s="100"/>
      <c r="BM264" s="100"/>
      <c r="BN264" s="100"/>
      <c r="BO264" s="100"/>
      <c r="BP264" s="100"/>
      <c r="BQ264" s="100"/>
      <c r="BR264" s="100"/>
      <c r="BS264" s="100"/>
      <c r="BT264" s="100"/>
      <c r="BU264" s="100"/>
      <c r="BV264" s="100"/>
      <c r="BW264" s="100"/>
      <c r="BX264" s="100"/>
      <c r="BY264" s="100"/>
      <c r="BZ264" s="100"/>
      <c r="CA264" s="100"/>
      <c r="CB264" s="100"/>
      <c r="CC264" s="100"/>
      <c r="CD264" s="100"/>
      <c r="CE264" s="100"/>
      <c r="CF264" s="100"/>
      <c r="CG264" s="100"/>
      <c r="CH264" s="100"/>
      <c r="CI264" s="100"/>
      <c r="CJ264" s="100"/>
      <c r="CK264" s="100"/>
      <c r="CL264" s="100"/>
      <c r="CM264" s="100"/>
      <c r="CN264" s="100"/>
      <c r="CO264" s="100"/>
      <c r="CP264" s="100"/>
      <c r="CQ264" s="100"/>
      <c r="CR264" s="100"/>
      <c r="CS264" s="100"/>
      <c r="CT264" s="100"/>
      <c r="CU264" s="100"/>
      <c r="CV264" s="100"/>
      <c r="CW264" s="100"/>
      <c r="CX264" s="100"/>
      <c r="CY264" s="100"/>
      <c r="CZ264" s="100"/>
      <c r="DA264" s="100"/>
      <c r="DB264" s="100"/>
      <c r="DC264" s="100"/>
      <c r="DD264" s="100"/>
      <c r="DE264" s="100"/>
      <c r="DF264" s="100"/>
      <c r="DG264" s="100"/>
      <c r="DH264" s="100"/>
      <c r="DI264" s="100"/>
      <c r="DJ264" s="100"/>
      <c r="DK264" s="100"/>
      <c r="DL264" s="100"/>
      <c r="DM264" s="100"/>
      <c r="DN264" s="100"/>
      <c r="DO264" s="100"/>
      <c r="DP264" s="100"/>
      <c r="DQ264" s="100"/>
      <c r="DR264" s="100"/>
    </row>
    <row r="265" ht="4.5" customHeight="1"/>
    <row r="266" ht="15.75" customHeight="1">
      <c r="B266" s="47" t="s">
        <v>146</v>
      </c>
    </row>
    <row r="267" ht="15.75" customHeight="1">
      <c r="B267" s="5" t="s">
        <v>82</v>
      </c>
      <c r="F267" s="49">
        <f t="shared" ref="F267:M267" si="255">+IFERROR(F260/F245,0)</f>
        <v>-2.425084238</v>
      </c>
      <c r="G267" s="49">
        <f t="shared" si="255"/>
        <v>-0.4997549136</v>
      </c>
      <c r="H267" s="49">
        <f t="shared" si="255"/>
        <v>-0.5993908574</v>
      </c>
      <c r="I267" s="49">
        <f t="shared" si="255"/>
        <v>-3.5</v>
      </c>
      <c r="J267" s="49">
        <f t="shared" si="255"/>
        <v>0.25</v>
      </c>
      <c r="K267" s="49">
        <f t="shared" si="255"/>
        <v>0.26</v>
      </c>
      <c r="L267" s="49">
        <f t="shared" si="255"/>
        <v>0.27</v>
      </c>
      <c r="M267" s="49">
        <f t="shared" si="255"/>
        <v>0.28</v>
      </c>
      <c r="AA267" s="53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  <c r="AL267" s="100"/>
      <c r="AM267" s="100"/>
      <c r="AN267" s="100"/>
      <c r="AO267" s="100"/>
      <c r="AP267" s="100"/>
      <c r="AQ267" s="100"/>
      <c r="AR267" s="100"/>
      <c r="AS267" s="100"/>
      <c r="AT267" s="100"/>
      <c r="AU267" s="100"/>
      <c r="AV267" s="100"/>
      <c r="AW267" s="100"/>
      <c r="AX267" s="100"/>
      <c r="AY267" s="100"/>
      <c r="AZ267" s="100"/>
      <c r="BA267" s="100"/>
      <c r="BB267" s="100"/>
      <c r="BC267" s="100"/>
      <c r="BD267" s="100"/>
      <c r="BE267" s="100"/>
      <c r="BF267" s="100"/>
      <c r="BG267" s="100"/>
      <c r="BH267" s="100"/>
      <c r="BI267" s="100"/>
      <c r="BJ267" s="100"/>
      <c r="BK267" s="100"/>
      <c r="BL267" s="100"/>
      <c r="BM267" s="100"/>
      <c r="BN267" s="100"/>
      <c r="BO267" s="100"/>
      <c r="BP267" s="100"/>
      <c r="BQ267" s="100"/>
      <c r="BR267" s="100"/>
      <c r="BS267" s="100"/>
      <c r="BT267" s="100"/>
      <c r="BU267" s="100"/>
      <c r="BV267" s="100"/>
      <c r="BW267" s="100"/>
      <c r="BX267" s="100"/>
      <c r="BY267" s="100"/>
      <c r="BZ267" s="100"/>
      <c r="CA267" s="100"/>
      <c r="CB267" s="100"/>
      <c r="CC267" s="100"/>
      <c r="CD267" s="100"/>
      <c r="CE267" s="100"/>
      <c r="CF267" s="100"/>
      <c r="CG267" s="100"/>
      <c r="CH267" s="100"/>
      <c r="CI267" s="100"/>
      <c r="CJ267" s="100"/>
      <c r="CK267" s="100"/>
      <c r="CL267" s="100"/>
      <c r="CM267" s="100"/>
      <c r="CN267" s="100"/>
      <c r="CO267" s="100"/>
      <c r="CP267" s="100"/>
      <c r="CQ267" s="100"/>
      <c r="CR267" s="100"/>
      <c r="CS267" s="100"/>
      <c r="CT267" s="100"/>
      <c r="CU267" s="100"/>
      <c r="CV267" s="100"/>
      <c r="CW267" s="100"/>
      <c r="CX267" s="100"/>
      <c r="CY267" s="100"/>
      <c r="CZ267" s="100"/>
      <c r="DA267" s="100"/>
      <c r="DB267" s="100"/>
      <c r="DC267" s="100"/>
      <c r="DD267" s="100"/>
      <c r="DE267" s="100"/>
      <c r="DF267" s="100"/>
      <c r="DG267" s="100"/>
      <c r="DH267" s="100"/>
      <c r="DI267" s="100"/>
      <c r="DJ267" s="100"/>
      <c r="DK267" s="100"/>
      <c r="DL267" s="100"/>
      <c r="DM267" s="100"/>
      <c r="DN267" s="100"/>
      <c r="DO267" s="100"/>
      <c r="DP267" s="100"/>
      <c r="DQ267" s="100"/>
      <c r="DR267" s="100"/>
    </row>
    <row r="268" ht="15.75" customHeight="1">
      <c r="B268" s="5" t="s">
        <v>76</v>
      </c>
      <c r="F268" s="49">
        <f t="shared" ref="F268:F271" si="257">+IFERROR(F261/F246,0)</f>
        <v>-1.521323715</v>
      </c>
      <c r="G268" s="49">
        <f>+IFERROR(MROUND(G261/G246,2),0)</f>
        <v>0</v>
      </c>
      <c r="H268" s="49">
        <f t="shared" ref="H268:M268" si="256">+IFERROR(H261/H246,0)</f>
        <v>-0.1139370808</v>
      </c>
      <c r="I268" s="49">
        <f t="shared" si="256"/>
        <v>0.8083080854</v>
      </c>
      <c r="J268" s="49">
        <f t="shared" si="256"/>
        <v>0.2</v>
      </c>
      <c r="K268" s="49">
        <f t="shared" si="256"/>
        <v>0.21</v>
      </c>
      <c r="L268" s="49">
        <f t="shared" si="256"/>
        <v>0.22</v>
      </c>
      <c r="M268" s="49">
        <f t="shared" si="256"/>
        <v>0.23</v>
      </c>
      <c r="AA268" s="53"/>
      <c r="AB268" s="100"/>
      <c r="AC268" s="100"/>
      <c r="AD268" s="100"/>
      <c r="AE268" s="100"/>
      <c r="AF268" s="100"/>
      <c r="AG268" s="100"/>
      <c r="AH268" s="100"/>
      <c r="AI268" s="100"/>
      <c r="AJ268" s="100"/>
      <c r="AK268" s="100"/>
      <c r="AL268" s="100"/>
      <c r="AM268" s="100"/>
      <c r="AN268" s="100"/>
      <c r="AO268" s="100"/>
      <c r="AP268" s="100"/>
      <c r="AQ268" s="100"/>
      <c r="AR268" s="100"/>
      <c r="AS268" s="100"/>
      <c r="AT268" s="100"/>
      <c r="AU268" s="100"/>
      <c r="AV268" s="100"/>
      <c r="AW268" s="100"/>
      <c r="AX268" s="100"/>
      <c r="AY268" s="100"/>
      <c r="AZ268" s="100"/>
      <c r="BA268" s="100"/>
      <c r="BB268" s="100"/>
      <c r="BC268" s="100"/>
      <c r="BD268" s="100"/>
      <c r="BE268" s="100"/>
      <c r="BF268" s="100"/>
      <c r="BG268" s="100"/>
      <c r="BH268" s="100"/>
      <c r="BI268" s="100"/>
      <c r="BJ268" s="100"/>
      <c r="BK268" s="100"/>
      <c r="BL268" s="100"/>
      <c r="BM268" s="100"/>
      <c r="BN268" s="100"/>
      <c r="BO268" s="100"/>
      <c r="BP268" s="100"/>
      <c r="BQ268" s="100"/>
      <c r="BR268" s="100"/>
      <c r="BS268" s="100"/>
      <c r="BT268" s="100"/>
      <c r="BU268" s="100"/>
      <c r="BV268" s="100"/>
      <c r="BW268" s="100"/>
      <c r="BX268" s="100"/>
      <c r="BY268" s="100"/>
      <c r="BZ268" s="100"/>
      <c r="CA268" s="100"/>
      <c r="CB268" s="100"/>
      <c r="CC268" s="100"/>
      <c r="CD268" s="100"/>
      <c r="CE268" s="100"/>
      <c r="CF268" s="100"/>
      <c r="CG268" s="100"/>
      <c r="CH268" s="100"/>
      <c r="CI268" s="100"/>
      <c r="CJ268" s="100"/>
      <c r="CK268" s="100"/>
      <c r="CL268" s="100"/>
      <c r="CM268" s="100"/>
      <c r="CN268" s="100"/>
      <c r="CO268" s="100"/>
      <c r="CP268" s="100"/>
      <c r="CQ268" s="100"/>
      <c r="CR268" s="100"/>
      <c r="CS268" s="100"/>
      <c r="CT268" s="100"/>
      <c r="CU268" s="100"/>
      <c r="CV268" s="100"/>
      <c r="CW268" s="100"/>
      <c r="CX268" s="100"/>
      <c r="CY268" s="100"/>
      <c r="CZ268" s="100"/>
      <c r="DA268" s="100"/>
      <c r="DB268" s="100"/>
      <c r="DC268" s="100"/>
      <c r="DD268" s="100"/>
      <c r="DE268" s="100"/>
      <c r="DF268" s="100"/>
      <c r="DG268" s="100"/>
      <c r="DH268" s="100"/>
      <c r="DI268" s="100"/>
      <c r="DJ268" s="100"/>
      <c r="DK268" s="100"/>
      <c r="DL268" s="100"/>
      <c r="DM268" s="100"/>
      <c r="DN268" s="100"/>
      <c r="DO268" s="100"/>
      <c r="DP268" s="100"/>
      <c r="DQ268" s="100"/>
      <c r="DR268" s="100"/>
    </row>
    <row r="269" ht="15.75" customHeight="1">
      <c r="B269" s="5" t="s">
        <v>74</v>
      </c>
      <c r="F269" s="49">
        <f t="shared" si="257"/>
        <v>-1.241223352</v>
      </c>
      <c r="G269" s="49">
        <f t="shared" ref="G269:M269" si="258">+IFERROR(G262/G247,0)</f>
        <v>-0.1216868589</v>
      </c>
      <c r="H269" s="49">
        <f t="shared" si="258"/>
        <v>1.404835056</v>
      </c>
      <c r="I269" s="49">
        <f t="shared" si="258"/>
        <v>0.3923373785</v>
      </c>
      <c r="J269" s="49">
        <f t="shared" si="258"/>
        <v>0.25</v>
      </c>
      <c r="K269" s="49">
        <f t="shared" si="258"/>
        <v>0.26</v>
      </c>
      <c r="L269" s="49">
        <f t="shared" si="258"/>
        <v>0.27</v>
      </c>
      <c r="M269" s="49">
        <f t="shared" si="258"/>
        <v>0.28</v>
      </c>
      <c r="AA269" s="53"/>
      <c r="AB269" s="100"/>
      <c r="AC269" s="100"/>
      <c r="AD269" s="100"/>
      <c r="AE269" s="100"/>
      <c r="AF269" s="100"/>
      <c r="AG269" s="100"/>
      <c r="AH269" s="100"/>
      <c r="AI269" s="100"/>
      <c r="AJ269" s="100"/>
      <c r="AK269" s="100"/>
      <c r="AL269" s="100"/>
      <c r="AM269" s="100"/>
      <c r="AN269" s="100"/>
      <c r="AO269" s="100"/>
      <c r="AP269" s="100"/>
      <c r="AQ269" s="100"/>
      <c r="AR269" s="100"/>
      <c r="AS269" s="100"/>
      <c r="AT269" s="100"/>
      <c r="AU269" s="100"/>
      <c r="AV269" s="100"/>
      <c r="AW269" s="100"/>
      <c r="AX269" s="100"/>
      <c r="AY269" s="100"/>
      <c r="AZ269" s="100"/>
      <c r="BA269" s="100"/>
      <c r="BB269" s="100"/>
      <c r="BC269" s="100"/>
      <c r="BD269" s="100"/>
      <c r="BE269" s="100"/>
      <c r="BF269" s="100"/>
      <c r="BG269" s="100"/>
      <c r="BH269" s="100"/>
      <c r="BI269" s="100"/>
      <c r="BJ269" s="100"/>
      <c r="BK269" s="100"/>
      <c r="BL269" s="100"/>
      <c r="BM269" s="100"/>
      <c r="BN269" s="100"/>
      <c r="BO269" s="100"/>
      <c r="BP269" s="100"/>
      <c r="BQ269" s="100"/>
      <c r="BR269" s="100"/>
      <c r="BS269" s="100"/>
      <c r="BT269" s="100"/>
      <c r="BU269" s="100"/>
      <c r="BV269" s="100"/>
      <c r="BW269" s="100"/>
      <c r="BX269" s="100"/>
      <c r="BY269" s="100"/>
      <c r="BZ269" s="100"/>
      <c r="CA269" s="100"/>
      <c r="CB269" s="100"/>
      <c r="CC269" s="100"/>
      <c r="CD269" s="100"/>
      <c r="CE269" s="100"/>
      <c r="CF269" s="100"/>
      <c r="CG269" s="100"/>
      <c r="CH269" s="100"/>
      <c r="CI269" s="100"/>
      <c r="CJ269" s="100"/>
      <c r="CK269" s="100"/>
      <c r="CL269" s="100"/>
      <c r="CM269" s="100"/>
      <c r="CN269" s="100"/>
      <c r="CO269" s="100"/>
      <c r="CP269" s="100"/>
      <c r="CQ269" s="100"/>
      <c r="CR269" s="100"/>
      <c r="CS269" s="100"/>
      <c r="CT269" s="100"/>
      <c r="CU269" s="100"/>
      <c r="CV269" s="100"/>
      <c r="CW269" s="100"/>
      <c r="CX269" s="100"/>
      <c r="CY269" s="100"/>
      <c r="CZ269" s="100"/>
      <c r="DA269" s="100"/>
      <c r="DB269" s="100"/>
      <c r="DC269" s="100"/>
      <c r="DD269" s="100"/>
      <c r="DE269" s="100"/>
      <c r="DF269" s="100"/>
      <c r="DG269" s="100"/>
      <c r="DH269" s="100"/>
      <c r="DI269" s="100"/>
      <c r="DJ269" s="100"/>
      <c r="DK269" s="100"/>
      <c r="DL269" s="100"/>
      <c r="DM269" s="100"/>
      <c r="DN269" s="100"/>
      <c r="DO269" s="100"/>
      <c r="DP269" s="100"/>
      <c r="DQ269" s="100"/>
      <c r="DR269" s="100"/>
    </row>
    <row r="270" ht="15.75" customHeight="1">
      <c r="B270" s="5" t="s">
        <v>70</v>
      </c>
      <c r="F270" s="49">
        <f t="shared" si="257"/>
        <v>-1.170665203</v>
      </c>
      <c r="G270" s="49">
        <f t="shared" ref="G270:M270" si="259">+IFERROR(G263/G248,0)</f>
        <v>-0.3498354969</v>
      </c>
      <c r="H270" s="49">
        <f t="shared" si="259"/>
        <v>0.408634977</v>
      </c>
      <c r="I270" s="49">
        <f t="shared" si="259"/>
        <v>0.2</v>
      </c>
      <c r="J270" s="49">
        <f t="shared" si="259"/>
        <v>0.25</v>
      </c>
      <c r="K270" s="49">
        <f t="shared" si="259"/>
        <v>0.26</v>
      </c>
      <c r="L270" s="49">
        <f t="shared" si="259"/>
        <v>0.27</v>
      </c>
      <c r="M270" s="49">
        <f t="shared" si="259"/>
        <v>0.28</v>
      </c>
      <c r="AA270" s="53"/>
      <c r="AB270" s="100"/>
      <c r="AC270" s="100"/>
      <c r="AD270" s="100"/>
      <c r="AE270" s="100"/>
      <c r="AF270" s="100"/>
      <c r="AG270" s="100"/>
      <c r="AH270" s="100"/>
      <c r="AI270" s="100"/>
      <c r="AJ270" s="100"/>
      <c r="AK270" s="100"/>
      <c r="AL270" s="100"/>
      <c r="AM270" s="100"/>
      <c r="AN270" s="100"/>
      <c r="AO270" s="100"/>
      <c r="AP270" s="100"/>
      <c r="AQ270" s="100"/>
      <c r="AR270" s="100"/>
      <c r="AS270" s="100"/>
      <c r="AT270" s="100"/>
      <c r="AU270" s="100"/>
      <c r="AV270" s="100"/>
      <c r="AW270" s="100"/>
      <c r="AX270" s="100"/>
      <c r="AY270" s="100"/>
      <c r="AZ270" s="100"/>
      <c r="BA270" s="100"/>
      <c r="BB270" s="100"/>
      <c r="BC270" s="100"/>
      <c r="BD270" s="100"/>
      <c r="BE270" s="100"/>
      <c r="BF270" s="100"/>
      <c r="BG270" s="100"/>
      <c r="BH270" s="100"/>
      <c r="BI270" s="100"/>
      <c r="BJ270" s="100"/>
      <c r="BK270" s="100"/>
      <c r="BL270" s="100"/>
      <c r="BM270" s="100"/>
      <c r="BN270" s="100"/>
      <c r="BO270" s="100"/>
      <c r="BP270" s="100"/>
      <c r="BQ270" s="100"/>
      <c r="BR270" s="100"/>
      <c r="BS270" s="100"/>
      <c r="BT270" s="100"/>
      <c r="BU270" s="100"/>
      <c r="BV270" s="100"/>
      <c r="BW270" s="100"/>
      <c r="BX270" s="100"/>
      <c r="BY270" s="100"/>
      <c r="BZ270" s="100"/>
      <c r="CA270" s="100"/>
      <c r="CB270" s="100"/>
      <c r="CC270" s="100"/>
      <c r="CD270" s="100"/>
      <c r="CE270" s="100"/>
      <c r="CF270" s="100"/>
      <c r="CG270" s="100"/>
      <c r="CH270" s="100"/>
      <c r="CI270" s="100"/>
      <c r="CJ270" s="100"/>
      <c r="CK270" s="100"/>
      <c r="CL270" s="100"/>
      <c r="CM270" s="100"/>
      <c r="CN270" s="100"/>
      <c r="CO270" s="100"/>
      <c r="CP270" s="100"/>
      <c r="CQ270" s="100"/>
      <c r="CR270" s="100"/>
      <c r="CS270" s="100"/>
      <c r="CT270" s="100"/>
      <c r="CU270" s="100"/>
      <c r="CV270" s="100"/>
      <c r="CW270" s="100"/>
      <c r="CX270" s="100"/>
      <c r="CY270" s="100"/>
      <c r="CZ270" s="100"/>
      <c r="DA270" s="100"/>
      <c r="DB270" s="100"/>
      <c r="DC270" s="100"/>
      <c r="DD270" s="100"/>
      <c r="DE270" s="100"/>
      <c r="DF270" s="100"/>
      <c r="DG270" s="100"/>
      <c r="DH270" s="100"/>
      <c r="DI270" s="100"/>
      <c r="DJ270" s="100"/>
      <c r="DK270" s="100"/>
      <c r="DL270" s="100"/>
      <c r="DM270" s="100"/>
      <c r="DN270" s="100"/>
      <c r="DO270" s="100"/>
      <c r="DP270" s="100"/>
      <c r="DQ270" s="100"/>
      <c r="DR270" s="100"/>
    </row>
    <row r="271" ht="15.75" customHeight="1">
      <c r="B271" s="54" t="s">
        <v>145</v>
      </c>
      <c r="C271" s="54"/>
      <c r="D271" s="54"/>
      <c r="F271" s="57">
        <f t="shared" si="257"/>
        <v>-1.557514339</v>
      </c>
      <c r="G271" s="57">
        <f t="shared" ref="G271:M271" si="260">+IFERROR(G264/G249,0)</f>
        <v>-0.7373986962</v>
      </c>
      <c r="H271" s="57">
        <f t="shared" si="260"/>
        <v>0.2735894432</v>
      </c>
      <c r="I271" s="57">
        <f t="shared" si="260"/>
        <v>0.1857980692</v>
      </c>
      <c r="J271" s="57">
        <f t="shared" si="260"/>
        <v>0.2419742302</v>
      </c>
      <c r="K271" s="57">
        <f t="shared" si="260"/>
        <v>0.2536873747</v>
      </c>
      <c r="L271" s="57">
        <f t="shared" si="260"/>
        <v>0.2650729927</v>
      </c>
      <c r="M271" s="57">
        <f t="shared" si="260"/>
        <v>0.2759563543</v>
      </c>
      <c r="AA271" s="53"/>
      <c r="AB271" s="100"/>
      <c r="AC271" s="100"/>
      <c r="AD271" s="100"/>
      <c r="AE271" s="100"/>
      <c r="AF271" s="100"/>
      <c r="AG271" s="100"/>
      <c r="AH271" s="100"/>
      <c r="AI271" s="100"/>
      <c r="AJ271" s="100"/>
      <c r="AK271" s="100"/>
      <c r="AL271" s="100"/>
      <c r="AM271" s="100"/>
      <c r="AN271" s="100"/>
      <c r="AO271" s="100"/>
      <c r="AP271" s="100"/>
      <c r="AQ271" s="100"/>
      <c r="AR271" s="100"/>
      <c r="AS271" s="100"/>
      <c r="AT271" s="100"/>
      <c r="AU271" s="100"/>
      <c r="AV271" s="100"/>
      <c r="AW271" s="100"/>
      <c r="AX271" s="100"/>
      <c r="AY271" s="100"/>
      <c r="AZ271" s="100"/>
      <c r="BA271" s="100"/>
      <c r="BB271" s="100"/>
      <c r="BC271" s="100"/>
      <c r="BD271" s="100"/>
      <c r="BE271" s="100"/>
      <c r="BF271" s="100"/>
      <c r="BG271" s="100"/>
      <c r="BH271" s="100"/>
      <c r="BI271" s="100"/>
      <c r="BJ271" s="100"/>
      <c r="BK271" s="100"/>
      <c r="BL271" s="100"/>
      <c r="BM271" s="100"/>
      <c r="BN271" s="100"/>
      <c r="BO271" s="100"/>
      <c r="BP271" s="100"/>
      <c r="BQ271" s="100"/>
      <c r="BR271" s="100"/>
      <c r="BS271" s="100"/>
      <c r="BT271" s="100"/>
      <c r="BU271" s="100"/>
      <c r="BV271" s="100"/>
      <c r="BW271" s="100"/>
      <c r="BX271" s="100"/>
      <c r="BY271" s="100"/>
      <c r="BZ271" s="100"/>
      <c r="CA271" s="100"/>
      <c r="CB271" s="100"/>
      <c r="CC271" s="100"/>
      <c r="CD271" s="100"/>
      <c r="CE271" s="100"/>
      <c r="CF271" s="100"/>
      <c r="CG271" s="100"/>
      <c r="CH271" s="100"/>
      <c r="CI271" s="100"/>
      <c r="CJ271" s="100"/>
      <c r="CK271" s="100"/>
      <c r="CL271" s="100"/>
      <c r="CM271" s="100"/>
      <c r="CN271" s="100"/>
      <c r="CO271" s="100"/>
      <c r="CP271" s="100"/>
      <c r="CQ271" s="100"/>
      <c r="CR271" s="100"/>
      <c r="CS271" s="100"/>
      <c r="CT271" s="100"/>
      <c r="CU271" s="100"/>
      <c r="CV271" s="100"/>
      <c r="CW271" s="100"/>
      <c r="CX271" s="100"/>
      <c r="CY271" s="100"/>
      <c r="CZ271" s="100"/>
      <c r="DA271" s="100"/>
      <c r="DB271" s="100"/>
      <c r="DC271" s="100"/>
      <c r="DD271" s="100"/>
      <c r="DE271" s="100"/>
      <c r="DF271" s="100"/>
      <c r="DG271" s="100"/>
      <c r="DH271" s="100"/>
      <c r="DI271" s="100"/>
      <c r="DJ271" s="100"/>
      <c r="DK271" s="100"/>
      <c r="DL271" s="100"/>
      <c r="DM271" s="100"/>
      <c r="DN271" s="100"/>
      <c r="DO271" s="100"/>
      <c r="DP271" s="100"/>
      <c r="DQ271" s="100"/>
      <c r="DR271" s="100"/>
    </row>
    <row r="272" ht="4.5" customHeight="1"/>
    <row r="273" ht="15.75" customHeight="1">
      <c r="B273" s="47" t="s">
        <v>149</v>
      </c>
    </row>
    <row r="274" ht="15.75" customHeight="1">
      <c r="B274" s="5" t="s">
        <v>40</v>
      </c>
      <c r="F274" s="50">
        <f t="shared" ref="F274:M274" si="261">+SUMIFS($AA274:$DR274,$AA$7:$DR$7,F$7)</f>
        <v>729.883</v>
      </c>
      <c r="G274" s="50">
        <f t="shared" si="261"/>
        <v>1193.012</v>
      </c>
      <c r="H274" s="50">
        <f t="shared" si="261"/>
        <v>1193.793</v>
      </c>
      <c r="I274" s="50">
        <f t="shared" si="261"/>
        <v>1411.503574</v>
      </c>
      <c r="J274" s="50">
        <f t="shared" si="261"/>
        <v>2430.462342</v>
      </c>
      <c r="K274" s="50">
        <f t="shared" si="261"/>
        <v>3404.105469</v>
      </c>
      <c r="L274" s="50">
        <f t="shared" si="261"/>
        <v>4511.799414</v>
      </c>
      <c r="M274" s="50">
        <f t="shared" si="261"/>
        <v>5812.453213</v>
      </c>
      <c r="AA274" s="52">
        <f>+Revenue_Calcs!Z283</f>
        <v>-15.942</v>
      </c>
      <c r="AB274" s="52">
        <f>+Revenue_Calcs!AA283</f>
        <v>66.898</v>
      </c>
      <c r="AC274" s="52">
        <f>+Revenue_Calcs!AB283</f>
        <v>44.297</v>
      </c>
      <c r="AD274" s="52">
        <f>+Revenue_Calcs!AC283</f>
        <v>34.045</v>
      </c>
      <c r="AE274" s="52">
        <f>+Revenue_Calcs!AD283</f>
        <v>61.763</v>
      </c>
      <c r="AF274" s="52">
        <f>+Revenue_Calcs!AE283</f>
        <v>64.993</v>
      </c>
      <c r="AG274" s="52">
        <f>+Revenue_Calcs!AF283</f>
        <v>51.183</v>
      </c>
      <c r="AH274" s="52">
        <f>+Revenue_Calcs!AG283</f>
        <v>51.977</v>
      </c>
      <c r="AI274" s="52">
        <f>+Revenue_Calcs!AH283</f>
        <v>78.893</v>
      </c>
      <c r="AJ274" s="52">
        <f>+Revenue_Calcs!AI283</f>
        <v>70.843</v>
      </c>
      <c r="AK274" s="52">
        <f>+Revenue_Calcs!AJ283</f>
        <v>130.411</v>
      </c>
      <c r="AL274" s="52">
        <f>+Revenue_Calcs!AK283</f>
        <v>90.522</v>
      </c>
      <c r="AM274" s="52">
        <f>+Revenue_Calcs!AL283</f>
        <v>124.765</v>
      </c>
      <c r="AN274" s="52">
        <f>+Revenue_Calcs!AM283</f>
        <v>56.485</v>
      </c>
      <c r="AO274" s="52">
        <f>+Revenue_Calcs!AN283</f>
        <v>63.314</v>
      </c>
      <c r="AP274" s="52">
        <f>+Revenue_Calcs!AO283</f>
        <v>41.226</v>
      </c>
      <c r="AQ274" s="52">
        <f>+Revenue_Calcs!AP283</f>
        <v>102.703</v>
      </c>
      <c r="AR274" s="52">
        <f>+Revenue_Calcs!AQ283</f>
        <v>53.489</v>
      </c>
      <c r="AS274" s="52">
        <f>+Revenue_Calcs!AR283</f>
        <v>94.926</v>
      </c>
      <c r="AT274" s="52">
        <f>+Revenue_Calcs!AS283</f>
        <v>86.178</v>
      </c>
      <c r="AU274" s="52">
        <f>+Revenue_Calcs!AT283</f>
        <v>93.925</v>
      </c>
      <c r="AV274" s="52">
        <f>+Revenue_Calcs!AU283</f>
        <v>164.266</v>
      </c>
      <c r="AW274" s="52">
        <f>+Revenue_Calcs!AV283</f>
        <v>181.558</v>
      </c>
      <c r="AX274" s="52">
        <f>+Revenue_Calcs!AW283</f>
        <v>130.177</v>
      </c>
      <c r="AY274" s="52">
        <f>+Revenue_Calcs!AX283</f>
        <v>93.014</v>
      </c>
      <c r="AZ274" s="52">
        <f>+Revenue_Calcs!AY283</f>
        <v>22.406</v>
      </c>
      <c r="BA274" s="52">
        <f>+Revenue_Calcs!AZ283</f>
        <v>51.578</v>
      </c>
      <c r="BB274" s="52">
        <f>+Revenue_Calcs!BA283</f>
        <v>84.92</v>
      </c>
      <c r="BC274" s="52">
        <f>+Revenue_Calcs!BB283</f>
        <v>135.501</v>
      </c>
      <c r="BD274" s="52">
        <f>+Revenue_Calcs!BC283</f>
        <v>81.44</v>
      </c>
      <c r="BE274" s="52">
        <f>+Revenue_Calcs!BD283</f>
        <v>155.254</v>
      </c>
      <c r="BF274" s="52">
        <f>+Revenue_Calcs!BE283</f>
        <v>162.502</v>
      </c>
      <c r="BG274" s="52">
        <f>+Revenue_Calcs!BF283</f>
        <v>66.426</v>
      </c>
      <c r="BH274" s="52">
        <f>+Revenue_Calcs!BG283</f>
        <v>137.231</v>
      </c>
      <c r="BI274" s="52">
        <f>+Revenue_Calcs!BH283</f>
        <v>101.071</v>
      </c>
      <c r="BJ274" s="52">
        <f>+Revenue_Calcs!BI283</f>
        <v>102.45</v>
      </c>
      <c r="BK274" s="52">
        <f>+Revenue_Calcs!BJ283</f>
        <v>18.509</v>
      </c>
      <c r="BL274" s="52">
        <f>+Revenue_Calcs!BK283</f>
        <v>57.271</v>
      </c>
      <c r="BM274" s="52">
        <f>+Revenue_Calcs!BL283</f>
        <v>89.89</v>
      </c>
      <c r="BN274" s="52">
        <f>+Revenue_Calcs!BM283</f>
        <v>129.302</v>
      </c>
      <c r="BO274" s="52">
        <f>+Revenue_Calcs!BN283</f>
        <v>92.79759083</v>
      </c>
      <c r="BP274" s="52">
        <f>+Revenue_Calcs!BO283</f>
        <v>132.0155431</v>
      </c>
      <c r="BQ274" s="52">
        <f>+Revenue_Calcs!BP283</f>
        <v>109.5426022</v>
      </c>
      <c r="BR274" s="52">
        <f>+Revenue_Calcs!BQ283</f>
        <v>130.9674218</v>
      </c>
      <c r="BS274" s="52">
        <f>+Revenue_Calcs!BR283</f>
        <v>140.4762863</v>
      </c>
      <c r="BT274" s="52">
        <f>+Revenue_Calcs!BS283</f>
        <v>157.6792984</v>
      </c>
      <c r="BU274" s="52">
        <f>+Revenue_Calcs!BT283</f>
        <v>172.255712</v>
      </c>
      <c r="BV274" s="52">
        <f>+Revenue_Calcs!BU283</f>
        <v>180.7971197</v>
      </c>
      <c r="BW274" s="52">
        <f>+Revenue_Calcs!BV283</f>
        <v>183.8998419</v>
      </c>
      <c r="BX274" s="52">
        <f>+Revenue_Calcs!BW283</f>
        <v>131.796875</v>
      </c>
      <c r="BY274" s="52">
        <f>+Revenue_Calcs!BX283</f>
        <v>150.5729167</v>
      </c>
      <c r="BZ274" s="52">
        <f>+Revenue_Calcs!BY283</f>
        <v>169.3489583</v>
      </c>
      <c r="CA274" s="52">
        <f>+Revenue_Calcs!BZ283</f>
        <v>184.296875</v>
      </c>
      <c r="CB274" s="52">
        <f>+Revenue_Calcs!CA283</f>
        <v>199.2447917</v>
      </c>
      <c r="CC274" s="52">
        <f>+Revenue_Calcs!CB283</f>
        <v>210.9114583</v>
      </c>
      <c r="CD274" s="52">
        <f>+Revenue_Calcs!CC283</f>
        <v>222.578125</v>
      </c>
      <c r="CE274" s="52">
        <f>+Revenue_Calcs!CD283</f>
        <v>231.328125</v>
      </c>
      <c r="CF274" s="52">
        <f>+Revenue_Calcs!CE283</f>
        <v>240.078125</v>
      </c>
      <c r="CG274" s="52">
        <f>+Revenue_Calcs!CF283</f>
        <v>248.828125</v>
      </c>
      <c r="CH274" s="52">
        <f>+Revenue_Calcs!CG283</f>
        <v>257.578125</v>
      </c>
      <c r="CI274" s="52">
        <f>+Revenue_Calcs!CH283</f>
        <v>257.578125</v>
      </c>
      <c r="CJ274" s="52">
        <f>+Revenue_Calcs!CI283</f>
        <v>273.5195313</v>
      </c>
      <c r="CK274" s="52">
        <f>+Revenue_Calcs!CJ283</f>
        <v>276.5820313</v>
      </c>
      <c r="CL274" s="52">
        <f>+Revenue_Calcs!CK283</f>
        <v>279.6445313</v>
      </c>
      <c r="CM274" s="52">
        <f>+Revenue_Calcs!CL283</f>
        <v>282.7070313</v>
      </c>
      <c r="CN274" s="52">
        <f>+Revenue_Calcs!CM283</f>
        <v>285.7695313</v>
      </c>
      <c r="CO274" s="52">
        <f>+Revenue_Calcs!CN283</f>
        <v>288.8320313</v>
      </c>
      <c r="CP274" s="52">
        <f>+Revenue_Calcs!CO283</f>
        <v>291.8945313</v>
      </c>
      <c r="CQ274" s="52">
        <f>+Revenue_Calcs!CP283</f>
        <v>291.8945313</v>
      </c>
      <c r="CR274" s="52">
        <f>+Revenue_Calcs!CQ283</f>
        <v>291.8945313</v>
      </c>
      <c r="CS274" s="52">
        <f>+Revenue_Calcs!CR283</f>
        <v>291.8945313</v>
      </c>
      <c r="CT274" s="52">
        <f>+Revenue_Calcs!CS283</f>
        <v>291.8945313</v>
      </c>
      <c r="CU274" s="52">
        <f>+Revenue_Calcs!CT283</f>
        <v>291.8945313</v>
      </c>
      <c r="CV274" s="52">
        <f>+Revenue_Calcs!CU283</f>
        <v>323.7732422</v>
      </c>
      <c r="CW274" s="52">
        <f>+Revenue_Calcs!CV283</f>
        <v>341.0572266</v>
      </c>
      <c r="CX274" s="52">
        <f>+Revenue_Calcs!CW283</f>
        <v>358.3412109</v>
      </c>
      <c r="CY274" s="52">
        <f>+Revenue_Calcs!CX283</f>
        <v>375.6251953</v>
      </c>
      <c r="CZ274" s="52">
        <f>+Revenue_Calcs!CY283</f>
        <v>392.9091797</v>
      </c>
      <c r="DA274" s="52">
        <f>+Revenue_Calcs!CZ283</f>
        <v>399.3404297</v>
      </c>
      <c r="DB274" s="52">
        <f>+Revenue_Calcs!DA283</f>
        <v>405.7716797</v>
      </c>
      <c r="DC274" s="52">
        <f>+Revenue_Calcs!DB283</f>
        <v>405.7716797</v>
      </c>
      <c r="DD274" s="52">
        <f>+Revenue_Calcs!DC283</f>
        <v>405.7716797</v>
      </c>
      <c r="DE274" s="52">
        <f>+Revenue_Calcs!DD283</f>
        <v>405.7716797</v>
      </c>
      <c r="DF274" s="52">
        <f>+Revenue_Calcs!DE283</f>
        <v>405.7716797</v>
      </c>
      <c r="DG274" s="52">
        <f>+Revenue_Calcs!DF283</f>
        <v>405.7716797</v>
      </c>
      <c r="DH274" s="52">
        <f>+Revenue_Calcs!DG283</f>
        <v>440.4099902</v>
      </c>
      <c r="DI274" s="52">
        <f>+Revenue_Calcs!DH283</f>
        <v>454.7597168</v>
      </c>
      <c r="DJ274" s="52">
        <f>+Revenue_Calcs!DI283</f>
        <v>469.1094434</v>
      </c>
      <c r="DK274" s="52">
        <f>+Revenue_Calcs!DJ283</f>
        <v>483.4591699</v>
      </c>
      <c r="DL274" s="52">
        <f>+Revenue_Calcs!DK283</f>
        <v>497.8088965</v>
      </c>
      <c r="DM274" s="52">
        <f>+Revenue_Calcs!DL283</f>
        <v>504.561709</v>
      </c>
      <c r="DN274" s="52">
        <f>+Revenue_Calcs!DM283</f>
        <v>511.3145215</v>
      </c>
      <c r="DO274" s="52">
        <f>+Revenue_Calcs!DN283</f>
        <v>511.3145215</v>
      </c>
      <c r="DP274" s="52">
        <f>+Revenue_Calcs!DO283</f>
        <v>511.3145215</v>
      </c>
      <c r="DQ274" s="52">
        <f>+Revenue_Calcs!DP283</f>
        <v>511.3145215</v>
      </c>
      <c r="DR274" s="52">
        <f>+Revenue_Calcs!DQ283</f>
        <v>511.3145215</v>
      </c>
    </row>
    <row r="275" ht="15.75" customHeight="1">
      <c r="B275" s="5" t="s">
        <v>148</v>
      </c>
      <c r="F275" s="49">
        <f t="shared" ref="F275:H275" si="262">+F276/F274</f>
        <v>0.4432327784</v>
      </c>
      <c r="G275" s="49">
        <f t="shared" si="262"/>
        <v>0.0107392214</v>
      </c>
      <c r="H275" s="49">
        <f t="shared" si="262"/>
        <v>0</v>
      </c>
      <c r="I275" s="109" t="str">
        <f>+COGS_Assumptions!I181</f>
        <v/>
      </c>
      <c r="J275" s="109" t="str">
        <f>+COGS_Assumptions!J181</f>
        <v/>
      </c>
      <c r="K275" s="109" t="str">
        <f>+COGS_Assumptions!K181</f>
        <v/>
      </c>
      <c r="L275" s="109" t="str">
        <f>+COGS_Assumptions!L181</f>
        <v/>
      </c>
      <c r="M275" s="109" t="str">
        <f>+COGS_Assumptions!M181</f>
        <v/>
      </c>
      <c r="AA275" s="49">
        <f t="shared" ref="AA275:BJ275" si="263">+AA276/AA274</f>
        <v>-0.6927493414</v>
      </c>
      <c r="AB275" s="49">
        <f t="shared" si="263"/>
        <v>0.1650843075</v>
      </c>
      <c r="AC275" s="49">
        <f t="shared" si="263"/>
        <v>0.003246495248</v>
      </c>
      <c r="AD275" s="49">
        <f t="shared" si="263"/>
        <v>0.03801703628</v>
      </c>
      <c r="AE275" s="49">
        <f t="shared" si="263"/>
        <v>0</v>
      </c>
      <c r="AF275" s="49">
        <f t="shared" si="263"/>
        <v>0.6205796009</v>
      </c>
      <c r="AG275" s="49">
        <f t="shared" si="263"/>
        <v>0.7880219995</v>
      </c>
      <c r="AH275" s="49">
        <f t="shared" si="263"/>
        <v>0.8148835062</v>
      </c>
      <c r="AI275" s="49">
        <f t="shared" si="263"/>
        <v>0.04848174109</v>
      </c>
      <c r="AJ275" s="49">
        <f t="shared" si="263"/>
        <v>1.251817964</v>
      </c>
      <c r="AK275" s="49">
        <f t="shared" si="263"/>
        <v>0.150126293</v>
      </c>
      <c r="AL275" s="49">
        <f t="shared" si="263"/>
        <v>0.7166761671</v>
      </c>
      <c r="AM275" s="49">
        <f t="shared" si="263"/>
        <v>0.01003895323</v>
      </c>
      <c r="AN275" s="49">
        <f t="shared" si="263"/>
        <v>0.1174538373</v>
      </c>
      <c r="AO275" s="49">
        <f t="shared" si="263"/>
        <v>0.09521985659</v>
      </c>
      <c r="AP275" s="49">
        <f t="shared" si="263"/>
        <v>0.1562727405</v>
      </c>
      <c r="AQ275" s="49">
        <f t="shared" si="263"/>
        <v>-0.2881889526</v>
      </c>
      <c r="AR275" s="49">
        <f t="shared" si="263"/>
        <v>0.1237246911</v>
      </c>
      <c r="AS275" s="49">
        <f t="shared" si="263"/>
        <v>0.001646019004</v>
      </c>
      <c r="AT275" s="49">
        <f t="shared" si="263"/>
        <v>0</v>
      </c>
      <c r="AU275" s="49">
        <f t="shared" si="263"/>
        <v>0</v>
      </c>
      <c r="AV275" s="49">
        <f t="shared" si="263"/>
        <v>0.05715248439</v>
      </c>
      <c r="AW275" s="49">
        <f t="shared" si="263"/>
        <v>0</v>
      </c>
      <c r="AX275" s="49">
        <f t="shared" si="263"/>
        <v>0.04524132527</v>
      </c>
      <c r="AY275" s="49">
        <f t="shared" si="263"/>
        <v>0</v>
      </c>
      <c r="AZ275" s="49">
        <f t="shared" si="263"/>
        <v>0</v>
      </c>
      <c r="BA275" s="49">
        <f t="shared" si="263"/>
        <v>0</v>
      </c>
      <c r="BB275" s="49">
        <f t="shared" si="263"/>
        <v>0</v>
      </c>
      <c r="BC275" s="49">
        <f t="shared" si="263"/>
        <v>0</v>
      </c>
      <c r="BD275" s="49">
        <f t="shared" si="263"/>
        <v>0</v>
      </c>
      <c r="BE275" s="49">
        <f t="shared" si="263"/>
        <v>0</v>
      </c>
      <c r="BF275" s="49">
        <f t="shared" si="263"/>
        <v>0</v>
      </c>
      <c r="BG275" s="49">
        <f t="shared" si="263"/>
        <v>0</v>
      </c>
      <c r="BH275" s="49">
        <f t="shared" si="263"/>
        <v>0</v>
      </c>
      <c r="BI275" s="49">
        <f t="shared" si="263"/>
        <v>0</v>
      </c>
      <c r="BJ275" s="49">
        <f t="shared" si="263"/>
        <v>0</v>
      </c>
      <c r="BK275" s="109">
        <f>+SUMIFS(COGS_Assumptions!$F$36:$M$36,COGS_Assumptions!$F$7:$M$7,BK$7)</f>
        <v>0</v>
      </c>
      <c r="BL275" s="109">
        <f>+SUMIFS(COGS_Assumptions!$F$36:$M$36,COGS_Assumptions!$F$7:$M$7,BL$7)</f>
        <v>0</v>
      </c>
      <c r="BM275" s="109">
        <f>+SUMIFS(COGS_Assumptions!$F$36:$M$36,COGS_Assumptions!$F$7:$M$7,BM$7)</f>
        <v>0</v>
      </c>
      <c r="BN275" s="109">
        <f>+SUMIFS(COGS_Assumptions!$F$36:$M$36,COGS_Assumptions!$F$7:$M$7,BN$7)</f>
        <v>0</v>
      </c>
      <c r="BO275" s="109">
        <f>+SUMIFS(COGS_Assumptions!$F$36:$M$36,COGS_Assumptions!$F$7:$M$7,BO$7)</f>
        <v>0</v>
      </c>
      <c r="BP275" s="109">
        <f>+SUMIFS(COGS_Assumptions!$F$36:$M$36,COGS_Assumptions!$F$7:$M$7,BP$7)</f>
        <v>0</v>
      </c>
      <c r="BQ275" s="109">
        <f>+SUMIFS(COGS_Assumptions!$F$36:$M$36,COGS_Assumptions!$F$7:$M$7,BQ$7)</f>
        <v>0</v>
      </c>
      <c r="BR275" s="109">
        <f>+SUMIFS(COGS_Assumptions!$F$36:$M$36,COGS_Assumptions!$F$7:$M$7,BR$7)</f>
        <v>0</v>
      </c>
      <c r="BS275" s="109">
        <f>+SUMIFS(COGS_Assumptions!$F$36:$M$36,COGS_Assumptions!$F$7:$M$7,BS$7)</f>
        <v>0</v>
      </c>
      <c r="BT275" s="109">
        <f>+SUMIFS(COGS_Assumptions!$F$36:$M$36,COGS_Assumptions!$F$7:$M$7,BT$7)</f>
        <v>0</v>
      </c>
      <c r="BU275" s="109">
        <f>+SUMIFS(COGS_Assumptions!$F$36:$M$36,COGS_Assumptions!$F$7:$M$7,BU$7)</f>
        <v>0</v>
      </c>
      <c r="BV275" s="109">
        <f>+SUMIFS(COGS_Assumptions!$F$36:$M$36,COGS_Assumptions!$F$7:$M$7,BV$7)</f>
        <v>0</v>
      </c>
      <c r="BW275" s="109">
        <f>+SUMIFS(COGS_Assumptions!$F$36:$M$36,COGS_Assumptions!$F$7:$M$7,BW$7)</f>
        <v>0</v>
      </c>
      <c r="BX275" s="109">
        <f>+SUMIFS(COGS_Assumptions!$F$36:$M$36,COGS_Assumptions!$F$7:$M$7,BX$7)</f>
        <v>0</v>
      </c>
      <c r="BY275" s="109">
        <f>+SUMIFS(COGS_Assumptions!$F$36:$M$36,COGS_Assumptions!$F$7:$M$7,BY$7)</f>
        <v>0</v>
      </c>
      <c r="BZ275" s="109">
        <f>+SUMIFS(COGS_Assumptions!$F$36:$M$36,COGS_Assumptions!$F$7:$M$7,BZ$7)</f>
        <v>0</v>
      </c>
      <c r="CA275" s="109">
        <f>+SUMIFS(COGS_Assumptions!$F$36:$M$36,COGS_Assumptions!$F$7:$M$7,CA$7)</f>
        <v>0</v>
      </c>
      <c r="CB275" s="109">
        <f>+SUMIFS(COGS_Assumptions!$F$36:$M$36,COGS_Assumptions!$F$7:$M$7,CB$7)</f>
        <v>0</v>
      </c>
      <c r="CC275" s="109">
        <f>+SUMIFS(COGS_Assumptions!$F$36:$M$36,COGS_Assumptions!$F$7:$M$7,CC$7)</f>
        <v>0</v>
      </c>
      <c r="CD275" s="109">
        <f>+SUMIFS(COGS_Assumptions!$F$36:$M$36,COGS_Assumptions!$F$7:$M$7,CD$7)</f>
        <v>0</v>
      </c>
      <c r="CE275" s="109">
        <f>+SUMIFS(COGS_Assumptions!$F$36:$M$36,COGS_Assumptions!$F$7:$M$7,CE$7)</f>
        <v>0</v>
      </c>
      <c r="CF275" s="109">
        <f>+SUMIFS(COGS_Assumptions!$F$36:$M$36,COGS_Assumptions!$F$7:$M$7,CF$7)</f>
        <v>0</v>
      </c>
      <c r="CG275" s="109">
        <f>+SUMIFS(COGS_Assumptions!$F$36:$M$36,COGS_Assumptions!$F$7:$M$7,CG$7)</f>
        <v>0</v>
      </c>
      <c r="CH275" s="109">
        <f>+SUMIFS(COGS_Assumptions!$F$36:$M$36,COGS_Assumptions!$F$7:$M$7,CH$7)</f>
        <v>0</v>
      </c>
      <c r="CI275" s="109">
        <f>+SUMIFS(COGS_Assumptions!$F$36:$M$36,COGS_Assumptions!$F$7:$M$7,CI$7)</f>
        <v>0</v>
      </c>
      <c r="CJ275" s="109">
        <f>+SUMIFS(COGS_Assumptions!$F$36:$M$36,COGS_Assumptions!$F$7:$M$7,CJ$7)</f>
        <v>0</v>
      </c>
      <c r="CK275" s="109">
        <f>+SUMIFS(COGS_Assumptions!$F$36:$M$36,COGS_Assumptions!$F$7:$M$7,CK$7)</f>
        <v>0</v>
      </c>
      <c r="CL275" s="109">
        <f>+SUMIFS(COGS_Assumptions!$F$36:$M$36,COGS_Assumptions!$F$7:$M$7,CL$7)</f>
        <v>0</v>
      </c>
      <c r="CM275" s="109">
        <f>+SUMIFS(COGS_Assumptions!$F$36:$M$36,COGS_Assumptions!$F$7:$M$7,CM$7)</f>
        <v>0</v>
      </c>
      <c r="CN275" s="109">
        <f>+SUMIFS(COGS_Assumptions!$F$36:$M$36,COGS_Assumptions!$F$7:$M$7,CN$7)</f>
        <v>0</v>
      </c>
      <c r="CO275" s="109">
        <f>+SUMIFS(COGS_Assumptions!$F$36:$M$36,COGS_Assumptions!$F$7:$M$7,CO$7)</f>
        <v>0</v>
      </c>
      <c r="CP275" s="109">
        <f>+SUMIFS(COGS_Assumptions!$F$36:$M$36,COGS_Assumptions!$F$7:$M$7,CP$7)</f>
        <v>0</v>
      </c>
      <c r="CQ275" s="109">
        <f>+SUMIFS(COGS_Assumptions!$F$36:$M$36,COGS_Assumptions!$F$7:$M$7,CQ$7)</f>
        <v>0</v>
      </c>
      <c r="CR275" s="109">
        <f>+SUMIFS(COGS_Assumptions!$F$36:$M$36,COGS_Assumptions!$F$7:$M$7,CR$7)</f>
        <v>0</v>
      </c>
      <c r="CS275" s="109">
        <f>+SUMIFS(COGS_Assumptions!$F$36:$M$36,COGS_Assumptions!$F$7:$M$7,CS$7)</f>
        <v>0</v>
      </c>
      <c r="CT275" s="109">
        <f>+SUMIFS(COGS_Assumptions!$F$36:$M$36,COGS_Assumptions!$F$7:$M$7,CT$7)</f>
        <v>0</v>
      </c>
      <c r="CU275" s="109">
        <f>+SUMIFS(COGS_Assumptions!$F$36:$M$36,COGS_Assumptions!$F$7:$M$7,CU$7)</f>
        <v>0</v>
      </c>
      <c r="CV275" s="109">
        <f>+SUMIFS(COGS_Assumptions!$F$36:$M$36,COGS_Assumptions!$F$7:$M$7,CV$7)</f>
        <v>0</v>
      </c>
      <c r="CW275" s="109">
        <f>+SUMIFS(COGS_Assumptions!$F$36:$M$36,COGS_Assumptions!$F$7:$M$7,CW$7)</f>
        <v>0</v>
      </c>
      <c r="CX275" s="109">
        <f>+SUMIFS(COGS_Assumptions!$F$36:$M$36,COGS_Assumptions!$F$7:$M$7,CX$7)</f>
        <v>0</v>
      </c>
      <c r="CY275" s="109">
        <f>+SUMIFS(COGS_Assumptions!$F$36:$M$36,COGS_Assumptions!$F$7:$M$7,CY$7)</f>
        <v>0</v>
      </c>
      <c r="CZ275" s="109">
        <f>+SUMIFS(COGS_Assumptions!$F$36:$M$36,COGS_Assumptions!$F$7:$M$7,CZ$7)</f>
        <v>0</v>
      </c>
      <c r="DA275" s="109">
        <f>+SUMIFS(COGS_Assumptions!$F$36:$M$36,COGS_Assumptions!$F$7:$M$7,DA$7)</f>
        <v>0</v>
      </c>
      <c r="DB275" s="109">
        <f>+SUMIFS(COGS_Assumptions!$F$36:$M$36,COGS_Assumptions!$F$7:$M$7,DB$7)</f>
        <v>0</v>
      </c>
      <c r="DC275" s="109">
        <f>+SUMIFS(COGS_Assumptions!$F$36:$M$36,COGS_Assumptions!$F$7:$M$7,DC$7)</f>
        <v>0</v>
      </c>
      <c r="DD275" s="109">
        <f>+SUMIFS(COGS_Assumptions!$F$36:$M$36,COGS_Assumptions!$F$7:$M$7,DD$7)</f>
        <v>0</v>
      </c>
      <c r="DE275" s="109">
        <f>+SUMIFS(COGS_Assumptions!$F$36:$M$36,COGS_Assumptions!$F$7:$M$7,DE$7)</f>
        <v>0</v>
      </c>
      <c r="DF275" s="109">
        <f>+SUMIFS(COGS_Assumptions!$F$36:$M$36,COGS_Assumptions!$F$7:$M$7,DF$7)</f>
        <v>0</v>
      </c>
      <c r="DG275" s="109">
        <f>+SUMIFS(COGS_Assumptions!$F$36:$M$36,COGS_Assumptions!$F$7:$M$7,DG$7)</f>
        <v>0</v>
      </c>
      <c r="DH275" s="109">
        <f>+SUMIFS(COGS_Assumptions!$F$36:$M$36,COGS_Assumptions!$F$7:$M$7,DH$7)</f>
        <v>0</v>
      </c>
      <c r="DI275" s="109">
        <f>+SUMIFS(COGS_Assumptions!$F$36:$M$36,COGS_Assumptions!$F$7:$M$7,DI$7)</f>
        <v>0</v>
      </c>
      <c r="DJ275" s="109">
        <f>+SUMIFS(COGS_Assumptions!$F$36:$M$36,COGS_Assumptions!$F$7:$M$7,DJ$7)</f>
        <v>0</v>
      </c>
      <c r="DK275" s="109">
        <f>+SUMIFS(COGS_Assumptions!$F$36:$M$36,COGS_Assumptions!$F$7:$M$7,DK$7)</f>
        <v>0</v>
      </c>
      <c r="DL275" s="109">
        <f>+SUMIFS(COGS_Assumptions!$F$36:$M$36,COGS_Assumptions!$F$7:$M$7,DL$7)</f>
        <v>0</v>
      </c>
      <c r="DM275" s="109">
        <f>+SUMIFS(COGS_Assumptions!$F$36:$M$36,COGS_Assumptions!$F$7:$M$7,DM$7)</f>
        <v>0</v>
      </c>
      <c r="DN275" s="109">
        <f>+SUMIFS(COGS_Assumptions!$F$36:$M$36,COGS_Assumptions!$F$7:$M$7,DN$7)</f>
        <v>0</v>
      </c>
      <c r="DO275" s="109">
        <f>+SUMIFS(COGS_Assumptions!$F$36:$M$36,COGS_Assumptions!$F$7:$M$7,DO$7)</f>
        <v>0</v>
      </c>
      <c r="DP275" s="109">
        <f>+SUMIFS(COGS_Assumptions!$F$36:$M$36,COGS_Assumptions!$F$7:$M$7,DP$7)</f>
        <v>0</v>
      </c>
      <c r="DQ275" s="109">
        <f>+SUMIFS(COGS_Assumptions!$F$36:$M$36,COGS_Assumptions!$F$7:$M$7,DQ$7)</f>
        <v>0</v>
      </c>
      <c r="DR275" s="109">
        <f>+SUMIFS(COGS_Assumptions!$F$36:$M$36,COGS_Assumptions!$F$7:$M$7,DR$7)</f>
        <v>0</v>
      </c>
    </row>
    <row r="276" ht="15.75" customHeight="1">
      <c r="B276" s="54" t="s">
        <v>145</v>
      </c>
      <c r="C276" s="54"/>
      <c r="D276" s="54"/>
      <c r="F276" s="55">
        <f t="shared" ref="F276:M276" si="264">+SUMIFS($AA276:$DR276,$AA$7:$DR$7,F$7)</f>
        <v>323.50807</v>
      </c>
      <c r="G276" s="55">
        <f t="shared" si="264"/>
        <v>12.81202</v>
      </c>
      <c r="H276" s="55">
        <f t="shared" si="264"/>
        <v>0</v>
      </c>
      <c r="I276" s="55">
        <f t="shared" si="264"/>
        <v>0</v>
      </c>
      <c r="J276" s="55">
        <f t="shared" si="264"/>
        <v>0</v>
      </c>
      <c r="K276" s="55">
        <f t="shared" si="264"/>
        <v>0</v>
      </c>
      <c r="L276" s="55">
        <f t="shared" si="264"/>
        <v>0</v>
      </c>
      <c r="M276" s="55">
        <f t="shared" si="264"/>
        <v>0</v>
      </c>
      <c r="AA276" s="120">
        <v>11.043809999999999</v>
      </c>
      <c r="AB276" s="120">
        <v>11.043809999999999</v>
      </c>
      <c r="AC276" s="120">
        <v>0.14381</v>
      </c>
      <c r="AD276" s="120">
        <v>1.29429</v>
      </c>
      <c r="AE276" s="120">
        <v>0.0</v>
      </c>
      <c r="AF276" s="120">
        <v>40.333330000000004</v>
      </c>
      <c r="AG276" s="120">
        <v>40.333330000000004</v>
      </c>
      <c r="AH276" s="120">
        <v>42.355199999999996</v>
      </c>
      <c r="AI276" s="120">
        <v>3.8248699999999998</v>
      </c>
      <c r="AJ276" s="120">
        <v>88.68253999999999</v>
      </c>
      <c r="AK276" s="120">
        <v>19.57812</v>
      </c>
      <c r="AL276" s="120">
        <v>64.87496</v>
      </c>
      <c r="AM276" s="120">
        <v>1.25251</v>
      </c>
      <c r="AN276" s="120">
        <v>6.63438</v>
      </c>
      <c r="AO276" s="120">
        <v>6.02875</v>
      </c>
      <c r="AP276" s="120">
        <v>6.4425</v>
      </c>
      <c r="AQ276" s="120">
        <v>-29.597870000000004</v>
      </c>
      <c r="AR276" s="120">
        <v>6.61791</v>
      </c>
      <c r="AS276" s="120">
        <v>0.15625</v>
      </c>
      <c r="AT276" s="120">
        <v>0.0</v>
      </c>
      <c r="AU276" s="120">
        <v>0.0</v>
      </c>
      <c r="AV276" s="120">
        <v>9.388209999999999</v>
      </c>
      <c r="AW276" s="120">
        <v>0.0</v>
      </c>
      <c r="AX276" s="120">
        <v>5.88938</v>
      </c>
      <c r="AY276" s="120">
        <v>0.0</v>
      </c>
      <c r="AZ276" s="120">
        <v>0.0</v>
      </c>
      <c r="BA276" s="120">
        <v>0.0</v>
      </c>
      <c r="BB276" s="120">
        <v>0.0</v>
      </c>
      <c r="BC276" s="120">
        <v>0.0</v>
      </c>
      <c r="BD276" s="120">
        <v>0.0</v>
      </c>
      <c r="BE276" s="120">
        <v>0.0</v>
      </c>
      <c r="BF276" s="120">
        <v>0.0</v>
      </c>
      <c r="BG276" s="120">
        <v>0.0</v>
      </c>
      <c r="BH276" s="120">
        <v>0.0</v>
      </c>
      <c r="BI276" s="120">
        <v>0.0</v>
      </c>
      <c r="BJ276" s="120">
        <v>0.0</v>
      </c>
      <c r="BK276" s="55">
        <f t="shared" ref="BK276:DR276" si="265">+BK274*BK275</f>
        <v>0</v>
      </c>
      <c r="BL276" s="55">
        <f t="shared" si="265"/>
        <v>0</v>
      </c>
      <c r="BM276" s="55">
        <f t="shared" si="265"/>
        <v>0</v>
      </c>
      <c r="BN276" s="55">
        <f t="shared" si="265"/>
        <v>0</v>
      </c>
      <c r="BO276" s="55">
        <f t="shared" si="265"/>
        <v>0</v>
      </c>
      <c r="BP276" s="55">
        <f t="shared" si="265"/>
        <v>0</v>
      </c>
      <c r="BQ276" s="55">
        <f t="shared" si="265"/>
        <v>0</v>
      </c>
      <c r="BR276" s="55">
        <f t="shared" si="265"/>
        <v>0</v>
      </c>
      <c r="BS276" s="55">
        <f t="shared" si="265"/>
        <v>0</v>
      </c>
      <c r="BT276" s="55">
        <f t="shared" si="265"/>
        <v>0</v>
      </c>
      <c r="BU276" s="55">
        <f t="shared" si="265"/>
        <v>0</v>
      </c>
      <c r="BV276" s="55">
        <f t="shared" si="265"/>
        <v>0</v>
      </c>
      <c r="BW276" s="55">
        <f t="shared" si="265"/>
        <v>0</v>
      </c>
      <c r="BX276" s="55">
        <f t="shared" si="265"/>
        <v>0</v>
      </c>
      <c r="BY276" s="55">
        <f t="shared" si="265"/>
        <v>0</v>
      </c>
      <c r="BZ276" s="55">
        <f t="shared" si="265"/>
        <v>0</v>
      </c>
      <c r="CA276" s="55">
        <f t="shared" si="265"/>
        <v>0</v>
      </c>
      <c r="CB276" s="55">
        <f t="shared" si="265"/>
        <v>0</v>
      </c>
      <c r="CC276" s="55">
        <f t="shared" si="265"/>
        <v>0</v>
      </c>
      <c r="CD276" s="55">
        <f t="shared" si="265"/>
        <v>0</v>
      </c>
      <c r="CE276" s="55">
        <f t="shared" si="265"/>
        <v>0</v>
      </c>
      <c r="CF276" s="55">
        <f t="shared" si="265"/>
        <v>0</v>
      </c>
      <c r="CG276" s="55">
        <f t="shared" si="265"/>
        <v>0</v>
      </c>
      <c r="CH276" s="55">
        <f t="shared" si="265"/>
        <v>0</v>
      </c>
      <c r="CI276" s="55">
        <f t="shared" si="265"/>
        <v>0</v>
      </c>
      <c r="CJ276" s="55">
        <f t="shared" si="265"/>
        <v>0</v>
      </c>
      <c r="CK276" s="55">
        <f t="shared" si="265"/>
        <v>0</v>
      </c>
      <c r="CL276" s="55">
        <f t="shared" si="265"/>
        <v>0</v>
      </c>
      <c r="CM276" s="55">
        <f t="shared" si="265"/>
        <v>0</v>
      </c>
      <c r="CN276" s="55">
        <f t="shared" si="265"/>
        <v>0</v>
      </c>
      <c r="CO276" s="55">
        <f t="shared" si="265"/>
        <v>0</v>
      </c>
      <c r="CP276" s="55">
        <f t="shared" si="265"/>
        <v>0</v>
      </c>
      <c r="CQ276" s="55">
        <f t="shared" si="265"/>
        <v>0</v>
      </c>
      <c r="CR276" s="55">
        <f t="shared" si="265"/>
        <v>0</v>
      </c>
      <c r="CS276" s="55">
        <f t="shared" si="265"/>
        <v>0</v>
      </c>
      <c r="CT276" s="55">
        <f t="shared" si="265"/>
        <v>0</v>
      </c>
      <c r="CU276" s="55">
        <f t="shared" si="265"/>
        <v>0</v>
      </c>
      <c r="CV276" s="55">
        <f t="shared" si="265"/>
        <v>0</v>
      </c>
      <c r="CW276" s="55">
        <f t="shared" si="265"/>
        <v>0</v>
      </c>
      <c r="CX276" s="55">
        <f t="shared" si="265"/>
        <v>0</v>
      </c>
      <c r="CY276" s="55">
        <f t="shared" si="265"/>
        <v>0</v>
      </c>
      <c r="CZ276" s="55">
        <f t="shared" si="265"/>
        <v>0</v>
      </c>
      <c r="DA276" s="55">
        <f t="shared" si="265"/>
        <v>0</v>
      </c>
      <c r="DB276" s="55">
        <f t="shared" si="265"/>
        <v>0</v>
      </c>
      <c r="DC276" s="55">
        <f t="shared" si="265"/>
        <v>0</v>
      </c>
      <c r="DD276" s="55">
        <f t="shared" si="265"/>
        <v>0</v>
      </c>
      <c r="DE276" s="55">
        <f t="shared" si="265"/>
        <v>0</v>
      </c>
      <c r="DF276" s="55">
        <f t="shared" si="265"/>
        <v>0</v>
      </c>
      <c r="DG276" s="55">
        <f t="shared" si="265"/>
        <v>0</v>
      </c>
      <c r="DH276" s="55">
        <f t="shared" si="265"/>
        <v>0</v>
      </c>
      <c r="DI276" s="55">
        <f t="shared" si="265"/>
        <v>0</v>
      </c>
      <c r="DJ276" s="55">
        <f t="shared" si="265"/>
        <v>0</v>
      </c>
      <c r="DK276" s="55">
        <f t="shared" si="265"/>
        <v>0</v>
      </c>
      <c r="DL276" s="55">
        <f t="shared" si="265"/>
        <v>0</v>
      </c>
      <c r="DM276" s="55">
        <f t="shared" si="265"/>
        <v>0</v>
      </c>
      <c r="DN276" s="55">
        <f t="shared" si="265"/>
        <v>0</v>
      </c>
      <c r="DO276" s="55">
        <f t="shared" si="265"/>
        <v>0</v>
      </c>
      <c r="DP276" s="55">
        <f t="shared" si="265"/>
        <v>0</v>
      </c>
      <c r="DQ276" s="55">
        <f t="shared" si="265"/>
        <v>0</v>
      </c>
      <c r="DR276" s="55">
        <f t="shared" si="265"/>
        <v>0</v>
      </c>
    </row>
    <row r="277" ht="4.5" customHeight="1"/>
    <row r="278" ht="15.75" customHeight="1">
      <c r="B278" s="122" t="s">
        <v>152</v>
      </c>
      <c r="C278" s="122"/>
      <c r="D278" s="122"/>
      <c r="F278" s="116">
        <f t="shared" ref="F278:M278" si="266">+SUMIFS($AA278:$DR278,$AA$7:$DR$7,F$7)</f>
        <v>2573.11157</v>
      </c>
      <c r="G278" s="116">
        <f t="shared" si="266"/>
        <v>1976.622764</v>
      </c>
      <c r="H278" s="116">
        <f t="shared" si="266"/>
        <v>940.4468252</v>
      </c>
      <c r="I278" s="116">
        <f t="shared" si="266"/>
        <v>1084.029298</v>
      </c>
      <c r="J278" s="116">
        <f t="shared" si="266"/>
        <v>1898.203125</v>
      </c>
      <c r="K278" s="116">
        <f t="shared" si="266"/>
        <v>2566.137656</v>
      </c>
      <c r="L278" s="116">
        <f t="shared" si="266"/>
        <v>3399.534633</v>
      </c>
      <c r="M278" s="116">
        <f t="shared" si="266"/>
        <v>4284.887439</v>
      </c>
      <c r="AA278" s="116">
        <f t="shared" ref="AA278:DR278" si="267">+SUM(AA256,AA276)</f>
        <v>127.3502893</v>
      </c>
      <c r="AB278" s="116">
        <f t="shared" si="267"/>
        <v>157.7091113</v>
      </c>
      <c r="AC278" s="116">
        <f t="shared" si="267"/>
        <v>176.9944609</v>
      </c>
      <c r="AD278" s="116">
        <f t="shared" si="267"/>
        <v>158.2037098</v>
      </c>
      <c r="AE278" s="116">
        <f t="shared" si="267"/>
        <v>175.7426788</v>
      </c>
      <c r="AF278" s="116">
        <f t="shared" si="267"/>
        <v>241.7928402</v>
      </c>
      <c r="AG278" s="116">
        <f t="shared" si="267"/>
        <v>220.2751386</v>
      </c>
      <c r="AH278" s="116">
        <f t="shared" si="267"/>
        <v>275.2908208</v>
      </c>
      <c r="AI278" s="116">
        <f t="shared" si="267"/>
        <v>209.005321</v>
      </c>
      <c r="AJ278" s="116">
        <f t="shared" si="267"/>
        <v>339.8006585</v>
      </c>
      <c r="AK278" s="116">
        <f t="shared" si="267"/>
        <v>242.1068051</v>
      </c>
      <c r="AL278" s="116">
        <f t="shared" si="267"/>
        <v>248.8397356</v>
      </c>
      <c r="AM278" s="116">
        <f t="shared" si="267"/>
        <v>217.7782777</v>
      </c>
      <c r="AN278" s="116">
        <f t="shared" si="267"/>
        <v>236.2779815</v>
      </c>
      <c r="AO278" s="116">
        <f t="shared" si="267"/>
        <v>237.4367088</v>
      </c>
      <c r="AP278" s="116">
        <f t="shared" si="267"/>
        <v>237.8639121</v>
      </c>
      <c r="AQ278" s="116">
        <f t="shared" si="267"/>
        <v>188.3420495</v>
      </c>
      <c r="AR278" s="116">
        <f t="shared" si="267"/>
        <v>163.8140806</v>
      </c>
      <c r="AS278" s="116">
        <f t="shared" si="267"/>
        <v>127.9773625</v>
      </c>
      <c r="AT278" s="116">
        <f t="shared" si="267"/>
        <v>141.4831971</v>
      </c>
      <c r="AU278" s="116">
        <f t="shared" si="267"/>
        <v>143.9408575</v>
      </c>
      <c r="AV278" s="116">
        <f t="shared" si="267"/>
        <v>143.151203</v>
      </c>
      <c r="AW278" s="116">
        <f t="shared" si="267"/>
        <v>76.95232974</v>
      </c>
      <c r="AX278" s="116">
        <f t="shared" si="267"/>
        <v>61.6048039</v>
      </c>
      <c r="AY278" s="116">
        <f t="shared" si="267"/>
        <v>60.94144128</v>
      </c>
      <c r="AZ278" s="116">
        <f t="shared" si="267"/>
        <v>77.06541123</v>
      </c>
      <c r="BA278" s="116">
        <f t="shared" si="267"/>
        <v>98.54442263</v>
      </c>
      <c r="BB278" s="116">
        <f t="shared" si="267"/>
        <v>89.49891784</v>
      </c>
      <c r="BC278" s="116">
        <f t="shared" si="267"/>
        <v>89.1300791</v>
      </c>
      <c r="BD278" s="116">
        <f t="shared" si="267"/>
        <v>84.13602316</v>
      </c>
      <c r="BE278" s="116">
        <f t="shared" si="267"/>
        <v>76.48606928</v>
      </c>
      <c r="BF278" s="116">
        <f t="shared" si="267"/>
        <v>71.74060803</v>
      </c>
      <c r="BG278" s="116">
        <f t="shared" si="267"/>
        <v>66.62494565</v>
      </c>
      <c r="BH278" s="116">
        <f t="shared" si="267"/>
        <v>84.9998126</v>
      </c>
      <c r="BI278" s="116">
        <f t="shared" si="267"/>
        <v>74.80289084</v>
      </c>
      <c r="BJ278" s="116">
        <f t="shared" si="267"/>
        <v>66.47620361</v>
      </c>
      <c r="BK278" s="116">
        <f t="shared" si="267"/>
        <v>81.93792921</v>
      </c>
      <c r="BL278" s="116">
        <f t="shared" si="267"/>
        <v>95.42324743</v>
      </c>
      <c r="BM278" s="116">
        <f t="shared" si="267"/>
        <v>108.8491912</v>
      </c>
      <c r="BN278" s="116">
        <f t="shared" si="267"/>
        <v>102.1730933</v>
      </c>
      <c r="BO278" s="116">
        <f t="shared" si="267"/>
        <v>102.5758651</v>
      </c>
      <c r="BP278" s="116">
        <f t="shared" si="267"/>
        <v>93.61088736</v>
      </c>
      <c r="BQ278" s="116">
        <f t="shared" si="267"/>
        <v>81.8102591</v>
      </c>
      <c r="BR278" s="116">
        <f t="shared" si="267"/>
        <v>91.01291536</v>
      </c>
      <c r="BS278" s="116">
        <f t="shared" si="267"/>
        <v>85.04138156</v>
      </c>
      <c r="BT278" s="116">
        <f t="shared" si="267"/>
        <v>97.60747499</v>
      </c>
      <c r="BU278" s="116">
        <f t="shared" si="267"/>
        <v>78.6441614</v>
      </c>
      <c r="BV278" s="116">
        <f t="shared" si="267"/>
        <v>65.34289208</v>
      </c>
      <c r="BW278" s="116">
        <f t="shared" si="267"/>
        <v>158.5916639</v>
      </c>
      <c r="BX278" s="116">
        <f t="shared" si="267"/>
        <v>181.5376425</v>
      </c>
      <c r="BY278" s="116">
        <f t="shared" si="267"/>
        <v>204.3937882</v>
      </c>
      <c r="BZ278" s="116">
        <f t="shared" si="267"/>
        <v>194.4155354</v>
      </c>
      <c r="CA278" s="116">
        <f t="shared" si="267"/>
        <v>190.0587733</v>
      </c>
      <c r="CB278" s="116">
        <f t="shared" si="267"/>
        <v>161.8945501</v>
      </c>
      <c r="CC278" s="116">
        <f t="shared" si="267"/>
        <v>140.3952052</v>
      </c>
      <c r="CD278" s="116">
        <f t="shared" si="267"/>
        <v>146.9758114</v>
      </c>
      <c r="CE278" s="116">
        <f t="shared" si="267"/>
        <v>140.8403258</v>
      </c>
      <c r="CF278" s="116">
        <f t="shared" si="267"/>
        <v>157.2583627</v>
      </c>
      <c r="CG278" s="116">
        <f t="shared" si="267"/>
        <v>121.0249671</v>
      </c>
      <c r="CH278" s="116">
        <f t="shared" si="267"/>
        <v>100.8164994</v>
      </c>
      <c r="CI278" s="116">
        <f t="shared" si="267"/>
        <v>191.5495856</v>
      </c>
      <c r="CJ278" s="116">
        <f t="shared" si="267"/>
        <v>227.1960321</v>
      </c>
      <c r="CK278" s="116">
        <f t="shared" si="267"/>
        <v>267.6258009</v>
      </c>
      <c r="CL278" s="116">
        <f t="shared" si="267"/>
        <v>249.63411</v>
      </c>
      <c r="CM278" s="116">
        <f t="shared" si="267"/>
        <v>247.653182</v>
      </c>
      <c r="CN278" s="116">
        <f t="shared" si="267"/>
        <v>223.3453063</v>
      </c>
      <c r="CO278" s="116">
        <f t="shared" si="267"/>
        <v>197.3875986</v>
      </c>
      <c r="CP278" s="116">
        <f t="shared" si="267"/>
        <v>203.298352</v>
      </c>
      <c r="CQ278" s="116">
        <f t="shared" si="267"/>
        <v>191.1686348</v>
      </c>
      <c r="CR278" s="116">
        <f t="shared" si="267"/>
        <v>225.1953797</v>
      </c>
      <c r="CS278" s="116">
        <f t="shared" si="267"/>
        <v>184.629658</v>
      </c>
      <c r="CT278" s="116">
        <f t="shared" si="267"/>
        <v>157.4540163</v>
      </c>
      <c r="CU278" s="116">
        <f t="shared" si="267"/>
        <v>264.9142397</v>
      </c>
      <c r="CV278" s="116">
        <f t="shared" si="267"/>
        <v>308.4502057</v>
      </c>
      <c r="CW278" s="116">
        <f t="shared" si="267"/>
        <v>353.98274</v>
      </c>
      <c r="CX278" s="116">
        <f t="shared" si="267"/>
        <v>333.1022616</v>
      </c>
      <c r="CY278" s="116">
        <f t="shared" si="267"/>
        <v>330.0476643</v>
      </c>
      <c r="CZ278" s="116">
        <f t="shared" si="267"/>
        <v>293.1288181</v>
      </c>
      <c r="DA278" s="116">
        <f t="shared" si="267"/>
        <v>256.495968</v>
      </c>
      <c r="DB278" s="116">
        <f t="shared" si="267"/>
        <v>272.6544401</v>
      </c>
      <c r="DC278" s="116">
        <f t="shared" si="267"/>
        <v>257.393086</v>
      </c>
      <c r="DD278" s="116">
        <f t="shared" si="267"/>
        <v>295.3558955</v>
      </c>
      <c r="DE278" s="116">
        <f t="shared" si="267"/>
        <v>235.9890243</v>
      </c>
      <c r="DF278" s="116">
        <f t="shared" si="267"/>
        <v>198.0202894</v>
      </c>
      <c r="DG278" s="116">
        <f t="shared" si="267"/>
        <v>337.24924</v>
      </c>
      <c r="DH278" s="116">
        <f t="shared" si="267"/>
        <v>392.6468368</v>
      </c>
      <c r="DI278" s="116">
        <f t="shared" si="267"/>
        <v>451.478053</v>
      </c>
      <c r="DJ278" s="116">
        <f t="shared" si="267"/>
        <v>425.1830756</v>
      </c>
      <c r="DK278" s="116">
        <f t="shared" si="267"/>
        <v>419.5189022</v>
      </c>
      <c r="DL278" s="116">
        <f t="shared" si="267"/>
        <v>369.2859795</v>
      </c>
      <c r="DM278" s="116">
        <f t="shared" si="267"/>
        <v>323.2698931</v>
      </c>
      <c r="DN278" s="116">
        <f t="shared" si="267"/>
        <v>338.3002264</v>
      </c>
      <c r="DO278" s="116">
        <f t="shared" si="267"/>
        <v>320.5203062</v>
      </c>
      <c r="DP278" s="116">
        <f t="shared" si="267"/>
        <v>367.7629311</v>
      </c>
      <c r="DQ278" s="116">
        <f t="shared" si="267"/>
        <v>292.9779622</v>
      </c>
      <c r="DR278" s="116">
        <f t="shared" si="267"/>
        <v>246.6940326</v>
      </c>
    </row>
    <row r="279" ht="15.75" customHeight="1">
      <c r="A279" s="70"/>
      <c r="B279" s="70" t="s">
        <v>27</v>
      </c>
      <c r="C279" s="70"/>
      <c r="D279" s="70"/>
      <c r="E279" s="70"/>
      <c r="F279" s="104">
        <f t="shared" ref="F279:M279" si="268">+(F249-F278)/F249</f>
        <v>-1.955595136</v>
      </c>
      <c r="G279" s="104">
        <f t="shared" si="268"/>
        <v>-0.7021348034</v>
      </c>
      <c r="H279" s="104">
        <f t="shared" si="268"/>
        <v>0.1597811955</v>
      </c>
      <c r="I279" s="104">
        <f t="shared" si="268"/>
        <v>0.07862576694</v>
      </c>
      <c r="J279" s="104">
        <f t="shared" si="268"/>
        <v>0.2419742302</v>
      </c>
      <c r="K279" s="104">
        <f t="shared" si="268"/>
        <v>0.2536873747</v>
      </c>
      <c r="L279" s="104">
        <f t="shared" si="268"/>
        <v>0.2650729927</v>
      </c>
      <c r="M279" s="104">
        <f t="shared" si="268"/>
        <v>0.2759563543</v>
      </c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123"/>
      <c r="AB279" s="123"/>
      <c r="AC279" s="123"/>
      <c r="AD279" s="123"/>
      <c r="AE279" s="123"/>
      <c r="AF279" s="123"/>
      <c r="AG279" s="123"/>
      <c r="AH279" s="123"/>
      <c r="AI279" s="123"/>
      <c r="AJ279" s="123"/>
      <c r="AK279" s="123"/>
      <c r="AL279" s="123"/>
      <c r="AM279" s="123"/>
      <c r="AN279" s="123"/>
      <c r="AO279" s="123"/>
      <c r="AP279" s="123"/>
      <c r="AQ279" s="123"/>
      <c r="AR279" s="123"/>
      <c r="AS279" s="123"/>
      <c r="AT279" s="123"/>
      <c r="AU279" s="123"/>
      <c r="AV279" s="123"/>
      <c r="AW279" s="123"/>
      <c r="AX279" s="123"/>
      <c r="AY279" s="123"/>
      <c r="AZ279" s="123"/>
      <c r="BA279" s="123"/>
      <c r="BB279" s="123"/>
      <c r="BC279" s="123"/>
      <c r="BD279" s="123"/>
      <c r="BE279" s="123"/>
      <c r="BF279" s="123"/>
      <c r="BG279" s="123"/>
      <c r="BH279" s="123"/>
      <c r="BI279" s="123"/>
      <c r="BJ279" s="123"/>
      <c r="BK279" s="123"/>
      <c r="BL279" s="123"/>
      <c r="BM279" s="123"/>
      <c r="BN279" s="123"/>
      <c r="BO279" s="123"/>
      <c r="BP279" s="123"/>
      <c r="BQ279" s="123"/>
      <c r="BR279" s="123"/>
      <c r="BS279" s="123"/>
      <c r="BT279" s="123"/>
      <c r="BU279" s="123"/>
      <c r="BV279" s="123"/>
      <c r="BW279" s="123"/>
      <c r="BX279" s="123"/>
      <c r="BY279" s="123"/>
      <c r="BZ279" s="123"/>
      <c r="CA279" s="123"/>
      <c r="CB279" s="123"/>
      <c r="CC279" s="123"/>
      <c r="CD279" s="123"/>
      <c r="CE279" s="123"/>
      <c r="CF279" s="123"/>
      <c r="CG279" s="123"/>
      <c r="CH279" s="123"/>
      <c r="CI279" s="123"/>
      <c r="CJ279" s="123"/>
      <c r="CK279" s="123"/>
      <c r="CL279" s="123"/>
      <c r="CM279" s="123"/>
      <c r="CN279" s="123"/>
      <c r="CO279" s="123"/>
      <c r="CP279" s="123"/>
      <c r="CQ279" s="123"/>
      <c r="CR279" s="123"/>
      <c r="CS279" s="123"/>
      <c r="CT279" s="123"/>
      <c r="CU279" s="123"/>
      <c r="CV279" s="123"/>
      <c r="CW279" s="123"/>
      <c r="CX279" s="123"/>
      <c r="CY279" s="123"/>
      <c r="CZ279" s="123"/>
      <c r="DA279" s="123"/>
      <c r="DB279" s="123"/>
      <c r="DC279" s="123"/>
      <c r="DD279" s="123"/>
      <c r="DE279" s="123"/>
      <c r="DF279" s="123"/>
      <c r="DG279" s="123"/>
      <c r="DH279" s="123"/>
      <c r="DI279" s="123"/>
      <c r="DJ279" s="123"/>
      <c r="DK279" s="123"/>
      <c r="DL279" s="123"/>
      <c r="DM279" s="123"/>
      <c r="DN279" s="123"/>
      <c r="DO279" s="123"/>
      <c r="DP279" s="123"/>
      <c r="DQ279" s="123"/>
      <c r="DR279" s="123"/>
      <c r="DS279" s="70"/>
    </row>
    <row r="280" ht="4.5" customHeight="1"/>
    <row r="281" ht="4.5" customHeight="1"/>
    <row r="282" ht="15.75" customHeight="1">
      <c r="B282" s="125" t="s">
        <v>153</v>
      </c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</row>
    <row r="283" ht="15.75" customHeight="1">
      <c r="B283" s="126" t="s">
        <v>42</v>
      </c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</row>
    <row r="284" ht="4.5" customHeight="1"/>
    <row r="285" ht="15.75" customHeight="1">
      <c r="B285" s="47" t="s">
        <v>146</v>
      </c>
    </row>
    <row r="286" ht="15.75" customHeight="1">
      <c r="B286" s="5" t="s">
        <v>82</v>
      </c>
      <c r="F286" s="49">
        <f t="shared" ref="F286:M286" si="269">+F85</f>
        <v>0.8860393586</v>
      </c>
      <c r="G286" s="49">
        <f t="shared" si="269"/>
        <v>0.9135023863</v>
      </c>
      <c r="H286" s="49">
        <f t="shared" si="269"/>
        <v>0.9382308521</v>
      </c>
      <c r="I286" s="49">
        <f t="shared" si="269"/>
        <v>0.92</v>
      </c>
      <c r="J286" s="49">
        <f t="shared" si="269"/>
        <v>0.92</v>
      </c>
      <c r="K286" s="49">
        <f t="shared" si="269"/>
        <v>0.922</v>
      </c>
      <c r="L286" s="49">
        <f t="shared" si="269"/>
        <v>0.924</v>
      </c>
      <c r="M286" s="49">
        <f t="shared" si="269"/>
        <v>0.926</v>
      </c>
    </row>
    <row r="287" ht="15.75" customHeight="1">
      <c r="B287" s="5" t="s">
        <v>76</v>
      </c>
      <c r="F287" s="49">
        <f t="shared" ref="F287:M287" si="270">+F86</f>
        <v>0.8456278547</v>
      </c>
      <c r="G287" s="49">
        <f t="shared" si="270"/>
        <v>0.8808092648</v>
      </c>
      <c r="H287" s="49">
        <f t="shared" si="270"/>
        <v>0.9103665427</v>
      </c>
      <c r="I287" s="49">
        <f t="shared" si="270"/>
        <v>0.896211232</v>
      </c>
      <c r="J287" s="49">
        <f t="shared" si="270"/>
        <v>0.896211232</v>
      </c>
      <c r="K287" s="49">
        <f t="shared" si="270"/>
        <v>0.898211232</v>
      </c>
      <c r="L287" s="49">
        <f t="shared" si="270"/>
        <v>0.900211232</v>
      </c>
      <c r="M287" s="49">
        <f t="shared" si="270"/>
        <v>0.902211232</v>
      </c>
    </row>
    <row r="288" ht="15.75" customHeight="1">
      <c r="B288" s="5" t="s">
        <v>74</v>
      </c>
      <c r="F288" s="49">
        <f t="shared" ref="F288:M288" si="271">+F87</f>
        <v>0.8337031246</v>
      </c>
      <c r="G288" s="49">
        <f t="shared" si="271"/>
        <v>0.9038848151</v>
      </c>
      <c r="H288" s="49">
        <f t="shared" si="271"/>
        <v>0.896211232</v>
      </c>
      <c r="I288" s="49">
        <f t="shared" si="271"/>
        <v>0.9198565501</v>
      </c>
      <c r="J288" s="49">
        <f t="shared" si="271"/>
        <v>0.9198565501</v>
      </c>
      <c r="K288" s="49">
        <f t="shared" si="271"/>
        <v>0.9218565501</v>
      </c>
      <c r="L288" s="49">
        <f t="shared" si="271"/>
        <v>0.9238565501</v>
      </c>
      <c r="M288" s="49">
        <f t="shared" si="271"/>
        <v>0.9258565501</v>
      </c>
    </row>
    <row r="289" ht="15.75" customHeight="1">
      <c r="B289" s="5" t="s">
        <v>70</v>
      </c>
      <c r="F289" s="49">
        <f t="shared" ref="F289:M289" si="272">+F88</f>
        <v>0.8588997472</v>
      </c>
      <c r="G289" s="49">
        <f t="shared" si="272"/>
        <v>0.9044758485</v>
      </c>
      <c r="H289" s="49">
        <f t="shared" si="272"/>
        <v>0.9198565501</v>
      </c>
      <c r="I289" s="49">
        <f t="shared" si="272"/>
        <v>0.9265972012</v>
      </c>
      <c r="J289" s="49">
        <f t="shared" si="272"/>
        <v>0.9265972012</v>
      </c>
      <c r="K289" s="49">
        <f t="shared" si="272"/>
        <v>0.9285972012</v>
      </c>
      <c r="L289" s="49">
        <f t="shared" si="272"/>
        <v>0.9305972012</v>
      </c>
      <c r="M289" s="49">
        <f t="shared" si="272"/>
        <v>0.9325972012</v>
      </c>
    </row>
    <row r="290" ht="15.75" customHeight="1">
      <c r="B290" s="54" t="s">
        <v>145</v>
      </c>
      <c r="C290" s="54"/>
      <c r="D290" s="54"/>
      <c r="F290" s="57">
        <f t="shared" ref="F290:M290" si="273">+F89</f>
        <v>0.8728942231</v>
      </c>
      <c r="G290" s="57">
        <f t="shared" si="273"/>
        <v>0.9068091164</v>
      </c>
      <c r="H290" s="57">
        <f t="shared" si="273"/>
        <v>0.9265972012</v>
      </c>
      <c r="I290" s="57">
        <f t="shared" si="273"/>
        <v>0.9175283751</v>
      </c>
      <c r="J290" s="57">
        <f t="shared" si="273"/>
        <v>0.9174838218</v>
      </c>
      <c r="K290" s="57">
        <f t="shared" si="273"/>
        <v>0.9194814885</v>
      </c>
      <c r="L290" s="57">
        <f t="shared" si="273"/>
        <v>0.9215606723</v>
      </c>
      <c r="M290" s="57">
        <f t="shared" si="273"/>
        <v>0.9237349309</v>
      </c>
    </row>
    <row r="291" ht="4.5" customHeight="1"/>
    <row r="292" ht="15.75" customHeight="1">
      <c r="B292" s="126" t="s">
        <v>43</v>
      </c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</row>
    <row r="293" ht="4.5" customHeight="1"/>
    <row r="294" ht="15.75" customHeight="1">
      <c r="B294" s="47" t="s">
        <v>146</v>
      </c>
    </row>
    <row r="295" ht="15.75" customHeight="1">
      <c r="B295" s="5" t="s">
        <v>82</v>
      </c>
      <c r="F295" s="49">
        <f t="shared" ref="F295:M295" si="274">+F185</f>
        <v>0.7250930555</v>
      </c>
      <c r="G295" s="49">
        <f t="shared" si="274"/>
        <v>0.6996038285</v>
      </c>
      <c r="H295" s="49">
        <f t="shared" si="274"/>
        <v>0.7225625004</v>
      </c>
      <c r="I295" s="49">
        <f t="shared" si="274"/>
        <v>0.69</v>
      </c>
      <c r="J295" s="49">
        <f t="shared" si="274"/>
        <v>0.69</v>
      </c>
      <c r="K295" s="49">
        <f t="shared" si="274"/>
        <v>0.693</v>
      </c>
      <c r="L295" s="49">
        <f t="shared" si="274"/>
        <v>0.696</v>
      </c>
      <c r="M295" s="49">
        <f t="shared" si="274"/>
        <v>0.699</v>
      </c>
    </row>
    <row r="296" ht="15.75" customHeight="1">
      <c r="B296" s="5" t="s">
        <v>76</v>
      </c>
      <c r="F296" s="49">
        <f t="shared" ref="F296:M296" si="275">+F186</f>
        <v>0.6814893689</v>
      </c>
      <c r="G296" s="49">
        <f t="shared" si="275"/>
        <v>0.7475955363</v>
      </c>
      <c r="H296" s="49">
        <f t="shared" si="275"/>
        <v>0.6890718361</v>
      </c>
      <c r="I296" s="49">
        <f t="shared" si="275"/>
        <v>0.69</v>
      </c>
      <c r="J296" s="49">
        <f t="shared" si="275"/>
        <v>0.69</v>
      </c>
      <c r="K296" s="49">
        <f t="shared" si="275"/>
        <v>0.693</v>
      </c>
      <c r="L296" s="49">
        <f t="shared" si="275"/>
        <v>0.696</v>
      </c>
      <c r="M296" s="49">
        <f t="shared" si="275"/>
        <v>0.699</v>
      </c>
    </row>
    <row r="297" ht="15.75" customHeight="1">
      <c r="B297" s="5" t="s">
        <v>74</v>
      </c>
      <c r="F297" s="49">
        <f t="shared" ref="F297:M297" si="276">+F187</f>
        <v>0.2587369604</v>
      </c>
      <c r="G297" s="49">
        <f t="shared" si="276"/>
        <v>0.492077364</v>
      </c>
      <c r="H297" s="49">
        <f t="shared" si="276"/>
        <v>0.6428167964</v>
      </c>
      <c r="I297" s="49">
        <f t="shared" si="276"/>
        <v>0.65</v>
      </c>
      <c r="J297" s="49">
        <f t="shared" si="276"/>
        <v>0.65</v>
      </c>
      <c r="K297" s="49">
        <f t="shared" si="276"/>
        <v>0.653</v>
      </c>
      <c r="L297" s="49">
        <f t="shared" si="276"/>
        <v>0.656</v>
      </c>
      <c r="M297" s="49">
        <f t="shared" si="276"/>
        <v>0.659</v>
      </c>
    </row>
    <row r="298" ht="15.75" customHeight="1">
      <c r="B298" s="5" t="s">
        <v>70</v>
      </c>
      <c r="F298" s="49">
        <f t="shared" ref="F298:M298" si="277">+F188</f>
        <v>0.7029888097</v>
      </c>
      <c r="G298" s="49">
        <f t="shared" si="277"/>
        <v>0.4563453073</v>
      </c>
      <c r="H298" s="49">
        <f t="shared" si="277"/>
        <v>0.7386531678</v>
      </c>
      <c r="I298" s="49">
        <f t="shared" si="277"/>
        <v>0.75</v>
      </c>
      <c r="J298" s="49">
        <f t="shared" si="277"/>
        <v>0.75</v>
      </c>
      <c r="K298" s="49">
        <f t="shared" si="277"/>
        <v>0.753</v>
      </c>
      <c r="L298" s="49">
        <f t="shared" si="277"/>
        <v>0.756</v>
      </c>
      <c r="M298" s="49">
        <f t="shared" si="277"/>
        <v>0.759</v>
      </c>
    </row>
    <row r="299" ht="15.75" customHeight="1">
      <c r="B299" s="54" t="s">
        <v>145</v>
      </c>
      <c r="C299" s="54"/>
      <c r="D299" s="54"/>
      <c r="F299" s="57">
        <f t="shared" ref="F299:M299" si="278">+F189</f>
        <v>0.710676323</v>
      </c>
      <c r="G299" s="57">
        <f t="shared" si="278"/>
        <v>0.6810442098</v>
      </c>
      <c r="H299" s="57">
        <f t="shared" si="278"/>
        <v>0.7105210419</v>
      </c>
      <c r="I299" s="57">
        <f t="shared" si="278"/>
        <v>0.6891650232</v>
      </c>
      <c r="J299" s="57">
        <f t="shared" si="278"/>
        <v>0.6896098924</v>
      </c>
      <c r="K299" s="57">
        <f t="shared" si="278"/>
        <v>0.6924508609</v>
      </c>
      <c r="L299" s="57">
        <f t="shared" si="278"/>
        <v>0.6952969177</v>
      </c>
      <c r="M299" s="57">
        <f t="shared" si="278"/>
        <v>0.698101547</v>
      </c>
    </row>
    <row r="300" ht="4.5" customHeight="1"/>
    <row r="301" ht="15.75" customHeight="1">
      <c r="B301" s="126" t="s">
        <v>44</v>
      </c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</row>
    <row r="302" ht="4.5" customHeight="1"/>
    <row r="303" ht="15.75" customHeight="1">
      <c r="B303" s="47" t="s">
        <v>146</v>
      </c>
    </row>
    <row r="304" ht="15.75" customHeight="1">
      <c r="B304" s="5" t="s">
        <v>82</v>
      </c>
      <c r="F304" s="49">
        <f t="shared" ref="F304:M304" si="279">+F267</f>
        <v>-2.425084238</v>
      </c>
      <c r="G304" s="49">
        <f t="shared" si="279"/>
        <v>-0.4997549136</v>
      </c>
      <c r="H304" s="49">
        <f t="shared" si="279"/>
        <v>-0.5993908574</v>
      </c>
      <c r="I304" s="49">
        <f t="shared" si="279"/>
        <v>-3.5</v>
      </c>
      <c r="J304" s="49">
        <f t="shared" si="279"/>
        <v>0.25</v>
      </c>
      <c r="K304" s="49">
        <f t="shared" si="279"/>
        <v>0.26</v>
      </c>
      <c r="L304" s="49">
        <f t="shared" si="279"/>
        <v>0.27</v>
      </c>
      <c r="M304" s="49">
        <f t="shared" si="279"/>
        <v>0.28</v>
      </c>
    </row>
    <row r="305" ht="15.75" customHeight="1">
      <c r="B305" s="5" t="s">
        <v>76</v>
      </c>
      <c r="F305" s="49">
        <f t="shared" ref="F305:M305" si="280">+F268</f>
        <v>-1.521323715</v>
      </c>
      <c r="G305" s="49">
        <f t="shared" si="280"/>
        <v>0</v>
      </c>
      <c r="H305" s="49">
        <f t="shared" si="280"/>
        <v>-0.1139370808</v>
      </c>
      <c r="I305" s="49">
        <f t="shared" si="280"/>
        <v>0.8083080854</v>
      </c>
      <c r="J305" s="49">
        <f t="shared" si="280"/>
        <v>0.2</v>
      </c>
      <c r="K305" s="49">
        <f t="shared" si="280"/>
        <v>0.21</v>
      </c>
      <c r="L305" s="49">
        <f t="shared" si="280"/>
        <v>0.22</v>
      </c>
      <c r="M305" s="49">
        <f t="shared" si="280"/>
        <v>0.23</v>
      </c>
    </row>
    <row r="306" ht="15.75" customHeight="1">
      <c r="B306" s="5" t="s">
        <v>74</v>
      </c>
      <c r="F306" s="49">
        <f t="shared" ref="F306:M306" si="281">+F269</f>
        <v>-1.241223352</v>
      </c>
      <c r="G306" s="49">
        <f t="shared" si="281"/>
        <v>-0.1216868589</v>
      </c>
      <c r="H306" s="49">
        <f t="shared" si="281"/>
        <v>1.404835056</v>
      </c>
      <c r="I306" s="49">
        <f t="shared" si="281"/>
        <v>0.3923373785</v>
      </c>
      <c r="J306" s="49">
        <f t="shared" si="281"/>
        <v>0.25</v>
      </c>
      <c r="K306" s="49">
        <f t="shared" si="281"/>
        <v>0.26</v>
      </c>
      <c r="L306" s="49">
        <f t="shared" si="281"/>
        <v>0.27</v>
      </c>
      <c r="M306" s="49">
        <f t="shared" si="281"/>
        <v>0.28</v>
      </c>
    </row>
    <row r="307" ht="15.75" customHeight="1">
      <c r="B307" s="5" t="s">
        <v>70</v>
      </c>
      <c r="F307" s="49">
        <f t="shared" ref="F307:M307" si="282">+F270</f>
        <v>-1.170665203</v>
      </c>
      <c r="G307" s="49">
        <f t="shared" si="282"/>
        <v>-0.3498354969</v>
      </c>
      <c r="H307" s="49">
        <f t="shared" si="282"/>
        <v>0.408634977</v>
      </c>
      <c r="I307" s="49">
        <f t="shared" si="282"/>
        <v>0.2</v>
      </c>
      <c r="J307" s="49">
        <f t="shared" si="282"/>
        <v>0.25</v>
      </c>
      <c r="K307" s="49">
        <f t="shared" si="282"/>
        <v>0.26</v>
      </c>
      <c r="L307" s="49">
        <f t="shared" si="282"/>
        <v>0.27</v>
      </c>
      <c r="M307" s="49">
        <f t="shared" si="282"/>
        <v>0.28</v>
      </c>
    </row>
    <row r="308" ht="15.75" customHeight="1">
      <c r="B308" s="54" t="s">
        <v>145</v>
      </c>
      <c r="C308" s="54"/>
      <c r="D308" s="54"/>
      <c r="F308" s="57">
        <f t="shared" ref="F308:M308" si="283">+F271</f>
        <v>-1.557514339</v>
      </c>
      <c r="G308" s="57">
        <f t="shared" si="283"/>
        <v>-0.7373986962</v>
      </c>
      <c r="H308" s="57">
        <f t="shared" si="283"/>
        <v>0.2735894432</v>
      </c>
      <c r="I308" s="57">
        <f t="shared" si="283"/>
        <v>0.1857980692</v>
      </c>
      <c r="J308" s="57">
        <f t="shared" si="283"/>
        <v>0.2419742302</v>
      </c>
      <c r="K308" s="57">
        <f t="shared" si="283"/>
        <v>0.2536873747</v>
      </c>
      <c r="L308" s="57">
        <f t="shared" si="283"/>
        <v>0.2650729927</v>
      </c>
      <c r="M308" s="57">
        <f t="shared" si="283"/>
        <v>0.2759563543</v>
      </c>
    </row>
    <row r="309" ht="4.5" customHeight="1"/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9.0" topLeftCell="E10" activePane="bottomRight" state="frozen"/>
      <selection activeCell="E1" sqref="E1" pane="topRight"/>
      <selection activeCell="A10" sqref="A10" pane="bottomLeft"/>
      <selection activeCell="E10" sqref="E10" pane="bottomRight"/>
    </sheetView>
  </sheetViews>
  <sheetFormatPr customHeight="1" defaultColWidth="14.43" defaultRowHeight="15.0" outlineLevelCol="1"/>
  <cols>
    <col customWidth="1" min="1" max="1" width="2.57"/>
    <col customWidth="1" min="2" max="2" width="25.57"/>
    <col customWidth="1" min="3" max="5" width="2.57"/>
    <col customWidth="1" min="6" max="13" width="12.57"/>
    <col customWidth="1" min="14" max="14" width="2.57"/>
    <col customWidth="1" hidden="1" min="15" max="26" width="2.57"/>
    <col customWidth="1" hidden="1" min="27" max="122" width="12.57" outlineLevel="1"/>
  </cols>
  <sheetData>
    <row r="2">
      <c r="B2" s="31" t="s">
        <v>31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</row>
    <row r="3">
      <c r="B3" s="32" t="str">
        <f t="array" ref="B3">MID(CELL("filename",A1),FIND("]",CELL("filename",A1))+1,255)</f>
        <v>#VALUE!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</row>
    <row r="4">
      <c r="B4" s="32" t="s">
        <v>32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</row>
    <row r="5">
      <c r="B5" s="33" t="s">
        <v>33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</row>
    <row r="6" ht="4.5" customHeight="1"/>
    <row r="7">
      <c r="B7" s="34"/>
      <c r="C7" s="34"/>
      <c r="D7" s="34"/>
      <c r="E7" s="35"/>
      <c r="F7" s="36">
        <v>2019.0</v>
      </c>
      <c r="G7" s="36">
        <f t="shared" ref="G7:M7" si="1">+F7+1</f>
        <v>2020</v>
      </c>
      <c r="H7" s="36">
        <f t="shared" si="1"/>
        <v>2021</v>
      </c>
      <c r="I7" s="36">
        <f t="shared" si="1"/>
        <v>2022</v>
      </c>
      <c r="J7" s="36">
        <f t="shared" si="1"/>
        <v>2023</v>
      </c>
      <c r="K7" s="36">
        <f t="shared" si="1"/>
        <v>2024</v>
      </c>
      <c r="L7" s="36">
        <f t="shared" si="1"/>
        <v>2025</v>
      </c>
      <c r="M7" s="36">
        <f t="shared" si="1"/>
        <v>2026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>
        <f t="shared" ref="AA7:DR7" si="2">+YEAR(AA8)</f>
        <v>2019</v>
      </c>
      <c r="AB7" s="36">
        <f t="shared" si="2"/>
        <v>2019</v>
      </c>
      <c r="AC7" s="36">
        <f t="shared" si="2"/>
        <v>2019</v>
      </c>
      <c r="AD7" s="36">
        <f t="shared" si="2"/>
        <v>2019</v>
      </c>
      <c r="AE7" s="36">
        <f t="shared" si="2"/>
        <v>2019</v>
      </c>
      <c r="AF7" s="36">
        <f t="shared" si="2"/>
        <v>2019</v>
      </c>
      <c r="AG7" s="36">
        <f t="shared" si="2"/>
        <v>2019</v>
      </c>
      <c r="AH7" s="36">
        <f t="shared" si="2"/>
        <v>2019</v>
      </c>
      <c r="AI7" s="36">
        <f t="shared" si="2"/>
        <v>2019</v>
      </c>
      <c r="AJ7" s="36">
        <f t="shared" si="2"/>
        <v>2019</v>
      </c>
      <c r="AK7" s="36">
        <f t="shared" si="2"/>
        <v>2019</v>
      </c>
      <c r="AL7" s="36">
        <f t="shared" si="2"/>
        <v>2019</v>
      </c>
      <c r="AM7" s="36">
        <f t="shared" si="2"/>
        <v>2020</v>
      </c>
      <c r="AN7" s="36">
        <f t="shared" si="2"/>
        <v>2020</v>
      </c>
      <c r="AO7" s="36">
        <f t="shared" si="2"/>
        <v>2020</v>
      </c>
      <c r="AP7" s="36">
        <f t="shared" si="2"/>
        <v>2020</v>
      </c>
      <c r="AQ7" s="36">
        <f t="shared" si="2"/>
        <v>2020</v>
      </c>
      <c r="AR7" s="36">
        <f t="shared" si="2"/>
        <v>2020</v>
      </c>
      <c r="AS7" s="36">
        <f t="shared" si="2"/>
        <v>2020</v>
      </c>
      <c r="AT7" s="36">
        <f t="shared" si="2"/>
        <v>2020</v>
      </c>
      <c r="AU7" s="36">
        <f t="shared" si="2"/>
        <v>2020</v>
      </c>
      <c r="AV7" s="36">
        <f t="shared" si="2"/>
        <v>2020</v>
      </c>
      <c r="AW7" s="36">
        <f t="shared" si="2"/>
        <v>2020</v>
      </c>
      <c r="AX7" s="36">
        <f t="shared" si="2"/>
        <v>2020</v>
      </c>
      <c r="AY7" s="36">
        <f t="shared" si="2"/>
        <v>2021</v>
      </c>
      <c r="AZ7" s="36">
        <f t="shared" si="2"/>
        <v>2021</v>
      </c>
      <c r="BA7" s="36">
        <f t="shared" si="2"/>
        <v>2021</v>
      </c>
      <c r="BB7" s="36">
        <f t="shared" si="2"/>
        <v>2021</v>
      </c>
      <c r="BC7" s="36">
        <f t="shared" si="2"/>
        <v>2021</v>
      </c>
      <c r="BD7" s="36">
        <f t="shared" si="2"/>
        <v>2021</v>
      </c>
      <c r="BE7" s="36">
        <f t="shared" si="2"/>
        <v>2021</v>
      </c>
      <c r="BF7" s="36">
        <f t="shared" si="2"/>
        <v>2021</v>
      </c>
      <c r="BG7" s="36">
        <f t="shared" si="2"/>
        <v>2021</v>
      </c>
      <c r="BH7" s="36">
        <f t="shared" si="2"/>
        <v>2021</v>
      </c>
      <c r="BI7" s="36">
        <f t="shared" si="2"/>
        <v>2021</v>
      </c>
      <c r="BJ7" s="36">
        <f t="shared" si="2"/>
        <v>2021</v>
      </c>
      <c r="BK7" s="36">
        <f t="shared" si="2"/>
        <v>2022</v>
      </c>
      <c r="BL7" s="36">
        <f t="shared" si="2"/>
        <v>2022</v>
      </c>
      <c r="BM7" s="36">
        <f t="shared" si="2"/>
        <v>2022</v>
      </c>
      <c r="BN7" s="36">
        <f t="shared" si="2"/>
        <v>2022</v>
      </c>
      <c r="BO7" s="36">
        <f t="shared" si="2"/>
        <v>2022</v>
      </c>
      <c r="BP7" s="36">
        <f t="shared" si="2"/>
        <v>2022</v>
      </c>
      <c r="BQ7" s="36">
        <f t="shared" si="2"/>
        <v>2022</v>
      </c>
      <c r="BR7" s="36">
        <f t="shared" si="2"/>
        <v>2022</v>
      </c>
      <c r="BS7" s="36">
        <f t="shared" si="2"/>
        <v>2022</v>
      </c>
      <c r="BT7" s="36">
        <f t="shared" si="2"/>
        <v>2022</v>
      </c>
      <c r="BU7" s="36">
        <f t="shared" si="2"/>
        <v>2022</v>
      </c>
      <c r="BV7" s="36">
        <f t="shared" si="2"/>
        <v>2022</v>
      </c>
      <c r="BW7" s="36">
        <f t="shared" si="2"/>
        <v>2023</v>
      </c>
      <c r="BX7" s="36">
        <f t="shared" si="2"/>
        <v>2023</v>
      </c>
      <c r="BY7" s="36">
        <f t="shared" si="2"/>
        <v>2023</v>
      </c>
      <c r="BZ7" s="36">
        <f t="shared" si="2"/>
        <v>2023</v>
      </c>
      <c r="CA7" s="36">
        <f t="shared" si="2"/>
        <v>2023</v>
      </c>
      <c r="CB7" s="36">
        <f t="shared" si="2"/>
        <v>2023</v>
      </c>
      <c r="CC7" s="36">
        <f t="shared" si="2"/>
        <v>2023</v>
      </c>
      <c r="CD7" s="36">
        <f t="shared" si="2"/>
        <v>2023</v>
      </c>
      <c r="CE7" s="36">
        <f t="shared" si="2"/>
        <v>2023</v>
      </c>
      <c r="CF7" s="36">
        <f t="shared" si="2"/>
        <v>2023</v>
      </c>
      <c r="CG7" s="36">
        <f t="shared" si="2"/>
        <v>2023</v>
      </c>
      <c r="CH7" s="36">
        <f t="shared" si="2"/>
        <v>2023</v>
      </c>
      <c r="CI7" s="36">
        <f t="shared" si="2"/>
        <v>2024</v>
      </c>
      <c r="CJ7" s="36">
        <f t="shared" si="2"/>
        <v>2024</v>
      </c>
      <c r="CK7" s="36">
        <f t="shared" si="2"/>
        <v>2024</v>
      </c>
      <c r="CL7" s="36">
        <f t="shared" si="2"/>
        <v>2024</v>
      </c>
      <c r="CM7" s="36">
        <f t="shared" si="2"/>
        <v>2024</v>
      </c>
      <c r="CN7" s="36">
        <f t="shared" si="2"/>
        <v>2024</v>
      </c>
      <c r="CO7" s="36">
        <f t="shared" si="2"/>
        <v>2024</v>
      </c>
      <c r="CP7" s="36">
        <f t="shared" si="2"/>
        <v>2024</v>
      </c>
      <c r="CQ7" s="36">
        <f t="shared" si="2"/>
        <v>2024</v>
      </c>
      <c r="CR7" s="36">
        <f t="shared" si="2"/>
        <v>2024</v>
      </c>
      <c r="CS7" s="36">
        <f t="shared" si="2"/>
        <v>2024</v>
      </c>
      <c r="CT7" s="36">
        <f t="shared" si="2"/>
        <v>2024</v>
      </c>
      <c r="CU7" s="36">
        <f t="shared" si="2"/>
        <v>2025</v>
      </c>
      <c r="CV7" s="36">
        <f t="shared" si="2"/>
        <v>2025</v>
      </c>
      <c r="CW7" s="36">
        <f t="shared" si="2"/>
        <v>2025</v>
      </c>
      <c r="CX7" s="36">
        <f t="shared" si="2"/>
        <v>2025</v>
      </c>
      <c r="CY7" s="36">
        <f t="shared" si="2"/>
        <v>2025</v>
      </c>
      <c r="CZ7" s="36">
        <f t="shared" si="2"/>
        <v>2025</v>
      </c>
      <c r="DA7" s="36">
        <f t="shared" si="2"/>
        <v>2025</v>
      </c>
      <c r="DB7" s="36">
        <f t="shared" si="2"/>
        <v>2025</v>
      </c>
      <c r="DC7" s="36">
        <f t="shared" si="2"/>
        <v>2025</v>
      </c>
      <c r="DD7" s="36">
        <f t="shared" si="2"/>
        <v>2025</v>
      </c>
      <c r="DE7" s="36">
        <f t="shared" si="2"/>
        <v>2025</v>
      </c>
      <c r="DF7" s="36">
        <f t="shared" si="2"/>
        <v>2025</v>
      </c>
      <c r="DG7" s="36">
        <f t="shared" si="2"/>
        <v>2026</v>
      </c>
      <c r="DH7" s="36">
        <f t="shared" si="2"/>
        <v>2026</v>
      </c>
      <c r="DI7" s="36">
        <f t="shared" si="2"/>
        <v>2026</v>
      </c>
      <c r="DJ7" s="36">
        <f t="shared" si="2"/>
        <v>2026</v>
      </c>
      <c r="DK7" s="36">
        <f t="shared" si="2"/>
        <v>2026</v>
      </c>
      <c r="DL7" s="36">
        <f t="shared" si="2"/>
        <v>2026</v>
      </c>
      <c r="DM7" s="36">
        <f t="shared" si="2"/>
        <v>2026</v>
      </c>
      <c r="DN7" s="36">
        <f t="shared" si="2"/>
        <v>2026</v>
      </c>
      <c r="DO7" s="36">
        <f t="shared" si="2"/>
        <v>2026</v>
      </c>
      <c r="DP7" s="36">
        <f t="shared" si="2"/>
        <v>2026</v>
      </c>
      <c r="DQ7" s="36">
        <f t="shared" si="2"/>
        <v>2026</v>
      </c>
      <c r="DR7" s="36">
        <f t="shared" si="2"/>
        <v>2026</v>
      </c>
    </row>
    <row r="8">
      <c r="B8" s="34"/>
      <c r="C8" s="34"/>
      <c r="D8" s="34"/>
      <c r="E8" s="41"/>
      <c r="F8" s="42">
        <f t="shared" ref="F8:M8" si="3">+DATE(F7,12,31)</f>
        <v>43830</v>
      </c>
      <c r="G8" s="42">
        <f t="shared" si="3"/>
        <v>44196</v>
      </c>
      <c r="H8" s="42">
        <f t="shared" si="3"/>
        <v>44561</v>
      </c>
      <c r="I8" s="42">
        <f t="shared" si="3"/>
        <v>44926</v>
      </c>
      <c r="J8" s="42">
        <f t="shared" si="3"/>
        <v>45291</v>
      </c>
      <c r="K8" s="42">
        <f t="shared" si="3"/>
        <v>45657</v>
      </c>
      <c r="L8" s="42">
        <f t="shared" si="3"/>
        <v>46022</v>
      </c>
      <c r="M8" s="42">
        <f t="shared" si="3"/>
        <v>46387</v>
      </c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>
        <v>43496.0</v>
      </c>
      <c r="AB8" s="42">
        <f t="shared" ref="AB8:DR8" si="4">+EOMONTH(AA8,1)</f>
        <v>43524</v>
      </c>
      <c r="AC8" s="42">
        <f t="shared" si="4"/>
        <v>43555</v>
      </c>
      <c r="AD8" s="42">
        <f t="shared" si="4"/>
        <v>43585</v>
      </c>
      <c r="AE8" s="42">
        <f t="shared" si="4"/>
        <v>43616</v>
      </c>
      <c r="AF8" s="42">
        <f t="shared" si="4"/>
        <v>43646</v>
      </c>
      <c r="AG8" s="42">
        <f t="shared" si="4"/>
        <v>43677</v>
      </c>
      <c r="AH8" s="42">
        <f t="shared" si="4"/>
        <v>43708</v>
      </c>
      <c r="AI8" s="42">
        <f t="shared" si="4"/>
        <v>43738</v>
      </c>
      <c r="AJ8" s="42">
        <f t="shared" si="4"/>
        <v>43769</v>
      </c>
      <c r="AK8" s="42">
        <f t="shared" si="4"/>
        <v>43799</v>
      </c>
      <c r="AL8" s="42">
        <f t="shared" si="4"/>
        <v>43830</v>
      </c>
      <c r="AM8" s="42">
        <f t="shared" si="4"/>
        <v>43861</v>
      </c>
      <c r="AN8" s="42">
        <f t="shared" si="4"/>
        <v>43890</v>
      </c>
      <c r="AO8" s="42">
        <f t="shared" si="4"/>
        <v>43921</v>
      </c>
      <c r="AP8" s="42">
        <f t="shared" si="4"/>
        <v>43951</v>
      </c>
      <c r="AQ8" s="42">
        <f t="shared" si="4"/>
        <v>43982</v>
      </c>
      <c r="AR8" s="42">
        <f t="shared" si="4"/>
        <v>44012</v>
      </c>
      <c r="AS8" s="42">
        <f t="shared" si="4"/>
        <v>44043</v>
      </c>
      <c r="AT8" s="42">
        <f t="shared" si="4"/>
        <v>44074</v>
      </c>
      <c r="AU8" s="42">
        <f t="shared" si="4"/>
        <v>44104</v>
      </c>
      <c r="AV8" s="42">
        <f t="shared" si="4"/>
        <v>44135</v>
      </c>
      <c r="AW8" s="42">
        <f t="shared" si="4"/>
        <v>44165</v>
      </c>
      <c r="AX8" s="42">
        <f t="shared" si="4"/>
        <v>44196</v>
      </c>
      <c r="AY8" s="42">
        <f t="shared" si="4"/>
        <v>44227</v>
      </c>
      <c r="AZ8" s="42">
        <f t="shared" si="4"/>
        <v>44255</v>
      </c>
      <c r="BA8" s="42">
        <f t="shared" si="4"/>
        <v>44286</v>
      </c>
      <c r="BB8" s="42">
        <f t="shared" si="4"/>
        <v>44316</v>
      </c>
      <c r="BC8" s="42">
        <f t="shared" si="4"/>
        <v>44347</v>
      </c>
      <c r="BD8" s="42">
        <f t="shared" si="4"/>
        <v>44377</v>
      </c>
      <c r="BE8" s="42">
        <f t="shared" si="4"/>
        <v>44408</v>
      </c>
      <c r="BF8" s="42">
        <f t="shared" si="4"/>
        <v>44439</v>
      </c>
      <c r="BG8" s="42">
        <f t="shared" si="4"/>
        <v>44469</v>
      </c>
      <c r="BH8" s="42">
        <f t="shared" si="4"/>
        <v>44500</v>
      </c>
      <c r="BI8" s="42">
        <f t="shared" si="4"/>
        <v>44530</v>
      </c>
      <c r="BJ8" s="42">
        <f t="shared" si="4"/>
        <v>44561</v>
      </c>
      <c r="BK8" s="42">
        <f t="shared" si="4"/>
        <v>44592</v>
      </c>
      <c r="BL8" s="42">
        <f t="shared" si="4"/>
        <v>44620</v>
      </c>
      <c r="BM8" s="42">
        <f t="shared" si="4"/>
        <v>44651</v>
      </c>
      <c r="BN8" s="42">
        <f t="shared" si="4"/>
        <v>44681</v>
      </c>
      <c r="BO8" s="42">
        <f t="shared" si="4"/>
        <v>44712</v>
      </c>
      <c r="BP8" s="42">
        <f t="shared" si="4"/>
        <v>44742</v>
      </c>
      <c r="BQ8" s="42">
        <f t="shared" si="4"/>
        <v>44773</v>
      </c>
      <c r="BR8" s="42">
        <f t="shared" si="4"/>
        <v>44804</v>
      </c>
      <c r="BS8" s="42">
        <f t="shared" si="4"/>
        <v>44834</v>
      </c>
      <c r="BT8" s="42">
        <f t="shared" si="4"/>
        <v>44865</v>
      </c>
      <c r="BU8" s="42">
        <f t="shared" si="4"/>
        <v>44895</v>
      </c>
      <c r="BV8" s="42">
        <f t="shared" si="4"/>
        <v>44926</v>
      </c>
      <c r="BW8" s="42">
        <f t="shared" si="4"/>
        <v>44957</v>
      </c>
      <c r="BX8" s="42">
        <f t="shared" si="4"/>
        <v>44985</v>
      </c>
      <c r="BY8" s="42">
        <f t="shared" si="4"/>
        <v>45016</v>
      </c>
      <c r="BZ8" s="42">
        <f t="shared" si="4"/>
        <v>45046</v>
      </c>
      <c r="CA8" s="42">
        <f t="shared" si="4"/>
        <v>45077</v>
      </c>
      <c r="CB8" s="42">
        <f t="shared" si="4"/>
        <v>45107</v>
      </c>
      <c r="CC8" s="42">
        <f t="shared" si="4"/>
        <v>45138</v>
      </c>
      <c r="CD8" s="42">
        <f t="shared" si="4"/>
        <v>45169</v>
      </c>
      <c r="CE8" s="42">
        <f t="shared" si="4"/>
        <v>45199</v>
      </c>
      <c r="CF8" s="42">
        <f t="shared" si="4"/>
        <v>45230</v>
      </c>
      <c r="CG8" s="42">
        <f t="shared" si="4"/>
        <v>45260</v>
      </c>
      <c r="CH8" s="42">
        <f t="shared" si="4"/>
        <v>45291</v>
      </c>
      <c r="CI8" s="42">
        <f t="shared" si="4"/>
        <v>45322</v>
      </c>
      <c r="CJ8" s="42">
        <f t="shared" si="4"/>
        <v>45351</v>
      </c>
      <c r="CK8" s="42">
        <f t="shared" si="4"/>
        <v>45382</v>
      </c>
      <c r="CL8" s="42">
        <f t="shared" si="4"/>
        <v>45412</v>
      </c>
      <c r="CM8" s="42">
        <f t="shared" si="4"/>
        <v>45443</v>
      </c>
      <c r="CN8" s="42">
        <f t="shared" si="4"/>
        <v>45473</v>
      </c>
      <c r="CO8" s="42">
        <f t="shared" si="4"/>
        <v>45504</v>
      </c>
      <c r="CP8" s="42">
        <f t="shared" si="4"/>
        <v>45535</v>
      </c>
      <c r="CQ8" s="42">
        <f t="shared" si="4"/>
        <v>45565</v>
      </c>
      <c r="CR8" s="42">
        <f t="shared" si="4"/>
        <v>45596</v>
      </c>
      <c r="CS8" s="42">
        <f t="shared" si="4"/>
        <v>45626</v>
      </c>
      <c r="CT8" s="42">
        <f t="shared" si="4"/>
        <v>45657</v>
      </c>
      <c r="CU8" s="42">
        <f t="shared" si="4"/>
        <v>45688</v>
      </c>
      <c r="CV8" s="42">
        <f t="shared" si="4"/>
        <v>45716</v>
      </c>
      <c r="CW8" s="42">
        <f t="shared" si="4"/>
        <v>45747</v>
      </c>
      <c r="CX8" s="42">
        <f t="shared" si="4"/>
        <v>45777</v>
      </c>
      <c r="CY8" s="42">
        <f t="shared" si="4"/>
        <v>45808</v>
      </c>
      <c r="CZ8" s="42">
        <f t="shared" si="4"/>
        <v>45838</v>
      </c>
      <c r="DA8" s="42">
        <f t="shared" si="4"/>
        <v>45869</v>
      </c>
      <c r="DB8" s="42">
        <f t="shared" si="4"/>
        <v>45900</v>
      </c>
      <c r="DC8" s="42">
        <f t="shared" si="4"/>
        <v>45930</v>
      </c>
      <c r="DD8" s="42">
        <f t="shared" si="4"/>
        <v>45961</v>
      </c>
      <c r="DE8" s="42">
        <f t="shared" si="4"/>
        <v>45991</v>
      </c>
      <c r="DF8" s="42">
        <f t="shared" si="4"/>
        <v>46022</v>
      </c>
      <c r="DG8" s="42">
        <f t="shared" si="4"/>
        <v>46053</v>
      </c>
      <c r="DH8" s="42">
        <f t="shared" si="4"/>
        <v>46081</v>
      </c>
      <c r="DI8" s="42">
        <f t="shared" si="4"/>
        <v>46112</v>
      </c>
      <c r="DJ8" s="42">
        <f t="shared" si="4"/>
        <v>46142</v>
      </c>
      <c r="DK8" s="42">
        <f t="shared" si="4"/>
        <v>46173</v>
      </c>
      <c r="DL8" s="42">
        <f t="shared" si="4"/>
        <v>46203</v>
      </c>
      <c r="DM8" s="42">
        <f t="shared" si="4"/>
        <v>46234</v>
      </c>
      <c r="DN8" s="42">
        <f t="shared" si="4"/>
        <v>46265</v>
      </c>
      <c r="DO8" s="42">
        <f t="shared" si="4"/>
        <v>46295</v>
      </c>
      <c r="DP8" s="42">
        <f t="shared" si="4"/>
        <v>46326</v>
      </c>
      <c r="DQ8" s="42">
        <f t="shared" si="4"/>
        <v>46356</v>
      </c>
      <c r="DR8" s="42">
        <f t="shared" si="4"/>
        <v>46387</v>
      </c>
    </row>
    <row r="9">
      <c r="B9" s="34" t="s">
        <v>35</v>
      </c>
      <c r="C9" s="34"/>
      <c r="D9" s="34"/>
      <c r="E9" s="44"/>
      <c r="F9" s="45" t="s">
        <v>36</v>
      </c>
      <c r="G9" s="45" t="s">
        <v>36</v>
      </c>
      <c r="H9" s="45" t="s">
        <v>36</v>
      </c>
      <c r="I9" s="45" t="s">
        <v>37</v>
      </c>
      <c r="J9" s="45" t="s">
        <v>38</v>
      </c>
      <c r="K9" s="45" t="s">
        <v>38</v>
      </c>
      <c r="L9" s="45" t="s">
        <v>38</v>
      </c>
      <c r="M9" s="45" t="s">
        <v>38</v>
      </c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 t="s">
        <v>36</v>
      </c>
      <c r="AB9" s="45" t="s">
        <v>36</v>
      </c>
      <c r="AC9" s="45" t="s">
        <v>36</v>
      </c>
      <c r="AD9" s="45" t="s">
        <v>36</v>
      </c>
      <c r="AE9" s="45" t="s">
        <v>36</v>
      </c>
      <c r="AF9" s="45" t="s">
        <v>36</v>
      </c>
      <c r="AG9" s="45" t="s">
        <v>36</v>
      </c>
      <c r="AH9" s="45" t="s">
        <v>36</v>
      </c>
      <c r="AI9" s="45" t="s">
        <v>36</v>
      </c>
      <c r="AJ9" s="45" t="s">
        <v>36</v>
      </c>
      <c r="AK9" s="45" t="s">
        <v>36</v>
      </c>
      <c r="AL9" s="45" t="s">
        <v>36</v>
      </c>
      <c r="AM9" s="45" t="s">
        <v>36</v>
      </c>
      <c r="AN9" s="45" t="s">
        <v>36</v>
      </c>
      <c r="AO9" s="45" t="s">
        <v>36</v>
      </c>
      <c r="AP9" s="45" t="s">
        <v>36</v>
      </c>
      <c r="AQ9" s="45" t="s">
        <v>36</v>
      </c>
      <c r="AR9" s="45" t="s">
        <v>36</v>
      </c>
      <c r="AS9" s="45" t="s">
        <v>36</v>
      </c>
      <c r="AT9" s="45" t="s">
        <v>36</v>
      </c>
      <c r="AU9" s="45" t="s">
        <v>36</v>
      </c>
      <c r="AV9" s="45" t="s">
        <v>36</v>
      </c>
      <c r="AW9" s="45" t="s">
        <v>36</v>
      </c>
      <c r="AX9" s="45" t="s">
        <v>36</v>
      </c>
      <c r="AY9" s="45" t="s">
        <v>36</v>
      </c>
      <c r="AZ9" s="45" t="s">
        <v>36</v>
      </c>
      <c r="BA9" s="45" t="s">
        <v>36</v>
      </c>
      <c r="BB9" s="45" t="s">
        <v>36</v>
      </c>
      <c r="BC9" s="45" t="s">
        <v>36</v>
      </c>
      <c r="BD9" s="45" t="s">
        <v>36</v>
      </c>
      <c r="BE9" s="45" t="s">
        <v>36</v>
      </c>
      <c r="BF9" s="45" t="s">
        <v>36</v>
      </c>
      <c r="BG9" s="45" t="s">
        <v>36</v>
      </c>
      <c r="BH9" s="45" t="s">
        <v>36</v>
      </c>
      <c r="BI9" s="45" t="s">
        <v>36</v>
      </c>
      <c r="BJ9" s="45" t="s">
        <v>36</v>
      </c>
      <c r="BK9" s="45" t="s">
        <v>36</v>
      </c>
      <c r="BL9" s="45" t="s">
        <v>36</v>
      </c>
      <c r="BM9" s="45" t="s">
        <v>36</v>
      </c>
      <c r="BN9" s="45" t="s">
        <v>37</v>
      </c>
      <c r="BO9" s="45" t="s">
        <v>37</v>
      </c>
      <c r="BP9" s="45" t="s">
        <v>37</v>
      </c>
      <c r="BQ9" s="45" t="s">
        <v>37</v>
      </c>
      <c r="BR9" s="45" t="s">
        <v>37</v>
      </c>
      <c r="BS9" s="45" t="s">
        <v>37</v>
      </c>
      <c r="BT9" s="45" t="s">
        <v>37</v>
      </c>
      <c r="BU9" s="45" t="s">
        <v>37</v>
      </c>
      <c r="BV9" s="45" t="s">
        <v>37</v>
      </c>
      <c r="BW9" s="45" t="s">
        <v>38</v>
      </c>
      <c r="BX9" s="45" t="s">
        <v>38</v>
      </c>
      <c r="BY9" s="45" t="s">
        <v>38</v>
      </c>
      <c r="BZ9" s="45" t="s">
        <v>38</v>
      </c>
      <c r="CA9" s="45" t="s">
        <v>38</v>
      </c>
      <c r="CB9" s="45" t="s">
        <v>38</v>
      </c>
      <c r="CC9" s="45" t="s">
        <v>38</v>
      </c>
      <c r="CD9" s="45" t="s">
        <v>38</v>
      </c>
      <c r="CE9" s="45" t="s">
        <v>38</v>
      </c>
      <c r="CF9" s="45" t="s">
        <v>38</v>
      </c>
      <c r="CG9" s="45" t="s">
        <v>38</v>
      </c>
      <c r="CH9" s="45" t="s">
        <v>38</v>
      </c>
      <c r="CI9" s="45" t="s">
        <v>38</v>
      </c>
      <c r="CJ9" s="45" t="s">
        <v>38</v>
      </c>
      <c r="CK9" s="45" t="s">
        <v>38</v>
      </c>
      <c r="CL9" s="45" t="s">
        <v>38</v>
      </c>
      <c r="CM9" s="45" t="s">
        <v>38</v>
      </c>
      <c r="CN9" s="45" t="s">
        <v>38</v>
      </c>
      <c r="CO9" s="45" t="s">
        <v>38</v>
      </c>
      <c r="CP9" s="45" t="s">
        <v>38</v>
      </c>
      <c r="CQ9" s="45" t="s">
        <v>38</v>
      </c>
      <c r="CR9" s="45" t="s">
        <v>38</v>
      </c>
      <c r="CS9" s="45" t="s">
        <v>38</v>
      </c>
      <c r="CT9" s="45" t="s">
        <v>38</v>
      </c>
      <c r="CU9" s="45" t="s">
        <v>38</v>
      </c>
      <c r="CV9" s="45" t="s">
        <v>38</v>
      </c>
      <c r="CW9" s="45" t="s">
        <v>38</v>
      </c>
      <c r="CX9" s="45" t="s">
        <v>38</v>
      </c>
      <c r="CY9" s="45" t="s">
        <v>38</v>
      </c>
      <c r="CZ9" s="45" t="s">
        <v>38</v>
      </c>
      <c r="DA9" s="45" t="s">
        <v>38</v>
      </c>
      <c r="DB9" s="45" t="s">
        <v>38</v>
      </c>
      <c r="DC9" s="45" t="s">
        <v>38</v>
      </c>
      <c r="DD9" s="45" t="s">
        <v>38</v>
      </c>
      <c r="DE9" s="45" t="s">
        <v>38</v>
      </c>
      <c r="DF9" s="45" t="s">
        <v>38</v>
      </c>
      <c r="DG9" s="45" t="s">
        <v>38</v>
      </c>
      <c r="DH9" s="45" t="s">
        <v>38</v>
      </c>
      <c r="DI9" s="45" t="s">
        <v>38</v>
      </c>
      <c r="DJ9" s="45" t="s">
        <v>38</v>
      </c>
      <c r="DK9" s="45" t="s">
        <v>38</v>
      </c>
      <c r="DL9" s="45" t="s">
        <v>38</v>
      </c>
      <c r="DM9" s="45" t="s">
        <v>38</v>
      </c>
      <c r="DN9" s="45" t="s">
        <v>38</v>
      </c>
      <c r="DO9" s="45" t="s">
        <v>38</v>
      </c>
      <c r="DP9" s="45" t="s">
        <v>38</v>
      </c>
      <c r="DQ9" s="45" t="s">
        <v>38</v>
      </c>
      <c r="DR9" s="45" t="s">
        <v>38</v>
      </c>
    </row>
    <row r="10" ht="4.5" customHeight="1"/>
    <row r="11">
      <c r="B11" s="47" t="s">
        <v>154</v>
      </c>
      <c r="F11" s="114"/>
      <c r="G11" s="114"/>
      <c r="H11" s="114"/>
      <c r="I11" s="114"/>
      <c r="BN11" s="127"/>
      <c r="BO11" s="128"/>
      <c r="BU11" s="129"/>
      <c r="BV11" s="128"/>
    </row>
    <row r="12">
      <c r="B12" s="5" t="s">
        <v>155</v>
      </c>
      <c r="F12" s="110">
        <f t="shared" ref="F12:M12" si="5">+F28/F22</f>
        <v>120.3028466</v>
      </c>
      <c r="G12" s="110">
        <f t="shared" si="5"/>
        <v>117.8384165</v>
      </c>
      <c r="H12" s="110">
        <f t="shared" si="5"/>
        <v>92.77181484</v>
      </c>
      <c r="I12" s="110">
        <f t="shared" si="5"/>
        <v>98.54525652</v>
      </c>
      <c r="J12" s="110">
        <f t="shared" si="5"/>
        <v>113.4235613</v>
      </c>
      <c r="K12" s="110">
        <f t="shared" si="5"/>
        <v>129.1424151</v>
      </c>
      <c r="L12" s="110">
        <f t="shared" si="5"/>
        <v>147.1040532</v>
      </c>
      <c r="M12" s="110">
        <f t="shared" si="5"/>
        <v>167.0656914</v>
      </c>
      <c r="AA12" s="130">
        <v>106.0</v>
      </c>
      <c r="AB12" s="130">
        <v>108.0</v>
      </c>
      <c r="AC12" s="130">
        <v>111.0</v>
      </c>
      <c r="AD12" s="130">
        <v>113.0</v>
      </c>
      <c r="AE12" s="130">
        <v>114.0</v>
      </c>
      <c r="AF12" s="130">
        <v>122.0</v>
      </c>
      <c r="AG12" s="130">
        <v>124.0</v>
      </c>
      <c r="AH12" s="130">
        <v>125.0</v>
      </c>
      <c r="AI12" s="130">
        <v>126.0</v>
      </c>
      <c r="AJ12" s="130">
        <v>133.0</v>
      </c>
      <c r="AK12" s="130">
        <v>132.0</v>
      </c>
      <c r="AL12" s="130">
        <v>129.0</v>
      </c>
      <c r="AM12" s="130">
        <v>127.0</v>
      </c>
      <c r="AN12" s="130">
        <v>128.0</v>
      </c>
      <c r="AO12" s="130">
        <v>123.0</v>
      </c>
      <c r="AP12" s="130">
        <v>122.0</v>
      </c>
      <c r="AQ12" s="130">
        <v>122.0</v>
      </c>
      <c r="AR12" s="130">
        <v>122.0</v>
      </c>
      <c r="AS12" s="130">
        <v>118.0</v>
      </c>
      <c r="AT12" s="130">
        <v>116.0</v>
      </c>
      <c r="AU12" s="130">
        <v>115.0</v>
      </c>
      <c r="AV12" s="130">
        <v>112.0</v>
      </c>
      <c r="AW12" s="130">
        <v>109.0</v>
      </c>
      <c r="AX12" s="130">
        <v>98.0</v>
      </c>
      <c r="AY12" s="130">
        <v>97.0</v>
      </c>
      <c r="AZ12" s="130">
        <v>96.0</v>
      </c>
      <c r="BA12" s="130">
        <v>97.0</v>
      </c>
      <c r="BB12" s="130">
        <v>95.0</v>
      </c>
      <c r="BC12" s="130">
        <v>94.0</v>
      </c>
      <c r="BD12" s="130">
        <v>94.0</v>
      </c>
      <c r="BE12" s="130">
        <v>96.0</v>
      </c>
      <c r="BF12" s="130">
        <v>95.0</v>
      </c>
      <c r="BG12" s="130">
        <v>88.0</v>
      </c>
      <c r="BH12" s="130">
        <v>86.0</v>
      </c>
      <c r="BI12" s="130">
        <v>89.0</v>
      </c>
      <c r="BJ12" s="130">
        <v>88.0</v>
      </c>
      <c r="BK12" s="130">
        <v>92.0</v>
      </c>
      <c r="BL12" s="130">
        <v>93.0</v>
      </c>
      <c r="BM12" s="130">
        <v>95.0</v>
      </c>
      <c r="BN12" s="130">
        <v>97.0</v>
      </c>
      <c r="BO12" s="130">
        <v>97.0</v>
      </c>
      <c r="BP12" s="130">
        <v>98.0</v>
      </c>
      <c r="BQ12" s="130">
        <v>101.0</v>
      </c>
      <c r="BR12" s="130">
        <v>102.0</v>
      </c>
      <c r="BS12" s="130">
        <v>102.0</v>
      </c>
      <c r="BT12" s="130">
        <v>102.0</v>
      </c>
      <c r="BU12" s="130">
        <v>102.0</v>
      </c>
      <c r="BV12" s="130">
        <v>102.0</v>
      </c>
      <c r="BW12" s="130">
        <v>106.0</v>
      </c>
      <c r="BX12" s="130">
        <v>107.0</v>
      </c>
      <c r="BY12" s="130">
        <v>108.0</v>
      </c>
      <c r="BZ12" s="130">
        <v>111.0</v>
      </c>
      <c r="CA12" s="130">
        <v>112.0</v>
      </c>
      <c r="CB12" s="130">
        <v>113.0</v>
      </c>
      <c r="CC12" s="130">
        <v>114.0</v>
      </c>
      <c r="CD12" s="130">
        <v>116.0</v>
      </c>
      <c r="CE12" s="130">
        <v>117.0</v>
      </c>
      <c r="CF12" s="130">
        <v>118.0</v>
      </c>
      <c r="CG12" s="130">
        <v>119.0</v>
      </c>
      <c r="CH12" s="130">
        <v>120.0</v>
      </c>
      <c r="CI12" s="131">
        <f>+SUMIFS(Opex_Assumptions!$F12:$M12,Opex_Assumptions!$F$7:$M$7,CI$7)/12+CH12</f>
        <v>121.4065254</v>
      </c>
      <c r="CJ12" s="131">
        <f>+SUMIFS(Opex_Assumptions!$F12:$M12,Opex_Assumptions!$F$7:$M$7,CJ$7)/12+CI12</f>
        <v>122.8130508</v>
      </c>
      <c r="CK12" s="131">
        <f>+SUMIFS(Opex_Assumptions!$F12:$M12,Opex_Assumptions!$F$7:$M$7,CK$7)/12+CJ12</f>
        <v>124.2195762</v>
      </c>
      <c r="CL12" s="131">
        <f>+SUMIFS(Opex_Assumptions!$F12:$M12,Opex_Assumptions!$F$7:$M$7,CL$7)/12+CK12</f>
        <v>125.6261016</v>
      </c>
      <c r="CM12" s="131">
        <f>+SUMIFS(Opex_Assumptions!$F12:$M12,Opex_Assumptions!$F$7:$M$7,CM$7)/12+CL12</f>
        <v>127.032627</v>
      </c>
      <c r="CN12" s="131">
        <f>+SUMIFS(Opex_Assumptions!$F12:$M12,Opex_Assumptions!$F$7:$M$7,CN$7)/12+CM12</f>
        <v>128.4391524</v>
      </c>
      <c r="CO12" s="131">
        <f>+SUMIFS(Opex_Assumptions!$F12:$M12,Opex_Assumptions!$F$7:$M$7,CO$7)/12+CN12</f>
        <v>129.8456778</v>
      </c>
      <c r="CP12" s="131">
        <f>+SUMIFS(Opex_Assumptions!$F12:$M12,Opex_Assumptions!$F$7:$M$7,CP$7)/12+CO12</f>
        <v>131.2522032</v>
      </c>
      <c r="CQ12" s="131">
        <f>+SUMIFS(Opex_Assumptions!$F12:$M12,Opex_Assumptions!$F$7:$M$7,CQ$7)/12+CP12</f>
        <v>132.6587286</v>
      </c>
      <c r="CR12" s="131">
        <f>+SUMIFS(Opex_Assumptions!$F12:$M12,Opex_Assumptions!$F$7:$M$7,CR$7)/12+CQ12</f>
        <v>134.065254</v>
      </c>
      <c r="CS12" s="131">
        <f>+SUMIFS(Opex_Assumptions!$F12:$M12,Opex_Assumptions!$F$7:$M$7,CS$7)/12+CR12</f>
        <v>135.4717794</v>
      </c>
      <c r="CT12" s="131">
        <f>+SUMIFS(Opex_Assumptions!$F12:$M12,Opex_Assumptions!$F$7:$M$7,CT$7)/12+CS12</f>
        <v>136.8783048</v>
      </c>
      <c r="CU12" s="131">
        <f>+SUMIFS(Opex_Assumptions!$F12:$M12,Opex_Assumptions!$F$7:$M$7,CU$7)/12+CT12</f>
        <v>138.4514969</v>
      </c>
      <c r="CV12" s="131">
        <f>+SUMIFS(Opex_Assumptions!$F12:$M12,Opex_Assumptions!$F$7:$M$7,CV$7)/12+CU12</f>
        <v>140.0246889</v>
      </c>
      <c r="CW12" s="131">
        <f>+SUMIFS(Opex_Assumptions!$F12:$M12,Opex_Assumptions!$F$7:$M$7,CW$7)/12+CV12</f>
        <v>141.597881</v>
      </c>
      <c r="CX12" s="131">
        <f>+SUMIFS(Opex_Assumptions!$F12:$M12,Opex_Assumptions!$F$7:$M$7,CX$7)/12+CW12</f>
        <v>143.1710731</v>
      </c>
      <c r="CY12" s="131">
        <f>+SUMIFS(Opex_Assumptions!$F12:$M12,Opex_Assumptions!$F$7:$M$7,CY$7)/12+CX12</f>
        <v>144.7442651</v>
      </c>
      <c r="CZ12" s="131">
        <f>+SUMIFS(Opex_Assumptions!$F12:$M12,Opex_Assumptions!$F$7:$M$7,CZ$7)/12+CY12</f>
        <v>146.3174572</v>
      </c>
      <c r="DA12" s="131">
        <f>+SUMIFS(Opex_Assumptions!$F12:$M12,Opex_Assumptions!$F$7:$M$7,DA$7)/12+CZ12</f>
        <v>147.8906493</v>
      </c>
      <c r="DB12" s="131">
        <f>+SUMIFS(Opex_Assumptions!$F12:$M12,Opex_Assumptions!$F$7:$M$7,DB$7)/12+DA12</f>
        <v>149.4638413</v>
      </c>
      <c r="DC12" s="131">
        <f>+SUMIFS(Opex_Assumptions!$F12:$M12,Opex_Assumptions!$F$7:$M$7,DC$7)/12+DB12</f>
        <v>151.0370334</v>
      </c>
      <c r="DD12" s="131">
        <f>+SUMIFS(Opex_Assumptions!$F12:$M12,Opex_Assumptions!$F$7:$M$7,DD$7)/12+DC12</f>
        <v>152.6102255</v>
      </c>
      <c r="DE12" s="131">
        <f>+SUMIFS(Opex_Assumptions!$F12:$M12,Opex_Assumptions!$F$7:$M$7,DE$7)/12+DD12</f>
        <v>154.1834175</v>
      </c>
      <c r="DF12" s="131">
        <f>+SUMIFS(Opex_Assumptions!$F12:$M12,Opex_Assumptions!$F$7:$M$7,DF$7)/12+DE12</f>
        <v>155.7566096</v>
      </c>
      <c r="DG12" s="131">
        <f>+SUMIFS(Opex_Assumptions!$F12:$M12,Opex_Assumptions!$F$7:$M$7,DG$7)/12+DF12</f>
        <v>157.4964684</v>
      </c>
      <c r="DH12" s="131">
        <f>+SUMIFS(Opex_Assumptions!$F12:$M12,Opex_Assumptions!$F$7:$M$7,DH$7)/12+DG12</f>
        <v>159.2363271</v>
      </c>
      <c r="DI12" s="131">
        <f>+SUMIFS(Opex_Assumptions!$F12:$M12,Opex_Assumptions!$F$7:$M$7,DI$7)/12+DH12</f>
        <v>160.9761858</v>
      </c>
      <c r="DJ12" s="131">
        <f>+SUMIFS(Opex_Assumptions!$F12:$M12,Opex_Assumptions!$F$7:$M$7,DJ$7)/12+DI12</f>
        <v>162.7160446</v>
      </c>
      <c r="DK12" s="131">
        <f>+SUMIFS(Opex_Assumptions!$F12:$M12,Opex_Assumptions!$F$7:$M$7,DK$7)/12+DJ12</f>
        <v>164.4559033</v>
      </c>
      <c r="DL12" s="131">
        <f>+SUMIFS(Opex_Assumptions!$F12:$M12,Opex_Assumptions!$F$7:$M$7,DL$7)/12+DK12</f>
        <v>166.195762</v>
      </c>
      <c r="DM12" s="131">
        <f>+SUMIFS(Opex_Assumptions!$F12:$M12,Opex_Assumptions!$F$7:$M$7,DM$7)/12+DL12</f>
        <v>167.9356208</v>
      </c>
      <c r="DN12" s="131">
        <f>+SUMIFS(Opex_Assumptions!$F12:$M12,Opex_Assumptions!$F$7:$M$7,DN$7)/12+DM12</f>
        <v>169.6754795</v>
      </c>
      <c r="DO12" s="131">
        <f>+SUMIFS(Opex_Assumptions!$F12:$M12,Opex_Assumptions!$F$7:$M$7,DO$7)/12+DN12</f>
        <v>171.4153382</v>
      </c>
      <c r="DP12" s="131">
        <f>+SUMIFS(Opex_Assumptions!$F12:$M12,Opex_Assumptions!$F$7:$M$7,DP$7)/12+DO12</f>
        <v>173.155197</v>
      </c>
      <c r="DQ12" s="131">
        <f>+SUMIFS(Opex_Assumptions!$F12:$M12,Opex_Assumptions!$F$7:$M$7,DQ$7)/12+DP12</f>
        <v>174.8950557</v>
      </c>
      <c r="DR12" s="131">
        <f>+SUMIFS(Opex_Assumptions!$F12:$M12,Opex_Assumptions!$F$7:$M$7,DR$7)/12+DQ12</f>
        <v>176.6349144</v>
      </c>
    </row>
    <row r="13">
      <c r="B13" s="5" t="s">
        <v>156</v>
      </c>
      <c r="F13" s="110">
        <f t="shared" ref="F13:M13" si="6">+F29/F23</f>
        <v>9.400411265</v>
      </c>
      <c r="G13" s="110">
        <f t="shared" si="6"/>
        <v>8.831419144</v>
      </c>
      <c r="H13" s="110">
        <f t="shared" si="6"/>
        <v>7.72860074</v>
      </c>
      <c r="I13" s="110">
        <f t="shared" si="6"/>
        <v>8.495929482</v>
      </c>
      <c r="J13" s="110">
        <f t="shared" si="6"/>
        <v>9.818181818</v>
      </c>
      <c r="K13" s="110">
        <f t="shared" si="6"/>
        <v>11.08333333</v>
      </c>
      <c r="L13" s="110">
        <f t="shared" si="6"/>
        <v>13.08333333</v>
      </c>
      <c r="M13" s="110">
        <f t="shared" si="6"/>
        <v>15.08333333</v>
      </c>
      <c r="AA13" s="130">
        <v>9.0</v>
      </c>
      <c r="AB13" s="130">
        <v>9.0</v>
      </c>
      <c r="AC13" s="130">
        <v>9.0</v>
      </c>
      <c r="AD13" s="130">
        <v>10.0</v>
      </c>
      <c r="AE13" s="130">
        <v>9.0</v>
      </c>
      <c r="AF13" s="130">
        <v>8.0</v>
      </c>
      <c r="AG13" s="130">
        <v>10.0</v>
      </c>
      <c r="AH13" s="130">
        <v>10.0</v>
      </c>
      <c r="AI13" s="130">
        <v>10.0</v>
      </c>
      <c r="AJ13" s="130">
        <v>11.0</v>
      </c>
      <c r="AK13" s="130">
        <v>10.0</v>
      </c>
      <c r="AL13" s="130">
        <v>8.0</v>
      </c>
      <c r="AM13" s="130">
        <v>9.0</v>
      </c>
      <c r="AN13" s="130">
        <v>9.0</v>
      </c>
      <c r="AO13" s="130">
        <v>9.0</v>
      </c>
      <c r="AP13" s="130">
        <v>9.0</v>
      </c>
      <c r="AQ13" s="130">
        <v>9.0</v>
      </c>
      <c r="AR13" s="130">
        <v>9.0</v>
      </c>
      <c r="AS13" s="130">
        <v>9.0</v>
      </c>
      <c r="AT13" s="130">
        <v>9.0</v>
      </c>
      <c r="AU13" s="130">
        <v>9.0</v>
      </c>
      <c r="AV13" s="130">
        <v>8.0</v>
      </c>
      <c r="AW13" s="130">
        <v>9.0</v>
      </c>
      <c r="AX13" s="130">
        <v>8.0</v>
      </c>
      <c r="AY13" s="130">
        <v>8.0</v>
      </c>
      <c r="AZ13" s="130">
        <v>7.0</v>
      </c>
      <c r="BA13" s="130">
        <v>7.0</v>
      </c>
      <c r="BB13" s="130">
        <v>7.0</v>
      </c>
      <c r="BC13" s="130">
        <v>7.0</v>
      </c>
      <c r="BD13" s="130">
        <v>7.0</v>
      </c>
      <c r="BE13" s="130">
        <v>7.0</v>
      </c>
      <c r="BF13" s="130">
        <v>7.0</v>
      </c>
      <c r="BG13" s="130">
        <v>7.0</v>
      </c>
      <c r="BH13" s="130">
        <v>9.0</v>
      </c>
      <c r="BI13" s="130">
        <v>10.0</v>
      </c>
      <c r="BJ13" s="130">
        <v>10.0</v>
      </c>
      <c r="BK13" s="130">
        <v>10.0</v>
      </c>
      <c r="BL13" s="130">
        <v>10.0</v>
      </c>
      <c r="BM13" s="130">
        <v>10.0</v>
      </c>
      <c r="BN13" s="130">
        <v>8.0</v>
      </c>
      <c r="BO13" s="130">
        <v>8.0</v>
      </c>
      <c r="BP13" s="130">
        <v>8.0</v>
      </c>
      <c r="BQ13" s="130">
        <v>8.0</v>
      </c>
      <c r="BR13" s="130">
        <v>8.0</v>
      </c>
      <c r="BS13" s="130">
        <v>8.0</v>
      </c>
      <c r="BT13" s="130">
        <v>8.0</v>
      </c>
      <c r="BU13" s="130">
        <v>8.0</v>
      </c>
      <c r="BV13" s="130">
        <v>8.0</v>
      </c>
      <c r="BW13" s="130">
        <v>9.0</v>
      </c>
      <c r="BX13" s="130">
        <v>9.0</v>
      </c>
      <c r="BY13" s="130">
        <v>10.0</v>
      </c>
      <c r="BZ13" s="130">
        <v>10.0</v>
      </c>
      <c r="CA13" s="130">
        <v>10.0</v>
      </c>
      <c r="CB13" s="130">
        <v>10.0</v>
      </c>
      <c r="CC13" s="130">
        <v>10.0</v>
      </c>
      <c r="CD13" s="130">
        <v>10.0</v>
      </c>
      <c r="CE13" s="130">
        <v>10.0</v>
      </c>
      <c r="CF13" s="130">
        <v>10.0</v>
      </c>
      <c r="CG13" s="130">
        <v>10.0</v>
      </c>
      <c r="CH13" s="130">
        <v>10.0</v>
      </c>
      <c r="CI13" s="131">
        <f>+SUMIFS(Opex_Assumptions!$F13:$M13,Opex_Assumptions!$F$7:$M$7,CI$7)/12+CH13</f>
        <v>10.16666667</v>
      </c>
      <c r="CJ13" s="131">
        <f>+SUMIFS(Opex_Assumptions!$F13:$M13,Opex_Assumptions!$F$7:$M$7,CJ$7)/12+CI13</f>
        <v>10.33333333</v>
      </c>
      <c r="CK13" s="131">
        <f>+SUMIFS(Opex_Assumptions!$F13:$M13,Opex_Assumptions!$F$7:$M$7,CK$7)/12+CJ13</f>
        <v>10.5</v>
      </c>
      <c r="CL13" s="131">
        <f>+SUMIFS(Opex_Assumptions!$F13:$M13,Opex_Assumptions!$F$7:$M$7,CL$7)/12+CK13</f>
        <v>10.66666667</v>
      </c>
      <c r="CM13" s="131">
        <f>+SUMIFS(Opex_Assumptions!$F13:$M13,Opex_Assumptions!$F$7:$M$7,CM$7)/12+CL13</f>
        <v>10.83333333</v>
      </c>
      <c r="CN13" s="131">
        <f>+SUMIFS(Opex_Assumptions!$F13:$M13,Opex_Assumptions!$F$7:$M$7,CN$7)/12+CM13</f>
        <v>11</v>
      </c>
      <c r="CO13" s="131">
        <f>+SUMIFS(Opex_Assumptions!$F13:$M13,Opex_Assumptions!$F$7:$M$7,CO$7)/12+CN13</f>
        <v>11.16666667</v>
      </c>
      <c r="CP13" s="131">
        <f>+SUMIFS(Opex_Assumptions!$F13:$M13,Opex_Assumptions!$F$7:$M$7,CP$7)/12+CO13</f>
        <v>11.33333333</v>
      </c>
      <c r="CQ13" s="131">
        <f>+SUMIFS(Opex_Assumptions!$F13:$M13,Opex_Assumptions!$F$7:$M$7,CQ$7)/12+CP13</f>
        <v>11.5</v>
      </c>
      <c r="CR13" s="131">
        <f>+SUMIFS(Opex_Assumptions!$F13:$M13,Opex_Assumptions!$F$7:$M$7,CR$7)/12+CQ13</f>
        <v>11.66666667</v>
      </c>
      <c r="CS13" s="131">
        <f>+SUMIFS(Opex_Assumptions!$F13:$M13,Opex_Assumptions!$F$7:$M$7,CS$7)/12+CR13</f>
        <v>11.83333333</v>
      </c>
      <c r="CT13" s="131">
        <f>+SUMIFS(Opex_Assumptions!$F13:$M13,Opex_Assumptions!$F$7:$M$7,CT$7)/12+CS13</f>
        <v>12</v>
      </c>
      <c r="CU13" s="131">
        <f>+SUMIFS(Opex_Assumptions!$F13:$M13,Opex_Assumptions!$F$7:$M$7,CU$7)/12+CT13</f>
        <v>12.16666667</v>
      </c>
      <c r="CV13" s="131">
        <f>+SUMIFS(Opex_Assumptions!$F13:$M13,Opex_Assumptions!$F$7:$M$7,CV$7)/12+CU13</f>
        <v>12.33333333</v>
      </c>
      <c r="CW13" s="131">
        <f>+SUMIFS(Opex_Assumptions!$F13:$M13,Opex_Assumptions!$F$7:$M$7,CW$7)/12+CV13</f>
        <v>12.5</v>
      </c>
      <c r="CX13" s="131">
        <f>+SUMIFS(Opex_Assumptions!$F13:$M13,Opex_Assumptions!$F$7:$M$7,CX$7)/12+CW13</f>
        <v>12.66666667</v>
      </c>
      <c r="CY13" s="131">
        <f>+SUMIFS(Opex_Assumptions!$F13:$M13,Opex_Assumptions!$F$7:$M$7,CY$7)/12+CX13</f>
        <v>12.83333333</v>
      </c>
      <c r="CZ13" s="131">
        <f>+SUMIFS(Opex_Assumptions!$F13:$M13,Opex_Assumptions!$F$7:$M$7,CZ$7)/12+CY13</f>
        <v>13</v>
      </c>
      <c r="DA13" s="131">
        <f>+SUMIFS(Opex_Assumptions!$F13:$M13,Opex_Assumptions!$F$7:$M$7,DA$7)/12+CZ13</f>
        <v>13.16666667</v>
      </c>
      <c r="DB13" s="131">
        <f>+SUMIFS(Opex_Assumptions!$F13:$M13,Opex_Assumptions!$F$7:$M$7,DB$7)/12+DA13</f>
        <v>13.33333333</v>
      </c>
      <c r="DC13" s="131">
        <f>+SUMIFS(Opex_Assumptions!$F13:$M13,Opex_Assumptions!$F$7:$M$7,DC$7)/12+DB13</f>
        <v>13.5</v>
      </c>
      <c r="DD13" s="131">
        <f>+SUMIFS(Opex_Assumptions!$F13:$M13,Opex_Assumptions!$F$7:$M$7,DD$7)/12+DC13</f>
        <v>13.66666667</v>
      </c>
      <c r="DE13" s="131">
        <f>+SUMIFS(Opex_Assumptions!$F13:$M13,Opex_Assumptions!$F$7:$M$7,DE$7)/12+DD13</f>
        <v>13.83333333</v>
      </c>
      <c r="DF13" s="131">
        <f>+SUMIFS(Opex_Assumptions!$F13:$M13,Opex_Assumptions!$F$7:$M$7,DF$7)/12+DE13</f>
        <v>14</v>
      </c>
      <c r="DG13" s="131">
        <f>+SUMIFS(Opex_Assumptions!$F13:$M13,Opex_Assumptions!$F$7:$M$7,DG$7)/12+DF13</f>
        <v>14.16666667</v>
      </c>
      <c r="DH13" s="131">
        <f>+SUMIFS(Opex_Assumptions!$F13:$M13,Opex_Assumptions!$F$7:$M$7,DH$7)/12+DG13</f>
        <v>14.33333333</v>
      </c>
      <c r="DI13" s="131">
        <f>+SUMIFS(Opex_Assumptions!$F13:$M13,Opex_Assumptions!$F$7:$M$7,DI$7)/12+DH13</f>
        <v>14.5</v>
      </c>
      <c r="DJ13" s="131">
        <f>+SUMIFS(Opex_Assumptions!$F13:$M13,Opex_Assumptions!$F$7:$M$7,DJ$7)/12+DI13</f>
        <v>14.66666667</v>
      </c>
      <c r="DK13" s="131">
        <f>+SUMIFS(Opex_Assumptions!$F13:$M13,Opex_Assumptions!$F$7:$M$7,DK$7)/12+DJ13</f>
        <v>14.83333333</v>
      </c>
      <c r="DL13" s="131">
        <f>+SUMIFS(Opex_Assumptions!$F13:$M13,Opex_Assumptions!$F$7:$M$7,DL$7)/12+DK13</f>
        <v>15</v>
      </c>
      <c r="DM13" s="131">
        <f>+SUMIFS(Opex_Assumptions!$F13:$M13,Opex_Assumptions!$F$7:$M$7,DM$7)/12+DL13</f>
        <v>15.16666667</v>
      </c>
      <c r="DN13" s="131">
        <f>+SUMIFS(Opex_Assumptions!$F13:$M13,Opex_Assumptions!$F$7:$M$7,DN$7)/12+DM13</f>
        <v>15.33333333</v>
      </c>
      <c r="DO13" s="131">
        <f>+SUMIFS(Opex_Assumptions!$F13:$M13,Opex_Assumptions!$F$7:$M$7,DO$7)/12+DN13</f>
        <v>15.5</v>
      </c>
      <c r="DP13" s="131">
        <f>+SUMIFS(Opex_Assumptions!$F13:$M13,Opex_Assumptions!$F$7:$M$7,DP$7)/12+DO13</f>
        <v>15.66666667</v>
      </c>
      <c r="DQ13" s="131">
        <f>+SUMIFS(Opex_Assumptions!$F13:$M13,Opex_Assumptions!$F$7:$M$7,DQ$7)/12+DP13</f>
        <v>15.83333333</v>
      </c>
      <c r="DR13" s="131">
        <f>+SUMIFS(Opex_Assumptions!$F13:$M13,Opex_Assumptions!$F$7:$M$7,DR$7)/12+DQ13</f>
        <v>16</v>
      </c>
    </row>
    <row r="14">
      <c r="B14" s="5" t="s">
        <v>157</v>
      </c>
      <c r="F14" s="110">
        <f t="shared" ref="F14:M14" si="7">+F30/F24</f>
        <v>8.153271092</v>
      </c>
      <c r="G14" s="110">
        <f t="shared" si="7"/>
        <v>8</v>
      </c>
      <c r="H14" s="110">
        <f t="shared" si="7"/>
        <v>7.151029021</v>
      </c>
      <c r="I14" s="110">
        <f t="shared" si="7"/>
        <v>7</v>
      </c>
      <c r="J14" s="110">
        <f t="shared" si="7"/>
        <v>7</v>
      </c>
      <c r="K14" s="110">
        <f t="shared" si="7"/>
        <v>7</v>
      </c>
      <c r="L14" s="110">
        <f t="shared" si="7"/>
        <v>7</v>
      </c>
      <c r="M14" s="110">
        <f t="shared" si="7"/>
        <v>7</v>
      </c>
      <c r="AA14" s="130">
        <v>8.0</v>
      </c>
      <c r="AB14" s="130">
        <v>9.0</v>
      </c>
      <c r="AC14" s="130">
        <v>9.0</v>
      </c>
      <c r="AD14" s="130">
        <v>8.0</v>
      </c>
      <c r="AE14" s="130">
        <v>8.0</v>
      </c>
      <c r="AF14" s="130">
        <v>8.0</v>
      </c>
      <c r="AG14" s="130">
        <v>8.0</v>
      </c>
      <c r="AH14" s="130">
        <v>8.0</v>
      </c>
      <c r="AI14" s="130">
        <v>8.0</v>
      </c>
      <c r="AJ14" s="130">
        <v>8.0</v>
      </c>
      <c r="AK14" s="130">
        <v>8.0</v>
      </c>
      <c r="AL14" s="130">
        <v>8.0</v>
      </c>
      <c r="AM14" s="130">
        <v>8.0</v>
      </c>
      <c r="AN14" s="130">
        <v>8.0</v>
      </c>
      <c r="AO14" s="130">
        <v>8.0</v>
      </c>
      <c r="AP14" s="130">
        <v>8.0</v>
      </c>
      <c r="AQ14" s="130">
        <v>8.0</v>
      </c>
      <c r="AR14" s="130">
        <v>8.0</v>
      </c>
      <c r="AS14" s="130">
        <v>8.0</v>
      </c>
      <c r="AT14" s="130">
        <v>8.0</v>
      </c>
      <c r="AU14" s="130">
        <v>8.0</v>
      </c>
      <c r="AV14" s="130">
        <v>8.0</v>
      </c>
      <c r="AW14" s="130">
        <v>8.0</v>
      </c>
      <c r="AX14" s="130">
        <v>8.0</v>
      </c>
      <c r="AY14" s="130">
        <v>8.0</v>
      </c>
      <c r="AZ14" s="130">
        <v>8.0</v>
      </c>
      <c r="BA14" s="130">
        <v>7.0</v>
      </c>
      <c r="BB14" s="130">
        <v>7.0</v>
      </c>
      <c r="BC14" s="130">
        <v>7.0</v>
      </c>
      <c r="BD14" s="130">
        <v>7.0</v>
      </c>
      <c r="BE14" s="130">
        <v>7.0</v>
      </c>
      <c r="BF14" s="130">
        <v>7.0</v>
      </c>
      <c r="BG14" s="130">
        <v>7.0</v>
      </c>
      <c r="BH14" s="130">
        <v>7.0</v>
      </c>
      <c r="BI14" s="130">
        <v>7.0</v>
      </c>
      <c r="BJ14" s="130">
        <v>7.0</v>
      </c>
      <c r="BK14" s="130">
        <v>7.0</v>
      </c>
      <c r="BL14" s="130">
        <v>7.0</v>
      </c>
      <c r="BM14" s="130">
        <v>7.0</v>
      </c>
      <c r="BN14" s="130">
        <v>7.0</v>
      </c>
      <c r="BO14" s="130">
        <v>7.0</v>
      </c>
      <c r="BP14" s="130">
        <v>7.0</v>
      </c>
      <c r="BQ14" s="130">
        <v>7.0</v>
      </c>
      <c r="BR14" s="130">
        <v>7.0</v>
      </c>
      <c r="BS14" s="130">
        <v>7.0</v>
      </c>
      <c r="BT14" s="130">
        <v>7.0</v>
      </c>
      <c r="BU14" s="130">
        <v>7.0</v>
      </c>
      <c r="BV14" s="130">
        <v>7.0</v>
      </c>
      <c r="BW14" s="130">
        <v>7.0</v>
      </c>
      <c r="BX14" s="130">
        <v>7.0</v>
      </c>
      <c r="BY14" s="130">
        <v>7.0</v>
      </c>
      <c r="BZ14" s="130">
        <v>7.0</v>
      </c>
      <c r="CA14" s="130">
        <v>7.0</v>
      </c>
      <c r="CB14" s="130">
        <v>7.0</v>
      </c>
      <c r="CC14" s="130">
        <v>7.0</v>
      </c>
      <c r="CD14" s="130">
        <v>7.0</v>
      </c>
      <c r="CE14" s="130">
        <v>7.0</v>
      </c>
      <c r="CF14" s="130">
        <v>7.0</v>
      </c>
      <c r="CG14" s="130">
        <v>7.0</v>
      </c>
      <c r="CH14" s="130">
        <v>7.0</v>
      </c>
      <c r="CI14" s="131">
        <f>+SUMIFS(Opex_Assumptions!$F14:$M14,Opex_Assumptions!$F$7:$M$7,CI$7)/12+CH14</f>
        <v>7</v>
      </c>
      <c r="CJ14" s="131">
        <f>+SUMIFS(Opex_Assumptions!$F14:$M14,Opex_Assumptions!$F$7:$M$7,CJ$7)/12+CI14</f>
        <v>7</v>
      </c>
      <c r="CK14" s="131">
        <f>+SUMIFS(Opex_Assumptions!$F14:$M14,Opex_Assumptions!$F$7:$M$7,CK$7)/12+CJ14</f>
        <v>7</v>
      </c>
      <c r="CL14" s="131">
        <f>+SUMIFS(Opex_Assumptions!$F14:$M14,Opex_Assumptions!$F$7:$M$7,CL$7)/12+CK14</f>
        <v>7</v>
      </c>
      <c r="CM14" s="131">
        <f>+SUMIFS(Opex_Assumptions!$F14:$M14,Opex_Assumptions!$F$7:$M$7,CM$7)/12+CL14</f>
        <v>7</v>
      </c>
      <c r="CN14" s="131">
        <f>+SUMIFS(Opex_Assumptions!$F14:$M14,Opex_Assumptions!$F$7:$M$7,CN$7)/12+CM14</f>
        <v>7</v>
      </c>
      <c r="CO14" s="131">
        <f>+SUMIFS(Opex_Assumptions!$F14:$M14,Opex_Assumptions!$F$7:$M$7,CO$7)/12+CN14</f>
        <v>7</v>
      </c>
      <c r="CP14" s="131">
        <f>+SUMIFS(Opex_Assumptions!$F14:$M14,Opex_Assumptions!$F$7:$M$7,CP$7)/12+CO14</f>
        <v>7</v>
      </c>
      <c r="CQ14" s="131">
        <f>+SUMIFS(Opex_Assumptions!$F14:$M14,Opex_Assumptions!$F$7:$M$7,CQ$7)/12+CP14</f>
        <v>7</v>
      </c>
      <c r="CR14" s="131">
        <f>+SUMIFS(Opex_Assumptions!$F14:$M14,Opex_Assumptions!$F$7:$M$7,CR$7)/12+CQ14</f>
        <v>7</v>
      </c>
      <c r="CS14" s="131">
        <f>+SUMIFS(Opex_Assumptions!$F14:$M14,Opex_Assumptions!$F$7:$M$7,CS$7)/12+CR14</f>
        <v>7</v>
      </c>
      <c r="CT14" s="131">
        <f>+SUMIFS(Opex_Assumptions!$F14:$M14,Opex_Assumptions!$F$7:$M$7,CT$7)/12+CS14</f>
        <v>7</v>
      </c>
      <c r="CU14" s="131">
        <f>+SUMIFS(Opex_Assumptions!$F14:$M14,Opex_Assumptions!$F$7:$M$7,CU$7)/12+CT14</f>
        <v>7</v>
      </c>
      <c r="CV14" s="131">
        <f>+SUMIFS(Opex_Assumptions!$F14:$M14,Opex_Assumptions!$F$7:$M$7,CV$7)/12+CU14</f>
        <v>7</v>
      </c>
      <c r="CW14" s="131">
        <f>+SUMIFS(Opex_Assumptions!$F14:$M14,Opex_Assumptions!$F$7:$M$7,CW$7)/12+CV14</f>
        <v>7</v>
      </c>
      <c r="CX14" s="131">
        <f>+SUMIFS(Opex_Assumptions!$F14:$M14,Opex_Assumptions!$F$7:$M$7,CX$7)/12+CW14</f>
        <v>7</v>
      </c>
      <c r="CY14" s="131">
        <f>+SUMIFS(Opex_Assumptions!$F14:$M14,Opex_Assumptions!$F$7:$M$7,CY$7)/12+CX14</f>
        <v>7</v>
      </c>
      <c r="CZ14" s="131">
        <f>+SUMIFS(Opex_Assumptions!$F14:$M14,Opex_Assumptions!$F$7:$M$7,CZ$7)/12+CY14</f>
        <v>7</v>
      </c>
      <c r="DA14" s="131">
        <f>+SUMIFS(Opex_Assumptions!$F14:$M14,Opex_Assumptions!$F$7:$M$7,DA$7)/12+CZ14</f>
        <v>7</v>
      </c>
      <c r="DB14" s="131">
        <f>+SUMIFS(Opex_Assumptions!$F14:$M14,Opex_Assumptions!$F$7:$M$7,DB$7)/12+DA14</f>
        <v>7</v>
      </c>
      <c r="DC14" s="131">
        <f>+SUMIFS(Opex_Assumptions!$F14:$M14,Opex_Assumptions!$F$7:$M$7,DC$7)/12+DB14</f>
        <v>7</v>
      </c>
      <c r="DD14" s="131">
        <f>+SUMIFS(Opex_Assumptions!$F14:$M14,Opex_Assumptions!$F$7:$M$7,DD$7)/12+DC14</f>
        <v>7</v>
      </c>
      <c r="DE14" s="131">
        <f>+SUMIFS(Opex_Assumptions!$F14:$M14,Opex_Assumptions!$F$7:$M$7,DE$7)/12+DD14</f>
        <v>7</v>
      </c>
      <c r="DF14" s="131">
        <f>+SUMIFS(Opex_Assumptions!$F14:$M14,Opex_Assumptions!$F$7:$M$7,DF$7)/12+DE14</f>
        <v>7</v>
      </c>
      <c r="DG14" s="131">
        <f>+SUMIFS(Opex_Assumptions!$F14:$M14,Opex_Assumptions!$F$7:$M$7,DG$7)/12+DF14</f>
        <v>7</v>
      </c>
      <c r="DH14" s="131">
        <f>+SUMIFS(Opex_Assumptions!$F14:$M14,Opex_Assumptions!$F$7:$M$7,DH$7)/12+DG14</f>
        <v>7</v>
      </c>
      <c r="DI14" s="131">
        <f>+SUMIFS(Opex_Assumptions!$F14:$M14,Opex_Assumptions!$F$7:$M$7,DI$7)/12+DH14</f>
        <v>7</v>
      </c>
      <c r="DJ14" s="131">
        <f>+SUMIFS(Opex_Assumptions!$F14:$M14,Opex_Assumptions!$F$7:$M$7,DJ$7)/12+DI14</f>
        <v>7</v>
      </c>
      <c r="DK14" s="131">
        <f>+SUMIFS(Opex_Assumptions!$F14:$M14,Opex_Assumptions!$F$7:$M$7,DK$7)/12+DJ14</f>
        <v>7</v>
      </c>
      <c r="DL14" s="131">
        <f>+SUMIFS(Opex_Assumptions!$F14:$M14,Opex_Assumptions!$F$7:$M$7,DL$7)/12+DK14</f>
        <v>7</v>
      </c>
      <c r="DM14" s="131">
        <f>+SUMIFS(Opex_Assumptions!$F14:$M14,Opex_Assumptions!$F$7:$M$7,DM$7)/12+DL14</f>
        <v>7</v>
      </c>
      <c r="DN14" s="131">
        <f>+SUMIFS(Opex_Assumptions!$F14:$M14,Opex_Assumptions!$F$7:$M$7,DN$7)/12+DM14</f>
        <v>7</v>
      </c>
      <c r="DO14" s="131">
        <f>+SUMIFS(Opex_Assumptions!$F14:$M14,Opex_Assumptions!$F$7:$M$7,DO$7)/12+DN14</f>
        <v>7</v>
      </c>
      <c r="DP14" s="131">
        <f>+SUMIFS(Opex_Assumptions!$F14:$M14,Opex_Assumptions!$F$7:$M$7,DP$7)/12+DO14</f>
        <v>7</v>
      </c>
      <c r="DQ14" s="131">
        <f>+SUMIFS(Opex_Assumptions!$F14:$M14,Opex_Assumptions!$F$7:$M$7,DQ$7)/12+DP14</f>
        <v>7</v>
      </c>
      <c r="DR14" s="131">
        <f>+SUMIFS(Opex_Assumptions!$F14:$M14,Opex_Assumptions!$F$7:$M$7,DR$7)/12+DQ14</f>
        <v>7</v>
      </c>
    </row>
    <row r="15">
      <c r="B15" s="5" t="s">
        <v>158</v>
      </c>
      <c r="F15" s="110">
        <f t="shared" ref="F15:M15" si="8">+F31/F25</f>
        <v>12.02865402</v>
      </c>
      <c r="G15" s="110">
        <f t="shared" si="8"/>
        <v>13.56697395</v>
      </c>
      <c r="H15" s="110">
        <f t="shared" si="8"/>
        <v>11.9129057</v>
      </c>
      <c r="I15" s="110">
        <f t="shared" si="8"/>
        <v>11.49886916</v>
      </c>
      <c r="J15" s="110">
        <f t="shared" si="8"/>
        <v>11</v>
      </c>
      <c r="K15" s="110">
        <f t="shared" si="8"/>
        <v>12.08333333</v>
      </c>
      <c r="L15" s="110">
        <f t="shared" si="8"/>
        <v>14.625</v>
      </c>
      <c r="M15" s="110">
        <f t="shared" si="8"/>
        <v>18.16666667</v>
      </c>
      <c r="AA15" s="130">
        <v>11.0</v>
      </c>
      <c r="AB15" s="130">
        <v>11.0</v>
      </c>
      <c r="AC15" s="130">
        <v>11.0</v>
      </c>
      <c r="AD15" s="130">
        <v>12.0</v>
      </c>
      <c r="AE15" s="130">
        <v>10.0</v>
      </c>
      <c r="AF15" s="130">
        <v>10.0</v>
      </c>
      <c r="AG15" s="130">
        <v>12.0</v>
      </c>
      <c r="AH15" s="130">
        <v>13.0</v>
      </c>
      <c r="AI15" s="130">
        <v>12.0</v>
      </c>
      <c r="AJ15" s="130">
        <v>14.0</v>
      </c>
      <c r="AK15" s="130">
        <v>14.0</v>
      </c>
      <c r="AL15" s="130">
        <v>14.0</v>
      </c>
      <c r="AM15" s="130">
        <v>15.0</v>
      </c>
      <c r="AN15" s="130">
        <v>14.0</v>
      </c>
      <c r="AO15" s="130">
        <v>14.0</v>
      </c>
      <c r="AP15" s="130">
        <v>13.0</v>
      </c>
      <c r="AQ15" s="130">
        <v>13.0</v>
      </c>
      <c r="AR15" s="130">
        <v>13.0</v>
      </c>
      <c r="AS15" s="130">
        <v>13.0</v>
      </c>
      <c r="AT15" s="130">
        <v>13.0</v>
      </c>
      <c r="AU15" s="130">
        <v>13.0</v>
      </c>
      <c r="AV15" s="130">
        <v>14.0</v>
      </c>
      <c r="AW15" s="130">
        <v>14.0</v>
      </c>
      <c r="AX15" s="130">
        <v>14.0</v>
      </c>
      <c r="AY15" s="130">
        <v>12.0</v>
      </c>
      <c r="AZ15" s="130">
        <v>12.0</v>
      </c>
      <c r="BA15" s="130">
        <v>12.0</v>
      </c>
      <c r="BB15" s="130">
        <v>12.0</v>
      </c>
      <c r="BC15" s="130">
        <v>12.0</v>
      </c>
      <c r="BD15" s="130">
        <v>12.0</v>
      </c>
      <c r="BE15" s="130">
        <v>12.0</v>
      </c>
      <c r="BF15" s="130">
        <v>12.0</v>
      </c>
      <c r="BG15" s="130">
        <v>12.0</v>
      </c>
      <c r="BH15" s="130">
        <v>11.0</v>
      </c>
      <c r="BI15" s="130">
        <v>12.0</v>
      </c>
      <c r="BJ15" s="130">
        <v>12.0</v>
      </c>
      <c r="BK15" s="130">
        <v>12.0</v>
      </c>
      <c r="BL15" s="130">
        <v>13.0</v>
      </c>
      <c r="BM15" s="130">
        <v>13.0</v>
      </c>
      <c r="BN15" s="130">
        <v>12.0</v>
      </c>
      <c r="BO15" s="130">
        <v>11.0</v>
      </c>
      <c r="BP15" s="130">
        <v>11.0</v>
      </c>
      <c r="BQ15" s="130">
        <v>11.0</v>
      </c>
      <c r="BR15" s="130">
        <v>11.0</v>
      </c>
      <c r="BS15" s="130">
        <v>11.0</v>
      </c>
      <c r="BT15" s="130">
        <v>11.0</v>
      </c>
      <c r="BU15" s="130">
        <v>11.0</v>
      </c>
      <c r="BV15" s="130">
        <v>11.0</v>
      </c>
      <c r="BW15" s="130">
        <v>11.0</v>
      </c>
      <c r="BX15" s="130">
        <v>11.0</v>
      </c>
      <c r="BY15" s="130">
        <v>11.0</v>
      </c>
      <c r="BZ15" s="130">
        <v>11.0</v>
      </c>
      <c r="CA15" s="130">
        <v>11.0</v>
      </c>
      <c r="CB15" s="130">
        <v>11.0</v>
      </c>
      <c r="CC15" s="130">
        <v>11.0</v>
      </c>
      <c r="CD15" s="130">
        <v>11.0</v>
      </c>
      <c r="CE15" s="130">
        <v>11.0</v>
      </c>
      <c r="CF15" s="130">
        <v>11.0</v>
      </c>
      <c r="CG15" s="130">
        <v>11.0</v>
      </c>
      <c r="CH15" s="130">
        <v>11.0</v>
      </c>
      <c r="CI15" s="131">
        <f>+SUMIFS(Opex_Assumptions!$F15:$M15,Opex_Assumptions!$F$7:$M$7,CI$7)/12+CH15</f>
        <v>11.16666667</v>
      </c>
      <c r="CJ15" s="131">
        <f>+SUMIFS(Opex_Assumptions!$F15:$M15,Opex_Assumptions!$F$7:$M$7,CJ$7)/12+CI15</f>
        <v>11.33333333</v>
      </c>
      <c r="CK15" s="131">
        <f>+SUMIFS(Opex_Assumptions!$F15:$M15,Opex_Assumptions!$F$7:$M$7,CK$7)/12+CJ15</f>
        <v>11.5</v>
      </c>
      <c r="CL15" s="131">
        <f>+SUMIFS(Opex_Assumptions!$F15:$M15,Opex_Assumptions!$F$7:$M$7,CL$7)/12+CK15</f>
        <v>11.66666667</v>
      </c>
      <c r="CM15" s="131">
        <f>+SUMIFS(Opex_Assumptions!$F15:$M15,Opex_Assumptions!$F$7:$M$7,CM$7)/12+CL15</f>
        <v>11.83333333</v>
      </c>
      <c r="CN15" s="131">
        <f>+SUMIFS(Opex_Assumptions!$F15:$M15,Opex_Assumptions!$F$7:$M$7,CN$7)/12+CM15</f>
        <v>12</v>
      </c>
      <c r="CO15" s="131">
        <f>+SUMIFS(Opex_Assumptions!$F15:$M15,Opex_Assumptions!$F$7:$M$7,CO$7)/12+CN15</f>
        <v>12.16666667</v>
      </c>
      <c r="CP15" s="131">
        <f>+SUMIFS(Opex_Assumptions!$F15:$M15,Opex_Assumptions!$F$7:$M$7,CP$7)/12+CO15</f>
        <v>12.33333333</v>
      </c>
      <c r="CQ15" s="131">
        <f>+SUMIFS(Opex_Assumptions!$F15:$M15,Opex_Assumptions!$F$7:$M$7,CQ$7)/12+CP15</f>
        <v>12.5</v>
      </c>
      <c r="CR15" s="131">
        <f>+SUMIFS(Opex_Assumptions!$F15:$M15,Opex_Assumptions!$F$7:$M$7,CR$7)/12+CQ15</f>
        <v>12.66666667</v>
      </c>
      <c r="CS15" s="131">
        <f>+SUMIFS(Opex_Assumptions!$F15:$M15,Opex_Assumptions!$F$7:$M$7,CS$7)/12+CR15</f>
        <v>12.83333333</v>
      </c>
      <c r="CT15" s="131">
        <f>+SUMIFS(Opex_Assumptions!$F15:$M15,Opex_Assumptions!$F$7:$M$7,CT$7)/12+CS15</f>
        <v>13</v>
      </c>
      <c r="CU15" s="131">
        <f>+SUMIFS(Opex_Assumptions!$F15:$M15,Opex_Assumptions!$F$7:$M$7,CU$7)/12+CT15</f>
        <v>13.25</v>
      </c>
      <c r="CV15" s="131">
        <f>+SUMIFS(Opex_Assumptions!$F15:$M15,Opex_Assumptions!$F$7:$M$7,CV$7)/12+CU15</f>
        <v>13.5</v>
      </c>
      <c r="CW15" s="131">
        <f>+SUMIFS(Opex_Assumptions!$F15:$M15,Opex_Assumptions!$F$7:$M$7,CW$7)/12+CV15</f>
        <v>13.75</v>
      </c>
      <c r="CX15" s="131">
        <f>+SUMIFS(Opex_Assumptions!$F15:$M15,Opex_Assumptions!$F$7:$M$7,CX$7)/12+CW15</f>
        <v>14</v>
      </c>
      <c r="CY15" s="131">
        <f>+SUMIFS(Opex_Assumptions!$F15:$M15,Opex_Assumptions!$F$7:$M$7,CY$7)/12+CX15</f>
        <v>14.25</v>
      </c>
      <c r="CZ15" s="131">
        <f>+SUMIFS(Opex_Assumptions!$F15:$M15,Opex_Assumptions!$F$7:$M$7,CZ$7)/12+CY15</f>
        <v>14.5</v>
      </c>
      <c r="DA15" s="131">
        <f>+SUMIFS(Opex_Assumptions!$F15:$M15,Opex_Assumptions!$F$7:$M$7,DA$7)/12+CZ15</f>
        <v>14.75</v>
      </c>
      <c r="DB15" s="131">
        <f>+SUMIFS(Opex_Assumptions!$F15:$M15,Opex_Assumptions!$F$7:$M$7,DB$7)/12+DA15</f>
        <v>15</v>
      </c>
      <c r="DC15" s="131">
        <f>+SUMIFS(Opex_Assumptions!$F15:$M15,Opex_Assumptions!$F$7:$M$7,DC$7)/12+DB15</f>
        <v>15.25</v>
      </c>
      <c r="DD15" s="131">
        <f>+SUMIFS(Opex_Assumptions!$F15:$M15,Opex_Assumptions!$F$7:$M$7,DD$7)/12+DC15</f>
        <v>15.5</v>
      </c>
      <c r="DE15" s="131">
        <f>+SUMIFS(Opex_Assumptions!$F15:$M15,Opex_Assumptions!$F$7:$M$7,DE$7)/12+DD15</f>
        <v>15.75</v>
      </c>
      <c r="DF15" s="131">
        <f>+SUMIFS(Opex_Assumptions!$F15:$M15,Opex_Assumptions!$F$7:$M$7,DF$7)/12+DE15</f>
        <v>16</v>
      </c>
      <c r="DG15" s="131">
        <f>+SUMIFS(Opex_Assumptions!$F15:$M15,Opex_Assumptions!$F$7:$M$7,DG$7)/12+DF15</f>
        <v>16.33333333</v>
      </c>
      <c r="DH15" s="131">
        <f>+SUMIFS(Opex_Assumptions!$F15:$M15,Opex_Assumptions!$F$7:$M$7,DH$7)/12+DG15</f>
        <v>16.66666667</v>
      </c>
      <c r="DI15" s="131">
        <f>+SUMIFS(Opex_Assumptions!$F15:$M15,Opex_Assumptions!$F$7:$M$7,DI$7)/12+DH15</f>
        <v>17</v>
      </c>
      <c r="DJ15" s="131">
        <f>+SUMIFS(Opex_Assumptions!$F15:$M15,Opex_Assumptions!$F$7:$M$7,DJ$7)/12+DI15</f>
        <v>17.33333333</v>
      </c>
      <c r="DK15" s="131">
        <f>+SUMIFS(Opex_Assumptions!$F15:$M15,Opex_Assumptions!$F$7:$M$7,DK$7)/12+DJ15</f>
        <v>17.66666667</v>
      </c>
      <c r="DL15" s="131">
        <f>+SUMIFS(Opex_Assumptions!$F15:$M15,Opex_Assumptions!$F$7:$M$7,DL$7)/12+DK15</f>
        <v>18</v>
      </c>
      <c r="DM15" s="131">
        <f>+SUMIFS(Opex_Assumptions!$F15:$M15,Opex_Assumptions!$F$7:$M$7,DM$7)/12+DL15</f>
        <v>18.33333333</v>
      </c>
      <c r="DN15" s="131">
        <f>+SUMIFS(Opex_Assumptions!$F15:$M15,Opex_Assumptions!$F$7:$M$7,DN$7)/12+DM15</f>
        <v>18.66666667</v>
      </c>
      <c r="DO15" s="131">
        <f>+SUMIFS(Opex_Assumptions!$F15:$M15,Opex_Assumptions!$F$7:$M$7,DO$7)/12+DN15</f>
        <v>19</v>
      </c>
      <c r="DP15" s="131">
        <f>+SUMIFS(Opex_Assumptions!$F15:$M15,Opex_Assumptions!$F$7:$M$7,DP$7)/12+DO15</f>
        <v>19.33333333</v>
      </c>
      <c r="DQ15" s="131">
        <f>+SUMIFS(Opex_Assumptions!$F15:$M15,Opex_Assumptions!$F$7:$M$7,DQ$7)/12+DP15</f>
        <v>19.66666667</v>
      </c>
      <c r="DR15" s="131">
        <f>+SUMIFS(Opex_Assumptions!$F15:$M15,Opex_Assumptions!$F$7:$M$7,DR$7)/12+DQ15</f>
        <v>20</v>
      </c>
    </row>
    <row r="16">
      <c r="B16" s="54" t="s">
        <v>145</v>
      </c>
      <c r="C16" s="54"/>
      <c r="D16" s="54"/>
      <c r="F16" s="132">
        <f t="shared" ref="F16:M16" si="9">SUM(F12:F15)</f>
        <v>149.885183</v>
      </c>
      <c r="G16" s="132">
        <f t="shared" si="9"/>
        <v>148.2368096</v>
      </c>
      <c r="H16" s="132">
        <f t="shared" si="9"/>
        <v>119.5643503</v>
      </c>
      <c r="I16" s="132">
        <f t="shared" si="9"/>
        <v>125.5400552</v>
      </c>
      <c r="J16" s="132">
        <f t="shared" si="9"/>
        <v>141.2417431</v>
      </c>
      <c r="K16" s="132">
        <f t="shared" si="9"/>
        <v>159.3090818</v>
      </c>
      <c r="L16" s="132">
        <f t="shared" si="9"/>
        <v>181.8123866</v>
      </c>
      <c r="M16" s="132">
        <f t="shared" si="9"/>
        <v>207.3156914</v>
      </c>
      <c r="AA16" s="132">
        <f t="shared" ref="AA16:DR16" si="10">SUM(AA12:AA15)</f>
        <v>134</v>
      </c>
      <c r="AB16" s="132">
        <f t="shared" si="10"/>
        <v>137</v>
      </c>
      <c r="AC16" s="132">
        <f t="shared" si="10"/>
        <v>140</v>
      </c>
      <c r="AD16" s="132">
        <f t="shared" si="10"/>
        <v>143</v>
      </c>
      <c r="AE16" s="132">
        <f t="shared" si="10"/>
        <v>141</v>
      </c>
      <c r="AF16" s="132">
        <f t="shared" si="10"/>
        <v>148</v>
      </c>
      <c r="AG16" s="132">
        <f t="shared" si="10"/>
        <v>154</v>
      </c>
      <c r="AH16" s="132">
        <f t="shared" si="10"/>
        <v>156</v>
      </c>
      <c r="AI16" s="132">
        <f t="shared" si="10"/>
        <v>156</v>
      </c>
      <c r="AJ16" s="132">
        <f t="shared" si="10"/>
        <v>166</v>
      </c>
      <c r="AK16" s="132">
        <f t="shared" si="10"/>
        <v>164</v>
      </c>
      <c r="AL16" s="132">
        <f t="shared" si="10"/>
        <v>159</v>
      </c>
      <c r="AM16" s="132">
        <f t="shared" si="10"/>
        <v>159</v>
      </c>
      <c r="AN16" s="132">
        <f t="shared" si="10"/>
        <v>159</v>
      </c>
      <c r="AO16" s="132">
        <f t="shared" si="10"/>
        <v>154</v>
      </c>
      <c r="AP16" s="132">
        <f t="shared" si="10"/>
        <v>152</v>
      </c>
      <c r="AQ16" s="132">
        <f t="shared" si="10"/>
        <v>152</v>
      </c>
      <c r="AR16" s="132">
        <f t="shared" si="10"/>
        <v>152</v>
      </c>
      <c r="AS16" s="132">
        <f t="shared" si="10"/>
        <v>148</v>
      </c>
      <c r="AT16" s="132">
        <f t="shared" si="10"/>
        <v>146</v>
      </c>
      <c r="AU16" s="132">
        <f t="shared" si="10"/>
        <v>145</v>
      </c>
      <c r="AV16" s="132">
        <f t="shared" si="10"/>
        <v>142</v>
      </c>
      <c r="AW16" s="132">
        <f t="shared" si="10"/>
        <v>140</v>
      </c>
      <c r="AX16" s="132">
        <f t="shared" si="10"/>
        <v>128</v>
      </c>
      <c r="AY16" s="132">
        <f t="shared" si="10"/>
        <v>125</v>
      </c>
      <c r="AZ16" s="132">
        <f t="shared" si="10"/>
        <v>123</v>
      </c>
      <c r="BA16" s="132">
        <f t="shared" si="10"/>
        <v>123</v>
      </c>
      <c r="BB16" s="132">
        <f t="shared" si="10"/>
        <v>121</v>
      </c>
      <c r="BC16" s="132">
        <f t="shared" si="10"/>
        <v>120</v>
      </c>
      <c r="BD16" s="132">
        <f t="shared" si="10"/>
        <v>120</v>
      </c>
      <c r="BE16" s="132">
        <f t="shared" si="10"/>
        <v>122</v>
      </c>
      <c r="BF16" s="132">
        <f t="shared" si="10"/>
        <v>121</v>
      </c>
      <c r="BG16" s="132">
        <f t="shared" si="10"/>
        <v>114</v>
      </c>
      <c r="BH16" s="132">
        <f t="shared" si="10"/>
        <v>113</v>
      </c>
      <c r="BI16" s="132">
        <f t="shared" si="10"/>
        <v>118</v>
      </c>
      <c r="BJ16" s="132">
        <f t="shared" si="10"/>
        <v>117</v>
      </c>
      <c r="BK16" s="132">
        <f t="shared" si="10"/>
        <v>121</v>
      </c>
      <c r="BL16" s="132">
        <f t="shared" si="10"/>
        <v>123</v>
      </c>
      <c r="BM16" s="132">
        <f t="shared" si="10"/>
        <v>125</v>
      </c>
      <c r="BN16" s="132">
        <f t="shared" si="10"/>
        <v>124</v>
      </c>
      <c r="BO16" s="132">
        <f t="shared" si="10"/>
        <v>123</v>
      </c>
      <c r="BP16" s="132">
        <f t="shared" si="10"/>
        <v>124</v>
      </c>
      <c r="BQ16" s="132">
        <f t="shared" si="10"/>
        <v>127</v>
      </c>
      <c r="BR16" s="132">
        <f t="shared" si="10"/>
        <v>128</v>
      </c>
      <c r="BS16" s="132">
        <f t="shared" si="10"/>
        <v>128</v>
      </c>
      <c r="BT16" s="132">
        <f t="shared" si="10"/>
        <v>128</v>
      </c>
      <c r="BU16" s="132">
        <f t="shared" si="10"/>
        <v>128</v>
      </c>
      <c r="BV16" s="132">
        <f t="shared" si="10"/>
        <v>128</v>
      </c>
      <c r="BW16" s="132">
        <f t="shared" si="10"/>
        <v>133</v>
      </c>
      <c r="BX16" s="132">
        <f t="shared" si="10"/>
        <v>134</v>
      </c>
      <c r="BY16" s="132">
        <f t="shared" si="10"/>
        <v>136</v>
      </c>
      <c r="BZ16" s="132">
        <f t="shared" si="10"/>
        <v>139</v>
      </c>
      <c r="CA16" s="132">
        <f t="shared" si="10"/>
        <v>140</v>
      </c>
      <c r="CB16" s="132">
        <f t="shared" si="10"/>
        <v>141</v>
      </c>
      <c r="CC16" s="132">
        <f t="shared" si="10"/>
        <v>142</v>
      </c>
      <c r="CD16" s="132">
        <f t="shared" si="10"/>
        <v>144</v>
      </c>
      <c r="CE16" s="132">
        <f t="shared" si="10"/>
        <v>145</v>
      </c>
      <c r="CF16" s="132">
        <f t="shared" si="10"/>
        <v>146</v>
      </c>
      <c r="CG16" s="132">
        <f t="shared" si="10"/>
        <v>147</v>
      </c>
      <c r="CH16" s="132">
        <f t="shared" si="10"/>
        <v>148</v>
      </c>
      <c r="CI16" s="132">
        <f t="shared" si="10"/>
        <v>149.7398587</v>
      </c>
      <c r="CJ16" s="132">
        <f t="shared" si="10"/>
        <v>151.4797175</v>
      </c>
      <c r="CK16" s="132">
        <f t="shared" si="10"/>
        <v>153.2195762</v>
      </c>
      <c r="CL16" s="132">
        <f t="shared" si="10"/>
        <v>154.9594349</v>
      </c>
      <c r="CM16" s="132">
        <f t="shared" si="10"/>
        <v>156.6992937</v>
      </c>
      <c r="CN16" s="132">
        <f t="shared" si="10"/>
        <v>158.4391524</v>
      </c>
      <c r="CO16" s="132">
        <f t="shared" si="10"/>
        <v>160.1790111</v>
      </c>
      <c r="CP16" s="132">
        <f t="shared" si="10"/>
        <v>161.9188699</v>
      </c>
      <c r="CQ16" s="132">
        <f t="shared" si="10"/>
        <v>163.6587286</v>
      </c>
      <c r="CR16" s="132">
        <f t="shared" si="10"/>
        <v>165.3985873</v>
      </c>
      <c r="CS16" s="132">
        <f t="shared" si="10"/>
        <v>167.1384461</v>
      </c>
      <c r="CT16" s="132">
        <f t="shared" si="10"/>
        <v>168.8783048</v>
      </c>
      <c r="CU16" s="132">
        <f t="shared" si="10"/>
        <v>170.8681635</v>
      </c>
      <c r="CV16" s="132">
        <f t="shared" si="10"/>
        <v>172.8580223</v>
      </c>
      <c r="CW16" s="132">
        <f t="shared" si="10"/>
        <v>174.847881</v>
      </c>
      <c r="CX16" s="132">
        <f t="shared" si="10"/>
        <v>176.8377397</v>
      </c>
      <c r="CY16" s="132">
        <f t="shared" si="10"/>
        <v>178.8275985</v>
      </c>
      <c r="CZ16" s="132">
        <f t="shared" si="10"/>
        <v>180.8174572</v>
      </c>
      <c r="DA16" s="132">
        <f t="shared" si="10"/>
        <v>182.8073159</v>
      </c>
      <c r="DB16" s="132">
        <f t="shared" si="10"/>
        <v>184.7971747</v>
      </c>
      <c r="DC16" s="132">
        <f t="shared" si="10"/>
        <v>186.7870334</v>
      </c>
      <c r="DD16" s="132">
        <f t="shared" si="10"/>
        <v>188.7768921</v>
      </c>
      <c r="DE16" s="132">
        <f t="shared" si="10"/>
        <v>190.7667509</v>
      </c>
      <c r="DF16" s="132">
        <f t="shared" si="10"/>
        <v>192.7566096</v>
      </c>
      <c r="DG16" s="132">
        <f t="shared" si="10"/>
        <v>194.9964684</v>
      </c>
      <c r="DH16" s="132">
        <f t="shared" si="10"/>
        <v>197.2363271</v>
      </c>
      <c r="DI16" s="132">
        <f t="shared" si="10"/>
        <v>199.4761858</v>
      </c>
      <c r="DJ16" s="132">
        <f t="shared" si="10"/>
        <v>201.7160446</v>
      </c>
      <c r="DK16" s="132">
        <f t="shared" si="10"/>
        <v>203.9559033</v>
      </c>
      <c r="DL16" s="132">
        <f t="shared" si="10"/>
        <v>206.195762</v>
      </c>
      <c r="DM16" s="132">
        <f t="shared" si="10"/>
        <v>208.4356208</v>
      </c>
      <c r="DN16" s="132">
        <f t="shared" si="10"/>
        <v>210.6754795</v>
      </c>
      <c r="DO16" s="132">
        <f t="shared" si="10"/>
        <v>212.9153382</v>
      </c>
      <c r="DP16" s="132">
        <f t="shared" si="10"/>
        <v>215.155197</v>
      </c>
      <c r="DQ16" s="132">
        <f t="shared" si="10"/>
        <v>217.3950557</v>
      </c>
      <c r="DR16" s="132">
        <f t="shared" si="10"/>
        <v>219.6349144</v>
      </c>
    </row>
    <row r="17" ht="4.5" customHeight="1"/>
    <row r="18">
      <c r="A18" s="70"/>
      <c r="B18" s="70" t="s">
        <v>159</v>
      </c>
      <c r="C18" s="70"/>
      <c r="D18" s="70"/>
      <c r="E18" s="70"/>
      <c r="F18" s="123">
        <f>+'Income Statement'!F$16/F12</f>
        <v>0</v>
      </c>
      <c r="G18" s="123">
        <f>+'Income Statement'!G$16/G12</f>
        <v>0</v>
      </c>
      <c r="H18" s="123">
        <f>+'Income Statement'!H$16/H12</f>
        <v>0</v>
      </c>
      <c r="I18" s="123">
        <f>+'Income Statement'!I$16/I12</f>
        <v>0</v>
      </c>
      <c r="J18" s="123">
        <f>+'Income Statement'!J$16/J12</f>
        <v>0</v>
      </c>
      <c r="K18" s="123">
        <f>+'Income Statement'!K$16/K12</f>
        <v>0</v>
      </c>
      <c r="L18" s="123">
        <f>+'Income Statement'!L$16/L12</f>
        <v>0</v>
      </c>
      <c r="M18" s="123">
        <f>+'Income Statement'!M$16/M12</f>
        <v>0</v>
      </c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123">
        <f>+'Income Statement'!Q$16/AA12</f>
        <v>0</v>
      </c>
      <c r="AB18" s="123">
        <f>+'Income Statement'!R$16/AB12</f>
        <v>0</v>
      </c>
      <c r="AC18" s="123">
        <f>+'Income Statement'!S$16/AC12</f>
        <v>0</v>
      </c>
      <c r="AD18" s="123">
        <f>+'Income Statement'!T$16/AD12</f>
        <v>0</v>
      </c>
      <c r="AE18" s="123">
        <f>+'Income Statement'!U$16/AE12</f>
        <v>0</v>
      </c>
      <c r="AF18" s="123">
        <f>+'Income Statement'!V$16/AF12</f>
        <v>0</v>
      </c>
      <c r="AG18" s="123">
        <f>+'Income Statement'!W$16/AG12</f>
        <v>0</v>
      </c>
      <c r="AH18" s="123">
        <f>+'Income Statement'!X$16/AH12</f>
        <v>0</v>
      </c>
      <c r="AI18" s="123">
        <f>+'Income Statement'!Y$16/AI12</f>
        <v>0</v>
      </c>
      <c r="AJ18" s="123">
        <f>+'Income Statement'!Z$16/AJ12</f>
        <v>0</v>
      </c>
      <c r="AK18" s="123">
        <f>+'Income Statement'!AA$16/AK12</f>
        <v>0</v>
      </c>
      <c r="AL18" s="123">
        <f>+'Income Statement'!AB$16/AL12</f>
        <v>0</v>
      </c>
      <c r="AM18" s="123">
        <f>+'Income Statement'!AC$16/AM12</f>
        <v>0</v>
      </c>
      <c r="AN18" s="123">
        <f>+'Income Statement'!AD$16/AN12</f>
        <v>0</v>
      </c>
      <c r="AO18" s="123">
        <f>+'Income Statement'!AE$16/AO12</f>
        <v>0</v>
      </c>
      <c r="AP18" s="123">
        <f>+'Income Statement'!AF$16/AP12</f>
        <v>0</v>
      </c>
      <c r="AQ18" s="123">
        <f>+'Income Statement'!AG$16/AQ12</f>
        <v>0</v>
      </c>
      <c r="AR18" s="123">
        <f>+'Income Statement'!AH$16/AR12</f>
        <v>0</v>
      </c>
      <c r="AS18" s="123">
        <f>+'Income Statement'!AI$16/AS12</f>
        <v>0</v>
      </c>
      <c r="AT18" s="123">
        <f>+'Income Statement'!AJ$16/AT12</f>
        <v>0</v>
      </c>
      <c r="AU18" s="123">
        <f>+'Income Statement'!AK$16/AU12</f>
        <v>0</v>
      </c>
      <c r="AV18" s="123">
        <f>+'Income Statement'!AL$16/AV12</f>
        <v>0</v>
      </c>
      <c r="AW18" s="123">
        <f>+'Income Statement'!AM$16/AW12</f>
        <v>0</v>
      </c>
      <c r="AX18" s="123">
        <f>+'Income Statement'!AN$16/AX12</f>
        <v>0</v>
      </c>
      <c r="AY18" s="123">
        <f>+'Income Statement'!AO$16/AY12</f>
        <v>0</v>
      </c>
      <c r="AZ18" s="123">
        <f>+'Income Statement'!AP$16/AZ12</f>
        <v>0</v>
      </c>
      <c r="BA18" s="123">
        <f>+'Income Statement'!AQ$16/BA12</f>
        <v>0</v>
      </c>
      <c r="BB18" s="123">
        <f>+'Income Statement'!AR$16/BB12</f>
        <v>0</v>
      </c>
      <c r="BC18" s="123">
        <f>+'Income Statement'!AS$16/BC12</f>
        <v>0</v>
      </c>
      <c r="BD18" s="123">
        <f>+'Income Statement'!AT$16/BD12</f>
        <v>0</v>
      </c>
      <c r="BE18" s="123">
        <f>+'Income Statement'!AU$16/BE12</f>
        <v>0</v>
      </c>
      <c r="BF18" s="123">
        <f>+'Income Statement'!AV$16/BF12</f>
        <v>0</v>
      </c>
      <c r="BG18" s="123">
        <f>+'Income Statement'!AW$16/BG12</f>
        <v>0</v>
      </c>
      <c r="BH18" s="123">
        <f>+'Income Statement'!AX$16/BH12</f>
        <v>0</v>
      </c>
      <c r="BI18" s="123">
        <f>+'Income Statement'!AY$16/BI12</f>
        <v>0</v>
      </c>
      <c r="BJ18" s="123">
        <f>+'Income Statement'!AZ$16/BJ12</f>
        <v>0</v>
      </c>
      <c r="BK18" s="123">
        <f>+'Income Statement'!BA$16/BK12</f>
        <v>0</v>
      </c>
      <c r="BL18" s="123">
        <f>+'Income Statement'!BB$16/BL12</f>
        <v>0</v>
      </c>
      <c r="BM18" s="123">
        <f>+'Income Statement'!BC$16/BM12</f>
        <v>0</v>
      </c>
      <c r="BN18" s="123">
        <f>+'Income Statement'!BD$16/BN12</f>
        <v>0</v>
      </c>
      <c r="BO18" s="123">
        <f>+'Income Statement'!BE$16/BO12</f>
        <v>0</v>
      </c>
      <c r="BP18" s="123">
        <f>+'Income Statement'!BF$16/BP12</f>
        <v>0</v>
      </c>
      <c r="BQ18" s="123">
        <f>+'Income Statement'!BG$16/BQ12</f>
        <v>0</v>
      </c>
      <c r="BR18" s="123">
        <f>+'Income Statement'!BH$16/BR12</f>
        <v>0</v>
      </c>
      <c r="BS18" s="123">
        <f>+'Income Statement'!BI$16/BS12</f>
        <v>0</v>
      </c>
      <c r="BT18" s="123">
        <f>+'Income Statement'!BJ$16/BT12</f>
        <v>0</v>
      </c>
      <c r="BU18" s="123">
        <f>+'Income Statement'!BK$16/BU12</f>
        <v>0</v>
      </c>
      <c r="BV18" s="123">
        <f>+'Income Statement'!BL$16/BV12</f>
        <v>0</v>
      </c>
      <c r="BW18" s="123">
        <f>+'Income Statement'!BM$16/BW12</f>
        <v>0</v>
      </c>
      <c r="BX18" s="123">
        <f>+'Income Statement'!BN$16/BX12</f>
        <v>0</v>
      </c>
      <c r="BY18" s="123">
        <f>+'Income Statement'!BO$16/BY12</f>
        <v>0</v>
      </c>
      <c r="BZ18" s="123">
        <f>+'Income Statement'!BP$16/BZ12</f>
        <v>0</v>
      </c>
      <c r="CA18" s="123">
        <f>+'Income Statement'!BQ$16/CA12</f>
        <v>0</v>
      </c>
      <c r="CB18" s="123">
        <f>+'Income Statement'!BR$16/CB12</f>
        <v>0</v>
      </c>
      <c r="CC18" s="123">
        <f>+'Income Statement'!BS$16/CC12</f>
        <v>0</v>
      </c>
      <c r="CD18" s="123">
        <f>+'Income Statement'!BT$16/CD12</f>
        <v>0</v>
      </c>
      <c r="CE18" s="123">
        <f>+'Income Statement'!BU$16/CE12</f>
        <v>0</v>
      </c>
      <c r="CF18" s="123">
        <f>+'Income Statement'!BV$16/CF12</f>
        <v>0</v>
      </c>
      <c r="CG18" s="123">
        <f>+'Income Statement'!BW$16/CG12</f>
        <v>0</v>
      </c>
      <c r="CH18" s="123">
        <f>+'Income Statement'!BX$16/CH12</f>
        <v>0</v>
      </c>
      <c r="CI18" s="123">
        <f>+'Income Statement'!BY$16/CI12</f>
        <v>0</v>
      </c>
      <c r="CJ18" s="123">
        <f>+'Income Statement'!BZ$16/CJ12</f>
        <v>0</v>
      </c>
      <c r="CK18" s="123">
        <f>+'Income Statement'!CA$16/CK12</f>
        <v>0</v>
      </c>
      <c r="CL18" s="123">
        <f>+'Income Statement'!CB$16/CL12</f>
        <v>0</v>
      </c>
      <c r="CM18" s="123">
        <f>+'Income Statement'!CC$16/CM12</f>
        <v>0</v>
      </c>
      <c r="CN18" s="123">
        <f>+'Income Statement'!CD$16/CN12</f>
        <v>0</v>
      </c>
      <c r="CO18" s="123">
        <f>+'Income Statement'!CE$16/CO12</f>
        <v>0</v>
      </c>
      <c r="CP18" s="123">
        <f>+'Income Statement'!CF$16/CP12</f>
        <v>0</v>
      </c>
      <c r="CQ18" s="123">
        <f>+'Income Statement'!CG$16/CQ12</f>
        <v>0</v>
      </c>
      <c r="CR18" s="123">
        <f>+'Income Statement'!CH$16/CR12</f>
        <v>0</v>
      </c>
      <c r="CS18" s="123">
        <f>+'Income Statement'!CI$16/CS12</f>
        <v>0</v>
      </c>
      <c r="CT18" s="123">
        <f>+'Income Statement'!CJ$16/CT12</f>
        <v>0</v>
      </c>
      <c r="CU18" s="123">
        <f>+'Income Statement'!CK$16/CU12</f>
        <v>0</v>
      </c>
      <c r="CV18" s="123">
        <f>+'Income Statement'!CL$16/CV12</f>
        <v>0</v>
      </c>
      <c r="CW18" s="123">
        <f>+'Income Statement'!CM$16/CW12</f>
        <v>0</v>
      </c>
      <c r="CX18" s="123">
        <f>+'Income Statement'!CN$16/CX12</f>
        <v>0</v>
      </c>
      <c r="CY18" s="123">
        <f>+'Income Statement'!CO$16/CY12</f>
        <v>0</v>
      </c>
      <c r="CZ18" s="123">
        <f>+'Income Statement'!CP$16/CZ12</f>
        <v>0</v>
      </c>
      <c r="DA18" s="123">
        <f>+'Income Statement'!CQ$16/DA12</f>
        <v>0</v>
      </c>
      <c r="DB18" s="123">
        <f>+'Income Statement'!CR$16/DB12</f>
        <v>0</v>
      </c>
      <c r="DC18" s="123">
        <f>+'Income Statement'!CS$16/DC12</f>
        <v>0</v>
      </c>
      <c r="DD18" s="123">
        <f>+'Income Statement'!CT$16/DD12</f>
        <v>0</v>
      </c>
      <c r="DE18" s="123">
        <f>+'Income Statement'!CU$16/DE12</f>
        <v>0</v>
      </c>
      <c r="DF18" s="123">
        <f>+'Income Statement'!CV$16/DF12</f>
        <v>0</v>
      </c>
      <c r="DG18" s="123">
        <f>+'Income Statement'!CW$16/DG12</f>
        <v>0</v>
      </c>
      <c r="DH18" s="123">
        <f>+'Income Statement'!CX$16/DH12</f>
        <v>0</v>
      </c>
      <c r="DI18" s="123">
        <f>+'Income Statement'!CY$16/DI12</f>
        <v>0</v>
      </c>
      <c r="DJ18" s="123">
        <f>+'Income Statement'!CZ$16/DJ12</f>
        <v>0</v>
      </c>
      <c r="DK18" s="123">
        <f>+'Income Statement'!DA$16/DK12</f>
        <v>0</v>
      </c>
      <c r="DL18" s="123">
        <f>+'Income Statement'!DB$16/DL12</f>
        <v>0</v>
      </c>
      <c r="DM18" s="123">
        <f>+'Income Statement'!DC$16/DM12</f>
        <v>0</v>
      </c>
      <c r="DN18" s="123">
        <f>+'Income Statement'!DD$16/DN12</f>
        <v>0</v>
      </c>
      <c r="DO18" s="123">
        <f>+'Income Statement'!DE$16/DO12</f>
        <v>0</v>
      </c>
      <c r="DP18" s="123">
        <f>+'Income Statement'!DF$16/DP12</f>
        <v>0</v>
      </c>
      <c r="DQ18" s="123">
        <f>+'Income Statement'!DG$16/DQ12</f>
        <v>0</v>
      </c>
      <c r="DR18" s="123">
        <f>+'Income Statement'!DH$16/DR12</f>
        <v>0</v>
      </c>
    </row>
    <row r="19">
      <c r="B19" s="70" t="s">
        <v>160</v>
      </c>
      <c r="F19" s="123">
        <f>+'Income Statement'!F$16/F13</f>
        <v>0</v>
      </c>
      <c r="G19" s="123">
        <f>+'Income Statement'!G$16/G13</f>
        <v>0</v>
      </c>
      <c r="H19" s="123">
        <f>+'Income Statement'!H$16/H13</f>
        <v>0</v>
      </c>
      <c r="I19" s="123">
        <f>+'Income Statement'!I$16/I13</f>
        <v>0</v>
      </c>
      <c r="J19" s="123">
        <f>+'Income Statement'!J$16/J13</f>
        <v>0</v>
      </c>
      <c r="K19" s="123">
        <f>+'Income Statement'!K$16/K13</f>
        <v>0</v>
      </c>
      <c r="L19" s="123">
        <f>+'Income Statement'!L$16/L13</f>
        <v>0</v>
      </c>
      <c r="M19" s="123">
        <f>+'Income Statement'!M$16/M13</f>
        <v>0</v>
      </c>
      <c r="AA19" s="123">
        <f>+'Income Statement'!Q$16/AA13</f>
        <v>0</v>
      </c>
      <c r="AB19" s="123">
        <f>+'Income Statement'!R$16/AB13</f>
        <v>0</v>
      </c>
      <c r="AC19" s="123">
        <f>+'Income Statement'!S$16/AC13</f>
        <v>0</v>
      </c>
      <c r="AD19" s="123">
        <f>+'Income Statement'!T$16/AD13</f>
        <v>0</v>
      </c>
      <c r="AE19" s="123">
        <f>+'Income Statement'!U$16/AE13</f>
        <v>0</v>
      </c>
      <c r="AF19" s="123">
        <f>+'Income Statement'!V$16/AF13</f>
        <v>0</v>
      </c>
      <c r="AG19" s="123">
        <f>+'Income Statement'!W$16/AG13</f>
        <v>0</v>
      </c>
      <c r="AH19" s="123">
        <f>+'Income Statement'!X$16/AH13</f>
        <v>0</v>
      </c>
      <c r="AI19" s="123">
        <f>+'Income Statement'!Y$16/AI13</f>
        <v>0</v>
      </c>
      <c r="AJ19" s="123">
        <f>+'Income Statement'!Z$16/AJ13</f>
        <v>0</v>
      </c>
      <c r="AK19" s="123">
        <f>+'Income Statement'!AA$16/AK13</f>
        <v>0</v>
      </c>
      <c r="AL19" s="123">
        <f>+'Income Statement'!AB$16/AL13</f>
        <v>0</v>
      </c>
      <c r="AM19" s="123">
        <f>+'Income Statement'!AC$16/AM13</f>
        <v>0</v>
      </c>
      <c r="AN19" s="123">
        <f>+'Income Statement'!AD$16/AN13</f>
        <v>0</v>
      </c>
      <c r="AO19" s="123">
        <f>+'Income Statement'!AE$16/AO13</f>
        <v>0</v>
      </c>
      <c r="AP19" s="123">
        <f>+'Income Statement'!AF$16/AP13</f>
        <v>0</v>
      </c>
      <c r="AQ19" s="123">
        <f>+'Income Statement'!AG$16/AQ13</f>
        <v>0</v>
      </c>
      <c r="AR19" s="123">
        <f>+'Income Statement'!AH$16/AR13</f>
        <v>0</v>
      </c>
      <c r="AS19" s="123">
        <f>+'Income Statement'!AI$16/AS13</f>
        <v>0</v>
      </c>
      <c r="AT19" s="123">
        <f>+'Income Statement'!AJ$16/AT13</f>
        <v>0</v>
      </c>
      <c r="AU19" s="123">
        <f>+'Income Statement'!AK$16/AU13</f>
        <v>0</v>
      </c>
      <c r="AV19" s="123">
        <f>+'Income Statement'!AL$16/AV13</f>
        <v>0</v>
      </c>
      <c r="AW19" s="123">
        <f>+'Income Statement'!AM$16/AW13</f>
        <v>0</v>
      </c>
      <c r="AX19" s="123">
        <f>+'Income Statement'!AN$16/AX13</f>
        <v>0</v>
      </c>
      <c r="AY19" s="123">
        <f>+'Income Statement'!AO$16/AY13</f>
        <v>0</v>
      </c>
      <c r="AZ19" s="123">
        <f>+'Income Statement'!AP$16/AZ13</f>
        <v>0</v>
      </c>
      <c r="BA19" s="123">
        <f>+'Income Statement'!AQ$16/BA13</f>
        <v>0</v>
      </c>
      <c r="BB19" s="123">
        <f>+'Income Statement'!AR$16/BB13</f>
        <v>0</v>
      </c>
      <c r="BC19" s="123">
        <f>+'Income Statement'!AS$16/BC13</f>
        <v>0</v>
      </c>
      <c r="BD19" s="123">
        <f>+'Income Statement'!AT$16/BD13</f>
        <v>0</v>
      </c>
      <c r="BE19" s="123">
        <f>+'Income Statement'!AU$16/BE13</f>
        <v>0</v>
      </c>
      <c r="BF19" s="123">
        <f>+'Income Statement'!AV$16/BF13</f>
        <v>0</v>
      </c>
      <c r="BG19" s="123">
        <f>+'Income Statement'!AW$16/BG13</f>
        <v>0</v>
      </c>
      <c r="BH19" s="123">
        <f>+'Income Statement'!AX$16/BH13</f>
        <v>0</v>
      </c>
      <c r="BI19" s="123">
        <f>+'Income Statement'!AY$16/BI13</f>
        <v>0</v>
      </c>
      <c r="BJ19" s="123">
        <f>+'Income Statement'!AZ$16/BJ13</f>
        <v>0</v>
      </c>
      <c r="BK19" s="123">
        <f>+'Income Statement'!BA$16/BK13</f>
        <v>0</v>
      </c>
      <c r="BL19" s="123">
        <f>+'Income Statement'!BB$16/BL13</f>
        <v>0</v>
      </c>
      <c r="BM19" s="123">
        <f>+'Income Statement'!BC$16/BM13</f>
        <v>0</v>
      </c>
      <c r="BN19" s="123">
        <f>+'Income Statement'!BD$16/BN13</f>
        <v>0</v>
      </c>
      <c r="BO19" s="123">
        <f>+'Income Statement'!BE$16/BO13</f>
        <v>0</v>
      </c>
      <c r="BP19" s="123">
        <f>+'Income Statement'!BF$16/BP13</f>
        <v>0</v>
      </c>
      <c r="BQ19" s="123">
        <f>+'Income Statement'!BG$16/BQ13</f>
        <v>0</v>
      </c>
      <c r="BR19" s="123">
        <f>+'Income Statement'!BH$16/BR13</f>
        <v>0</v>
      </c>
      <c r="BS19" s="123">
        <f>+'Income Statement'!BI$16/BS13</f>
        <v>0</v>
      </c>
      <c r="BT19" s="123">
        <f>+'Income Statement'!BJ$16/BT13</f>
        <v>0</v>
      </c>
      <c r="BU19" s="123">
        <f>+'Income Statement'!BK$16/BU13</f>
        <v>0</v>
      </c>
      <c r="BV19" s="123">
        <f>+'Income Statement'!BL$16/BV13</f>
        <v>0</v>
      </c>
      <c r="BW19" s="123">
        <f>+'Income Statement'!BM$16/BW13</f>
        <v>0</v>
      </c>
      <c r="BX19" s="123">
        <f>+'Income Statement'!BN$16/BX13</f>
        <v>0</v>
      </c>
      <c r="BY19" s="123">
        <f>+'Income Statement'!BO$16/BY13</f>
        <v>0</v>
      </c>
      <c r="BZ19" s="123">
        <f>+'Income Statement'!BP$16/BZ13</f>
        <v>0</v>
      </c>
      <c r="CA19" s="123">
        <f>+'Income Statement'!BQ$16/CA13</f>
        <v>0</v>
      </c>
      <c r="CB19" s="123">
        <f>+'Income Statement'!BR$16/CB13</f>
        <v>0</v>
      </c>
      <c r="CC19" s="123">
        <f>+'Income Statement'!BS$16/CC13</f>
        <v>0</v>
      </c>
      <c r="CD19" s="123">
        <f>+'Income Statement'!BT$16/CD13</f>
        <v>0</v>
      </c>
      <c r="CE19" s="123">
        <f>+'Income Statement'!BU$16/CE13</f>
        <v>0</v>
      </c>
      <c r="CF19" s="123">
        <f>+'Income Statement'!BV$16/CF13</f>
        <v>0</v>
      </c>
      <c r="CG19" s="123">
        <f>+'Income Statement'!BW$16/CG13</f>
        <v>0</v>
      </c>
      <c r="CH19" s="123">
        <f>+'Income Statement'!BX$16/CH13</f>
        <v>0</v>
      </c>
      <c r="CI19" s="123">
        <f>+'Income Statement'!BY$16/CI13</f>
        <v>0</v>
      </c>
      <c r="CJ19" s="123">
        <f>+'Income Statement'!BZ$16/CJ13</f>
        <v>0</v>
      </c>
      <c r="CK19" s="123">
        <f>+'Income Statement'!CA$16/CK13</f>
        <v>0</v>
      </c>
      <c r="CL19" s="123">
        <f>+'Income Statement'!CB$16/CL13</f>
        <v>0</v>
      </c>
      <c r="CM19" s="123">
        <f>+'Income Statement'!CC$16/CM13</f>
        <v>0</v>
      </c>
      <c r="CN19" s="123">
        <f>+'Income Statement'!CD$16/CN13</f>
        <v>0</v>
      </c>
      <c r="CO19" s="123">
        <f>+'Income Statement'!CE$16/CO13</f>
        <v>0</v>
      </c>
      <c r="CP19" s="123">
        <f>+'Income Statement'!CF$16/CP13</f>
        <v>0</v>
      </c>
      <c r="CQ19" s="123">
        <f>+'Income Statement'!CG$16/CQ13</f>
        <v>0</v>
      </c>
      <c r="CR19" s="123">
        <f>+'Income Statement'!CH$16/CR13</f>
        <v>0</v>
      </c>
      <c r="CS19" s="123">
        <f>+'Income Statement'!CI$16/CS13</f>
        <v>0</v>
      </c>
      <c r="CT19" s="123">
        <f>+'Income Statement'!CJ$16/CT13</f>
        <v>0</v>
      </c>
      <c r="CU19" s="123">
        <f>+'Income Statement'!CK$16/CU13</f>
        <v>0</v>
      </c>
      <c r="CV19" s="123">
        <f>+'Income Statement'!CL$16/CV13</f>
        <v>0</v>
      </c>
      <c r="CW19" s="123">
        <f>+'Income Statement'!CM$16/CW13</f>
        <v>0</v>
      </c>
      <c r="CX19" s="123">
        <f>+'Income Statement'!CN$16/CX13</f>
        <v>0</v>
      </c>
      <c r="CY19" s="123">
        <f>+'Income Statement'!CO$16/CY13</f>
        <v>0</v>
      </c>
      <c r="CZ19" s="123">
        <f>+'Income Statement'!CP$16/CZ13</f>
        <v>0</v>
      </c>
      <c r="DA19" s="123">
        <f>+'Income Statement'!CQ$16/DA13</f>
        <v>0</v>
      </c>
      <c r="DB19" s="123">
        <f>+'Income Statement'!CR$16/DB13</f>
        <v>0</v>
      </c>
      <c r="DC19" s="123">
        <f>+'Income Statement'!CS$16/DC13</f>
        <v>0</v>
      </c>
      <c r="DD19" s="123">
        <f>+'Income Statement'!CT$16/DD13</f>
        <v>0</v>
      </c>
      <c r="DE19" s="123">
        <f>+'Income Statement'!CU$16/DE13</f>
        <v>0</v>
      </c>
      <c r="DF19" s="123">
        <f>+'Income Statement'!CV$16/DF13</f>
        <v>0</v>
      </c>
      <c r="DG19" s="123">
        <f>+'Income Statement'!CW$16/DG13</f>
        <v>0</v>
      </c>
      <c r="DH19" s="123">
        <f>+'Income Statement'!CX$16/DH13</f>
        <v>0</v>
      </c>
      <c r="DI19" s="123">
        <f>+'Income Statement'!CY$16/DI13</f>
        <v>0</v>
      </c>
      <c r="DJ19" s="123">
        <f>+'Income Statement'!CZ$16/DJ13</f>
        <v>0</v>
      </c>
      <c r="DK19" s="123">
        <f>+'Income Statement'!DA$16/DK13</f>
        <v>0</v>
      </c>
      <c r="DL19" s="123">
        <f>+'Income Statement'!DB$16/DL13</f>
        <v>0</v>
      </c>
      <c r="DM19" s="123">
        <f>+'Income Statement'!DC$16/DM13</f>
        <v>0</v>
      </c>
      <c r="DN19" s="123">
        <f>+'Income Statement'!DD$16/DN13</f>
        <v>0</v>
      </c>
      <c r="DO19" s="123">
        <f>+'Income Statement'!DE$16/DO13</f>
        <v>0</v>
      </c>
      <c r="DP19" s="123">
        <f>+'Income Statement'!DF$16/DP13</f>
        <v>0</v>
      </c>
      <c r="DQ19" s="123">
        <f>+'Income Statement'!DG$16/DQ13</f>
        <v>0</v>
      </c>
      <c r="DR19" s="123">
        <f>+'Income Statement'!DH$16/DR13</f>
        <v>0</v>
      </c>
    </row>
    <row r="20" ht="4.5" customHeight="1"/>
    <row r="21" ht="15.75" customHeight="1">
      <c r="B21" s="47" t="s">
        <v>161</v>
      </c>
    </row>
    <row r="22" ht="15.75" customHeight="1">
      <c r="B22" s="5" t="s">
        <v>155</v>
      </c>
      <c r="F22" s="50">
        <f t="shared" ref="F22:M22" si="11">+SUMIFS($AA22:$DR22,$AA$7:$DR$7,F$7)</f>
        <v>86.42686051</v>
      </c>
      <c r="G22" s="50">
        <f t="shared" si="11"/>
        <v>79.67034508</v>
      </c>
      <c r="H22" s="50">
        <f t="shared" si="11"/>
        <v>88.85918741</v>
      </c>
      <c r="I22" s="50">
        <f t="shared" si="11"/>
        <v>95.35681944</v>
      </c>
      <c r="J22" s="50">
        <f t="shared" si="11"/>
        <v>96.8542707</v>
      </c>
      <c r="K22" s="50">
        <f t="shared" si="11"/>
        <v>99.75989882</v>
      </c>
      <c r="L22" s="50">
        <f t="shared" si="11"/>
        <v>102.7526958</v>
      </c>
      <c r="M22" s="50">
        <f t="shared" si="11"/>
        <v>105.8352767</v>
      </c>
      <c r="AA22" s="50">
        <f t="shared" ref="AA22:CH22" si="12">+AA28/AA12</f>
        <v>7.000780173</v>
      </c>
      <c r="AB22" s="50">
        <f t="shared" si="12"/>
        <v>7.384780347</v>
      </c>
      <c r="AC22" s="50">
        <f t="shared" si="12"/>
        <v>6.840089889</v>
      </c>
      <c r="AD22" s="50">
        <f t="shared" si="12"/>
        <v>6.920957298</v>
      </c>
      <c r="AE22" s="50">
        <f t="shared" si="12"/>
        <v>7.226260515</v>
      </c>
      <c r="AF22" s="50">
        <f t="shared" si="12"/>
        <v>7.561701235</v>
      </c>
      <c r="AG22" s="50">
        <f t="shared" si="12"/>
        <v>7.559844101</v>
      </c>
      <c r="AH22" s="50">
        <f t="shared" si="12"/>
        <v>7.619593268</v>
      </c>
      <c r="AI22" s="50">
        <f t="shared" si="12"/>
        <v>7.023370018</v>
      </c>
      <c r="AJ22" s="50">
        <f t="shared" si="12"/>
        <v>7.074085404</v>
      </c>
      <c r="AK22" s="50">
        <f t="shared" si="12"/>
        <v>6.888259623</v>
      </c>
      <c r="AL22" s="50">
        <f t="shared" si="12"/>
        <v>7.32713864</v>
      </c>
      <c r="AM22" s="50">
        <f t="shared" si="12"/>
        <v>7.367760447</v>
      </c>
      <c r="AN22" s="50">
        <f t="shared" si="12"/>
        <v>7.11597663</v>
      </c>
      <c r="AO22" s="50">
        <f t="shared" si="12"/>
        <v>7.03668037</v>
      </c>
      <c r="AP22" s="50">
        <f t="shared" si="12"/>
        <v>6.398989114</v>
      </c>
      <c r="AQ22" s="50">
        <f t="shared" si="12"/>
        <v>6.339750053</v>
      </c>
      <c r="AR22" s="50">
        <f t="shared" si="12"/>
        <v>6.456623532</v>
      </c>
      <c r="AS22" s="50">
        <f t="shared" si="12"/>
        <v>6.585023719</v>
      </c>
      <c r="AT22" s="50">
        <f t="shared" si="12"/>
        <v>6.67507897</v>
      </c>
      <c r="AU22" s="50">
        <f t="shared" si="12"/>
        <v>6.562493176</v>
      </c>
      <c r="AV22" s="50">
        <f t="shared" si="12"/>
        <v>6.343639582</v>
      </c>
      <c r="AW22" s="50">
        <f t="shared" si="12"/>
        <v>5.868925956</v>
      </c>
      <c r="AX22" s="50">
        <f t="shared" si="12"/>
        <v>6.919403535</v>
      </c>
      <c r="AY22" s="50">
        <f t="shared" si="12"/>
        <v>6.878234533</v>
      </c>
      <c r="AZ22" s="50">
        <f t="shared" si="12"/>
        <v>6.734021349</v>
      </c>
      <c r="BA22" s="50">
        <f t="shared" si="12"/>
        <v>6.978783124</v>
      </c>
      <c r="BB22" s="50">
        <f t="shared" si="12"/>
        <v>7.366239088</v>
      </c>
      <c r="BC22" s="50">
        <f t="shared" si="12"/>
        <v>7.425123233</v>
      </c>
      <c r="BD22" s="50">
        <f t="shared" si="12"/>
        <v>7.54329827</v>
      </c>
      <c r="BE22" s="50">
        <f t="shared" si="12"/>
        <v>7.536381223</v>
      </c>
      <c r="BF22" s="50">
        <f t="shared" si="12"/>
        <v>7.448612446</v>
      </c>
      <c r="BG22" s="50">
        <f t="shared" si="12"/>
        <v>7.588393784</v>
      </c>
      <c r="BH22" s="50">
        <f t="shared" si="12"/>
        <v>8.029082625</v>
      </c>
      <c r="BI22" s="50">
        <f t="shared" si="12"/>
        <v>7.686885452</v>
      </c>
      <c r="BJ22" s="50">
        <f t="shared" si="12"/>
        <v>7.644132278</v>
      </c>
      <c r="BK22" s="50">
        <f t="shared" si="12"/>
        <v>8.028135254</v>
      </c>
      <c r="BL22" s="50">
        <f t="shared" si="12"/>
        <v>7.936453907</v>
      </c>
      <c r="BM22" s="50">
        <f t="shared" si="12"/>
        <v>7.978814842</v>
      </c>
      <c r="BN22" s="50">
        <f t="shared" si="12"/>
        <v>8.069186426</v>
      </c>
      <c r="BO22" s="50">
        <f t="shared" si="12"/>
        <v>8.180526632</v>
      </c>
      <c r="BP22" s="50">
        <f t="shared" si="12"/>
        <v>8.17255102</v>
      </c>
      <c r="BQ22" s="50">
        <f t="shared" si="12"/>
        <v>7.933438944</v>
      </c>
      <c r="BR22" s="50">
        <f t="shared" si="12"/>
        <v>7.811542484</v>
      </c>
      <c r="BS22" s="50">
        <f t="shared" si="12"/>
        <v>7.811542484</v>
      </c>
      <c r="BT22" s="50">
        <f t="shared" si="12"/>
        <v>7.811542484</v>
      </c>
      <c r="BU22" s="50">
        <f t="shared" si="12"/>
        <v>7.811542484</v>
      </c>
      <c r="BV22" s="50">
        <f t="shared" si="12"/>
        <v>7.811542484</v>
      </c>
      <c r="BW22" s="50">
        <f t="shared" si="12"/>
        <v>8.042323491</v>
      </c>
      <c r="BX22" s="50">
        <f t="shared" si="12"/>
        <v>8.03935785</v>
      </c>
      <c r="BY22" s="50">
        <f t="shared" si="12"/>
        <v>8.064224907</v>
      </c>
      <c r="BZ22" s="50">
        <f t="shared" si="12"/>
        <v>8.078254865</v>
      </c>
      <c r="CA22" s="50">
        <f t="shared" si="12"/>
        <v>8.075100804</v>
      </c>
      <c r="CB22" s="50">
        <f t="shared" si="12"/>
        <v>8.072002566</v>
      </c>
      <c r="CC22" s="50">
        <f t="shared" si="12"/>
        <v>8.068958684</v>
      </c>
      <c r="CD22" s="50">
        <f t="shared" si="12"/>
        <v>8.088926351</v>
      </c>
      <c r="CE22" s="50">
        <f t="shared" si="12"/>
        <v>8.085815869</v>
      </c>
      <c r="CF22" s="50">
        <f t="shared" si="12"/>
        <v>8.082758107</v>
      </c>
      <c r="CG22" s="50">
        <f t="shared" si="12"/>
        <v>8.079751737</v>
      </c>
      <c r="CH22" s="50">
        <f t="shared" si="12"/>
        <v>8.076795472</v>
      </c>
      <c r="CI22" s="52">
        <f>+SUMIFS(Opex_Assumptions!$F18:$M18,Opex_Assumptions!$F$7:$M$7,CI$7)/12</f>
        <v>8.313324902</v>
      </c>
      <c r="CJ22" s="52">
        <f>+SUMIFS(Opex_Assumptions!$F18:$M18,Opex_Assumptions!$F$7:$M$7,CJ$7)/12</f>
        <v>8.313324902</v>
      </c>
      <c r="CK22" s="52">
        <f>+SUMIFS(Opex_Assumptions!$F18:$M18,Opex_Assumptions!$F$7:$M$7,CK$7)/12</f>
        <v>8.313324902</v>
      </c>
      <c r="CL22" s="52">
        <f>+SUMIFS(Opex_Assumptions!$F18:$M18,Opex_Assumptions!$F$7:$M$7,CL$7)/12</f>
        <v>8.313324902</v>
      </c>
      <c r="CM22" s="52">
        <f>+SUMIFS(Opex_Assumptions!$F18:$M18,Opex_Assumptions!$F$7:$M$7,CM$7)/12</f>
        <v>8.313324902</v>
      </c>
      <c r="CN22" s="52">
        <f>+SUMIFS(Opex_Assumptions!$F18:$M18,Opex_Assumptions!$F$7:$M$7,CN$7)/12</f>
        <v>8.313324902</v>
      </c>
      <c r="CO22" s="52">
        <f>+SUMIFS(Opex_Assumptions!$F18:$M18,Opex_Assumptions!$F$7:$M$7,CO$7)/12</f>
        <v>8.313324902</v>
      </c>
      <c r="CP22" s="52">
        <f>+SUMIFS(Opex_Assumptions!$F18:$M18,Opex_Assumptions!$F$7:$M$7,CP$7)/12</f>
        <v>8.313324902</v>
      </c>
      <c r="CQ22" s="52">
        <f>+SUMIFS(Opex_Assumptions!$F18:$M18,Opex_Assumptions!$F$7:$M$7,CQ$7)/12</f>
        <v>8.313324902</v>
      </c>
      <c r="CR22" s="52">
        <f>+SUMIFS(Opex_Assumptions!$F18:$M18,Opex_Assumptions!$F$7:$M$7,CR$7)/12</f>
        <v>8.313324902</v>
      </c>
      <c r="CS22" s="52">
        <f>+SUMIFS(Opex_Assumptions!$F18:$M18,Opex_Assumptions!$F$7:$M$7,CS$7)/12</f>
        <v>8.313324902</v>
      </c>
      <c r="CT22" s="52">
        <f>+SUMIFS(Opex_Assumptions!$F18:$M18,Opex_Assumptions!$F$7:$M$7,CT$7)/12</f>
        <v>8.313324902</v>
      </c>
      <c r="CU22" s="52">
        <f>+SUMIFS(Opex_Assumptions!$F18:$M18,Opex_Assumptions!$F$7:$M$7,CU$7)/12</f>
        <v>8.562724649</v>
      </c>
      <c r="CV22" s="52">
        <f>+SUMIFS(Opex_Assumptions!$F18:$M18,Opex_Assumptions!$F$7:$M$7,CV$7)/12</f>
        <v>8.562724649</v>
      </c>
      <c r="CW22" s="52">
        <f>+SUMIFS(Opex_Assumptions!$F18:$M18,Opex_Assumptions!$F$7:$M$7,CW$7)/12</f>
        <v>8.562724649</v>
      </c>
      <c r="CX22" s="52">
        <f>+SUMIFS(Opex_Assumptions!$F18:$M18,Opex_Assumptions!$F$7:$M$7,CX$7)/12</f>
        <v>8.562724649</v>
      </c>
      <c r="CY22" s="52">
        <f>+SUMIFS(Opex_Assumptions!$F18:$M18,Opex_Assumptions!$F$7:$M$7,CY$7)/12</f>
        <v>8.562724649</v>
      </c>
      <c r="CZ22" s="52">
        <f>+SUMIFS(Opex_Assumptions!$F18:$M18,Opex_Assumptions!$F$7:$M$7,CZ$7)/12</f>
        <v>8.562724649</v>
      </c>
      <c r="DA22" s="52">
        <f>+SUMIFS(Opex_Assumptions!$F18:$M18,Opex_Assumptions!$F$7:$M$7,DA$7)/12</f>
        <v>8.562724649</v>
      </c>
      <c r="DB22" s="52">
        <f>+SUMIFS(Opex_Assumptions!$F18:$M18,Opex_Assumptions!$F$7:$M$7,DB$7)/12</f>
        <v>8.562724649</v>
      </c>
      <c r="DC22" s="52">
        <f>+SUMIFS(Opex_Assumptions!$F18:$M18,Opex_Assumptions!$F$7:$M$7,DC$7)/12</f>
        <v>8.562724649</v>
      </c>
      <c r="DD22" s="52">
        <f>+SUMIFS(Opex_Assumptions!$F18:$M18,Opex_Assumptions!$F$7:$M$7,DD$7)/12</f>
        <v>8.562724649</v>
      </c>
      <c r="DE22" s="52">
        <f>+SUMIFS(Opex_Assumptions!$F18:$M18,Opex_Assumptions!$F$7:$M$7,DE$7)/12</f>
        <v>8.562724649</v>
      </c>
      <c r="DF22" s="52">
        <f>+SUMIFS(Opex_Assumptions!$F18:$M18,Opex_Assumptions!$F$7:$M$7,DF$7)/12</f>
        <v>8.562724649</v>
      </c>
      <c r="DG22" s="52">
        <f>+SUMIFS(Opex_Assumptions!$F18:$M18,Opex_Assumptions!$F$7:$M$7,DG$7)/12</f>
        <v>8.819606389</v>
      </c>
      <c r="DH22" s="52">
        <f>+SUMIFS(Opex_Assumptions!$F18:$M18,Opex_Assumptions!$F$7:$M$7,DH$7)/12</f>
        <v>8.819606389</v>
      </c>
      <c r="DI22" s="52">
        <f>+SUMIFS(Opex_Assumptions!$F18:$M18,Opex_Assumptions!$F$7:$M$7,DI$7)/12</f>
        <v>8.819606389</v>
      </c>
      <c r="DJ22" s="52">
        <f>+SUMIFS(Opex_Assumptions!$F18:$M18,Opex_Assumptions!$F$7:$M$7,DJ$7)/12</f>
        <v>8.819606389</v>
      </c>
      <c r="DK22" s="52">
        <f>+SUMIFS(Opex_Assumptions!$F18:$M18,Opex_Assumptions!$F$7:$M$7,DK$7)/12</f>
        <v>8.819606389</v>
      </c>
      <c r="DL22" s="52">
        <f>+SUMIFS(Opex_Assumptions!$F18:$M18,Opex_Assumptions!$F$7:$M$7,DL$7)/12</f>
        <v>8.819606389</v>
      </c>
      <c r="DM22" s="52">
        <f>+SUMIFS(Opex_Assumptions!$F18:$M18,Opex_Assumptions!$F$7:$M$7,DM$7)/12</f>
        <v>8.819606389</v>
      </c>
      <c r="DN22" s="52">
        <f>+SUMIFS(Opex_Assumptions!$F18:$M18,Opex_Assumptions!$F$7:$M$7,DN$7)/12</f>
        <v>8.819606389</v>
      </c>
      <c r="DO22" s="52">
        <f>+SUMIFS(Opex_Assumptions!$F18:$M18,Opex_Assumptions!$F$7:$M$7,DO$7)/12</f>
        <v>8.819606389</v>
      </c>
      <c r="DP22" s="52">
        <f>+SUMIFS(Opex_Assumptions!$F18:$M18,Opex_Assumptions!$F$7:$M$7,DP$7)/12</f>
        <v>8.819606389</v>
      </c>
      <c r="DQ22" s="52">
        <f>+SUMIFS(Opex_Assumptions!$F18:$M18,Opex_Assumptions!$F$7:$M$7,DQ$7)/12</f>
        <v>8.819606389</v>
      </c>
      <c r="DR22" s="52">
        <f>+SUMIFS(Opex_Assumptions!$F18:$M18,Opex_Assumptions!$F$7:$M$7,DR$7)/12</f>
        <v>8.819606389</v>
      </c>
    </row>
    <row r="23" ht="15.75" customHeight="1">
      <c r="B23" s="5" t="s">
        <v>156</v>
      </c>
      <c r="F23" s="50">
        <f t="shared" ref="F23:M23" si="13">+SUMIFS($AA23:$DR23,$AA$7:$DR$7,F$7)</f>
        <v>81.77031406</v>
      </c>
      <c r="G23" s="50">
        <f t="shared" si="13"/>
        <v>77.52421253</v>
      </c>
      <c r="H23" s="50">
        <f t="shared" si="13"/>
        <v>70.58174882</v>
      </c>
      <c r="I23" s="50">
        <f t="shared" si="13"/>
        <v>59.74150575</v>
      </c>
      <c r="J23" s="50">
        <f t="shared" si="13"/>
        <v>58.1427275</v>
      </c>
      <c r="K23" s="50">
        <f t="shared" si="13"/>
        <v>59.88700933</v>
      </c>
      <c r="L23" s="50">
        <f t="shared" si="13"/>
        <v>61.6836196</v>
      </c>
      <c r="M23" s="50">
        <f t="shared" si="13"/>
        <v>63.53412819</v>
      </c>
      <c r="AA23" s="50">
        <f t="shared" ref="AA23:CH23" si="14">+AA29/AA13</f>
        <v>7.205918261</v>
      </c>
      <c r="AB23" s="50">
        <f t="shared" si="14"/>
        <v>6.885678896</v>
      </c>
      <c r="AC23" s="50">
        <f t="shared" si="14"/>
        <v>7.058073586</v>
      </c>
      <c r="AD23" s="50">
        <f t="shared" si="14"/>
        <v>6.488759172</v>
      </c>
      <c r="AE23" s="50">
        <f t="shared" si="14"/>
        <v>7.175286924</v>
      </c>
      <c r="AF23" s="50">
        <f t="shared" si="14"/>
        <v>7.677942145</v>
      </c>
      <c r="AG23" s="50">
        <f t="shared" si="14"/>
        <v>6.800867357</v>
      </c>
      <c r="AH23" s="50">
        <f t="shared" si="14"/>
        <v>6.800867357</v>
      </c>
      <c r="AI23" s="50">
        <f t="shared" si="14"/>
        <v>6.800867357</v>
      </c>
      <c r="AJ23" s="50">
        <f t="shared" si="14"/>
        <v>6.79754383</v>
      </c>
      <c r="AK23" s="50">
        <f t="shared" si="14"/>
        <v>6.005878645</v>
      </c>
      <c r="AL23" s="50">
        <f t="shared" si="14"/>
        <v>6.072630527</v>
      </c>
      <c r="AM23" s="50">
        <f t="shared" si="14"/>
        <v>6.220711822</v>
      </c>
      <c r="AN23" s="50">
        <f t="shared" si="14"/>
        <v>6.63720184</v>
      </c>
      <c r="AO23" s="50">
        <f t="shared" si="14"/>
        <v>6.576009198</v>
      </c>
      <c r="AP23" s="50">
        <f t="shared" si="14"/>
        <v>6.576009198</v>
      </c>
      <c r="AQ23" s="50">
        <f t="shared" si="14"/>
        <v>6.576009198</v>
      </c>
      <c r="AR23" s="50">
        <f t="shared" si="14"/>
        <v>6.576009198</v>
      </c>
      <c r="AS23" s="50">
        <f t="shared" si="14"/>
        <v>6.576009198</v>
      </c>
      <c r="AT23" s="50">
        <f t="shared" si="14"/>
        <v>6.576009198</v>
      </c>
      <c r="AU23" s="50">
        <f t="shared" si="14"/>
        <v>6.121252221</v>
      </c>
      <c r="AV23" s="50">
        <f t="shared" si="14"/>
        <v>6.345182267</v>
      </c>
      <c r="AW23" s="50">
        <f t="shared" si="14"/>
        <v>6.019893384</v>
      </c>
      <c r="AX23" s="50">
        <f t="shared" si="14"/>
        <v>6.723915804</v>
      </c>
      <c r="AY23" s="50">
        <f t="shared" si="14"/>
        <v>6.322577611</v>
      </c>
      <c r="AZ23" s="50">
        <f t="shared" si="14"/>
        <v>6.065462975</v>
      </c>
      <c r="BA23" s="50">
        <f t="shared" si="14"/>
        <v>6.02514447</v>
      </c>
      <c r="BB23" s="50">
        <f t="shared" si="14"/>
        <v>6.02514447</v>
      </c>
      <c r="BC23" s="50">
        <f t="shared" si="14"/>
        <v>6.02514447</v>
      </c>
      <c r="BD23" s="50">
        <f t="shared" si="14"/>
        <v>6.02514447</v>
      </c>
      <c r="BE23" s="50">
        <f t="shared" si="14"/>
        <v>6.02514447</v>
      </c>
      <c r="BF23" s="50">
        <f t="shared" si="14"/>
        <v>6.147099852</v>
      </c>
      <c r="BG23" s="50">
        <f t="shared" si="14"/>
        <v>5.021733638</v>
      </c>
      <c r="BH23" s="50">
        <f t="shared" si="14"/>
        <v>5.594120414</v>
      </c>
      <c r="BI23" s="50">
        <f t="shared" si="14"/>
        <v>5.552740357</v>
      </c>
      <c r="BJ23" s="50">
        <f t="shared" si="14"/>
        <v>5.752291627</v>
      </c>
      <c r="BK23" s="50">
        <f t="shared" si="14"/>
        <v>4.889866</v>
      </c>
      <c r="BL23" s="50">
        <f t="shared" si="14"/>
        <v>4.889866</v>
      </c>
      <c r="BM23" s="50">
        <f t="shared" si="14"/>
        <v>5.034055</v>
      </c>
      <c r="BN23" s="50">
        <f t="shared" si="14"/>
        <v>4.99196875</v>
      </c>
      <c r="BO23" s="50">
        <f t="shared" si="14"/>
        <v>4.99196875</v>
      </c>
      <c r="BP23" s="50">
        <f t="shared" si="14"/>
        <v>4.99196875</v>
      </c>
      <c r="BQ23" s="50">
        <f t="shared" si="14"/>
        <v>4.99196875</v>
      </c>
      <c r="BR23" s="50">
        <f t="shared" si="14"/>
        <v>4.99196875</v>
      </c>
      <c r="BS23" s="50">
        <f t="shared" si="14"/>
        <v>4.99196875</v>
      </c>
      <c r="BT23" s="50">
        <f t="shared" si="14"/>
        <v>4.99196875</v>
      </c>
      <c r="BU23" s="50">
        <f t="shared" si="14"/>
        <v>4.99196875</v>
      </c>
      <c r="BV23" s="50">
        <f t="shared" si="14"/>
        <v>4.99196875</v>
      </c>
      <c r="BW23" s="50">
        <f t="shared" si="14"/>
        <v>5.2857025</v>
      </c>
      <c r="BX23" s="50">
        <f t="shared" si="14"/>
        <v>5.2857025</v>
      </c>
      <c r="BY23" s="50">
        <f t="shared" si="14"/>
        <v>4.75713225</v>
      </c>
      <c r="BZ23" s="50">
        <f t="shared" si="14"/>
        <v>4.75713225</v>
      </c>
      <c r="CA23" s="50">
        <f t="shared" si="14"/>
        <v>4.75713225</v>
      </c>
      <c r="CB23" s="50">
        <f t="shared" si="14"/>
        <v>4.75713225</v>
      </c>
      <c r="CC23" s="50">
        <f t="shared" si="14"/>
        <v>4.75713225</v>
      </c>
      <c r="CD23" s="50">
        <f t="shared" si="14"/>
        <v>4.75713225</v>
      </c>
      <c r="CE23" s="50">
        <f t="shared" si="14"/>
        <v>4.75713225</v>
      </c>
      <c r="CF23" s="50">
        <f t="shared" si="14"/>
        <v>4.75713225</v>
      </c>
      <c r="CG23" s="50">
        <f t="shared" si="14"/>
        <v>4.75713225</v>
      </c>
      <c r="CH23" s="50">
        <f t="shared" si="14"/>
        <v>4.75713225</v>
      </c>
      <c r="CI23" s="52">
        <f>+SUMIFS(Opex_Assumptions!$F19:$M19,Opex_Assumptions!$F$7:$M$7,CI$7)/12</f>
        <v>4.99058411</v>
      </c>
      <c r="CJ23" s="52">
        <f>+SUMIFS(Opex_Assumptions!$F19:$M19,Opex_Assumptions!$F$7:$M$7,CJ$7)/12</f>
        <v>4.99058411</v>
      </c>
      <c r="CK23" s="52">
        <f>+SUMIFS(Opex_Assumptions!$F19:$M19,Opex_Assumptions!$F$7:$M$7,CK$7)/12</f>
        <v>4.99058411</v>
      </c>
      <c r="CL23" s="52">
        <f>+SUMIFS(Opex_Assumptions!$F19:$M19,Opex_Assumptions!$F$7:$M$7,CL$7)/12</f>
        <v>4.99058411</v>
      </c>
      <c r="CM23" s="52">
        <f>+SUMIFS(Opex_Assumptions!$F19:$M19,Opex_Assumptions!$F$7:$M$7,CM$7)/12</f>
        <v>4.99058411</v>
      </c>
      <c r="CN23" s="52">
        <f>+SUMIFS(Opex_Assumptions!$F19:$M19,Opex_Assumptions!$F$7:$M$7,CN$7)/12</f>
        <v>4.99058411</v>
      </c>
      <c r="CO23" s="52">
        <f>+SUMIFS(Opex_Assumptions!$F19:$M19,Opex_Assumptions!$F$7:$M$7,CO$7)/12</f>
        <v>4.99058411</v>
      </c>
      <c r="CP23" s="52">
        <f>+SUMIFS(Opex_Assumptions!$F19:$M19,Opex_Assumptions!$F$7:$M$7,CP$7)/12</f>
        <v>4.99058411</v>
      </c>
      <c r="CQ23" s="52">
        <f>+SUMIFS(Opex_Assumptions!$F19:$M19,Opex_Assumptions!$F$7:$M$7,CQ$7)/12</f>
        <v>4.99058411</v>
      </c>
      <c r="CR23" s="52">
        <f>+SUMIFS(Opex_Assumptions!$F19:$M19,Opex_Assumptions!$F$7:$M$7,CR$7)/12</f>
        <v>4.99058411</v>
      </c>
      <c r="CS23" s="52">
        <f>+SUMIFS(Opex_Assumptions!$F19:$M19,Opex_Assumptions!$F$7:$M$7,CS$7)/12</f>
        <v>4.99058411</v>
      </c>
      <c r="CT23" s="52">
        <f>+SUMIFS(Opex_Assumptions!$F19:$M19,Opex_Assumptions!$F$7:$M$7,CT$7)/12</f>
        <v>4.99058411</v>
      </c>
      <c r="CU23" s="52">
        <f>+SUMIFS(Opex_Assumptions!$F19:$M19,Opex_Assumptions!$F$7:$M$7,CU$7)/12</f>
        <v>5.140301634</v>
      </c>
      <c r="CV23" s="52">
        <f>+SUMIFS(Opex_Assumptions!$F19:$M19,Opex_Assumptions!$F$7:$M$7,CV$7)/12</f>
        <v>5.140301634</v>
      </c>
      <c r="CW23" s="52">
        <f>+SUMIFS(Opex_Assumptions!$F19:$M19,Opex_Assumptions!$F$7:$M$7,CW$7)/12</f>
        <v>5.140301634</v>
      </c>
      <c r="CX23" s="52">
        <f>+SUMIFS(Opex_Assumptions!$F19:$M19,Opex_Assumptions!$F$7:$M$7,CX$7)/12</f>
        <v>5.140301634</v>
      </c>
      <c r="CY23" s="52">
        <f>+SUMIFS(Opex_Assumptions!$F19:$M19,Opex_Assumptions!$F$7:$M$7,CY$7)/12</f>
        <v>5.140301634</v>
      </c>
      <c r="CZ23" s="52">
        <f>+SUMIFS(Opex_Assumptions!$F19:$M19,Opex_Assumptions!$F$7:$M$7,CZ$7)/12</f>
        <v>5.140301634</v>
      </c>
      <c r="DA23" s="52">
        <f>+SUMIFS(Opex_Assumptions!$F19:$M19,Opex_Assumptions!$F$7:$M$7,DA$7)/12</f>
        <v>5.140301634</v>
      </c>
      <c r="DB23" s="52">
        <f>+SUMIFS(Opex_Assumptions!$F19:$M19,Opex_Assumptions!$F$7:$M$7,DB$7)/12</f>
        <v>5.140301634</v>
      </c>
      <c r="DC23" s="52">
        <f>+SUMIFS(Opex_Assumptions!$F19:$M19,Opex_Assumptions!$F$7:$M$7,DC$7)/12</f>
        <v>5.140301634</v>
      </c>
      <c r="DD23" s="52">
        <f>+SUMIFS(Opex_Assumptions!$F19:$M19,Opex_Assumptions!$F$7:$M$7,DD$7)/12</f>
        <v>5.140301634</v>
      </c>
      <c r="DE23" s="52">
        <f>+SUMIFS(Opex_Assumptions!$F19:$M19,Opex_Assumptions!$F$7:$M$7,DE$7)/12</f>
        <v>5.140301634</v>
      </c>
      <c r="DF23" s="52">
        <f>+SUMIFS(Opex_Assumptions!$F19:$M19,Opex_Assumptions!$F$7:$M$7,DF$7)/12</f>
        <v>5.140301634</v>
      </c>
      <c r="DG23" s="52">
        <f>+SUMIFS(Opex_Assumptions!$F19:$M19,Opex_Assumptions!$F$7:$M$7,DG$7)/12</f>
        <v>5.294510683</v>
      </c>
      <c r="DH23" s="52">
        <f>+SUMIFS(Opex_Assumptions!$F19:$M19,Opex_Assumptions!$F$7:$M$7,DH$7)/12</f>
        <v>5.294510683</v>
      </c>
      <c r="DI23" s="52">
        <f>+SUMIFS(Opex_Assumptions!$F19:$M19,Opex_Assumptions!$F$7:$M$7,DI$7)/12</f>
        <v>5.294510683</v>
      </c>
      <c r="DJ23" s="52">
        <f>+SUMIFS(Opex_Assumptions!$F19:$M19,Opex_Assumptions!$F$7:$M$7,DJ$7)/12</f>
        <v>5.294510683</v>
      </c>
      <c r="DK23" s="52">
        <f>+SUMIFS(Opex_Assumptions!$F19:$M19,Opex_Assumptions!$F$7:$M$7,DK$7)/12</f>
        <v>5.294510683</v>
      </c>
      <c r="DL23" s="52">
        <f>+SUMIFS(Opex_Assumptions!$F19:$M19,Opex_Assumptions!$F$7:$M$7,DL$7)/12</f>
        <v>5.294510683</v>
      </c>
      <c r="DM23" s="52">
        <f>+SUMIFS(Opex_Assumptions!$F19:$M19,Opex_Assumptions!$F$7:$M$7,DM$7)/12</f>
        <v>5.294510683</v>
      </c>
      <c r="DN23" s="52">
        <f>+SUMIFS(Opex_Assumptions!$F19:$M19,Opex_Assumptions!$F$7:$M$7,DN$7)/12</f>
        <v>5.294510683</v>
      </c>
      <c r="DO23" s="52">
        <f>+SUMIFS(Opex_Assumptions!$F19:$M19,Opex_Assumptions!$F$7:$M$7,DO$7)/12</f>
        <v>5.294510683</v>
      </c>
      <c r="DP23" s="52">
        <f>+SUMIFS(Opex_Assumptions!$F19:$M19,Opex_Assumptions!$F$7:$M$7,DP$7)/12</f>
        <v>5.294510683</v>
      </c>
      <c r="DQ23" s="52">
        <f>+SUMIFS(Opex_Assumptions!$F19:$M19,Opex_Assumptions!$F$7:$M$7,DQ$7)/12</f>
        <v>5.294510683</v>
      </c>
      <c r="DR23" s="52">
        <f>+SUMIFS(Opex_Assumptions!$F19:$M19,Opex_Assumptions!$F$7:$M$7,DR$7)/12</f>
        <v>5.294510683</v>
      </c>
    </row>
    <row r="24" ht="15.75" customHeight="1">
      <c r="B24" s="5" t="s">
        <v>157</v>
      </c>
      <c r="F24" s="50">
        <f t="shared" ref="F24:M24" si="15">+SUMIFS($AA24:$DR24,$AA$7:$DR$7,F$7)</f>
        <v>198.6877455</v>
      </c>
      <c r="G24" s="50">
        <f t="shared" si="15"/>
        <v>214.1838452</v>
      </c>
      <c r="H24" s="50">
        <f t="shared" si="15"/>
        <v>232.8431704</v>
      </c>
      <c r="I24" s="50">
        <f t="shared" si="15"/>
        <v>262.0174504</v>
      </c>
      <c r="J24" s="50">
        <f t="shared" si="15"/>
        <v>268.2222514</v>
      </c>
      <c r="K24" s="50">
        <f t="shared" si="15"/>
        <v>276.268919</v>
      </c>
      <c r="L24" s="50">
        <f t="shared" si="15"/>
        <v>284.5569866</v>
      </c>
      <c r="M24" s="50">
        <f t="shared" si="15"/>
        <v>293.0936962</v>
      </c>
      <c r="AA24" s="50">
        <f t="shared" ref="AA24:CH24" si="16">+AA30/AA14</f>
        <v>17.39138288</v>
      </c>
      <c r="AB24" s="50">
        <f t="shared" si="16"/>
        <v>15.20480192</v>
      </c>
      <c r="AC24" s="50">
        <f t="shared" si="16"/>
        <v>15.24828577</v>
      </c>
      <c r="AD24" s="50">
        <f t="shared" si="16"/>
        <v>16.75801505</v>
      </c>
      <c r="AE24" s="50">
        <f t="shared" si="16"/>
        <v>16.75801505</v>
      </c>
      <c r="AF24" s="50">
        <f t="shared" si="16"/>
        <v>16.75801505</v>
      </c>
      <c r="AG24" s="50">
        <f t="shared" si="16"/>
        <v>16.75801505</v>
      </c>
      <c r="AH24" s="50">
        <f t="shared" si="16"/>
        <v>16.75801505</v>
      </c>
      <c r="AI24" s="50">
        <f t="shared" si="16"/>
        <v>16.75801505</v>
      </c>
      <c r="AJ24" s="50">
        <f t="shared" si="16"/>
        <v>16.75801505</v>
      </c>
      <c r="AK24" s="50">
        <f t="shared" si="16"/>
        <v>16.77915452</v>
      </c>
      <c r="AL24" s="50">
        <f t="shared" si="16"/>
        <v>16.75801505</v>
      </c>
      <c r="AM24" s="50">
        <f t="shared" si="16"/>
        <v>17.75577846</v>
      </c>
      <c r="AN24" s="50">
        <f t="shared" si="16"/>
        <v>17.75577846</v>
      </c>
      <c r="AO24" s="50">
        <f t="shared" si="16"/>
        <v>17.75577846</v>
      </c>
      <c r="AP24" s="50">
        <f t="shared" si="16"/>
        <v>17.75577846</v>
      </c>
      <c r="AQ24" s="50">
        <f t="shared" si="16"/>
        <v>17.75577846</v>
      </c>
      <c r="AR24" s="50">
        <f t="shared" si="16"/>
        <v>17.75577846</v>
      </c>
      <c r="AS24" s="50">
        <f t="shared" si="16"/>
        <v>17.9515969</v>
      </c>
      <c r="AT24" s="50">
        <f t="shared" si="16"/>
        <v>17.93951552</v>
      </c>
      <c r="AU24" s="50">
        <f t="shared" si="16"/>
        <v>17.93951552</v>
      </c>
      <c r="AV24" s="50">
        <f t="shared" si="16"/>
        <v>17.93951552</v>
      </c>
      <c r="AW24" s="50">
        <f t="shared" si="16"/>
        <v>17.93951552</v>
      </c>
      <c r="AX24" s="50">
        <f t="shared" si="16"/>
        <v>17.93951552</v>
      </c>
      <c r="AY24" s="50">
        <f t="shared" si="16"/>
        <v>17.37884055</v>
      </c>
      <c r="AZ24" s="50">
        <f t="shared" si="16"/>
        <v>17.78723542</v>
      </c>
      <c r="BA24" s="50">
        <f t="shared" si="16"/>
        <v>19.61396855</v>
      </c>
      <c r="BB24" s="50">
        <f t="shared" si="16"/>
        <v>19.61396855</v>
      </c>
      <c r="BC24" s="50">
        <f t="shared" si="16"/>
        <v>19.80614971</v>
      </c>
      <c r="BD24" s="50">
        <f t="shared" si="16"/>
        <v>19.80614971</v>
      </c>
      <c r="BE24" s="50">
        <f t="shared" si="16"/>
        <v>19.80614971</v>
      </c>
      <c r="BF24" s="50">
        <f t="shared" si="16"/>
        <v>19.80614971</v>
      </c>
      <c r="BG24" s="50">
        <f t="shared" si="16"/>
        <v>19.80614165</v>
      </c>
      <c r="BH24" s="50">
        <f t="shared" si="16"/>
        <v>19.80613896</v>
      </c>
      <c r="BI24" s="50">
        <f t="shared" si="16"/>
        <v>19.80613896</v>
      </c>
      <c r="BJ24" s="50">
        <f t="shared" si="16"/>
        <v>19.80613896</v>
      </c>
      <c r="BK24" s="50">
        <f t="shared" si="16"/>
        <v>21.83478857</v>
      </c>
      <c r="BL24" s="50">
        <f t="shared" si="16"/>
        <v>21.83479143</v>
      </c>
      <c r="BM24" s="50">
        <f t="shared" si="16"/>
        <v>21.83479143</v>
      </c>
      <c r="BN24" s="50">
        <f t="shared" si="16"/>
        <v>21.83478655</v>
      </c>
      <c r="BO24" s="50">
        <f t="shared" si="16"/>
        <v>21.83478655</v>
      </c>
      <c r="BP24" s="50">
        <f t="shared" si="16"/>
        <v>21.83478655</v>
      </c>
      <c r="BQ24" s="50">
        <f t="shared" si="16"/>
        <v>21.83478655</v>
      </c>
      <c r="BR24" s="50">
        <f t="shared" si="16"/>
        <v>21.83478655</v>
      </c>
      <c r="BS24" s="50">
        <f t="shared" si="16"/>
        <v>21.83478655</v>
      </c>
      <c r="BT24" s="50">
        <f t="shared" si="16"/>
        <v>21.83478655</v>
      </c>
      <c r="BU24" s="50">
        <f t="shared" si="16"/>
        <v>21.83478655</v>
      </c>
      <c r="BV24" s="50">
        <f t="shared" si="16"/>
        <v>21.83478655</v>
      </c>
      <c r="BW24" s="50">
        <f t="shared" si="16"/>
        <v>22.35185429</v>
      </c>
      <c r="BX24" s="50">
        <f t="shared" si="16"/>
        <v>22.35185429</v>
      </c>
      <c r="BY24" s="50">
        <f t="shared" si="16"/>
        <v>22.35185429</v>
      </c>
      <c r="BZ24" s="50">
        <f t="shared" si="16"/>
        <v>22.35185429</v>
      </c>
      <c r="CA24" s="50">
        <f t="shared" si="16"/>
        <v>22.35185429</v>
      </c>
      <c r="CB24" s="50">
        <f t="shared" si="16"/>
        <v>22.35185429</v>
      </c>
      <c r="CC24" s="50">
        <f t="shared" si="16"/>
        <v>22.35185429</v>
      </c>
      <c r="CD24" s="50">
        <f t="shared" si="16"/>
        <v>22.35185429</v>
      </c>
      <c r="CE24" s="50">
        <f t="shared" si="16"/>
        <v>22.35185429</v>
      </c>
      <c r="CF24" s="50">
        <f t="shared" si="16"/>
        <v>22.35185429</v>
      </c>
      <c r="CG24" s="50">
        <f t="shared" si="16"/>
        <v>22.35185429</v>
      </c>
      <c r="CH24" s="50">
        <f t="shared" si="16"/>
        <v>22.35185429</v>
      </c>
      <c r="CI24" s="52">
        <f>+SUMIFS(Opex_Assumptions!$F20:$M20,Opex_Assumptions!$F$7:$M$7,CI$7)/12</f>
        <v>23.02240992</v>
      </c>
      <c r="CJ24" s="52">
        <f>+SUMIFS(Opex_Assumptions!$F20:$M20,Opex_Assumptions!$F$7:$M$7,CJ$7)/12</f>
        <v>23.02240992</v>
      </c>
      <c r="CK24" s="52">
        <f>+SUMIFS(Opex_Assumptions!$F20:$M20,Opex_Assumptions!$F$7:$M$7,CK$7)/12</f>
        <v>23.02240992</v>
      </c>
      <c r="CL24" s="52">
        <f>+SUMIFS(Opex_Assumptions!$F20:$M20,Opex_Assumptions!$F$7:$M$7,CL$7)/12</f>
        <v>23.02240992</v>
      </c>
      <c r="CM24" s="52">
        <f>+SUMIFS(Opex_Assumptions!$F20:$M20,Opex_Assumptions!$F$7:$M$7,CM$7)/12</f>
        <v>23.02240992</v>
      </c>
      <c r="CN24" s="52">
        <f>+SUMIFS(Opex_Assumptions!$F20:$M20,Opex_Assumptions!$F$7:$M$7,CN$7)/12</f>
        <v>23.02240992</v>
      </c>
      <c r="CO24" s="52">
        <f>+SUMIFS(Opex_Assumptions!$F20:$M20,Opex_Assumptions!$F$7:$M$7,CO$7)/12</f>
        <v>23.02240992</v>
      </c>
      <c r="CP24" s="52">
        <f>+SUMIFS(Opex_Assumptions!$F20:$M20,Opex_Assumptions!$F$7:$M$7,CP$7)/12</f>
        <v>23.02240992</v>
      </c>
      <c r="CQ24" s="52">
        <f>+SUMIFS(Opex_Assumptions!$F20:$M20,Opex_Assumptions!$F$7:$M$7,CQ$7)/12</f>
        <v>23.02240992</v>
      </c>
      <c r="CR24" s="52">
        <f>+SUMIFS(Opex_Assumptions!$F20:$M20,Opex_Assumptions!$F$7:$M$7,CR$7)/12</f>
        <v>23.02240992</v>
      </c>
      <c r="CS24" s="52">
        <f>+SUMIFS(Opex_Assumptions!$F20:$M20,Opex_Assumptions!$F$7:$M$7,CS$7)/12</f>
        <v>23.02240992</v>
      </c>
      <c r="CT24" s="52">
        <f>+SUMIFS(Opex_Assumptions!$F20:$M20,Opex_Assumptions!$F$7:$M$7,CT$7)/12</f>
        <v>23.02240992</v>
      </c>
      <c r="CU24" s="52">
        <f>+SUMIFS(Opex_Assumptions!$F20:$M20,Opex_Assumptions!$F$7:$M$7,CU$7)/12</f>
        <v>23.71308221</v>
      </c>
      <c r="CV24" s="52">
        <f>+SUMIFS(Opex_Assumptions!$F20:$M20,Opex_Assumptions!$F$7:$M$7,CV$7)/12</f>
        <v>23.71308221</v>
      </c>
      <c r="CW24" s="52">
        <f>+SUMIFS(Opex_Assumptions!$F20:$M20,Opex_Assumptions!$F$7:$M$7,CW$7)/12</f>
        <v>23.71308221</v>
      </c>
      <c r="CX24" s="52">
        <f>+SUMIFS(Opex_Assumptions!$F20:$M20,Opex_Assumptions!$F$7:$M$7,CX$7)/12</f>
        <v>23.71308221</v>
      </c>
      <c r="CY24" s="52">
        <f>+SUMIFS(Opex_Assumptions!$F20:$M20,Opex_Assumptions!$F$7:$M$7,CY$7)/12</f>
        <v>23.71308221</v>
      </c>
      <c r="CZ24" s="52">
        <f>+SUMIFS(Opex_Assumptions!$F20:$M20,Opex_Assumptions!$F$7:$M$7,CZ$7)/12</f>
        <v>23.71308221</v>
      </c>
      <c r="DA24" s="52">
        <f>+SUMIFS(Opex_Assumptions!$F20:$M20,Opex_Assumptions!$F$7:$M$7,DA$7)/12</f>
        <v>23.71308221</v>
      </c>
      <c r="DB24" s="52">
        <f>+SUMIFS(Opex_Assumptions!$F20:$M20,Opex_Assumptions!$F$7:$M$7,DB$7)/12</f>
        <v>23.71308221</v>
      </c>
      <c r="DC24" s="52">
        <f>+SUMIFS(Opex_Assumptions!$F20:$M20,Opex_Assumptions!$F$7:$M$7,DC$7)/12</f>
        <v>23.71308221</v>
      </c>
      <c r="DD24" s="52">
        <f>+SUMIFS(Opex_Assumptions!$F20:$M20,Opex_Assumptions!$F$7:$M$7,DD$7)/12</f>
        <v>23.71308221</v>
      </c>
      <c r="DE24" s="52">
        <f>+SUMIFS(Opex_Assumptions!$F20:$M20,Opex_Assumptions!$F$7:$M$7,DE$7)/12</f>
        <v>23.71308221</v>
      </c>
      <c r="DF24" s="52">
        <f>+SUMIFS(Opex_Assumptions!$F20:$M20,Opex_Assumptions!$F$7:$M$7,DF$7)/12</f>
        <v>23.71308221</v>
      </c>
      <c r="DG24" s="52">
        <f>+SUMIFS(Opex_Assumptions!$F20:$M20,Opex_Assumptions!$F$7:$M$7,DG$7)/12</f>
        <v>24.42447468</v>
      </c>
      <c r="DH24" s="52">
        <f>+SUMIFS(Opex_Assumptions!$F20:$M20,Opex_Assumptions!$F$7:$M$7,DH$7)/12</f>
        <v>24.42447468</v>
      </c>
      <c r="DI24" s="52">
        <f>+SUMIFS(Opex_Assumptions!$F20:$M20,Opex_Assumptions!$F$7:$M$7,DI$7)/12</f>
        <v>24.42447468</v>
      </c>
      <c r="DJ24" s="52">
        <f>+SUMIFS(Opex_Assumptions!$F20:$M20,Opex_Assumptions!$F$7:$M$7,DJ$7)/12</f>
        <v>24.42447468</v>
      </c>
      <c r="DK24" s="52">
        <f>+SUMIFS(Opex_Assumptions!$F20:$M20,Opex_Assumptions!$F$7:$M$7,DK$7)/12</f>
        <v>24.42447468</v>
      </c>
      <c r="DL24" s="52">
        <f>+SUMIFS(Opex_Assumptions!$F20:$M20,Opex_Assumptions!$F$7:$M$7,DL$7)/12</f>
        <v>24.42447468</v>
      </c>
      <c r="DM24" s="52">
        <f>+SUMIFS(Opex_Assumptions!$F20:$M20,Opex_Assumptions!$F$7:$M$7,DM$7)/12</f>
        <v>24.42447468</v>
      </c>
      <c r="DN24" s="52">
        <f>+SUMIFS(Opex_Assumptions!$F20:$M20,Opex_Assumptions!$F$7:$M$7,DN$7)/12</f>
        <v>24.42447468</v>
      </c>
      <c r="DO24" s="52">
        <f>+SUMIFS(Opex_Assumptions!$F20:$M20,Opex_Assumptions!$F$7:$M$7,DO$7)/12</f>
        <v>24.42447468</v>
      </c>
      <c r="DP24" s="52">
        <f>+SUMIFS(Opex_Assumptions!$F20:$M20,Opex_Assumptions!$F$7:$M$7,DP$7)/12</f>
        <v>24.42447468</v>
      </c>
      <c r="DQ24" s="52">
        <f>+SUMIFS(Opex_Assumptions!$F20:$M20,Opex_Assumptions!$F$7:$M$7,DQ$7)/12</f>
        <v>24.42447468</v>
      </c>
      <c r="DR24" s="52">
        <f>+SUMIFS(Opex_Assumptions!$F20:$M20,Opex_Assumptions!$F$7:$M$7,DR$7)/12</f>
        <v>24.42447468</v>
      </c>
    </row>
    <row r="25" ht="15.75" customHeight="1">
      <c r="B25" s="5" t="s">
        <v>158</v>
      </c>
      <c r="F25" s="50">
        <f t="shared" ref="F25:M25" si="17">+SUMIFS($AA25:$DR25,$AA$7:$DR$7,F$7)</f>
        <v>84.86756194</v>
      </c>
      <c r="G25" s="50">
        <f t="shared" si="17"/>
        <v>95.65178305</v>
      </c>
      <c r="H25" s="50">
        <f t="shared" si="17"/>
        <v>101.722705</v>
      </c>
      <c r="I25" s="50">
        <f t="shared" si="17"/>
        <v>110.688469</v>
      </c>
      <c r="J25" s="50">
        <f t="shared" si="17"/>
        <v>113.5351209</v>
      </c>
      <c r="K25" s="50">
        <f t="shared" si="17"/>
        <v>116.9411745</v>
      </c>
      <c r="L25" s="50">
        <f t="shared" si="17"/>
        <v>120.4494098</v>
      </c>
      <c r="M25" s="50">
        <f t="shared" si="17"/>
        <v>124.0628921</v>
      </c>
      <c r="AA25" s="50">
        <f t="shared" ref="AA25:CH25" si="18">+AA31/AA15</f>
        <v>6.558899341</v>
      </c>
      <c r="AB25" s="50">
        <f t="shared" si="18"/>
        <v>6.286894723</v>
      </c>
      <c r="AC25" s="50">
        <f t="shared" si="18"/>
        <v>6.323484136</v>
      </c>
      <c r="AD25" s="50">
        <f t="shared" si="18"/>
        <v>6.22496629</v>
      </c>
      <c r="AE25" s="50">
        <f t="shared" si="18"/>
        <v>7.709066792</v>
      </c>
      <c r="AF25" s="50">
        <f t="shared" si="18"/>
        <v>7.709066792</v>
      </c>
      <c r="AG25" s="50">
        <f t="shared" si="18"/>
        <v>6.980753371</v>
      </c>
      <c r="AH25" s="50">
        <f t="shared" si="18"/>
        <v>6.92241262</v>
      </c>
      <c r="AI25" s="50">
        <f t="shared" si="18"/>
        <v>7.394553151</v>
      </c>
      <c r="AJ25" s="50">
        <f t="shared" si="18"/>
        <v>7.396784034</v>
      </c>
      <c r="AK25" s="50">
        <f t="shared" si="18"/>
        <v>7.69241567</v>
      </c>
      <c r="AL25" s="50">
        <f t="shared" si="18"/>
        <v>7.668265018</v>
      </c>
      <c r="AM25" s="50">
        <f t="shared" si="18"/>
        <v>7.170474757</v>
      </c>
      <c r="AN25" s="50">
        <f t="shared" si="18"/>
        <v>8.032571563</v>
      </c>
      <c r="AO25" s="50">
        <f t="shared" si="18"/>
        <v>7.563936299</v>
      </c>
      <c r="AP25" s="50">
        <f t="shared" si="18"/>
        <v>8.094495984</v>
      </c>
      <c r="AQ25" s="50">
        <f t="shared" si="18"/>
        <v>8.094495984</v>
      </c>
      <c r="AR25" s="50">
        <f t="shared" si="18"/>
        <v>8.094495984</v>
      </c>
      <c r="AS25" s="50">
        <f t="shared" si="18"/>
        <v>8.094495984</v>
      </c>
      <c r="AT25" s="50">
        <f t="shared" si="18"/>
        <v>8.094495984</v>
      </c>
      <c r="AU25" s="50">
        <f t="shared" si="18"/>
        <v>8.117708228</v>
      </c>
      <c r="AV25" s="50">
        <f t="shared" si="18"/>
        <v>7.600217713</v>
      </c>
      <c r="AW25" s="50">
        <f t="shared" si="18"/>
        <v>8.160735116</v>
      </c>
      <c r="AX25" s="50">
        <f t="shared" si="18"/>
        <v>8.533659454</v>
      </c>
      <c r="AY25" s="50">
        <f t="shared" si="18"/>
        <v>8.146680778</v>
      </c>
      <c r="AZ25" s="50">
        <f t="shared" si="18"/>
        <v>8.482586234</v>
      </c>
      <c r="BA25" s="50">
        <f t="shared" si="18"/>
        <v>8.147538413</v>
      </c>
      <c r="BB25" s="50">
        <f t="shared" si="18"/>
        <v>8.374532769</v>
      </c>
      <c r="BC25" s="50">
        <f t="shared" si="18"/>
        <v>8.439862026</v>
      </c>
      <c r="BD25" s="50">
        <f t="shared" si="18"/>
        <v>8.505191283</v>
      </c>
      <c r="BE25" s="50">
        <f t="shared" si="18"/>
        <v>8.51949122</v>
      </c>
      <c r="BF25" s="50">
        <f t="shared" si="18"/>
        <v>8.773835058</v>
      </c>
      <c r="BG25" s="50">
        <f t="shared" si="18"/>
        <v>8.473941675</v>
      </c>
      <c r="BH25" s="50">
        <f t="shared" si="18"/>
        <v>8.859468058</v>
      </c>
      <c r="BI25" s="50">
        <f t="shared" si="18"/>
        <v>8.388432894</v>
      </c>
      <c r="BJ25" s="50">
        <f t="shared" si="18"/>
        <v>8.611144559</v>
      </c>
      <c r="BK25" s="50">
        <f t="shared" si="18"/>
        <v>9.525559167</v>
      </c>
      <c r="BL25" s="50">
        <f t="shared" si="18"/>
        <v>9.076916923</v>
      </c>
      <c r="BM25" s="50">
        <f t="shared" si="18"/>
        <v>8.939193077</v>
      </c>
      <c r="BN25" s="50">
        <f t="shared" si="18"/>
        <v>9.661284722</v>
      </c>
      <c r="BO25" s="50">
        <f t="shared" si="18"/>
        <v>9.185689394</v>
      </c>
      <c r="BP25" s="50">
        <f t="shared" si="18"/>
        <v>9.185689394</v>
      </c>
      <c r="BQ25" s="50">
        <f t="shared" si="18"/>
        <v>9.185689394</v>
      </c>
      <c r="BR25" s="50">
        <f t="shared" si="18"/>
        <v>9.185689394</v>
      </c>
      <c r="BS25" s="50">
        <f t="shared" si="18"/>
        <v>9.185689394</v>
      </c>
      <c r="BT25" s="50">
        <f t="shared" si="18"/>
        <v>9.185689394</v>
      </c>
      <c r="BU25" s="50">
        <f t="shared" si="18"/>
        <v>9.185689394</v>
      </c>
      <c r="BV25" s="50">
        <f t="shared" si="18"/>
        <v>9.185689394</v>
      </c>
      <c r="BW25" s="50">
        <f t="shared" si="18"/>
        <v>9.461260076</v>
      </c>
      <c r="BX25" s="50">
        <f t="shared" si="18"/>
        <v>9.461260076</v>
      </c>
      <c r="BY25" s="50">
        <f t="shared" si="18"/>
        <v>9.461260076</v>
      </c>
      <c r="BZ25" s="50">
        <f t="shared" si="18"/>
        <v>9.461260076</v>
      </c>
      <c r="CA25" s="50">
        <f t="shared" si="18"/>
        <v>9.461260076</v>
      </c>
      <c r="CB25" s="50">
        <f t="shared" si="18"/>
        <v>9.461260076</v>
      </c>
      <c r="CC25" s="50">
        <f t="shared" si="18"/>
        <v>9.461260076</v>
      </c>
      <c r="CD25" s="50">
        <f t="shared" si="18"/>
        <v>9.461260076</v>
      </c>
      <c r="CE25" s="50">
        <f t="shared" si="18"/>
        <v>9.461260076</v>
      </c>
      <c r="CF25" s="50">
        <f t="shared" si="18"/>
        <v>9.461260076</v>
      </c>
      <c r="CG25" s="50">
        <f t="shared" si="18"/>
        <v>9.461260076</v>
      </c>
      <c r="CH25" s="50">
        <f t="shared" si="18"/>
        <v>9.461260076</v>
      </c>
      <c r="CI25" s="52">
        <f>+SUMIFS(Opex_Assumptions!$F21:$M21,Opex_Assumptions!$F$7:$M$7,CI$7)/12</f>
        <v>9.745097878</v>
      </c>
      <c r="CJ25" s="52">
        <f>+SUMIFS(Opex_Assumptions!$F21:$M21,Opex_Assumptions!$F$7:$M$7,CJ$7)/12</f>
        <v>9.745097878</v>
      </c>
      <c r="CK25" s="52">
        <f>+SUMIFS(Opex_Assumptions!$F21:$M21,Opex_Assumptions!$F$7:$M$7,CK$7)/12</f>
        <v>9.745097878</v>
      </c>
      <c r="CL25" s="52">
        <f>+SUMIFS(Opex_Assumptions!$F21:$M21,Opex_Assumptions!$F$7:$M$7,CL$7)/12</f>
        <v>9.745097878</v>
      </c>
      <c r="CM25" s="52">
        <f>+SUMIFS(Opex_Assumptions!$F21:$M21,Opex_Assumptions!$F$7:$M$7,CM$7)/12</f>
        <v>9.745097878</v>
      </c>
      <c r="CN25" s="52">
        <f>+SUMIFS(Opex_Assumptions!$F21:$M21,Opex_Assumptions!$F$7:$M$7,CN$7)/12</f>
        <v>9.745097878</v>
      </c>
      <c r="CO25" s="52">
        <f>+SUMIFS(Opex_Assumptions!$F21:$M21,Opex_Assumptions!$F$7:$M$7,CO$7)/12</f>
        <v>9.745097878</v>
      </c>
      <c r="CP25" s="52">
        <f>+SUMIFS(Opex_Assumptions!$F21:$M21,Opex_Assumptions!$F$7:$M$7,CP$7)/12</f>
        <v>9.745097878</v>
      </c>
      <c r="CQ25" s="52">
        <f>+SUMIFS(Opex_Assumptions!$F21:$M21,Opex_Assumptions!$F$7:$M$7,CQ$7)/12</f>
        <v>9.745097878</v>
      </c>
      <c r="CR25" s="52">
        <f>+SUMIFS(Opex_Assumptions!$F21:$M21,Opex_Assumptions!$F$7:$M$7,CR$7)/12</f>
        <v>9.745097878</v>
      </c>
      <c r="CS25" s="52">
        <f>+SUMIFS(Opex_Assumptions!$F21:$M21,Opex_Assumptions!$F$7:$M$7,CS$7)/12</f>
        <v>9.745097878</v>
      </c>
      <c r="CT25" s="52">
        <f>+SUMIFS(Opex_Assumptions!$F21:$M21,Opex_Assumptions!$F$7:$M$7,CT$7)/12</f>
        <v>9.745097878</v>
      </c>
      <c r="CU25" s="52">
        <f>+SUMIFS(Opex_Assumptions!$F21:$M21,Opex_Assumptions!$F$7:$M$7,CU$7)/12</f>
        <v>10.03745081</v>
      </c>
      <c r="CV25" s="52">
        <f>+SUMIFS(Opex_Assumptions!$F21:$M21,Opex_Assumptions!$F$7:$M$7,CV$7)/12</f>
        <v>10.03745081</v>
      </c>
      <c r="CW25" s="52">
        <f>+SUMIFS(Opex_Assumptions!$F21:$M21,Opex_Assumptions!$F$7:$M$7,CW$7)/12</f>
        <v>10.03745081</v>
      </c>
      <c r="CX25" s="52">
        <f>+SUMIFS(Opex_Assumptions!$F21:$M21,Opex_Assumptions!$F$7:$M$7,CX$7)/12</f>
        <v>10.03745081</v>
      </c>
      <c r="CY25" s="52">
        <f>+SUMIFS(Opex_Assumptions!$F21:$M21,Opex_Assumptions!$F$7:$M$7,CY$7)/12</f>
        <v>10.03745081</v>
      </c>
      <c r="CZ25" s="52">
        <f>+SUMIFS(Opex_Assumptions!$F21:$M21,Opex_Assumptions!$F$7:$M$7,CZ$7)/12</f>
        <v>10.03745081</v>
      </c>
      <c r="DA25" s="52">
        <f>+SUMIFS(Opex_Assumptions!$F21:$M21,Opex_Assumptions!$F$7:$M$7,DA$7)/12</f>
        <v>10.03745081</v>
      </c>
      <c r="DB25" s="52">
        <f>+SUMIFS(Opex_Assumptions!$F21:$M21,Opex_Assumptions!$F$7:$M$7,DB$7)/12</f>
        <v>10.03745081</v>
      </c>
      <c r="DC25" s="52">
        <f>+SUMIFS(Opex_Assumptions!$F21:$M21,Opex_Assumptions!$F$7:$M$7,DC$7)/12</f>
        <v>10.03745081</v>
      </c>
      <c r="DD25" s="52">
        <f>+SUMIFS(Opex_Assumptions!$F21:$M21,Opex_Assumptions!$F$7:$M$7,DD$7)/12</f>
        <v>10.03745081</v>
      </c>
      <c r="DE25" s="52">
        <f>+SUMIFS(Opex_Assumptions!$F21:$M21,Opex_Assumptions!$F$7:$M$7,DE$7)/12</f>
        <v>10.03745081</v>
      </c>
      <c r="DF25" s="52">
        <f>+SUMIFS(Opex_Assumptions!$F21:$M21,Opex_Assumptions!$F$7:$M$7,DF$7)/12</f>
        <v>10.03745081</v>
      </c>
      <c r="DG25" s="52">
        <f>+SUMIFS(Opex_Assumptions!$F21:$M21,Opex_Assumptions!$F$7:$M$7,DG$7)/12</f>
        <v>10.33857434</v>
      </c>
      <c r="DH25" s="52">
        <f>+SUMIFS(Opex_Assumptions!$F21:$M21,Opex_Assumptions!$F$7:$M$7,DH$7)/12</f>
        <v>10.33857434</v>
      </c>
      <c r="DI25" s="52">
        <f>+SUMIFS(Opex_Assumptions!$F21:$M21,Opex_Assumptions!$F$7:$M$7,DI$7)/12</f>
        <v>10.33857434</v>
      </c>
      <c r="DJ25" s="52">
        <f>+SUMIFS(Opex_Assumptions!$F21:$M21,Opex_Assumptions!$F$7:$M$7,DJ$7)/12</f>
        <v>10.33857434</v>
      </c>
      <c r="DK25" s="52">
        <f>+SUMIFS(Opex_Assumptions!$F21:$M21,Opex_Assumptions!$F$7:$M$7,DK$7)/12</f>
        <v>10.33857434</v>
      </c>
      <c r="DL25" s="52">
        <f>+SUMIFS(Opex_Assumptions!$F21:$M21,Opex_Assumptions!$F$7:$M$7,DL$7)/12</f>
        <v>10.33857434</v>
      </c>
      <c r="DM25" s="52">
        <f>+SUMIFS(Opex_Assumptions!$F21:$M21,Opex_Assumptions!$F$7:$M$7,DM$7)/12</f>
        <v>10.33857434</v>
      </c>
      <c r="DN25" s="52">
        <f>+SUMIFS(Opex_Assumptions!$F21:$M21,Opex_Assumptions!$F$7:$M$7,DN$7)/12</f>
        <v>10.33857434</v>
      </c>
      <c r="DO25" s="52">
        <f>+SUMIFS(Opex_Assumptions!$F21:$M21,Opex_Assumptions!$F$7:$M$7,DO$7)/12</f>
        <v>10.33857434</v>
      </c>
      <c r="DP25" s="52">
        <f>+SUMIFS(Opex_Assumptions!$F21:$M21,Opex_Assumptions!$F$7:$M$7,DP$7)/12</f>
        <v>10.33857434</v>
      </c>
      <c r="DQ25" s="52">
        <f>+SUMIFS(Opex_Assumptions!$F21:$M21,Opex_Assumptions!$F$7:$M$7,DQ$7)/12</f>
        <v>10.33857434</v>
      </c>
      <c r="DR25" s="52">
        <f>+SUMIFS(Opex_Assumptions!$F21:$M21,Opex_Assumptions!$F$7:$M$7,DR$7)/12</f>
        <v>10.33857434</v>
      </c>
    </row>
    <row r="26" ht="4.5" customHeight="1"/>
    <row r="27" ht="15.75" customHeight="1">
      <c r="B27" s="47" t="s">
        <v>162</v>
      </c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</row>
    <row r="28" ht="15.0" customHeight="1">
      <c r="B28" s="5" t="s">
        <v>155</v>
      </c>
      <c r="F28" s="50">
        <f t="shared" ref="F28:M28" si="19">+SUMIFS($AA28:$DR28,$AA$7:$DR$7,F$7)</f>
        <v>10397.39734</v>
      </c>
      <c r="G28" s="50">
        <f t="shared" si="19"/>
        <v>9388.227303</v>
      </c>
      <c r="H28" s="50">
        <f t="shared" si="19"/>
        <v>8243.628081</v>
      </c>
      <c r="I28" s="50">
        <f t="shared" si="19"/>
        <v>9396.962233</v>
      </c>
      <c r="J28" s="50">
        <f t="shared" si="19"/>
        <v>10985.55631</v>
      </c>
      <c r="K28" s="50">
        <f t="shared" si="19"/>
        <v>12883.23426</v>
      </c>
      <c r="L28" s="50">
        <f t="shared" si="19"/>
        <v>15115.33803</v>
      </c>
      <c r="M28" s="50">
        <f t="shared" si="19"/>
        <v>17681.44367</v>
      </c>
      <c r="AA28" s="51">
        <v>742.0826983811153</v>
      </c>
      <c r="AB28" s="51">
        <v>797.5562774763421</v>
      </c>
      <c r="AC28" s="51">
        <v>759.2499776645049</v>
      </c>
      <c r="AD28" s="51">
        <v>782.0681746645718</v>
      </c>
      <c r="AE28" s="51">
        <v>823.7936987476912</v>
      </c>
      <c r="AF28" s="51">
        <v>922.5275507273101</v>
      </c>
      <c r="AG28" s="51">
        <v>937.420668551888</v>
      </c>
      <c r="AH28" s="51">
        <v>952.4491584886854</v>
      </c>
      <c r="AI28" s="51">
        <v>884.9446223087248</v>
      </c>
      <c r="AJ28" s="51">
        <v>940.8533586696033</v>
      </c>
      <c r="AK28" s="51">
        <v>909.2502702208724</v>
      </c>
      <c r="AL28" s="51">
        <v>945.200884583722</v>
      </c>
      <c r="AM28" s="51">
        <v>935.7055767278314</v>
      </c>
      <c r="AN28" s="51">
        <v>910.8450086121545</v>
      </c>
      <c r="AO28" s="51">
        <v>865.5116854723324</v>
      </c>
      <c r="AP28" s="51">
        <v>780.676671853366</v>
      </c>
      <c r="AQ28" s="51">
        <v>773.4495065048123</v>
      </c>
      <c r="AR28" s="51">
        <v>787.7080708781358</v>
      </c>
      <c r="AS28" s="51">
        <v>777.032798821453</v>
      </c>
      <c r="AT28" s="51">
        <v>774.3091605006082</v>
      </c>
      <c r="AU28" s="51">
        <v>754.6867152114107</v>
      </c>
      <c r="AV28" s="51">
        <v>710.4876332317754</v>
      </c>
      <c r="AW28" s="51">
        <v>639.7129292383092</v>
      </c>
      <c r="AX28" s="51">
        <v>678.1015464031393</v>
      </c>
      <c r="AY28" s="51">
        <v>667.1887496698488</v>
      </c>
      <c r="AZ28" s="51">
        <v>646.4660495396366</v>
      </c>
      <c r="BA28" s="51">
        <v>676.9419630290771</v>
      </c>
      <c r="BB28" s="51">
        <v>699.7927133496191</v>
      </c>
      <c r="BC28" s="51">
        <v>697.9615839318028</v>
      </c>
      <c r="BD28" s="51">
        <v>709.0700373630342</v>
      </c>
      <c r="BE28" s="51">
        <v>723.4925973965017</v>
      </c>
      <c r="BF28" s="51">
        <v>707.6181823857291</v>
      </c>
      <c r="BG28" s="51">
        <v>667.7786530178962</v>
      </c>
      <c r="BH28" s="51">
        <v>690.5011057574936</v>
      </c>
      <c r="BI28" s="51">
        <v>684.1328051874494</v>
      </c>
      <c r="BJ28" s="51">
        <v>672.6836404688742</v>
      </c>
      <c r="BK28" s="51">
        <v>738.5884433333335</v>
      </c>
      <c r="BL28" s="51">
        <v>738.0902133333335</v>
      </c>
      <c r="BM28" s="51">
        <v>757.9874100000003</v>
      </c>
      <c r="BN28" s="51">
        <v>782.7110833333336</v>
      </c>
      <c r="BO28" s="51">
        <v>793.5110833333333</v>
      </c>
      <c r="BP28" s="51">
        <v>800.9100000000001</v>
      </c>
      <c r="BQ28" s="51">
        <v>801.2773333333334</v>
      </c>
      <c r="BR28" s="51">
        <v>796.7773333333334</v>
      </c>
      <c r="BS28" s="51">
        <v>796.7773333333334</v>
      </c>
      <c r="BT28" s="51">
        <v>796.7773333333334</v>
      </c>
      <c r="BU28" s="51">
        <v>796.7773333333334</v>
      </c>
      <c r="BV28" s="51">
        <v>796.7773333333334</v>
      </c>
      <c r="BW28" s="51">
        <v>852.4862900000002</v>
      </c>
      <c r="BX28" s="51">
        <v>860.2112899999998</v>
      </c>
      <c r="BY28" s="51">
        <v>870.93629</v>
      </c>
      <c r="BZ28" s="51">
        <v>896.6862900000002</v>
      </c>
      <c r="CA28" s="51">
        <v>904.4112900000001</v>
      </c>
      <c r="CB28" s="51">
        <v>912.1362900000005</v>
      </c>
      <c r="CC28" s="51">
        <v>919.8612900000004</v>
      </c>
      <c r="CD28" s="51">
        <v>938.315456666667</v>
      </c>
      <c r="CE28" s="51">
        <v>946.0404566666672</v>
      </c>
      <c r="CF28" s="51">
        <v>953.7654566666669</v>
      </c>
      <c r="CG28" s="51">
        <v>961.490456666667</v>
      </c>
      <c r="CH28" s="51">
        <v>969.2154566666671</v>
      </c>
      <c r="CI28" s="50">
        <f t="shared" ref="CI28:DR28" si="20">+CI12*CI22</f>
        <v>1009.291891</v>
      </c>
      <c r="CJ28" s="50">
        <f t="shared" si="20"/>
        <v>1020.984794</v>
      </c>
      <c r="CK28" s="50">
        <f t="shared" si="20"/>
        <v>1032.677696</v>
      </c>
      <c r="CL28" s="50">
        <f t="shared" si="20"/>
        <v>1044.370599</v>
      </c>
      <c r="CM28" s="50">
        <f t="shared" si="20"/>
        <v>1056.063501</v>
      </c>
      <c r="CN28" s="50">
        <f t="shared" si="20"/>
        <v>1067.756404</v>
      </c>
      <c r="CO28" s="50">
        <f t="shared" si="20"/>
        <v>1079.449307</v>
      </c>
      <c r="CP28" s="50">
        <f t="shared" si="20"/>
        <v>1091.142209</v>
      </c>
      <c r="CQ28" s="50">
        <f t="shared" si="20"/>
        <v>1102.835112</v>
      </c>
      <c r="CR28" s="50">
        <f t="shared" si="20"/>
        <v>1114.528015</v>
      </c>
      <c r="CS28" s="50">
        <f t="shared" si="20"/>
        <v>1126.220917</v>
      </c>
      <c r="CT28" s="50">
        <f t="shared" si="20"/>
        <v>1137.91382</v>
      </c>
      <c r="CU28" s="50">
        <f t="shared" si="20"/>
        <v>1185.522045</v>
      </c>
      <c r="CV28" s="50">
        <f t="shared" si="20"/>
        <v>1198.992855</v>
      </c>
      <c r="CW28" s="50">
        <f t="shared" si="20"/>
        <v>1212.463666</v>
      </c>
      <c r="CX28" s="50">
        <f t="shared" si="20"/>
        <v>1225.934476</v>
      </c>
      <c r="CY28" s="50">
        <f t="shared" si="20"/>
        <v>1239.405287</v>
      </c>
      <c r="CZ28" s="50">
        <f t="shared" si="20"/>
        <v>1252.876097</v>
      </c>
      <c r="DA28" s="50">
        <f t="shared" si="20"/>
        <v>1266.346908</v>
      </c>
      <c r="DB28" s="50">
        <f t="shared" si="20"/>
        <v>1279.817718</v>
      </c>
      <c r="DC28" s="50">
        <f t="shared" si="20"/>
        <v>1293.288529</v>
      </c>
      <c r="DD28" s="50">
        <f t="shared" si="20"/>
        <v>1306.759339</v>
      </c>
      <c r="DE28" s="50">
        <f t="shared" si="20"/>
        <v>1320.23015</v>
      </c>
      <c r="DF28" s="50">
        <f t="shared" si="20"/>
        <v>1333.70096</v>
      </c>
      <c r="DG28" s="50">
        <f t="shared" si="20"/>
        <v>1389.056858</v>
      </c>
      <c r="DH28" s="50">
        <f t="shared" si="20"/>
        <v>1404.401728</v>
      </c>
      <c r="DI28" s="50">
        <f t="shared" si="20"/>
        <v>1419.746597</v>
      </c>
      <c r="DJ28" s="50">
        <f t="shared" si="20"/>
        <v>1435.091466</v>
      </c>
      <c r="DK28" s="50">
        <f t="shared" si="20"/>
        <v>1450.436335</v>
      </c>
      <c r="DL28" s="50">
        <f t="shared" si="20"/>
        <v>1465.781204</v>
      </c>
      <c r="DM28" s="50">
        <f t="shared" si="20"/>
        <v>1481.126074</v>
      </c>
      <c r="DN28" s="50">
        <f t="shared" si="20"/>
        <v>1496.470943</v>
      </c>
      <c r="DO28" s="50">
        <f t="shared" si="20"/>
        <v>1511.815812</v>
      </c>
      <c r="DP28" s="50">
        <f t="shared" si="20"/>
        <v>1527.160681</v>
      </c>
      <c r="DQ28" s="50">
        <f t="shared" si="20"/>
        <v>1542.50555</v>
      </c>
      <c r="DR28" s="50">
        <f t="shared" si="20"/>
        <v>1557.85042</v>
      </c>
    </row>
    <row r="29" ht="15.0" customHeight="1">
      <c r="B29" s="5" t="s">
        <v>156</v>
      </c>
      <c r="F29" s="50">
        <f t="shared" ref="F29:M29" si="21">+SUMIFS($AA29:$DR29,$AA$7:$DR$7,F$7)</f>
        <v>768.6745814</v>
      </c>
      <c r="G29" s="50">
        <f t="shared" si="21"/>
        <v>684.6488147</v>
      </c>
      <c r="H29" s="50">
        <f t="shared" si="21"/>
        <v>545.4981562</v>
      </c>
      <c r="I29" s="50">
        <f t="shared" si="21"/>
        <v>507.55962</v>
      </c>
      <c r="J29" s="50">
        <f t="shared" si="21"/>
        <v>570.85587</v>
      </c>
      <c r="K29" s="50">
        <f t="shared" si="21"/>
        <v>663.7476867</v>
      </c>
      <c r="L29" s="50">
        <f t="shared" si="21"/>
        <v>807.0273565</v>
      </c>
      <c r="M29" s="50">
        <f t="shared" si="21"/>
        <v>958.3064336</v>
      </c>
      <c r="AA29" s="51">
        <v>64.85326434619003</v>
      </c>
      <c r="AB29" s="51">
        <v>61.971110065851356</v>
      </c>
      <c r="AC29" s="51">
        <v>63.52266227657572</v>
      </c>
      <c r="AD29" s="51">
        <v>64.88759172154282</v>
      </c>
      <c r="AE29" s="51">
        <v>64.57758231420507</v>
      </c>
      <c r="AF29" s="51">
        <v>61.42353715898401</v>
      </c>
      <c r="AG29" s="51">
        <v>68.008673565381</v>
      </c>
      <c r="AH29" s="51">
        <v>68.008673565381</v>
      </c>
      <c r="AI29" s="51">
        <v>68.008673565381</v>
      </c>
      <c r="AJ29" s="51">
        <v>74.77298212605832</v>
      </c>
      <c r="AK29" s="51">
        <v>60.05878645343369</v>
      </c>
      <c r="AL29" s="51">
        <v>48.58104421448731</v>
      </c>
      <c r="AM29" s="51">
        <v>55.98640639698966</v>
      </c>
      <c r="AN29" s="51">
        <v>59.734816556914396</v>
      </c>
      <c r="AO29" s="51">
        <v>59.18408278457196</v>
      </c>
      <c r="AP29" s="51">
        <v>59.18408278457196</v>
      </c>
      <c r="AQ29" s="51">
        <v>59.18408278457196</v>
      </c>
      <c r="AR29" s="51">
        <v>59.18408278457196</v>
      </c>
      <c r="AS29" s="51">
        <v>59.18408278457196</v>
      </c>
      <c r="AT29" s="51">
        <v>59.18408278457196</v>
      </c>
      <c r="AU29" s="51">
        <v>55.09126999059266</v>
      </c>
      <c r="AV29" s="51">
        <v>50.761458137347134</v>
      </c>
      <c r="AW29" s="51">
        <v>54.17904045155221</v>
      </c>
      <c r="AX29" s="51">
        <v>53.791326434619</v>
      </c>
      <c r="AY29" s="51">
        <v>50.58062088428975</v>
      </c>
      <c r="AZ29" s="51">
        <v>42.45824082784572</v>
      </c>
      <c r="BA29" s="51">
        <v>42.17601128880527</v>
      </c>
      <c r="BB29" s="51">
        <v>42.17601128880527</v>
      </c>
      <c r="BC29" s="51">
        <v>42.17601128880527</v>
      </c>
      <c r="BD29" s="51">
        <v>42.17601128880527</v>
      </c>
      <c r="BE29" s="51">
        <v>42.17601128880527</v>
      </c>
      <c r="BF29" s="51">
        <v>43.02969896519285</v>
      </c>
      <c r="BG29" s="51">
        <v>35.15213546566322</v>
      </c>
      <c r="BH29" s="51">
        <v>50.347083725305744</v>
      </c>
      <c r="BI29" s="51">
        <v>55.52740357478833</v>
      </c>
      <c r="BJ29" s="51">
        <v>57.52291627469426</v>
      </c>
      <c r="BK29" s="51">
        <v>48.89866000000001</v>
      </c>
      <c r="BL29" s="51">
        <v>48.89866000000001</v>
      </c>
      <c r="BM29" s="51">
        <v>50.34055</v>
      </c>
      <c r="BN29" s="51">
        <v>39.93575</v>
      </c>
      <c r="BO29" s="51">
        <v>39.93575</v>
      </c>
      <c r="BP29" s="51">
        <v>39.93575</v>
      </c>
      <c r="BQ29" s="51">
        <v>39.93575</v>
      </c>
      <c r="BR29" s="51">
        <v>39.93575</v>
      </c>
      <c r="BS29" s="51">
        <v>39.93575</v>
      </c>
      <c r="BT29" s="51">
        <v>39.93575</v>
      </c>
      <c r="BU29" s="51">
        <v>39.93575</v>
      </c>
      <c r="BV29" s="51">
        <v>39.93575</v>
      </c>
      <c r="BW29" s="51">
        <v>47.571322499999994</v>
      </c>
      <c r="BX29" s="51">
        <v>47.571322499999994</v>
      </c>
      <c r="BY29" s="51">
        <v>47.571322499999994</v>
      </c>
      <c r="BZ29" s="51">
        <v>47.571322499999994</v>
      </c>
      <c r="CA29" s="51">
        <v>47.571322499999994</v>
      </c>
      <c r="CB29" s="51">
        <v>47.571322499999994</v>
      </c>
      <c r="CC29" s="51">
        <v>47.571322499999994</v>
      </c>
      <c r="CD29" s="51">
        <v>47.571322499999994</v>
      </c>
      <c r="CE29" s="51">
        <v>47.571322499999994</v>
      </c>
      <c r="CF29" s="51">
        <v>47.571322499999994</v>
      </c>
      <c r="CG29" s="51">
        <v>47.571322499999994</v>
      </c>
      <c r="CH29" s="51">
        <v>47.571322499999994</v>
      </c>
      <c r="CI29" s="50">
        <f t="shared" ref="CI29:DR29" si="22">+CI13*CI23</f>
        <v>50.73760512</v>
      </c>
      <c r="CJ29" s="50">
        <f t="shared" si="22"/>
        <v>51.56936914</v>
      </c>
      <c r="CK29" s="50">
        <f t="shared" si="22"/>
        <v>52.40113316</v>
      </c>
      <c r="CL29" s="50">
        <f t="shared" si="22"/>
        <v>53.23289718</v>
      </c>
      <c r="CM29" s="50">
        <f t="shared" si="22"/>
        <v>54.0646612</v>
      </c>
      <c r="CN29" s="50">
        <f t="shared" si="22"/>
        <v>54.89642521</v>
      </c>
      <c r="CO29" s="50">
        <f t="shared" si="22"/>
        <v>55.72818923</v>
      </c>
      <c r="CP29" s="50">
        <f t="shared" si="22"/>
        <v>56.55995325</v>
      </c>
      <c r="CQ29" s="50">
        <f t="shared" si="22"/>
        <v>57.39171727</v>
      </c>
      <c r="CR29" s="50">
        <f t="shared" si="22"/>
        <v>58.22348129</v>
      </c>
      <c r="CS29" s="50">
        <f t="shared" si="22"/>
        <v>59.05524531</v>
      </c>
      <c r="CT29" s="50">
        <f t="shared" si="22"/>
        <v>59.88700933</v>
      </c>
      <c r="CU29" s="50">
        <f t="shared" si="22"/>
        <v>62.54033654</v>
      </c>
      <c r="CV29" s="50">
        <f t="shared" si="22"/>
        <v>63.39705348</v>
      </c>
      <c r="CW29" s="50">
        <f t="shared" si="22"/>
        <v>64.25377042</v>
      </c>
      <c r="CX29" s="50">
        <f t="shared" si="22"/>
        <v>65.11048736</v>
      </c>
      <c r="CY29" s="50">
        <f t="shared" si="22"/>
        <v>65.9672043</v>
      </c>
      <c r="CZ29" s="50">
        <f t="shared" si="22"/>
        <v>66.82392124</v>
      </c>
      <c r="DA29" s="50">
        <f t="shared" si="22"/>
        <v>67.68063818</v>
      </c>
      <c r="DB29" s="50">
        <f t="shared" si="22"/>
        <v>68.53735512</v>
      </c>
      <c r="DC29" s="50">
        <f t="shared" si="22"/>
        <v>69.39407206</v>
      </c>
      <c r="DD29" s="50">
        <f t="shared" si="22"/>
        <v>70.25078899</v>
      </c>
      <c r="DE29" s="50">
        <f t="shared" si="22"/>
        <v>71.10750593</v>
      </c>
      <c r="DF29" s="50">
        <f t="shared" si="22"/>
        <v>71.96422287</v>
      </c>
      <c r="DG29" s="50">
        <f t="shared" si="22"/>
        <v>75.00556801</v>
      </c>
      <c r="DH29" s="50">
        <f t="shared" si="22"/>
        <v>75.88798645</v>
      </c>
      <c r="DI29" s="50">
        <f t="shared" si="22"/>
        <v>76.7704049</v>
      </c>
      <c r="DJ29" s="50">
        <f t="shared" si="22"/>
        <v>77.65282335</v>
      </c>
      <c r="DK29" s="50">
        <f t="shared" si="22"/>
        <v>78.53524179</v>
      </c>
      <c r="DL29" s="50">
        <f t="shared" si="22"/>
        <v>79.41766024</v>
      </c>
      <c r="DM29" s="50">
        <f t="shared" si="22"/>
        <v>80.30007869</v>
      </c>
      <c r="DN29" s="50">
        <f t="shared" si="22"/>
        <v>81.18249714</v>
      </c>
      <c r="DO29" s="50">
        <f t="shared" si="22"/>
        <v>82.06491558</v>
      </c>
      <c r="DP29" s="50">
        <f t="shared" si="22"/>
        <v>82.94733403</v>
      </c>
      <c r="DQ29" s="50">
        <f t="shared" si="22"/>
        <v>83.82975248</v>
      </c>
      <c r="DR29" s="50">
        <f t="shared" si="22"/>
        <v>84.71217092</v>
      </c>
    </row>
    <row r="30" ht="15.0" customHeight="1">
      <c r="B30" s="5" t="s">
        <v>157</v>
      </c>
      <c r="F30" s="50">
        <f t="shared" ref="F30:M30" si="23">+SUMIFS($AA30:$DR30,$AA$7:$DR$7,F$7)</f>
        <v>1619.955052</v>
      </c>
      <c r="G30" s="50">
        <f t="shared" si="23"/>
        <v>1713.470762</v>
      </c>
      <c r="H30" s="50">
        <f t="shared" si="23"/>
        <v>1665.068269</v>
      </c>
      <c r="I30" s="50">
        <f t="shared" si="23"/>
        <v>1834.122153</v>
      </c>
      <c r="J30" s="50">
        <f t="shared" si="23"/>
        <v>1877.55576</v>
      </c>
      <c r="K30" s="50">
        <f t="shared" si="23"/>
        <v>1933.882433</v>
      </c>
      <c r="L30" s="50">
        <f t="shared" si="23"/>
        <v>1991.898906</v>
      </c>
      <c r="M30" s="50">
        <f t="shared" si="23"/>
        <v>2051.655873</v>
      </c>
      <c r="AA30" s="51">
        <v>139.13106302916276</v>
      </c>
      <c r="AB30" s="51">
        <v>136.8432173095014</v>
      </c>
      <c r="AC30" s="51">
        <v>137.2345719661336</v>
      </c>
      <c r="AD30" s="51">
        <v>134.06412041392286</v>
      </c>
      <c r="AE30" s="51">
        <v>134.06412041392286</v>
      </c>
      <c r="AF30" s="51">
        <v>134.06412041392286</v>
      </c>
      <c r="AG30" s="51">
        <v>134.06412041392286</v>
      </c>
      <c r="AH30" s="51">
        <v>134.06412041392286</v>
      </c>
      <c r="AI30" s="51">
        <v>134.06412041392286</v>
      </c>
      <c r="AJ30" s="51">
        <v>134.06412041392286</v>
      </c>
      <c r="AK30" s="51">
        <v>134.23323612417687</v>
      </c>
      <c r="AL30" s="51">
        <v>134.06412041392286</v>
      </c>
      <c r="AM30" s="51">
        <v>142.04622765757293</v>
      </c>
      <c r="AN30" s="51">
        <v>142.04622765757293</v>
      </c>
      <c r="AO30" s="51">
        <v>142.04622765757293</v>
      </c>
      <c r="AP30" s="51">
        <v>142.04622765757293</v>
      </c>
      <c r="AQ30" s="51">
        <v>142.04622765757293</v>
      </c>
      <c r="AR30" s="51">
        <v>142.04622765757293</v>
      </c>
      <c r="AS30" s="51">
        <v>143.6127751646284</v>
      </c>
      <c r="AT30" s="51">
        <v>143.51612417685797</v>
      </c>
      <c r="AU30" s="51">
        <v>143.51612417685797</v>
      </c>
      <c r="AV30" s="51">
        <v>143.51612417685797</v>
      </c>
      <c r="AW30" s="51">
        <v>143.51612417685797</v>
      </c>
      <c r="AX30" s="51">
        <v>143.51612417685797</v>
      </c>
      <c r="AY30" s="51">
        <v>139.03072436500472</v>
      </c>
      <c r="AZ30" s="51">
        <v>142.2978833490122</v>
      </c>
      <c r="BA30" s="51">
        <v>137.29777986829728</v>
      </c>
      <c r="BB30" s="51">
        <v>137.29777986829728</v>
      </c>
      <c r="BC30" s="51">
        <v>138.64304797742238</v>
      </c>
      <c r="BD30" s="51">
        <v>138.64304797742238</v>
      </c>
      <c r="BE30" s="51">
        <v>138.64304797742238</v>
      </c>
      <c r="BF30" s="51">
        <v>138.64304797742238</v>
      </c>
      <c r="BG30" s="51">
        <v>138.64299153339604</v>
      </c>
      <c r="BH30" s="51">
        <v>138.6429727187206</v>
      </c>
      <c r="BI30" s="51">
        <v>138.6429727187206</v>
      </c>
      <c r="BJ30" s="51">
        <v>138.6429727187206</v>
      </c>
      <c r="BK30" s="51">
        <v>152.84351999999998</v>
      </c>
      <c r="BL30" s="51">
        <v>152.84354</v>
      </c>
      <c r="BM30" s="51">
        <v>152.84354</v>
      </c>
      <c r="BN30" s="51">
        <v>152.84350583333332</v>
      </c>
      <c r="BO30" s="51">
        <v>152.84350583333332</v>
      </c>
      <c r="BP30" s="51">
        <v>152.84350583333332</v>
      </c>
      <c r="BQ30" s="51">
        <v>152.84350583333332</v>
      </c>
      <c r="BR30" s="51">
        <v>152.84350583333332</v>
      </c>
      <c r="BS30" s="51">
        <v>152.84350583333332</v>
      </c>
      <c r="BT30" s="51">
        <v>152.84350583333332</v>
      </c>
      <c r="BU30" s="51">
        <v>152.84350583333332</v>
      </c>
      <c r="BV30" s="51">
        <v>152.84350583333332</v>
      </c>
      <c r="BW30" s="51">
        <v>156.46298000833332</v>
      </c>
      <c r="BX30" s="51">
        <v>156.46298000833332</v>
      </c>
      <c r="BY30" s="51">
        <v>156.46298000833332</v>
      </c>
      <c r="BZ30" s="51">
        <v>156.46298000833332</v>
      </c>
      <c r="CA30" s="51">
        <v>156.46298000833332</v>
      </c>
      <c r="CB30" s="51">
        <v>156.46298000833332</v>
      </c>
      <c r="CC30" s="51">
        <v>156.46298000833332</v>
      </c>
      <c r="CD30" s="51">
        <v>156.46298000833332</v>
      </c>
      <c r="CE30" s="51">
        <v>156.46298000833332</v>
      </c>
      <c r="CF30" s="51">
        <v>156.46298000833332</v>
      </c>
      <c r="CG30" s="51">
        <v>156.46298000833332</v>
      </c>
      <c r="CH30" s="51">
        <v>156.46298000833332</v>
      </c>
      <c r="CI30" s="50">
        <f t="shared" ref="CI30:DR30" si="24">+CI14*CI24</f>
        <v>161.1568694</v>
      </c>
      <c r="CJ30" s="50">
        <f t="shared" si="24"/>
        <v>161.1568694</v>
      </c>
      <c r="CK30" s="50">
        <f t="shared" si="24"/>
        <v>161.1568694</v>
      </c>
      <c r="CL30" s="50">
        <f t="shared" si="24"/>
        <v>161.1568694</v>
      </c>
      <c r="CM30" s="50">
        <f t="shared" si="24"/>
        <v>161.1568694</v>
      </c>
      <c r="CN30" s="50">
        <f t="shared" si="24"/>
        <v>161.1568694</v>
      </c>
      <c r="CO30" s="50">
        <f t="shared" si="24"/>
        <v>161.1568694</v>
      </c>
      <c r="CP30" s="50">
        <f t="shared" si="24"/>
        <v>161.1568694</v>
      </c>
      <c r="CQ30" s="50">
        <f t="shared" si="24"/>
        <v>161.1568694</v>
      </c>
      <c r="CR30" s="50">
        <f t="shared" si="24"/>
        <v>161.1568694</v>
      </c>
      <c r="CS30" s="50">
        <f t="shared" si="24"/>
        <v>161.1568694</v>
      </c>
      <c r="CT30" s="50">
        <f t="shared" si="24"/>
        <v>161.1568694</v>
      </c>
      <c r="CU30" s="50">
        <f t="shared" si="24"/>
        <v>165.9915755</v>
      </c>
      <c r="CV30" s="50">
        <f t="shared" si="24"/>
        <v>165.9915755</v>
      </c>
      <c r="CW30" s="50">
        <f t="shared" si="24"/>
        <v>165.9915755</v>
      </c>
      <c r="CX30" s="50">
        <f t="shared" si="24"/>
        <v>165.9915755</v>
      </c>
      <c r="CY30" s="50">
        <f t="shared" si="24"/>
        <v>165.9915755</v>
      </c>
      <c r="CZ30" s="50">
        <f t="shared" si="24"/>
        <v>165.9915755</v>
      </c>
      <c r="DA30" s="50">
        <f t="shared" si="24"/>
        <v>165.9915755</v>
      </c>
      <c r="DB30" s="50">
        <f t="shared" si="24"/>
        <v>165.9915755</v>
      </c>
      <c r="DC30" s="50">
        <f t="shared" si="24"/>
        <v>165.9915755</v>
      </c>
      <c r="DD30" s="50">
        <f t="shared" si="24"/>
        <v>165.9915755</v>
      </c>
      <c r="DE30" s="50">
        <f t="shared" si="24"/>
        <v>165.9915755</v>
      </c>
      <c r="DF30" s="50">
        <f t="shared" si="24"/>
        <v>165.9915755</v>
      </c>
      <c r="DG30" s="50">
        <f t="shared" si="24"/>
        <v>170.9713228</v>
      </c>
      <c r="DH30" s="50">
        <f t="shared" si="24"/>
        <v>170.9713228</v>
      </c>
      <c r="DI30" s="50">
        <f t="shared" si="24"/>
        <v>170.9713228</v>
      </c>
      <c r="DJ30" s="50">
        <f t="shared" si="24"/>
        <v>170.9713228</v>
      </c>
      <c r="DK30" s="50">
        <f t="shared" si="24"/>
        <v>170.9713228</v>
      </c>
      <c r="DL30" s="50">
        <f t="shared" si="24"/>
        <v>170.9713228</v>
      </c>
      <c r="DM30" s="50">
        <f t="shared" si="24"/>
        <v>170.9713228</v>
      </c>
      <c r="DN30" s="50">
        <f t="shared" si="24"/>
        <v>170.9713228</v>
      </c>
      <c r="DO30" s="50">
        <f t="shared" si="24"/>
        <v>170.9713228</v>
      </c>
      <c r="DP30" s="50">
        <f t="shared" si="24"/>
        <v>170.9713228</v>
      </c>
      <c r="DQ30" s="50">
        <f t="shared" si="24"/>
        <v>170.9713228</v>
      </c>
      <c r="DR30" s="50">
        <f t="shared" si="24"/>
        <v>170.9713228</v>
      </c>
    </row>
    <row r="31" ht="15.0" customHeight="1">
      <c r="B31" s="5" t="s">
        <v>158</v>
      </c>
      <c r="F31" s="50">
        <f t="shared" ref="F31:M31" si="25">+SUMIFS($AA31:$DR31,$AA$7:$DR$7,F$7)</f>
        <v>1020.84254</v>
      </c>
      <c r="G31" s="50">
        <f t="shared" si="25"/>
        <v>1297.705249</v>
      </c>
      <c r="H31" s="50">
        <f t="shared" si="25"/>
        <v>1211.812992</v>
      </c>
      <c r="I31" s="50">
        <f t="shared" si="25"/>
        <v>1272.792223</v>
      </c>
      <c r="J31" s="50">
        <f t="shared" si="25"/>
        <v>1248.88633</v>
      </c>
      <c r="K31" s="50">
        <f t="shared" si="25"/>
        <v>1413.039192</v>
      </c>
      <c r="L31" s="50">
        <f t="shared" si="25"/>
        <v>1761.572618</v>
      </c>
      <c r="M31" s="50">
        <f t="shared" si="25"/>
        <v>2253.809206</v>
      </c>
      <c r="AA31" s="133">
        <v>72.14789275634996</v>
      </c>
      <c r="AB31" s="133">
        <v>69.15584195672626</v>
      </c>
      <c r="AC31" s="133">
        <v>69.55832549388525</v>
      </c>
      <c r="AD31" s="133">
        <v>74.69959548447791</v>
      </c>
      <c r="AE31" s="133">
        <v>77.09066792097836</v>
      </c>
      <c r="AF31" s="133">
        <v>77.09066792097836</v>
      </c>
      <c r="AG31" s="133">
        <v>83.76904045155221</v>
      </c>
      <c r="AH31" s="133">
        <v>89.99136406396988</v>
      </c>
      <c r="AI31" s="133">
        <v>88.73463781749764</v>
      </c>
      <c r="AJ31" s="133">
        <v>103.55497648165569</v>
      </c>
      <c r="AK31" s="133">
        <v>107.69381937911571</v>
      </c>
      <c r="AL31" s="133">
        <v>107.35571025399811</v>
      </c>
      <c r="AM31" s="133">
        <v>107.55712135465663</v>
      </c>
      <c r="AN31" s="133">
        <v>112.45600188146757</v>
      </c>
      <c r="AO31" s="133">
        <v>105.89510818438384</v>
      </c>
      <c r="AP31" s="133">
        <v>105.22844778927566</v>
      </c>
      <c r="AQ31" s="133">
        <v>105.22844778927566</v>
      </c>
      <c r="AR31" s="133">
        <v>105.22844778927566</v>
      </c>
      <c r="AS31" s="133">
        <v>105.22844778927566</v>
      </c>
      <c r="AT31" s="133">
        <v>105.22844778927566</v>
      </c>
      <c r="AU31" s="133">
        <v>105.53020696142993</v>
      </c>
      <c r="AV31" s="133">
        <v>106.40304797742239</v>
      </c>
      <c r="AW31" s="133">
        <v>114.25029162746944</v>
      </c>
      <c r="AX31" s="133">
        <v>119.47123236124175</v>
      </c>
      <c r="AY31" s="133">
        <v>97.76016933207902</v>
      </c>
      <c r="AZ31" s="133">
        <v>101.7910348071496</v>
      </c>
      <c r="BA31" s="133">
        <v>97.77046095954844</v>
      </c>
      <c r="BB31" s="133">
        <v>100.49439322671685</v>
      </c>
      <c r="BC31" s="133">
        <v>101.27834430856068</v>
      </c>
      <c r="BD31" s="133">
        <v>102.06229539040451</v>
      </c>
      <c r="BE31" s="133">
        <v>102.2338946378175</v>
      </c>
      <c r="BF31" s="133">
        <v>105.286020696143</v>
      </c>
      <c r="BG31" s="133">
        <v>101.68730009407336</v>
      </c>
      <c r="BH31" s="133">
        <v>97.45414863593604</v>
      </c>
      <c r="BI31" s="133">
        <v>100.66119473189087</v>
      </c>
      <c r="BJ31" s="133">
        <v>103.33373471307621</v>
      </c>
      <c r="BK31" s="51">
        <v>114.30671000000001</v>
      </c>
      <c r="BL31" s="51">
        <v>117.99992000000002</v>
      </c>
      <c r="BM31" s="51">
        <v>116.20951000000001</v>
      </c>
      <c r="BN31" s="51">
        <v>115.9354166666667</v>
      </c>
      <c r="BO31" s="51">
        <v>101.04258333333334</v>
      </c>
      <c r="BP31" s="51">
        <v>101.04258333333334</v>
      </c>
      <c r="BQ31" s="51">
        <v>101.04258333333334</v>
      </c>
      <c r="BR31" s="51">
        <v>101.04258333333334</v>
      </c>
      <c r="BS31" s="51">
        <v>101.04258333333334</v>
      </c>
      <c r="BT31" s="51">
        <v>101.04258333333334</v>
      </c>
      <c r="BU31" s="51">
        <v>101.04258333333334</v>
      </c>
      <c r="BV31" s="51">
        <v>101.04258333333334</v>
      </c>
      <c r="BW31" s="51">
        <v>104.07386083333334</v>
      </c>
      <c r="BX31" s="51">
        <v>104.07386083333334</v>
      </c>
      <c r="BY31" s="51">
        <v>104.07386083333334</v>
      </c>
      <c r="BZ31" s="51">
        <v>104.07386083333334</v>
      </c>
      <c r="CA31" s="51">
        <v>104.07386083333334</v>
      </c>
      <c r="CB31" s="51">
        <v>104.07386083333334</v>
      </c>
      <c r="CC31" s="51">
        <v>104.07386083333334</v>
      </c>
      <c r="CD31" s="51">
        <v>104.07386083333334</v>
      </c>
      <c r="CE31" s="51">
        <v>104.07386083333334</v>
      </c>
      <c r="CF31" s="51">
        <v>104.07386083333334</v>
      </c>
      <c r="CG31" s="51">
        <v>104.07386083333334</v>
      </c>
      <c r="CH31" s="51">
        <v>104.07386083333334</v>
      </c>
      <c r="CI31" s="50">
        <f t="shared" ref="CI31:DR31" si="26">+CI15*CI25</f>
        <v>108.8202596</v>
      </c>
      <c r="CJ31" s="50">
        <f t="shared" si="26"/>
        <v>110.4444426</v>
      </c>
      <c r="CK31" s="50">
        <f t="shared" si="26"/>
        <v>112.0686256</v>
      </c>
      <c r="CL31" s="50">
        <f t="shared" si="26"/>
        <v>113.6928086</v>
      </c>
      <c r="CM31" s="50">
        <f t="shared" si="26"/>
        <v>115.3169916</v>
      </c>
      <c r="CN31" s="50">
        <f t="shared" si="26"/>
        <v>116.9411745</v>
      </c>
      <c r="CO31" s="50">
        <f t="shared" si="26"/>
        <v>118.5653575</v>
      </c>
      <c r="CP31" s="50">
        <f t="shared" si="26"/>
        <v>120.1895405</v>
      </c>
      <c r="CQ31" s="50">
        <f t="shared" si="26"/>
        <v>121.8137235</v>
      </c>
      <c r="CR31" s="50">
        <f t="shared" si="26"/>
        <v>123.4379065</v>
      </c>
      <c r="CS31" s="50">
        <f t="shared" si="26"/>
        <v>125.0620894</v>
      </c>
      <c r="CT31" s="50">
        <f t="shared" si="26"/>
        <v>126.6862724</v>
      </c>
      <c r="CU31" s="50">
        <f t="shared" si="26"/>
        <v>132.9962233</v>
      </c>
      <c r="CV31" s="50">
        <f t="shared" si="26"/>
        <v>135.505586</v>
      </c>
      <c r="CW31" s="50">
        <f t="shared" si="26"/>
        <v>138.0149487</v>
      </c>
      <c r="CX31" s="50">
        <f t="shared" si="26"/>
        <v>140.5243114</v>
      </c>
      <c r="CY31" s="50">
        <f t="shared" si="26"/>
        <v>143.0336741</v>
      </c>
      <c r="CZ31" s="50">
        <f t="shared" si="26"/>
        <v>145.5430368</v>
      </c>
      <c r="DA31" s="50">
        <f t="shared" si="26"/>
        <v>148.0523995</v>
      </c>
      <c r="DB31" s="50">
        <f t="shared" si="26"/>
        <v>150.5617622</v>
      </c>
      <c r="DC31" s="50">
        <f t="shared" si="26"/>
        <v>153.0711249</v>
      </c>
      <c r="DD31" s="50">
        <f t="shared" si="26"/>
        <v>155.5804876</v>
      </c>
      <c r="DE31" s="50">
        <f t="shared" si="26"/>
        <v>158.0898503</v>
      </c>
      <c r="DF31" s="50">
        <f t="shared" si="26"/>
        <v>160.599213</v>
      </c>
      <c r="DG31" s="50">
        <f t="shared" si="26"/>
        <v>168.8633809</v>
      </c>
      <c r="DH31" s="50">
        <f t="shared" si="26"/>
        <v>172.3095723</v>
      </c>
      <c r="DI31" s="50">
        <f t="shared" si="26"/>
        <v>175.7557638</v>
      </c>
      <c r="DJ31" s="50">
        <f t="shared" si="26"/>
        <v>179.2019552</v>
      </c>
      <c r="DK31" s="50">
        <f t="shared" si="26"/>
        <v>182.6481467</v>
      </c>
      <c r="DL31" s="50">
        <f t="shared" si="26"/>
        <v>186.0943381</v>
      </c>
      <c r="DM31" s="50">
        <f t="shared" si="26"/>
        <v>189.5405295</v>
      </c>
      <c r="DN31" s="50">
        <f t="shared" si="26"/>
        <v>192.986721</v>
      </c>
      <c r="DO31" s="50">
        <f t="shared" si="26"/>
        <v>196.4329124</v>
      </c>
      <c r="DP31" s="50">
        <f t="shared" si="26"/>
        <v>199.8791039</v>
      </c>
      <c r="DQ31" s="50">
        <f t="shared" si="26"/>
        <v>203.3252953</v>
      </c>
      <c r="DR31" s="50">
        <f t="shared" si="26"/>
        <v>206.7714868</v>
      </c>
    </row>
    <row r="32" ht="15.75" customHeight="1">
      <c r="B32" s="54" t="s">
        <v>163</v>
      </c>
      <c r="C32" s="54"/>
      <c r="D32" s="54"/>
      <c r="F32" s="55">
        <f t="shared" ref="F32:M32" si="27">+SUMIFS($AA32:$DR32,$AA$7:$DR$7,F$7)</f>
        <v>13806.86951</v>
      </c>
      <c r="G32" s="55">
        <f t="shared" si="27"/>
        <v>13084.05213</v>
      </c>
      <c r="H32" s="55">
        <f t="shared" si="27"/>
        <v>11666.0075</v>
      </c>
      <c r="I32" s="55">
        <f t="shared" si="27"/>
        <v>13011.43623</v>
      </c>
      <c r="J32" s="55">
        <f t="shared" si="27"/>
        <v>14682.85427</v>
      </c>
      <c r="K32" s="55">
        <f t="shared" si="27"/>
        <v>16893.90358</v>
      </c>
      <c r="L32" s="55">
        <f t="shared" si="27"/>
        <v>19675.83691</v>
      </c>
      <c r="M32" s="55">
        <f t="shared" si="27"/>
        <v>22945.21518</v>
      </c>
      <c r="AA32" s="50">
        <f t="shared" ref="AA32:DR32" si="28">SUM(AA28:AA31)</f>
        <v>1018.214919</v>
      </c>
      <c r="AB32" s="50">
        <f t="shared" si="28"/>
        <v>1065.526447</v>
      </c>
      <c r="AC32" s="50">
        <f t="shared" si="28"/>
        <v>1029.565537</v>
      </c>
      <c r="AD32" s="50">
        <f t="shared" si="28"/>
        <v>1055.719482</v>
      </c>
      <c r="AE32" s="50">
        <f t="shared" si="28"/>
        <v>1099.526069</v>
      </c>
      <c r="AF32" s="50">
        <f t="shared" si="28"/>
        <v>1195.105876</v>
      </c>
      <c r="AG32" s="50">
        <f t="shared" si="28"/>
        <v>1223.262503</v>
      </c>
      <c r="AH32" s="50">
        <f t="shared" si="28"/>
        <v>1244.513317</v>
      </c>
      <c r="AI32" s="50">
        <f t="shared" si="28"/>
        <v>1175.752054</v>
      </c>
      <c r="AJ32" s="50">
        <f t="shared" si="28"/>
        <v>1253.245438</v>
      </c>
      <c r="AK32" s="50">
        <f t="shared" si="28"/>
        <v>1211.236112</v>
      </c>
      <c r="AL32" s="50">
        <f t="shared" si="28"/>
        <v>1235.201759</v>
      </c>
      <c r="AM32" s="50">
        <f t="shared" si="28"/>
        <v>1241.295332</v>
      </c>
      <c r="AN32" s="50">
        <f t="shared" si="28"/>
        <v>1225.082055</v>
      </c>
      <c r="AO32" s="50">
        <f t="shared" si="28"/>
        <v>1172.637104</v>
      </c>
      <c r="AP32" s="50">
        <f t="shared" si="28"/>
        <v>1087.13543</v>
      </c>
      <c r="AQ32" s="50">
        <f t="shared" si="28"/>
        <v>1079.908265</v>
      </c>
      <c r="AR32" s="50">
        <f t="shared" si="28"/>
        <v>1094.166829</v>
      </c>
      <c r="AS32" s="50">
        <f t="shared" si="28"/>
        <v>1085.058105</v>
      </c>
      <c r="AT32" s="50">
        <f t="shared" si="28"/>
        <v>1082.237815</v>
      </c>
      <c r="AU32" s="50">
        <f t="shared" si="28"/>
        <v>1058.824316</v>
      </c>
      <c r="AV32" s="50">
        <f t="shared" si="28"/>
        <v>1011.168264</v>
      </c>
      <c r="AW32" s="50">
        <f t="shared" si="28"/>
        <v>951.6583855</v>
      </c>
      <c r="AX32" s="50">
        <f t="shared" si="28"/>
        <v>994.8802294</v>
      </c>
      <c r="AY32" s="50">
        <f t="shared" si="28"/>
        <v>954.5602643</v>
      </c>
      <c r="AZ32" s="50">
        <f t="shared" si="28"/>
        <v>933.0132085</v>
      </c>
      <c r="BA32" s="50">
        <f t="shared" si="28"/>
        <v>954.1862151</v>
      </c>
      <c r="BB32" s="50">
        <f t="shared" si="28"/>
        <v>979.7608977</v>
      </c>
      <c r="BC32" s="50">
        <f t="shared" si="28"/>
        <v>980.0589875</v>
      </c>
      <c r="BD32" s="50">
        <f t="shared" si="28"/>
        <v>991.951392</v>
      </c>
      <c r="BE32" s="50">
        <f t="shared" si="28"/>
        <v>1006.545551</v>
      </c>
      <c r="BF32" s="50">
        <f t="shared" si="28"/>
        <v>994.57695</v>
      </c>
      <c r="BG32" s="50">
        <f t="shared" si="28"/>
        <v>943.2610801</v>
      </c>
      <c r="BH32" s="50">
        <f t="shared" si="28"/>
        <v>976.9453108</v>
      </c>
      <c r="BI32" s="50">
        <f t="shared" si="28"/>
        <v>978.9643762</v>
      </c>
      <c r="BJ32" s="50">
        <f t="shared" si="28"/>
        <v>972.1832642</v>
      </c>
      <c r="BK32" s="55">
        <f t="shared" si="28"/>
        <v>1054.637333</v>
      </c>
      <c r="BL32" s="55">
        <f t="shared" si="28"/>
        <v>1057.832333</v>
      </c>
      <c r="BM32" s="55">
        <f t="shared" si="28"/>
        <v>1077.38101</v>
      </c>
      <c r="BN32" s="55">
        <f t="shared" si="28"/>
        <v>1091.425756</v>
      </c>
      <c r="BO32" s="55">
        <f t="shared" si="28"/>
        <v>1087.332923</v>
      </c>
      <c r="BP32" s="55">
        <f t="shared" si="28"/>
        <v>1094.731839</v>
      </c>
      <c r="BQ32" s="55">
        <f t="shared" si="28"/>
        <v>1095.099173</v>
      </c>
      <c r="BR32" s="55">
        <f t="shared" si="28"/>
        <v>1090.599173</v>
      </c>
      <c r="BS32" s="55">
        <f t="shared" si="28"/>
        <v>1090.599173</v>
      </c>
      <c r="BT32" s="55">
        <f t="shared" si="28"/>
        <v>1090.599173</v>
      </c>
      <c r="BU32" s="55">
        <f t="shared" si="28"/>
        <v>1090.599173</v>
      </c>
      <c r="BV32" s="55">
        <f t="shared" si="28"/>
        <v>1090.599173</v>
      </c>
      <c r="BW32" s="55">
        <f t="shared" si="28"/>
        <v>1160.594453</v>
      </c>
      <c r="BX32" s="55">
        <f t="shared" si="28"/>
        <v>1168.319453</v>
      </c>
      <c r="BY32" s="55">
        <f t="shared" si="28"/>
        <v>1179.044453</v>
      </c>
      <c r="BZ32" s="55">
        <f t="shared" si="28"/>
        <v>1204.794453</v>
      </c>
      <c r="CA32" s="55">
        <f t="shared" si="28"/>
        <v>1212.519453</v>
      </c>
      <c r="CB32" s="55">
        <f t="shared" si="28"/>
        <v>1220.244453</v>
      </c>
      <c r="CC32" s="55">
        <f t="shared" si="28"/>
        <v>1227.969453</v>
      </c>
      <c r="CD32" s="55">
        <f t="shared" si="28"/>
        <v>1246.42362</v>
      </c>
      <c r="CE32" s="55">
        <f t="shared" si="28"/>
        <v>1254.14862</v>
      </c>
      <c r="CF32" s="55">
        <f t="shared" si="28"/>
        <v>1261.87362</v>
      </c>
      <c r="CG32" s="55">
        <f t="shared" si="28"/>
        <v>1269.59862</v>
      </c>
      <c r="CH32" s="55">
        <f t="shared" si="28"/>
        <v>1277.32362</v>
      </c>
      <c r="CI32" s="55">
        <f t="shared" si="28"/>
        <v>1330.006625</v>
      </c>
      <c r="CJ32" s="55">
        <f t="shared" si="28"/>
        <v>1344.155475</v>
      </c>
      <c r="CK32" s="55">
        <f t="shared" si="28"/>
        <v>1358.304324</v>
      </c>
      <c r="CL32" s="55">
        <f t="shared" si="28"/>
        <v>1372.453174</v>
      </c>
      <c r="CM32" s="55">
        <f t="shared" si="28"/>
        <v>1386.602024</v>
      </c>
      <c r="CN32" s="55">
        <f t="shared" si="28"/>
        <v>1400.750873</v>
      </c>
      <c r="CO32" s="55">
        <f t="shared" si="28"/>
        <v>1414.899723</v>
      </c>
      <c r="CP32" s="55">
        <f t="shared" si="28"/>
        <v>1429.048573</v>
      </c>
      <c r="CQ32" s="55">
        <f t="shared" si="28"/>
        <v>1443.197422</v>
      </c>
      <c r="CR32" s="55">
        <f t="shared" si="28"/>
        <v>1457.346272</v>
      </c>
      <c r="CS32" s="55">
        <f t="shared" si="28"/>
        <v>1471.495121</v>
      </c>
      <c r="CT32" s="55">
        <f t="shared" si="28"/>
        <v>1485.643971</v>
      </c>
      <c r="CU32" s="55">
        <f t="shared" si="28"/>
        <v>1547.05018</v>
      </c>
      <c r="CV32" s="55">
        <f t="shared" si="28"/>
        <v>1563.88707</v>
      </c>
      <c r="CW32" s="55">
        <f t="shared" si="28"/>
        <v>1580.723961</v>
      </c>
      <c r="CX32" s="55">
        <f t="shared" si="28"/>
        <v>1597.560851</v>
      </c>
      <c r="CY32" s="55">
        <f t="shared" si="28"/>
        <v>1614.397741</v>
      </c>
      <c r="CZ32" s="55">
        <f t="shared" si="28"/>
        <v>1631.234631</v>
      </c>
      <c r="DA32" s="55">
        <f t="shared" si="28"/>
        <v>1648.071521</v>
      </c>
      <c r="DB32" s="55">
        <f t="shared" si="28"/>
        <v>1664.908411</v>
      </c>
      <c r="DC32" s="55">
        <f t="shared" si="28"/>
        <v>1681.745301</v>
      </c>
      <c r="DD32" s="55">
        <f t="shared" si="28"/>
        <v>1698.582192</v>
      </c>
      <c r="DE32" s="55">
        <f t="shared" si="28"/>
        <v>1715.419082</v>
      </c>
      <c r="DF32" s="55">
        <f t="shared" si="28"/>
        <v>1732.255972</v>
      </c>
      <c r="DG32" s="55">
        <f t="shared" si="28"/>
        <v>1803.89713</v>
      </c>
      <c r="DH32" s="55">
        <f t="shared" si="28"/>
        <v>1823.570609</v>
      </c>
      <c r="DI32" s="55">
        <f t="shared" si="28"/>
        <v>1843.244088</v>
      </c>
      <c r="DJ32" s="55">
        <f t="shared" si="28"/>
        <v>1862.917567</v>
      </c>
      <c r="DK32" s="55">
        <f t="shared" si="28"/>
        <v>1882.591046</v>
      </c>
      <c r="DL32" s="55">
        <f t="shared" si="28"/>
        <v>1902.264526</v>
      </c>
      <c r="DM32" s="55">
        <f t="shared" si="28"/>
        <v>1921.938005</v>
      </c>
      <c r="DN32" s="55">
        <f t="shared" si="28"/>
        <v>1941.611484</v>
      </c>
      <c r="DO32" s="55">
        <f t="shared" si="28"/>
        <v>1961.284963</v>
      </c>
      <c r="DP32" s="55">
        <f t="shared" si="28"/>
        <v>1980.958442</v>
      </c>
      <c r="DQ32" s="55">
        <f t="shared" si="28"/>
        <v>2000.631921</v>
      </c>
      <c r="DR32" s="55">
        <f t="shared" si="28"/>
        <v>2020.3054</v>
      </c>
    </row>
    <row r="33" ht="4.5" customHeight="1"/>
    <row r="34" ht="15.0" customHeight="1">
      <c r="B34" s="5" t="s">
        <v>164</v>
      </c>
      <c r="F34" s="50">
        <f t="shared" ref="F34:M34" si="29">+SUMIFS($AA34:$DR34,$AA$7:$DR$7,F$7)</f>
        <v>6076.584023</v>
      </c>
      <c r="G34" s="50">
        <f t="shared" si="29"/>
        <v>5191.445384</v>
      </c>
      <c r="H34" s="50">
        <f t="shared" si="29"/>
        <v>4264.482206</v>
      </c>
      <c r="I34" s="50">
        <f t="shared" si="29"/>
        <v>5025.53618</v>
      </c>
      <c r="J34" s="50">
        <f t="shared" si="29"/>
        <v>6479.045337</v>
      </c>
      <c r="K34" s="50">
        <f t="shared" si="29"/>
        <v>7873.79427</v>
      </c>
      <c r="L34" s="50">
        <f t="shared" si="29"/>
        <v>9538.739767</v>
      </c>
      <c r="M34" s="50">
        <f t="shared" si="29"/>
        <v>11411.40863</v>
      </c>
      <c r="AA34" s="52">
        <f>+SUM(COGS_Calcs!AA74,COGS_Calcs!AA104,COGS_Calcs!AA173,COGS_Calcs!AA256,COGS_Calcs!AA276)</f>
        <v>404.3002608</v>
      </c>
      <c r="AB34" s="52">
        <f>+SUM(COGS_Calcs!AB74,COGS_Calcs!AB104,COGS_Calcs!AB173,COGS_Calcs!AB256,COGS_Calcs!AB276)</f>
        <v>434.1899508</v>
      </c>
      <c r="AC34" s="52">
        <f>+SUM(COGS_Calcs!AC74,COGS_Calcs!AC104,COGS_Calcs!AC173,COGS_Calcs!AC256,COGS_Calcs!AC276)</f>
        <v>457.5522398</v>
      </c>
      <c r="AD34" s="52">
        <f>+SUM(COGS_Calcs!AD74,COGS_Calcs!AD104,COGS_Calcs!AD173,COGS_Calcs!AD256,COGS_Calcs!AD276)</f>
        <v>417.3246028</v>
      </c>
      <c r="AE34" s="52">
        <f>+SUM(COGS_Calcs!AE74,COGS_Calcs!AE104,COGS_Calcs!AE173,COGS_Calcs!AE256,COGS_Calcs!AE276)</f>
        <v>469.1275142</v>
      </c>
      <c r="AF34" s="52">
        <f>+SUM(COGS_Calcs!AF74,COGS_Calcs!AF104,COGS_Calcs!AF173,COGS_Calcs!AF256,COGS_Calcs!AF276)</f>
        <v>565.8408538</v>
      </c>
      <c r="AG34" s="52">
        <f>+SUM(COGS_Calcs!AG74,COGS_Calcs!AG104,COGS_Calcs!AG173,COGS_Calcs!AG256,COGS_Calcs!AG276)</f>
        <v>520.1482707</v>
      </c>
      <c r="AH34" s="52">
        <f>+SUM(COGS_Calcs!AH74,COGS_Calcs!AH104,COGS_Calcs!AH173,COGS_Calcs!AH256,COGS_Calcs!AH276)</f>
        <v>615.6366449</v>
      </c>
      <c r="AI34" s="52">
        <f>+SUM(COGS_Calcs!AI74,COGS_Calcs!AI104,COGS_Calcs!AI173,COGS_Calcs!AI256,COGS_Calcs!AI276)</f>
        <v>496.4145773</v>
      </c>
      <c r="AJ34" s="52">
        <f>+SUM(COGS_Calcs!AJ74,COGS_Calcs!AJ104,COGS_Calcs!AJ173,COGS_Calcs!AJ256,COGS_Calcs!AJ276)</f>
        <v>675.6916819</v>
      </c>
      <c r="AK34" s="52">
        <f>+SUM(COGS_Calcs!AK74,COGS_Calcs!AK104,COGS_Calcs!AK173,COGS_Calcs!AK256,COGS_Calcs!AK276)</f>
        <v>546.3989264</v>
      </c>
      <c r="AL34" s="52">
        <f>+SUM(COGS_Calcs!AL74,COGS_Calcs!AL104,COGS_Calcs!AL173,COGS_Calcs!AL256,COGS_Calcs!AL276)</f>
        <v>473.9584991</v>
      </c>
      <c r="AM34" s="52">
        <f>+SUM(COGS_Calcs!AM74,COGS_Calcs!AM104,COGS_Calcs!AM173,COGS_Calcs!AM256,COGS_Calcs!AM276)</f>
        <v>489.267099</v>
      </c>
      <c r="AN34" s="52">
        <f>+SUM(COGS_Calcs!AN74,COGS_Calcs!AN104,COGS_Calcs!AN173,COGS_Calcs!AN256,COGS_Calcs!AN276)</f>
        <v>521.9246674</v>
      </c>
      <c r="AO34" s="52">
        <f>+SUM(COGS_Calcs!AO74,COGS_Calcs!AO104,COGS_Calcs!AO173,COGS_Calcs!AO256,COGS_Calcs!AO276)</f>
        <v>527.6163781</v>
      </c>
      <c r="AP34" s="52">
        <f>+SUM(COGS_Calcs!AP74,COGS_Calcs!AP104,COGS_Calcs!AP173,COGS_Calcs!AP256,COGS_Calcs!AP276)</f>
        <v>521.3444761</v>
      </c>
      <c r="AQ34" s="52">
        <f>+SUM(COGS_Calcs!AQ74,COGS_Calcs!AQ104,COGS_Calcs!AQ173,COGS_Calcs!AQ256,COGS_Calcs!AQ276)</f>
        <v>429.8469563</v>
      </c>
      <c r="AR34" s="52">
        <f>+SUM(COGS_Calcs!AR74,COGS_Calcs!AR104,COGS_Calcs!AR173,COGS_Calcs!AR256,COGS_Calcs!AR276)</f>
        <v>452.5306456</v>
      </c>
      <c r="AS34" s="52">
        <f>+SUM(COGS_Calcs!AS74,COGS_Calcs!AS104,COGS_Calcs!AS173,COGS_Calcs!AS256,COGS_Calcs!AS276)</f>
        <v>431.9969651</v>
      </c>
      <c r="AT34" s="52">
        <f>+SUM(COGS_Calcs!AT74,COGS_Calcs!AT104,COGS_Calcs!AT173,COGS_Calcs!AT256,COGS_Calcs!AT276)</f>
        <v>435.623342</v>
      </c>
      <c r="AU34" s="52">
        <f>+SUM(COGS_Calcs!AU74,COGS_Calcs!AU104,COGS_Calcs!AU173,COGS_Calcs!AU256,COGS_Calcs!AU276)</f>
        <v>414.9244052</v>
      </c>
      <c r="AV34" s="52">
        <f>+SUM(COGS_Calcs!AV74,COGS_Calcs!AV104,COGS_Calcs!AV173,COGS_Calcs!AV256,COGS_Calcs!AV276)</f>
        <v>410.8331089</v>
      </c>
      <c r="AW34" s="52">
        <f>+SUM(COGS_Calcs!AW74,COGS_Calcs!AW104,COGS_Calcs!AW173,COGS_Calcs!AW256,COGS_Calcs!AW276)</f>
        <v>293.5009513</v>
      </c>
      <c r="AX34" s="52">
        <f>+SUM(COGS_Calcs!AX74,COGS_Calcs!AX104,COGS_Calcs!AX173,COGS_Calcs!AX256,COGS_Calcs!AX276)</f>
        <v>262.0363886</v>
      </c>
      <c r="AY34" s="52">
        <f>+SUM(COGS_Calcs!AY74,COGS_Calcs!AY104,COGS_Calcs!AY173,COGS_Calcs!AY256,COGS_Calcs!AY276)</f>
        <v>309.9079116</v>
      </c>
      <c r="AZ34" s="52">
        <f>+SUM(COGS_Calcs!AZ74,COGS_Calcs!AZ104,COGS_Calcs!AZ173,COGS_Calcs!AZ256,COGS_Calcs!AZ276)</f>
        <v>371.8998426</v>
      </c>
      <c r="BA34" s="52">
        <f>+SUM(COGS_Calcs!BA74,COGS_Calcs!BA104,COGS_Calcs!BA173,COGS_Calcs!BA256,COGS_Calcs!BA276)</f>
        <v>407.064617</v>
      </c>
      <c r="BB34" s="52">
        <f>+SUM(COGS_Calcs!BB74,COGS_Calcs!BB104,COGS_Calcs!BB173,COGS_Calcs!BB256,COGS_Calcs!BB276)</f>
        <v>385.9597049</v>
      </c>
      <c r="BC34" s="52">
        <f>+SUM(COGS_Calcs!BC74,COGS_Calcs!BC104,COGS_Calcs!BC173,COGS_Calcs!BC256,COGS_Calcs!BC276)</f>
        <v>374.669098</v>
      </c>
      <c r="BD34" s="52">
        <f>+SUM(COGS_Calcs!BD74,COGS_Calcs!BD104,COGS_Calcs!BD173,COGS_Calcs!BD256,COGS_Calcs!BD276)</f>
        <v>358.0986324</v>
      </c>
      <c r="BE34" s="52">
        <f>+SUM(COGS_Calcs!BE74,COGS_Calcs!BE104,COGS_Calcs!BE173,COGS_Calcs!BE256,COGS_Calcs!BE276)</f>
        <v>373.7796027</v>
      </c>
      <c r="BF34" s="52">
        <f>+SUM(COGS_Calcs!BF74,COGS_Calcs!BF104,COGS_Calcs!BF173,COGS_Calcs!BF256,COGS_Calcs!BF276)</f>
        <v>373.287502</v>
      </c>
      <c r="BG34" s="52">
        <f>+SUM(COGS_Calcs!BG74,COGS_Calcs!BG104,COGS_Calcs!BG173,COGS_Calcs!BG256,COGS_Calcs!BG276)</f>
        <v>353.2337996</v>
      </c>
      <c r="BH34" s="52">
        <f>+SUM(COGS_Calcs!BH74,COGS_Calcs!BH104,COGS_Calcs!BH173,COGS_Calcs!BH256,COGS_Calcs!BH276)</f>
        <v>389.3843076</v>
      </c>
      <c r="BI34" s="52">
        <f>+SUM(COGS_Calcs!BI74,COGS_Calcs!BI104,COGS_Calcs!BI173,COGS_Calcs!BI256,COGS_Calcs!BI276)</f>
        <v>306.5872078</v>
      </c>
      <c r="BJ34" s="52">
        <f>+SUM(COGS_Calcs!BJ74,COGS_Calcs!BJ104,COGS_Calcs!BJ173,COGS_Calcs!BJ256,COGS_Calcs!BJ276)</f>
        <v>260.6099799</v>
      </c>
      <c r="BK34" s="52">
        <f>+SUM(COGS_Calcs!BK74,COGS_Calcs!BK104,COGS_Calcs!BK173,COGS_Calcs!BK256,COGS_Calcs!BK276)</f>
        <v>397.8912232</v>
      </c>
      <c r="BL34" s="52">
        <f>+SUM(COGS_Calcs!BL74,COGS_Calcs!BL104,COGS_Calcs!BL173,COGS_Calcs!BL256,COGS_Calcs!BL276)</f>
        <v>431.3946592</v>
      </c>
      <c r="BM34" s="52">
        <f>+SUM(COGS_Calcs!BM74,COGS_Calcs!BM104,COGS_Calcs!BM173,COGS_Calcs!BM256,COGS_Calcs!BM276)</f>
        <v>452.600693</v>
      </c>
      <c r="BN34" s="52">
        <f>+SUM(COGS_Calcs!BN74,COGS_Calcs!BN104,COGS_Calcs!BN173,COGS_Calcs!BN256,COGS_Calcs!BN276)</f>
        <v>431.1898837</v>
      </c>
      <c r="BO34" s="52">
        <f>+SUM(COGS_Calcs!BO74,COGS_Calcs!BO104,COGS_Calcs!BO173,COGS_Calcs!BO256,COGS_Calcs!BO276)</f>
        <v>419.2165027</v>
      </c>
      <c r="BP34" s="52">
        <f>+SUM(COGS_Calcs!BP74,COGS_Calcs!BP104,COGS_Calcs!BP173,COGS_Calcs!BP256,COGS_Calcs!BP276)</f>
        <v>436.8328335</v>
      </c>
      <c r="BQ34" s="52">
        <f>+SUM(COGS_Calcs!BQ74,COGS_Calcs!BQ104,COGS_Calcs!BQ173,COGS_Calcs!BQ256,COGS_Calcs!BQ276)</f>
        <v>428.2747378</v>
      </c>
      <c r="BR34" s="52">
        <f>+SUM(COGS_Calcs!BR74,COGS_Calcs!BR104,COGS_Calcs!BR173,COGS_Calcs!BR256,COGS_Calcs!BR276)</f>
        <v>458.6224381</v>
      </c>
      <c r="BS34" s="52">
        <f>+SUM(COGS_Calcs!BS74,COGS_Calcs!BS104,COGS_Calcs!BS173,COGS_Calcs!BS256,COGS_Calcs!BS276)</f>
        <v>425.7460679</v>
      </c>
      <c r="BT34" s="52">
        <f>+SUM(COGS_Calcs!BT74,COGS_Calcs!BT104,COGS_Calcs!BT173,COGS_Calcs!BT256,COGS_Calcs!BT276)</f>
        <v>455.9591339</v>
      </c>
      <c r="BU34" s="52">
        <f>+SUM(COGS_Calcs!BU74,COGS_Calcs!BU104,COGS_Calcs!BU173,COGS_Calcs!BU256,COGS_Calcs!BU276)</f>
        <v>376.9095947</v>
      </c>
      <c r="BV34" s="52">
        <f>+SUM(COGS_Calcs!BV74,COGS_Calcs!BV104,COGS_Calcs!BV173,COGS_Calcs!BV256,COGS_Calcs!BV276)</f>
        <v>310.8984123</v>
      </c>
      <c r="BW34" s="52">
        <f>+SUM(COGS_Calcs!BW74,COGS_Calcs!BW104,COGS_Calcs!BW173,COGS_Calcs!BW256,COGS_Calcs!BW276)</f>
        <v>527.1251095</v>
      </c>
      <c r="BX34" s="52">
        <f>+SUM(COGS_Calcs!BX74,COGS_Calcs!BX104,COGS_Calcs!BX173,COGS_Calcs!BX256,COGS_Calcs!BX276)</f>
        <v>580.4779511</v>
      </c>
      <c r="BY34" s="52">
        <f>+SUM(COGS_Calcs!BY74,COGS_Calcs!BY104,COGS_Calcs!BY173,COGS_Calcs!BY256,COGS_Calcs!BY276)</f>
        <v>612.8781132</v>
      </c>
      <c r="BZ34" s="52">
        <f>+SUM(COGS_Calcs!BZ74,COGS_Calcs!BZ104,COGS_Calcs!BZ173,COGS_Calcs!BZ256,COGS_Calcs!BZ276)</f>
        <v>591.8081408</v>
      </c>
      <c r="CA34" s="52">
        <f>+SUM(COGS_Calcs!CA74,COGS_Calcs!CA104,COGS_Calcs!CA173,COGS_Calcs!CA256,COGS_Calcs!CA276)</f>
        <v>554.4230754</v>
      </c>
      <c r="CB34" s="52">
        <f>+SUM(COGS_Calcs!CB74,COGS_Calcs!CB104,COGS_Calcs!CB173,COGS_Calcs!CB256,COGS_Calcs!CB276)</f>
        <v>552.1941462</v>
      </c>
      <c r="CC34" s="52">
        <f>+SUM(COGS_Calcs!CC74,COGS_Calcs!CC104,COGS_Calcs!CC173,COGS_Calcs!CC256,COGS_Calcs!CC276)</f>
        <v>549.5668057</v>
      </c>
      <c r="CD34" s="52">
        <f>+SUM(COGS_Calcs!CD74,COGS_Calcs!CD104,COGS_Calcs!CD173,COGS_Calcs!CD256,COGS_Calcs!CD276)</f>
        <v>567.9961759</v>
      </c>
      <c r="CE34" s="52">
        <f>+SUM(COGS_Calcs!CE74,COGS_Calcs!CE104,COGS_Calcs!CE173,COGS_Calcs!CE256,COGS_Calcs!CE276)</f>
        <v>533.4377404</v>
      </c>
      <c r="CF34" s="52">
        <f>+SUM(COGS_Calcs!CF74,COGS_Calcs!CF104,COGS_Calcs!CF173,COGS_Calcs!CF256,COGS_Calcs!CF276)</f>
        <v>567.7814678</v>
      </c>
      <c r="CG34" s="52">
        <f>+SUM(COGS_Calcs!CG74,COGS_Calcs!CG104,COGS_Calcs!CG173,COGS_Calcs!CG256,COGS_Calcs!CG276)</f>
        <v>454.1658347</v>
      </c>
      <c r="CH34" s="52">
        <f>+SUM(COGS_Calcs!CH74,COGS_Calcs!CH104,COGS_Calcs!CH173,COGS_Calcs!CH256,COGS_Calcs!CH276)</f>
        <v>387.1907767</v>
      </c>
      <c r="CI34" s="52">
        <f>+SUM(COGS_Calcs!CI74,COGS_Calcs!CI104,COGS_Calcs!CI173,COGS_Calcs!CI256,COGS_Calcs!CI276)</f>
        <v>613.0067567</v>
      </c>
      <c r="CJ34" s="52">
        <f>+SUM(COGS_Calcs!CJ74,COGS_Calcs!CJ104,COGS_Calcs!CJ173,COGS_Calcs!CJ256,COGS_Calcs!CJ276)</f>
        <v>685.5718976</v>
      </c>
      <c r="CK34" s="52">
        <f>+SUM(COGS_Calcs!CK74,COGS_Calcs!CK104,COGS_Calcs!CK173,COGS_Calcs!CK256,COGS_Calcs!CK276)</f>
        <v>739.4233873</v>
      </c>
      <c r="CL34" s="52">
        <f>+SUM(COGS_Calcs!CL74,COGS_Calcs!CL104,COGS_Calcs!CL173,COGS_Calcs!CL256,COGS_Calcs!CL276)</f>
        <v>707.9632911</v>
      </c>
      <c r="CM34" s="52">
        <f>+SUM(COGS_Calcs!CM74,COGS_Calcs!CM104,COGS_Calcs!CM173,COGS_Calcs!CM256,COGS_Calcs!CM276)</f>
        <v>680.3301208</v>
      </c>
      <c r="CN34" s="52">
        <f>+SUM(COGS_Calcs!CN74,COGS_Calcs!CN104,COGS_Calcs!CN173,COGS_Calcs!CN256,COGS_Calcs!CN276)</f>
        <v>670.9424908</v>
      </c>
      <c r="CO34" s="52">
        <f>+SUM(COGS_Calcs!CO74,COGS_Calcs!CO104,COGS_Calcs!CO173,COGS_Calcs!CO256,COGS_Calcs!CO276)</f>
        <v>664.417751</v>
      </c>
      <c r="CP34" s="52">
        <f>+SUM(COGS_Calcs!CP74,COGS_Calcs!CP104,COGS_Calcs!CP173,COGS_Calcs!CP256,COGS_Calcs!CP276)</f>
        <v>689.1681534</v>
      </c>
      <c r="CQ34" s="52">
        <f>+SUM(COGS_Calcs!CQ74,COGS_Calcs!CQ104,COGS_Calcs!CQ173,COGS_Calcs!CQ256,COGS_Calcs!CQ276)</f>
        <v>647.3262361</v>
      </c>
      <c r="CR34" s="52">
        <f>+SUM(COGS_Calcs!CR74,COGS_Calcs!CR104,COGS_Calcs!CR173,COGS_Calcs!CR256,COGS_Calcs!CR276)</f>
        <v>709.0312141</v>
      </c>
      <c r="CS34" s="52">
        <f>+SUM(COGS_Calcs!CS74,COGS_Calcs!CS104,COGS_Calcs!CS173,COGS_Calcs!CS256,COGS_Calcs!CS276)</f>
        <v>577.8386593</v>
      </c>
      <c r="CT34" s="52">
        <f>+SUM(COGS_Calcs!CT74,COGS_Calcs!CT104,COGS_Calcs!CT173,COGS_Calcs!CT256,COGS_Calcs!CT276)</f>
        <v>488.7743116</v>
      </c>
      <c r="CU34" s="52">
        <f>+SUM(COGS_Calcs!CU74,COGS_Calcs!CU104,COGS_Calcs!CU173,COGS_Calcs!CU256,COGS_Calcs!CU276)</f>
        <v>757.9360354</v>
      </c>
      <c r="CV34" s="52">
        <f>+SUM(COGS_Calcs!CV74,COGS_Calcs!CV104,COGS_Calcs!CV173,COGS_Calcs!CV256,COGS_Calcs!CV276)</f>
        <v>838.4269431</v>
      </c>
      <c r="CW34" s="52">
        <f>+SUM(COGS_Calcs!CW74,COGS_Calcs!CW104,COGS_Calcs!CW173,COGS_Calcs!CW256,COGS_Calcs!CW276)</f>
        <v>896.5400979</v>
      </c>
      <c r="CX34" s="52">
        <f>+SUM(COGS_Calcs!CX74,COGS_Calcs!CX104,COGS_Calcs!CX173,COGS_Calcs!CX256,COGS_Calcs!CX276)</f>
        <v>860.1947253</v>
      </c>
      <c r="CY34" s="52">
        <f>+SUM(COGS_Calcs!CY74,COGS_Calcs!CY104,COGS_Calcs!CY173,COGS_Calcs!CY256,COGS_Calcs!CY276)</f>
        <v>824.1228394</v>
      </c>
      <c r="CZ34" s="52">
        <f>+SUM(COGS_Calcs!CZ74,COGS_Calcs!CZ104,COGS_Calcs!CZ173,COGS_Calcs!CZ256,COGS_Calcs!CZ276)</f>
        <v>816.6109399</v>
      </c>
      <c r="DA34" s="52">
        <f>+SUM(COGS_Calcs!DA74,COGS_Calcs!DA104,COGS_Calcs!DA173,COGS_Calcs!DA256,COGS_Calcs!DA276)</f>
        <v>797.3698625</v>
      </c>
      <c r="DB34" s="52">
        <f>+SUM(COGS_Calcs!DB74,COGS_Calcs!DB104,COGS_Calcs!DB173,COGS_Calcs!DB256,COGS_Calcs!DB276)</f>
        <v>837.5581565</v>
      </c>
      <c r="DC34" s="52">
        <f>+SUM(COGS_Calcs!DC74,COGS_Calcs!DC104,COGS_Calcs!DC173,COGS_Calcs!DC256,COGS_Calcs!DC276)</f>
        <v>783.4124093</v>
      </c>
      <c r="DD34" s="52">
        <f>+SUM(COGS_Calcs!DD74,COGS_Calcs!DD104,COGS_Calcs!DD173,COGS_Calcs!DD256,COGS_Calcs!DD276)</f>
        <v>851.0528378</v>
      </c>
      <c r="DE34" s="52">
        <f>+SUM(COGS_Calcs!DE74,COGS_Calcs!DE104,COGS_Calcs!DE173,COGS_Calcs!DE256,COGS_Calcs!DE276)</f>
        <v>692.9522332</v>
      </c>
      <c r="DF34" s="52">
        <f>+SUM(COGS_Calcs!DF74,COGS_Calcs!DF104,COGS_Calcs!DF173,COGS_Calcs!DF256,COGS_Calcs!DF276)</f>
        <v>582.5626865</v>
      </c>
      <c r="DG34" s="52">
        <f>+SUM(COGS_Calcs!DG74,COGS_Calcs!DG104,COGS_Calcs!DG173,COGS_Calcs!DG256,COGS_Calcs!DG276)</f>
        <v>910.5256668</v>
      </c>
      <c r="DH34" s="52">
        <f>+SUM(COGS_Calcs!DH74,COGS_Calcs!DH104,COGS_Calcs!DH173,COGS_Calcs!DH256,COGS_Calcs!DH276)</f>
        <v>1010.282038</v>
      </c>
      <c r="DI34" s="52">
        <f>+SUM(COGS_Calcs!DI74,COGS_Calcs!DI104,COGS_Calcs!DI173,COGS_Calcs!DI256,COGS_Calcs!DI276)</f>
        <v>1083.660798</v>
      </c>
      <c r="DJ34" s="52">
        <f>+SUM(COGS_Calcs!DJ74,COGS_Calcs!DJ104,COGS_Calcs!DJ173,COGS_Calcs!DJ256,COGS_Calcs!DJ276)</f>
        <v>1042.209157</v>
      </c>
      <c r="DK34" s="52">
        <f>+SUM(COGS_Calcs!DK74,COGS_Calcs!DK104,COGS_Calcs!DK173,COGS_Calcs!DK256,COGS_Calcs!DK276)</f>
        <v>992.8545187</v>
      </c>
      <c r="DL34" s="52">
        <f>+SUM(COGS_Calcs!DL74,COGS_Calcs!DL104,COGS_Calcs!DL173,COGS_Calcs!DL256,COGS_Calcs!DL276)</f>
        <v>972.2597193</v>
      </c>
      <c r="DM34" s="52">
        <f>+SUM(COGS_Calcs!DM74,COGS_Calcs!DM104,COGS_Calcs!DM173,COGS_Calcs!DM256,COGS_Calcs!DM276)</f>
        <v>950.7152051</v>
      </c>
      <c r="DN34" s="52">
        <f>+SUM(COGS_Calcs!DN74,COGS_Calcs!DN104,COGS_Calcs!DN173,COGS_Calcs!DN256,COGS_Calcs!DN276)</f>
        <v>990.9164494</v>
      </c>
      <c r="DO34" s="52">
        <f>+SUM(COGS_Calcs!DO74,COGS_Calcs!DO104,COGS_Calcs!DO173,COGS_Calcs!DO256,COGS_Calcs!DO276)</f>
        <v>929.4612329</v>
      </c>
      <c r="DP34" s="52">
        <f>+SUM(COGS_Calcs!DP74,COGS_Calcs!DP104,COGS_Calcs!DP173,COGS_Calcs!DP256,COGS_Calcs!DP276)</f>
        <v>1012.585852</v>
      </c>
      <c r="DQ34" s="52">
        <f>+SUM(COGS_Calcs!DQ74,COGS_Calcs!DQ104,COGS_Calcs!DQ173,COGS_Calcs!DQ256,COGS_Calcs!DQ276)</f>
        <v>821.4278134</v>
      </c>
      <c r="DR34" s="52">
        <f>+SUM(COGS_Calcs!DR74,COGS_Calcs!DR104,COGS_Calcs!DR173,COGS_Calcs!DR256,COGS_Calcs!DR276)</f>
        <v>694.5101842</v>
      </c>
    </row>
    <row r="35" ht="15.75" customHeight="1">
      <c r="A35" s="70"/>
      <c r="B35" s="70" t="s">
        <v>165</v>
      </c>
      <c r="C35" s="70"/>
      <c r="D35" s="70"/>
      <c r="E35" s="70"/>
      <c r="F35" s="104">
        <f t="shared" ref="F35:M35" si="30">+F34/F32</f>
        <v>0.4401130913</v>
      </c>
      <c r="G35" s="104">
        <f t="shared" si="30"/>
        <v>0.3967765744</v>
      </c>
      <c r="H35" s="104">
        <f t="shared" si="30"/>
        <v>0.3655476998</v>
      </c>
      <c r="I35" s="104">
        <f t="shared" si="30"/>
        <v>0.386239927</v>
      </c>
      <c r="J35" s="104">
        <f t="shared" si="30"/>
        <v>0.4412660656</v>
      </c>
      <c r="K35" s="104">
        <f t="shared" si="30"/>
        <v>0.4660731153</v>
      </c>
      <c r="L35" s="104">
        <f t="shared" si="30"/>
        <v>0.4847946143</v>
      </c>
      <c r="M35" s="104">
        <f t="shared" si="30"/>
        <v>0.4973328227</v>
      </c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104">
        <f t="shared" ref="AA35:DR35" si="31">+AA34/AA32</f>
        <v>0.397067705</v>
      </c>
      <c r="AB35" s="104">
        <f t="shared" si="31"/>
        <v>0.4074886664</v>
      </c>
      <c r="AC35" s="104">
        <f t="shared" si="31"/>
        <v>0.4444129326</v>
      </c>
      <c r="AD35" s="104">
        <f t="shared" si="31"/>
        <v>0.3952987605</v>
      </c>
      <c r="AE35" s="104">
        <f t="shared" si="31"/>
        <v>0.4266633846</v>
      </c>
      <c r="AF35" s="104">
        <f t="shared" si="31"/>
        <v>0.4734650419</v>
      </c>
      <c r="AG35" s="104">
        <f t="shared" si="31"/>
        <v>0.4252139418</v>
      </c>
      <c r="AH35" s="104">
        <f t="shared" si="31"/>
        <v>0.4946806408</v>
      </c>
      <c r="AI35" s="104">
        <f t="shared" si="31"/>
        <v>0.4222102573</v>
      </c>
      <c r="AJ35" s="104">
        <f t="shared" si="31"/>
        <v>0.5391535142</v>
      </c>
      <c r="AK35" s="104">
        <f t="shared" si="31"/>
        <v>0.4511085171</v>
      </c>
      <c r="AL35" s="104">
        <f t="shared" si="31"/>
        <v>0.3837093782</v>
      </c>
      <c r="AM35" s="104">
        <f t="shared" si="31"/>
        <v>0.3941584942</v>
      </c>
      <c r="AN35" s="104">
        <f t="shared" si="31"/>
        <v>0.4260324159</v>
      </c>
      <c r="AO35" s="104">
        <f t="shared" si="31"/>
        <v>0.4499400337</v>
      </c>
      <c r="AP35" s="104">
        <f t="shared" si="31"/>
        <v>0.4795579848</v>
      </c>
      <c r="AQ35" s="104">
        <f t="shared" si="31"/>
        <v>0.3980402506</v>
      </c>
      <c r="AR35" s="104">
        <f t="shared" si="31"/>
        <v>0.4135846871</v>
      </c>
      <c r="AS35" s="104">
        <f t="shared" si="31"/>
        <v>0.3981325639</v>
      </c>
      <c r="AT35" s="104">
        <f t="shared" si="31"/>
        <v>0.4025209024</v>
      </c>
      <c r="AU35" s="104">
        <f t="shared" si="31"/>
        <v>0.3918727581</v>
      </c>
      <c r="AV35" s="104">
        <f t="shared" si="31"/>
        <v>0.4062954938</v>
      </c>
      <c r="AW35" s="104">
        <f t="shared" si="31"/>
        <v>0.308409988</v>
      </c>
      <c r="AX35" s="104">
        <f t="shared" si="31"/>
        <v>0.2633848587</v>
      </c>
      <c r="AY35" s="104">
        <f t="shared" si="31"/>
        <v>0.3246603941</v>
      </c>
      <c r="AZ35" s="104">
        <f t="shared" si="31"/>
        <v>0.3986008336</v>
      </c>
      <c r="BA35" s="104">
        <f t="shared" si="31"/>
        <v>0.426609199</v>
      </c>
      <c r="BB35" s="104">
        <f t="shared" si="31"/>
        <v>0.393932546</v>
      </c>
      <c r="BC35" s="104">
        <f t="shared" si="31"/>
        <v>0.3822923955</v>
      </c>
      <c r="BD35" s="104">
        <f t="shared" si="31"/>
        <v>0.3610042138</v>
      </c>
      <c r="BE35" s="104">
        <f t="shared" si="31"/>
        <v>0.3713489193</v>
      </c>
      <c r="BF35" s="104">
        <f t="shared" si="31"/>
        <v>0.3753228968</v>
      </c>
      <c r="BG35" s="104">
        <f t="shared" si="31"/>
        <v>0.374481474</v>
      </c>
      <c r="BH35" s="104">
        <f t="shared" si="31"/>
        <v>0.3985732909</v>
      </c>
      <c r="BI35" s="104">
        <f t="shared" si="31"/>
        <v>0.3131750401</v>
      </c>
      <c r="BJ35" s="104">
        <f t="shared" si="31"/>
        <v>0.2680667211</v>
      </c>
      <c r="BK35" s="104">
        <f t="shared" si="31"/>
        <v>0.3772777718</v>
      </c>
      <c r="BL35" s="104">
        <f t="shared" si="31"/>
        <v>0.4078100523</v>
      </c>
      <c r="BM35" s="104">
        <f t="shared" si="31"/>
        <v>0.4200934384</v>
      </c>
      <c r="BN35" s="104">
        <f t="shared" si="31"/>
        <v>0.3950702843</v>
      </c>
      <c r="BO35" s="104">
        <f t="shared" si="31"/>
        <v>0.3855456724</v>
      </c>
      <c r="BP35" s="104">
        <f t="shared" si="31"/>
        <v>0.3990318157</v>
      </c>
      <c r="BQ35" s="104">
        <f t="shared" si="31"/>
        <v>0.3910830622</v>
      </c>
      <c r="BR35" s="104">
        <f t="shared" si="31"/>
        <v>0.4205233688</v>
      </c>
      <c r="BS35" s="104">
        <f t="shared" si="31"/>
        <v>0.3903781321</v>
      </c>
      <c r="BT35" s="104">
        <f t="shared" si="31"/>
        <v>0.4180813129</v>
      </c>
      <c r="BU35" s="104">
        <f t="shared" si="31"/>
        <v>0.3455986436</v>
      </c>
      <c r="BV35" s="104">
        <f t="shared" si="31"/>
        <v>0.2850711977</v>
      </c>
      <c r="BW35" s="104">
        <f t="shared" si="31"/>
        <v>0.4541854461</v>
      </c>
      <c r="BX35" s="104">
        <f t="shared" si="31"/>
        <v>0.4968486568</v>
      </c>
      <c r="BY35" s="104">
        <f t="shared" si="31"/>
        <v>0.5198091654</v>
      </c>
      <c r="BZ35" s="104">
        <f t="shared" si="31"/>
        <v>0.4912108777</v>
      </c>
      <c r="CA35" s="104">
        <f t="shared" si="31"/>
        <v>0.4572488086</v>
      </c>
      <c r="CB35" s="104">
        <f t="shared" si="31"/>
        <v>0.452527479</v>
      </c>
      <c r="CC35" s="104">
        <f t="shared" si="31"/>
        <v>0.4475411047</v>
      </c>
      <c r="CD35" s="104">
        <f t="shared" si="31"/>
        <v>0.455700748</v>
      </c>
      <c r="CE35" s="104">
        <f t="shared" si="31"/>
        <v>0.4253385379</v>
      </c>
      <c r="CF35" s="104">
        <f t="shared" si="31"/>
        <v>0.4499511352</v>
      </c>
      <c r="CG35" s="104">
        <f t="shared" si="31"/>
        <v>0.3577239511</v>
      </c>
      <c r="CH35" s="104">
        <f t="shared" si="31"/>
        <v>0.3031266083</v>
      </c>
      <c r="CI35" s="104">
        <f t="shared" si="31"/>
        <v>0.46090504</v>
      </c>
      <c r="CJ35" s="104">
        <f t="shared" si="31"/>
        <v>0.5100391365</v>
      </c>
      <c r="CK35" s="104">
        <f t="shared" si="31"/>
        <v>0.5443724017</v>
      </c>
      <c r="CL35" s="104">
        <f t="shared" si="31"/>
        <v>0.5158378475</v>
      </c>
      <c r="CM35" s="104">
        <f t="shared" si="31"/>
        <v>0.490645556</v>
      </c>
      <c r="CN35" s="104">
        <f t="shared" si="31"/>
        <v>0.478987737</v>
      </c>
      <c r="CO35" s="104">
        <f t="shared" si="31"/>
        <v>0.4695864592</v>
      </c>
      <c r="CP35" s="104">
        <f t="shared" si="31"/>
        <v>0.4822566333</v>
      </c>
      <c r="CQ35" s="104">
        <f t="shared" si="31"/>
        <v>0.4485361643</v>
      </c>
      <c r="CR35" s="104">
        <f t="shared" si="31"/>
        <v>0.4865221312</v>
      </c>
      <c r="CS35" s="104">
        <f t="shared" si="31"/>
        <v>0.3926881244</v>
      </c>
      <c r="CT35" s="104">
        <f t="shared" si="31"/>
        <v>0.3289982803</v>
      </c>
      <c r="CU35" s="104">
        <f t="shared" si="31"/>
        <v>0.4899233684</v>
      </c>
      <c r="CV35" s="104">
        <f t="shared" si="31"/>
        <v>0.5361173188</v>
      </c>
      <c r="CW35" s="104">
        <f t="shared" si="31"/>
        <v>0.5671705625</v>
      </c>
      <c r="CX35" s="104">
        <f t="shared" si="31"/>
        <v>0.5384425419</v>
      </c>
      <c r="CY35" s="104">
        <f t="shared" si="31"/>
        <v>0.5104831471</v>
      </c>
      <c r="CZ35" s="104">
        <f t="shared" si="31"/>
        <v>0.5006091241</v>
      </c>
      <c r="DA35" s="104">
        <f t="shared" si="31"/>
        <v>0.4838199388</v>
      </c>
      <c r="DB35" s="104">
        <f t="shared" si="31"/>
        <v>0.5030656046</v>
      </c>
      <c r="DC35" s="104">
        <f t="shared" si="31"/>
        <v>0.4658329704</v>
      </c>
      <c r="DD35" s="104">
        <f t="shared" si="31"/>
        <v>0.5010371839</v>
      </c>
      <c r="DE35" s="104">
        <f t="shared" si="31"/>
        <v>0.4039550689</v>
      </c>
      <c r="DF35" s="104">
        <f t="shared" si="31"/>
        <v>0.3363028883</v>
      </c>
      <c r="DG35" s="104">
        <f t="shared" si="31"/>
        <v>0.5047547621</v>
      </c>
      <c r="DH35" s="104">
        <f t="shared" si="31"/>
        <v>0.5540131176</v>
      </c>
      <c r="DI35" s="104">
        <f t="shared" si="31"/>
        <v>0.5879095474</v>
      </c>
      <c r="DJ35" s="104">
        <f t="shared" si="31"/>
        <v>0.559449959</v>
      </c>
      <c r="DK35" s="104">
        <f t="shared" si="31"/>
        <v>0.527387252</v>
      </c>
      <c r="DL35" s="104">
        <f t="shared" si="31"/>
        <v>0.5111064767</v>
      </c>
      <c r="DM35" s="104">
        <f t="shared" si="31"/>
        <v>0.4946648658</v>
      </c>
      <c r="DN35" s="104">
        <f t="shared" si="31"/>
        <v>0.5103577403</v>
      </c>
      <c r="DO35" s="104">
        <f t="shared" si="31"/>
        <v>0.4739042263</v>
      </c>
      <c r="DP35" s="104">
        <f t="shared" si="31"/>
        <v>0.5111595631</v>
      </c>
      <c r="DQ35" s="104">
        <f t="shared" si="31"/>
        <v>0.4105841783</v>
      </c>
      <c r="DR35" s="104">
        <f t="shared" si="31"/>
        <v>0.3437649497</v>
      </c>
    </row>
    <row r="36" ht="4.5" customHeight="1"/>
    <row r="37" ht="15.0" customHeight="1">
      <c r="B37" s="5" t="s">
        <v>166</v>
      </c>
      <c r="F37" s="50">
        <f t="shared" ref="F37:M37" si="32">+SUMIFS($AA37:$DR37,$AA$7:$DR$7,F$7)</f>
        <v>7730.285491</v>
      </c>
      <c r="G37" s="50">
        <f t="shared" si="32"/>
        <v>7892.606746</v>
      </c>
      <c r="H37" s="50">
        <f t="shared" si="32"/>
        <v>7401.525292</v>
      </c>
      <c r="I37" s="50">
        <f t="shared" si="32"/>
        <v>7985.900049</v>
      </c>
      <c r="J37" s="50">
        <f t="shared" si="32"/>
        <v>8203.808936</v>
      </c>
      <c r="K37" s="50">
        <f t="shared" si="32"/>
        <v>9020.109307</v>
      </c>
      <c r="L37" s="50">
        <f t="shared" si="32"/>
        <v>10137.09715</v>
      </c>
      <c r="M37" s="50">
        <f t="shared" si="32"/>
        <v>11533.80655</v>
      </c>
      <c r="AA37" s="50">
        <f t="shared" ref="AA37:DR37" si="33">+AA32-AA34</f>
        <v>613.9146577</v>
      </c>
      <c r="AB37" s="50">
        <f t="shared" si="33"/>
        <v>631.336496</v>
      </c>
      <c r="AC37" s="50">
        <f t="shared" si="33"/>
        <v>572.0132976</v>
      </c>
      <c r="AD37" s="50">
        <f t="shared" si="33"/>
        <v>638.3948795</v>
      </c>
      <c r="AE37" s="50">
        <f t="shared" si="33"/>
        <v>630.3985552</v>
      </c>
      <c r="AF37" s="50">
        <f t="shared" si="33"/>
        <v>629.2650224</v>
      </c>
      <c r="AG37" s="50">
        <f t="shared" si="33"/>
        <v>703.1142323</v>
      </c>
      <c r="AH37" s="50">
        <f t="shared" si="33"/>
        <v>628.8766716</v>
      </c>
      <c r="AI37" s="50">
        <f t="shared" si="33"/>
        <v>679.3374768</v>
      </c>
      <c r="AJ37" s="50">
        <f t="shared" si="33"/>
        <v>577.5537558</v>
      </c>
      <c r="AK37" s="50">
        <f t="shared" si="33"/>
        <v>664.8371858</v>
      </c>
      <c r="AL37" s="50">
        <f t="shared" si="33"/>
        <v>761.2432603</v>
      </c>
      <c r="AM37" s="50">
        <f t="shared" si="33"/>
        <v>752.0282331</v>
      </c>
      <c r="AN37" s="50">
        <f t="shared" si="33"/>
        <v>703.1573873</v>
      </c>
      <c r="AO37" s="50">
        <f t="shared" si="33"/>
        <v>645.020726</v>
      </c>
      <c r="AP37" s="50">
        <f t="shared" si="33"/>
        <v>565.790954</v>
      </c>
      <c r="AQ37" s="50">
        <f t="shared" si="33"/>
        <v>650.0613085</v>
      </c>
      <c r="AR37" s="50">
        <f t="shared" si="33"/>
        <v>641.6361835</v>
      </c>
      <c r="AS37" s="50">
        <f t="shared" si="33"/>
        <v>653.0611394</v>
      </c>
      <c r="AT37" s="50">
        <f t="shared" si="33"/>
        <v>646.6144732</v>
      </c>
      <c r="AU37" s="50">
        <f t="shared" si="33"/>
        <v>643.8999112</v>
      </c>
      <c r="AV37" s="50">
        <f t="shared" si="33"/>
        <v>600.3351546</v>
      </c>
      <c r="AW37" s="50">
        <f t="shared" si="33"/>
        <v>658.1574342</v>
      </c>
      <c r="AX37" s="50">
        <f t="shared" si="33"/>
        <v>732.8438408</v>
      </c>
      <c r="AY37" s="50">
        <f t="shared" si="33"/>
        <v>644.6523527</v>
      </c>
      <c r="AZ37" s="50">
        <f t="shared" si="33"/>
        <v>561.1133659</v>
      </c>
      <c r="BA37" s="50">
        <f t="shared" si="33"/>
        <v>547.1215982</v>
      </c>
      <c r="BB37" s="50">
        <f t="shared" si="33"/>
        <v>593.8011929</v>
      </c>
      <c r="BC37" s="50">
        <f t="shared" si="33"/>
        <v>605.3898895</v>
      </c>
      <c r="BD37" s="50">
        <f t="shared" si="33"/>
        <v>633.8527596</v>
      </c>
      <c r="BE37" s="50">
        <f t="shared" si="33"/>
        <v>632.7659486</v>
      </c>
      <c r="BF37" s="50">
        <f t="shared" si="33"/>
        <v>621.289448</v>
      </c>
      <c r="BG37" s="50">
        <f t="shared" si="33"/>
        <v>590.0272805</v>
      </c>
      <c r="BH37" s="50">
        <f t="shared" si="33"/>
        <v>587.5610033</v>
      </c>
      <c r="BI37" s="50">
        <f t="shared" si="33"/>
        <v>672.3771684</v>
      </c>
      <c r="BJ37" s="50">
        <f t="shared" si="33"/>
        <v>711.5732842</v>
      </c>
      <c r="BK37" s="50">
        <f t="shared" si="33"/>
        <v>656.7461102</v>
      </c>
      <c r="BL37" s="50">
        <f t="shared" si="33"/>
        <v>626.4376741</v>
      </c>
      <c r="BM37" s="50">
        <f t="shared" si="33"/>
        <v>624.780317</v>
      </c>
      <c r="BN37" s="50">
        <f t="shared" si="33"/>
        <v>660.2358721</v>
      </c>
      <c r="BO37" s="50">
        <f t="shared" si="33"/>
        <v>668.1164198</v>
      </c>
      <c r="BP37" s="50">
        <f t="shared" si="33"/>
        <v>657.8990057</v>
      </c>
      <c r="BQ37" s="50">
        <f t="shared" si="33"/>
        <v>666.8244347</v>
      </c>
      <c r="BR37" s="50">
        <f t="shared" si="33"/>
        <v>631.9767344</v>
      </c>
      <c r="BS37" s="50">
        <f t="shared" si="33"/>
        <v>664.8531046</v>
      </c>
      <c r="BT37" s="50">
        <f t="shared" si="33"/>
        <v>634.6400386</v>
      </c>
      <c r="BU37" s="50">
        <f t="shared" si="33"/>
        <v>713.6895778</v>
      </c>
      <c r="BV37" s="50">
        <f t="shared" si="33"/>
        <v>779.7007602</v>
      </c>
      <c r="BW37" s="50">
        <f t="shared" si="33"/>
        <v>633.4693438</v>
      </c>
      <c r="BX37" s="50">
        <f t="shared" si="33"/>
        <v>587.8415023</v>
      </c>
      <c r="BY37" s="50">
        <f t="shared" si="33"/>
        <v>566.1663401</v>
      </c>
      <c r="BZ37" s="50">
        <f t="shared" si="33"/>
        <v>612.9863125</v>
      </c>
      <c r="CA37" s="50">
        <f t="shared" si="33"/>
        <v>658.096378</v>
      </c>
      <c r="CB37" s="50">
        <f t="shared" si="33"/>
        <v>668.0503071</v>
      </c>
      <c r="CC37" s="50">
        <f t="shared" si="33"/>
        <v>678.4026476</v>
      </c>
      <c r="CD37" s="50">
        <f t="shared" si="33"/>
        <v>678.4274441</v>
      </c>
      <c r="CE37" s="50">
        <f t="shared" si="33"/>
        <v>720.7108796</v>
      </c>
      <c r="CF37" s="50">
        <f t="shared" si="33"/>
        <v>694.0921522</v>
      </c>
      <c r="CG37" s="50">
        <f t="shared" si="33"/>
        <v>815.4327853</v>
      </c>
      <c r="CH37" s="50">
        <f t="shared" si="33"/>
        <v>890.1328433</v>
      </c>
      <c r="CI37" s="50">
        <f t="shared" si="33"/>
        <v>716.9998683</v>
      </c>
      <c r="CJ37" s="50">
        <f t="shared" si="33"/>
        <v>658.583577</v>
      </c>
      <c r="CK37" s="50">
        <f t="shared" si="33"/>
        <v>618.880937</v>
      </c>
      <c r="CL37" s="50">
        <f t="shared" si="33"/>
        <v>664.4898829</v>
      </c>
      <c r="CM37" s="50">
        <f t="shared" si="33"/>
        <v>706.2719028</v>
      </c>
      <c r="CN37" s="50">
        <f t="shared" si="33"/>
        <v>729.8083824</v>
      </c>
      <c r="CO37" s="50">
        <f t="shared" si="33"/>
        <v>750.4819719</v>
      </c>
      <c r="CP37" s="50">
        <f t="shared" si="33"/>
        <v>739.8804191</v>
      </c>
      <c r="CQ37" s="50">
        <f t="shared" si="33"/>
        <v>795.8711861</v>
      </c>
      <c r="CR37" s="50">
        <f t="shared" si="33"/>
        <v>748.3150577</v>
      </c>
      <c r="CS37" s="50">
        <f t="shared" si="33"/>
        <v>893.6564622</v>
      </c>
      <c r="CT37" s="50">
        <f t="shared" si="33"/>
        <v>996.8696595</v>
      </c>
      <c r="CU37" s="50">
        <f t="shared" si="33"/>
        <v>789.1141449</v>
      </c>
      <c r="CV37" s="50">
        <f t="shared" si="33"/>
        <v>725.4601274</v>
      </c>
      <c r="CW37" s="50">
        <f t="shared" si="33"/>
        <v>684.1838627</v>
      </c>
      <c r="CX37" s="50">
        <f t="shared" si="33"/>
        <v>737.3661255</v>
      </c>
      <c r="CY37" s="50">
        <f t="shared" si="33"/>
        <v>790.2749015</v>
      </c>
      <c r="CZ37" s="50">
        <f t="shared" si="33"/>
        <v>814.6236911</v>
      </c>
      <c r="DA37" s="50">
        <f t="shared" si="33"/>
        <v>850.7016586</v>
      </c>
      <c r="DB37" s="50">
        <f t="shared" si="33"/>
        <v>827.3502547</v>
      </c>
      <c r="DC37" s="50">
        <f t="shared" si="33"/>
        <v>898.3328921</v>
      </c>
      <c r="DD37" s="50">
        <f t="shared" si="33"/>
        <v>847.5293537</v>
      </c>
      <c r="DE37" s="50">
        <f t="shared" si="33"/>
        <v>1022.466848</v>
      </c>
      <c r="DF37" s="50">
        <f t="shared" si="33"/>
        <v>1149.693285</v>
      </c>
      <c r="DG37" s="50">
        <f t="shared" si="33"/>
        <v>893.3714632</v>
      </c>
      <c r="DH37" s="50">
        <f t="shared" si="33"/>
        <v>813.2885708</v>
      </c>
      <c r="DI37" s="50">
        <f t="shared" si="33"/>
        <v>759.5832906</v>
      </c>
      <c r="DJ37" s="50">
        <f t="shared" si="33"/>
        <v>820.7084107</v>
      </c>
      <c r="DK37" s="50">
        <f t="shared" si="33"/>
        <v>889.7365278</v>
      </c>
      <c r="DL37" s="50">
        <f t="shared" si="33"/>
        <v>930.0048062</v>
      </c>
      <c r="DM37" s="50">
        <f t="shared" si="33"/>
        <v>971.2227996</v>
      </c>
      <c r="DN37" s="50">
        <f t="shared" si="33"/>
        <v>950.6950343</v>
      </c>
      <c r="DO37" s="50">
        <f t="shared" si="33"/>
        <v>1031.82373</v>
      </c>
      <c r="DP37" s="50">
        <f t="shared" si="33"/>
        <v>968.3725903</v>
      </c>
      <c r="DQ37" s="50">
        <f t="shared" si="33"/>
        <v>1179.204108</v>
      </c>
      <c r="DR37" s="50">
        <f t="shared" si="33"/>
        <v>1325.795216</v>
      </c>
    </row>
    <row r="38" ht="15.75" customHeight="1">
      <c r="B38" s="5" t="s">
        <v>167</v>
      </c>
      <c r="F38" s="50">
        <f t="shared" ref="F38:M38" si="34">+SUMIFS($AA38:$DR38,$AA$7:$DR$7,F$7)</f>
        <v>76.86876</v>
      </c>
      <c r="G38" s="50">
        <f t="shared" si="34"/>
        <v>97.50925</v>
      </c>
      <c r="H38" s="50">
        <f t="shared" si="34"/>
        <v>533.45695</v>
      </c>
      <c r="I38" s="50">
        <f t="shared" si="34"/>
        <v>600</v>
      </c>
      <c r="J38" s="50">
        <f t="shared" si="34"/>
        <v>600</v>
      </c>
      <c r="K38" s="50" t="str">
        <f t="shared" si="34"/>
        <v>#DIV/0!</v>
      </c>
      <c r="L38" s="50" t="str">
        <f t="shared" si="34"/>
        <v>#DIV/0!</v>
      </c>
      <c r="M38" s="50" t="str">
        <f t="shared" si="34"/>
        <v>#DIV/0!</v>
      </c>
      <c r="AA38" s="51">
        <v>6.25</v>
      </c>
      <c r="AB38" s="51">
        <v>6.25</v>
      </c>
      <c r="AC38" s="51">
        <v>6.25</v>
      </c>
      <c r="AD38" s="51">
        <v>6.25</v>
      </c>
      <c r="AE38" s="51">
        <v>6.25</v>
      </c>
      <c r="AF38" s="51">
        <v>6.25</v>
      </c>
      <c r="AG38" s="51">
        <v>6.25</v>
      </c>
      <c r="AH38" s="51">
        <v>6.25</v>
      </c>
      <c r="AI38" s="51">
        <v>6.25</v>
      </c>
      <c r="AJ38" s="51">
        <v>6.25</v>
      </c>
      <c r="AK38" s="51">
        <v>6.25</v>
      </c>
      <c r="AL38" s="51">
        <v>8.11876</v>
      </c>
      <c r="AM38" s="51">
        <v>6.25</v>
      </c>
      <c r="AN38" s="51">
        <v>6.97728</v>
      </c>
      <c r="AO38" s="51">
        <v>6.97728</v>
      </c>
      <c r="AP38" s="51">
        <v>6.97728</v>
      </c>
      <c r="AQ38" s="51">
        <v>6.97728</v>
      </c>
      <c r="AR38" s="51">
        <v>6.97727</v>
      </c>
      <c r="AS38" s="51">
        <v>6.97727</v>
      </c>
      <c r="AT38" s="51">
        <v>6.97727</v>
      </c>
      <c r="AU38" s="51">
        <v>6.97727</v>
      </c>
      <c r="AV38" s="51">
        <v>6.97727</v>
      </c>
      <c r="AW38" s="51">
        <v>6.97727</v>
      </c>
      <c r="AX38" s="51">
        <v>21.48651</v>
      </c>
      <c r="AY38" s="51">
        <v>41.25</v>
      </c>
      <c r="AZ38" s="51">
        <v>41.25</v>
      </c>
      <c r="BA38" s="51">
        <v>41.25</v>
      </c>
      <c r="BB38" s="51">
        <v>41.25</v>
      </c>
      <c r="BC38" s="51">
        <v>45.0</v>
      </c>
      <c r="BD38" s="51">
        <v>48.60352</v>
      </c>
      <c r="BE38" s="51">
        <v>48.60352</v>
      </c>
      <c r="BF38" s="51">
        <v>48.60352</v>
      </c>
      <c r="BG38" s="51">
        <v>43.58576</v>
      </c>
      <c r="BH38" s="51">
        <v>42.58576</v>
      </c>
      <c r="BI38" s="51">
        <v>42.58576</v>
      </c>
      <c r="BJ38" s="51">
        <v>48.88911</v>
      </c>
      <c r="BK38" s="51">
        <v>47.083</v>
      </c>
      <c r="BL38" s="51">
        <v>77.516</v>
      </c>
      <c r="BM38" s="51">
        <v>47.540099999999995</v>
      </c>
      <c r="BN38" s="51">
        <v>47.5401</v>
      </c>
      <c r="BO38" s="51">
        <v>47.540099999999995</v>
      </c>
      <c r="BP38" s="51">
        <v>47.540099999999995</v>
      </c>
      <c r="BQ38" s="51">
        <v>47.5401</v>
      </c>
      <c r="BR38" s="51">
        <v>47.540099999999995</v>
      </c>
      <c r="BS38" s="51">
        <v>47.5401</v>
      </c>
      <c r="BT38" s="51">
        <v>47.54010000000001</v>
      </c>
      <c r="BU38" s="51">
        <v>47.5401</v>
      </c>
      <c r="BV38" s="51">
        <v>47.540099999999974</v>
      </c>
      <c r="BW38" s="51">
        <v>50.0</v>
      </c>
      <c r="BX38" s="51">
        <v>50.0</v>
      </c>
      <c r="BY38" s="51">
        <v>50.0</v>
      </c>
      <c r="BZ38" s="51">
        <v>50.0</v>
      </c>
      <c r="CA38" s="51">
        <v>50.0</v>
      </c>
      <c r="CB38" s="51">
        <v>50.0</v>
      </c>
      <c r="CC38" s="51">
        <v>50.0</v>
      </c>
      <c r="CD38" s="51">
        <v>50.0</v>
      </c>
      <c r="CE38" s="51">
        <v>50.0</v>
      </c>
      <c r="CF38" s="51">
        <v>50.0</v>
      </c>
      <c r="CG38" s="51">
        <v>50.0</v>
      </c>
      <c r="CH38" s="51">
        <v>50.0</v>
      </c>
      <c r="CI38" s="52" t="str">
        <f>+SUMIFS(Opex_Assumptions!$F24:$M24,Opex_Assumptions!$F$7:$M$7,CI$7)*'Income Statement'!BY$16</f>
        <v>#DIV/0!</v>
      </c>
      <c r="CJ38" s="52" t="str">
        <f>+SUMIFS(Opex_Assumptions!$F24:$M24,Opex_Assumptions!$F$7:$M$7,CJ$7)*'Income Statement'!BZ$16</f>
        <v>#DIV/0!</v>
      </c>
      <c r="CK38" s="52" t="str">
        <f>+SUMIFS(Opex_Assumptions!$F24:$M24,Opex_Assumptions!$F$7:$M$7,CK$7)*'Income Statement'!CA$16</f>
        <v>#DIV/0!</v>
      </c>
      <c r="CL38" s="52" t="str">
        <f>+SUMIFS(Opex_Assumptions!$F24:$M24,Opex_Assumptions!$F$7:$M$7,CL$7)*'Income Statement'!CB$16</f>
        <v>#DIV/0!</v>
      </c>
      <c r="CM38" s="52" t="str">
        <f>+SUMIFS(Opex_Assumptions!$F24:$M24,Opex_Assumptions!$F$7:$M$7,CM$7)*'Income Statement'!CC$16</f>
        <v>#DIV/0!</v>
      </c>
      <c r="CN38" s="52" t="str">
        <f>+SUMIFS(Opex_Assumptions!$F24:$M24,Opex_Assumptions!$F$7:$M$7,CN$7)*'Income Statement'!CD$16</f>
        <v>#DIV/0!</v>
      </c>
      <c r="CO38" s="52" t="str">
        <f>+SUMIFS(Opex_Assumptions!$F24:$M24,Opex_Assumptions!$F$7:$M$7,CO$7)*'Income Statement'!CE$16</f>
        <v>#DIV/0!</v>
      </c>
      <c r="CP38" s="52" t="str">
        <f>+SUMIFS(Opex_Assumptions!$F24:$M24,Opex_Assumptions!$F$7:$M$7,CP$7)*'Income Statement'!CF$16</f>
        <v>#DIV/0!</v>
      </c>
      <c r="CQ38" s="52" t="str">
        <f>+SUMIFS(Opex_Assumptions!$F24:$M24,Opex_Assumptions!$F$7:$M$7,CQ$7)*'Income Statement'!CG$16</f>
        <v>#DIV/0!</v>
      </c>
      <c r="CR38" s="52" t="str">
        <f>+SUMIFS(Opex_Assumptions!$F24:$M24,Opex_Assumptions!$F$7:$M$7,CR$7)*'Income Statement'!CH$16</f>
        <v>#DIV/0!</v>
      </c>
      <c r="CS38" s="52" t="str">
        <f>+SUMIFS(Opex_Assumptions!$F24:$M24,Opex_Assumptions!$F$7:$M$7,CS$7)*'Income Statement'!CI$16</f>
        <v>#DIV/0!</v>
      </c>
      <c r="CT38" s="52" t="str">
        <f>+SUMIFS(Opex_Assumptions!$F24:$M24,Opex_Assumptions!$F$7:$M$7,CT$7)*'Income Statement'!CJ$16</f>
        <v>#DIV/0!</v>
      </c>
      <c r="CU38" s="52" t="str">
        <f>+SUMIFS(Opex_Assumptions!$F24:$M24,Opex_Assumptions!$F$7:$M$7,CU$7)*'Income Statement'!CK$16</f>
        <v>#DIV/0!</v>
      </c>
      <c r="CV38" s="52" t="str">
        <f>+SUMIFS(Opex_Assumptions!$F24:$M24,Opex_Assumptions!$F$7:$M$7,CV$7)*'Income Statement'!CL$16</f>
        <v>#DIV/0!</v>
      </c>
      <c r="CW38" s="52" t="str">
        <f>+SUMIFS(Opex_Assumptions!$F24:$M24,Opex_Assumptions!$F$7:$M$7,CW$7)*'Income Statement'!CM$16</f>
        <v>#DIV/0!</v>
      </c>
      <c r="CX38" s="52" t="str">
        <f>+SUMIFS(Opex_Assumptions!$F24:$M24,Opex_Assumptions!$F$7:$M$7,CX$7)*'Income Statement'!CN$16</f>
        <v>#DIV/0!</v>
      </c>
      <c r="CY38" s="52" t="str">
        <f>+SUMIFS(Opex_Assumptions!$F24:$M24,Opex_Assumptions!$F$7:$M$7,CY$7)*'Income Statement'!CO$16</f>
        <v>#DIV/0!</v>
      </c>
      <c r="CZ38" s="52" t="str">
        <f>+SUMIFS(Opex_Assumptions!$F24:$M24,Opex_Assumptions!$F$7:$M$7,CZ$7)*'Income Statement'!CP$16</f>
        <v>#DIV/0!</v>
      </c>
      <c r="DA38" s="52" t="str">
        <f>+SUMIFS(Opex_Assumptions!$F24:$M24,Opex_Assumptions!$F$7:$M$7,DA$7)*'Income Statement'!CQ$16</f>
        <v>#DIV/0!</v>
      </c>
      <c r="DB38" s="52" t="str">
        <f>+SUMIFS(Opex_Assumptions!$F24:$M24,Opex_Assumptions!$F$7:$M$7,DB$7)*'Income Statement'!CR$16</f>
        <v>#DIV/0!</v>
      </c>
      <c r="DC38" s="52" t="str">
        <f>+SUMIFS(Opex_Assumptions!$F24:$M24,Opex_Assumptions!$F$7:$M$7,DC$7)*'Income Statement'!CS$16</f>
        <v>#DIV/0!</v>
      </c>
      <c r="DD38" s="52" t="str">
        <f>+SUMIFS(Opex_Assumptions!$F24:$M24,Opex_Assumptions!$F$7:$M$7,DD$7)*'Income Statement'!CT$16</f>
        <v>#DIV/0!</v>
      </c>
      <c r="DE38" s="52" t="str">
        <f>+SUMIFS(Opex_Assumptions!$F24:$M24,Opex_Assumptions!$F$7:$M$7,DE$7)*'Income Statement'!CU$16</f>
        <v>#DIV/0!</v>
      </c>
      <c r="DF38" s="52" t="str">
        <f>+SUMIFS(Opex_Assumptions!$F24:$M24,Opex_Assumptions!$F$7:$M$7,DF$7)*'Income Statement'!CV$16</f>
        <v>#DIV/0!</v>
      </c>
      <c r="DG38" s="52" t="str">
        <f>+SUMIFS(Opex_Assumptions!$F24:$M24,Opex_Assumptions!$F$7:$M$7,DG$7)*'Income Statement'!CW$16</f>
        <v>#DIV/0!</v>
      </c>
      <c r="DH38" s="52" t="str">
        <f>+SUMIFS(Opex_Assumptions!$F24:$M24,Opex_Assumptions!$F$7:$M$7,DH$7)*'Income Statement'!CX$16</f>
        <v>#DIV/0!</v>
      </c>
      <c r="DI38" s="52" t="str">
        <f>+SUMIFS(Opex_Assumptions!$F24:$M24,Opex_Assumptions!$F$7:$M$7,DI$7)*'Income Statement'!CY$16</f>
        <v>#DIV/0!</v>
      </c>
      <c r="DJ38" s="52" t="str">
        <f>+SUMIFS(Opex_Assumptions!$F24:$M24,Opex_Assumptions!$F$7:$M$7,DJ$7)*'Income Statement'!CZ$16</f>
        <v>#DIV/0!</v>
      </c>
      <c r="DK38" s="52" t="str">
        <f>+SUMIFS(Opex_Assumptions!$F24:$M24,Opex_Assumptions!$F$7:$M$7,DK$7)*'Income Statement'!DA$16</f>
        <v>#DIV/0!</v>
      </c>
      <c r="DL38" s="52" t="str">
        <f>+SUMIFS(Opex_Assumptions!$F24:$M24,Opex_Assumptions!$F$7:$M$7,DL$7)*'Income Statement'!DB$16</f>
        <v>#DIV/0!</v>
      </c>
      <c r="DM38" s="52" t="str">
        <f>+SUMIFS(Opex_Assumptions!$F24:$M24,Opex_Assumptions!$F$7:$M$7,DM$7)*'Income Statement'!DC$16</f>
        <v>#DIV/0!</v>
      </c>
      <c r="DN38" s="52" t="str">
        <f>+SUMIFS(Opex_Assumptions!$F24:$M24,Opex_Assumptions!$F$7:$M$7,DN$7)*'Income Statement'!DD$16</f>
        <v>#DIV/0!</v>
      </c>
      <c r="DO38" s="52" t="str">
        <f>+SUMIFS(Opex_Assumptions!$F24:$M24,Opex_Assumptions!$F$7:$M$7,DO$7)*'Income Statement'!DE$16</f>
        <v>#DIV/0!</v>
      </c>
      <c r="DP38" s="52" t="str">
        <f>+SUMIFS(Opex_Assumptions!$F24:$M24,Opex_Assumptions!$F$7:$M$7,DP$7)*'Income Statement'!DF$16</f>
        <v>#DIV/0!</v>
      </c>
      <c r="DQ38" s="52" t="str">
        <f>+SUMIFS(Opex_Assumptions!$F24:$M24,Opex_Assumptions!$F$7:$M$7,DQ$7)*'Income Statement'!DG$16</f>
        <v>#DIV/0!</v>
      </c>
      <c r="DR38" s="52" t="str">
        <f>+SUMIFS(Opex_Assumptions!$F24:$M24,Opex_Assumptions!$F$7:$M$7,DR$7)*'Income Statement'!DH$16</f>
        <v>#DIV/0!</v>
      </c>
    </row>
    <row r="39" ht="15.75" customHeight="1">
      <c r="B39" s="5" t="s">
        <v>168</v>
      </c>
      <c r="F39" s="50">
        <f t="shared" ref="F39:M39" si="35">+SUMIFS($AA39:$DR39,$AA$7:$DR$7,F$7)</f>
        <v>581.6840712</v>
      </c>
      <c r="G39" s="50">
        <f t="shared" si="35"/>
        <v>658.0664674</v>
      </c>
      <c r="H39" s="50">
        <f t="shared" si="35"/>
        <v>588.5401578</v>
      </c>
      <c r="I39" s="50">
        <f t="shared" si="35"/>
        <v>979.0248401</v>
      </c>
      <c r="J39" s="50">
        <f t="shared" si="35"/>
        <v>1090.551441</v>
      </c>
      <c r="K39" s="50">
        <f t="shared" si="35"/>
        <v>1254.774484</v>
      </c>
      <c r="L39" s="50">
        <f t="shared" si="35"/>
        <v>1461.399256</v>
      </c>
      <c r="M39" s="50">
        <f t="shared" si="35"/>
        <v>1704.228416</v>
      </c>
      <c r="AA39" s="51">
        <v>60.55233232717817</v>
      </c>
      <c r="AB39" s="51">
        <v>56.65836466827828</v>
      </c>
      <c r="AC39" s="51">
        <v>44.50138412787915</v>
      </c>
      <c r="AD39" s="51">
        <v>50.17786707497069</v>
      </c>
      <c r="AE39" s="51">
        <v>46.279441819096704</v>
      </c>
      <c r="AF39" s="51">
        <v>45.870312218099016</v>
      </c>
      <c r="AG39" s="51">
        <v>51.41522019957064</v>
      </c>
      <c r="AH39" s="51">
        <v>43.11546521051677</v>
      </c>
      <c r="AI39" s="51">
        <v>45.67224729678265</v>
      </c>
      <c r="AJ39" s="51">
        <v>43.27106200840512</v>
      </c>
      <c r="AK39" s="51">
        <v>44.179431693223556</v>
      </c>
      <c r="AL39" s="51">
        <v>49.99094257505208</v>
      </c>
      <c r="AM39" s="51">
        <v>73.8980919546201</v>
      </c>
      <c r="AN39" s="51">
        <v>61.981946406116116</v>
      </c>
      <c r="AO39" s="51">
        <v>53.490803838222995</v>
      </c>
      <c r="AP39" s="51">
        <v>53.055751950583264</v>
      </c>
      <c r="AQ39" s="51">
        <v>56.45637850808498</v>
      </c>
      <c r="AR39" s="51">
        <v>55.63386846887955</v>
      </c>
      <c r="AS39" s="51">
        <v>54.915292099268754</v>
      </c>
      <c r="AT39" s="51">
        <v>52.00445473418616</v>
      </c>
      <c r="AU39" s="51">
        <v>48.458020729926</v>
      </c>
      <c r="AV39" s="51">
        <v>49.77603607437227</v>
      </c>
      <c r="AW39" s="51">
        <v>48.812295715987254</v>
      </c>
      <c r="AX39" s="51">
        <v>49.5835269019926</v>
      </c>
      <c r="AY39" s="51">
        <v>63.92931069290408</v>
      </c>
      <c r="AZ39" s="51">
        <v>56.46835241581833</v>
      </c>
      <c r="BA39" s="51">
        <v>45.26701264278986</v>
      </c>
      <c r="BB39" s="51">
        <v>45.771872605076744</v>
      </c>
      <c r="BC39" s="51">
        <v>44.72816496258334</v>
      </c>
      <c r="BD39" s="51">
        <v>54.78782701377868</v>
      </c>
      <c r="BE39" s="51">
        <v>44.44930218864029</v>
      </c>
      <c r="BF39" s="51">
        <v>43.14799800079454</v>
      </c>
      <c r="BG39" s="51">
        <v>38.40298291432694</v>
      </c>
      <c r="BH39" s="51">
        <v>52.84197868503629</v>
      </c>
      <c r="BI39" s="51">
        <v>44.21464976044996</v>
      </c>
      <c r="BJ39" s="51">
        <v>54.53070596174274</v>
      </c>
      <c r="BK39" s="51">
        <v>96.135</v>
      </c>
      <c r="BL39" s="51">
        <v>84.945</v>
      </c>
      <c r="BM39" s="51">
        <v>79.79448400839354</v>
      </c>
      <c r="BN39" s="51">
        <v>79.79448400839354</v>
      </c>
      <c r="BO39" s="51">
        <v>79.79448400839354</v>
      </c>
      <c r="BP39" s="51">
        <v>79.79448400839354</v>
      </c>
      <c r="BQ39" s="51">
        <v>79.79448400839354</v>
      </c>
      <c r="BR39" s="51">
        <v>79.79448400839354</v>
      </c>
      <c r="BS39" s="51">
        <v>79.79448400839354</v>
      </c>
      <c r="BT39" s="51">
        <v>79.79448400839355</v>
      </c>
      <c r="BU39" s="51">
        <v>79.79448400839358</v>
      </c>
      <c r="BV39" s="51">
        <v>79.79448400839362</v>
      </c>
      <c r="BW39" s="51">
        <v>90.87928677805668</v>
      </c>
      <c r="BX39" s="51">
        <v>90.87928677805668</v>
      </c>
      <c r="BY39" s="51">
        <v>90.87928677805668</v>
      </c>
      <c r="BZ39" s="51">
        <v>90.87928677805668</v>
      </c>
      <c r="CA39" s="51">
        <v>90.87928677805668</v>
      </c>
      <c r="CB39" s="51">
        <v>90.87928677805668</v>
      </c>
      <c r="CC39" s="51">
        <v>90.8792867780567</v>
      </c>
      <c r="CD39" s="51">
        <v>90.87928677805668</v>
      </c>
      <c r="CE39" s="51">
        <v>90.87928677805668</v>
      </c>
      <c r="CF39" s="51">
        <v>90.8792867780567</v>
      </c>
      <c r="CG39" s="51">
        <v>90.8792867780567</v>
      </c>
      <c r="CH39" s="51">
        <v>90.87928677805668</v>
      </c>
      <c r="CI39" s="52">
        <f>+SUMIFS(Opex_Assumptions!$F25:$M25,Opex_Assumptions!$F$7:$M$7,CI$7)*CI$32</f>
        <v>98.78465147</v>
      </c>
      <c r="CJ39" s="52">
        <f>+SUMIFS(Opex_Assumptions!$F25:$M25,Opex_Assumptions!$F$7:$M$7,CJ$7)*CJ$32</f>
        <v>99.83554035</v>
      </c>
      <c r="CK39" s="52">
        <f>+SUMIFS(Opex_Assumptions!$F25:$M25,Opex_Assumptions!$F$7:$M$7,CK$7)*CK$32</f>
        <v>100.8864292</v>
      </c>
      <c r="CL39" s="52">
        <f>+SUMIFS(Opex_Assumptions!$F25:$M25,Opex_Assumptions!$F$7:$M$7,CL$7)*CL$32</f>
        <v>101.9373181</v>
      </c>
      <c r="CM39" s="52">
        <f>+SUMIFS(Opex_Assumptions!$F25:$M25,Opex_Assumptions!$F$7:$M$7,CM$7)*CM$32</f>
        <v>102.988207</v>
      </c>
      <c r="CN39" s="52">
        <f>+SUMIFS(Opex_Assumptions!$F25:$M25,Opex_Assumptions!$F$7:$M$7,CN$7)*CN$32</f>
        <v>104.0390959</v>
      </c>
      <c r="CO39" s="52">
        <f>+SUMIFS(Opex_Assumptions!$F25:$M25,Opex_Assumptions!$F$7:$M$7,CO$7)*CO$32</f>
        <v>105.0899848</v>
      </c>
      <c r="CP39" s="52">
        <f>+SUMIFS(Opex_Assumptions!$F25:$M25,Opex_Assumptions!$F$7:$M$7,CP$7)*CP$32</f>
        <v>106.1408737</v>
      </c>
      <c r="CQ39" s="52">
        <f>+SUMIFS(Opex_Assumptions!$F25:$M25,Opex_Assumptions!$F$7:$M$7,CQ$7)*CQ$32</f>
        <v>107.1917626</v>
      </c>
      <c r="CR39" s="52">
        <f>+SUMIFS(Opex_Assumptions!$F25:$M25,Opex_Assumptions!$F$7:$M$7,CR$7)*CR$32</f>
        <v>108.2426514</v>
      </c>
      <c r="CS39" s="52">
        <f>+SUMIFS(Opex_Assumptions!$F25:$M25,Opex_Assumptions!$F$7:$M$7,CS$7)*CS$32</f>
        <v>109.2935403</v>
      </c>
      <c r="CT39" s="52">
        <f>+SUMIFS(Opex_Assumptions!$F25:$M25,Opex_Assumptions!$F$7:$M$7,CT$7)*CT$32</f>
        <v>110.3444292</v>
      </c>
      <c r="CU39" s="52">
        <f>+SUMIFS(Opex_Assumptions!$F25:$M25,Opex_Assumptions!$F$7:$M$7,CU$7)*CU$32</f>
        <v>114.905302</v>
      </c>
      <c r="CV39" s="52">
        <f>+SUMIFS(Opex_Assumptions!$F25:$M25,Opex_Assumptions!$F$7:$M$7,CV$7)*CV$32</f>
        <v>116.1558418</v>
      </c>
      <c r="CW39" s="52">
        <f>+SUMIFS(Opex_Assumptions!$F25:$M25,Opex_Assumptions!$F$7:$M$7,CW$7)*CW$32</f>
        <v>117.4063817</v>
      </c>
      <c r="CX39" s="52">
        <f>+SUMIFS(Opex_Assumptions!$F25:$M25,Opex_Assumptions!$F$7:$M$7,CX$7)*CX$32</f>
        <v>118.6569216</v>
      </c>
      <c r="CY39" s="52">
        <f>+SUMIFS(Opex_Assumptions!$F25:$M25,Opex_Assumptions!$F$7:$M$7,CY$7)*CY$32</f>
        <v>119.9074615</v>
      </c>
      <c r="CZ39" s="52">
        <f>+SUMIFS(Opex_Assumptions!$F25:$M25,Opex_Assumptions!$F$7:$M$7,CZ$7)*CZ$32</f>
        <v>121.1580014</v>
      </c>
      <c r="DA39" s="52">
        <f>+SUMIFS(Opex_Assumptions!$F25:$M25,Opex_Assumptions!$F$7:$M$7,DA$7)*DA$32</f>
        <v>122.4085412</v>
      </c>
      <c r="DB39" s="52">
        <f>+SUMIFS(Opex_Assumptions!$F25:$M25,Opex_Assumptions!$F$7:$M$7,DB$7)*DB$32</f>
        <v>123.6590811</v>
      </c>
      <c r="DC39" s="52">
        <f>+SUMIFS(Opex_Assumptions!$F25:$M25,Opex_Assumptions!$F$7:$M$7,DC$7)*DC$32</f>
        <v>124.909621</v>
      </c>
      <c r="DD39" s="52">
        <f>+SUMIFS(Opex_Assumptions!$F25:$M25,Opex_Assumptions!$F$7:$M$7,DD$7)*DD$32</f>
        <v>126.1601609</v>
      </c>
      <c r="DE39" s="52">
        <f>+SUMIFS(Opex_Assumptions!$F25:$M25,Opex_Assumptions!$F$7:$M$7,DE$7)*DE$32</f>
        <v>127.4107008</v>
      </c>
      <c r="DF39" s="52">
        <f>+SUMIFS(Opex_Assumptions!$F25:$M25,Opex_Assumptions!$F$7:$M$7,DF$7)*DF$32</f>
        <v>128.6612406</v>
      </c>
      <c r="DG39" s="52">
        <f>+SUMIFS(Opex_Assumptions!$F25:$M25,Opex_Assumptions!$F$7:$M$7,DG$7)*DG$32</f>
        <v>133.982302</v>
      </c>
      <c r="DH39" s="52">
        <f>+SUMIFS(Opex_Assumptions!$F25:$M25,Opex_Assumptions!$F$7:$M$7,DH$7)*DH$32</f>
        <v>135.4435261</v>
      </c>
      <c r="DI39" s="52">
        <f>+SUMIFS(Opex_Assumptions!$F25:$M25,Opex_Assumptions!$F$7:$M$7,DI$7)*DI$32</f>
        <v>136.9047502</v>
      </c>
      <c r="DJ39" s="52">
        <f>+SUMIFS(Opex_Assumptions!$F25:$M25,Opex_Assumptions!$F$7:$M$7,DJ$7)*DJ$32</f>
        <v>138.3659744</v>
      </c>
      <c r="DK39" s="52">
        <f>+SUMIFS(Opex_Assumptions!$F25:$M25,Opex_Assumptions!$F$7:$M$7,DK$7)*DK$32</f>
        <v>139.8271985</v>
      </c>
      <c r="DL39" s="52">
        <f>+SUMIFS(Opex_Assumptions!$F25:$M25,Opex_Assumptions!$F$7:$M$7,DL$7)*DL$32</f>
        <v>141.2884226</v>
      </c>
      <c r="DM39" s="52">
        <f>+SUMIFS(Opex_Assumptions!$F25:$M25,Opex_Assumptions!$F$7:$M$7,DM$7)*DM$32</f>
        <v>142.7496468</v>
      </c>
      <c r="DN39" s="52">
        <f>+SUMIFS(Opex_Assumptions!$F25:$M25,Opex_Assumptions!$F$7:$M$7,DN$7)*DN$32</f>
        <v>144.2108709</v>
      </c>
      <c r="DO39" s="52">
        <f>+SUMIFS(Opex_Assumptions!$F25:$M25,Opex_Assumptions!$F$7:$M$7,DO$7)*DO$32</f>
        <v>145.672095</v>
      </c>
      <c r="DP39" s="52">
        <f>+SUMIFS(Opex_Assumptions!$F25:$M25,Opex_Assumptions!$F$7:$M$7,DP$7)*DP$32</f>
        <v>147.1333192</v>
      </c>
      <c r="DQ39" s="52">
        <f>+SUMIFS(Opex_Assumptions!$F25:$M25,Opex_Assumptions!$F$7:$M$7,DQ$7)*DQ$32</f>
        <v>148.5945433</v>
      </c>
      <c r="DR39" s="52">
        <f>+SUMIFS(Opex_Assumptions!$F25:$M25,Opex_Assumptions!$F$7:$M$7,DR$7)*DR$32</f>
        <v>150.0557674</v>
      </c>
    </row>
    <row r="40" ht="15.75" customHeight="1">
      <c r="B40" s="5" t="s">
        <v>169</v>
      </c>
      <c r="F40" s="50">
        <f t="shared" ref="F40:M40" si="36">+SUMIFS($AA40:$DR40,$AA$7:$DR$7,F$7)</f>
        <v>24.70034</v>
      </c>
      <c r="G40" s="50">
        <f t="shared" si="36"/>
        <v>27.355</v>
      </c>
      <c r="H40" s="50">
        <f t="shared" si="36"/>
        <v>5.05</v>
      </c>
      <c r="I40" s="50">
        <f t="shared" si="36"/>
        <v>35</v>
      </c>
      <c r="J40" s="50">
        <f t="shared" si="36"/>
        <v>36.05</v>
      </c>
      <c r="K40" s="50" t="str">
        <f t="shared" si="36"/>
        <v>#DIV/0!</v>
      </c>
      <c r="L40" s="50" t="str">
        <f t="shared" si="36"/>
        <v>#DIV/0!</v>
      </c>
      <c r="M40" s="50" t="str">
        <f t="shared" si="36"/>
        <v>#DIV/0!</v>
      </c>
      <c r="AA40" s="51">
        <v>10.54534</v>
      </c>
      <c r="AB40" s="51">
        <v>10.417</v>
      </c>
      <c r="AC40" s="51">
        <v>10.417</v>
      </c>
      <c r="AD40" s="51">
        <v>10.417</v>
      </c>
      <c r="AE40" s="51">
        <v>10.417</v>
      </c>
      <c r="AF40" s="51">
        <v>10.417</v>
      </c>
      <c r="AG40" s="51">
        <v>10.417</v>
      </c>
      <c r="AH40" s="51">
        <v>10.417</v>
      </c>
      <c r="AI40" s="51">
        <v>10.417</v>
      </c>
      <c r="AJ40" s="51">
        <v>10.417</v>
      </c>
      <c r="AK40" s="51">
        <v>10.417</v>
      </c>
      <c r="AL40" s="51">
        <v>-90.015</v>
      </c>
      <c r="AM40" s="51">
        <v>10.41667</v>
      </c>
      <c r="AN40" s="51">
        <v>10.41667</v>
      </c>
      <c r="AO40" s="51">
        <v>10.41667</v>
      </c>
      <c r="AP40" s="51">
        <v>10.41667</v>
      </c>
      <c r="AQ40" s="51">
        <v>1.04167</v>
      </c>
      <c r="AR40" s="51">
        <v>1.04167</v>
      </c>
      <c r="AS40" s="51">
        <v>1.04167</v>
      </c>
      <c r="AT40" s="51">
        <v>1.04167</v>
      </c>
      <c r="AU40" s="51">
        <v>1.04166</v>
      </c>
      <c r="AV40" s="51">
        <v>1.04166</v>
      </c>
      <c r="AW40" s="51">
        <v>1.04166</v>
      </c>
      <c r="AX40" s="51">
        <v>-21.60334</v>
      </c>
      <c r="AY40" s="51">
        <v>2.916</v>
      </c>
      <c r="AZ40" s="51">
        <v>2.916</v>
      </c>
      <c r="BA40" s="51">
        <v>2.916</v>
      </c>
      <c r="BB40" s="51">
        <v>2.916</v>
      </c>
      <c r="BC40" s="51">
        <v>1.042</v>
      </c>
      <c r="BD40" s="51">
        <v>1.042</v>
      </c>
      <c r="BE40" s="51">
        <v>1.042</v>
      </c>
      <c r="BF40" s="51">
        <v>1.042</v>
      </c>
      <c r="BG40" s="51">
        <v>1.042</v>
      </c>
      <c r="BH40" s="51">
        <v>1.042</v>
      </c>
      <c r="BI40" s="51">
        <v>1.042</v>
      </c>
      <c r="BJ40" s="51">
        <v>-13.908</v>
      </c>
      <c r="BK40" s="51">
        <v>2.083</v>
      </c>
      <c r="BL40" s="51">
        <v>2.083</v>
      </c>
      <c r="BM40" s="51">
        <v>3.0834</v>
      </c>
      <c r="BN40" s="51">
        <v>3.0833999999999997</v>
      </c>
      <c r="BO40" s="51">
        <v>3.0834</v>
      </c>
      <c r="BP40" s="51">
        <v>3.0834000000000006</v>
      </c>
      <c r="BQ40" s="51">
        <v>3.0834</v>
      </c>
      <c r="BR40" s="51">
        <v>3.0834</v>
      </c>
      <c r="BS40" s="51">
        <v>3.0833999999999997</v>
      </c>
      <c r="BT40" s="51">
        <v>3.0833999999999993</v>
      </c>
      <c r="BU40" s="51">
        <v>3.0833999999999997</v>
      </c>
      <c r="BV40" s="51">
        <v>3.0834000000000015</v>
      </c>
      <c r="BW40" s="51">
        <v>3.0041666666666664</v>
      </c>
      <c r="BX40" s="51">
        <v>3.004166666666667</v>
      </c>
      <c r="BY40" s="51">
        <v>3.0041666666666664</v>
      </c>
      <c r="BZ40" s="51">
        <v>3.0041666666666664</v>
      </c>
      <c r="CA40" s="51">
        <v>3.004166666666667</v>
      </c>
      <c r="CB40" s="51">
        <v>3.004166666666667</v>
      </c>
      <c r="CC40" s="51">
        <v>3.0041666666666664</v>
      </c>
      <c r="CD40" s="51">
        <v>3.0041666666666664</v>
      </c>
      <c r="CE40" s="51">
        <v>3.004166666666666</v>
      </c>
      <c r="CF40" s="51">
        <v>3.0041666666666664</v>
      </c>
      <c r="CG40" s="51">
        <v>3.004166666666666</v>
      </c>
      <c r="CH40" s="51">
        <v>3.004166666666664</v>
      </c>
      <c r="CI40" s="52" t="str">
        <f>+SUMIFS(Opex_Assumptions!$F26:$M26,Opex_Assumptions!$F$7:$M$7,CI$7)*'Income Statement'!BY$16</f>
        <v>#DIV/0!</v>
      </c>
      <c r="CJ40" s="52" t="str">
        <f>+SUMIFS(Opex_Assumptions!$F26:$M26,Opex_Assumptions!$F$7:$M$7,CJ$7)*'Income Statement'!BZ$16</f>
        <v>#DIV/0!</v>
      </c>
      <c r="CK40" s="52" t="str">
        <f>+SUMIFS(Opex_Assumptions!$F26:$M26,Opex_Assumptions!$F$7:$M$7,CK$7)*'Income Statement'!CA$16</f>
        <v>#DIV/0!</v>
      </c>
      <c r="CL40" s="52" t="str">
        <f>+SUMIFS(Opex_Assumptions!$F26:$M26,Opex_Assumptions!$F$7:$M$7,CL$7)*'Income Statement'!CB$16</f>
        <v>#DIV/0!</v>
      </c>
      <c r="CM40" s="52" t="str">
        <f>+SUMIFS(Opex_Assumptions!$F26:$M26,Opex_Assumptions!$F$7:$M$7,CM$7)*'Income Statement'!CC$16</f>
        <v>#DIV/0!</v>
      </c>
      <c r="CN40" s="52" t="str">
        <f>+SUMIFS(Opex_Assumptions!$F26:$M26,Opex_Assumptions!$F$7:$M$7,CN$7)*'Income Statement'!CD$16</f>
        <v>#DIV/0!</v>
      </c>
      <c r="CO40" s="52" t="str">
        <f>+SUMIFS(Opex_Assumptions!$F26:$M26,Opex_Assumptions!$F$7:$M$7,CO$7)*'Income Statement'!CE$16</f>
        <v>#DIV/0!</v>
      </c>
      <c r="CP40" s="52" t="str">
        <f>+SUMIFS(Opex_Assumptions!$F26:$M26,Opex_Assumptions!$F$7:$M$7,CP$7)*'Income Statement'!CF$16</f>
        <v>#DIV/0!</v>
      </c>
      <c r="CQ40" s="52" t="str">
        <f>+SUMIFS(Opex_Assumptions!$F26:$M26,Opex_Assumptions!$F$7:$M$7,CQ$7)*'Income Statement'!CG$16</f>
        <v>#DIV/0!</v>
      </c>
      <c r="CR40" s="52" t="str">
        <f>+SUMIFS(Opex_Assumptions!$F26:$M26,Opex_Assumptions!$F$7:$M$7,CR$7)*'Income Statement'!CH$16</f>
        <v>#DIV/0!</v>
      </c>
      <c r="CS40" s="52" t="str">
        <f>+SUMIFS(Opex_Assumptions!$F26:$M26,Opex_Assumptions!$F$7:$M$7,CS$7)*'Income Statement'!CI$16</f>
        <v>#DIV/0!</v>
      </c>
      <c r="CT40" s="52" t="str">
        <f>+SUMIFS(Opex_Assumptions!$F26:$M26,Opex_Assumptions!$F$7:$M$7,CT$7)*'Income Statement'!CJ$16</f>
        <v>#DIV/0!</v>
      </c>
      <c r="CU40" s="52" t="str">
        <f>+SUMIFS(Opex_Assumptions!$F26:$M26,Opex_Assumptions!$F$7:$M$7,CU$7)*'Income Statement'!CK$16</f>
        <v>#DIV/0!</v>
      </c>
      <c r="CV40" s="52" t="str">
        <f>+SUMIFS(Opex_Assumptions!$F26:$M26,Opex_Assumptions!$F$7:$M$7,CV$7)*'Income Statement'!CL$16</f>
        <v>#DIV/0!</v>
      </c>
      <c r="CW40" s="52" t="str">
        <f>+SUMIFS(Opex_Assumptions!$F26:$M26,Opex_Assumptions!$F$7:$M$7,CW$7)*'Income Statement'!CM$16</f>
        <v>#DIV/0!</v>
      </c>
      <c r="CX40" s="52" t="str">
        <f>+SUMIFS(Opex_Assumptions!$F26:$M26,Opex_Assumptions!$F$7:$M$7,CX$7)*'Income Statement'!CN$16</f>
        <v>#DIV/0!</v>
      </c>
      <c r="CY40" s="52" t="str">
        <f>+SUMIFS(Opex_Assumptions!$F26:$M26,Opex_Assumptions!$F$7:$M$7,CY$7)*'Income Statement'!CO$16</f>
        <v>#DIV/0!</v>
      </c>
      <c r="CZ40" s="52" t="str">
        <f>+SUMIFS(Opex_Assumptions!$F26:$M26,Opex_Assumptions!$F$7:$M$7,CZ$7)*'Income Statement'!CP$16</f>
        <v>#DIV/0!</v>
      </c>
      <c r="DA40" s="52" t="str">
        <f>+SUMIFS(Opex_Assumptions!$F26:$M26,Opex_Assumptions!$F$7:$M$7,DA$7)*'Income Statement'!CQ$16</f>
        <v>#DIV/0!</v>
      </c>
      <c r="DB40" s="52" t="str">
        <f>+SUMIFS(Opex_Assumptions!$F26:$M26,Opex_Assumptions!$F$7:$M$7,DB$7)*'Income Statement'!CR$16</f>
        <v>#DIV/0!</v>
      </c>
      <c r="DC40" s="52" t="str">
        <f>+SUMIFS(Opex_Assumptions!$F26:$M26,Opex_Assumptions!$F$7:$M$7,DC$7)*'Income Statement'!CS$16</f>
        <v>#DIV/0!</v>
      </c>
      <c r="DD40" s="52" t="str">
        <f>+SUMIFS(Opex_Assumptions!$F26:$M26,Opex_Assumptions!$F$7:$M$7,DD$7)*'Income Statement'!CT$16</f>
        <v>#DIV/0!</v>
      </c>
      <c r="DE40" s="52" t="str">
        <f>+SUMIFS(Opex_Assumptions!$F26:$M26,Opex_Assumptions!$F$7:$M$7,DE$7)*'Income Statement'!CU$16</f>
        <v>#DIV/0!</v>
      </c>
      <c r="DF40" s="52" t="str">
        <f>+SUMIFS(Opex_Assumptions!$F26:$M26,Opex_Assumptions!$F$7:$M$7,DF$7)*'Income Statement'!CV$16</f>
        <v>#DIV/0!</v>
      </c>
      <c r="DG40" s="52" t="str">
        <f>+SUMIFS(Opex_Assumptions!$F26:$M26,Opex_Assumptions!$F$7:$M$7,DG$7)*'Income Statement'!CW$16</f>
        <v>#DIV/0!</v>
      </c>
      <c r="DH40" s="52" t="str">
        <f>+SUMIFS(Opex_Assumptions!$F26:$M26,Opex_Assumptions!$F$7:$M$7,DH$7)*'Income Statement'!CX$16</f>
        <v>#DIV/0!</v>
      </c>
      <c r="DI40" s="52" t="str">
        <f>+SUMIFS(Opex_Assumptions!$F26:$M26,Opex_Assumptions!$F$7:$M$7,DI$7)*'Income Statement'!CY$16</f>
        <v>#DIV/0!</v>
      </c>
      <c r="DJ40" s="52" t="str">
        <f>+SUMIFS(Opex_Assumptions!$F26:$M26,Opex_Assumptions!$F$7:$M$7,DJ$7)*'Income Statement'!CZ$16</f>
        <v>#DIV/0!</v>
      </c>
      <c r="DK40" s="52" t="str">
        <f>+SUMIFS(Opex_Assumptions!$F26:$M26,Opex_Assumptions!$F$7:$M$7,DK$7)*'Income Statement'!DA$16</f>
        <v>#DIV/0!</v>
      </c>
      <c r="DL40" s="52" t="str">
        <f>+SUMIFS(Opex_Assumptions!$F26:$M26,Opex_Assumptions!$F$7:$M$7,DL$7)*'Income Statement'!DB$16</f>
        <v>#DIV/0!</v>
      </c>
      <c r="DM40" s="52" t="str">
        <f>+SUMIFS(Opex_Assumptions!$F26:$M26,Opex_Assumptions!$F$7:$M$7,DM$7)*'Income Statement'!DC$16</f>
        <v>#DIV/0!</v>
      </c>
      <c r="DN40" s="52" t="str">
        <f>+SUMIFS(Opex_Assumptions!$F26:$M26,Opex_Assumptions!$F$7:$M$7,DN$7)*'Income Statement'!DD$16</f>
        <v>#DIV/0!</v>
      </c>
      <c r="DO40" s="52" t="str">
        <f>+SUMIFS(Opex_Assumptions!$F26:$M26,Opex_Assumptions!$F$7:$M$7,DO$7)*'Income Statement'!DE$16</f>
        <v>#DIV/0!</v>
      </c>
      <c r="DP40" s="52" t="str">
        <f>+SUMIFS(Opex_Assumptions!$F26:$M26,Opex_Assumptions!$F$7:$M$7,DP$7)*'Income Statement'!DF$16</f>
        <v>#DIV/0!</v>
      </c>
      <c r="DQ40" s="52" t="str">
        <f>+SUMIFS(Opex_Assumptions!$F26:$M26,Opex_Assumptions!$F$7:$M$7,DQ$7)*'Income Statement'!DG$16</f>
        <v>#DIV/0!</v>
      </c>
      <c r="DR40" s="52" t="str">
        <f>+SUMIFS(Opex_Assumptions!$F26:$M26,Opex_Assumptions!$F$7:$M$7,DR$7)*'Income Statement'!DH$16</f>
        <v>#DIV/0!</v>
      </c>
    </row>
    <row r="41" ht="15.75" customHeight="1">
      <c r="B41" s="5" t="s">
        <v>170</v>
      </c>
      <c r="F41" s="50">
        <f t="shared" ref="F41:M41" si="37">+SUMIFS($AA41:$DR41,$AA$7:$DR$7,F$7)</f>
        <v>15.953</v>
      </c>
      <c r="G41" s="50">
        <f t="shared" si="37"/>
        <v>111.194</v>
      </c>
      <c r="H41" s="50">
        <f t="shared" si="37"/>
        <v>35.8001</v>
      </c>
      <c r="I41" s="50">
        <f t="shared" si="37"/>
        <v>15</v>
      </c>
      <c r="J41" s="50">
        <f t="shared" si="37"/>
        <v>15</v>
      </c>
      <c r="K41" s="50">
        <f t="shared" si="37"/>
        <v>17.25880738</v>
      </c>
      <c r="L41" s="50">
        <f t="shared" si="37"/>
        <v>20.10082973</v>
      </c>
      <c r="M41" s="50">
        <f t="shared" si="37"/>
        <v>23.44082569</v>
      </c>
      <c r="AA41" s="51">
        <v>0.0</v>
      </c>
      <c r="AB41" s="51">
        <v>2.9</v>
      </c>
      <c r="AC41" s="51">
        <v>0.0</v>
      </c>
      <c r="AD41" s="51">
        <v>1.962</v>
      </c>
      <c r="AE41" s="51">
        <v>0.0</v>
      </c>
      <c r="AF41" s="51">
        <v>1.284</v>
      </c>
      <c r="AG41" s="51">
        <v>3.204</v>
      </c>
      <c r="AH41" s="51">
        <v>3.204</v>
      </c>
      <c r="AI41" s="51">
        <v>0.0</v>
      </c>
      <c r="AJ41" s="51">
        <v>1.534</v>
      </c>
      <c r="AK41" s="51">
        <v>0.0</v>
      </c>
      <c r="AL41" s="51">
        <v>1.865</v>
      </c>
      <c r="AM41" s="51">
        <v>1.442</v>
      </c>
      <c r="AN41" s="51">
        <v>4.95879</v>
      </c>
      <c r="AO41" s="51">
        <v>14.47558</v>
      </c>
      <c r="AP41" s="51">
        <v>8.01063</v>
      </c>
      <c r="AQ41" s="51">
        <v>0.0</v>
      </c>
      <c r="AR41" s="51">
        <v>1.692</v>
      </c>
      <c r="AS41" s="51">
        <v>3.111</v>
      </c>
      <c r="AT41" s="51">
        <v>2.247</v>
      </c>
      <c r="AU41" s="51">
        <v>1.127</v>
      </c>
      <c r="AV41" s="51">
        <v>2.761</v>
      </c>
      <c r="AW41" s="51">
        <v>56.495</v>
      </c>
      <c r="AX41" s="51">
        <v>14.874</v>
      </c>
      <c r="AY41" s="51">
        <v>0.0</v>
      </c>
      <c r="AZ41" s="51">
        <v>0.0</v>
      </c>
      <c r="BA41" s="51">
        <v>0.0</v>
      </c>
      <c r="BB41" s="51">
        <v>0.0</v>
      </c>
      <c r="BC41" s="51">
        <v>0.0</v>
      </c>
      <c r="BD41" s="51">
        <v>0.0</v>
      </c>
      <c r="BE41" s="51">
        <v>0.0</v>
      </c>
      <c r="BF41" s="51">
        <v>11.53764</v>
      </c>
      <c r="BG41" s="51">
        <v>24.26246</v>
      </c>
      <c r="BH41" s="51">
        <v>0.0</v>
      </c>
      <c r="BI41" s="51">
        <v>0.0</v>
      </c>
      <c r="BJ41" s="51">
        <v>0.0</v>
      </c>
      <c r="BK41" s="51">
        <v>0.0</v>
      </c>
      <c r="BL41" s="51">
        <v>0.0</v>
      </c>
      <c r="BM41" s="51">
        <v>1.5</v>
      </c>
      <c r="BN41" s="51">
        <v>1.5</v>
      </c>
      <c r="BO41" s="51">
        <v>1.5</v>
      </c>
      <c r="BP41" s="51">
        <v>1.5</v>
      </c>
      <c r="BQ41" s="51">
        <v>1.5</v>
      </c>
      <c r="BR41" s="51">
        <v>1.5</v>
      </c>
      <c r="BS41" s="51">
        <v>1.5</v>
      </c>
      <c r="BT41" s="51">
        <v>1.5</v>
      </c>
      <c r="BU41" s="51">
        <v>1.5</v>
      </c>
      <c r="BV41" s="51">
        <v>1.5</v>
      </c>
      <c r="BW41" s="51">
        <v>1.25</v>
      </c>
      <c r="BX41" s="51">
        <v>1.25</v>
      </c>
      <c r="BY41" s="51">
        <v>1.25</v>
      </c>
      <c r="BZ41" s="51">
        <v>1.25</v>
      </c>
      <c r="CA41" s="51">
        <v>1.25</v>
      </c>
      <c r="CB41" s="51">
        <v>1.25</v>
      </c>
      <c r="CC41" s="51">
        <v>1.25</v>
      </c>
      <c r="CD41" s="51">
        <v>1.25</v>
      </c>
      <c r="CE41" s="51">
        <v>1.25</v>
      </c>
      <c r="CF41" s="51">
        <v>1.25</v>
      </c>
      <c r="CG41" s="51">
        <v>1.25</v>
      </c>
      <c r="CH41" s="51">
        <v>1.25</v>
      </c>
      <c r="CI41" s="52">
        <f>+SUMIFS(Opex_Assumptions!$F27:$M27,Opex_Assumptions!$F$7:$M$7,CI$7)*CI$32</f>
        <v>1.358734413</v>
      </c>
      <c r="CJ41" s="52">
        <f>+SUMIFS(Opex_Assumptions!$F27:$M27,Opex_Assumptions!$F$7:$M$7,CJ$7)*CJ$32</f>
        <v>1.373188874</v>
      </c>
      <c r="CK41" s="52">
        <f>+SUMIFS(Opex_Assumptions!$F27:$M27,Opex_Assumptions!$F$7:$M$7,CK$7)*CK$32</f>
        <v>1.387643335</v>
      </c>
      <c r="CL41" s="52">
        <f>+SUMIFS(Opex_Assumptions!$F27:$M27,Opex_Assumptions!$F$7:$M$7,CL$7)*CL$32</f>
        <v>1.402097796</v>
      </c>
      <c r="CM41" s="52">
        <f>+SUMIFS(Opex_Assumptions!$F27:$M27,Opex_Assumptions!$F$7:$M$7,CM$7)*CM$32</f>
        <v>1.416552257</v>
      </c>
      <c r="CN41" s="52">
        <f>+SUMIFS(Opex_Assumptions!$F27:$M27,Opex_Assumptions!$F$7:$M$7,CN$7)*CN$32</f>
        <v>1.431006718</v>
      </c>
      <c r="CO41" s="52">
        <f>+SUMIFS(Opex_Assumptions!$F27:$M27,Opex_Assumptions!$F$7:$M$7,CO$7)*CO$32</f>
        <v>1.445461179</v>
      </c>
      <c r="CP41" s="52">
        <f>+SUMIFS(Opex_Assumptions!$F27:$M27,Opex_Assumptions!$F$7:$M$7,CP$7)*CP$32</f>
        <v>1.45991564</v>
      </c>
      <c r="CQ41" s="52">
        <f>+SUMIFS(Opex_Assumptions!$F27:$M27,Opex_Assumptions!$F$7:$M$7,CQ$7)*CQ$32</f>
        <v>1.474370101</v>
      </c>
      <c r="CR41" s="52">
        <f>+SUMIFS(Opex_Assumptions!$F27:$M27,Opex_Assumptions!$F$7:$M$7,CR$7)*CR$32</f>
        <v>1.488824562</v>
      </c>
      <c r="CS41" s="52">
        <f>+SUMIFS(Opex_Assumptions!$F27:$M27,Opex_Assumptions!$F$7:$M$7,CS$7)*CS$32</f>
        <v>1.503279023</v>
      </c>
      <c r="CT41" s="52">
        <f>+SUMIFS(Opex_Assumptions!$F27:$M27,Opex_Assumptions!$F$7:$M$7,CT$7)*CT$32</f>
        <v>1.517733484</v>
      </c>
      <c r="CU41" s="52">
        <f>+SUMIFS(Opex_Assumptions!$F27:$M27,Opex_Assumptions!$F$7:$M$7,CU$7)*CU$32</f>
        <v>1.580466051</v>
      </c>
      <c r="CV41" s="52">
        <f>+SUMIFS(Opex_Assumptions!$F27:$M27,Opex_Assumptions!$F$7:$M$7,CV$7)*CV$32</f>
        <v>1.597666613</v>
      </c>
      <c r="CW41" s="52">
        <f>+SUMIFS(Opex_Assumptions!$F27:$M27,Opex_Assumptions!$F$7:$M$7,CW$7)*CW$32</f>
        <v>1.614867176</v>
      </c>
      <c r="CX41" s="52">
        <f>+SUMIFS(Opex_Assumptions!$F27:$M27,Opex_Assumptions!$F$7:$M$7,CX$7)*CX$32</f>
        <v>1.632067738</v>
      </c>
      <c r="CY41" s="52">
        <f>+SUMIFS(Opex_Assumptions!$F27:$M27,Opex_Assumptions!$F$7:$M$7,CY$7)*CY$32</f>
        <v>1.6492683</v>
      </c>
      <c r="CZ41" s="52">
        <f>+SUMIFS(Opex_Assumptions!$F27:$M27,Opex_Assumptions!$F$7:$M$7,CZ$7)*CZ$32</f>
        <v>1.666468863</v>
      </c>
      <c r="DA41" s="52">
        <f>+SUMIFS(Opex_Assumptions!$F27:$M27,Opex_Assumptions!$F$7:$M$7,DA$7)*DA$32</f>
        <v>1.683669425</v>
      </c>
      <c r="DB41" s="52">
        <f>+SUMIFS(Opex_Assumptions!$F27:$M27,Opex_Assumptions!$F$7:$M$7,DB$7)*DB$32</f>
        <v>1.700869988</v>
      </c>
      <c r="DC41" s="52">
        <f>+SUMIFS(Opex_Assumptions!$F27:$M27,Opex_Assumptions!$F$7:$M$7,DC$7)*DC$32</f>
        <v>1.71807055</v>
      </c>
      <c r="DD41" s="52">
        <f>+SUMIFS(Opex_Assumptions!$F27:$M27,Opex_Assumptions!$F$7:$M$7,DD$7)*DD$32</f>
        <v>1.735271113</v>
      </c>
      <c r="DE41" s="52">
        <f>+SUMIFS(Opex_Assumptions!$F27:$M27,Opex_Assumptions!$F$7:$M$7,DE$7)*DE$32</f>
        <v>1.752471675</v>
      </c>
      <c r="DF41" s="52">
        <f>+SUMIFS(Opex_Assumptions!$F27:$M27,Opex_Assumptions!$F$7:$M$7,DF$7)*DF$32</f>
        <v>1.769672238</v>
      </c>
      <c r="DG41" s="52">
        <f>+SUMIFS(Opex_Assumptions!$F27:$M27,Opex_Assumptions!$F$7:$M$7,DG$7)*DG$32</f>
        <v>1.842860826</v>
      </c>
      <c r="DH41" s="52">
        <f>+SUMIFS(Opex_Assumptions!$F27:$M27,Opex_Assumptions!$F$7:$M$7,DH$7)*DH$32</f>
        <v>1.862959247</v>
      </c>
      <c r="DI41" s="52">
        <f>+SUMIFS(Opex_Assumptions!$F27:$M27,Opex_Assumptions!$F$7:$M$7,DI$7)*DI$32</f>
        <v>1.883057668</v>
      </c>
      <c r="DJ41" s="52">
        <f>+SUMIFS(Opex_Assumptions!$F27:$M27,Opex_Assumptions!$F$7:$M$7,DJ$7)*DJ$32</f>
        <v>1.903156089</v>
      </c>
      <c r="DK41" s="52">
        <f>+SUMIFS(Opex_Assumptions!$F27:$M27,Opex_Assumptions!$F$7:$M$7,DK$7)*DK$32</f>
        <v>1.92325451</v>
      </c>
      <c r="DL41" s="52">
        <f>+SUMIFS(Opex_Assumptions!$F27:$M27,Opex_Assumptions!$F$7:$M$7,DL$7)*DL$32</f>
        <v>1.943352931</v>
      </c>
      <c r="DM41" s="52">
        <f>+SUMIFS(Opex_Assumptions!$F27:$M27,Opex_Assumptions!$F$7:$M$7,DM$7)*DM$32</f>
        <v>1.963451352</v>
      </c>
      <c r="DN41" s="52">
        <f>+SUMIFS(Opex_Assumptions!$F27:$M27,Opex_Assumptions!$F$7:$M$7,DN$7)*DN$32</f>
        <v>1.983549773</v>
      </c>
      <c r="DO41" s="52">
        <f>+SUMIFS(Opex_Assumptions!$F27:$M27,Opex_Assumptions!$F$7:$M$7,DO$7)*DO$32</f>
        <v>2.003648194</v>
      </c>
      <c r="DP41" s="52">
        <f>+SUMIFS(Opex_Assumptions!$F27:$M27,Opex_Assumptions!$F$7:$M$7,DP$7)*DP$32</f>
        <v>2.023746615</v>
      </c>
      <c r="DQ41" s="52">
        <f>+SUMIFS(Opex_Assumptions!$F27:$M27,Opex_Assumptions!$F$7:$M$7,DQ$7)*DQ$32</f>
        <v>2.043845036</v>
      </c>
      <c r="DR41" s="52">
        <f>+SUMIFS(Opex_Assumptions!$F27:$M27,Opex_Assumptions!$F$7:$M$7,DR$7)*DR$32</f>
        <v>2.063943457</v>
      </c>
    </row>
    <row r="42" ht="15.75" customHeight="1">
      <c r="B42" s="5" t="s">
        <v>171</v>
      </c>
      <c r="F42" s="50">
        <f t="shared" ref="F42:M42" si="38">+SUMIFS($AA42:$DR42,$AA$7:$DR$7,F$7)</f>
        <v>292.5854229</v>
      </c>
      <c r="G42" s="50">
        <f t="shared" si="38"/>
        <v>377.7079554</v>
      </c>
      <c r="H42" s="50">
        <f t="shared" si="38"/>
        <v>349.5595188</v>
      </c>
      <c r="I42" s="50">
        <f t="shared" si="38"/>
        <v>603.2005681</v>
      </c>
      <c r="J42" s="50">
        <f t="shared" si="38"/>
        <v>689.686181</v>
      </c>
      <c r="K42" s="50">
        <f t="shared" si="38"/>
        <v>793.5440632</v>
      </c>
      <c r="L42" s="50">
        <f t="shared" si="38"/>
        <v>924.2176327</v>
      </c>
      <c r="M42" s="50">
        <f t="shared" si="38"/>
        <v>1077.78757</v>
      </c>
      <c r="AA42" s="51">
        <v>25.86580507638777</v>
      </c>
      <c r="AB42" s="51">
        <v>24.97168290554823</v>
      </c>
      <c r="AC42" s="51">
        <v>23.86632804454201</v>
      </c>
      <c r="AD42" s="51">
        <v>26.021176220540873</v>
      </c>
      <c r="AE42" s="51">
        <v>24.789342313215663</v>
      </c>
      <c r="AF42" s="51">
        <v>22.752324533720063</v>
      </c>
      <c r="AG42" s="51">
        <v>24.526407198533885</v>
      </c>
      <c r="AH42" s="51">
        <v>21.3979575568232</v>
      </c>
      <c r="AI42" s="51">
        <v>22.871615206285924</v>
      </c>
      <c r="AJ42" s="51">
        <v>22.641083506162985</v>
      </c>
      <c r="AK42" s="51">
        <v>22.719529299086183</v>
      </c>
      <c r="AL42" s="51">
        <v>30.162171088386994</v>
      </c>
      <c r="AM42" s="51">
        <v>28.54001971694712</v>
      </c>
      <c r="AN42" s="51">
        <v>26.945788521147982</v>
      </c>
      <c r="AO42" s="51">
        <v>31.148390585636584</v>
      </c>
      <c r="AP42" s="51">
        <v>28.14947998207775</v>
      </c>
      <c r="AQ42" s="51">
        <v>30.85586494380657</v>
      </c>
      <c r="AR42" s="51">
        <v>40.49791036520411</v>
      </c>
      <c r="AS42" s="51">
        <v>24.572006446697227</v>
      </c>
      <c r="AT42" s="51">
        <v>32.69893005713821</v>
      </c>
      <c r="AU42" s="51">
        <v>33.79029659021359</v>
      </c>
      <c r="AV42" s="51">
        <v>28.35761718264044</v>
      </c>
      <c r="AW42" s="51">
        <v>36.46107002113091</v>
      </c>
      <c r="AX42" s="51">
        <v>35.69058100324022</v>
      </c>
      <c r="AY42" s="51">
        <v>36.60195227001128</v>
      </c>
      <c r="AZ42" s="51">
        <v>27.743827512671015</v>
      </c>
      <c r="BA42" s="51">
        <v>30.043604244318225</v>
      </c>
      <c r="BB42" s="51">
        <v>29.373667815417353</v>
      </c>
      <c r="BC42" s="51">
        <v>28.395410556536937</v>
      </c>
      <c r="BD42" s="51">
        <v>33.97510582036983</v>
      </c>
      <c r="BE42" s="51">
        <v>26.014290276092243</v>
      </c>
      <c r="BF42" s="51">
        <v>28.67577009038527</v>
      </c>
      <c r="BG42" s="51">
        <v>32.348765505845904</v>
      </c>
      <c r="BH42" s="51">
        <v>20.77117313929792</v>
      </c>
      <c r="BI42" s="51">
        <v>24.51349108516233</v>
      </c>
      <c r="BJ42" s="51">
        <v>31.1024604384207</v>
      </c>
      <c r="BK42" s="51">
        <v>48.807</v>
      </c>
      <c r="BL42" s="51">
        <v>44.172</v>
      </c>
      <c r="BM42" s="51">
        <v>51.02215681330376</v>
      </c>
      <c r="BN42" s="51">
        <v>51.02215681330376</v>
      </c>
      <c r="BO42" s="51">
        <v>51.02215681330376</v>
      </c>
      <c r="BP42" s="51">
        <v>51.02215681330376</v>
      </c>
      <c r="BQ42" s="51">
        <v>51.02215681330376</v>
      </c>
      <c r="BR42" s="51">
        <v>51.02215681330376</v>
      </c>
      <c r="BS42" s="51">
        <v>51.022156813303766</v>
      </c>
      <c r="BT42" s="51">
        <v>51.022156813303766</v>
      </c>
      <c r="BU42" s="51">
        <v>51.02215681330376</v>
      </c>
      <c r="BV42" s="51">
        <v>51.02215681330377</v>
      </c>
      <c r="BW42" s="51">
        <v>57.47384841355418</v>
      </c>
      <c r="BX42" s="51">
        <v>57.47384841355418</v>
      </c>
      <c r="BY42" s="51">
        <v>57.47384841355417</v>
      </c>
      <c r="BZ42" s="51">
        <v>57.47384841355417</v>
      </c>
      <c r="CA42" s="51">
        <v>57.47384841355418</v>
      </c>
      <c r="CB42" s="51">
        <v>57.47384841355418</v>
      </c>
      <c r="CC42" s="51">
        <v>57.47384841355418</v>
      </c>
      <c r="CD42" s="51">
        <v>57.473848413554165</v>
      </c>
      <c r="CE42" s="51">
        <v>57.47384841355417</v>
      </c>
      <c r="CF42" s="51">
        <v>57.47384841355418</v>
      </c>
      <c r="CG42" s="51">
        <v>57.47384841355418</v>
      </c>
      <c r="CH42" s="51">
        <v>57.473848413554165</v>
      </c>
      <c r="CI42" s="52">
        <f>+SUMIFS(Opex_Assumptions!$F28:$M28,Opex_Assumptions!$F$7:$M$7,CI$7)*CI$32</f>
        <v>62.47335653</v>
      </c>
      <c r="CJ42" s="52">
        <f>+SUMIFS(Opex_Assumptions!$F28:$M28,Opex_Assumptions!$F$7:$M$7,CJ$7)*CJ$32</f>
        <v>63.13795933</v>
      </c>
      <c r="CK42" s="52">
        <f>+SUMIFS(Opex_Assumptions!$F28:$M28,Opex_Assumptions!$F$7:$M$7,CK$7)*CK$32</f>
        <v>63.80256213</v>
      </c>
      <c r="CL42" s="52">
        <f>+SUMIFS(Opex_Assumptions!$F28:$M28,Opex_Assumptions!$F$7:$M$7,CL$7)*CL$32</f>
        <v>64.46716493</v>
      </c>
      <c r="CM42" s="52">
        <f>+SUMIFS(Opex_Assumptions!$F28:$M28,Opex_Assumptions!$F$7:$M$7,CM$7)*CM$32</f>
        <v>65.13176773</v>
      </c>
      <c r="CN42" s="52">
        <f>+SUMIFS(Opex_Assumptions!$F28:$M28,Opex_Assumptions!$F$7:$M$7,CN$7)*CN$32</f>
        <v>65.79637053</v>
      </c>
      <c r="CO42" s="52">
        <f>+SUMIFS(Opex_Assumptions!$F28:$M28,Opex_Assumptions!$F$7:$M$7,CO$7)*CO$32</f>
        <v>66.46097333</v>
      </c>
      <c r="CP42" s="52">
        <f>+SUMIFS(Opex_Assumptions!$F28:$M28,Opex_Assumptions!$F$7:$M$7,CP$7)*CP$32</f>
        <v>67.12557613</v>
      </c>
      <c r="CQ42" s="52">
        <f>+SUMIFS(Opex_Assumptions!$F28:$M28,Opex_Assumptions!$F$7:$M$7,CQ$7)*CQ$32</f>
        <v>67.79017893</v>
      </c>
      <c r="CR42" s="52">
        <f>+SUMIFS(Opex_Assumptions!$F28:$M28,Opex_Assumptions!$F$7:$M$7,CR$7)*CR$32</f>
        <v>68.45478173</v>
      </c>
      <c r="CS42" s="52">
        <f>+SUMIFS(Opex_Assumptions!$F28:$M28,Opex_Assumptions!$F$7:$M$7,CS$7)*CS$32</f>
        <v>69.11938454</v>
      </c>
      <c r="CT42" s="52">
        <f>+SUMIFS(Opex_Assumptions!$F28:$M28,Opex_Assumptions!$F$7:$M$7,CT$7)*CT$32</f>
        <v>69.78398734</v>
      </c>
      <c r="CU42" s="52">
        <f>+SUMIFS(Opex_Assumptions!$F28:$M28,Opex_Assumptions!$F$7:$M$7,CU$7)*CU$32</f>
        <v>72.66837297</v>
      </c>
      <c r="CV42" s="52">
        <f>+SUMIFS(Opex_Assumptions!$F28:$M28,Opex_Assumptions!$F$7:$M$7,CV$7)*CV$32</f>
        <v>73.45923899</v>
      </c>
      <c r="CW42" s="52">
        <f>+SUMIFS(Opex_Assumptions!$F28:$M28,Opex_Assumptions!$F$7:$M$7,CW$7)*CW$32</f>
        <v>74.250105</v>
      </c>
      <c r="CX42" s="52">
        <f>+SUMIFS(Opex_Assumptions!$F28:$M28,Opex_Assumptions!$F$7:$M$7,CX$7)*CX$32</f>
        <v>75.04097102</v>
      </c>
      <c r="CY42" s="52">
        <f>+SUMIFS(Opex_Assumptions!$F28:$M28,Opex_Assumptions!$F$7:$M$7,CY$7)*CY$32</f>
        <v>75.83183703</v>
      </c>
      <c r="CZ42" s="52">
        <f>+SUMIFS(Opex_Assumptions!$F28:$M28,Opex_Assumptions!$F$7:$M$7,CZ$7)*CZ$32</f>
        <v>76.62270305</v>
      </c>
      <c r="DA42" s="52">
        <f>+SUMIFS(Opex_Assumptions!$F28:$M28,Opex_Assumptions!$F$7:$M$7,DA$7)*DA$32</f>
        <v>77.41356906</v>
      </c>
      <c r="DB42" s="52">
        <f>+SUMIFS(Opex_Assumptions!$F28:$M28,Opex_Assumptions!$F$7:$M$7,DB$7)*DB$32</f>
        <v>78.20443508</v>
      </c>
      <c r="DC42" s="52">
        <f>+SUMIFS(Opex_Assumptions!$F28:$M28,Opex_Assumptions!$F$7:$M$7,DC$7)*DC$32</f>
        <v>78.9953011</v>
      </c>
      <c r="DD42" s="52">
        <f>+SUMIFS(Opex_Assumptions!$F28:$M28,Opex_Assumptions!$F$7:$M$7,DD$7)*DD$32</f>
        <v>79.78616711</v>
      </c>
      <c r="DE42" s="52">
        <f>+SUMIFS(Opex_Assumptions!$F28:$M28,Opex_Assumptions!$F$7:$M$7,DE$7)*DE$32</f>
        <v>80.57703313</v>
      </c>
      <c r="DF42" s="52">
        <f>+SUMIFS(Opex_Assumptions!$F28:$M28,Opex_Assumptions!$F$7:$M$7,DF$7)*DF$32</f>
        <v>81.36789914</v>
      </c>
      <c r="DG42" s="52">
        <f>+SUMIFS(Opex_Assumptions!$F28:$M28,Opex_Assumptions!$F$7:$M$7,DG$7)*DG$32</f>
        <v>84.733043</v>
      </c>
      <c r="DH42" s="52">
        <f>+SUMIFS(Opex_Assumptions!$F28:$M28,Opex_Assumptions!$F$7:$M$7,DH$7)*DH$32</f>
        <v>85.65714988</v>
      </c>
      <c r="DI42" s="52">
        <f>+SUMIFS(Opex_Assumptions!$F28:$M28,Opex_Assumptions!$F$7:$M$7,DI$7)*DI$32</f>
        <v>86.58125676</v>
      </c>
      <c r="DJ42" s="52">
        <f>+SUMIFS(Opex_Assumptions!$F28:$M28,Opex_Assumptions!$F$7:$M$7,DJ$7)*DJ$32</f>
        <v>87.50536364</v>
      </c>
      <c r="DK42" s="52">
        <f>+SUMIFS(Opex_Assumptions!$F28:$M28,Opex_Assumptions!$F$7:$M$7,DK$7)*DK$32</f>
        <v>88.42947052</v>
      </c>
      <c r="DL42" s="52">
        <f>+SUMIFS(Opex_Assumptions!$F28:$M28,Opex_Assumptions!$F$7:$M$7,DL$7)*DL$32</f>
        <v>89.3535774</v>
      </c>
      <c r="DM42" s="52">
        <f>+SUMIFS(Opex_Assumptions!$F28:$M28,Opex_Assumptions!$F$7:$M$7,DM$7)*DM$32</f>
        <v>90.27768428</v>
      </c>
      <c r="DN42" s="52">
        <f>+SUMIFS(Opex_Assumptions!$F28:$M28,Opex_Assumptions!$F$7:$M$7,DN$7)*DN$32</f>
        <v>91.20179116</v>
      </c>
      <c r="DO42" s="52">
        <f>+SUMIFS(Opex_Assumptions!$F28:$M28,Opex_Assumptions!$F$7:$M$7,DO$7)*DO$32</f>
        <v>92.12589805</v>
      </c>
      <c r="DP42" s="52">
        <f>+SUMIFS(Opex_Assumptions!$F28:$M28,Opex_Assumptions!$F$7:$M$7,DP$7)*DP$32</f>
        <v>93.05000493</v>
      </c>
      <c r="DQ42" s="52">
        <f>+SUMIFS(Opex_Assumptions!$F28:$M28,Opex_Assumptions!$F$7:$M$7,DQ$7)*DQ$32</f>
        <v>93.97411181</v>
      </c>
      <c r="DR42" s="52">
        <f>+SUMIFS(Opex_Assumptions!$F28:$M28,Opex_Assumptions!$F$7:$M$7,DR$7)*DR$32</f>
        <v>94.89821869</v>
      </c>
    </row>
    <row r="43" ht="15.75" customHeight="1">
      <c r="B43" s="5" t="s">
        <v>172</v>
      </c>
      <c r="F43" s="50">
        <f t="shared" ref="F43:M43" si="39">+SUMIFS($AA43:$DR43,$AA$7:$DR$7,F$7)</f>
        <v>61.99617</v>
      </c>
      <c r="G43" s="50">
        <f t="shared" si="39"/>
        <v>44.34062</v>
      </c>
      <c r="H43" s="50">
        <f t="shared" si="39"/>
        <v>73.18565</v>
      </c>
      <c r="I43" s="50">
        <f t="shared" si="39"/>
        <v>89.74296</v>
      </c>
      <c r="J43" s="50">
        <f t="shared" si="39"/>
        <v>89.74296</v>
      </c>
      <c r="K43" s="50">
        <f t="shared" si="39"/>
        <v>103.2570973</v>
      </c>
      <c r="L43" s="50">
        <f t="shared" si="39"/>
        <v>120.2605306</v>
      </c>
      <c r="M43" s="50">
        <f t="shared" si="39"/>
        <v>140.2432722</v>
      </c>
      <c r="AA43" s="51">
        <v>16.98665</v>
      </c>
      <c r="AB43" s="51">
        <v>4.51699</v>
      </c>
      <c r="AC43" s="51">
        <v>9.40076</v>
      </c>
      <c r="AD43" s="51">
        <v>5.40385</v>
      </c>
      <c r="AE43" s="51">
        <v>6.36237</v>
      </c>
      <c r="AF43" s="51">
        <v>2.55402</v>
      </c>
      <c r="AG43" s="51">
        <v>9.93554</v>
      </c>
      <c r="AH43" s="51">
        <v>2.67452</v>
      </c>
      <c r="AI43" s="51">
        <v>1.94859</v>
      </c>
      <c r="AJ43" s="51">
        <v>16.82217</v>
      </c>
      <c r="AK43" s="51">
        <v>13.80581</v>
      </c>
      <c r="AL43" s="51">
        <v>-28.4151</v>
      </c>
      <c r="AM43" s="51">
        <v>11.59276</v>
      </c>
      <c r="AN43" s="51">
        <v>4.27864</v>
      </c>
      <c r="AO43" s="51">
        <v>2.71976</v>
      </c>
      <c r="AP43" s="51">
        <v>3.00188</v>
      </c>
      <c r="AQ43" s="51">
        <v>3.6677</v>
      </c>
      <c r="AR43" s="51">
        <v>2.51254</v>
      </c>
      <c r="AS43" s="51">
        <v>2.87113</v>
      </c>
      <c r="AT43" s="51">
        <v>2.74359</v>
      </c>
      <c r="AU43" s="51">
        <v>2.73942</v>
      </c>
      <c r="AV43" s="51">
        <v>2.40357</v>
      </c>
      <c r="AW43" s="51">
        <v>2.52347</v>
      </c>
      <c r="AX43" s="51">
        <v>3.28616</v>
      </c>
      <c r="AY43" s="51">
        <v>3.82368</v>
      </c>
      <c r="AZ43" s="51">
        <v>2.47282</v>
      </c>
      <c r="BA43" s="51">
        <v>4.16254</v>
      </c>
      <c r="BB43" s="51">
        <v>2.52833</v>
      </c>
      <c r="BC43" s="51">
        <v>2.21195</v>
      </c>
      <c r="BD43" s="51">
        <v>5.41118</v>
      </c>
      <c r="BE43" s="51">
        <v>6.69116</v>
      </c>
      <c r="BF43" s="51">
        <v>10.86671</v>
      </c>
      <c r="BG43" s="51">
        <v>15.84396</v>
      </c>
      <c r="BH43" s="51">
        <v>5.2988800000000005</v>
      </c>
      <c r="BI43" s="51">
        <v>6.39586</v>
      </c>
      <c r="BJ43" s="51">
        <v>7.47858</v>
      </c>
      <c r="BK43" s="51">
        <f t="shared" ref="BK43:CH43" si="40">+BJ43</f>
        <v>7.47858</v>
      </c>
      <c r="BL43" s="51">
        <f t="shared" si="40"/>
        <v>7.47858</v>
      </c>
      <c r="BM43" s="51">
        <f t="shared" si="40"/>
        <v>7.47858</v>
      </c>
      <c r="BN43" s="51">
        <f t="shared" si="40"/>
        <v>7.47858</v>
      </c>
      <c r="BO43" s="51">
        <f t="shared" si="40"/>
        <v>7.47858</v>
      </c>
      <c r="BP43" s="51">
        <f t="shared" si="40"/>
        <v>7.47858</v>
      </c>
      <c r="BQ43" s="51">
        <f t="shared" si="40"/>
        <v>7.47858</v>
      </c>
      <c r="BR43" s="51">
        <f t="shared" si="40"/>
        <v>7.47858</v>
      </c>
      <c r="BS43" s="51">
        <f t="shared" si="40"/>
        <v>7.47858</v>
      </c>
      <c r="BT43" s="51">
        <f t="shared" si="40"/>
        <v>7.47858</v>
      </c>
      <c r="BU43" s="51">
        <f t="shared" si="40"/>
        <v>7.47858</v>
      </c>
      <c r="BV43" s="51">
        <f t="shared" si="40"/>
        <v>7.47858</v>
      </c>
      <c r="BW43" s="51">
        <f t="shared" si="40"/>
        <v>7.47858</v>
      </c>
      <c r="BX43" s="51">
        <f t="shared" si="40"/>
        <v>7.47858</v>
      </c>
      <c r="BY43" s="51">
        <f t="shared" si="40"/>
        <v>7.47858</v>
      </c>
      <c r="BZ43" s="51">
        <f t="shared" si="40"/>
        <v>7.47858</v>
      </c>
      <c r="CA43" s="51">
        <f t="shared" si="40"/>
        <v>7.47858</v>
      </c>
      <c r="CB43" s="51">
        <f t="shared" si="40"/>
        <v>7.47858</v>
      </c>
      <c r="CC43" s="51">
        <f t="shared" si="40"/>
        <v>7.47858</v>
      </c>
      <c r="CD43" s="51">
        <f t="shared" si="40"/>
        <v>7.47858</v>
      </c>
      <c r="CE43" s="51">
        <f t="shared" si="40"/>
        <v>7.47858</v>
      </c>
      <c r="CF43" s="51">
        <f t="shared" si="40"/>
        <v>7.47858</v>
      </c>
      <c r="CG43" s="51">
        <f t="shared" si="40"/>
        <v>7.47858</v>
      </c>
      <c r="CH43" s="51">
        <f t="shared" si="40"/>
        <v>7.47858</v>
      </c>
      <c r="CI43" s="52">
        <f>+SUMIFS(Opex_Assumptions!$F29:$M29,Opex_Assumptions!$F$7:$M$7,CI$7)*CI$32</f>
        <v>8.129123202</v>
      </c>
      <c r="CJ43" s="52">
        <f>+SUMIFS(Opex_Assumptions!$F29:$M29,Opex_Assumptions!$F$7:$M$7,CJ$7)*CJ$32</f>
        <v>8.215602277</v>
      </c>
      <c r="CK43" s="52">
        <f>+SUMIFS(Opex_Assumptions!$F29:$M29,Opex_Assumptions!$F$7:$M$7,CK$7)*CK$32</f>
        <v>8.302081351</v>
      </c>
      <c r="CL43" s="52">
        <f>+SUMIFS(Opex_Assumptions!$F29:$M29,Opex_Assumptions!$F$7:$M$7,CL$7)*CL$32</f>
        <v>8.388560426</v>
      </c>
      <c r="CM43" s="52">
        <f>+SUMIFS(Opex_Assumptions!$F29:$M29,Opex_Assumptions!$F$7:$M$7,CM$7)*CM$32</f>
        <v>8.4750395</v>
      </c>
      <c r="CN43" s="52">
        <f>+SUMIFS(Opex_Assumptions!$F29:$M29,Opex_Assumptions!$F$7:$M$7,CN$7)*CN$32</f>
        <v>8.561518574</v>
      </c>
      <c r="CO43" s="52">
        <f>+SUMIFS(Opex_Assumptions!$F29:$M29,Opex_Assumptions!$F$7:$M$7,CO$7)*CO$32</f>
        <v>8.647997649</v>
      </c>
      <c r="CP43" s="52">
        <f>+SUMIFS(Opex_Assumptions!$F29:$M29,Opex_Assumptions!$F$7:$M$7,CP$7)*CP$32</f>
        <v>8.734476723</v>
      </c>
      <c r="CQ43" s="52">
        <f>+SUMIFS(Opex_Assumptions!$F29:$M29,Opex_Assumptions!$F$7:$M$7,CQ$7)*CQ$32</f>
        <v>8.820955798</v>
      </c>
      <c r="CR43" s="52">
        <f>+SUMIFS(Opex_Assumptions!$F29:$M29,Opex_Assumptions!$F$7:$M$7,CR$7)*CR$32</f>
        <v>8.907434872</v>
      </c>
      <c r="CS43" s="52">
        <f>+SUMIFS(Opex_Assumptions!$F29:$M29,Opex_Assumptions!$F$7:$M$7,CS$7)*CS$32</f>
        <v>8.993913946</v>
      </c>
      <c r="CT43" s="52">
        <f>+SUMIFS(Opex_Assumptions!$F29:$M29,Opex_Assumptions!$F$7:$M$7,CT$7)*CT$32</f>
        <v>9.080393021</v>
      </c>
      <c r="CU43" s="52">
        <f>+SUMIFS(Opex_Assumptions!$F29:$M29,Opex_Assumptions!$F$7:$M$7,CU$7)*CU$32</f>
        <v>9.455713437</v>
      </c>
      <c r="CV43" s="52">
        <f>+SUMIFS(Opex_Assumptions!$F29:$M29,Opex_Assumptions!$F$7:$M$7,CV$7)*CV$32</f>
        <v>9.558622063</v>
      </c>
      <c r="CW43" s="52">
        <f>+SUMIFS(Opex_Assumptions!$F29:$M29,Opex_Assumptions!$F$7:$M$7,CW$7)*CW$32</f>
        <v>9.661530689</v>
      </c>
      <c r="CX43" s="52">
        <f>+SUMIFS(Opex_Assumptions!$F29:$M29,Opex_Assumptions!$F$7:$M$7,CX$7)*CX$32</f>
        <v>9.764439315</v>
      </c>
      <c r="CY43" s="52">
        <f>+SUMIFS(Opex_Assumptions!$F29:$M29,Opex_Assumptions!$F$7:$M$7,CY$7)*CY$32</f>
        <v>9.867347941</v>
      </c>
      <c r="CZ43" s="52">
        <f>+SUMIFS(Opex_Assumptions!$F29:$M29,Opex_Assumptions!$F$7:$M$7,CZ$7)*CZ$32</f>
        <v>9.970256567</v>
      </c>
      <c r="DA43" s="52">
        <f>+SUMIFS(Opex_Assumptions!$F29:$M29,Opex_Assumptions!$F$7:$M$7,DA$7)*DA$32</f>
        <v>10.07316519</v>
      </c>
      <c r="DB43" s="52">
        <f>+SUMIFS(Opex_Assumptions!$F29:$M29,Opex_Assumptions!$F$7:$M$7,DB$7)*DB$32</f>
        <v>10.17607382</v>
      </c>
      <c r="DC43" s="52">
        <f>+SUMIFS(Opex_Assumptions!$F29:$M29,Opex_Assumptions!$F$7:$M$7,DC$7)*DC$32</f>
        <v>10.27898244</v>
      </c>
      <c r="DD43" s="52">
        <f>+SUMIFS(Opex_Assumptions!$F29:$M29,Opex_Assumptions!$F$7:$M$7,DD$7)*DD$32</f>
        <v>10.38189107</v>
      </c>
      <c r="DE43" s="52">
        <f>+SUMIFS(Opex_Assumptions!$F29:$M29,Opex_Assumptions!$F$7:$M$7,DE$7)*DE$32</f>
        <v>10.4847997</v>
      </c>
      <c r="DF43" s="52">
        <f>+SUMIFS(Opex_Assumptions!$F29:$M29,Opex_Assumptions!$F$7:$M$7,DF$7)*DF$32</f>
        <v>10.58770832</v>
      </c>
      <c r="DG43" s="52">
        <f>+SUMIFS(Opex_Assumptions!$F29:$M29,Opex_Assumptions!$F$7:$M$7,DG$7)*DG$32</f>
        <v>11.02558569</v>
      </c>
      <c r="DH43" s="52">
        <f>+SUMIFS(Opex_Assumptions!$F29:$M29,Opex_Assumptions!$F$7:$M$7,DH$7)*DH$32</f>
        <v>11.14583181</v>
      </c>
      <c r="DI43" s="52">
        <f>+SUMIFS(Opex_Assumptions!$F29:$M29,Opex_Assumptions!$F$7:$M$7,DI$7)*DI$32</f>
        <v>11.26607793</v>
      </c>
      <c r="DJ43" s="52">
        <f>+SUMIFS(Opex_Assumptions!$F29:$M29,Opex_Assumptions!$F$7:$M$7,DJ$7)*DJ$32</f>
        <v>11.38632405</v>
      </c>
      <c r="DK43" s="52">
        <f>+SUMIFS(Opex_Assumptions!$F29:$M29,Opex_Assumptions!$F$7:$M$7,DK$7)*DK$32</f>
        <v>11.50657017</v>
      </c>
      <c r="DL43" s="52">
        <f>+SUMIFS(Opex_Assumptions!$F29:$M29,Opex_Assumptions!$F$7:$M$7,DL$7)*DL$32</f>
        <v>11.62681629</v>
      </c>
      <c r="DM43" s="52">
        <f>+SUMIFS(Opex_Assumptions!$F29:$M29,Opex_Assumptions!$F$7:$M$7,DM$7)*DM$32</f>
        <v>11.74706241</v>
      </c>
      <c r="DN43" s="52">
        <f>+SUMIFS(Opex_Assumptions!$F29:$M29,Opex_Assumptions!$F$7:$M$7,DN$7)*DN$32</f>
        <v>11.86730853</v>
      </c>
      <c r="DO43" s="52">
        <f>+SUMIFS(Opex_Assumptions!$F29:$M29,Opex_Assumptions!$F$7:$M$7,DO$7)*DO$32</f>
        <v>11.98755465</v>
      </c>
      <c r="DP43" s="52">
        <f>+SUMIFS(Opex_Assumptions!$F29:$M29,Opex_Assumptions!$F$7:$M$7,DP$7)*DP$32</f>
        <v>12.10780077</v>
      </c>
      <c r="DQ43" s="52">
        <f>+SUMIFS(Opex_Assumptions!$F29:$M29,Opex_Assumptions!$F$7:$M$7,DQ$7)*DQ$32</f>
        <v>12.22804689</v>
      </c>
      <c r="DR43" s="52">
        <f>+SUMIFS(Opex_Assumptions!$F29:$M29,Opex_Assumptions!$F$7:$M$7,DR$7)*DR$32</f>
        <v>12.348293</v>
      </c>
    </row>
    <row r="44" ht="15.75" customHeight="1">
      <c r="B44" s="54" t="s">
        <v>50</v>
      </c>
      <c r="C44" s="54"/>
      <c r="D44" s="54"/>
      <c r="F44" s="55">
        <f t="shared" ref="F44:M44" si="41">+SUMIFS($AA44:$DR44,$AA$7:$DR$7,F$7)</f>
        <v>8784.073255</v>
      </c>
      <c r="G44" s="55">
        <f t="shared" si="41"/>
        <v>9208.780039</v>
      </c>
      <c r="H44" s="55">
        <f t="shared" si="41"/>
        <v>8987.117668</v>
      </c>
      <c r="I44" s="55">
        <f t="shared" si="41"/>
        <v>10307.86842</v>
      </c>
      <c r="J44" s="55">
        <f t="shared" si="41"/>
        <v>10724.83952</v>
      </c>
      <c r="K44" s="55" t="str">
        <f t="shared" si="41"/>
        <v>#DIV/0!</v>
      </c>
      <c r="L44" s="55" t="str">
        <f t="shared" si="41"/>
        <v>#DIV/0!</v>
      </c>
      <c r="M44" s="55" t="str">
        <f t="shared" si="41"/>
        <v>#DIV/0!</v>
      </c>
      <c r="AA44" s="55">
        <f t="shared" ref="AA44:DR44" si="42">SUM(AA37:AA43)</f>
        <v>734.1147851</v>
      </c>
      <c r="AB44" s="55">
        <f t="shared" si="42"/>
        <v>737.0505336</v>
      </c>
      <c r="AC44" s="55">
        <f t="shared" si="42"/>
        <v>666.4487698</v>
      </c>
      <c r="AD44" s="55">
        <f t="shared" si="42"/>
        <v>738.6267728</v>
      </c>
      <c r="AE44" s="55">
        <f t="shared" si="42"/>
        <v>724.4967093</v>
      </c>
      <c r="AF44" s="55">
        <f t="shared" si="42"/>
        <v>718.3926792</v>
      </c>
      <c r="AG44" s="55">
        <f t="shared" si="42"/>
        <v>808.8623997</v>
      </c>
      <c r="AH44" s="55">
        <f t="shared" si="42"/>
        <v>715.9356144</v>
      </c>
      <c r="AI44" s="55">
        <f t="shared" si="42"/>
        <v>766.4969293</v>
      </c>
      <c r="AJ44" s="55">
        <f t="shared" si="42"/>
        <v>678.4890713</v>
      </c>
      <c r="AK44" s="55">
        <f t="shared" si="42"/>
        <v>762.2089568</v>
      </c>
      <c r="AL44" s="55">
        <f t="shared" si="42"/>
        <v>732.950034</v>
      </c>
      <c r="AM44" s="55">
        <f t="shared" si="42"/>
        <v>884.1677748</v>
      </c>
      <c r="AN44" s="55">
        <f t="shared" si="42"/>
        <v>818.7165022</v>
      </c>
      <c r="AO44" s="55">
        <f t="shared" si="42"/>
        <v>764.2492104</v>
      </c>
      <c r="AP44" s="55">
        <f t="shared" si="42"/>
        <v>675.4026459</v>
      </c>
      <c r="AQ44" s="55">
        <f t="shared" si="42"/>
        <v>749.0602019</v>
      </c>
      <c r="AR44" s="55">
        <f t="shared" si="42"/>
        <v>749.9914423</v>
      </c>
      <c r="AS44" s="55">
        <f t="shared" si="42"/>
        <v>746.549508</v>
      </c>
      <c r="AT44" s="55">
        <f t="shared" si="42"/>
        <v>744.327388</v>
      </c>
      <c r="AU44" s="55">
        <f t="shared" si="42"/>
        <v>738.0335785</v>
      </c>
      <c r="AV44" s="55">
        <f t="shared" si="42"/>
        <v>691.6523079</v>
      </c>
      <c r="AW44" s="55">
        <f t="shared" si="42"/>
        <v>810.4681999</v>
      </c>
      <c r="AX44" s="55">
        <f t="shared" si="42"/>
        <v>836.1612787</v>
      </c>
      <c r="AY44" s="55">
        <f t="shared" si="42"/>
        <v>793.1732956</v>
      </c>
      <c r="AZ44" s="55">
        <f t="shared" si="42"/>
        <v>691.9643658</v>
      </c>
      <c r="BA44" s="55">
        <f t="shared" si="42"/>
        <v>670.7607551</v>
      </c>
      <c r="BB44" s="55">
        <f t="shared" si="42"/>
        <v>715.6410633</v>
      </c>
      <c r="BC44" s="55">
        <f t="shared" si="42"/>
        <v>726.767415</v>
      </c>
      <c r="BD44" s="55">
        <f t="shared" si="42"/>
        <v>777.6723924</v>
      </c>
      <c r="BE44" s="55">
        <f t="shared" si="42"/>
        <v>759.5662211</v>
      </c>
      <c r="BF44" s="55">
        <f t="shared" si="42"/>
        <v>765.1630861</v>
      </c>
      <c r="BG44" s="55">
        <f t="shared" si="42"/>
        <v>745.5132089</v>
      </c>
      <c r="BH44" s="55">
        <f t="shared" si="42"/>
        <v>710.1007951</v>
      </c>
      <c r="BI44" s="55">
        <f t="shared" si="42"/>
        <v>791.1289293</v>
      </c>
      <c r="BJ44" s="55">
        <f t="shared" si="42"/>
        <v>839.6661406</v>
      </c>
      <c r="BK44" s="55">
        <f t="shared" si="42"/>
        <v>858.3326902</v>
      </c>
      <c r="BL44" s="55">
        <f t="shared" si="42"/>
        <v>842.6322541</v>
      </c>
      <c r="BM44" s="55">
        <f t="shared" si="42"/>
        <v>815.1990378</v>
      </c>
      <c r="BN44" s="55">
        <f t="shared" si="42"/>
        <v>850.654593</v>
      </c>
      <c r="BO44" s="55">
        <f t="shared" si="42"/>
        <v>858.5351406</v>
      </c>
      <c r="BP44" s="55">
        <f t="shared" si="42"/>
        <v>848.3177265</v>
      </c>
      <c r="BQ44" s="55">
        <f t="shared" si="42"/>
        <v>857.2431555</v>
      </c>
      <c r="BR44" s="55">
        <f t="shared" si="42"/>
        <v>822.3954553</v>
      </c>
      <c r="BS44" s="55">
        <f t="shared" si="42"/>
        <v>855.2718254</v>
      </c>
      <c r="BT44" s="55">
        <f t="shared" si="42"/>
        <v>825.0587595</v>
      </c>
      <c r="BU44" s="55">
        <f t="shared" si="42"/>
        <v>904.1082986</v>
      </c>
      <c r="BV44" s="55">
        <f t="shared" si="42"/>
        <v>970.119481</v>
      </c>
      <c r="BW44" s="55">
        <f t="shared" si="42"/>
        <v>843.5552257</v>
      </c>
      <c r="BX44" s="55">
        <f t="shared" si="42"/>
        <v>797.9273841</v>
      </c>
      <c r="BY44" s="55">
        <f t="shared" si="42"/>
        <v>776.252222</v>
      </c>
      <c r="BZ44" s="55">
        <f t="shared" si="42"/>
        <v>823.0721944</v>
      </c>
      <c r="CA44" s="55">
        <f t="shared" si="42"/>
        <v>868.1822598</v>
      </c>
      <c r="CB44" s="55">
        <f t="shared" si="42"/>
        <v>878.136189</v>
      </c>
      <c r="CC44" s="55">
        <f t="shared" si="42"/>
        <v>888.4885295</v>
      </c>
      <c r="CD44" s="55">
        <f t="shared" si="42"/>
        <v>888.513326</v>
      </c>
      <c r="CE44" s="55">
        <f t="shared" si="42"/>
        <v>930.7967615</v>
      </c>
      <c r="CF44" s="55">
        <f t="shared" si="42"/>
        <v>904.178034</v>
      </c>
      <c r="CG44" s="55">
        <f t="shared" si="42"/>
        <v>1025.518667</v>
      </c>
      <c r="CH44" s="55">
        <f t="shared" si="42"/>
        <v>1100.218725</v>
      </c>
      <c r="CI44" s="55" t="str">
        <f t="shared" si="42"/>
        <v>#DIV/0!</v>
      </c>
      <c r="CJ44" s="55" t="str">
        <f t="shared" si="42"/>
        <v>#DIV/0!</v>
      </c>
      <c r="CK44" s="55" t="str">
        <f t="shared" si="42"/>
        <v>#DIV/0!</v>
      </c>
      <c r="CL44" s="55" t="str">
        <f t="shared" si="42"/>
        <v>#DIV/0!</v>
      </c>
      <c r="CM44" s="55" t="str">
        <f t="shared" si="42"/>
        <v>#DIV/0!</v>
      </c>
      <c r="CN44" s="55" t="str">
        <f t="shared" si="42"/>
        <v>#DIV/0!</v>
      </c>
      <c r="CO44" s="55" t="str">
        <f t="shared" si="42"/>
        <v>#DIV/0!</v>
      </c>
      <c r="CP44" s="55" t="str">
        <f t="shared" si="42"/>
        <v>#DIV/0!</v>
      </c>
      <c r="CQ44" s="55" t="str">
        <f t="shared" si="42"/>
        <v>#DIV/0!</v>
      </c>
      <c r="CR44" s="55" t="str">
        <f t="shared" si="42"/>
        <v>#DIV/0!</v>
      </c>
      <c r="CS44" s="55" t="str">
        <f t="shared" si="42"/>
        <v>#DIV/0!</v>
      </c>
      <c r="CT44" s="55" t="str">
        <f t="shared" si="42"/>
        <v>#DIV/0!</v>
      </c>
      <c r="CU44" s="55" t="str">
        <f t="shared" si="42"/>
        <v>#DIV/0!</v>
      </c>
      <c r="CV44" s="55" t="str">
        <f t="shared" si="42"/>
        <v>#DIV/0!</v>
      </c>
      <c r="CW44" s="55" t="str">
        <f t="shared" si="42"/>
        <v>#DIV/0!</v>
      </c>
      <c r="CX44" s="55" t="str">
        <f t="shared" si="42"/>
        <v>#DIV/0!</v>
      </c>
      <c r="CY44" s="55" t="str">
        <f t="shared" si="42"/>
        <v>#DIV/0!</v>
      </c>
      <c r="CZ44" s="55" t="str">
        <f t="shared" si="42"/>
        <v>#DIV/0!</v>
      </c>
      <c r="DA44" s="55" t="str">
        <f t="shared" si="42"/>
        <v>#DIV/0!</v>
      </c>
      <c r="DB44" s="55" t="str">
        <f t="shared" si="42"/>
        <v>#DIV/0!</v>
      </c>
      <c r="DC44" s="55" t="str">
        <f t="shared" si="42"/>
        <v>#DIV/0!</v>
      </c>
      <c r="DD44" s="55" t="str">
        <f t="shared" si="42"/>
        <v>#DIV/0!</v>
      </c>
      <c r="DE44" s="55" t="str">
        <f t="shared" si="42"/>
        <v>#DIV/0!</v>
      </c>
      <c r="DF44" s="55" t="str">
        <f t="shared" si="42"/>
        <v>#DIV/0!</v>
      </c>
      <c r="DG44" s="55" t="str">
        <f t="shared" si="42"/>
        <v>#DIV/0!</v>
      </c>
      <c r="DH44" s="55" t="str">
        <f t="shared" si="42"/>
        <v>#DIV/0!</v>
      </c>
      <c r="DI44" s="55" t="str">
        <f t="shared" si="42"/>
        <v>#DIV/0!</v>
      </c>
      <c r="DJ44" s="55" t="str">
        <f t="shared" si="42"/>
        <v>#DIV/0!</v>
      </c>
      <c r="DK44" s="55" t="str">
        <f t="shared" si="42"/>
        <v>#DIV/0!</v>
      </c>
      <c r="DL44" s="55" t="str">
        <f t="shared" si="42"/>
        <v>#DIV/0!</v>
      </c>
      <c r="DM44" s="55" t="str">
        <f t="shared" si="42"/>
        <v>#DIV/0!</v>
      </c>
      <c r="DN44" s="55" t="str">
        <f t="shared" si="42"/>
        <v>#DIV/0!</v>
      </c>
      <c r="DO44" s="55" t="str">
        <f t="shared" si="42"/>
        <v>#DIV/0!</v>
      </c>
      <c r="DP44" s="55" t="str">
        <f t="shared" si="42"/>
        <v>#DIV/0!</v>
      </c>
      <c r="DQ44" s="55" t="str">
        <f t="shared" si="42"/>
        <v>#DIV/0!</v>
      </c>
      <c r="DR44" s="55" t="str">
        <f t="shared" si="42"/>
        <v>#DIV/0!</v>
      </c>
    </row>
    <row r="45" ht="4.5" customHeight="1"/>
    <row r="46" ht="15.75" customHeight="1">
      <c r="B46" s="5" t="s">
        <v>51</v>
      </c>
      <c r="F46" s="50">
        <f t="shared" ref="F46:M46" si="43">+SUMIFS($AA46:$DR46,$AA$7:$DR$7,F$7)</f>
        <v>1073.9707</v>
      </c>
      <c r="G46" s="50">
        <f t="shared" si="43"/>
        <v>940.57551</v>
      </c>
      <c r="H46" s="50">
        <f t="shared" si="43"/>
        <v>857.37516</v>
      </c>
      <c r="I46" s="50">
        <f t="shared" si="43"/>
        <v>879.252312</v>
      </c>
      <c r="J46" s="50">
        <f t="shared" si="43"/>
        <v>885.159</v>
      </c>
      <c r="K46" s="50">
        <f t="shared" si="43"/>
        <v>911.71377</v>
      </c>
      <c r="L46" s="50">
        <f t="shared" si="43"/>
        <v>939.0651831</v>
      </c>
      <c r="M46" s="50">
        <f t="shared" si="43"/>
        <v>967.2371386</v>
      </c>
      <c r="AA46" s="51">
        <v>83.41444</v>
      </c>
      <c r="AB46" s="51">
        <v>98.69656</v>
      </c>
      <c r="AC46" s="51">
        <v>88.95065</v>
      </c>
      <c r="AD46" s="51">
        <v>90.2599</v>
      </c>
      <c r="AE46" s="51">
        <v>85.00389999999999</v>
      </c>
      <c r="AF46" s="51">
        <v>90.62919000000001</v>
      </c>
      <c r="AG46" s="51">
        <v>87.21876</v>
      </c>
      <c r="AH46" s="51">
        <v>97.08269999999999</v>
      </c>
      <c r="AI46" s="51">
        <v>84.92247</v>
      </c>
      <c r="AJ46" s="51">
        <v>91.44273999999999</v>
      </c>
      <c r="AK46" s="51">
        <v>83.40742</v>
      </c>
      <c r="AL46" s="51">
        <v>92.94197</v>
      </c>
      <c r="AM46" s="51">
        <v>86.84601</v>
      </c>
      <c r="AN46" s="51">
        <v>80.60615</v>
      </c>
      <c r="AO46" s="51">
        <v>85.47968</v>
      </c>
      <c r="AP46" s="51">
        <v>73.40072</v>
      </c>
      <c r="AQ46" s="51">
        <v>71.92169</v>
      </c>
      <c r="AR46" s="51">
        <v>76.3905</v>
      </c>
      <c r="AS46" s="51">
        <v>71.97258000000001</v>
      </c>
      <c r="AT46" s="51">
        <v>72.91746</v>
      </c>
      <c r="AU46" s="51">
        <v>74.34219999999999</v>
      </c>
      <c r="AV46" s="51">
        <v>74.10638</v>
      </c>
      <c r="AW46" s="51">
        <v>75.94656</v>
      </c>
      <c r="AX46" s="51">
        <v>96.64558000000002</v>
      </c>
      <c r="AY46" s="51">
        <v>70.35752</v>
      </c>
      <c r="AZ46" s="51">
        <v>70.1431</v>
      </c>
      <c r="BA46" s="51">
        <v>70.58226000000002</v>
      </c>
      <c r="BB46" s="51">
        <v>69.09915</v>
      </c>
      <c r="BC46" s="51">
        <v>69.51751999999999</v>
      </c>
      <c r="BD46" s="51">
        <v>76.87844</v>
      </c>
      <c r="BE46" s="51">
        <v>72.22076</v>
      </c>
      <c r="BF46" s="51">
        <v>71.26817</v>
      </c>
      <c r="BG46" s="51">
        <v>70.80693</v>
      </c>
      <c r="BH46" s="51">
        <v>74.60906999999999</v>
      </c>
      <c r="BI46" s="51">
        <v>70.06962</v>
      </c>
      <c r="BJ46" s="51">
        <v>71.82262</v>
      </c>
      <c r="BK46" s="51">
        <v>73.578</v>
      </c>
      <c r="BL46" s="51">
        <v>75.032</v>
      </c>
      <c r="BM46" s="51">
        <v>73.06423119640978</v>
      </c>
      <c r="BN46" s="51">
        <v>73.06423119640978</v>
      </c>
      <c r="BO46" s="51">
        <v>73.06423119640978</v>
      </c>
      <c r="BP46" s="51">
        <v>73.06423119640978</v>
      </c>
      <c r="BQ46" s="51">
        <v>73.06423119640978</v>
      </c>
      <c r="BR46" s="51">
        <v>73.06423119640978</v>
      </c>
      <c r="BS46" s="51">
        <v>73.06423119640978</v>
      </c>
      <c r="BT46" s="51">
        <v>73.06423119640978</v>
      </c>
      <c r="BU46" s="51">
        <v>73.06423119640978</v>
      </c>
      <c r="BV46" s="51">
        <v>73.06423119640978</v>
      </c>
      <c r="BW46" s="51">
        <v>74.86228119640977</v>
      </c>
      <c r="BX46" s="51">
        <v>74.86228119640977</v>
      </c>
      <c r="BY46" s="51">
        <v>74.86228119640977</v>
      </c>
      <c r="BZ46" s="51">
        <v>74.86228119640977</v>
      </c>
      <c r="CA46" s="51">
        <v>74.86228119640977</v>
      </c>
      <c r="CB46" s="51">
        <v>74.86228119640977</v>
      </c>
      <c r="CC46" s="51">
        <v>74.86228119640977</v>
      </c>
      <c r="CD46" s="51">
        <v>74.86228119640977</v>
      </c>
      <c r="CE46" s="51">
        <v>74.86228119640978</v>
      </c>
      <c r="CF46" s="51">
        <v>70.46615641077068</v>
      </c>
      <c r="CG46" s="51">
        <v>70.46615641077071</v>
      </c>
      <c r="CH46" s="51">
        <v>70.46615641077075</v>
      </c>
      <c r="CI46" s="52">
        <f>+(SUMIFS(Opex_Assumptions!$F32:$M32,Opex_Assumptions!$F$7:$M$7,CI$7)+1)*BW46</f>
        <v>77.10814963</v>
      </c>
      <c r="CJ46" s="52">
        <f>+(SUMIFS(Opex_Assumptions!$F32:$M32,Opex_Assumptions!$F$7:$M$7,CJ$7)+1)*BX46</f>
        <v>77.10814963</v>
      </c>
      <c r="CK46" s="52">
        <f>+(SUMIFS(Opex_Assumptions!$F32:$M32,Opex_Assumptions!$F$7:$M$7,CK$7)+1)*BY46</f>
        <v>77.10814963</v>
      </c>
      <c r="CL46" s="52">
        <f>+(SUMIFS(Opex_Assumptions!$F32:$M32,Opex_Assumptions!$F$7:$M$7,CL$7)+1)*BZ46</f>
        <v>77.10814963</v>
      </c>
      <c r="CM46" s="52">
        <f>+(SUMIFS(Opex_Assumptions!$F32:$M32,Opex_Assumptions!$F$7:$M$7,CM$7)+1)*CA46</f>
        <v>77.10814963</v>
      </c>
      <c r="CN46" s="52">
        <f>+(SUMIFS(Opex_Assumptions!$F32:$M32,Opex_Assumptions!$F$7:$M$7,CN$7)+1)*CB46</f>
        <v>77.10814963</v>
      </c>
      <c r="CO46" s="52">
        <f>+(SUMIFS(Opex_Assumptions!$F32:$M32,Opex_Assumptions!$F$7:$M$7,CO$7)+1)*CC46</f>
        <v>77.10814963</v>
      </c>
      <c r="CP46" s="52">
        <f>+(SUMIFS(Opex_Assumptions!$F32:$M32,Opex_Assumptions!$F$7:$M$7,CP$7)+1)*CD46</f>
        <v>77.10814963</v>
      </c>
      <c r="CQ46" s="52">
        <f>+(SUMIFS(Opex_Assumptions!$F32:$M32,Opex_Assumptions!$F$7:$M$7,CQ$7)+1)*CE46</f>
        <v>77.10814963</v>
      </c>
      <c r="CR46" s="52">
        <f>+(SUMIFS(Opex_Assumptions!$F32:$M32,Opex_Assumptions!$F$7:$M$7,CR$7)+1)*CF46</f>
        <v>72.5801411</v>
      </c>
      <c r="CS46" s="52">
        <f>+(SUMIFS(Opex_Assumptions!$F32:$M32,Opex_Assumptions!$F$7:$M$7,CS$7)+1)*CG46</f>
        <v>72.5801411</v>
      </c>
      <c r="CT46" s="52">
        <f>+(SUMIFS(Opex_Assumptions!$F32:$M32,Opex_Assumptions!$F$7:$M$7,CT$7)+1)*CH46</f>
        <v>72.5801411</v>
      </c>
      <c r="CU46" s="52">
        <f>+(SUMIFS(Opex_Assumptions!$F32:$M32,Opex_Assumptions!$F$7:$M$7,CU$7)+1)*CI46</f>
        <v>79.42139412</v>
      </c>
      <c r="CV46" s="52">
        <f>+(SUMIFS(Opex_Assumptions!$F32:$M32,Opex_Assumptions!$F$7:$M$7,CV$7)+1)*CJ46</f>
        <v>79.42139412</v>
      </c>
      <c r="CW46" s="52">
        <f>+(SUMIFS(Opex_Assumptions!$F32:$M32,Opex_Assumptions!$F$7:$M$7,CW$7)+1)*CK46</f>
        <v>79.42139412</v>
      </c>
      <c r="CX46" s="52">
        <f>+(SUMIFS(Opex_Assumptions!$F32:$M32,Opex_Assumptions!$F$7:$M$7,CX$7)+1)*CL46</f>
        <v>79.42139412</v>
      </c>
      <c r="CY46" s="52">
        <f>+(SUMIFS(Opex_Assumptions!$F32:$M32,Opex_Assumptions!$F$7:$M$7,CY$7)+1)*CM46</f>
        <v>79.42139412</v>
      </c>
      <c r="CZ46" s="52">
        <f>+(SUMIFS(Opex_Assumptions!$F32:$M32,Opex_Assumptions!$F$7:$M$7,CZ$7)+1)*CN46</f>
        <v>79.42139412</v>
      </c>
      <c r="DA46" s="52">
        <f>+(SUMIFS(Opex_Assumptions!$F32:$M32,Opex_Assumptions!$F$7:$M$7,DA$7)+1)*CO46</f>
        <v>79.42139412</v>
      </c>
      <c r="DB46" s="52">
        <f>+(SUMIFS(Opex_Assumptions!$F32:$M32,Opex_Assumptions!$F$7:$M$7,DB$7)+1)*CP46</f>
        <v>79.42139412</v>
      </c>
      <c r="DC46" s="52">
        <f>+(SUMIFS(Opex_Assumptions!$F32:$M32,Opex_Assumptions!$F$7:$M$7,DC$7)+1)*CQ46</f>
        <v>79.42139412</v>
      </c>
      <c r="DD46" s="52">
        <f>+(SUMIFS(Opex_Assumptions!$F32:$M32,Opex_Assumptions!$F$7:$M$7,DD$7)+1)*CR46</f>
        <v>74.75754534</v>
      </c>
      <c r="DE46" s="52">
        <f>+(SUMIFS(Opex_Assumptions!$F32:$M32,Opex_Assumptions!$F$7:$M$7,DE$7)+1)*CS46</f>
        <v>74.75754534</v>
      </c>
      <c r="DF46" s="52">
        <f>+(SUMIFS(Opex_Assumptions!$F32:$M32,Opex_Assumptions!$F$7:$M$7,DF$7)+1)*CT46</f>
        <v>74.75754534</v>
      </c>
      <c r="DG46" s="52">
        <f>+(SUMIFS(Opex_Assumptions!$F32:$M32,Opex_Assumptions!$F$7:$M$7,DG$7)+1)*CU46</f>
        <v>81.80403594</v>
      </c>
      <c r="DH46" s="52">
        <f>+(SUMIFS(Opex_Assumptions!$F32:$M32,Opex_Assumptions!$F$7:$M$7,DH$7)+1)*CV46</f>
        <v>81.80403594</v>
      </c>
      <c r="DI46" s="52">
        <f>+(SUMIFS(Opex_Assumptions!$F32:$M32,Opex_Assumptions!$F$7:$M$7,DI$7)+1)*CW46</f>
        <v>81.80403594</v>
      </c>
      <c r="DJ46" s="52">
        <f>+(SUMIFS(Opex_Assumptions!$F32:$M32,Opex_Assumptions!$F$7:$M$7,DJ$7)+1)*CX46</f>
        <v>81.80403594</v>
      </c>
      <c r="DK46" s="52">
        <f>+(SUMIFS(Opex_Assumptions!$F32:$M32,Opex_Assumptions!$F$7:$M$7,DK$7)+1)*CY46</f>
        <v>81.80403594</v>
      </c>
      <c r="DL46" s="52">
        <f>+(SUMIFS(Opex_Assumptions!$F32:$M32,Opex_Assumptions!$F$7:$M$7,DL$7)+1)*CZ46</f>
        <v>81.80403594</v>
      </c>
      <c r="DM46" s="52">
        <f>+(SUMIFS(Opex_Assumptions!$F32:$M32,Opex_Assumptions!$F$7:$M$7,DM$7)+1)*DA46</f>
        <v>81.80403594</v>
      </c>
      <c r="DN46" s="52">
        <f>+(SUMIFS(Opex_Assumptions!$F32:$M32,Opex_Assumptions!$F$7:$M$7,DN$7)+1)*DB46</f>
        <v>81.80403594</v>
      </c>
      <c r="DO46" s="52">
        <f>+(SUMIFS(Opex_Assumptions!$F32:$M32,Opex_Assumptions!$F$7:$M$7,DO$7)+1)*DC46</f>
        <v>81.80403594</v>
      </c>
      <c r="DP46" s="52">
        <f>+(SUMIFS(Opex_Assumptions!$F32:$M32,Opex_Assumptions!$F$7:$M$7,DP$7)+1)*DD46</f>
        <v>77.0002717</v>
      </c>
      <c r="DQ46" s="52">
        <f>+(SUMIFS(Opex_Assumptions!$F32:$M32,Opex_Assumptions!$F$7:$M$7,DQ$7)+1)*DE46</f>
        <v>77.0002717</v>
      </c>
      <c r="DR46" s="52">
        <f>+(SUMIFS(Opex_Assumptions!$F32:$M32,Opex_Assumptions!$F$7:$M$7,DR$7)+1)*DF46</f>
        <v>77.0002717</v>
      </c>
    </row>
    <row r="47" ht="15.75" customHeight="1">
      <c r="B47" s="5" t="s">
        <v>52</v>
      </c>
      <c r="F47" s="50">
        <f t="shared" ref="F47:M47" si="44">+SUMIFS($AA47:$DR47,$AA$7:$DR$7,F$7)</f>
        <v>321.48331</v>
      </c>
      <c r="G47" s="50">
        <f t="shared" si="44"/>
        <v>91.72963</v>
      </c>
      <c r="H47" s="50">
        <f t="shared" si="44"/>
        <v>174.7671</v>
      </c>
      <c r="I47" s="50">
        <f t="shared" si="44"/>
        <v>369.90904</v>
      </c>
      <c r="J47" s="50">
        <f t="shared" si="44"/>
        <v>449.5040707</v>
      </c>
      <c r="K47" s="50">
        <f t="shared" si="44"/>
        <v>483.4058043</v>
      </c>
      <c r="L47" s="50">
        <f t="shared" si="44"/>
        <v>523.6569715</v>
      </c>
      <c r="M47" s="50">
        <f t="shared" si="44"/>
        <v>564.7784802</v>
      </c>
      <c r="AA47" s="51">
        <v>13.72039</v>
      </c>
      <c r="AB47" s="51">
        <v>44.66994</v>
      </c>
      <c r="AC47" s="51">
        <v>26.56707</v>
      </c>
      <c r="AD47" s="51">
        <v>14.36995</v>
      </c>
      <c r="AE47" s="51">
        <v>10.75508</v>
      </c>
      <c r="AF47" s="51">
        <v>17.528489999999998</v>
      </c>
      <c r="AG47" s="51">
        <v>26.49654</v>
      </c>
      <c r="AH47" s="51">
        <v>27.03322</v>
      </c>
      <c r="AI47" s="51">
        <v>31.295650000000002</v>
      </c>
      <c r="AJ47" s="51">
        <v>21.645760000000003</v>
      </c>
      <c r="AK47" s="51">
        <v>22.21913</v>
      </c>
      <c r="AL47" s="51">
        <v>65.18209</v>
      </c>
      <c r="AM47" s="51">
        <v>17.85429</v>
      </c>
      <c r="AN47" s="51">
        <v>11.69976</v>
      </c>
      <c r="AO47" s="51">
        <v>11.391020000000001</v>
      </c>
      <c r="AP47" s="51">
        <v>2.30692</v>
      </c>
      <c r="AQ47" s="51">
        <v>8.631409999999999</v>
      </c>
      <c r="AR47" s="51">
        <v>3.92149</v>
      </c>
      <c r="AS47" s="51">
        <v>7.02041</v>
      </c>
      <c r="AT47" s="51">
        <v>4.1513</v>
      </c>
      <c r="AU47" s="51">
        <v>3.72749</v>
      </c>
      <c r="AV47" s="51">
        <v>2.96744</v>
      </c>
      <c r="AW47" s="51">
        <v>4.15365</v>
      </c>
      <c r="AX47" s="51">
        <v>13.904449999999999</v>
      </c>
      <c r="AY47" s="51">
        <v>3.03291</v>
      </c>
      <c r="AZ47" s="51">
        <v>6.195070000000001</v>
      </c>
      <c r="BA47" s="51">
        <v>10.00187</v>
      </c>
      <c r="BB47" s="51">
        <v>15.0962</v>
      </c>
      <c r="BC47" s="51">
        <v>15.333110000000001</v>
      </c>
      <c r="BD47" s="51">
        <v>17.33454</v>
      </c>
      <c r="BE47" s="51">
        <v>7.622750000000001</v>
      </c>
      <c r="BF47" s="51">
        <v>15.027529999999999</v>
      </c>
      <c r="BG47" s="51">
        <v>6.87432</v>
      </c>
      <c r="BH47" s="51">
        <v>25.37791</v>
      </c>
      <c r="BI47" s="51">
        <v>10.97474</v>
      </c>
      <c r="BJ47" s="51">
        <v>41.896150000000006</v>
      </c>
      <c r="BK47" s="51">
        <v>42.236419999999725</v>
      </c>
      <c r="BL47" s="51">
        <v>31.9874199999997</v>
      </c>
      <c r="BM47" s="51">
        <v>25.568520000000262</v>
      </c>
      <c r="BN47" s="51">
        <v>25.568520000000262</v>
      </c>
      <c r="BO47" s="51">
        <v>30.56852000000049</v>
      </c>
      <c r="BP47" s="51">
        <v>30.56852000000049</v>
      </c>
      <c r="BQ47" s="51">
        <v>30.568520000000262</v>
      </c>
      <c r="BR47" s="51">
        <v>30.568520000000262</v>
      </c>
      <c r="BS47" s="51">
        <v>30.568520000000262</v>
      </c>
      <c r="BT47" s="51">
        <v>30.568520000000035</v>
      </c>
      <c r="BU47" s="51">
        <v>30.568520000000035</v>
      </c>
      <c r="BV47" s="51">
        <v>30.568520000000035</v>
      </c>
      <c r="BW47" s="51">
        <v>39.90440755750046</v>
      </c>
      <c r="BX47" s="51">
        <v>39.90440755750069</v>
      </c>
      <c r="BY47" s="51">
        <v>39.90440755750069</v>
      </c>
      <c r="BZ47" s="51">
        <v>44.711417557500226</v>
      </c>
      <c r="CA47" s="51">
        <v>44.711417557500226</v>
      </c>
      <c r="CB47" s="51">
        <v>44.711417557500454</v>
      </c>
      <c r="CC47" s="51">
        <v>49.518427557500445</v>
      </c>
      <c r="CD47" s="51">
        <v>41.793427557500536</v>
      </c>
      <c r="CE47" s="51">
        <v>34.06842755750017</v>
      </c>
      <c r="CF47" s="51">
        <v>31.15043755750048</v>
      </c>
      <c r="CG47" s="51">
        <v>23.425437557500345</v>
      </c>
      <c r="CH47" s="51">
        <v>15.700437557500436</v>
      </c>
      <c r="CI47" s="52">
        <f>+SUMIFS(Opex_Assumptions!$F33:$M33,Opex_Assumptions!$F$7:$M$7,CI$7)*CI$32</f>
        <v>38.05709671</v>
      </c>
      <c r="CJ47" s="52">
        <f>+SUMIFS(Opex_Assumptions!$F33:$M33,Opex_Assumptions!$F$7:$M$7,CJ$7)*CJ$32</f>
        <v>38.46195495</v>
      </c>
      <c r="CK47" s="52">
        <f>+SUMIFS(Opex_Assumptions!$F33:$M33,Opex_Assumptions!$F$7:$M$7,CK$7)*CK$32</f>
        <v>38.86681319</v>
      </c>
      <c r="CL47" s="52">
        <f>+SUMIFS(Opex_Assumptions!$F33:$M33,Opex_Assumptions!$F$7:$M$7,CL$7)*CL$32</f>
        <v>39.27167143</v>
      </c>
      <c r="CM47" s="52">
        <f>+SUMIFS(Opex_Assumptions!$F33:$M33,Opex_Assumptions!$F$7:$M$7,CM$7)*CM$32</f>
        <v>39.67652966</v>
      </c>
      <c r="CN47" s="52">
        <f>+SUMIFS(Opex_Assumptions!$F33:$M33,Opex_Assumptions!$F$7:$M$7,CN$7)*CN$32</f>
        <v>40.0813879</v>
      </c>
      <c r="CO47" s="52">
        <f>+SUMIFS(Opex_Assumptions!$F33:$M33,Opex_Assumptions!$F$7:$M$7,CO$7)*CO$32</f>
        <v>40.48624614</v>
      </c>
      <c r="CP47" s="52">
        <f>+SUMIFS(Opex_Assumptions!$F33:$M33,Opex_Assumptions!$F$7:$M$7,CP$7)*CP$32</f>
        <v>40.89110438</v>
      </c>
      <c r="CQ47" s="52">
        <f>+SUMIFS(Opex_Assumptions!$F33:$M33,Opex_Assumptions!$F$7:$M$7,CQ$7)*CQ$32</f>
        <v>41.29596262</v>
      </c>
      <c r="CR47" s="52">
        <f>+SUMIFS(Opex_Assumptions!$F33:$M33,Opex_Assumptions!$F$7:$M$7,CR$7)*CR$32</f>
        <v>41.70082086</v>
      </c>
      <c r="CS47" s="52">
        <f>+SUMIFS(Opex_Assumptions!$F33:$M33,Opex_Assumptions!$F$7:$M$7,CS$7)*CS$32</f>
        <v>42.10567909</v>
      </c>
      <c r="CT47" s="52">
        <f>+SUMIFS(Opex_Assumptions!$F33:$M33,Opex_Assumptions!$F$7:$M$7,CT$7)*CT$32</f>
        <v>42.51053733</v>
      </c>
      <c r="CU47" s="52">
        <f>+SUMIFS(Opex_Assumptions!$F33:$M33,Opex_Assumptions!$F$7:$M$7,CU$7)*CU$32</f>
        <v>41.1735275</v>
      </c>
      <c r="CV47" s="52">
        <f>+SUMIFS(Opex_Assumptions!$F33:$M33,Opex_Assumptions!$F$7:$M$7,CV$7)*CV$32</f>
        <v>41.62162813</v>
      </c>
      <c r="CW47" s="52">
        <f>+SUMIFS(Opex_Assumptions!$F33:$M33,Opex_Assumptions!$F$7:$M$7,CW$7)*CW$32</f>
        <v>42.06972876</v>
      </c>
      <c r="CX47" s="52">
        <f>+SUMIFS(Opex_Assumptions!$F33:$M33,Opex_Assumptions!$F$7:$M$7,CX$7)*CX$32</f>
        <v>42.51782939</v>
      </c>
      <c r="CY47" s="52">
        <f>+SUMIFS(Opex_Assumptions!$F33:$M33,Opex_Assumptions!$F$7:$M$7,CY$7)*CY$32</f>
        <v>42.96593002</v>
      </c>
      <c r="CZ47" s="52">
        <f>+SUMIFS(Opex_Assumptions!$F33:$M33,Opex_Assumptions!$F$7:$M$7,CZ$7)*CZ$32</f>
        <v>43.41403065</v>
      </c>
      <c r="DA47" s="52">
        <f>+SUMIFS(Opex_Assumptions!$F33:$M33,Opex_Assumptions!$F$7:$M$7,DA$7)*DA$32</f>
        <v>43.86213127</v>
      </c>
      <c r="DB47" s="52">
        <f>+SUMIFS(Opex_Assumptions!$F33:$M33,Opex_Assumptions!$F$7:$M$7,DB$7)*DB$32</f>
        <v>44.3102319</v>
      </c>
      <c r="DC47" s="52">
        <f>+SUMIFS(Opex_Assumptions!$F33:$M33,Opex_Assumptions!$F$7:$M$7,DC$7)*DC$32</f>
        <v>44.75833253</v>
      </c>
      <c r="DD47" s="52">
        <f>+SUMIFS(Opex_Assumptions!$F33:$M33,Opex_Assumptions!$F$7:$M$7,DD$7)*DD$32</f>
        <v>45.20643316</v>
      </c>
      <c r="DE47" s="52">
        <f>+SUMIFS(Opex_Assumptions!$F33:$M33,Opex_Assumptions!$F$7:$M$7,DE$7)*DE$32</f>
        <v>45.65453379</v>
      </c>
      <c r="DF47" s="52">
        <f>+SUMIFS(Opex_Assumptions!$F33:$M33,Opex_Assumptions!$F$7:$M$7,DF$7)*DF$32</f>
        <v>46.10263442</v>
      </c>
      <c r="DG47" s="52">
        <f>+SUMIFS(Opex_Assumptions!$F33:$M33,Opex_Assumptions!$F$7:$M$7,DG$7)*DG$32</f>
        <v>44.40151341</v>
      </c>
      <c r="DH47" s="52">
        <f>+SUMIFS(Opex_Assumptions!$F33:$M33,Opex_Assumptions!$F$7:$M$7,DH$7)*DH$32</f>
        <v>44.88576067</v>
      </c>
      <c r="DI47" s="52">
        <f>+SUMIFS(Opex_Assumptions!$F33:$M33,Opex_Assumptions!$F$7:$M$7,DI$7)*DI$32</f>
        <v>45.37000794</v>
      </c>
      <c r="DJ47" s="52">
        <f>+SUMIFS(Opex_Assumptions!$F33:$M33,Opex_Assumptions!$F$7:$M$7,DJ$7)*DJ$32</f>
        <v>45.8542552</v>
      </c>
      <c r="DK47" s="52">
        <f>+SUMIFS(Opex_Assumptions!$F33:$M33,Opex_Assumptions!$F$7:$M$7,DK$7)*DK$32</f>
        <v>46.33850246</v>
      </c>
      <c r="DL47" s="52">
        <f>+SUMIFS(Opex_Assumptions!$F33:$M33,Opex_Assumptions!$F$7:$M$7,DL$7)*DL$32</f>
        <v>46.82274972</v>
      </c>
      <c r="DM47" s="52">
        <f>+SUMIFS(Opex_Assumptions!$F33:$M33,Opex_Assumptions!$F$7:$M$7,DM$7)*DM$32</f>
        <v>47.30699698</v>
      </c>
      <c r="DN47" s="52">
        <f>+SUMIFS(Opex_Assumptions!$F33:$M33,Opex_Assumptions!$F$7:$M$7,DN$7)*DN$32</f>
        <v>47.79124425</v>
      </c>
      <c r="DO47" s="52">
        <f>+SUMIFS(Opex_Assumptions!$F33:$M33,Opex_Assumptions!$F$7:$M$7,DO$7)*DO$32</f>
        <v>48.27549151</v>
      </c>
      <c r="DP47" s="52">
        <f>+SUMIFS(Opex_Assumptions!$F33:$M33,Opex_Assumptions!$F$7:$M$7,DP$7)*DP$32</f>
        <v>48.75973877</v>
      </c>
      <c r="DQ47" s="52">
        <f>+SUMIFS(Opex_Assumptions!$F33:$M33,Opex_Assumptions!$F$7:$M$7,DQ$7)*DQ$32</f>
        <v>49.24398603</v>
      </c>
      <c r="DR47" s="52">
        <f>+SUMIFS(Opex_Assumptions!$F33:$M33,Opex_Assumptions!$F$7:$M$7,DR$7)*DR$32</f>
        <v>49.72823329</v>
      </c>
    </row>
    <row r="48" ht="15.75" customHeight="1">
      <c r="B48" s="5" t="s">
        <v>53</v>
      </c>
      <c r="F48" s="50">
        <f t="shared" ref="F48:M48" si="45">+SUMIFS($AA48:$DR48,$AA$7:$DR$7,F$7)</f>
        <v>616.53148</v>
      </c>
      <c r="G48" s="50">
        <f t="shared" si="45"/>
        <v>234.32772</v>
      </c>
      <c r="H48" s="50">
        <f t="shared" si="45"/>
        <v>262.32681</v>
      </c>
      <c r="I48" s="50">
        <f t="shared" si="45"/>
        <v>343.708</v>
      </c>
      <c r="J48" s="50">
        <f t="shared" si="45"/>
        <v>411</v>
      </c>
      <c r="K48" s="50" t="str">
        <f t="shared" si="45"/>
        <v>#DIV/0!</v>
      </c>
      <c r="L48" s="50" t="str">
        <f t="shared" si="45"/>
        <v>#DIV/0!</v>
      </c>
      <c r="M48" s="50" t="str">
        <f t="shared" si="45"/>
        <v>#DIV/0!</v>
      </c>
      <c r="AA48" s="51">
        <v>25.310959999999998</v>
      </c>
      <c r="AB48" s="51">
        <v>31.376949999999997</v>
      </c>
      <c r="AC48" s="51">
        <v>30.87679</v>
      </c>
      <c r="AD48" s="51">
        <v>40.58194</v>
      </c>
      <c r="AE48" s="51">
        <v>43.40751</v>
      </c>
      <c r="AF48" s="51">
        <v>42.26872</v>
      </c>
      <c r="AG48" s="51">
        <v>33.26983</v>
      </c>
      <c r="AH48" s="51">
        <v>40.62409</v>
      </c>
      <c r="AI48" s="51">
        <v>182.26675</v>
      </c>
      <c r="AJ48" s="51">
        <v>85.37742000000001</v>
      </c>
      <c r="AK48" s="51">
        <v>23.317259999999997</v>
      </c>
      <c r="AL48" s="51">
        <v>37.85326</v>
      </c>
      <c r="AM48" s="51">
        <v>37.95</v>
      </c>
      <c r="AN48" s="51">
        <v>39.37689</v>
      </c>
      <c r="AO48" s="51">
        <v>22.23244</v>
      </c>
      <c r="AP48" s="51">
        <v>15.120350000000002</v>
      </c>
      <c r="AQ48" s="51">
        <v>10.57663</v>
      </c>
      <c r="AR48" s="51">
        <v>12.67672</v>
      </c>
      <c r="AS48" s="51">
        <v>14.10991</v>
      </c>
      <c r="AT48" s="51">
        <v>16.32834</v>
      </c>
      <c r="AU48" s="51">
        <v>17.35922</v>
      </c>
      <c r="AV48" s="51">
        <v>14.77682</v>
      </c>
      <c r="AW48" s="51">
        <v>14.026570000000001</v>
      </c>
      <c r="AX48" s="51">
        <v>19.79383</v>
      </c>
      <c r="AY48" s="51">
        <v>10.53998</v>
      </c>
      <c r="AZ48" s="51">
        <v>12.429640000000001</v>
      </c>
      <c r="BA48" s="51">
        <v>30.266659999999998</v>
      </c>
      <c r="BB48" s="51">
        <v>14.45572</v>
      </c>
      <c r="BC48" s="51">
        <v>12.156579999999998</v>
      </c>
      <c r="BD48" s="51">
        <v>21.66321</v>
      </c>
      <c r="BE48" s="51">
        <v>36.245090000000005</v>
      </c>
      <c r="BF48" s="51">
        <v>26.64017</v>
      </c>
      <c r="BG48" s="51">
        <v>27.34423</v>
      </c>
      <c r="BH48" s="51">
        <v>21.407859999999996</v>
      </c>
      <c r="BI48" s="51">
        <v>31.67152</v>
      </c>
      <c r="BJ48" s="51">
        <v>17.50615</v>
      </c>
      <c r="BK48" s="51">
        <v>21.253</v>
      </c>
      <c r="BL48" s="51">
        <v>17.517</v>
      </c>
      <c r="BM48" s="51">
        <v>26.3938</v>
      </c>
      <c r="BN48" s="51">
        <v>30.3938</v>
      </c>
      <c r="BO48" s="51">
        <v>31.3938</v>
      </c>
      <c r="BP48" s="51">
        <v>31.393799999999995</v>
      </c>
      <c r="BQ48" s="51">
        <v>32.3938</v>
      </c>
      <c r="BR48" s="51">
        <v>32.3938</v>
      </c>
      <c r="BS48" s="51">
        <v>32.393800000000006</v>
      </c>
      <c r="BT48" s="51">
        <v>32.393800000000006</v>
      </c>
      <c r="BU48" s="51">
        <v>29.393800000000002</v>
      </c>
      <c r="BV48" s="51">
        <v>26.393800000000002</v>
      </c>
      <c r="BW48" s="51">
        <v>34.25</v>
      </c>
      <c r="BX48" s="51">
        <v>34.25</v>
      </c>
      <c r="BY48" s="51">
        <v>34.25</v>
      </c>
      <c r="BZ48" s="51">
        <v>34.25</v>
      </c>
      <c r="CA48" s="51">
        <v>34.25</v>
      </c>
      <c r="CB48" s="51">
        <v>34.25</v>
      </c>
      <c r="CC48" s="51">
        <v>34.25</v>
      </c>
      <c r="CD48" s="51">
        <v>34.25</v>
      </c>
      <c r="CE48" s="51">
        <v>34.25</v>
      </c>
      <c r="CF48" s="51">
        <v>34.25</v>
      </c>
      <c r="CG48" s="51">
        <v>34.25</v>
      </c>
      <c r="CH48" s="51">
        <v>34.25</v>
      </c>
      <c r="CI48" s="52" t="str">
        <f>+SUMIFS(Opex_Assumptions!$F34:$M34,Opex_Assumptions!$F$7:$M$7,CI$7)*'Income Statement'!BY16</f>
        <v>#DIV/0!</v>
      </c>
      <c r="CJ48" s="52" t="str">
        <f>+SUMIFS(Opex_Assumptions!$F34:$M34,Opex_Assumptions!$F$7:$M$7,CJ$7)*'Income Statement'!BZ16</f>
        <v>#DIV/0!</v>
      </c>
      <c r="CK48" s="52" t="str">
        <f>+SUMIFS(Opex_Assumptions!$F34:$M34,Opex_Assumptions!$F$7:$M$7,CK$7)*'Income Statement'!CA16</f>
        <v>#DIV/0!</v>
      </c>
      <c r="CL48" s="52" t="str">
        <f>+SUMIFS(Opex_Assumptions!$F34:$M34,Opex_Assumptions!$F$7:$M$7,CL$7)*'Income Statement'!CB16</f>
        <v>#DIV/0!</v>
      </c>
      <c r="CM48" s="52" t="str">
        <f>+SUMIFS(Opex_Assumptions!$F34:$M34,Opex_Assumptions!$F$7:$M$7,CM$7)*'Income Statement'!CC16</f>
        <v>#DIV/0!</v>
      </c>
      <c r="CN48" s="52" t="str">
        <f>+SUMIFS(Opex_Assumptions!$F34:$M34,Opex_Assumptions!$F$7:$M$7,CN$7)*'Income Statement'!CD16</f>
        <v>#DIV/0!</v>
      </c>
      <c r="CO48" s="52" t="str">
        <f>+SUMIFS(Opex_Assumptions!$F34:$M34,Opex_Assumptions!$F$7:$M$7,CO$7)*'Income Statement'!CE16</f>
        <v>#DIV/0!</v>
      </c>
      <c r="CP48" s="52" t="str">
        <f>+SUMIFS(Opex_Assumptions!$F34:$M34,Opex_Assumptions!$F$7:$M$7,CP$7)*'Income Statement'!CF16</f>
        <v>#DIV/0!</v>
      </c>
      <c r="CQ48" s="52" t="str">
        <f>+SUMIFS(Opex_Assumptions!$F34:$M34,Opex_Assumptions!$F$7:$M$7,CQ$7)*'Income Statement'!CG16</f>
        <v>#DIV/0!</v>
      </c>
      <c r="CR48" s="52" t="str">
        <f>+SUMIFS(Opex_Assumptions!$F34:$M34,Opex_Assumptions!$F$7:$M$7,CR$7)*'Income Statement'!CH16</f>
        <v>#DIV/0!</v>
      </c>
      <c r="CS48" s="52" t="str">
        <f>+SUMIFS(Opex_Assumptions!$F34:$M34,Opex_Assumptions!$F$7:$M$7,CS$7)*'Income Statement'!CI16</f>
        <v>#DIV/0!</v>
      </c>
      <c r="CT48" s="52" t="str">
        <f>+SUMIFS(Opex_Assumptions!$F34:$M34,Opex_Assumptions!$F$7:$M$7,CT$7)*'Income Statement'!CJ16</f>
        <v>#DIV/0!</v>
      </c>
      <c r="CU48" s="52" t="str">
        <f>+SUMIFS(Opex_Assumptions!$F34:$M34,Opex_Assumptions!$F$7:$M$7,CU$7)*'Income Statement'!CK16</f>
        <v>#DIV/0!</v>
      </c>
      <c r="CV48" s="52" t="str">
        <f>+SUMIFS(Opex_Assumptions!$F34:$M34,Opex_Assumptions!$F$7:$M$7,CV$7)*'Income Statement'!CL16</f>
        <v>#DIV/0!</v>
      </c>
      <c r="CW48" s="52" t="str">
        <f>+SUMIFS(Opex_Assumptions!$F34:$M34,Opex_Assumptions!$F$7:$M$7,CW$7)*'Income Statement'!CM16</f>
        <v>#DIV/0!</v>
      </c>
      <c r="CX48" s="52" t="str">
        <f>+SUMIFS(Opex_Assumptions!$F34:$M34,Opex_Assumptions!$F$7:$M$7,CX$7)*'Income Statement'!CN16</f>
        <v>#DIV/0!</v>
      </c>
      <c r="CY48" s="52" t="str">
        <f>+SUMIFS(Opex_Assumptions!$F34:$M34,Opex_Assumptions!$F$7:$M$7,CY$7)*'Income Statement'!CO16</f>
        <v>#DIV/0!</v>
      </c>
      <c r="CZ48" s="52" t="str">
        <f>+SUMIFS(Opex_Assumptions!$F34:$M34,Opex_Assumptions!$F$7:$M$7,CZ$7)*'Income Statement'!CP16</f>
        <v>#DIV/0!</v>
      </c>
      <c r="DA48" s="52" t="str">
        <f>+SUMIFS(Opex_Assumptions!$F34:$M34,Opex_Assumptions!$F$7:$M$7,DA$7)*'Income Statement'!CQ16</f>
        <v>#DIV/0!</v>
      </c>
      <c r="DB48" s="52" t="str">
        <f>+SUMIFS(Opex_Assumptions!$F34:$M34,Opex_Assumptions!$F$7:$M$7,DB$7)*'Income Statement'!CR16</f>
        <v>#DIV/0!</v>
      </c>
      <c r="DC48" s="52" t="str">
        <f>+SUMIFS(Opex_Assumptions!$F34:$M34,Opex_Assumptions!$F$7:$M$7,DC$7)*'Income Statement'!CS16</f>
        <v>#DIV/0!</v>
      </c>
      <c r="DD48" s="52" t="str">
        <f>+SUMIFS(Opex_Assumptions!$F34:$M34,Opex_Assumptions!$F$7:$M$7,DD$7)*'Income Statement'!CT16</f>
        <v>#DIV/0!</v>
      </c>
      <c r="DE48" s="52" t="str">
        <f>+SUMIFS(Opex_Assumptions!$F34:$M34,Opex_Assumptions!$F$7:$M$7,DE$7)*'Income Statement'!CU16</f>
        <v>#DIV/0!</v>
      </c>
      <c r="DF48" s="52" t="str">
        <f>+SUMIFS(Opex_Assumptions!$F34:$M34,Opex_Assumptions!$F$7:$M$7,DF$7)*'Income Statement'!CV16</f>
        <v>#DIV/0!</v>
      </c>
      <c r="DG48" s="52" t="str">
        <f>+SUMIFS(Opex_Assumptions!$F34:$M34,Opex_Assumptions!$F$7:$M$7,DG$7)*'Income Statement'!CW16</f>
        <v>#DIV/0!</v>
      </c>
      <c r="DH48" s="52" t="str">
        <f>+SUMIFS(Opex_Assumptions!$F34:$M34,Opex_Assumptions!$F$7:$M$7,DH$7)*'Income Statement'!CX16</f>
        <v>#DIV/0!</v>
      </c>
      <c r="DI48" s="52" t="str">
        <f>+SUMIFS(Opex_Assumptions!$F34:$M34,Opex_Assumptions!$F$7:$M$7,DI$7)*'Income Statement'!CY16</f>
        <v>#DIV/0!</v>
      </c>
      <c r="DJ48" s="52" t="str">
        <f>+SUMIFS(Opex_Assumptions!$F34:$M34,Opex_Assumptions!$F$7:$M$7,DJ$7)*'Income Statement'!CZ16</f>
        <v>#DIV/0!</v>
      </c>
      <c r="DK48" s="52" t="str">
        <f>+SUMIFS(Opex_Assumptions!$F34:$M34,Opex_Assumptions!$F$7:$M$7,DK$7)*'Income Statement'!DA16</f>
        <v>#DIV/0!</v>
      </c>
      <c r="DL48" s="52" t="str">
        <f>+SUMIFS(Opex_Assumptions!$F34:$M34,Opex_Assumptions!$F$7:$M$7,DL$7)*'Income Statement'!DB16</f>
        <v>#DIV/0!</v>
      </c>
      <c r="DM48" s="52" t="str">
        <f>+SUMIFS(Opex_Assumptions!$F34:$M34,Opex_Assumptions!$F$7:$M$7,DM$7)*'Income Statement'!DC16</f>
        <v>#DIV/0!</v>
      </c>
      <c r="DN48" s="52" t="str">
        <f>+SUMIFS(Opex_Assumptions!$F34:$M34,Opex_Assumptions!$F$7:$M$7,DN$7)*'Income Statement'!DD16</f>
        <v>#DIV/0!</v>
      </c>
      <c r="DO48" s="52" t="str">
        <f>+SUMIFS(Opex_Assumptions!$F34:$M34,Opex_Assumptions!$F$7:$M$7,DO$7)*'Income Statement'!DE16</f>
        <v>#DIV/0!</v>
      </c>
      <c r="DP48" s="52" t="str">
        <f>+SUMIFS(Opex_Assumptions!$F34:$M34,Opex_Assumptions!$F$7:$M$7,DP$7)*'Income Statement'!DF16</f>
        <v>#DIV/0!</v>
      </c>
      <c r="DQ48" s="52" t="str">
        <f>+SUMIFS(Opex_Assumptions!$F34:$M34,Opex_Assumptions!$F$7:$M$7,DQ$7)*'Income Statement'!DG16</f>
        <v>#DIV/0!</v>
      </c>
      <c r="DR48" s="52" t="str">
        <f>+SUMIFS(Opex_Assumptions!$F34:$M34,Opex_Assumptions!$F$7:$M$7,DR$7)*'Income Statement'!DH16</f>
        <v>#DIV/0!</v>
      </c>
    </row>
    <row r="49" ht="15.75" customHeight="1">
      <c r="B49" s="5" t="s">
        <v>54</v>
      </c>
      <c r="F49" s="50">
        <f t="shared" ref="F49:M49" si="46">+SUMIFS($AA49:$DR49,$AA$7:$DR$7,F$7)</f>
        <v>131.77814</v>
      </c>
      <c r="G49" s="50">
        <f t="shared" si="46"/>
        <v>125.08322</v>
      </c>
      <c r="H49" s="50">
        <f t="shared" si="46"/>
        <v>94.00347</v>
      </c>
      <c r="I49" s="50">
        <f t="shared" si="46"/>
        <v>80.5</v>
      </c>
      <c r="J49" s="50">
        <f t="shared" si="46"/>
        <v>85.015</v>
      </c>
      <c r="K49" s="50">
        <f t="shared" si="46"/>
        <v>89.78323261</v>
      </c>
      <c r="L49" s="50">
        <f t="shared" si="46"/>
        <v>94.81890087</v>
      </c>
      <c r="M49" s="50">
        <f t="shared" si="46"/>
        <v>100.1370044</v>
      </c>
      <c r="AA49" s="51">
        <v>13.26852</v>
      </c>
      <c r="AB49" s="51">
        <v>12.199039999999998</v>
      </c>
      <c r="AC49" s="51">
        <v>10.07441</v>
      </c>
      <c r="AD49" s="51">
        <v>11.79141</v>
      </c>
      <c r="AE49" s="51">
        <v>10.80137</v>
      </c>
      <c r="AF49" s="51">
        <v>10.087879999999998</v>
      </c>
      <c r="AG49" s="51">
        <v>9.38413</v>
      </c>
      <c r="AH49" s="51">
        <v>15.95086</v>
      </c>
      <c r="AI49" s="51">
        <v>10.24613</v>
      </c>
      <c r="AJ49" s="51">
        <v>7.774630000000001</v>
      </c>
      <c r="AK49" s="51">
        <v>-3.012880000000001</v>
      </c>
      <c r="AL49" s="51">
        <v>23.212639999999997</v>
      </c>
      <c r="AM49" s="51">
        <v>9.912830000000001</v>
      </c>
      <c r="AN49" s="51">
        <v>9.82963</v>
      </c>
      <c r="AO49" s="51">
        <v>7.69947</v>
      </c>
      <c r="AP49" s="51">
        <v>12.323319999999999</v>
      </c>
      <c r="AQ49" s="51">
        <v>12.75506</v>
      </c>
      <c r="AR49" s="51">
        <v>9.813640000000001</v>
      </c>
      <c r="AS49" s="51">
        <v>10.75321</v>
      </c>
      <c r="AT49" s="51">
        <v>9.667539999999999</v>
      </c>
      <c r="AU49" s="51">
        <v>11.07897</v>
      </c>
      <c r="AV49" s="51">
        <v>10.209489999999999</v>
      </c>
      <c r="AW49" s="51">
        <v>12.215239999999998</v>
      </c>
      <c r="AX49" s="51">
        <v>8.824819999999999</v>
      </c>
      <c r="AY49" s="51">
        <v>9.302059999999997</v>
      </c>
      <c r="AZ49" s="51">
        <v>7.78214</v>
      </c>
      <c r="BA49" s="51">
        <v>8.280489999999999</v>
      </c>
      <c r="BB49" s="51">
        <v>8.75812</v>
      </c>
      <c r="BC49" s="51">
        <v>9.14922</v>
      </c>
      <c r="BD49" s="51">
        <v>10.36007</v>
      </c>
      <c r="BE49" s="51">
        <v>6.146700000000001</v>
      </c>
      <c r="BF49" s="51">
        <v>7.11454</v>
      </c>
      <c r="BG49" s="51">
        <v>6.17585</v>
      </c>
      <c r="BH49" s="51">
        <v>7.572350000000001</v>
      </c>
      <c r="BI49" s="51">
        <v>7.471710000000002</v>
      </c>
      <c r="BJ49" s="51">
        <v>5.8902199999999985</v>
      </c>
      <c r="BK49" s="51">
        <v>6.066</v>
      </c>
      <c r="BL49" s="51">
        <v>6.177</v>
      </c>
      <c r="BM49" s="51">
        <v>6.825699999999999</v>
      </c>
      <c r="BN49" s="51">
        <v>6.825700000000001</v>
      </c>
      <c r="BO49" s="51">
        <v>6.825699999999999</v>
      </c>
      <c r="BP49" s="51">
        <v>6.825699999999999</v>
      </c>
      <c r="BQ49" s="51">
        <v>6.8257</v>
      </c>
      <c r="BR49" s="51">
        <v>6.8256999999999985</v>
      </c>
      <c r="BS49" s="51">
        <v>6.8256999999999985</v>
      </c>
      <c r="BT49" s="51">
        <v>6.8257</v>
      </c>
      <c r="BU49" s="51">
        <v>6.825700000000003</v>
      </c>
      <c r="BV49" s="51">
        <v>6.825699999999997</v>
      </c>
      <c r="BW49" s="51">
        <v>7.084583333333334</v>
      </c>
      <c r="BX49" s="51">
        <v>7.084583333333334</v>
      </c>
      <c r="BY49" s="51">
        <v>7.084583333333334</v>
      </c>
      <c r="BZ49" s="51">
        <v>7.084583333333334</v>
      </c>
      <c r="CA49" s="51">
        <v>7.084583333333334</v>
      </c>
      <c r="CB49" s="51">
        <v>7.084583333333334</v>
      </c>
      <c r="CC49" s="51">
        <v>7.084583333333334</v>
      </c>
      <c r="CD49" s="51">
        <v>7.084583333333334</v>
      </c>
      <c r="CE49" s="51">
        <v>7.084583333333334</v>
      </c>
      <c r="CF49" s="51">
        <v>7.084583333333334</v>
      </c>
      <c r="CG49" s="51">
        <v>7.084583333333334</v>
      </c>
      <c r="CH49" s="51">
        <v>7.084583333333334</v>
      </c>
      <c r="CI49" s="52">
        <f>+(SUMIFS(Opex_Assumptions!$F35:$M35,Opex_Assumptions!$F$7:$M$7,CI$7)+1)*BW49</f>
        <v>7.481936051</v>
      </c>
      <c r="CJ49" s="52">
        <f>+(SUMIFS(Opex_Assumptions!$F35:$M35,Opex_Assumptions!$F$7:$M$7,CJ$7)+1)*BX49</f>
        <v>7.481936051</v>
      </c>
      <c r="CK49" s="52">
        <f>+(SUMIFS(Opex_Assumptions!$F35:$M35,Opex_Assumptions!$F$7:$M$7,CK$7)+1)*BY49</f>
        <v>7.481936051</v>
      </c>
      <c r="CL49" s="52">
        <f>+(SUMIFS(Opex_Assumptions!$F35:$M35,Opex_Assumptions!$F$7:$M$7,CL$7)+1)*BZ49</f>
        <v>7.481936051</v>
      </c>
      <c r="CM49" s="52">
        <f>+(SUMIFS(Opex_Assumptions!$F35:$M35,Opex_Assumptions!$F$7:$M$7,CM$7)+1)*CA49</f>
        <v>7.481936051</v>
      </c>
      <c r="CN49" s="52">
        <f>+(SUMIFS(Opex_Assumptions!$F35:$M35,Opex_Assumptions!$F$7:$M$7,CN$7)+1)*CB49</f>
        <v>7.481936051</v>
      </c>
      <c r="CO49" s="52">
        <f>+(SUMIFS(Opex_Assumptions!$F35:$M35,Opex_Assumptions!$F$7:$M$7,CO$7)+1)*CC49</f>
        <v>7.481936051</v>
      </c>
      <c r="CP49" s="52">
        <f>+(SUMIFS(Opex_Assumptions!$F35:$M35,Opex_Assumptions!$F$7:$M$7,CP$7)+1)*CD49</f>
        <v>7.481936051</v>
      </c>
      <c r="CQ49" s="52">
        <f>+(SUMIFS(Opex_Assumptions!$F35:$M35,Opex_Assumptions!$F$7:$M$7,CQ$7)+1)*CE49</f>
        <v>7.481936051</v>
      </c>
      <c r="CR49" s="52">
        <f>+(SUMIFS(Opex_Assumptions!$F35:$M35,Opex_Assumptions!$F$7:$M$7,CR$7)+1)*CF49</f>
        <v>7.481936051</v>
      </c>
      <c r="CS49" s="52">
        <f>+(SUMIFS(Opex_Assumptions!$F35:$M35,Opex_Assumptions!$F$7:$M$7,CS$7)+1)*CG49</f>
        <v>7.481936051</v>
      </c>
      <c r="CT49" s="52">
        <f>+(SUMIFS(Opex_Assumptions!$F35:$M35,Opex_Assumptions!$F$7:$M$7,CT$7)+1)*CH49</f>
        <v>7.481936051</v>
      </c>
      <c r="CU49" s="52">
        <f>+(SUMIFS(Opex_Assumptions!$F35:$M35,Opex_Assumptions!$F$7:$M$7,CU$7)+1)*CI49</f>
        <v>7.901575073</v>
      </c>
      <c r="CV49" s="52">
        <f>+(SUMIFS(Opex_Assumptions!$F35:$M35,Opex_Assumptions!$F$7:$M$7,CV$7)+1)*CJ49</f>
        <v>7.901575073</v>
      </c>
      <c r="CW49" s="52">
        <f>+(SUMIFS(Opex_Assumptions!$F35:$M35,Opex_Assumptions!$F$7:$M$7,CW$7)+1)*CK49</f>
        <v>7.901575073</v>
      </c>
      <c r="CX49" s="52">
        <f>+(SUMIFS(Opex_Assumptions!$F35:$M35,Opex_Assumptions!$F$7:$M$7,CX$7)+1)*CL49</f>
        <v>7.901575073</v>
      </c>
      <c r="CY49" s="52">
        <f>+(SUMIFS(Opex_Assumptions!$F35:$M35,Opex_Assumptions!$F$7:$M$7,CY$7)+1)*CM49</f>
        <v>7.901575073</v>
      </c>
      <c r="CZ49" s="52">
        <f>+(SUMIFS(Opex_Assumptions!$F35:$M35,Opex_Assumptions!$F$7:$M$7,CZ$7)+1)*CN49</f>
        <v>7.901575073</v>
      </c>
      <c r="DA49" s="52">
        <f>+(SUMIFS(Opex_Assumptions!$F35:$M35,Opex_Assumptions!$F$7:$M$7,DA$7)+1)*CO49</f>
        <v>7.901575073</v>
      </c>
      <c r="DB49" s="52">
        <f>+(SUMIFS(Opex_Assumptions!$F35:$M35,Opex_Assumptions!$F$7:$M$7,DB$7)+1)*CP49</f>
        <v>7.901575073</v>
      </c>
      <c r="DC49" s="52">
        <f>+(SUMIFS(Opex_Assumptions!$F35:$M35,Opex_Assumptions!$F$7:$M$7,DC$7)+1)*CQ49</f>
        <v>7.901575073</v>
      </c>
      <c r="DD49" s="52">
        <f>+(SUMIFS(Opex_Assumptions!$F35:$M35,Opex_Assumptions!$F$7:$M$7,DD$7)+1)*CR49</f>
        <v>7.901575073</v>
      </c>
      <c r="DE49" s="52">
        <f>+(SUMIFS(Opex_Assumptions!$F35:$M35,Opex_Assumptions!$F$7:$M$7,DE$7)+1)*CS49</f>
        <v>7.901575073</v>
      </c>
      <c r="DF49" s="52">
        <f>+(SUMIFS(Opex_Assumptions!$F35:$M35,Opex_Assumptions!$F$7:$M$7,DF$7)+1)*CT49</f>
        <v>7.901575073</v>
      </c>
      <c r="DG49" s="52">
        <f>+(SUMIFS(Opex_Assumptions!$F35:$M35,Opex_Assumptions!$F$7:$M$7,DG$7)+1)*CU49</f>
        <v>8.34475037</v>
      </c>
      <c r="DH49" s="52">
        <f>+(SUMIFS(Opex_Assumptions!$F35:$M35,Opex_Assumptions!$F$7:$M$7,DH$7)+1)*CV49</f>
        <v>8.34475037</v>
      </c>
      <c r="DI49" s="52">
        <f>+(SUMIFS(Opex_Assumptions!$F35:$M35,Opex_Assumptions!$F$7:$M$7,DI$7)+1)*CW49</f>
        <v>8.34475037</v>
      </c>
      <c r="DJ49" s="52">
        <f>+(SUMIFS(Opex_Assumptions!$F35:$M35,Opex_Assumptions!$F$7:$M$7,DJ$7)+1)*CX49</f>
        <v>8.34475037</v>
      </c>
      <c r="DK49" s="52">
        <f>+(SUMIFS(Opex_Assumptions!$F35:$M35,Opex_Assumptions!$F$7:$M$7,DK$7)+1)*CY49</f>
        <v>8.34475037</v>
      </c>
      <c r="DL49" s="52">
        <f>+(SUMIFS(Opex_Assumptions!$F35:$M35,Opex_Assumptions!$F$7:$M$7,DL$7)+1)*CZ49</f>
        <v>8.34475037</v>
      </c>
      <c r="DM49" s="52">
        <f>+(SUMIFS(Opex_Assumptions!$F35:$M35,Opex_Assumptions!$F$7:$M$7,DM$7)+1)*DA49</f>
        <v>8.34475037</v>
      </c>
      <c r="DN49" s="52">
        <f>+(SUMIFS(Opex_Assumptions!$F35:$M35,Opex_Assumptions!$F$7:$M$7,DN$7)+1)*DB49</f>
        <v>8.34475037</v>
      </c>
      <c r="DO49" s="52">
        <f>+(SUMIFS(Opex_Assumptions!$F35:$M35,Opex_Assumptions!$F$7:$M$7,DO$7)+1)*DC49</f>
        <v>8.34475037</v>
      </c>
      <c r="DP49" s="52">
        <f>+(SUMIFS(Opex_Assumptions!$F35:$M35,Opex_Assumptions!$F$7:$M$7,DP$7)+1)*DD49</f>
        <v>8.34475037</v>
      </c>
      <c r="DQ49" s="52">
        <f>+(SUMIFS(Opex_Assumptions!$F35:$M35,Opex_Assumptions!$F$7:$M$7,DQ$7)+1)*DE49</f>
        <v>8.34475037</v>
      </c>
      <c r="DR49" s="52">
        <f>+(SUMIFS(Opex_Assumptions!$F35:$M35,Opex_Assumptions!$F$7:$M$7,DR$7)+1)*DF49</f>
        <v>8.34475037</v>
      </c>
    </row>
    <row r="50" ht="15.75" customHeight="1">
      <c r="B50" s="5" t="s">
        <v>55</v>
      </c>
      <c r="F50" s="50">
        <f t="shared" ref="F50:M50" si="47">+SUMIFS($AA50:$DR50,$AA$7:$DR$7,F$7)</f>
        <v>210.89401</v>
      </c>
      <c r="G50" s="50">
        <f t="shared" si="47"/>
        <v>213.10729</v>
      </c>
      <c r="H50" s="50">
        <f t="shared" si="47"/>
        <v>141.55087</v>
      </c>
      <c r="I50" s="50">
        <f t="shared" si="47"/>
        <v>188.17</v>
      </c>
      <c r="J50" s="50">
        <f t="shared" si="47"/>
        <v>172.0151</v>
      </c>
      <c r="K50" s="50">
        <f t="shared" si="47"/>
        <v>157.2471416</v>
      </c>
      <c r="L50" s="50">
        <f t="shared" si="47"/>
        <v>143.747052</v>
      </c>
      <c r="M50" s="50">
        <f t="shared" si="47"/>
        <v>131.4059815</v>
      </c>
      <c r="AA50" s="51">
        <v>31.02588</v>
      </c>
      <c r="AB50" s="51">
        <v>26.02588</v>
      </c>
      <c r="AC50" s="51">
        <v>53.02658</v>
      </c>
      <c r="AD50" s="51">
        <v>29.02588</v>
      </c>
      <c r="AE50" s="51">
        <v>30.195880000000002</v>
      </c>
      <c r="AF50" s="51">
        <v>6.56159</v>
      </c>
      <c r="AG50" s="51">
        <v>7.81159</v>
      </c>
      <c r="AH50" s="51">
        <v>-28.337389999999996</v>
      </c>
      <c r="AI50" s="51">
        <v>15.68872</v>
      </c>
      <c r="AJ50" s="51">
        <v>9.462610000000002</v>
      </c>
      <c r="AK50" s="51">
        <v>15.2146</v>
      </c>
      <c r="AL50" s="51">
        <v>15.19219</v>
      </c>
      <c r="AM50" s="51">
        <v>41.69254</v>
      </c>
      <c r="AN50" s="51">
        <v>41.69254</v>
      </c>
      <c r="AO50" s="51">
        <v>50.877539999999996</v>
      </c>
      <c r="AP50" s="51">
        <v>40.92903</v>
      </c>
      <c r="AQ50" s="51">
        <v>35.42349</v>
      </c>
      <c r="AR50" s="51">
        <v>42.14666</v>
      </c>
      <c r="AS50" s="51">
        <v>29.26666</v>
      </c>
      <c r="AT50" s="51">
        <v>27.65966</v>
      </c>
      <c r="AU50" s="51">
        <v>24.25468</v>
      </c>
      <c r="AV50" s="51">
        <v>-111.82705</v>
      </c>
      <c r="AW50" s="51">
        <v>11.00655</v>
      </c>
      <c r="AX50" s="51">
        <v>-20.01501</v>
      </c>
      <c r="AY50" s="51">
        <v>7.94255</v>
      </c>
      <c r="AZ50" s="51">
        <v>7.94255</v>
      </c>
      <c r="BA50" s="51">
        <v>9.50255</v>
      </c>
      <c r="BB50" s="51">
        <v>8.99718</v>
      </c>
      <c r="BC50" s="51">
        <v>6.8198799999999995</v>
      </c>
      <c r="BD50" s="51">
        <v>6.59188</v>
      </c>
      <c r="BE50" s="51">
        <v>6.10922</v>
      </c>
      <c r="BF50" s="51">
        <v>6.10922</v>
      </c>
      <c r="BG50" s="51">
        <v>30.08022</v>
      </c>
      <c r="BH50" s="51">
        <v>30.849719999999998</v>
      </c>
      <c r="BI50" s="51">
        <v>21.26322</v>
      </c>
      <c r="BJ50" s="51">
        <v>-0.65732</v>
      </c>
      <c r="BK50" s="51">
        <v>24.054</v>
      </c>
      <c r="BL50" s="51">
        <v>13.638</v>
      </c>
      <c r="BM50" s="51">
        <v>30.1928</v>
      </c>
      <c r="BN50" s="51">
        <v>27.6928</v>
      </c>
      <c r="BO50" s="51">
        <v>11.82405</v>
      </c>
      <c r="BP50" s="51">
        <v>11.824050000000002</v>
      </c>
      <c r="BQ50" s="51">
        <v>11.82405</v>
      </c>
      <c r="BR50" s="51">
        <v>11.82405</v>
      </c>
      <c r="BS50" s="51">
        <v>11.82405</v>
      </c>
      <c r="BT50" s="51">
        <v>11.82405</v>
      </c>
      <c r="BU50" s="51">
        <v>11.82405</v>
      </c>
      <c r="BV50" s="51">
        <v>9.824050000000003</v>
      </c>
      <c r="BW50" s="51">
        <v>14.334591666666666</v>
      </c>
      <c r="BX50" s="51">
        <v>14.334591666666666</v>
      </c>
      <c r="BY50" s="51">
        <v>14.334591666666665</v>
      </c>
      <c r="BZ50" s="51">
        <v>14.334591666666666</v>
      </c>
      <c r="CA50" s="51">
        <v>14.334591666666665</v>
      </c>
      <c r="CB50" s="51">
        <v>14.334591666666666</v>
      </c>
      <c r="CC50" s="51">
        <v>14.334591666666666</v>
      </c>
      <c r="CD50" s="51">
        <v>14.334591666666666</v>
      </c>
      <c r="CE50" s="51">
        <v>14.334591666666666</v>
      </c>
      <c r="CF50" s="51">
        <v>14.334591666666663</v>
      </c>
      <c r="CG50" s="51">
        <v>14.334591666666663</v>
      </c>
      <c r="CH50" s="51">
        <v>14.33459166666666</v>
      </c>
      <c r="CI50" s="52">
        <f>+(SUMIFS(Opex_Assumptions!$F36:$M36,Opex_Assumptions!$F$7:$M$7,CI$7)+1)*BW50</f>
        <v>13.10392846</v>
      </c>
      <c r="CJ50" s="52">
        <f>+(SUMIFS(Opex_Assumptions!$F36:$M36,Opex_Assumptions!$F$7:$M$7,CJ$7)+1)*BX50</f>
        <v>13.10392846</v>
      </c>
      <c r="CK50" s="52">
        <f>+(SUMIFS(Opex_Assumptions!$F36:$M36,Opex_Assumptions!$F$7:$M$7,CK$7)+1)*BY50</f>
        <v>13.10392846</v>
      </c>
      <c r="CL50" s="52">
        <f>+(SUMIFS(Opex_Assumptions!$F36:$M36,Opex_Assumptions!$F$7:$M$7,CL$7)+1)*BZ50</f>
        <v>13.10392846</v>
      </c>
      <c r="CM50" s="52">
        <f>+(SUMIFS(Opex_Assumptions!$F36:$M36,Opex_Assumptions!$F$7:$M$7,CM$7)+1)*CA50</f>
        <v>13.10392846</v>
      </c>
      <c r="CN50" s="52">
        <f>+(SUMIFS(Opex_Assumptions!$F36:$M36,Opex_Assumptions!$F$7:$M$7,CN$7)+1)*CB50</f>
        <v>13.10392846</v>
      </c>
      <c r="CO50" s="52">
        <f>+(SUMIFS(Opex_Assumptions!$F36:$M36,Opex_Assumptions!$F$7:$M$7,CO$7)+1)*CC50</f>
        <v>13.10392846</v>
      </c>
      <c r="CP50" s="52">
        <f>+(SUMIFS(Opex_Assumptions!$F36:$M36,Opex_Assumptions!$F$7:$M$7,CP$7)+1)*CD50</f>
        <v>13.10392846</v>
      </c>
      <c r="CQ50" s="52">
        <f>+(SUMIFS(Opex_Assumptions!$F36:$M36,Opex_Assumptions!$F$7:$M$7,CQ$7)+1)*CE50</f>
        <v>13.10392846</v>
      </c>
      <c r="CR50" s="52">
        <f>+(SUMIFS(Opex_Assumptions!$F36:$M36,Opex_Assumptions!$F$7:$M$7,CR$7)+1)*CF50</f>
        <v>13.10392846</v>
      </c>
      <c r="CS50" s="52">
        <f>+(SUMIFS(Opex_Assumptions!$F36:$M36,Opex_Assumptions!$F$7:$M$7,CS$7)+1)*CG50</f>
        <v>13.10392846</v>
      </c>
      <c r="CT50" s="52">
        <f>+(SUMIFS(Opex_Assumptions!$F36:$M36,Opex_Assumptions!$F$7:$M$7,CT$7)+1)*CH50</f>
        <v>13.10392846</v>
      </c>
      <c r="CU50" s="52">
        <f>+(SUMIFS(Opex_Assumptions!$F36:$M36,Opex_Assumptions!$F$7:$M$7,CU$7)+1)*CI50</f>
        <v>11.978921</v>
      </c>
      <c r="CV50" s="52">
        <f>+(SUMIFS(Opex_Assumptions!$F36:$M36,Opex_Assumptions!$F$7:$M$7,CV$7)+1)*CJ50</f>
        <v>11.978921</v>
      </c>
      <c r="CW50" s="52">
        <f>+(SUMIFS(Opex_Assumptions!$F36:$M36,Opex_Assumptions!$F$7:$M$7,CW$7)+1)*CK50</f>
        <v>11.978921</v>
      </c>
      <c r="CX50" s="52">
        <f>+(SUMIFS(Opex_Assumptions!$F36:$M36,Opex_Assumptions!$F$7:$M$7,CX$7)+1)*CL50</f>
        <v>11.978921</v>
      </c>
      <c r="CY50" s="52">
        <f>+(SUMIFS(Opex_Assumptions!$F36:$M36,Opex_Assumptions!$F$7:$M$7,CY$7)+1)*CM50</f>
        <v>11.978921</v>
      </c>
      <c r="CZ50" s="52">
        <f>+(SUMIFS(Opex_Assumptions!$F36:$M36,Opex_Assumptions!$F$7:$M$7,CZ$7)+1)*CN50</f>
        <v>11.978921</v>
      </c>
      <c r="DA50" s="52">
        <f>+(SUMIFS(Opex_Assumptions!$F36:$M36,Opex_Assumptions!$F$7:$M$7,DA$7)+1)*CO50</f>
        <v>11.978921</v>
      </c>
      <c r="DB50" s="52">
        <f>+(SUMIFS(Opex_Assumptions!$F36:$M36,Opex_Assumptions!$F$7:$M$7,DB$7)+1)*CP50</f>
        <v>11.978921</v>
      </c>
      <c r="DC50" s="52">
        <f>+(SUMIFS(Opex_Assumptions!$F36:$M36,Opex_Assumptions!$F$7:$M$7,DC$7)+1)*CQ50</f>
        <v>11.978921</v>
      </c>
      <c r="DD50" s="52">
        <f>+(SUMIFS(Opex_Assumptions!$F36:$M36,Opex_Assumptions!$F$7:$M$7,DD$7)+1)*CR50</f>
        <v>11.978921</v>
      </c>
      <c r="DE50" s="52">
        <f>+(SUMIFS(Opex_Assumptions!$F36:$M36,Opex_Assumptions!$F$7:$M$7,DE$7)+1)*CS50</f>
        <v>11.978921</v>
      </c>
      <c r="DF50" s="52">
        <f>+(SUMIFS(Opex_Assumptions!$F36:$M36,Opex_Assumptions!$F$7:$M$7,DF$7)+1)*CT50</f>
        <v>11.978921</v>
      </c>
      <c r="DG50" s="52">
        <f>+(SUMIFS(Opex_Assumptions!$F36:$M36,Opex_Assumptions!$F$7:$M$7,DG$7)+1)*CU50</f>
        <v>10.95049845</v>
      </c>
      <c r="DH50" s="52">
        <f>+(SUMIFS(Opex_Assumptions!$F36:$M36,Opex_Assumptions!$F$7:$M$7,DH$7)+1)*CV50</f>
        <v>10.95049845</v>
      </c>
      <c r="DI50" s="52">
        <f>+(SUMIFS(Opex_Assumptions!$F36:$M36,Opex_Assumptions!$F$7:$M$7,DI$7)+1)*CW50</f>
        <v>10.95049845</v>
      </c>
      <c r="DJ50" s="52">
        <f>+(SUMIFS(Opex_Assumptions!$F36:$M36,Opex_Assumptions!$F$7:$M$7,DJ$7)+1)*CX50</f>
        <v>10.95049845</v>
      </c>
      <c r="DK50" s="52">
        <f>+(SUMIFS(Opex_Assumptions!$F36:$M36,Opex_Assumptions!$F$7:$M$7,DK$7)+1)*CY50</f>
        <v>10.95049845</v>
      </c>
      <c r="DL50" s="52">
        <f>+(SUMIFS(Opex_Assumptions!$F36:$M36,Opex_Assumptions!$F$7:$M$7,DL$7)+1)*CZ50</f>
        <v>10.95049845</v>
      </c>
      <c r="DM50" s="52">
        <f>+(SUMIFS(Opex_Assumptions!$F36:$M36,Opex_Assumptions!$F$7:$M$7,DM$7)+1)*DA50</f>
        <v>10.95049845</v>
      </c>
      <c r="DN50" s="52">
        <f>+(SUMIFS(Opex_Assumptions!$F36:$M36,Opex_Assumptions!$F$7:$M$7,DN$7)+1)*DB50</f>
        <v>10.95049845</v>
      </c>
      <c r="DO50" s="52">
        <f>+(SUMIFS(Opex_Assumptions!$F36:$M36,Opex_Assumptions!$F$7:$M$7,DO$7)+1)*DC50</f>
        <v>10.95049845</v>
      </c>
      <c r="DP50" s="52">
        <f>+(SUMIFS(Opex_Assumptions!$F36:$M36,Opex_Assumptions!$F$7:$M$7,DP$7)+1)*DD50</f>
        <v>10.95049845</v>
      </c>
      <c r="DQ50" s="52">
        <f>+(SUMIFS(Opex_Assumptions!$F36:$M36,Opex_Assumptions!$F$7:$M$7,DQ$7)+1)*DE50</f>
        <v>10.95049845</v>
      </c>
      <c r="DR50" s="52">
        <f>+(SUMIFS(Opex_Assumptions!$F36:$M36,Opex_Assumptions!$F$7:$M$7,DR$7)+1)*DF50</f>
        <v>10.95049845</v>
      </c>
    </row>
    <row r="51" ht="15.75" customHeight="1">
      <c r="B51" s="5" t="s">
        <v>56</v>
      </c>
      <c r="F51" s="50">
        <f t="shared" ref="F51:M51" si="48">+SUMIFS($AA51:$DR51,$AA$7:$DR$7,F$7)</f>
        <v>0</v>
      </c>
      <c r="G51" s="50">
        <f t="shared" si="48"/>
        <v>0</v>
      </c>
      <c r="H51" s="50">
        <f t="shared" si="48"/>
        <v>0</v>
      </c>
      <c r="I51" s="50">
        <f t="shared" si="48"/>
        <v>0</v>
      </c>
      <c r="J51" s="50">
        <f t="shared" si="48"/>
        <v>0</v>
      </c>
      <c r="K51" s="50">
        <f t="shared" si="48"/>
        <v>0</v>
      </c>
      <c r="L51" s="50">
        <f t="shared" si="48"/>
        <v>0</v>
      </c>
      <c r="M51" s="50">
        <f t="shared" si="48"/>
        <v>0</v>
      </c>
      <c r="AA51" s="51">
        <v>-7.105427357601002E-15</v>
      </c>
      <c r="AB51" s="51">
        <v>-3.552713678800501E-15</v>
      </c>
      <c r="AC51" s="51">
        <v>3.552713678800501E-15</v>
      </c>
      <c r="AD51" s="51">
        <v>-3.552713678800501E-15</v>
      </c>
      <c r="AE51" s="51">
        <v>7.105427357601002E-15</v>
      </c>
      <c r="AF51" s="51">
        <v>-3.552713678800501E-15</v>
      </c>
      <c r="AG51" s="51">
        <v>3.552713678800501E-15</v>
      </c>
      <c r="AH51" s="51">
        <v>7.105427357601002E-15</v>
      </c>
      <c r="AI51" s="51">
        <v>-3.552713678800501E-15</v>
      </c>
      <c r="AJ51" s="51">
        <v>7.105427357601002E-15</v>
      </c>
      <c r="AK51" s="51">
        <v>-3.552713678800501E-15</v>
      </c>
      <c r="AL51" s="51">
        <v>0.0</v>
      </c>
      <c r="AM51" s="51">
        <v>3.552713678800501E-15</v>
      </c>
      <c r="AN51" s="51">
        <v>7.105427357601002E-15</v>
      </c>
      <c r="AO51" s="51">
        <v>7.105427357601002E-15</v>
      </c>
      <c r="AP51" s="51">
        <v>-3.552713678800501E-15</v>
      </c>
      <c r="AQ51" s="51">
        <v>0.0</v>
      </c>
      <c r="AR51" s="51">
        <v>-1.0658141036401503E-14</v>
      </c>
      <c r="AS51" s="51">
        <v>-1.4210854715202004E-14</v>
      </c>
      <c r="AT51" s="51">
        <v>0.0</v>
      </c>
      <c r="AU51" s="51">
        <v>-3.552713678800501E-15</v>
      </c>
      <c r="AV51" s="51">
        <v>1.4210854715202004E-14</v>
      </c>
      <c r="AW51" s="51">
        <v>-7.105427357601002E-15</v>
      </c>
      <c r="AX51" s="51">
        <v>-7.105427357601002E-15</v>
      </c>
      <c r="AY51" s="51">
        <v>3.552713678800501E-15</v>
      </c>
      <c r="AZ51" s="51">
        <v>-1.0658141036401503E-14</v>
      </c>
      <c r="BA51" s="51">
        <v>-1.4210854715202004E-14</v>
      </c>
      <c r="BB51" s="51">
        <v>7.105427357601002E-15</v>
      </c>
      <c r="BC51" s="51">
        <v>-1.4210854715202004E-14</v>
      </c>
      <c r="BD51" s="51">
        <v>0.0</v>
      </c>
      <c r="BE51" s="51">
        <v>1.0658141036401503E-14</v>
      </c>
      <c r="BF51" s="51">
        <v>-1.0658141036401503E-14</v>
      </c>
      <c r="BG51" s="51">
        <v>-1.0658141036401503E-14</v>
      </c>
      <c r="BH51" s="51">
        <v>-7.105427357601002E-15</v>
      </c>
      <c r="BI51" s="51">
        <v>1.0658141036401503E-14</v>
      </c>
      <c r="BJ51" s="51">
        <v>3.552713678800501E-15</v>
      </c>
      <c r="BK51" s="51">
        <v>0.0</v>
      </c>
      <c r="BL51" s="51">
        <v>0.0</v>
      </c>
      <c r="BM51" s="51">
        <v>0.0</v>
      </c>
      <c r="BN51" s="51">
        <v>0.0</v>
      </c>
      <c r="BO51" s="51">
        <v>0.0</v>
      </c>
      <c r="BP51" s="51">
        <v>0.0</v>
      </c>
      <c r="BQ51" s="51">
        <v>0.0</v>
      </c>
      <c r="BR51" s="51">
        <v>0.0</v>
      </c>
      <c r="BS51" s="51">
        <v>0.0</v>
      </c>
      <c r="BT51" s="51">
        <v>0.0</v>
      </c>
      <c r="BU51" s="51">
        <v>0.0</v>
      </c>
      <c r="BV51" s="51">
        <v>0.0</v>
      </c>
      <c r="BW51" s="51">
        <v>0.0</v>
      </c>
      <c r="BX51" s="51">
        <v>0.0</v>
      </c>
      <c r="BY51" s="51">
        <v>0.0</v>
      </c>
      <c r="BZ51" s="51">
        <v>0.0</v>
      </c>
      <c r="CA51" s="51">
        <v>0.0</v>
      </c>
      <c r="CB51" s="51">
        <v>0.0</v>
      </c>
      <c r="CC51" s="51">
        <v>0.0</v>
      </c>
      <c r="CD51" s="51">
        <v>0.0</v>
      </c>
      <c r="CE51" s="51">
        <v>0.0</v>
      </c>
      <c r="CF51" s="51">
        <v>0.0</v>
      </c>
      <c r="CG51" s="51">
        <v>0.0</v>
      </c>
      <c r="CH51" s="51">
        <v>0.0</v>
      </c>
      <c r="CI51" s="52">
        <f>+(SUMIFS(Opex_Assumptions!$F37:$M37,Opex_Assumptions!$F$7:$M$7,CI$7)+1)*BW51</f>
        <v>0</v>
      </c>
      <c r="CJ51" s="52">
        <f>+(SUMIFS(Opex_Assumptions!$F37:$M37,Opex_Assumptions!$F$7:$M$7,CJ$7)+1)*BX51</f>
        <v>0</v>
      </c>
      <c r="CK51" s="52">
        <f>+(SUMIFS(Opex_Assumptions!$F37:$M37,Opex_Assumptions!$F$7:$M$7,CK$7)+1)*BY51</f>
        <v>0</v>
      </c>
      <c r="CL51" s="52">
        <f>+(SUMIFS(Opex_Assumptions!$F37:$M37,Opex_Assumptions!$F$7:$M$7,CL$7)+1)*BZ51</f>
        <v>0</v>
      </c>
      <c r="CM51" s="52">
        <f>+(SUMIFS(Opex_Assumptions!$F37:$M37,Opex_Assumptions!$F$7:$M$7,CM$7)+1)*CA51</f>
        <v>0</v>
      </c>
      <c r="CN51" s="52">
        <f>+(SUMIFS(Opex_Assumptions!$F37:$M37,Opex_Assumptions!$F$7:$M$7,CN$7)+1)*CB51</f>
        <v>0</v>
      </c>
      <c r="CO51" s="52">
        <f>+(SUMIFS(Opex_Assumptions!$F37:$M37,Opex_Assumptions!$F$7:$M$7,CO$7)+1)*CC51</f>
        <v>0</v>
      </c>
      <c r="CP51" s="52">
        <f>+(SUMIFS(Opex_Assumptions!$F37:$M37,Opex_Assumptions!$F$7:$M$7,CP$7)+1)*CD51</f>
        <v>0</v>
      </c>
      <c r="CQ51" s="52">
        <f>+(SUMIFS(Opex_Assumptions!$F37:$M37,Opex_Assumptions!$F$7:$M$7,CQ$7)+1)*CE51</f>
        <v>0</v>
      </c>
      <c r="CR51" s="52">
        <f>+(SUMIFS(Opex_Assumptions!$F37:$M37,Opex_Assumptions!$F$7:$M$7,CR$7)+1)*CF51</f>
        <v>0</v>
      </c>
      <c r="CS51" s="52">
        <f>+(SUMIFS(Opex_Assumptions!$F37:$M37,Opex_Assumptions!$F$7:$M$7,CS$7)+1)*CG51</f>
        <v>0</v>
      </c>
      <c r="CT51" s="52">
        <f>+(SUMIFS(Opex_Assumptions!$F37:$M37,Opex_Assumptions!$F$7:$M$7,CT$7)+1)*CH51</f>
        <v>0</v>
      </c>
      <c r="CU51" s="52">
        <f>+(SUMIFS(Opex_Assumptions!$F37:$M37,Opex_Assumptions!$F$7:$M$7,CU$7)+1)*CI51</f>
        <v>0</v>
      </c>
      <c r="CV51" s="52">
        <f>+(SUMIFS(Opex_Assumptions!$F37:$M37,Opex_Assumptions!$F$7:$M$7,CV$7)+1)*CJ51</f>
        <v>0</v>
      </c>
      <c r="CW51" s="52">
        <f>+(SUMIFS(Opex_Assumptions!$F37:$M37,Opex_Assumptions!$F$7:$M$7,CW$7)+1)*CK51</f>
        <v>0</v>
      </c>
      <c r="CX51" s="52">
        <f>+(SUMIFS(Opex_Assumptions!$F37:$M37,Opex_Assumptions!$F$7:$M$7,CX$7)+1)*CL51</f>
        <v>0</v>
      </c>
      <c r="CY51" s="52">
        <f>+(SUMIFS(Opex_Assumptions!$F37:$M37,Opex_Assumptions!$F$7:$M$7,CY$7)+1)*CM51</f>
        <v>0</v>
      </c>
      <c r="CZ51" s="52">
        <f>+(SUMIFS(Opex_Assumptions!$F37:$M37,Opex_Assumptions!$F$7:$M$7,CZ$7)+1)*CN51</f>
        <v>0</v>
      </c>
      <c r="DA51" s="52">
        <f>+(SUMIFS(Opex_Assumptions!$F37:$M37,Opex_Assumptions!$F$7:$M$7,DA$7)+1)*CO51</f>
        <v>0</v>
      </c>
      <c r="DB51" s="52">
        <f>+(SUMIFS(Opex_Assumptions!$F37:$M37,Opex_Assumptions!$F$7:$M$7,DB$7)+1)*CP51</f>
        <v>0</v>
      </c>
      <c r="DC51" s="52">
        <f>+(SUMIFS(Opex_Assumptions!$F37:$M37,Opex_Assumptions!$F$7:$M$7,DC$7)+1)*CQ51</f>
        <v>0</v>
      </c>
      <c r="DD51" s="52">
        <f>+(SUMIFS(Opex_Assumptions!$F37:$M37,Opex_Assumptions!$F$7:$M$7,DD$7)+1)*CR51</f>
        <v>0</v>
      </c>
      <c r="DE51" s="52">
        <f>+(SUMIFS(Opex_Assumptions!$F37:$M37,Opex_Assumptions!$F$7:$M$7,DE$7)+1)*CS51</f>
        <v>0</v>
      </c>
      <c r="DF51" s="52">
        <f>+(SUMIFS(Opex_Assumptions!$F37:$M37,Opex_Assumptions!$F$7:$M$7,DF$7)+1)*CT51</f>
        <v>0</v>
      </c>
      <c r="DG51" s="52">
        <f>+(SUMIFS(Opex_Assumptions!$F37:$M37,Opex_Assumptions!$F$7:$M$7,DG$7)+1)*CU51</f>
        <v>0</v>
      </c>
      <c r="DH51" s="52">
        <f>+(SUMIFS(Opex_Assumptions!$F37:$M37,Opex_Assumptions!$F$7:$M$7,DH$7)+1)*CV51</f>
        <v>0</v>
      </c>
      <c r="DI51" s="52">
        <f>+(SUMIFS(Opex_Assumptions!$F37:$M37,Opex_Assumptions!$F$7:$M$7,DI$7)+1)*CW51</f>
        <v>0</v>
      </c>
      <c r="DJ51" s="52">
        <f>+(SUMIFS(Opex_Assumptions!$F37:$M37,Opex_Assumptions!$F$7:$M$7,DJ$7)+1)*CX51</f>
        <v>0</v>
      </c>
      <c r="DK51" s="52">
        <f>+(SUMIFS(Opex_Assumptions!$F37:$M37,Opex_Assumptions!$F$7:$M$7,DK$7)+1)*CY51</f>
        <v>0</v>
      </c>
      <c r="DL51" s="52">
        <f>+(SUMIFS(Opex_Assumptions!$F37:$M37,Opex_Assumptions!$F$7:$M$7,DL$7)+1)*CZ51</f>
        <v>0</v>
      </c>
      <c r="DM51" s="52">
        <f>+(SUMIFS(Opex_Assumptions!$F37:$M37,Opex_Assumptions!$F$7:$M$7,DM$7)+1)*DA51</f>
        <v>0</v>
      </c>
      <c r="DN51" s="52">
        <f>+(SUMIFS(Opex_Assumptions!$F37:$M37,Opex_Assumptions!$F$7:$M$7,DN$7)+1)*DB51</f>
        <v>0</v>
      </c>
      <c r="DO51" s="52">
        <f>+(SUMIFS(Opex_Assumptions!$F37:$M37,Opex_Assumptions!$F$7:$M$7,DO$7)+1)*DC51</f>
        <v>0</v>
      </c>
      <c r="DP51" s="52">
        <f>+(SUMIFS(Opex_Assumptions!$F37:$M37,Opex_Assumptions!$F$7:$M$7,DP$7)+1)*DD51</f>
        <v>0</v>
      </c>
      <c r="DQ51" s="52">
        <f>+(SUMIFS(Opex_Assumptions!$F37:$M37,Opex_Assumptions!$F$7:$M$7,DQ$7)+1)*DE51</f>
        <v>0</v>
      </c>
      <c r="DR51" s="52">
        <f>+(SUMIFS(Opex_Assumptions!$F37:$M37,Opex_Assumptions!$F$7:$M$7,DR$7)+1)*DF51</f>
        <v>0</v>
      </c>
    </row>
    <row r="52" ht="15.75" customHeight="1">
      <c r="B52" s="54" t="s">
        <v>57</v>
      </c>
      <c r="C52" s="54"/>
      <c r="D52" s="54"/>
      <c r="F52" s="55">
        <f t="shared" ref="F52:M52" si="49">+SUMIFS($AA52:$DR52,$AA$7:$DR$7,F$7)</f>
        <v>11138.7309</v>
      </c>
      <c r="G52" s="55">
        <f t="shared" si="49"/>
        <v>10813.60341</v>
      </c>
      <c r="H52" s="55">
        <f t="shared" si="49"/>
        <v>10517.14108</v>
      </c>
      <c r="I52" s="55">
        <f t="shared" si="49"/>
        <v>12169.40777</v>
      </c>
      <c r="J52" s="55">
        <f t="shared" si="49"/>
        <v>12727.53269</v>
      </c>
      <c r="K52" s="55" t="str">
        <f t="shared" si="49"/>
        <v>#DIV/0!</v>
      </c>
      <c r="L52" s="55" t="str">
        <f t="shared" si="49"/>
        <v>#DIV/0!</v>
      </c>
      <c r="M52" s="55" t="str">
        <f t="shared" si="49"/>
        <v>#DIV/0!</v>
      </c>
      <c r="AA52" s="55">
        <f t="shared" ref="AA52:DR52" si="50">SUM(AA44:AA51)</f>
        <v>900.8549751</v>
      </c>
      <c r="AB52" s="55">
        <f t="shared" si="50"/>
        <v>950.0189036</v>
      </c>
      <c r="AC52" s="55">
        <f t="shared" si="50"/>
        <v>875.9442698</v>
      </c>
      <c r="AD52" s="55">
        <f t="shared" si="50"/>
        <v>924.6558528</v>
      </c>
      <c r="AE52" s="55">
        <f t="shared" si="50"/>
        <v>904.6604493</v>
      </c>
      <c r="AF52" s="55">
        <f t="shared" si="50"/>
        <v>885.4685492</v>
      </c>
      <c r="AG52" s="55">
        <f t="shared" si="50"/>
        <v>973.0432497</v>
      </c>
      <c r="AH52" s="55">
        <f t="shared" si="50"/>
        <v>868.2890944</v>
      </c>
      <c r="AI52" s="55">
        <f t="shared" si="50"/>
        <v>1090.916649</v>
      </c>
      <c r="AJ52" s="55">
        <f t="shared" si="50"/>
        <v>894.1922313</v>
      </c>
      <c r="AK52" s="55">
        <f t="shared" si="50"/>
        <v>903.3544868</v>
      </c>
      <c r="AL52" s="55">
        <f t="shared" si="50"/>
        <v>967.332184</v>
      </c>
      <c r="AM52" s="55">
        <f t="shared" si="50"/>
        <v>1078.423445</v>
      </c>
      <c r="AN52" s="55">
        <f t="shared" si="50"/>
        <v>1001.921472</v>
      </c>
      <c r="AO52" s="55">
        <f t="shared" si="50"/>
        <v>941.9293604</v>
      </c>
      <c r="AP52" s="55">
        <f t="shared" si="50"/>
        <v>819.4829859</v>
      </c>
      <c r="AQ52" s="55">
        <f t="shared" si="50"/>
        <v>888.3684819</v>
      </c>
      <c r="AR52" s="55">
        <f t="shared" si="50"/>
        <v>894.9404523</v>
      </c>
      <c r="AS52" s="55">
        <f t="shared" si="50"/>
        <v>879.672278</v>
      </c>
      <c r="AT52" s="55">
        <f t="shared" si="50"/>
        <v>875.051688</v>
      </c>
      <c r="AU52" s="55">
        <f t="shared" si="50"/>
        <v>868.7961385</v>
      </c>
      <c r="AV52" s="55">
        <f t="shared" si="50"/>
        <v>681.8853879</v>
      </c>
      <c r="AW52" s="55">
        <f t="shared" si="50"/>
        <v>927.8167699</v>
      </c>
      <c r="AX52" s="55">
        <f t="shared" si="50"/>
        <v>955.3149487</v>
      </c>
      <c r="AY52" s="55">
        <f t="shared" si="50"/>
        <v>894.3483156</v>
      </c>
      <c r="AZ52" s="55">
        <f t="shared" si="50"/>
        <v>796.4568658</v>
      </c>
      <c r="BA52" s="55">
        <f t="shared" si="50"/>
        <v>799.3945851</v>
      </c>
      <c r="BB52" s="55">
        <f t="shared" si="50"/>
        <v>832.0474333</v>
      </c>
      <c r="BC52" s="55">
        <f t="shared" si="50"/>
        <v>839.743725</v>
      </c>
      <c r="BD52" s="55">
        <f t="shared" si="50"/>
        <v>910.5005324</v>
      </c>
      <c r="BE52" s="55">
        <f t="shared" si="50"/>
        <v>887.9107411</v>
      </c>
      <c r="BF52" s="55">
        <f t="shared" si="50"/>
        <v>891.3227161</v>
      </c>
      <c r="BG52" s="55">
        <f t="shared" si="50"/>
        <v>886.7947589</v>
      </c>
      <c r="BH52" s="55">
        <f t="shared" si="50"/>
        <v>869.9177051</v>
      </c>
      <c r="BI52" s="55">
        <f t="shared" si="50"/>
        <v>932.5797393</v>
      </c>
      <c r="BJ52" s="55">
        <f t="shared" si="50"/>
        <v>976.1239606</v>
      </c>
      <c r="BK52" s="55">
        <f t="shared" si="50"/>
        <v>1025.52011</v>
      </c>
      <c r="BL52" s="55">
        <f t="shared" si="50"/>
        <v>986.9836741</v>
      </c>
      <c r="BM52" s="55">
        <f t="shared" si="50"/>
        <v>977.244089</v>
      </c>
      <c r="BN52" s="55">
        <f t="shared" si="50"/>
        <v>1014.199644</v>
      </c>
      <c r="BO52" s="55">
        <f t="shared" si="50"/>
        <v>1012.211442</v>
      </c>
      <c r="BP52" s="55">
        <f t="shared" si="50"/>
        <v>1001.994028</v>
      </c>
      <c r="BQ52" s="55">
        <f t="shared" si="50"/>
        <v>1011.919457</v>
      </c>
      <c r="BR52" s="55">
        <f t="shared" si="50"/>
        <v>977.0717565</v>
      </c>
      <c r="BS52" s="55">
        <f t="shared" si="50"/>
        <v>1009.948127</v>
      </c>
      <c r="BT52" s="55">
        <f t="shared" si="50"/>
        <v>979.7350607</v>
      </c>
      <c r="BU52" s="55">
        <f t="shared" si="50"/>
        <v>1055.7846</v>
      </c>
      <c r="BV52" s="55">
        <f t="shared" si="50"/>
        <v>1116.795782</v>
      </c>
      <c r="BW52" s="55">
        <f t="shared" si="50"/>
        <v>1013.991089</v>
      </c>
      <c r="BX52" s="55">
        <f t="shared" si="50"/>
        <v>968.3632479</v>
      </c>
      <c r="BY52" s="55">
        <f t="shared" si="50"/>
        <v>946.6880857</v>
      </c>
      <c r="BZ52" s="55">
        <f t="shared" si="50"/>
        <v>998.3150681</v>
      </c>
      <c r="CA52" s="55">
        <f t="shared" si="50"/>
        <v>1043.425134</v>
      </c>
      <c r="CB52" s="55">
        <f t="shared" si="50"/>
        <v>1053.379063</v>
      </c>
      <c r="CC52" s="55">
        <f t="shared" si="50"/>
        <v>1068.538413</v>
      </c>
      <c r="CD52" s="55">
        <f t="shared" si="50"/>
        <v>1060.83821</v>
      </c>
      <c r="CE52" s="55">
        <f t="shared" si="50"/>
        <v>1095.396645</v>
      </c>
      <c r="CF52" s="55">
        <f t="shared" si="50"/>
        <v>1061.463803</v>
      </c>
      <c r="CG52" s="55">
        <f t="shared" si="50"/>
        <v>1175.079436</v>
      </c>
      <c r="CH52" s="55">
        <f t="shared" si="50"/>
        <v>1242.054494</v>
      </c>
      <c r="CI52" s="55" t="str">
        <f t="shared" si="50"/>
        <v>#DIV/0!</v>
      </c>
      <c r="CJ52" s="55" t="str">
        <f t="shared" si="50"/>
        <v>#DIV/0!</v>
      </c>
      <c r="CK52" s="55" t="str">
        <f t="shared" si="50"/>
        <v>#DIV/0!</v>
      </c>
      <c r="CL52" s="55" t="str">
        <f t="shared" si="50"/>
        <v>#DIV/0!</v>
      </c>
      <c r="CM52" s="55" t="str">
        <f t="shared" si="50"/>
        <v>#DIV/0!</v>
      </c>
      <c r="CN52" s="55" t="str">
        <f t="shared" si="50"/>
        <v>#DIV/0!</v>
      </c>
      <c r="CO52" s="55" t="str">
        <f t="shared" si="50"/>
        <v>#DIV/0!</v>
      </c>
      <c r="CP52" s="55" t="str">
        <f t="shared" si="50"/>
        <v>#DIV/0!</v>
      </c>
      <c r="CQ52" s="55" t="str">
        <f t="shared" si="50"/>
        <v>#DIV/0!</v>
      </c>
      <c r="CR52" s="55" t="str">
        <f t="shared" si="50"/>
        <v>#DIV/0!</v>
      </c>
      <c r="CS52" s="55" t="str">
        <f t="shared" si="50"/>
        <v>#DIV/0!</v>
      </c>
      <c r="CT52" s="55" t="str">
        <f t="shared" si="50"/>
        <v>#DIV/0!</v>
      </c>
      <c r="CU52" s="55" t="str">
        <f t="shared" si="50"/>
        <v>#DIV/0!</v>
      </c>
      <c r="CV52" s="55" t="str">
        <f t="shared" si="50"/>
        <v>#DIV/0!</v>
      </c>
      <c r="CW52" s="55" t="str">
        <f t="shared" si="50"/>
        <v>#DIV/0!</v>
      </c>
      <c r="CX52" s="55" t="str">
        <f t="shared" si="50"/>
        <v>#DIV/0!</v>
      </c>
      <c r="CY52" s="55" t="str">
        <f t="shared" si="50"/>
        <v>#DIV/0!</v>
      </c>
      <c r="CZ52" s="55" t="str">
        <f t="shared" si="50"/>
        <v>#DIV/0!</v>
      </c>
      <c r="DA52" s="55" t="str">
        <f t="shared" si="50"/>
        <v>#DIV/0!</v>
      </c>
      <c r="DB52" s="55" t="str">
        <f t="shared" si="50"/>
        <v>#DIV/0!</v>
      </c>
      <c r="DC52" s="55" t="str">
        <f t="shared" si="50"/>
        <v>#DIV/0!</v>
      </c>
      <c r="DD52" s="55" t="str">
        <f t="shared" si="50"/>
        <v>#DIV/0!</v>
      </c>
      <c r="DE52" s="55" t="str">
        <f t="shared" si="50"/>
        <v>#DIV/0!</v>
      </c>
      <c r="DF52" s="55" t="str">
        <f t="shared" si="50"/>
        <v>#DIV/0!</v>
      </c>
      <c r="DG52" s="55" t="str">
        <f t="shared" si="50"/>
        <v>#DIV/0!</v>
      </c>
      <c r="DH52" s="55" t="str">
        <f t="shared" si="50"/>
        <v>#DIV/0!</v>
      </c>
      <c r="DI52" s="55" t="str">
        <f t="shared" si="50"/>
        <v>#DIV/0!</v>
      </c>
      <c r="DJ52" s="55" t="str">
        <f t="shared" si="50"/>
        <v>#DIV/0!</v>
      </c>
      <c r="DK52" s="55" t="str">
        <f t="shared" si="50"/>
        <v>#DIV/0!</v>
      </c>
      <c r="DL52" s="55" t="str">
        <f t="shared" si="50"/>
        <v>#DIV/0!</v>
      </c>
      <c r="DM52" s="55" t="str">
        <f t="shared" si="50"/>
        <v>#DIV/0!</v>
      </c>
      <c r="DN52" s="55" t="str">
        <f t="shared" si="50"/>
        <v>#DIV/0!</v>
      </c>
      <c r="DO52" s="55" t="str">
        <f t="shared" si="50"/>
        <v>#DIV/0!</v>
      </c>
      <c r="DP52" s="55" t="str">
        <f t="shared" si="50"/>
        <v>#DIV/0!</v>
      </c>
      <c r="DQ52" s="55" t="str">
        <f t="shared" si="50"/>
        <v>#DIV/0!</v>
      </c>
      <c r="DR52" s="55" t="str">
        <f t="shared" si="50"/>
        <v>#DIV/0!</v>
      </c>
    </row>
    <row r="53" ht="4.5" customHeight="1"/>
    <row r="54" ht="15.0" customHeight="1">
      <c r="B54" s="47" t="s">
        <v>173</v>
      </c>
    </row>
    <row r="55" ht="15.75" customHeight="1">
      <c r="B55" s="5" t="s">
        <v>58</v>
      </c>
      <c r="F55" s="50">
        <f t="shared" ref="F55:M55" si="51">+SUMIFS($AA55:$DR55,$AA$7:$DR$7,F$7)</f>
        <v>87.7501548</v>
      </c>
      <c r="G55" s="50">
        <f t="shared" si="51"/>
        <v>171.9276393</v>
      </c>
      <c r="H55" s="50">
        <f t="shared" si="51"/>
        <v>619.7552216</v>
      </c>
      <c r="I55" s="50">
        <f t="shared" si="51"/>
        <v>0</v>
      </c>
      <c r="J55" s="50">
        <f t="shared" si="51"/>
        <v>0</v>
      </c>
      <c r="K55" s="50">
        <f t="shared" si="51"/>
        <v>0</v>
      </c>
      <c r="L55" s="50">
        <f t="shared" si="51"/>
        <v>0</v>
      </c>
      <c r="M55" s="50">
        <f t="shared" si="51"/>
        <v>0</v>
      </c>
      <c r="AA55" s="51">
        <v>54.2264079</v>
      </c>
      <c r="AB55" s="51">
        <v>3.3184179000000045</v>
      </c>
      <c r="AC55" s="51">
        <v>46.6136279</v>
      </c>
      <c r="AD55" s="51">
        <v>2.757087899999992</v>
      </c>
      <c r="AE55" s="51">
        <v>30.8307379</v>
      </c>
      <c r="AF55" s="51">
        <v>11.3508879</v>
      </c>
      <c r="AG55" s="51">
        <v>35.872717900000005</v>
      </c>
      <c r="AH55" s="51">
        <v>20.71499789999997</v>
      </c>
      <c r="AI55" s="51">
        <v>39.21924790000002</v>
      </c>
      <c r="AJ55" s="51">
        <v>3.0419778999999947</v>
      </c>
      <c r="AK55" s="51">
        <v>60.17740790000003</v>
      </c>
      <c r="AL55" s="51">
        <v>-220.3733621</v>
      </c>
      <c r="AM55" s="51">
        <v>17.973513840000006</v>
      </c>
      <c r="AN55" s="51">
        <v>25.82085384</v>
      </c>
      <c r="AO55" s="51">
        <v>23.481673839999992</v>
      </c>
      <c r="AP55" s="51">
        <v>8.540167680000012</v>
      </c>
      <c r="AQ55" s="51">
        <v>3.155557680000003</v>
      </c>
      <c r="AR55" s="51">
        <v>21.765477680000007</v>
      </c>
      <c r="AS55" s="51">
        <v>-22.27014579999997</v>
      </c>
      <c r="AT55" s="51">
        <v>21.7004142</v>
      </c>
      <c r="AU55" s="51">
        <v>23.2023742</v>
      </c>
      <c r="AV55" s="51">
        <v>34.16273072000001</v>
      </c>
      <c r="AW55" s="51">
        <v>28.484690719999985</v>
      </c>
      <c r="AX55" s="51">
        <v>-14.089669279999725</v>
      </c>
      <c r="AY55" s="51">
        <v>33.53318618</v>
      </c>
      <c r="AZ55" s="51">
        <v>30.73096653999998</v>
      </c>
      <c r="BA55" s="51">
        <v>38.463090099999995</v>
      </c>
      <c r="BB55" s="51">
        <v>33.70924010000001</v>
      </c>
      <c r="BC55" s="51">
        <v>42.07664009999999</v>
      </c>
      <c r="BD55" s="51">
        <v>18.8366101</v>
      </c>
      <c r="BE55" s="51">
        <v>27.92847262000001</v>
      </c>
      <c r="BF55" s="51">
        <v>38.73796057999998</v>
      </c>
      <c r="BG55" s="51">
        <v>36.137945040000005</v>
      </c>
      <c r="BH55" s="51">
        <v>27.92692008000001</v>
      </c>
      <c r="BI55" s="51">
        <v>29.066230079999983</v>
      </c>
      <c r="BJ55" s="51">
        <v>262.60796008</v>
      </c>
      <c r="BK55" s="52">
        <f>+SUMIFS(Opex_Assumptions!$F40:$M40,Opex_Assumptions!$F$7:$M$7,BK$7)/12</f>
        <v>0</v>
      </c>
      <c r="BL55" s="52">
        <f>+SUMIFS(Opex_Assumptions!$F40:$M40,Opex_Assumptions!$F$7:$M$7,BL$7)/12</f>
        <v>0</v>
      </c>
      <c r="BM55" s="52">
        <f>+SUMIFS(Opex_Assumptions!$F40:$M40,Opex_Assumptions!$F$7:$M$7,BM$7)/12</f>
        <v>0</v>
      </c>
      <c r="BN55" s="52">
        <f>+SUMIFS(Opex_Assumptions!$F40:$M40,Opex_Assumptions!$F$7:$M$7,BN$7)/12</f>
        <v>0</v>
      </c>
      <c r="BO55" s="52">
        <f>+SUMIFS(Opex_Assumptions!$F40:$M40,Opex_Assumptions!$F$7:$M$7,BO$7)/12</f>
        <v>0</v>
      </c>
      <c r="BP55" s="52">
        <f>+SUMIFS(Opex_Assumptions!$F40:$M40,Opex_Assumptions!$F$7:$M$7,BP$7)/12</f>
        <v>0</v>
      </c>
      <c r="BQ55" s="52">
        <f>+SUMIFS(Opex_Assumptions!$F40:$M40,Opex_Assumptions!$F$7:$M$7,BQ$7)/12</f>
        <v>0</v>
      </c>
      <c r="BR55" s="52">
        <f>+SUMIFS(Opex_Assumptions!$F40:$M40,Opex_Assumptions!$F$7:$M$7,BR$7)/12</f>
        <v>0</v>
      </c>
      <c r="BS55" s="52">
        <f>+SUMIFS(Opex_Assumptions!$F40:$M40,Opex_Assumptions!$F$7:$M$7,BS$7)/12</f>
        <v>0</v>
      </c>
      <c r="BT55" s="52">
        <f>+SUMIFS(Opex_Assumptions!$F40:$M40,Opex_Assumptions!$F$7:$M$7,BT$7)/12</f>
        <v>0</v>
      </c>
      <c r="BU55" s="52">
        <f>+SUMIFS(Opex_Assumptions!$F40:$M40,Opex_Assumptions!$F$7:$M$7,BU$7)/12</f>
        <v>0</v>
      </c>
      <c r="BV55" s="52">
        <f>+SUMIFS(Opex_Assumptions!$F40:$M40,Opex_Assumptions!$F$7:$M$7,BV$7)/12</f>
        <v>0</v>
      </c>
      <c r="BW55" s="52">
        <f>+SUMIFS(Opex_Assumptions!$F40:$M40,Opex_Assumptions!$F$7:$M$7,BW$7)/12</f>
        <v>0</v>
      </c>
      <c r="BX55" s="52">
        <f>+SUMIFS(Opex_Assumptions!$F40:$M40,Opex_Assumptions!$F$7:$M$7,BX$7)/12</f>
        <v>0</v>
      </c>
      <c r="BY55" s="52">
        <f>+SUMIFS(Opex_Assumptions!$F40:$M40,Opex_Assumptions!$F$7:$M$7,BY$7)/12</f>
        <v>0</v>
      </c>
      <c r="BZ55" s="52">
        <f>+SUMIFS(Opex_Assumptions!$F40:$M40,Opex_Assumptions!$F$7:$M$7,BZ$7)/12</f>
        <v>0</v>
      </c>
      <c r="CA55" s="52">
        <f>+SUMIFS(Opex_Assumptions!$F40:$M40,Opex_Assumptions!$F$7:$M$7,CA$7)/12</f>
        <v>0</v>
      </c>
      <c r="CB55" s="52">
        <f>+SUMIFS(Opex_Assumptions!$F40:$M40,Opex_Assumptions!$F$7:$M$7,CB$7)/12</f>
        <v>0</v>
      </c>
      <c r="CC55" s="52">
        <f>+SUMIFS(Opex_Assumptions!$F40:$M40,Opex_Assumptions!$F$7:$M$7,CC$7)/12</f>
        <v>0</v>
      </c>
      <c r="CD55" s="52">
        <f>+SUMIFS(Opex_Assumptions!$F40:$M40,Opex_Assumptions!$F$7:$M$7,CD$7)/12</f>
        <v>0</v>
      </c>
      <c r="CE55" s="52">
        <f>+SUMIFS(Opex_Assumptions!$F40:$M40,Opex_Assumptions!$F$7:$M$7,CE$7)/12</f>
        <v>0</v>
      </c>
      <c r="CF55" s="52">
        <f>+SUMIFS(Opex_Assumptions!$F40:$M40,Opex_Assumptions!$F$7:$M$7,CF$7)/12</f>
        <v>0</v>
      </c>
      <c r="CG55" s="52">
        <f>+SUMIFS(Opex_Assumptions!$F40:$M40,Opex_Assumptions!$F$7:$M$7,CG$7)/12</f>
        <v>0</v>
      </c>
      <c r="CH55" s="52">
        <f>+SUMIFS(Opex_Assumptions!$F40:$M40,Opex_Assumptions!$F$7:$M$7,CH$7)/12</f>
        <v>0</v>
      </c>
      <c r="CI55" s="52">
        <f>+SUMIFS(Opex_Assumptions!$F40:$M40,Opex_Assumptions!$F$7:$M$7,CI$7)/12</f>
        <v>0</v>
      </c>
      <c r="CJ55" s="52">
        <f>+SUMIFS(Opex_Assumptions!$F40:$M40,Opex_Assumptions!$F$7:$M$7,CJ$7)/12</f>
        <v>0</v>
      </c>
      <c r="CK55" s="52">
        <f>+SUMIFS(Opex_Assumptions!$F40:$M40,Opex_Assumptions!$F$7:$M$7,CK$7)/12</f>
        <v>0</v>
      </c>
      <c r="CL55" s="52">
        <f>+SUMIFS(Opex_Assumptions!$F40:$M40,Opex_Assumptions!$F$7:$M$7,CL$7)/12</f>
        <v>0</v>
      </c>
      <c r="CM55" s="52">
        <f>+SUMIFS(Opex_Assumptions!$F40:$M40,Opex_Assumptions!$F$7:$M$7,CM$7)/12</f>
        <v>0</v>
      </c>
      <c r="CN55" s="52">
        <f>+SUMIFS(Opex_Assumptions!$F40:$M40,Opex_Assumptions!$F$7:$M$7,CN$7)/12</f>
        <v>0</v>
      </c>
      <c r="CO55" s="52">
        <f>+SUMIFS(Opex_Assumptions!$F40:$M40,Opex_Assumptions!$F$7:$M$7,CO$7)/12</f>
        <v>0</v>
      </c>
      <c r="CP55" s="52">
        <f>+SUMIFS(Opex_Assumptions!$F40:$M40,Opex_Assumptions!$F$7:$M$7,CP$7)/12</f>
        <v>0</v>
      </c>
      <c r="CQ55" s="52">
        <f>+SUMIFS(Opex_Assumptions!$F40:$M40,Opex_Assumptions!$F$7:$M$7,CQ$7)/12</f>
        <v>0</v>
      </c>
      <c r="CR55" s="52">
        <f>+SUMIFS(Opex_Assumptions!$F40:$M40,Opex_Assumptions!$F$7:$M$7,CR$7)/12</f>
        <v>0</v>
      </c>
      <c r="CS55" s="52">
        <f>+SUMIFS(Opex_Assumptions!$F40:$M40,Opex_Assumptions!$F$7:$M$7,CS$7)/12</f>
        <v>0</v>
      </c>
      <c r="CT55" s="52">
        <f>+SUMIFS(Opex_Assumptions!$F40:$M40,Opex_Assumptions!$F$7:$M$7,CT$7)/12</f>
        <v>0</v>
      </c>
      <c r="CU55" s="52">
        <f>+SUMIFS(Opex_Assumptions!$F40:$M40,Opex_Assumptions!$F$7:$M$7,CU$7)/12</f>
        <v>0</v>
      </c>
      <c r="CV55" s="52">
        <f>+SUMIFS(Opex_Assumptions!$F40:$M40,Opex_Assumptions!$F$7:$M$7,CV$7)/12</f>
        <v>0</v>
      </c>
      <c r="CW55" s="52">
        <f>+SUMIFS(Opex_Assumptions!$F40:$M40,Opex_Assumptions!$F$7:$M$7,CW$7)/12</f>
        <v>0</v>
      </c>
      <c r="CX55" s="52">
        <f>+SUMIFS(Opex_Assumptions!$F40:$M40,Opex_Assumptions!$F$7:$M$7,CX$7)/12</f>
        <v>0</v>
      </c>
      <c r="CY55" s="52">
        <f>+SUMIFS(Opex_Assumptions!$F40:$M40,Opex_Assumptions!$F$7:$M$7,CY$7)/12</f>
        <v>0</v>
      </c>
      <c r="CZ55" s="52">
        <f>+SUMIFS(Opex_Assumptions!$F40:$M40,Opex_Assumptions!$F$7:$M$7,CZ$7)/12</f>
        <v>0</v>
      </c>
      <c r="DA55" s="52">
        <f>+SUMIFS(Opex_Assumptions!$F40:$M40,Opex_Assumptions!$F$7:$M$7,DA$7)/12</f>
        <v>0</v>
      </c>
      <c r="DB55" s="52">
        <f>+SUMIFS(Opex_Assumptions!$F40:$M40,Opex_Assumptions!$F$7:$M$7,DB$7)/12</f>
        <v>0</v>
      </c>
      <c r="DC55" s="52">
        <f>+SUMIFS(Opex_Assumptions!$F40:$M40,Opex_Assumptions!$F$7:$M$7,DC$7)/12</f>
        <v>0</v>
      </c>
      <c r="DD55" s="52">
        <f>+SUMIFS(Opex_Assumptions!$F40:$M40,Opex_Assumptions!$F$7:$M$7,DD$7)/12</f>
        <v>0</v>
      </c>
      <c r="DE55" s="52">
        <f>+SUMIFS(Opex_Assumptions!$F40:$M40,Opex_Assumptions!$F$7:$M$7,DE$7)/12</f>
        <v>0</v>
      </c>
      <c r="DF55" s="52">
        <f>+SUMIFS(Opex_Assumptions!$F40:$M40,Opex_Assumptions!$F$7:$M$7,DF$7)/12</f>
        <v>0</v>
      </c>
      <c r="DG55" s="52">
        <f>+SUMIFS(Opex_Assumptions!$F40:$M40,Opex_Assumptions!$F$7:$M$7,DG$7)/12</f>
        <v>0</v>
      </c>
      <c r="DH55" s="52">
        <f>+SUMIFS(Opex_Assumptions!$F40:$M40,Opex_Assumptions!$F$7:$M$7,DH$7)/12</f>
        <v>0</v>
      </c>
      <c r="DI55" s="52">
        <f>+SUMIFS(Opex_Assumptions!$F40:$M40,Opex_Assumptions!$F$7:$M$7,DI$7)/12</f>
        <v>0</v>
      </c>
      <c r="DJ55" s="52">
        <f>+SUMIFS(Opex_Assumptions!$F40:$M40,Opex_Assumptions!$F$7:$M$7,DJ$7)/12</f>
        <v>0</v>
      </c>
      <c r="DK55" s="52">
        <f>+SUMIFS(Opex_Assumptions!$F40:$M40,Opex_Assumptions!$F$7:$M$7,DK$7)/12</f>
        <v>0</v>
      </c>
      <c r="DL55" s="52">
        <f>+SUMIFS(Opex_Assumptions!$F40:$M40,Opex_Assumptions!$F$7:$M$7,DL$7)/12</f>
        <v>0</v>
      </c>
      <c r="DM55" s="52">
        <f>+SUMIFS(Opex_Assumptions!$F40:$M40,Opex_Assumptions!$F$7:$M$7,DM$7)/12</f>
        <v>0</v>
      </c>
      <c r="DN55" s="52">
        <f>+SUMIFS(Opex_Assumptions!$F40:$M40,Opex_Assumptions!$F$7:$M$7,DN$7)/12</f>
        <v>0</v>
      </c>
      <c r="DO55" s="52">
        <f>+SUMIFS(Opex_Assumptions!$F40:$M40,Opex_Assumptions!$F$7:$M$7,DO$7)/12</f>
        <v>0</v>
      </c>
      <c r="DP55" s="52">
        <f>+SUMIFS(Opex_Assumptions!$F40:$M40,Opex_Assumptions!$F$7:$M$7,DP$7)/12</f>
        <v>0</v>
      </c>
      <c r="DQ55" s="52">
        <f>+SUMIFS(Opex_Assumptions!$F40:$M40,Opex_Assumptions!$F$7:$M$7,DQ$7)/12</f>
        <v>0</v>
      </c>
      <c r="DR55" s="52">
        <f>+SUMIFS(Opex_Assumptions!$F40:$M40,Opex_Assumptions!$F$7:$M$7,DR$7)/12</f>
        <v>0</v>
      </c>
    </row>
    <row r="56" ht="15.75" customHeight="1">
      <c r="B56" s="5" t="s">
        <v>66</v>
      </c>
      <c r="F56" s="50">
        <f t="shared" ref="F56:M56" si="52">+SUMIFS($AA56:$DR56,$AA$7:$DR$7,F$7)</f>
        <v>647.5987198</v>
      </c>
      <c r="G56" s="50">
        <f t="shared" si="52"/>
        <v>737.118315</v>
      </c>
      <c r="H56" s="50">
        <f t="shared" si="52"/>
        <v>761.2871693</v>
      </c>
      <c r="I56" s="50">
        <f t="shared" si="52"/>
        <v>0</v>
      </c>
      <c r="J56" s="50">
        <f t="shared" si="52"/>
        <v>1100</v>
      </c>
      <c r="K56" s="50">
        <f t="shared" si="52"/>
        <v>1265</v>
      </c>
      <c r="L56" s="50">
        <f t="shared" si="52"/>
        <v>1454.75</v>
      </c>
      <c r="M56" s="50">
        <f t="shared" si="52"/>
        <v>1672.9625</v>
      </c>
      <c r="AA56" s="51">
        <v>46.893360473859545</v>
      </c>
      <c r="AB56" s="51">
        <v>50.69620980151429</v>
      </c>
      <c r="AC56" s="51">
        <v>74.86045577335635</v>
      </c>
      <c r="AD56" s="51">
        <v>65.99562377732809</v>
      </c>
      <c r="AE56" s="51">
        <v>58.54941842813237</v>
      </c>
      <c r="AF56" s="51">
        <v>65.45095869338115</v>
      </c>
      <c r="AG56" s="51">
        <v>49.27466283846963</v>
      </c>
      <c r="AH56" s="51">
        <v>53.72047743285368</v>
      </c>
      <c r="AI56" s="51">
        <v>44.83690871845884</v>
      </c>
      <c r="AJ56" s="51">
        <v>45.44994073230672</v>
      </c>
      <c r="AK56" s="51">
        <v>53.11617665645229</v>
      </c>
      <c r="AL56" s="51">
        <v>38.754526500034366</v>
      </c>
      <c r="AM56" s="51">
        <v>19.28316645972274</v>
      </c>
      <c r="AN56" s="51">
        <v>57.259444389358606</v>
      </c>
      <c r="AO56" s="51">
        <v>46.46294731321108</v>
      </c>
      <c r="AP56" s="51">
        <v>36.784895565145426</v>
      </c>
      <c r="AQ56" s="51">
        <v>26.956095000454006</v>
      </c>
      <c r="AR56" s="51">
        <v>59.607771192865975</v>
      </c>
      <c r="AS56" s="51">
        <v>51.722498539168285</v>
      </c>
      <c r="AT56" s="51">
        <v>83.05356896370515</v>
      </c>
      <c r="AU56" s="51">
        <v>102.00856370088448</v>
      </c>
      <c r="AV56" s="51">
        <v>89.18476293491892</v>
      </c>
      <c r="AW56" s="51">
        <v>81.91021605428722</v>
      </c>
      <c r="AX56" s="51">
        <v>82.88438485753694</v>
      </c>
      <c r="AY56" s="51">
        <v>89.93270317784467</v>
      </c>
      <c r="AZ56" s="51">
        <v>81.992826422868</v>
      </c>
      <c r="BA56" s="51">
        <v>65.14768758571357</v>
      </c>
      <c r="BB56" s="51">
        <v>77.07592449217435</v>
      </c>
      <c r="BC56" s="51">
        <v>66.16632394936467</v>
      </c>
      <c r="BD56" s="51">
        <v>90.31581314502029</v>
      </c>
      <c r="BE56" s="51">
        <v>61.10629868440756</v>
      </c>
      <c r="BF56" s="51">
        <v>54.90430820375185</v>
      </c>
      <c r="BG56" s="51">
        <v>43.68390949794698</v>
      </c>
      <c r="BH56" s="51">
        <v>49.37536798047877</v>
      </c>
      <c r="BI56" s="51">
        <v>49.2960450914452</v>
      </c>
      <c r="BJ56" s="51">
        <v>32.28996102796704</v>
      </c>
      <c r="BK56" s="52">
        <f>+SUMIFS(Opex_Assumptions!$F41:$M41,Opex_Assumptions!$F$7:$M$7,BK$7)/12</f>
        <v>0</v>
      </c>
      <c r="BL56" s="52">
        <f>+SUMIFS(Opex_Assumptions!$F41:$M41,Opex_Assumptions!$F$7:$M$7,BL$7)/12</f>
        <v>0</v>
      </c>
      <c r="BM56" s="52">
        <f>+SUMIFS(Opex_Assumptions!$F41:$M41,Opex_Assumptions!$F$7:$M$7,BM$7)/12</f>
        <v>0</v>
      </c>
      <c r="BN56" s="52">
        <f>+SUMIFS(Opex_Assumptions!$F41:$M41,Opex_Assumptions!$F$7:$M$7,BN$7)/12</f>
        <v>0</v>
      </c>
      <c r="BO56" s="52">
        <f>+SUMIFS(Opex_Assumptions!$F41:$M41,Opex_Assumptions!$F$7:$M$7,BO$7)/12</f>
        <v>0</v>
      </c>
      <c r="BP56" s="52">
        <f>+SUMIFS(Opex_Assumptions!$F41:$M41,Opex_Assumptions!$F$7:$M$7,BP$7)/12</f>
        <v>0</v>
      </c>
      <c r="BQ56" s="52">
        <f>+SUMIFS(Opex_Assumptions!$F41:$M41,Opex_Assumptions!$F$7:$M$7,BQ$7)/12</f>
        <v>0</v>
      </c>
      <c r="BR56" s="52">
        <f>+SUMIFS(Opex_Assumptions!$F41:$M41,Opex_Assumptions!$F$7:$M$7,BR$7)/12</f>
        <v>0</v>
      </c>
      <c r="BS56" s="52">
        <f>+SUMIFS(Opex_Assumptions!$F41:$M41,Opex_Assumptions!$F$7:$M$7,BS$7)/12</f>
        <v>0</v>
      </c>
      <c r="BT56" s="52">
        <f>+SUMIFS(Opex_Assumptions!$F41:$M41,Opex_Assumptions!$F$7:$M$7,BT$7)/12</f>
        <v>0</v>
      </c>
      <c r="BU56" s="52">
        <f>+SUMIFS(Opex_Assumptions!$F41:$M41,Opex_Assumptions!$F$7:$M$7,BU$7)/12</f>
        <v>0</v>
      </c>
      <c r="BV56" s="52">
        <f>+SUMIFS(Opex_Assumptions!$F41:$M41,Opex_Assumptions!$F$7:$M$7,BV$7)/12</f>
        <v>0</v>
      </c>
      <c r="BW56" s="52">
        <f>+SUMIFS(Opex_Assumptions!$F41:$M41,Opex_Assumptions!$F$7:$M$7,BW$7)/12</f>
        <v>91.66666667</v>
      </c>
      <c r="BX56" s="52">
        <f>+SUMIFS(Opex_Assumptions!$F41:$M41,Opex_Assumptions!$F$7:$M$7,BX$7)/12</f>
        <v>91.66666667</v>
      </c>
      <c r="BY56" s="52">
        <f>+SUMIFS(Opex_Assumptions!$F41:$M41,Opex_Assumptions!$F$7:$M$7,BY$7)/12</f>
        <v>91.66666667</v>
      </c>
      <c r="BZ56" s="52">
        <f>+SUMIFS(Opex_Assumptions!$F41:$M41,Opex_Assumptions!$F$7:$M$7,BZ$7)/12</f>
        <v>91.66666667</v>
      </c>
      <c r="CA56" s="52">
        <f>+SUMIFS(Opex_Assumptions!$F41:$M41,Opex_Assumptions!$F$7:$M$7,CA$7)/12</f>
        <v>91.66666667</v>
      </c>
      <c r="CB56" s="52">
        <f>+SUMIFS(Opex_Assumptions!$F41:$M41,Opex_Assumptions!$F$7:$M$7,CB$7)/12</f>
        <v>91.66666667</v>
      </c>
      <c r="CC56" s="52">
        <f>+SUMIFS(Opex_Assumptions!$F41:$M41,Opex_Assumptions!$F$7:$M$7,CC$7)/12</f>
        <v>91.66666667</v>
      </c>
      <c r="CD56" s="52">
        <f>+SUMIFS(Opex_Assumptions!$F41:$M41,Opex_Assumptions!$F$7:$M$7,CD$7)/12</f>
        <v>91.66666667</v>
      </c>
      <c r="CE56" s="52">
        <f>+SUMIFS(Opex_Assumptions!$F41:$M41,Opex_Assumptions!$F$7:$M$7,CE$7)/12</f>
        <v>91.66666667</v>
      </c>
      <c r="CF56" s="52">
        <f>+SUMIFS(Opex_Assumptions!$F41:$M41,Opex_Assumptions!$F$7:$M$7,CF$7)/12</f>
        <v>91.66666667</v>
      </c>
      <c r="CG56" s="52">
        <f>+SUMIFS(Opex_Assumptions!$F41:$M41,Opex_Assumptions!$F$7:$M$7,CG$7)/12</f>
        <v>91.66666667</v>
      </c>
      <c r="CH56" s="52">
        <f>+SUMIFS(Opex_Assumptions!$F41:$M41,Opex_Assumptions!$F$7:$M$7,CH$7)/12</f>
        <v>91.66666667</v>
      </c>
      <c r="CI56" s="52">
        <f>+SUMIFS(Opex_Assumptions!$F41:$M41,Opex_Assumptions!$F$7:$M$7,CI$7)/12</f>
        <v>105.4166667</v>
      </c>
      <c r="CJ56" s="52">
        <f>+SUMIFS(Opex_Assumptions!$F41:$M41,Opex_Assumptions!$F$7:$M$7,CJ$7)/12</f>
        <v>105.4166667</v>
      </c>
      <c r="CK56" s="52">
        <f>+SUMIFS(Opex_Assumptions!$F41:$M41,Opex_Assumptions!$F$7:$M$7,CK$7)/12</f>
        <v>105.4166667</v>
      </c>
      <c r="CL56" s="52">
        <f>+SUMIFS(Opex_Assumptions!$F41:$M41,Opex_Assumptions!$F$7:$M$7,CL$7)/12</f>
        <v>105.4166667</v>
      </c>
      <c r="CM56" s="52">
        <f>+SUMIFS(Opex_Assumptions!$F41:$M41,Opex_Assumptions!$F$7:$M$7,CM$7)/12</f>
        <v>105.4166667</v>
      </c>
      <c r="CN56" s="52">
        <f>+SUMIFS(Opex_Assumptions!$F41:$M41,Opex_Assumptions!$F$7:$M$7,CN$7)/12</f>
        <v>105.4166667</v>
      </c>
      <c r="CO56" s="52">
        <f>+SUMIFS(Opex_Assumptions!$F41:$M41,Opex_Assumptions!$F$7:$M$7,CO$7)/12</f>
        <v>105.4166667</v>
      </c>
      <c r="CP56" s="52">
        <f>+SUMIFS(Opex_Assumptions!$F41:$M41,Opex_Assumptions!$F$7:$M$7,CP$7)/12</f>
        <v>105.4166667</v>
      </c>
      <c r="CQ56" s="52">
        <f>+SUMIFS(Opex_Assumptions!$F41:$M41,Opex_Assumptions!$F$7:$M$7,CQ$7)/12</f>
        <v>105.4166667</v>
      </c>
      <c r="CR56" s="52">
        <f>+SUMIFS(Opex_Assumptions!$F41:$M41,Opex_Assumptions!$F$7:$M$7,CR$7)/12</f>
        <v>105.4166667</v>
      </c>
      <c r="CS56" s="52">
        <f>+SUMIFS(Opex_Assumptions!$F41:$M41,Opex_Assumptions!$F$7:$M$7,CS$7)/12</f>
        <v>105.4166667</v>
      </c>
      <c r="CT56" s="52">
        <f>+SUMIFS(Opex_Assumptions!$F41:$M41,Opex_Assumptions!$F$7:$M$7,CT$7)/12</f>
        <v>105.4166667</v>
      </c>
      <c r="CU56" s="52">
        <f>+SUMIFS(Opex_Assumptions!$F41:$M41,Opex_Assumptions!$F$7:$M$7,CU$7)/12</f>
        <v>121.2291667</v>
      </c>
      <c r="CV56" s="52">
        <f>+SUMIFS(Opex_Assumptions!$F41:$M41,Opex_Assumptions!$F$7:$M$7,CV$7)/12</f>
        <v>121.2291667</v>
      </c>
      <c r="CW56" s="52">
        <f>+SUMIFS(Opex_Assumptions!$F41:$M41,Opex_Assumptions!$F$7:$M$7,CW$7)/12</f>
        <v>121.2291667</v>
      </c>
      <c r="CX56" s="52">
        <f>+SUMIFS(Opex_Assumptions!$F41:$M41,Opex_Assumptions!$F$7:$M$7,CX$7)/12</f>
        <v>121.2291667</v>
      </c>
      <c r="CY56" s="52">
        <f>+SUMIFS(Opex_Assumptions!$F41:$M41,Opex_Assumptions!$F$7:$M$7,CY$7)/12</f>
        <v>121.2291667</v>
      </c>
      <c r="CZ56" s="52">
        <f>+SUMIFS(Opex_Assumptions!$F41:$M41,Opex_Assumptions!$F$7:$M$7,CZ$7)/12</f>
        <v>121.2291667</v>
      </c>
      <c r="DA56" s="52">
        <f>+SUMIFS(Opex_Assumptions!$F41:$M41,Opex_Assumptions!$F$7:$M$7,DA$7)/12</f>
        <v>121.2291667</v>
      </c>
      <c r="DB56" s="52">
        <f>+SUMIFS(Opex_Assumptions!$F41:$M41,Opex_Assumptions!$F$7:$M$7,DB$7)/12</f>
        <v>121.2291667</v>
      </c>
      <c r="DC56" s="52">
        <f>+SUMIFS(Opex_Assumptions!$F41:$M41,Opex_Assumptions!$F$7:$M$7,DC$7)/12</f>
        <v>121.2291667</v>
      </c>
      <c r="DD56" s="52">
        <f>+SUMIFS(Opex_Assumptions!$F41:$M41,Opex_Assumptions!$F$7:$M$7,DD$7)/12</f>
        <v>121.2291667</v>
      </c>
      <c r="DE56" s="52">
        <f>+SUMIFS(Opex_Assumptions!$F41:$M41,Opex_Assumptions!$F$7:$M$7,DE$7)/12</f>
        <v>121.2291667</v>
      </c>
      <c r="DF56" s="52">
        <f>+SUMIFS(Opex_Assumptions!$F41:$M41,Opex_Assumptions!$F$7:$M$7,DF$7)/12</f>
        <v>121.2291667</v>
      </c>
      <c r="DG56" s="52">
        <f>+SUMIFS(Opex_Assumptions!$F41:$M41,Opex_Assumptions!$F$7:$M$7,DG$7)/12</f>
        <v>139.4135417</v>
      </c>
      <c r="DH56" s="52">
        <f>+SUMIFS(Opex_Assumptions!$F41:$M41,Opex_Assumptions!$F$7:$M$7,DH$7)/12</f>
        <v>139.4135417</v>
      </c>
      <c r="DI56" s="52">
        <f>+SUMIFS(Opex_Assumptions!$F41:$M41,Opex_Assumptions!$F$7:$M$7,DI$7)/12</f>
        <v>139.4135417</v>
      </c>
      <c r="DJ56" s="52">
        <f>+SUMIFS(Opex_Assumptions!$F41:$M41,Opex_Assumptions!$F$7:$M$7,DJ$7)/12</f>
        <v>139.4135417</v>
      </c>
      <c r="DK56" s="52">
        <f>+SUMIFS(Opex_Assumptions!$F41:$M41,Opex_Assumptions!$F$7:$M$7,DK$7)/12</f>
        <v>139.4135417</v>
      </c>
      <c r="DL56" s="52">
        <f>+SUMIFS(Opex_Assumptions!$F41:$M41,Opex_Assumptions!$F$7:$M$7,DL$7)/12</f>
        <v>139.4135417</v>
      </c>
      <c r="DM56" s="52">
        <f>+SUMIFS(Opex_Assumptions!$F41:$M41,Opex_Assumptions!$F$7:$M$7,DM$7)/12</f>
        <v>139.4135417</v>
      </c>
      <c r="DN56" s="52">
        <f>+SUMIFS(Opex_Assumptions!$F41:$M41,Opex_Assumptions!$F$7:$M$7,DN$7)/12</f>
        <v>139.4135417</v>
      </c>
      <c r="DO56" s="52">
        <f>+SUMIFS(Opex_Assumptions!$F41:$M41,Opex_Assumptions!$F$7:$M$7,DO$7)/12</f>
        <v>139.4135417</v>
      </c>
      <c r="DP56" s="52">
        <f>+SUMIFS(Opex_Assumptions!$F41:$M41,Opex_Assumptions!$F$7:$M$7,DP$7)/12</f>
        <v>139.4135417</v>
      </c>
      <c r="DQ56" s="52">
        <f>+SUMIFS(Opex_Assumptions!$F41:$M41,Opex_Assumptions!$F$7:$M$7,DQ$7)/12</f>
        <v>139.4135417</v>
      </c>
      <c r="DR56" s="52">
        <f>+SUMIFS(Opex_Assumptions!$F41:$M41,Opex_Assumptions!$F$7:$M$7,DR$7)/12</f>
        <v>139.4135417</v>
      </c>
    </row>
    <row r="57" ht="15.75" customHeight="1"/>
    <row r="58" ht="15.75" customHeight="1">
      <c r="B58" s="70" t="s">
        <v>174</v>
      </c>
      <c r="I58" s="50"/>
    </row>
    <row r="59" ht="15.75" customHeight="1">
      <c r="I59" s="73"/>
      <c r="AA59" s="50"/>
      <c r="AB59" s="50"/>
      <c r="AC59" s="50"/>
    </row>
    <row r="60" ht="15.75" customHeight="1">
      <c r="AA60" s="50"/>
      <c r="AB60" s="50"/>
      <c r="AC60" s="50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36.14"/>
    <col customWidth="1" min="3" max="3" width="10.57"/>
    <col customWidth="1" min="4" max="4" width="2.57"/>
    <col customWidth="1" hidden="1" min="5" max="13" width="12.57"/>
    <col customWidth="1" hidden="1" min="14" max="14" width="2.57"/>
    <col customWidth="1" hidden="1" min="15" max="65" width="12.57"/>
    <col customWidth="1" hidden="1" min="66" max="68" width="2.57"/>
    <col customWidth="1" min="69" max="122" width="12.57"/>
    <col customWidth="1" min="123" max="123" width="2.57"/>
    <col customWidth="1" min="124" max="125" width="12.57"/>
  </cols>
  <sheetData>
    <row r="2">
      <c r="B2" s="31" t="s">
        <v>31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134"/>
      <c r="DT2" s="134"/>
      <c r="DU2" s="134"/>
    </row>
    <row r="3">
      <c r="B3" s="32" t="str">
        <f t="array" ref="B3">MID(CELL("filename",A1),FIND("]",CELL("filename",A1))+1,255)</f>
        <v>#VALUE!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134"/>
      <c r="DT3" s="134"/>
      <c r="DU3" s="134"/>
    </row>
    <row r="4">
      <c r="B4" s="32" t="s">
        <v>32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134"/>
      <c r="DT4" s="134"/>
      <c r="DU4" s="134"/>
    </row>
    <row r="5">
      <c r="B5" s="33" t="s">
        <v>33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134"/>
      <c r="DT5" s="134"/>
      <c r="DU5" s="134"/>
    </row>
    <row r="6" ht="4.5" customHeight="1"/>
    <row r="7">
      <c r="B7" s="34"/>
      <c r="C7" s="34"/>
      <c r="D7" s="70"/>
      <c r="E7" s="36">
        <v>2018.0</v>
      </c>
      <c r="F7" s="36">
        <f t="shared" ref="F7:M7" si="1">+E7+1</f>
        <v>2019</v>
      </c>
      <c r="G7" s="36">
        <f t="shared" si="1"/>
        <v>2020</v>
      </c>
      <c r="H7" s="36">
        <f t="shared" si="1"/>
        <v>2021</v>
      </c>
      <c r="I7" s="36">
        <f t="shared" si="1"/>
        <v>2022</v>
      </c>
      <c r="J7" s="36">
        <f t="shared" si="1"/>
        <v>2023</v>
      </c>
      <c r="K7" s="36">
        <f t="shared" si="1"/>
        <v>2024</v>
      </c>
      <c r="L7" s="36">
        <f t="shared" si="1"/>
        <v>2025</v>
      </c>
      <c r="M7" s="36">
        <f t="shared" si="1"/>
        <v>2026</v>
      </c>
      <c r="O7" s="36">
        <f t="shared" ref="O7:DR7" si="2">+YEAR(O8)</f>
        <v>2018</v>
      </c>
      <c r="P7" s="36">
        <f t="shared" si="2"/>
        <v>2018</v>
      </c>
      <c r="Q7" s="36">
        <f t="shared" si="2"/>
        <v>2018</v>
      </c>
      <c r="R7" s="36">
        <f t="shared" si="2"/>
        <v>2018</v>
      </c>
      <c r="S7" s="36">
        <f t="shared" si="2"/>
        <v>2018</v>
      </c>
      <c r="T7" s="36">
        <f t="shared" si="2"/>
        <v>2018</v>
      </c>
      <c r="U7" s="36">
        <f t="shared" si="2"/>
        <v>2018</v>
      </c>
      <c r="V7" s="36">
        <f t="shared" si="2"/>
        <v>2018</v>
      </c>
      <c r="W7" s="36">
        <f t="shared" si="2"/>
        <v>2018</v>
      </c>
      <c r="X7" s="36">
        <f t="shared" si="2"/>
        <v>2018</v>
      </c>
      <c r="Y7" s="36">
        <f t="shared" si="2"/>
        <v>2018</v>
      </c>
      <c r="Z7" s="36">
        <f t="shared" si="2"/>
        <v>2018</v>
      </c>
      <c r="AA7" s="36">
        <f t="shared" si="2"/>
        <v>2019</v>
      </c>
      <c r="AB7" s="36">
        <f t="shared" si="2"/>
        <v>2019</v>
      </c>
      <c r="AC7" s="36">
        <f t="shared" si="2"/>
        <v>2019</v>
      </c>
      <c r="AD7" s="36">
        <f t="shared" si="2"/>
        <v>2019</v>
      </c>
      <c r="AE7" s="36">
        <f t="shared" si="2"/>
        <v>2019</v>
      </c>
      <c r="AF7" s="36">
        <f t="shared" si="2"/>
        <v>2019</v>
      </c>
      <c r="AG7" s="36">
        <f t="shared" si="2"/>
        <v>2019</v>
      </c>
      <c r="AH7" s="36">
        <f t="shared" si="2"/>
        <v>2019</v>
      </c>
      <c r="AI7" s="36">
        <f t="shared" si="2"/>
        <v>2019</v>
      </c>
      <c r="AJ7" s="36">
        <f t="shared" si="2"/>
        <v>2019</v>
      </c>
      <c r="AK7" s="36">
        <f t="shared" si="2"/>
        <v>2019</v>
      </c>
      <c r="AL7" s="36">
        <f t="shared" si="2"/>
        <v>2019</v>
      </c>
      <c r="AM7" s="36">
        <f t="shared" si="2"/>
        <v>2020</v>
      </c>
      <c r="AN7" s="36">
        <f t="shared" si="2"/>
        <v>2020</v>
      </c>
      <c r="AO7" s="36">
        <f t="shared" si="2"/>
        <v>2020</v>
      </c>
      <c r="AP7" s="36">
        <f t="shared" si="2"/>
        <v>2020</v>
      </c>
      <c r="AQ7" s="36">
        <f t="shared" si="2"/>
        <v>2020</v>
      </c>
      <c r="AR7" s="36">
        <f t="shared" si="2"/>
        <v>2020</v>
      </c>
      <c r="AS7" s="36">
        <f t="shared" si="2"/>
        <v>2020</v>
      </c>
      <c r="AT7" s="36">
        <f t="shared" si="2"/>
        <v>2020</v>
      </c>
      <c r="AU7" s="36">
        <f t="shared" si="2"/>
        <v>2020</v>
      </c>
      <c r="AV7" s="36">
        <f t="shared" si="2"/>
        <v>2020</v>
      </c>
      <c r="AW7" s="36">
        <f t="shared" si="2"/>
        <v>2020</v>
      </c>
      <c r="AX7" s="36">
        <f t="shared" si="2"/>
        <v>2020</v>
      </c>
      <c r="AY7" s="36">
        <f t="shared" si="2"/>
        <v>2021</v>
      </c>
      <c r="AZ7" s="36">
        <f t="shared" si="2"/>
        <v>2021</v>
      </c>
      <c r="BA7" s="36">
        <f t="shared" si="2"/>
        <v>2021</v>
      </c>
      <c r="BB7" s="36">
        <f t="shared" si="2"/>
        <v>2021</v>
      </c>
      <c r="BC7" s="36">
        <f t="shared" si="2"/>
        <v>2021</v>
      </c>
      <c r="BD7" s="36">
        <f t="shared" si="2"/>
        <v>2021</v>
      </c>
      <c r="BE7" s="36">
        <f t="shared" si="2"/>
        <v>2021</v>
      </c>
      <c r="BF7" s="36">
        <f t="shared" si="2"/>
        <v>2021</v>
      </c>
      <c r="BG7" s="36">
        <f t="shared" si="2"/>
        <v>2021</v>
      </c>
      <c r="BH7" s="36">
        <f t="shared" si="2"/>
        <v>2021</v>
      </c>
      <c r="BI7" s="36">
        <f t="shared" si="2"/>
        <v>2021</v>
      </c>
      <c r="BJ7" s="36">
        <f t="shared" si="2"/>
        <v>2021</v>
      </c>
      <c r="BK7" s="36">
        <f t="shared" si="2"/>
        <v>2022</v>
      </c>
      <c r="BL7" s="36">
        <f t="shared" si="2"/>
        <v>2022</v>
      </c>
      <c r="BM7" s="36">
        <f t="shared" si="2"/>
        <v>2022</v>
      </c>
      <c r="BN7" s="36">
        <f t="shared" si="2"/>
        <v>2022</v>
      </c>
      <c r="BO7" s="36">
        <f t="shared" si="2"/>
        <v>2022</v>
      </c>
      <c r="BP7" s="36">
        <f t="shared" si="2"/>
        <v>2022</v>
      </c>
      <c r="BQ7" s="36">
        <f t="shared" si="2"/>
        <v>2022</v>
      </c>
      <c r="BR7" s="36">
        <f t="shared" si="2"/>
        <v>2022</v>
      </c>
      <c r="BS7" s="36">
        <f t="shared" si="2"/>
        <v>2022</v>
      </c>
      <c r="BT7" s="36">
        <f t="shared" si="2"/>
        <v>2022</v>
      </c>
      <c r="BU7" s="36">
        <f t="shared" si="2"/>
        <v>2022</v>
      </c>
      <c r="BV7" s="36">
        <f t="shared" si="2"/>
        <v>2022</v>
      </c>
      <c r="BW7" s="36">
        <f t="shared" si="2"/>
        <v>2023</v>
      </c>
      <c r="BX7" s="36">
        <f t="shared" si="2"/>
        <v>2023</v>
      </c>
      <c r="BY7" s="36">
        <f t="shared" si="2"/>
        <v>2023</v>
      </c>
      <c r="BZ7" s="36">
        <f t="shared" si="2"/>
        <v>2023</v>
      </c>
      <c r="CA7" s="36">
        <f t="shared" si="2"/>
        <v>2023</v>
      </c>
      <c r="CB7" s="36">
        <f t="shared" si="2"/>
        <v>2023</v>
      </c>
      <c r="CC7" s="36">
        <f t="shared" si="2"/>
        <v>2023</v>
      </c>
      <c r="CD7" s="36">
        <f t="shared" si="2"/>
        <v>2023</v>
      </c>
      <c r="CE7" s="36">
        <f t="shared" si="2"/>
        <v>2023</v>
      </c>
      <c r="CF7" s="36">
        <f t="shared" si="2"/>
        <v>2023</v>
      </c>
      <c r="CG7" s="36">
        <f t="shared" si="2"/>
        <v>2023</v>
      </c>
      <c r="CH7" s="36">
        <f t="shared" si="2"/>
        <v>2023</v>
      </c>
      <c r="CI7" s="36">
        <f t="shared" si="2"/>
        <v>2024</v>
      </c>
      <c r="CJ7" s="36">
        <f t="shared" si="2"/>
        <v>2024</v>
      </c>
      <c r="CK7" s="36">
        <f t="shared" si="2"/>
        <v>2024</v>
      </c>
      <c r="CL7" s="36">
        <f t="shared" si="2"/>
        <v>2024</v>
      </c>
      <c r="CM7" s="36">
        <f t="shared" si="2"/>
        <v>2024</v>
      </c>
      <c r="CN7" s="36">
        <f t="shared" si="2"/>
        <v>2024</v>
      </c>
      <c r="CO7" s="36">
        <f t="shared" si="2"/>
        <v>2024</v>
      </c>
      <c r="CP7" s="36">
        <f t="shared" si="2"/>
        <v>2024</v>
      </c>
      <c r="CQ7" s="36">
        <f t="shared" si="2"/>
        <v>2024</v>
      </c>
      <c r="CR7" s="36">
        <f t="shared" si="2"/>
        <v>2024</v>
      </c>
      <c r="CS7" s="36">
        <f t="shared" si="2"/>
        <v>2024</v>
      </c>
      <c r="CT7" s="36">
        <f t="shared" si="2"/>
        <v>2024</v>
      </c>
      <c r="CU7" s="36">
        <f t="shared" si="2"/>
        <v>2025</v>
      </c>
      <c r="CV7" s="36">
        <f t="shared" si="2"/>
        <v>2025</v>
      </c>
      <c r="CW7" s="36">
        <f t="shared" si="2"/>
        <v>2025</v>
      </c>
      <c r="CX7" s="36">
        <f t="shared" si="2"/>
        <v>2025</v>
      </c>
      <c r="CY7" s="36">
        <f t="shared" si="2"/>
        <v>2025</v>
      </c>
      <c r="CZ7" s="36">
        <f t="shared" si="2"/>
        <v>2025</v>
      </c>
      <c r="DA7" s="36">
        <f t="shared" si="2"/>
        <v>2025</v>
      </c>
      <c r="DB7" s="36">
        <f t="shared" si="2"/>
        <v>2025</v>
      </c>
      <c r="DC7" s="36">
        <f t="shared" si="2"/>
        <v>2025</v>
      </c>
      <c r="DD7" s="36">
        <f t="shared" si="2"/>
        <v>2025</v>
      </c>
      <c r="DE7" s="36">
        <f t="shared" si="2"/>
        <v>2025</v>
      </c>
      <c r="DF7" s="36">
        <f t="shared" si="2"/>
        <v>2025</v>
      </c>
      <c r="DG7" s="36">
        <f t="shared" si="2"/>
        <v>2026</v>
      </c>
      <c r="DH7" s="36">
        <f t="shared" si="2"/>
        <v>2026</v>
      </c>
      <c r="DI7" s="36">
        <f t="shared" si="2"/>
        <v>2026</v>
      </c>
      <c r="DJ7" s="36">
        <f t="shared" si="2"/>
        <v>2026</v>
      </c>
      <c r="DK7" s="36">
        <f t="shared" si="2"/>
        <v>2026</v>
      </c>
      <c r="DL7" s="36">
        <f t="shared" si="2"/>
        <v>2026</v>
      </c>
      <c r="DM7" s="36">
        <f t="shared" si="2"/>
        <v>2026</v>
      </c>
      <c r="DN7" s="36">
        <f t="shared" si="2"/>
        <v>2026</v>
      </c>
      <c r="DO7" s="36">
        <f t="shared" si="2"/>
        <v>2026</v>
      </c>
      <c r="DP7" s="36">
        <f t="shared" si="2"/>
        <v>2026</v>
      </c>
      <c r="DQ7" s="36">
        <f t="shared" si="2"/>
        <v>2026</v>
      </c>
      <c r="DR7" s="36">
        <f t="shared" si="2"/>
        <v>2026</v>
      </c>
    </row>
    <row r="8">
      <c r="B8" s="34"/>
      <c r="C8" s="34"/>
      <c r="D8" s="70"/>
      <c r="E8" s="42">
        <f t="shared" ref="E8:M8" si="3">+DATE(E7,12,31)</f>
        <v>43465</v>
      </c>
      <c r="F8" s="42">
        <f t="shared" si="3"/>
        <v>43830</v>
      </c>
      <c r="G8" s="42">
        <f t="shared" si="3"/>
        <v>44196</v>
      </c>
      <c r="H8" s="42">
        <f t="shared" si="3"/>
        <v>44561</v>
      </c>
      <c r="I8" s="42">
        <f t="shared" si="3"/>
        <v>44926</v>
      </c>
      <c r="J8" s="42">
        <f t="shared" si="3"/>
        <v>45291</v>
      </c>
      <c r="K8" s="42">
        <f t="shared" si="3"/>
        <v>45657</v>
      </c>
      <c r="L8" s="42">
        <f t="shared" si="3"/>
        <v>46022</v>
      </c>
      <c r="M8" s="42">
        <f t="shared" si="3"/>
        <v>46387</v>
      </c>
      <c r="O8" s="42">
        <v>43131.0</v>
      </c>
      <c r="P8" s="42">
        <f t="shared" ref="P8:DR8" si="4">+EOMONTH(O8,1)</f>
        <v>43159</v>
      </c>
      <c r="Q8" s="42">
        <f t="shared" si="4"/>
        <v>43190</v>
      </c>
      <c r="R8" s="42">
        <f t="shared" si="4"/>
        <v>43220</v>
      </c>
      <c r="S8" s="42">
        <f t="shared" si="4"/>
        <v>43251</v>
      </c>
      <c r="T8" s="42">
        <f t="shared" si="4"/>
        <v>43281</v>
      </c>
      <c r="U8" s="42">
        <f t="shared" si="4"/>
        <v>43312</v>
      </c>
      <c r="V8" s="42">
        <f t="shared" si="4"/>
        <v>43343</v>
      </c>
      <c r="W8" s="42">
        <f t="shared" si="4"/>
        <v>43373</v>
      </c>
      <c r="X8" s="42">
        <f t="shared" si="4"/>
        <v>43404</v>
      </c>
      <c r="Y8" s="42">
        <f t="shared" si="4"/>
        <v>43434</v>
      </c>
      <c r="Z8" s="42">
        <f t="shared" si="4"/>
        <v>43465</v>
      </c>
      <c r="AA8" s="42">
        <f t="shared" si="4"/>
        <v>43496</v>
      </c>
      <c r="AB8" s="42">
        <f t="shared" si="4"/>
        <v>43524</v>
      </c>
      <c r="AC8" s="42">
        <f t="shared" si="4"/>
        <v>43555</v>
      </c>
      <c r="AD8" s="42">
        <f t="shared" si="4"/>
        <v>43585</v>
      </c>
      <c r="AE8" s="42">
        <f t="shared" si="4"/>
        <v>43616</v>
      </c>
      <c r="AF8" s="42">
        <f t="shared" si="4"/>
        <v>43646</v>
      </c>
      <c r="AG8" s="42">
        <f t="shared" si="4"/>
        <v>43677</v>
      </c>
      <c r="AH8" s="42">
        <f t="shared" si="4"/>
        <v>43708</v>
      </c>
      <c r="AI8" s="42">
        <f t="shared" si="4"/>
        <v>43738</v>
      </c>
      <c r="AJ8" s="42">
        <f t="shared" si="4"/>
        <v>43769</v>
      </c>
      <c r="AK8" s="42">
        <f t="shared" si="4"/>
        <v>43799</v>
      </c>
      <c r="AL8" s="42">
        <f t="shared" si="4"/>
        <v>43830</v>
      </c>
      <c r="AM8" s="42">
        <f t="shared" si="4"/>
        <v>43861</v>
      </c>
      <c r="AN8" s="42">
        <f t="shared" si="4"/>
        <v>43890</v>
      </c>
      <c r="AO8" s="42">
        <f t="shared" si="4"/>
        <v>43921</v>
      </c>
      <c r="AP8" s="42">
        <f t="shared" si="4"/>
        <v>43951</v>
      </c>
      <c r="AQ8" s="42">
        <f t="shared" si="4"/>
        <v>43982</v>
      </c>
      <c r="AR8" s="42">
        <f t="shared" si="4"/>
        <v>44012</v>
      </c>
      <c r="AS8" s="42">
        <f t="shared" si="4"/>
        <v>44043</v>
      </c>
      <c r="AT8" s="42">
        <f t="shared" si="4"/>
        <v>44074</v>
      </c>
      <c r="AU8" s="42">
        <f t="shared" si="4"/>
        <v>44104</v>
      </c>
      <c r="AV8" s="42">
        <f t="shared" si="4"/>
        <v>44135</v>
      </c>
      <c r="AW8" s="42">
        <f t="shared" si="4"/>
        <v>44165</v>
      </c>
      <c r="AX8" s="42">
        <f t="shared" si="4"/>
        <v>44196</v>
      </c>
      <c r="AY8" s="42">
        <f t="shared" si="4"/>
        <v>44227</v>
      </c>
      <c r="AZ8" s="42">
        <f t="shared" si="4"/>
        <v>44255</v>
      </c>
      <c r="BA8" s="42">
        <f t="shared" si="4"/>
        <v>44286</v>
      </c>
      <c r="BB8" s="42">
        <f t="shared" si="4"/>
        <v>44316</v>
      </c>
      <c r="BC8" s="42">
        <f t="shared" si="4"/>
        <v>44347</v>
      </c>
      <c r="BD8" s="42">
        <f t="shared" si="4"/>
        <v>44377</v>
      </c>
      <c r="BE8" s="42">
        <f t="shared" si="4"/>
        <v>44408</v>
      </c>
      <c r="BF8" s="42">
        <f t="shared" si="4"/>
        <v>44439</v>
      </c>
      <c r="BG8" s="42">
        <f t="shared" si="4"/>
        <v>44469</v>
      </c>
      <c r="BH8" s="42">
        <f t="shared" si="4"/>
        <v>44500</v>
      </c>
      <c r="BI8" s="42">
        <f t="shared" si="4"/>
        <v>44530</v>
      </c>
      <c r="BJ8" s="42">
        <f t="shared" si="4"/>
        <v>44561</v>
      </c>
      <c r="BK8" s="42">
        <f t="shared" si="4"/>
        <v>44592</v>
      </c>
      <c r="BL8" s="42">
        <f t="shared" si="4"/>
        <v>44620</v>
      </c>
      <c r="BM8" s="42">
        <f t="shared" si="4"/>
        <v>44651</v>
      </c>
      <c r="BN8" s="42">
        <f t="shared" si="4"/>
        <v>44681</v>
      </c>
      <c r="BO8" s="42">
        <f t="shared" si="4"/>
        <v>44712</v>
      </c>
      <c r="BP8" s="42">
        <f t="shared" si="4"/>
        <v>44742</v>
      </c>
      <c r="BQ8" s="42">
        <f t="shared" si="4"/>
        <v>44773</v>
      </c>
      <c r="BR8" s="42">
        <f t="shared" si="4"/>
        <v>44804</v>
      </c>
      <c r="BS8" s="42">
        <f t="shared" si="4"/>
        <v>44834</v>
      </c>
      <c r="BT8" s="42">
        <f t="shared" si="4"/>
        <v>44865</v>
      </c>
      <c r="BU8" s="42">
        <f t="shared" si="4"/>
        <v>44895</v>
      </c>
      <c r="BV8" s="42">
        <f t="shared" si="4"/>
        <v>44926</v>
      </c>
      <c r="BW8" s="42">
        <f t="shared" si="4"/>
        <v>44957</v>
      </c>
      <c r="BX8" s="42">
        <f t="shared" si="4"/>
        <v>44985</v>
      </c>
      <c r="BY8" s="42">
        <f t="shared" si="4"/>
        <v>45016</v>
      </c>
      <c r="BZ8" s="42">
        <f t="shared" si="4"/>
        <v>45046</v>
      </c>
      <c r="CA8" s="42">
        <f t="shared" si="4"/>
        <v>45077</v>
      </c>
      <c r="CB8" s="42">
        <f t="shared" si="4"/>
        <v>45107</v>
      </c>
      <c r="CC8" s="42">
        <f t="shared" si="4"/>
        <v>45138</v>
      </c>
      <c r="CD8" s="42">
        <f t="shared" si="4"/>
        <v>45169</v>
      </c>
      <c r="CE8" s="42">
        <f t="shared" si="4"/>
        <v>45199</v>
      </c>
      <c r="CF8" s="42">
        <f t="shared" si="4"/>
        <v>45230</v>
      </c>
      <c r="CG8" s="42">
        <f t="shared" si="4"/>
        <v>45260</v>
      </c>
      <c r="CH8" s="42">
        <f t="shared" si="4"/>
        <v>45291</v>
      </c>
      <c r="CI8" s="42">
        <f t="shared" si="4"/>
        <v>45322</v>
      </c>
      <c r="CJ8" s="42">
        <f t="shared" si="4"/>
        <v>45351</v>
      </c>
      <c r="CK8" s="42">
        <f t="shared" si="4"/>
        <v>45382</v>
      </c>
      <c r="CL8" s="42">
        <f t="shared" si="4"/>
        <v>45412</v>
      </c>
      <c r="CM8" s="42">
        <f t="shared" si="4"/>
        <v>45443</v>
      </c>
      <c r="CN8" s="42">
        <f t="shared" si="4"/>
        <v>45473</v>
      </c>
      <c r="CO8" s="42">
        <f t="shared" si="4"/>
        <v>45504</v>
      </c>
      <c r="CP8" s="42">
        <f t="shared" si="4"/>
        <v>45535</v>
      </c>
      <c r="CQ8" s="42">
        <f t="shared" si="4"/>
        <v>45565</v>
      </c>
      <c r="CR8" s="42">
        <f t="shared" si="4"/>
        <v>45596</v>
      </c>
      <c r="CS8" s="42">
        <f t="shared" si="4"/>
        <v>45626</v>
      </c>
      <c r="CT8" s="42">
        <f t="shared" si="4"/>
        <v>45657</v>
      </c>
      <c r="CU8" s="42">
        <f t="shared" si="4"/>
        <v>45688</v>
      </c>
      <c r="CV8" s="42">
        <f t="shared" si="4"/>
        <v>45716</v>
      </c>
      <c r="CW8" s="42">
        <f t="shared" si="4"/>
        <v>45747</v>
      </c>
      <c r="CX8" s="42">
        <f t="shared" si="4"/>
        <v>45777</v>
      </c>
      <c r="CY8" s="42">
        <f t="shared" si="4"/>
        <v>45808</v>
      </c>
      <c r="CZ8" s="42">
        <f t="shared" si="4"/>
        <v>45838</v>
      </c>
      <c r="DA8" s="42">
        <f t="shared" si="4"/>
        <v>45869</v>
      </c>
      <c r="DB8" s="42">
        <f t="shared" si="4"/>
        <v>45900</v>
      </c>
      <c r="DC8" s="42">
        <f t="shared" si="4"/>
        <v>45930</v>
      </c>
      <c r="DD8" s="42">
        <f t="shared" si="4"/>
        <v>45961</v>
      </c>
      <c r="DE8" s="42">
        <f t="shared" si="4"/>
        <v>45991</v>
      </c>
      <c r="DF8" s="42">
        <f t="shared" si="4"/>
        <v>46022</v>
      </c>
      <c r="DG8" s="42">
        <f t="shared" si="4"/>
        <v>46053</v>
      </c>
      <c r="DH8" s="42">
        <f t="shared" si="4"/>
        <v>46081</v>
      </c>
      <c r="DI8" s="42">
        <f t="shared" si="4"/>
        <v>46112</v>
      </c>
      <c r="DJ8" s="42">
        <f t="shared" si="4"/>
        <v>46142</v>
      </c>
      <c r="DK8" s="42">
        <f t="shared" si="4"/>
        <v>46173</v>
      </c>
      <c r="DL8" s="42">
        <f t="shared" si="4"/>
        <v>46203</v>
      </c>
      <c r="DM8" s="42">
        <f t="shared" si="4"/>
        <v>46234</v>
      </c>
      <c r="DN8" s="42">
        <f t="shared" si="4"/>
        <v>46265</v>
      </c>
      <c r="DO8" s="42">
        <f t="shared" si="4"/>
        <v>46295</v>
      </c>
      <c r="DP8" s="42">
        <f t="shared" si="4"/>
        <v>46326</v>
      </c>
      <c r="DQ8" s="42">
        <f t="shared" si="4"/>
        <v>46356</v>
      </c>
      <c r="DR8" s="42">
        <f t="shared" si="4"/>
        <v>46387</v>
      </c>
    </row>
    <row r="9">
      <c r="B9" s="34" t="s">
        <v>35</v>
      </c>
      <c r="C9" s="34"/>
      <c r="D9" s="70"/>
      <c r="E9" s="45" t="s">
        <v>36</v>
      </c>
      <c r="F9" s="45" t="s">
        <v>36</v>
      </c>
      <c r="G9" s="45" t="s">
        <v>36</v>
      </c>
      <c r="H9" s="45" t="s">
        <v>36</v>
      </c>
      <c r="I9" s="45" t="s">
        <v>37</v>
      </c>
      <c r="J9" s="45" t="s">
        <v>38</v>
      </c>
      <c r="K9" s="45" t="s">
        <v>38</v>
      </c>
      <c r="L9" s="45" t="s">
        <v>38</v>
      </c>
      <c r="M9" s="45" t="s">
        <v>38</v>
      </c>
      <c r="O9" s="45" t="s">
        <v>36</v>
      </c>
      <c r="P9" s="45" t="s">
        <v>36</v>
      </c>
      <c r="Q9" s="45" t="s">
        <v>36</v>
      </c>
      <c r="R9" s="45" t="s">
        <v>36</v>
      </c>
      <c r="S9" s="45" t="s">
        <v>36</v>
      </c>
      <c r="T9" s="45" t="s">
        <v>36</v>
      </c>
      <c r="U9" s="45" t="s">
        <v>36</v>
      </c>
      <c r="V9" s="45" t="s">
        <v>36</v>
      </c>
      <c r="W9" s="45" t="s">
        <v>36</v>
      </c>
      <c r="X9" s="45" t="s">
        <v>36</v>
      </c>
      <c r="Y9" s="45" t="s">
        <v>36</v>
      </c>
      <c r="Z9" s="45" t="s">
        <v>36</v>
      </c>
      <c r="AA9" s="45" t="s">
        <v>36</v>
      </c>
      <c r="AB9" s="45" t="s">
        <v>36</v>
      </c>
      <c r="AC9" s="45" t="s">
        <v>36</v>
      </c>
      <c r="AD9" s="45" t="s">
        <v>36</v>
      </c>
      <c r="AE9" s="45" t="s">
        <v>36</v>
      </c>
      <c r="AF9" s="45" t="s">
        <v>36</v>
      </c>
      <c r="AG9" s="45" t="s">
        <v>36</v>
      </c>
      <c r="AH9" s="45" t="s">
        <v>36</v>
      </c>
      <c r="AI9" s="45" t="s">
        <v>36</v>
      </c>
      <c r="AJ9" s="45" t="s">
        <v>36</v>
      </c>
      <c r="AK9" s="45" t="s">
        <v>36</v>
      </c>
      <c r="AL9" s="45" t="s">
        <v>36</v>
      </c>
      <c r="AM9" s="45" t="s">
        <v>36</v>
      </c>
      <c r="AN9" s="45" t="s">
        <v>36</v>
      </c>
      <c r="AO9" s="45" t="s">
        <v>36</v>
      </c>
      <c r="AP9" s="45" t="s">
        <v>36</v>
      </c>
      <c r="AQ9" s="45" t="s">
        <v>36</v>
      </c>
      <c r="AR9" s="45" t="s">
        <v>36</v>
      </c>
      <c r="AS9" s="45" t="s">
        <v>36</v>
      </c>
      <c r="AT9" s="45" t="s">
        <v>36</v>
      </c>
      <c r="AU9" s="45" t="s">
        <v>36</v>
      </c>
      <c r="AV9" s="45" t="s">
        <v>36</v>
      </c>
      <c r="AW9" s="45" t="s">
        <v>36</v>
      </c>
      <c r="AX9" s="45" t="s">
        <v>36</v>
      </c>
      <c r="AY9" s="45" t="s">
        <v>36</v>
      </c>
      <c r="AZ9" s="45" t="s">
        <v>36</v>
      </c>
      <c r="BA9" s="45" t="s">
        <v>36</v>
      </c>
      <c r="BB9" s="45" t="s">
        <v>36</v>
      </c>
      <c r="BC9" s="45" t="s">
        <v>36</v>
      </c>
      <c r="BD9" s="45" t="s">
        <v>36</v>
      </c>
      <c r="BE9" s="45" t="s">
        <v>36</v>
      </c>
      <c r="BF9" s="45" t="s">
        <v>36</v>
      </c>
      <c r="BG9" s="45" t="s">
        <v>36</v>
      </c>
      <c r="BH9" s="45" t="s">
        <v>36</v>
      </c>
      <c r="BI9" s="45" t="s">
        <v>36</v>
      </c>
      <c r="BJ9" s="45" t="s">
        <v>36</v>
      </c>
      <c r="BK9" s="45" t="s">
        <v>37</v>
      </c>
      <c r="BL9" s="45" t="s">
        <v>37</v>
      </c>
      <c r="BM9" s="45" t="s">
        <v>37</v>
      </c>
      <c r="BN9" s="45" t="s">
        <v>37</v>
      </c>
      <c r="BO9" s="45" t="s">
        <v>37</v>
      </c>
      <c r="BP9" s="45" t="s">
        <v>37</v>
      </c>
      <c r="BQ9" s="45" t="s">
        <v>37</v>
      </c>
      <c r="BR9" s="45" t="s">
        <v>37</v>
      </c>
      <c r="BS9" s="45" t="s">
        <v>37</v>
      </c>
      <c r="BT9" s="45" t="s">
        <v>37</v>
      </c>
      <c r="BU9" s="45" t="s">
        <v>37</v>
      </c>
      <c r="BV9" s="45" t="s">
        <v>37</v>
      </c>
      <c r="BW9" s="45" t="s">
        <v>38</v>
      </c>
      <c r="BX9" s="45" t="s">
        <v>38</v>
      </c>
      <c r="BY9" s="45" t="s">
        <v>38</v>
      </c>
      <c r="BZ9" s="45" t="s">
        <v>38</v>
      </c>
      <c r="CA9" s="45" t="s">
        <v>38</v>
      </c>
      <c r="CB9" s="45" t="s">
        <v>38</v>
      </c>
      <c r="CC9" s="45" t="s">
        <v>38</v>
      </c>
      <c r="CD9" s="45" t="s">
        <v>38</v>
      </c>
      <c r="CE9" s="45" t="s">
        <v>38</v>
      </c>
      <c r="CF9" s="45" t="s">
        <v>38</v>
      </c>
      <c r="CG9" s="45" t="s">
        <v>38</v>
      </c>
      <c r="CH9" s="45" t="s">
        <v>38</v>
      </c>
      <c r="CI9" s="45" t="s">
        <v>38</v>
      </c>
      <c r="CJ9" s="45" t="s">
        <v>38</v>
      </c>
      <c r="CK9" s="45" t="s">
        <v>38</v>
      </c>
      <c r="CL9" s="45" t="s">
        <v>38</v>
      </c>
      <c r="CM9" s="45" t="s">
        <v>38</v>
      </c>
      <c r="CN9" s="45" t="s">
        <v>38</v>
      </c>
      <c r="CO9" s="45" t="s">
        <v>38</v>
      </c>
      <c r="CP9" s="45" t="s">
        <v>38</v>
      </c>
      <c r="CQ9" s="45" t="s">
        <v>38</v>
      </c>
      <c r="CR9" s="45" t="s">
        <v>38</v>
      </c>
      <c r="CS9" s="45" t="s">
        <v>38</v>
      </c>
      <c r="CT9" s="45" t="s">
        <v>38</v>
      </c>
      <c r="CU9" s="45" t="s">
        <v>38</v>
      </c>
      <c r="CV9" s="45" t="s">
        <v>38</v>
      </c>
      <c r="CW9" s="45" t="s">
        <v>38</v>
      </c>
      <c r="CX9" s="45" t="s">
        <v>38</v>
      </c>
      <c r="CY9" s="45" t="s">
        <v>38</v>
      </c>
      <c r="CZ9" s="45" t="s">
        <v>38</v>
      </c>
      <c r="DA9" s="45" t="s">
        <v>38</v>
      </c>
      <c r="DB9" s="45" t="s">
        <v>38</v>
      </c>
      <c r="DC9" s="45" t="s">
        <v>38</v>
      </c>
      <c r="DD9" s="45" t="s">
        <v>38</v>
      </c>
      <c r="DE9" s="45" t="s">
        <v>38</v>
      </c>
      <c r="DF9" s="45" t="s">
        <v>38</v>
      </c>
      <c r="DG9" s="45" t="s">
        <v>38</v>
      </c>
      <c r="DH9" s="45" t="s">
        <v>38</v>
      </c>
      <c r="DI9" s="45" t="s">
        <v>38</v>
      </c>
      <c r="DJ9" s="45" t="s">
        <v>38</v>
      </c>
      <c r="DK9" s="45" t="s">
        <v>38</v>
      </c>
      <c r="DL9" s="45" t="s">
        <v>38</v>
      </c>
      <c r="DM9" s="45" t="s">
        <v>38</v>
      </c>
      <c r="DN9" s="45" t="s">
        <v>38</v>
      </c>
      <c r="DO9" s="45" t="s">
        <v>38</v>
      </c>
      <c r="DP9" s="45" t="s">
        <v>38</v>
      </c>
      <c r="DQ9" s="45" t="s">
        <v>38</v>
      </c>
      <c r="DR9" s="45" t="s">
        <v>38</v>
      </c>
    </row>
    <row r="10" ht="4.5" customHeight="1"/>
    <row r="11">
      <c r="B11" s="135" t="s">
        <v>175</v>
      </c>
      <c r="C11" s="136">
        <v>10.0</v>
      </c>
    </row>
    <row r="12">
      <c r="B12" s="137" t="s">
        <v>176</v>
      </c>
      <c r="C12" s="138">
        <v>8.0</v>
      </c>
    </row>
    <row r="13">
      <c r="B13" s="137" t="s">
        <v>177</v>
      </c>
      <c r="C13" s="138">
        <v>6.0</v>
      </c>
    </row>
    <row r="14">
      <c r="B14" s="139" t="s">
        <v>178</v>
      </c>
      <c r="C14" s="140">
        <v>4.0</v>
      </c>
    </row>
    <row r="15" ht="4.5" customHeight="1"/>
    <row r="16">
      <c r="B16" s="5" t="s">
        <v>179</v>
      </c>
      <c r="BN16" s="141">
        <f t="shared" ref="BN16:DR16" si="5">+EOMONTH(BN$8,$C11)</f>
        <v>44985</v>
      </c>
      <c r="BO16" s="141">
        <f t="shared" si="5"/>
        <v>45016</v>
      </c>
      <c r="BP16" s="141">
        <f t="shared" si="5"/>
        <v>45046</v>
      </c>
      <c r="BQ16" s="141">
        <f t="shared" si="5"/>
        <v>45077</v>
      </c>
      <c r="BR16" s="141">
        <f t="shared" si="5"/>
        <v>45107</v>
      </c>
      <c r="BS16" s="141">
        <f t="shared" si="5"/>
        <v>45138</v>
      </c>
      <c r="BT16" s="141">
        <f t="shared" si="5"/>
        <v>45169</v>
      </c>
      <c r="BU16" s="141">
        <f t="shared" si="5"/>
        <v>45199</v>
      </c>
      <c r="BV16" s="141">
        <f t="shared" si="5"/>
        <v>45230</v>
      </c>
      <c r="BW16" s="141">
        <f t="shared" si="5"/>
        <v>45260</v>
      </c>
      <c r="BX16" s="141">
        <f t="shared" si="5"/>
        <v>45291</v>
      </c>
      <c r="BY16" s="141">
        <f t="shared" si="5"/>
        <v>45322</v>
      </c>
      <c r="BZ16" s="141">
        <f t="shared" si="5"/>
        <v>45351</v>
      </c>
      <c r="CA16" s="141">
        <f t="shared" si="5"/>
        <v>45382</v>
      </c>
      <c r="CB16" s="141">
        <f t="shared" si="5"/>
        <v>45412</v>
      </c>
      <c r="CC16" s="141">
        <f t="shared" si="5"/>
        <v>45443</v>
      </c>
      <c r="CD16" s="141">
        <f t="shared" si="5"/>
        <v>45473</v>
      </c>
      <c r="CE16" s="141">
        <f t="shared" si="5"/>
        <v>45504</v>
      </c>
      <c r="CF16" s="141">
        <f t="shared" si="5"/>
        <v>45535</v>
      </c>
      <c r="CG16" s="141">
        <f t="shared" si="5"/>
        <v>45565</v>
      </c>
      <c r="CH16" s="141">
        <f t="shared" si="5"/>
        <v>45596</v>
      </c>
      <c r="CI16" s="141">
        <f t="shared" si="5"/>
        <v>45626</v>
      </c>
      <c r="CJ16" s="141">
        <f t="shared" si="5"/>
        <v>45657</v>
      </c>
      <c r="CK16" s="141">
        <f t="shared" si="5"/>
        <v>45688</v>
      </c>
      <c r="CL16" s="141">
        <f t="shared" si="5"/>
        <v>45716</v>
      </c>
      <c r="CM16" s="141">
        <f t="shared" si="5"/>
        <v>45747</v>
      </c>
      <c r="CN16" s="141">
        <f t="shared" si="5"/>
        <v>45777</v>
      </c>
      <c r="CO16" s="141">
        <f t="shared" si="5"/>
        <v>45808</v>
      </c>
      <c r="CP16" s="141">
        <f t="shared" si="5"/>
        <v>45838</v>
      </c>
      <c r="CQ16" s="141">
        <f t="shared" si="5"/>
        <v>45869</v>
      </c>
      <c r="CR16" s="141">
        <f t="shared" si="5"/>
        <v>45900</v>
      </c>
      <c r="CS16" s="141">
        <f t="shared" si="5"/>
        <v>45930</v>
      </c>
      <c r="CT16" s="141">
        <f t="shared" si="5"/>
        <v>45961</v>
      </c>
      <c r="CU16" s="141">
        <f t="shared" si="5"/>
        <v>45991</v>
      </c>
      <c r="CV16" s="141">
        <f t="shared" si="5"/>
        <v>46022</v>
      </c>
      <c r="CW16" s="141">
        <f t="shared" si="5"/>
        <v>46053</v>
      </c>
      <c r="CX16" s="141">
        <f t="shared" si="5"/>
        <v>46081</v>
      </c>
      <c r="CY16" s="141">
        <f t="shared" si="5"/>
        <v>46112</v>
      </c>
      <c r="CZ16" s="141">
        <f t="shared" si="5"/>
        <v>46142</v>
      </c>
      <c r="DA16" s="141">
        <f t="shared" si="5"/>
        <v>46173</v>
      </c>
      <c r="DB16" s="141">
        <f t="shared" si="5"/>
        <v>46203</v>
      </c>
      <c r="DC16" s="141">
        <f t="shared" si="5"/>
        <v>46234</v>
      </c>
      <c r="DD16" s="141">
        <f t="shared" si="5"/>
        <v>46265</v>
      </c>
      <c r="DE16" s="141">
        <f t="shared" si="5"/>
        <v>46295</v>
      </c>
      <c r="DF16" s="141">
        <f t="shared" si="5"/>
        <v>46326</v>
      </c>
      <c r="DG16" s="141">
        <f t="shared" si="5"/>
        <v>46356</v>
      </c>
      <c r="DH16" s="141">
        <f t="shared" si="5"/>
        <v>46387</v>
      </c>
      <c r="DI16" s="141">
        <f t="shared" si="5"/>
        <v>46418</v>
      </c>
      <c r="DJ16" s="141">
        <f t="shared" si="5"/>
        <v>46446</v>
      </c>
      <c r="DK16" s="141">
        <f t="shared" si="5"/>
        <v>46477</v>
      </c>
      <c r="DL16" s="141">
        <f t="shared" si="5"/>
        <v>46507</v>
      </c>
      <c r="DM16" s="141">
        <f t="shared" si="5"/>
        <v>46538</v>
      </c>
      <c r="DN16" s="141">
        <f t="shared" si="5"/>
        <v>46568</v>
      </c>
      <c r="DO16" s="141">
        <f t="shared" si="5"/>
        <v>46599</v>
      </c>
      <c r="DP16" s="141">
        <f t="shared" si="5"/>
        <v>46630</v>
      </c>
      <c r="DQ16" s="141">
        <f t="shared" si="5"/>
        <v>46660</v>
      </c>
      <c r="DR16" s="141">
        <f t="shared" si="5"/>
        <v>46691</v>
      </c>
    </row>
    <row r="17">
      <c r="B17" s="5" t="s">
        <v>180</v>
      </c>
      <c r="BN17" s="141">
        <f t="shared" ref="BN17:DR17" si="6">+EOMONTH(BN$8,$C12)</f>
        <v>44926</v>
      </c>
      <c r="BO17" s="141">
        <f t="shared" si="6"/>
        <v>44957</v>
      </c>
      <c r="BP17" s="141">
        <f t="shared" si="6"/>
        <v>44985</v>
      </c>
      <c r="BQ17" s="141">
        <f t="shared" si="6"/>
        <v>45016</v>
      </c>
      <c r="BR17" s="141">
        <f t="shared" si="6"/>
        <v>45046</v>
      </c>
      <c r="BS17" s="141">
        <f t="shared" si="6"/>
        <v>45077</v>
      </c>
      <c r="BT17" s="141">
        <f t="shared" si="6"/>
        <v>45107</v>
      </c>
      <c r="BU17" s="141">
        <f t="shared" si="6"/>
        <v>45138</v>
      </c>
      <c r="BV17" s="141">
        <f t="shared" si="6"/>
        <v>45169</v>
      </c>
      <c r="BW17" s="141">
        <f t="shared" si="6"/>
        <v>45199</v>
      </c>
      <c r="BX17" s="141">
        <f t="shared" si="6"/>
        <v>45230</v>
      </c>
      <c r="BY17" s="141">
        <f t="shared" si="6"/>
        <v>45260</v>
      </c>
      <c r="BZ17" s="141">
        <f t="shared" si="6"/>
        <v>45291</v>
      </c>
      <c r="CA17" s="141">
        <f t="shared" si="6"/>
        <v>45322</v>
      </c>
      <c r="CB17" s="141">
        <f t="shared" si="6"/>
        <v>45351</v>
      </c>
      <c r="CC17" s="141">
        <f t="shared" si="6"/>
        <v>45382</v>
      </c>
      <c r="CD17" s="141">
        <f t="shared" si="6"/>
        <v>45412</v>
      </c>
      <c r="CE17" s="141">
        <f t="shared" si="6"/>
        <v>45443</v>
      </c>
      <c r="CF17" s="141">
        <f t="shared" si="6"/>
        <v>45473</v>
      </c>
      <c r="CG17" s="141">
        <f t="shared" si="6"/>
        <v>45504</v>
      </c>
      <c r="CH17" s="141">
        <f t="shared" si="6"/>
        <v>45535</v>
      </c>
      <c r="CI17" s="141">
        <f t="shared" si="6"/>
        <v>45565</v>
      </c>
      <c r="CJ17" s="141">
        <f t="shared" si="6"/>
        <v>45596</v>
      </c>
      <c r="CK17" s="141">
        <f t="shared" si="6"/>
        <v>45626</v>
      </c>
      <c r="CL17" s="141">
        <f t="shared" si="6"/>
        <v>45657</v>
      </c>
      <c r="CM17" s="141">
        <f t="shared" si="6"/>
        <v>45688</v>
      </c>
      <c r="CN17" s="141">
        <f t="shared" si="6"/>
        <v>45716</v>
      </c>
      <c r="CO17" s="141">
        <f t="shared" si="6"/>
        <v>45747</v>
      </c>
      <c r="CP17" s="141">
        <f t="shared" si="6"/>
        <v>45777</v>
      </c>
      <c r="CQ17" s="141">
        <f t="shared" si="6"/>
        <v>45808</v>
      </c>
      <c r="CR17" s="141">
        <f t="shared" si="6"/>
        <v>45838</v>
      </c>
      <c r="CS17" s="141">
        <f t="shared" si="6"/>
        <v>45869</v>
      </c>
      <c r="CT17" s="141">
        <f t="shared" si="6"/>
        <v>45900</v>
      </c>
      <c r="CU17" s="141">
        <f t="shared" si="6"/>
        <v>45930</v>
      </c>
      <c r="CV17" s="141">
        <f t="shared" si="6"/>
        <v>45961</v>
      </c>
      <c r="CW17" s="141">
        <f t="shared" si="6"/>
        <v>45991</v>
      </c>
      <c r="CX17" s="141">
        <f t="shared" si="6"/>
        <v>46022</v>
      </c>
      <c r="CY17" s="141">
        <f t="shared" si="6"/>
        <v>46053</v>
      </c>
      <c r="CZ17" s="141">
        <f t="shared" si="6"/>
        <v>46081</v>
      </c>
      <c r="DA17" s="141">
        <f t="shared" si="6"/>
        <v>46112</v>
      </c>
      <c r="DB17" s="141">
        <f t="shared" si="6"/>
        <v>46142</v>
      </c>
      <c r="DC17" s="141">
        <f t="shared" si="6"/>
        <v>46173</v>
      </c>
      <c r="DD17" s="141">
        <f t="shared" si="6"/>
        <v>46203</v>
      </c>
      <c r="DE17" s="141">
        <f t="shared" si="6"/>
        <v>46234</v>
      </c>
      <c r="DF17" s="141">
        <f t="shared" si="6"/>
        <v>46265</v>
      </c>
      <c r="DG17" s="141">
        <f t="shared" si="6"/>
        <v>46295</v>
      </c>
      <c r="DH17" s="141">
        <f t="shared" si="6"/>
        <v>46326</v>
      </c>
      <c r="DI17" s="141">
        <f t="shared" si="6"/>
        <v>46356</v>
      </c>
      <c r="DJ17" s="141">
        <f t="shared" si="6"/>
        <v>46387</v>
      </c>
      <c r="DK17" s="141">
        <f t="shared" si="6"/>
        <v>46418</v>
      </c>
      <c r="DL17" s="141">
        <f t="shared" si="6"/>
        <v>46446</v>
      </c>
      <c r="DM17" s="141">
        <f t="shared" si="6"/>
        <v>46477</v>
      </c>
      <c r="DN17" s="141">
        <f t="shared" si="6"/>
        <v>46507</v>
      </c>
      <c r="DO17" s="141">
        <f t="shared" si="6"/>
        <v>46538</v>
      </c>
      <c r="DP17" s="141">
        <f t="shared" si="6"/>
        <v>46568</v>
      </c>
      <c r="DQ17" s="141">
        <f t="shared" si="6"/>
        <v>46599</v>
      </c>
      <c r="DR17" s="141">
        <f t="shared" si="6"/>
        <v>46630</v>
      </c>
    </row>
    <row r="18">
      <c r="B18" s="5" t="s">
        <v>181</v>
      </c>
      <c r="BN18" s="141">
        <f t="shared" ref="BN18:DR18" si="7">+EOMONTH(BN$8,$C13)</f>
        <v>44865</v>
      </c>
      <c r="BO18" s="141">
        <f t="shared" si="7"/>
        <v>44895</v>
      </c>
      <c r="BP18" s="141">
        <f t="shared" si="7"/>
        <v>44926</v>
      </c>
      <c r="BQ18" s="141">
        <f t="shared" si="7"/>
        <v>44957</v>
      </c>
      <c r="BR18" s="141">
        <f t="shared" si="7"/>
        <v>44985</v>
      </c>
      <c r="BS18" s="141">
        <f t="shared" si="7"/>
        <v>45016</v>
      </c>
      <c r="BT18" s="141">
        <f t="shared" si="7"/>
        <v>45046</v>
      </c>
      <c r="BU18" s="141">
        <f t="shared" si="7"/>
        <v>45077</v>
      </c>
      <c r="BV18" s="141">
        <f t="shared" si="7"/>
        <v>45107</v>
      </c>
      <c r="BW18" s="141">
        <f t="shared" si="7"/>
        <v>45138</v>
      </c>
      <c r="BX18" s="141">
        <f t="shared" si="7"/>
        <v>45169</v>
      </c>
      <c r="BY18" s="141">
        <f t="shared" si="7"/>
        <v>45199</v>
      </c>
      <c r="BZ18" s="141">
        <f t="shared" si="7"/>
        <v>45230</v>
      </c>
      <c r="CA18" s="141">
        <f t="shared" si="7"/>
        <v>45260</v>
      </c>
      <c r="CB18" s="141">
        <f t="shared" si="7"/>
        <v>45291</v>
      </c>
      <c r="CC18" s="141">
        <f t="shared" si="7"/>
        <v>45322</v>
      </c>
      <c r="CD18" s="141">
        <f t="shared" si="7"/>
        <v>45351</v>
      </c>
      <c r="CE18" s="141">
        <f t="shared" si="7"/>
        <v>45382</v>
      </c>
      <c r="CF18" s="141">
        <f t="shared" si="7"/>
        <v>45412</v>
      </c>
      <c r="CG18" s="141">
        <f t="shared" si="7"/>
        <v>45443</v>
      </c>
      <c r="CH18" s="141">
        <f t="shared" si="7"/>
        <v>45473</v>
      </c>
      <c r="CI18" s="141">
        <f t="shared" si="7"/>
        <v>45504</v>
      </c>
      <c r="CJ18" s="141">
        <f t="shared" si="7"/>
        <v>45535</v>
      </c>
      <c r="CK18" s="141">
        <f t="shared" si="7"/>
        <v>45565</v>
      </c>
      <c r="CL18" s="141">
        <f t="shared" si="7"/>
        <v>45596</v>
      </c>
      <c r="CM18" s="141">
        <f t="shared" si="7"/>
        <v>45626</v>
      </c>
      <c r="CN18" s="141">
        <f t="shared" si="7"/>
        <v>45657</v>
      </c>
      <c r="CO18" s="141">
        <f t="shared" si="7"/>
        <v>45688</v>
      </c>
      <c r="CP18" s="141">
        <f t="shared" si="7"/>
        <v>45716</v>
      </c>
      <c r="CQ18" s="141">
        <f t="shared" si="7"/>
        <v>45747</v>
      </c>
      <c r="CR18" s="141">
        <f t="shared" si="7"/>
        <v>45777</v>
      </c>
      <c r="CS18" s="141">
        <f t="shared" si="7"/>
        <v>45808</v>
      </c>
      <c r="CT18" s="141">
        <f t="shared" si="7"/>
        <v>45838</v>
      </c>
      <c r="CU18" s="141">
        <f t="shared" si="7"/>
        <v>45869</v>
      </c>
      <c r="CV18" s="141">
        <f t="shared" si="7"/>
        <v>45900</v>
      </c>
      <c r="CW18" s="141">
        <f t="shared" si="7"/>
        <v>45930</v>
      </c>
      <c r="CX18" s="141">
        <f t="shared" si="7"/>
        <v>45961</v>
      </c>
      <c r="CY18" s="141">
        <f t="shared" si="7"/>
        <v>45991</v>
      </c>
      <c r="CZ18" s="141">
        <f t="shared" si="7"/>
        <v>46022</v>
      </c>
      <c r="DA18" s="141">
        <f t="shared" si="7"/>
        <v>46053</v>
      </c>
      <c r="DB18" s="141">
        <f t="shared" si="7"/>
        <v>46081</v>
      </c>
      <c r="DC18" s="141">
        <f t="shared" si="7"/>
        <v>46112</v>
      </c>
      <c r="DD18" s="141">
        <f t="shared" si="7"/>
        <v>46142</v>
      </c>
      <c r="DE18" s="141">
        <f t="shared" si="7"/>
        <v>46173</v>
      </c>
      <c r="DF18" s="141">
        <f t="shared" si="7"/>
        <v>46203</v>
      </c>
      <c r="DG18" s="141">
        <f t="shared" si="7"/>
        <v>46234</v>
      </c>
      <c r="DH18" s="141">
        <f t="shared" si="7"/>
        <v>46265</v>
      </c>
      <c r="DI18" s="141">
        <f t="shared" si="7"/>
        <v>46295</v>
      </c>
      <c r="DJ18" s="141">
        <f t="shared" si="7"/>
        <v>46326</v>
      </c>
      <c r="DK18" s="141">
        <f t="shared" si="7"/>
        <v>46356</v>
      </c>
      <c r="DL18" s="141">
        <f t="shared" si="7"/>
        <v>46387</v>
      </c>
      <c r="DM18" s="141">
        <f t="shared" si="7"/>
        <v>46418</v>
      </c>
      <c r="DN18" s="141">
        <f t="shared" si="7"/>
        <v>46446</v>
      </c>
      <c r="DO18" s="141">
        <f t="shared" si="7"/>
        <v>46477</v>
      </c>
      <c r="DP18" s="141">
        <f t="shared" si="7"/>
        <v>46507</v>
      </c>
      <c r="DQ18" s="141">
        <f t="shared" si="7"/>
        <v>46538</v>
      </c>
      <c r="DR18" s="141">
        <f t="shared" si="7"/>
        <v>46568</v>
      </c>
    </row>
    <row r="19">
      <c r="B19" s="5" t="s">
        <v>182</v>
      </c>
      <c r="BN19" s="141">
        <f t="shared" ref="BN19:DR19" si="8">+EOMONTH(BN$8,$C14)</f>
        <v>44804</v>
      </c>
      <c r="BO19" s="141">
        <f t="shared" si="8"/>
        <v>44834</v>
      </c>
      <c r="BP19" s="141">
        <f t="shared" si="8"/>
        <v>44865</v>
      </c>
      <c r="BQ19" s="141">
        <f t="shared" si="8"/>
        <v>44895</v>
      </c>
      <c r="BR19" s="141">
        <f t="shared" si="8"/>
        <v>44926</v>
      </c>
      <c r="BS19" s="141">
        <f t="shared" si="8"/>
        <v>44957</v>
      </c>
      <c r="BT19" s="141">
        <f t="shared" si="8"/>
        <v>44985</v>
      </c>
      <c r="BU19" s="141">
        <f t="shared" si="8"/>
        <v>45016</v>
      </c>
      <c r="BV19" s="141">
        <f t="shared" si="8"/>
        <v>45046</v>
      </c>
      <c r="BW19" s="141">
        <f t="shared" si="8"/>
        <v>45077</v>
      </c>
      <c r="BX19" s="141">
        <f t="shared" si="8"/>
        <v>45107</v>
      </c>
      <c r="BY19" s="141">
        <f t="shared" si="8"/>
        <v>45138</v>
      </c>
      <c r="BZ19" s="141">
        <f t="shared" si="8"/>
        <v>45169</v>
      </c>
      <c r="CA19" s="141">
        <f t="shared" si="8"/>
        <v>45199</v>
      </c>
      <c r="CB19" s="141">
        <f t="shared" si="8"/>
        <v>45230</v>
      </c>
      <c r="CC19" s="141">
        <f t="shared" si="8"/>
        <v>45260</v>
      </c>
      <c r="CD19" s="141">
        <f t="shared" si="8"/>
        <v>45291</v>
      </c>
      <c r="CE19" s="141">
        <f t="shared" si="8"/>
        <v>45322</v>
      </c>
      <c r="CF19" s="141">
        <f t="shared" si="8"/>
        <v>45351</v>
      </c>
      <c r="CG19" s="141">
        <f t="shared" si="8"/>
        <v>45382</v>
      </c>
      <c r="CH19" s="141">
        <f t="shared" si="8"/>
        <v>45412</v>
      </c>
      <c r="CI19" s="141">
        <f t="shared" si="8"/>
        <v>45443</v>
      </c>
      <c r="CJ19" s="141">
        <f t="shared" si="8"/>
        <v>45473</v>
      </c>
      <c r="CK19" s="141">
        <f t="shared" si="8"/>
        <v>45504</v>
      </c>
      <c r="CL19" s="141">
        <f t="shared" si="8"/>
        <v>45535</v>
      </c>
      <c r="CM19" s="141">
        <f t="shared" si="8"/>
        <v>45565</v>
      </c>
      <c r="CN19" s="141">
        <f t="shared" si="8"/>
        <v>45596</v>
      </c>
      <c r="CO19" s="141">
        <f t="shared" si="8"/>
        <v>45626</v>
      </c>
      <c r="CP19" s="141">
        <f t="shared" si="8"/>
        <v>45657</v>
      </c>
      <c r="CQ19" s="141">
        <f t="shared" si="8"/>
        <v>45688</v>
      </c>
      <c r="CR19" s="141">
        <f t="shared" si="8"/>
        <v>45716</v>
      </c>
      <c r="CS19" s="141">
        <f t="shared" si="8"/>
        <v>45747</v>
      </c>
      <c r="CT19" s="141">
        <f t="shared" si="8"/>
        <v>45777</v>
      </c>
      <c r="CU19" s="141">
        <f t="shared" si="8"/>
        <v>45808</v>
      </c>
      <c r="CV19" s="141">
        <f t="shared" si="8"/>
        <v>45838</v>
      </c>
      <c r="CW19" s="141">
        <f t="shared" si="8"/>
        <v>45869</v>
      </c>
      <c r="CX19" s="141">
        <f t="shared" si="8"/>
        <v>45900</v>
      </c>
      <c r="CY19" s="141">
        <f t="shared" si="8"/>
        <v>45930</v>
      </c>
      <c r="CZ19" s="141">
        <f t="shared" si="8"/>
        <v>45961</v>
      </c>
      <c r="DA19" s="141">
        <f t="shared" si="8"/>
        <v>45991</v>
      </c>
      <c r="DB19" s="141">
        <f t="shared" si="8"/>
        <v>46022</v>
      </c>
      <c r="DC19" s="141">
        <f t="shared" si="8"/>
        <v>46053</v>
      </c>
      <c r="DD19" s="141">
        <f t="shared" si="8"/>
        <v>46081</v>
      </c>
      <c r="DE19" s="141">
        <f t="shared" si="8"/>
        <v>46112</v>
      </c>
      <c r="DF19" s="141">
        <f t="shared" si="8"/>
        <v>46142</v>
      </c>
      <c r="DG19" s="141">
        <f t="shared" si="8"/>
        <v>46173</v>
      </c>
      <c r="DH19" s="141">
        <f t="shared" si="8"/>
        <v>46203</v>
      </c>
      <c r="DI19" s="141">
        <f t="shared" si="8"/>
        <v>46234</v>
      </c>
      <c r="DJ19" s="141">
        <f t="shared" si="8"/>
        <v>46265</v>
      </c>
      <c r="DK19" s="141">
        <f t="shared" si="8"/>
        <v>46295</v>
      </c>
      <c r="DL19" s="141">
        <f t="shared" si="8"/>
        <v>46326</v>
      </c>
      <c r="DM19" s="141">
        <f t="shared" si="8"/>
        <v>46356</v>
      </c>
      <c r="DN19" s="141">
        <f t="shared" si="8"/>
        <v>46387</v>
      </c>
      <c r="DO19" s="141">
        <f t="shared" si="8"/>
        <v>46418</v>
      </c>
      <c r="DP19" s="141">
        <f t="shared" si="8"/>
        <v>46446</v>
      </c>
      <c r="DQ19" s="141">
        <f t="shared" si="8"/>
        <v>46477</v>
      </c>
      <c r="DR19" s="141">
        <f t="shared" si="8"/>
        <v>46507</v>
      </c>
    </row>
    <row r="20" ht="4.5" customHeight="1"/>
    <row r="21" ht="15.75" customHeight="1">
      <c r="B21" s="99" t="s">
        <v>82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0"/>
      <c r="BK21" s="100"/>
      <c r="BL21" s="100"/>
      <c r="BM21" s="100"/>
      <c r="BN21" s="100"/>
      <c r="BO21" s="100"/>
      <c r="BP21" s="100"/>
      <c r="BQ21" s="100"/>
      <c r="BR21" s="100"/>
      <c r="BS21" s="100"/>
      <c r="BT21" s="100"/>
      <c r="BU21" s="100"/>
      <c r="BV21" s="100"/>
      <c r="BW21" s="100"/>
      <c r="BX21" s="100"/>
      <c r="BY21" s="100"/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  <c r="CP21" s="100"/>
      <c r="CQ21" s="100"/>
      <c r="CR21" s="100"/>
      <c r="CS21" s="100"/>
      <c r="CT21" s="100"/>
      <c r="CU21" s="100"/>
      <c r="CV21" s="100"/>
      <c r="CW21" s="100"/>
      <c r="CX21" s="100"/>
      <c r="CY21" s="100"/>
      <c r="CZ21" s="100"/>
      <c r="DA21" s="100"/>
      <c r="DB21" s="100"/>
      <c r="DC21" s="100"/>
      <c r="DD21" s="100"/>
      <c r="DE21" s="100"/>
      <c r="DF21" s="100"/>
      <c r="DG21" s="100"/>
      <c r="DH21" s="100"/>
      <c r="DI21" s="100"/>
      <c r="DJ21" s="100"/>
      <c r="DK21" s="100"/>
      <c r="DL21" s="100"/>
      <c r="DM21" s="100"/>
      <c r="DN21" s="100"/>
      <c r="DO21" s="100"/>
      <c r="DP21" s="100"/>
      <c r="DQ21" s="100"/>
      <c r="DR21" s="100"/>
    </row>
    <row r="22" ht="15.75" customHeight="1">
      <c r="B22" s="5" t="s">
        <v>183</v>
      </c>
      <c r="BN22" s="102"/>
      <c r="BO22" s="102"/>
      <c r="BP22" s="102"/>
      <c r="BQ22" s="102">
        <f>SUMIFS(Revenue_Assumptions!$I$17:$M$17,Revenue_Assumptions!$I$7:$M$7,BQ$7)/12</f>
        <v>0</v>
      </c>
      <c r="BR22" s="102">
        <f>SUMIFS(Revenue_Assumptions!$I$17:$M$17,Revenue_Assumptions!$I$7:$M$7,BR$7)/12</f>
        <v>0</v>
      </c>
      <c r="BS22" s="102">
        <f>SUMIFS(Revenue_Assumptions!$I$17:$M$17,Revenue_Assumptions!$I$7:$M$7,BS$7)/12</f>
        <v>0</v>
      </c>
      <c r="BT22" s="102">
        <f>SUMIFS(Revenue_Assumptions!$I$17:$M$17,Revenue_Assumptions!$I$7:$M$7,BT$7)/12</f>
        <v>0</v>
      </c>
      <c r="BU22" s="102">
        <f>SUMIFS(Revenue_Assumptions!$I$17:$M$17,Revenue_Assumptions!$I$7:$M$7,BU$7)/12</f>
        <v>0</v>
      </c>
      <c r="BV22" s="102">
        <f>SUMIFS(Revenue_Assumptions!$I$17:$M$17,Revenue_Assumptions!$I$7:$M$7,BV$7)/12</f>
        <v>0</v>
      </c>
      <c r="BW22" s="102">
        <f>SUMIFS(Revenue_Assumptions!$I$17:$M$17,Revenue_Assumptions!$I$7:$M$7,BW$7)/12</f>
        <v>0.08333333333</v>
      </c>
      <c r="BX22" s="102">
        <f>SUMIFS(Revenue_Assumptions!$I$17:$M$17,Revenue_Assumptions!$I$7:$M$7,BX$7)/12</f>
        <v>0.08333333333</v>
      </c>
      <c r="BY22" s="102">
        <f>SUMIFS(Revenue_Assumptions!$I$17:$M$17,Revenue_Assumptions!$I$7:$M$7,BY$7)/12</f>
        <v>0.08333333333</v>
      </c>
      <c r="BZ22" s="102">
        <f>SUMIFS(Revenue_Assumptions!$I$17:$M$17,Revenue_Assumptions!$I$7:$M$7,BZ$7)/12</f>
        <v>0.08333333333</v>
      </c>
      <c r="CA22" s="102">
        <f>SUMIFS(Revenue_Assumptions!$I$17:$M$17,Revenue_Assumptions!$I$7:$M$7,CA$7)/12</f>
        <v>0.08333333333</v>
      </c>
      <c r="CB22" s="102">
        <f>SUMIFS(Revenue_Assumptions!$I$17:$M$17,Revenue_Assumptions!$I$7:$M$7,CB$7)/12</f>
        <v>0.08333333333</v>
      </c>
      <c r="CC22" s="102">
        <f>SUMIFS(Revenue_Assumptions!$I$17:$M$17,Revenue_Assumptions!$I$7:$M$7,CC$7)/12</f>
        <v>0.08333333333</v>
      </c>
      <c r="CD22" s="102">
        <f>SUMIFS(Revenue_Assumptions!$I$17:$M$17,Revenue_Assumptions!$I$7:$M$7,CD$7)/12</f>
        <v>0.08333333333</v>
      </c>
      <c r="CE22" s="102">
        <f>SUMIFS(Revenue_Assumptions!$I$17:$M$17,Revenue_Assumptions!$I$7:$M$7,CE$7)/12</f>
        <v>0.08333333333</v>
      </c>
      <c r="CF22" s="102">
        <f>SUMIFS(Revenue_Assumptions!$I$17:$M$17,Revenue_Assumptions!$I$7:$M$7,CF$7)/12</f>
        <v>0.08333333333</v>
      </c>
      <c r="CG22" s="102">
        <f>SUMIFS(Revenue_Assumptions!$I$17:$M$17,Revenue_Assumptions!$I$7:$M$7,CG$7)/12</f>
        <v>0.08333333333</v>
      </c>
      <c r="CH22" s="102">
        <f>SUMIFS(Revenue_Assumptions!$I$17:$M$17,Revenue_Assumptions!$I$7:$M$7,CH$7)/12</f>
        <v>0.08333333333</v>
      </c>
      <c r="CI22" s="102">
        <f>SUMIFS(Revenue_Assumptions!$I$17:$M$17,Revenue_Assumptions!$I$7:$M$7,CI$7)/12</f>
        <v>0.08333333333</v>
      </c>
      <c r="CJ22" s="102">
        <f>SUMIFS(Revenue_Assumptions!$I$17:$M$17,Revenue_Assumptions!$I$7:$M$7,CJ$7)/12</f>
        <v>0.08333333333</v>
      </c>
      <c r="CK22" s="102">
        <f>SUMIFS(Revenue_Assumptions!$I$17:$M$17,Revenue_Assumptions!$I$7:$M$7,CK$7)/12</f>
        <v>0.08333333333</v>
      </c>
      <c r="CL22" s="102">
        <f>SUMIFS(Revenue_Assumptions!$I$17:$M$17,Revenue_Assumptions!$I$7:$M$7,CL$7)/12</f>
        <v>0.08333333333</v>
      </c>
      <c r="CM22" s="102">
        <f>SUMIFS(Revenue_Assumptions!$I$17:$M$17,Revenue_Assumptions!$I$7:$M$7,CM$7)/12</f>
        <v>0.08333333333</v>
      </c>
      <c r="CN22" s="102">
        <f>SUMIFS(Revenue_Assumptions!$I$17:$M$17,Revenue_Assumptions!$I$7:$M$7,CN$7)/12</f>
        <v>0.08333333333</v>
      </c>
      <c r="CO22" s="102">
        <f>SUMIFS(Revenue_Assumptions!$I$17:$M$17,Revenue_Assumptions!$I$7:$M$7,CO$7)/12</f>
        <v>0.08333333333</v>
      </c>
      <c r="CP22" s="102">
        <f>SUMIFS(Revenue_Assumptions!$I$17:$M$17,Revenue_Assumptions!$I$7:$M$7,CP$7)/12</f>
        <v>0.08333333333</v>
      </c>
      <c r="CQ22" s="102">
        <f>SUMIFS(Revenue_Assumptions!$I$17:$M$17,Revenue_Assumptions!$I$7:$M$7,CQ$7)/12</f>
        <v>0.08333333333</v>
      </c>
      <c r="CR22" s="102">
        <f>SUMIFS(Revenue_Assumptions!$I$17:$M$17,Revenue_Assumptions!$I$7:$M$7,CR$7)/12</f>
        <v>0.08333333333</v>
      </c>
      <c r="CS22" s="102">
        <f>SUMIFS(Revenue_Assumptions!$I$17:$M$17,Revenue_Assumptions!$I$7:$M$7,CS$7)/12</f>
        <v>0.08333333333</v>
      </c>
      <c r="CT22" s="102">
        <f>SUMIFS(Revenue_Assumptions!$I$17:$M$17,Revenue_Assumptions!$I$7:$M$7,CT$7)/12</f>
        <v>0.08333333333</v>
      </c>
      <c r="CU22" s="102">
        <f>SUMIFS(Revenue_Assumptions!$I$17:$M$17,Revenue_Assumptions!$I$7:$M$7,CU$7)/12</f>
        <v>0.08333333333</v>
      </c>
      <c r="CV22" s="102">
        <f>SUMIFS(Revenue_Assumptions!$I$17:$M$17,Revenue_Assumptions!$I$7:$M$7,CV$7)/12</f>
        <v>0.08333333333</v>
      </c>
      <c r="CW22" s="102">
        <f>SUMIFS(Revenue_Assumptions!$I$17:$M$17,Revenue_Assumptions!$I$7:$M$7,CW$7)/12</f>
        <v>0.08333333333</v>
      </c>
      <c r="CX22" s="102">
        <f>SUMIFS(Revenue_Assumptions!$I$17:$M$17,Revenue_Assumptions!$I$7:$M$7,CX$7)/12</f>
        <v>0.08333333333</v>
      </c>
      <c r="CY22" s="102">
        <f>SUMIFS(Revenue_Assumptions!$I$17:$M$17,Revenue_Assumptions!$I$7:$M$7,CY$7)/12</f>
        <v>0.08333333333</v>
      </c>
      <c r="CZ22" s="102">
        <f>SUMIFS(Revenue_Assumptions!$I$17:$M$17,Revenue_Assumptions!$I$7:$M$7,CZ$7)/12</f>
        <v>0.08333333333</v>
      </c>
      <c r="DA22" s="102">
        <f>SUMIFS(Revenue_Assumptions!$I$17:$M$17,Revenue_Assumptions!$I$7:$M$7,DA$7)/12</f>
        <v>0.08333333333</v>
      </c>
      <c r="DB22" s="102">
        <f>SUMIFS(Revenue_Assumptions!$I$17:$M$17,Revenue_Assumptions!$I$7:$M$7,DB$7)/12</f>
        <v>0.08333333333</v>
      </c>
      <c r="DC22" s="102">
        <f>SUMIFS(Revenue_Assumptions!$I$17:$M$17,Revenue_Assumptions!$I$7:$M$7,DC$7)/12</f>
        <v>0.08333333333</v>
      </c>
      <c r="DD22" s="102">
        <f>SUMIFS(Revenue_Assumptions!$I$17:$M$17,Revenue_Assumptions!$I$7:$M$7,DD$7)/12</f>
        <v>0.08333333333</v>
      </c>
      <c r="DE22" s="102">
        <f>SUMIFS(Revenue_Assumptions!$I$17:$M$17,Revenue_Assumptions!$I$7:$M$7,DE$7)/12</f>
        <v>0.08333333333</v>
      </c>
      <c r="DF22" s="102">
        <f>SUMIFS(Revenue_Assumptions!$I$17:$M$17,Revenue_Assumptions!$I$7:$M$7,DF$7)/12</f>
        <v>0.08333333333</v>
      </c>
      <c r="DG22" s="102">
        <f>SUMIFS(Revenue_Assumptions!$I$17:$M$17,Revenue_Assumptions!$I$7:$M$7,DG$7)/12</f>
        <v>0.08333333333</v>
      </c>
      <c r="DH22" s="102">
        <f>SUMIFS(Revenue_Assumptions!$I$17:$M$17,Revenue_Assumptions!$I$7:$M$7,DH$7)/12</f>
        <v>0.08333333333</v>
      </c>
      <c r="DI22" s="102">
        <f>SUMIFS(Revenue_Assumptions!$I$17:$M$17,Revenue_Assumptions!$I$7:$M$7,DI$7)/12</f>
        <v>0.08333333333</v>
      </c>
      <c r="DJ22" s="102">
        <f>SUMIFS(Revenue_Assumptions!$I$17:$M$17,Revenue_Assumptions!$I$7:$M$7,DJ$7)/12</f>
        <v>0.08333333333</v>
      </c>
      <c r="DK22" s="102">
        <f>SUMIFS(Revenue_Assumptions!$I$17:$M$17,Revenue_Assumptions!$I$7:$M$7,DK$7)/12</f>
        <v>0.08333333333</v>
      </c>
      <c r="DL22" s="102">
        <f>SUMIFS(Revenue_Assumptions!$I$17:$M$17,Revenue_Assumptions!$I$7:$M$7,DL$7)/12</f>
        <v>0.08333333333</v>
      </c>
      <c r="DM22" s="102">
        <f>SUMIFS(Revenue_Assumptions!$I$17:$M$17,Revenue_Assumptions!$I$7:$M$7,DM$7)/12</f>
        <v>0.08333333333</v>
      </c>
      <c r="DN22" s="102">
        <f>SUMIFS(Revenue_Assumptions!$I$17:$M$17,Revenue_Assumptions!$I$7:$M$7,DN$7)/12</f>
        <v>0.08333333333</v>
      </c>
      <c r="DO22" s="102">
        <f>SUMIFS(Revenue_Assumptions!$I$17:$M$17,Revenue_Assumptions!$I$7:$M$7,DO$7)/12</f>
        <v>0.08333333333</v>
      </c>
      <c r="DP22" s="102">
        <f>SUMIFS(Revenue_Assumptions!$I$17:$M$17,Revenue_Assumptions!$I$7:$M$7,DP$7)/12</f>
        <v>0.08333333333</v>
      </c>
      <c r="DQ22" s="102">
        <f>SUMIFS(Revenue_Assumptions!$I$17:$M$17,Revenue_Assumptions!$I$7:$M$7,DQ$7)/12</f>
        <v>0.08333333333</v>
      </c>
      <c r="DR22" s="102">
        <f>SUMIFS(Revenue_Assumptions!$I$17:$M$17,Revenue_Assumptions!$I$7:$M$7,DR$7)/12</f>
        <v>0.08333333333</v>
      </c>
    </row>
    <row r="23" ht="15.75" customHeight="1">
      <c r="B23" s="5" t="s">
        <v>139</v>
      </c>
      <c r="BN23" s="102"/>
      <c r="BO23" s="102"/>
      <c r="BP23" s="102"/>
      <c r="BQ23" s="102">
        <f t="shared" ref="BQ23:DR23" si="9">+SUM(OFFSET(BQ22,0,-$C$11):BQ22)</f>
        <v>0</v>
      </c>
      <c r="BR23" s="102">
        <f t="shared" si="9"/>
        <v>0</v>
      </c>
      <c r="BS23" s="102">
        <f t="shared" si="9"/>
        <v>0</v>
      </c>
      <c r="BT23" s="102">
        <f t="shared" si="9"/>
        <v>0</v>
      </c>
      <c r="BU23" s="102">
        <f t="shared" si="9"/>
        <v>0</v>
      </c>
      <c r="BV23" s="102">
        <f t="shared" si="9"/>
        <v>0</v>
      </c>
      <c r="BW23" s="102">
        <f t="shared" si="9"/>
        <v>0.08333333333</v>
      </c>
      <c r="BX23" s="102">
        <f t="shared" si="9"/>
        <v>0.1666666667</v>
      </c>
      <c r="BY23" s="102">
        <f t="shared" si="9"/>
        <v>0.25</v>
      </c>
      <c r="BZ23" s="102">
        <f t="shared" si="9"/>
        <v>0.3333333333</v>
      </c>
      <c r="CA23" s="102">
        <f t="shared" si="9"/>
        <v>0.4166666667</v>
      </c>
      <c r="CB23" s="102">
        <f t="shared" si="9"/>
        <v>0.5</v>
      </c>
      <c r="CC23" s="102">
        <f t="shared" si="9"/>
        <v>0.5833333333</v>
      </c>
      <c r="CD23" s="102">
        <f t="shared" si="9"/>
        <v>0.6666666667</v>
      </c>
      <c r="CE23" s="102">
        <f t="shared" si="9"/>
        <v>0.75</v>
      </c>
      <c r="CF23" s="102">
        <f t="shared" si="9"/>
        <v>0.8333333333</v>
      </c>
      <c r="CG23" s="102">
        <f t="shared" si="9"/>
        <v>0.9166666667</v>
      </c>
      <c r="CH23" s="102">
        <f t="shared" si="9"/>
        <v>0.9166666667</v>
      </c>
      <c r="CI23" s="102">
        <f t="shared" si="9"/>
        <v>0.9166666667</v>
      </c>
      <c r="CJ23" s="102">
        <f t="shared" si="9"/>
        <v>0.9166666667</v>
      </c>
      <c r="CK23" s="102">
        <f t="shared" si="9"/>
        <v>0.9166666667</v>
      </c>
      <c r="CL23" s="102">
        <f t="shared" si="9"/>
        <v>0.9166666667</v>
      </c>
      <c r="CM23" s="102">
        <f t="shared" si="9"/>
        <v>0.9166666667</v>
      </c>
      <c r="CN23" s="102">
        <f t="shared" si="9"/>
        <v>0.9166666667</v>
      </c>
      <c r="CO23" s="102">
        <f t="shared" si="9"/>
        <v>0.9166666667</v>
      </c>
      <c r="CP23" s="102">
        <f t="shared" si="9"/>
        <v>0.9166666667</v>
      </c>
      <c r="CQ23" s="102">
        <f t="shared" si="9"/>
        <v>0.9166666667</v>
      </c>
      <c r="CR23" s="102">
        <f t="shared" si="9"/>
        <v>0.9166666667</v>
      </c>
      <c r="CS23" s="102">
        <f t="shared" si="9"/>
        <v>0.9166666667</v>
      </c>
      <c r="CT23" s="102">
        <f t="shared" si="9"/>
        <v>0.9166666667</v>
      </c>
      <c r="CU23" s="102">
        <f t="shared" si="9"/>
        <v>0.9166666667</v>
      </c>
      <c r="CV23" s="102">
        <f t="shared" si="9"/>
        <v>0.9166666667</v>
      </c>
      <c r="CW23" s="102">
        <f t="shared" si="9"/>
        <v>0.9166666667</v>
      </c>
      <c r="CX23" s="102">
        <f t="shared" si="9"/>
        <v>0.9166666667</v>
      </c>
      <c r="CY23" s="102">
        <f t="shared" si="9"/>
        <v>0.9166666667</v>
      </c>
      <c r="CZ23" s="102">
        <f t="shared" si="9"/>
        <v>0.9166666667</v>
      </c>
      <c r="DA23" s="102">
        <f t="shared" si="9"/>
        <v>0.9166666667</v>
      </c>
      <c r="DB23" s="102">
        <f t="shared" si="9"/>
        <v>0.9166666667</v>
      </c>
      <c r="DC23" s="102">
        <f t="shared" si="9"/>
        <v>0.9166666667</v>
      </c>
      <c r="DD23" s="102">
        <f t="shared" si="9"/>
        <v>0.9166666667</v>
      </c>
      <c r="DE23" s="102">
        <f t="shared" si="9"/>
        <v>0.9166666667</v>
      </c>
      <c r="DF23" s="102">
        <f t="shared" si="9"/>
        <v>0.9166666667</v>
      </c>
      <c r="DG23" s="102">
        <f t="shared" si="9"/>
        <v>0.9166666667</v>
      </c>
      <c r="DH23" s="102">
        <f t="shared" si="9"/>
        <v>0.9166666667</v>
      </c>
      <c r="DI23" s="102">
        <f t="shared" si="9"/>
        <v>0.9166666667</v>
      </c>
      <c r="DJ23" s="102">
        <f t="shared" si="9"/>
        <v>0.9166666667</v>
      </c>
      <c r="DK23" s="102">
        <f t="shared" si="9"/>
        <v>0.9166666667</v>
      </c>
      <c r="DL23" s="102">
        <f t="shared" si="9"/>
        <v>0.9166666667</v>
      </c>
      <c r="DM23" s="102">
        <f t="shared" si="9"/>
        <v>0.9166666667</v>
      </c>
      <c r="DN23" s="102">
        <f t="shared" si="9"/>
        <v>0.9166666667</v>
      </c>
      <c r="DO23" s="102">
        <f t="shared" si="9"/>
        <v>0.9166666667</v>
      </c>
      <c r="DP23" s="102">
        <f t="shared" si="9"/>
        <v>0.9166666667</v>
      </c>
      <c r="DQ23" s="102">
        <f t="shared" si="9"/>
        <v>0.9166666667</v>
      </c>
      <c r="DR23" s="102">
        <f t="shared" si="9"/>
        <v>0.9166666667</v>
      </c>
    </row>
    <row r="24" ht="4.5" customHeight="1"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  <c r="CO24" s="52"/>
      <c r="CP24" s="52"/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2"/>
      <c r="DH24" s="52"/>
      <c r="DI24" s="52"/>
      <c r="DJ24" s="52"/>
      <c r="DK24" s="52"/>
      <c r="DL24" s="52"/>
      <c r="DM24" s="52"/>
      <c r="DN24" s="52"/>
      <c r="DO24" s="52"/>
      <c r="DP24" s="52"/>
      <c r="DQ24" s="52"/>
      <c r="DR24" s="52"/>
    </row>
    <row r="25" ht="15.75" customHeight="1">
      <c r="B25" s="5" t="s">
        <v>130</v>
      </c>
      <c r="BN25" s="142"/>
      <c r="BO25" s="142"/>
      <c r="BP25" s="142"/>
      <c r="BQ25" s="142">
        <f t="shared" ref="BQ25:DR25" si="10">+SUMIFS($BN22:$DR22,$BN$16:$DR$16,BQ$8)</f>
        <v>0</v>
      </c>
      <c r="BR25" s="142">
        <f t="shared" si="10"/>
        <v>0</v>
      </c>
      <c r="BS25" s="142">
        <f t="shared" si="10"/>
        <v>0</v>
      </c>
      <c r="BT25" s="142">
        <f t="shared" si="10"/>
        <v>0</v>
      </c>
      <c r="BU25" s="142">
        <f t="shared" si="10"/>
        <v>0</v>
      </c>
      <c r="BV25" s="142">
        <f t="shared" si="10"/>
        <v>0</v>
      </c>
      <c r="BW25" s="142">
        <f t="shared" si="10"/>
        <v>0</v>
      </c>
      <c r="BX25" s="142">
        <f t="shared" si="10"/>
        <v>0</v>
      </c>
      <c r="BY25" s="142">
        <f t="shared" si="10"/>
        <v>0</v>
      </c>
      <c r="BZ25" s="142">
        <f t="shared" si="10"/>
        <v>0</v>
      </c>
      <c r="CA25" s="142">
        <f t="shared" si="10"/>
        <v>0</v>
      </c>
      <c r="CB25" s="142">
        <f t="shared" si="10"/>
        <v>0</v>
      </c>
      <c r="CC25" s="142">
        <f t="shared" si="10"/>
        <v>0</v>
      </c>
      <c r="CD25" s="142">
        <f t="shared" si="10"/>
        <v>0</v>
      </c>
      <c r="CE25" s="142">
        <f t="shared" si="10"/>
        <v>0</v>
      </c>
      <c r="CF25" s="142">
        <f t="shared" si="10"/>
        <v>0</v>
      </c>
      <c r="CG25" s="142">
        <f t="shared" si="10"/>
        <v>0.08333333333</v>
      </c>
      <c r="CH25" s="142">
        <f t="shared" si="10"/>
        <v>0.08333333333</v>
      </c>
      <c r="CI25" s="142">
        <f t="shared" si="10"/>
        <v>0.08333333333</v>
      </c>
      <c r="CJ25" s="142">
        <f t="shared" si="10"/>
        <v>0.08333333333</v>
      </c>
      <c r="CK25" s="142">
        <f t="shared" si="10"/>
        <v>0.08333333333</v>
      </c>
      <c r="CL25" s="142">
        <f t="shared" si="10"/>
        <v>0.08333333333</v>
      </c>
      <c r="CM25" s="142">
        <f t="shared" si="10"/>
        <v>0.08333333333</v>
      </c>
      <c r="CN25" s="142">
        <f t="shared" si="10"/>
        <v>0.08333333333</v>
      </c>
      <c r="CO25" s="142">
        <f t="shared" si="10"/>
        <v>0.08333333333</v>
      </c>
      <c r="CP25" s="142">
        <f t="shared" si="10"/>
        <v>0.08333333333</v>
      </c>
      <c r="CQ25" s="142">
        <f t="shared" si="10"/>
        <v>0.08333333333</v>
      </c>
      <c r="CR25" s="142">
        <f t="shared" si="10"/>
        <v>0.08333333333</v>
      </c>
      <c r="CS25" s="142">
        <f t="shared" si="10"/>
        <v>0.08333333333</v>
      </c>
      <c r="CT25" s="142">
        <f t="shared" si="10"/>
        <v>0.08333333333</v>
      </c>
      <c r="CU25" s="142">
        <f t="shared" si="10"/>
        <v>0.08333333333</v>
      </c>
      <c r="CV25" s="142">
        <f t="shared" si="10"/>
        <v>0.08333333333</v>
      </c>
      <c r="CW25" s="142">
        <f t="shared" si="10"/>
        <v>0.08333333333</v>
      </c>
      <c r="CX25" s="142">
        <f t="shared" si="10"/>
        <v>0.08333333333</v>
      </c>
      <c r="CY25" s="142">
        <f t="shared" si="10"/>
        <v>0.08333333333</v>
      </c>
      <c r="CZ25" s="142">
        <f t="shared" si="10"/>
        <v>0.08333333333</v>
      </c>
      <c r="DA25" s="142">
        <f t="shared" si="10"/>
        <v>0.08333333333</v>
      </c>
      <c r="DB25" s="142">
        <f t="shared" si="10"/>
        <v>0.08333333333</v>
      </c>
      <c r="DC25" s="142">
        <f t="shared" si="10"/>
        <v>0.08333333333</v>
      </c>
      <c r="DD25" s="142">
        <f t="shared" si="10"/>
        <v>0.08333333333</v>
      </c>
      <c r="DE25" s="142">
        <f t="shared" si="10"/>
        <v>0.08333333333</v>
      </c>
      <c r="DF25" s="142">
        <f t="shared" si="10"/>
        <v>0.08333333333</v>
      </c>
      <c r="DG25" s="142">
        <f t="shared" si="10"/>
        <v>0.08333333333</v>
      </c>
      <c r="DH25" s="142">
        <f t="shared" si="10"/>
        <v>0.08333333333</v>
      </c>
      <c r="DI25" s="142">
        <f t="shared" si="10"/>
        <v>0.08333333333</v>
      </c>
      <c r="DJ25" s="142">
        <f t="shared" si="10"/>
        <v>0.08333333333</v>
      </c>
      <c r="DK25" s="142">
        <f t="shared" si="10"/>
        <v>0.08333333333</v>
      </c>
      <c r="DL25" s="142">
        <f t="shared" si="10"/>
        <v>0.08333333333</v>
      </c>
      <c r="DM25" s="142">
        <f t="shared" si="10"/>
        <v>0.08333333333</v>
      </c>
      <c r="DN25" s="142">
        <f t="shared" si="10"/>
        <v>0.08333333333</v>
      </c>
      <c r="DO25" s="142">
        <f t="shared" si="10"/>
        <v>0.08333333333</v>
      </c>
      <c r="DP25" s="142">
        <f t="shared" si="10"/>
        <v>0.08333333333</v>
      </c>
      <c r="DQ25" s="142">
        <f t="shared" si="10"/>
        <v>0.08333333333</v>
      </c>
      <c r="DR25" s="142">
        <f t="shared" si="10"/>
        <v>0.08333333333</v>
      </c>
    </row>
    <row r="26" ht="15.75" customHeight="1">
      <c r="B26" s="5" t="s">
        <v>128</v>
      </c>
      <c r="BN26" s="142"/>
      <c r="BO26" s="142"/>
      <c r="BP26" s="142"/>
      <c r="BQ26" s="142">
        <f t="shared" ref="BQ26:DR26" si="11">+IF(BQ$7=BP$7,BP26+BQ25,BQ25)</f>
        <v>0</v>
      </c>
      <c r="BR26" s="142">
        <f t="shared" si="11"/>
        <v>0</v>
      </c>
      <c r="BS26" s="142">
        <f t="shared" si="11"/>
        <v>0</v>
      </c>
      <c r="BT26" s="142">
        <f t="shared" si="11"/>
        <v>0</v>
      </c>
      <c r="BU26" s="142">
        <f t="shared" si="11"/>
        <v>0</v>
      </c>
      <c r="BV26" s="142">
        <f t="shared" si="11"/>
        <v>0</v>
      </c>
      <c r="BW26" s="142">
        <f t="shared" si="11"/>
        <v>0</v>
      </c>
      <c r="BX26" s="142">
        <f t="shared" si="11"/>
        <v>0</v>
      </c>
      <c r="BY26" s="142">
        <f t="shared" si="11"/>
        <v>0</v>
      </c>
      <c r="BZ26" s="142">
        <f t="shared" si="11"/>
        <v>0</v>
      </c>
      <c r="CA26" s="142">
        <f t="shared" si="11"/>
        <v>0</v>
      </c>
      <c r="CB26" s="142">
        <f t="shared" si="11"/>
        <v>0</v>
      </c>
      <c r="CC26" s="142">
        <f t="shared" si="11"/>
        <v>0</v>
      </c>
      <c r="CD26" s="142">
        <f t="shared" si="11"/>
        <v>0</v>
      </c>
      <c r="CE26" s="142">
        <f t="shared" si="11"/>
        <v>0</v>
      </c>
      <c r="CF26" s="142">
        <f t="shared" si="11"/>
        <v>0</v>
      </c>
      <c r="CG26" s="142">
        <f t="shared" si="11"/>
        <v>0.08333333333</v>
      </c>
      <c r="CH26" s="142">
        <f t="shared" si="11"/>
        <v>0.1666666667</v>
      </c>
      <c r="CI26" s="142">
        <f t="shared" si="11"/>
        <v>0.08333333333</v>
      </c>
      <c r="CJ26" s="142">
        <f t="shared" si="11"/>
        <v>0.1666666667</v>
      </c>
      <c r="CK26" s="142">
        <f t="shared" si="11"/>
        <v>0.25</v>
      </c>
      <c r="CL26" s="142">
        <f t="shared" si="11"/>
        <v>0.3333333333</v>
      </c>
      <c r="CM26" s="142">
        <f t="shared" si="11"/>
        <v>0.4166666667</v>
      </c>
      <c r="CN26" s="142">
        <f t="shared" si="11"/>
        <v>0.5</v>
      </c>
      <c r="CO26" s="142">
        <f t="shared" si="11"/>
        <v>0.5833333333</v>
      </c>
      <c r="CP26" s="142">
        <f t="shared" si="11"/>
        <v>0.6666666667</v>
      </c>
      <c r="CQ26" s="142">
        <f t="shared" si="11"/>
        <v>0.75</v>
      </c>
      <c r="CR26" s="142">
        <f t="shared" si="11"/>
        <v>0.8333333333</v>
      </c>
      <c r="CS26" s="142">
        <f t="shared" si="11"/>
        <v>0.9166666667</v>
      </c>
      <c r="CT26" s="142">
        <f t="shared" si="11"/>
        <v>1</v>
      </c>
      <c r="CU26" s="142">
        <f t="shared" si="11"/>
        <v>0.08333333333</v>
      </c>
      <c r="CV26" s="142">
        <f t="shared" si="11"/>
        <v>0.1666666667</v>
      </c>
      <c r="CW26" s="142">
        <f t="shared" si="11"/>
        <v>0.25</v>
      </c>
      <c r="CX26" s="142">
        <f t="shared" si="11"/>
        <v>0.3333333333</v>
      </c>
      <c r="CY26" s="142">
        <f t="shared" si="11"/>
        <v>0.4166666667</v>
      </c>
      <c r="CZ26" s="142">
        <f t="shared" si="11"/>
        <v>0.5</v>
      </c>
      <c r="DA26" s="142">
        <f t="shared" si="11"/>
        <v>0.5833333333</v>
      </c>
      <c r="DB26" s="142">
        <f t="shared" si="11"/>
        <v>0.6666666667</v>
      </c>
      <c r="DC26" s="142">
        <f t="shared" si="11"/>
        <v>0.75</v>
      </c>
      <c r="DD26" s="142">
        <f t="shared" si="11"/>
        <v>0.8333333333</v>
      </c>
      <c r="DE26" s="142">
        <f t="shared" si="11"/>
        <v>0.9166666667</v>
      </c>
      <c r="DF26" s="142">
        <f t="shared" si="11"/>
        <v>1</v>
      </c>
      <c r="DG26" s="142">
        <f t="shared" si="11"/>
        <v>0.08333333333</v>
      </c>
      <c r="DH26" s="142">
        <f t="shared" si="11"/>
        <v>0.1666666667</v>
      </c>
      <c r="DI26" s="142">
        <f t="shared" si="11"/>
        <v>0.25</v>
      </c>
      <c r="DJ26" s="142">
        <f t="shared" si="11"/>
        <v>0.3333333333</v>
      </c>
      <c r="DK26" s="142">
        <f t="shared" si="11"/>
        <v>0.4166666667</v>
      </c>
      <c r="DL26" s="142">
        <f t="shared" si="11"/>
        <v>0.5</v>
      </c>
      <c r="DM26" s="142">
        <f t="shared" si="11"/>
        <v>0.5833333333</v>
      </c>
      <c r="DN26" s="142">
        <f t="shared" si="11"/>
        <v>0.6666666667</v>
      </c>
      <c r="DO26" s="142">
        <f t="shared" si="11"/>
        <v>0.75</v>
      </c>
      <c r="DP26" s="142">
        <f t="shared" si="11"/>
        <v>0.8333333333</v>
      </c>
      <c r="DQ26" s="142">
        <f t="shared" si="11"/>
        <v>0.9166666667</v>
      </c>
      <c r="DR26" s="142">
        <f t="shared" si="11"/>
        <v>1</v>
      </c>
    </row>
    <row r="27" ht="4.5" customHeight="1"/>
    <row r="28" ht="15.75" customHeight="1">
      <c r="B28" s="99" t="s">
        <v>76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0"/>
      <c r="BK28" s="100"/>
      <c r="BL28" s="100"/>
      <c r="BM28" s="100"/>
      <c r="BN28" s="100"/>
      <c r="BO28" s="100"/>
      <c r="BP28" s="100"/>
      <c r="BQ28" s="100"/>
      <c r="BR28" s="100"/>
      <c r="BS28" s="100"/>
      <c r="BT28" s="100"/>
      <c r="BU28" s="100"/>
      <c r="BV28" s="100"/>
      <c r="BW28" s="100"/>
      <c r="BX28" s="100"/>
      <c r="BY28" s="100"/>
      <c r="BZ28" s="100"/>
      <c r="CA28" s="100"/>
      <c r="CB28" s="100"/>
      <c r="CC28" s="100"/>
      <c r="CD28" s="100"/>
      <c r="CE28" s="100"/>
      <c r="CF28" s="100"/>
      <c r="CG28" s="100"/>
      <c r="CH28" s="100"/>
      <c r="CI28" s="100"/>
      <c r="CJ28" s="100"/>
      <c r="CK28" s="100"/>
      <c r="CL28" s="100"/>
      <c r="CM28" s="100"/>
      <c r="CN28" s="100"/>
      <c r="CO28" s="100"/>
      <c r="CP28" s="100"/>
      <c r="CQ28" s="100"/>
      <c r="CR28" s="100"/>
      <c r="CS28" s="100"/>
      <c r="CT28" s="100"/>
      <c r="CU28" s="100"/>
      <c r="CV28" s="100"/>
      <c r="CW28" s="100"/>
      <c r="CX28" s="100"/>
      <c r="CY28" s="100"/>
      <c r="CZ28" s="100"/>
      <c r="DA28" s="100"/>
      <c r="DB28" s="100"/>
      <c r="DC28" s="100"/>
      <c r="DD28" s="100"/>
      <c r="DE28" s="100"/>
      <c r="DF28" s="100"/>
      <c r="DG28" s="100"/>
      <c r="DH28" s="100"/>
      <c r="DI28" s="100"/>
      <c r="DJ28" s="100"/>
      <c r="DK28" s="100"/>
      <c r="DL28" s="100"/>
      <c r="DM28" s="100"/>
      <c r="DN28" s="100"/>
      <c r="DO28" s="100"/>
      <c r="DP28" s="100"/>
      <c r="DQ28" s="100"/>
      <c r="DR28" s="100"/>
    </row>
    <row r="29" ht="15.75" customHeight="1">
      <c r="B29" s="5" t="s">
        <v>183</v>
      </c>
      <c r="BN29" s="102"/>
      <c r="BO29" s="102"/>
      <c r="BP29" s="102"/>
      <c r="BQ29" s="102">
        <f>SUMIFS(Revenue_Assumptions!$I$24:$M$24,Revenue_Assumptions!$I$7:$M$7,BQ$7)/12</f>
        <v>0.08333333333</v>
      </c>
      <c r="BR29" s="102">
        <f>SUMIFS(Revenue_Assumptions!$I$24:$M$24,Revenue_Assumptions!$I$7:$M$7,BR$7)/12</f>
        <v>0.08333333333</v>
      </c>
      <c r="BS29" s="102">
        <f>SUMIFS(Revenue_Assumptions!$I$24:$M$24,Revenue_Assumptions!$I$7:$M$7,BS$7)/12</f>
        <v>0.08333333333</v>
      </c>
      <c r="BT29" s="102">
        <f>SUMIFS(Revenue_Assumptions!$I$24:$M$24,Revenue_Assumptions!$I$7:$M$7,BT$7)/12</f>
        <v>0.08333333333</v>
      </c>
      <c r="BU29" s="102">
        <f>SUMIFS(Revenue_Assumptions!$I$24:$M$24,Revenue_Assumptions!$I$7:$M$7,BU$7)/12</f>
        <v>0.08333333333</v>
      </c>
      <c r="BV29" s="102">
        <f>SUMIFS(Revenue_Assumptions!$I$24:$M$24,Revenue_Assumptions!$I$7:$M$7,BV$7)/12</f>
        <v>0.08333333333</v>
      </c>
      <c r="BW29" s="102">
        <f>SUMIFS(Revenue_Assumptions!$I$24:$M$24,Revenue_Assumptions!$I$7:$M$7,BW$7)/12</f>
        <v>0.08333333333</v>
      </c>
      <c r="BX29" s="102">
        <f>SUMIFS(Revenue_Assumptions!$I$24:$M$24,Revenue_Assumptions!$I$7:$M$7,BX$7)/12</f>
        <v>0.08333333333</v>
      </c>
      <c r="BY29" s="102">
        <f>SUMIFS(Revenue_Assumptions!$I$24:$M$24,Revenue_Assumptions!$I$7:$M$7,BY$7)/12</f>
        <v>0.08333333333</v>
      </c>
      <c r="BZ29" s="102">
        <f>SUMIFS(Revenue_Assumptions!$I$24:$M$24,Revenue_Assumptions!$I$7:$M$7,BZ$7)/12</f>
        <v>0.08333333333</v>
      </c>
      <c r="CA29" s="102">
        <f>SUMIFS(Revenue_Assumptions!$I$24:$M$24,Revenue_Assumptions!$I$7:$M$7,CA$7)/12</f>
        <v>0.08333333333</v>
      </c>
      <c r="CB29" s="102">
        <f>SUMIFS(Revenue_Assumptions!$I$24:$M$24,Revenue_Assumptions!$I$7:$M$7,CB$7)/12</f>
        <v>0.08333333333</v>
      </c>
      <c r="CC29" s="102">
        <f>SUMIFS(Revenue_Assumptions!$I$24:$M$24,Revenue_Assumptions!$I$7:$M$7,CC$7)/12</f>
        <v>0.08333333333</v>
      </c>
      <c r="CD29" s="102">
        <f>SUMIFS(Revenue_Assumptions!$I$24:$M$24,Revenue_Assumptions!$I$7:$M$7,CD$7)/12</f>
        <v>0.08333333333</v>
      </c>
      <c r="CE29" s="102">
        <f>SUMIFS(Revenue_Assumptions!$I$24:$M$24,Revenue_Assumptions!$I$7:$M$7,CE$7)/12</f>
        <v>0.08333333333</v>
      </c>
      <c r="CF29" s="102">
        <f>SUMIFS(Revenue_Assumptions!$I$24:$M$24,Revenue_Assumptions!$I$7:$M$7,CF$7)/12</f>
        <v>0.08333333333</v>
      </c>
      <c r="CG29" s="102">
        <f>SUMIFS(Revenue_Assumptions!$I$24:$M$24,Revenue_Assumptions!$I$7:$M$7,CG$7)/12</f>
        <v>0.08333333333</v>
      </c>
      <c r="CH29" s="102">
        <f>SUMIFS(Revenue_Assumptions!$I$24:$M$24,Revenue_Assumptions!$I$7:$M$7,CH$7)/12</f>
        <v>0.08333333333</v>
      </c>
      <c r="CI29" s="102">
        <f>SUMIFS(Revenue_Assumptions!$I$24:$M$24,Revenue_Assumptions!$I$7:$M$7,CI$7)/12</f>
        <v>0.08333333333</v>
      </c>
      <c r="CJ29" s="102">
        <f>SUMIFS(Revenue_Assumptions!$I$24:$M$24,Revenue_Assumptions!$I$7:$M$7,CJ$7)/12</f>
        <v>0.08333333333</v>
      </c>
      <c r="CK29" s="102">
        <f>SUMIFS(Revenue_Assumptions!$I$24:$M$24,Revenue_Assumptions!$I$7:$M$7,CK$7)/12</f>
        <v>0.08333333333</v>
      </c>
      <c r="CL29" s="102">
        <f>SUMIFS(Revenue_Assumptions!$I$24:$M$24,Revenue_Assumptions!$I$7:$M$7,CL$7)/12</f>
        <v>0.08333333333</v>
      </c>
      <c r="CM29" s="102">
        <f>SUMIFS(Revenue_Assumptions!$I$24:$M$24,Revenue_Assumptions!$I$7:$M$7,CM$7)/12</f>
        <v>0.08333333333</v>
      </c>
      <c r="CN29" s="102">
        <f>SUMIFS(Revenue_Assumptions!$I$24:$M$24,Revenue_Assumptions!$I$7:$M$7,CN$7)/12</f>
        <v>0.08333333333</v>
      </c>
      <c r="CO29" s="102">
        <f>SUMIFS(Revenue_Assumptions!$I$24:$M$24,Revenue_Assumptions!$I$7:$M$7,CO$7)/12</f>
        <v>0.08333333333</v>
      </c>
      <c r="CP29" s="102">
        <f>SUMIFS(Revenue_Assumptions!$I$24:$M$24,Revenue_Assumptions!$I$7:$M$7,CP$7)/12</f>
        <v>0.08333333333</v>
      </c>
      <c r="CQ29" s="102">
        <f>SUMIFS(Revenue_Assumptions!$I$24:$M$24,Revenue_Assumptions!$I$7:$M$7,CQ$7)/12</f>
        <v>0.08333333333</v>
      </c>
      <c r="CR29" s="102">
        <f>SUMIFS(Revenue_Assumptions!$I$24:$M$24,Revenue_Assumptions!$I$7:$M$7,CR$7)/12</f>
        <v>0.08333333333</v>
      </c>
      <c r="CS29" s="102">
        <f>SUMIFS(Revenue_Assumptions!$I$24:$M$24,Revenue_Assumptions!$I$7:$M$7,CS$7)/12</f>
        <v>0.08333333333</v>
      </c>
      <c r="CT29" s="102">
        <f>SUMIFS(Revenue_Assumptions!$I$24:$M$24,Revenue_Assumptions!$I$7:$M$7,CT$7)/12</f>
        <v>0.08333333333</v>
      </c>
      <c r="CU29" s="102">
        <f>SUMIFS(Revenue_Assumptions!$I$24:$M$24,Revenue_Assumptions!$I$7:$M$7,CU$7)/12</f>
        <v>0.08333333333</v>
      </c>
      <c r="CV29" s="102">
        <f>SUMIFS(Revenue_Assumptions!$I$24:$M$24,Revenue_Assumptions!$I$7:$M$7,CV$7)/12</f>
        <v>0.08333333333</v>
      </c>
      <c r="CW29" s="102">
        <f>SUMIFS(Revenue_Assumptions!$I$24:$M$24,Revenue_Assumptions!$I$7:$M$7,CW$7)/12</f>
        <v>0.08333333333</v>
      </c>
      <c r="CX29" s="102">
        <f>SUMIFS(Revenue_Assumptions!$I$24:$M$24,Revenue_Assumptions!$I$7:$M$7,CX$7)/12</f>
        <v>0.08333333333</v>
      </c>
      <c r="CY29" s="102">
        <f>SUMIFS(Revenue_Assumptions!$I$24:$M$24,Revenue_Assumptions!$I$7:$M$7,CY$7)/12</f>
        <v>0.08333333333</v>
      </c>
      <c r="CZ29" s="102">
        <f>SUMIFS(Revenue_Assumptions!$I$24:$M$24,Revenue_Assumptions!$I$7:$M$7,CZ$7)/12</f>
        <v>0.08333333333</v>
      </c>
      <c r="DA29" s="102">
        <f>SUMIFS(Revenue_Assumptions!$I$24:$M$24,Revenue_Assumptions!$I$7:$M$7,DA$7)/12</f>
        <v>0.08333333333</v>
      </c>
      <c r="DB29" s="102">
        <f>SUMIFS(Revenue_Assumptions!$I$24:$M$24,Revenue_Assumptions!$I$7:$M$7,DB$7)/12</f>
        <v>0.08333333333</v>
      </c>
      <c r="DC29" s="102">
        <f>SUMIFS(Revenue_Assumptions!$I$24:$M$24,Revenue_Assumptions!$I$7:$M$7,DC$7)/12</f>
        <v>0.08333333333</v>
      </c>
      <c r="DD29" s="102">
        <f>SUMIFS(Revenue_Assumptions!$I$24:$M$24,Revenue_Assumptions!$I$7:$M$7,DD$7)/12</f>
        <v>0.08333333333</v>
      </c>
      <c r="DE29" s="102">
        <f>SUMIFS(Revenue_Assumptions!$I$24:$M$24,Revenue_Assumptions!$I$7:$M$7,DE$7)/12</f>
        <v>0.08333333333</v>
      </c>
      <c r="DF29" s="102">
        <f>SUMIFS(Revenue_Assumptions!$I$24:$M$24,Revenue_Assumptions!$I$7:$M$7,DF$7)/12</f>
        <v>0.08333333333</v>
      </c>
      <c r="DG29" s="102">
        <f>SUMIFS(Revenue_Assumptions!$I$24:$M$24,Revenue_Assumptions!$I$7:$M$7,DG$7)/12</f>
        <v>0.08333333333</v>
      </c>
      <c r="DH29" s="102">
        <f>SUMIFS(Revenue_Assumptions!$I$24:$M$24,Revenue_Assumptions!$I$7:$M$7,DH$7)/12</f>
        <v>0.08333333333</v>
      </c>
      <c r="DI29" s="102">
        <f>SUMIFS(Revenue_Assumptions!$I$24:$M$24,Revenue_Assumptions!$I$7:$M$7,DI$7)/12</f>
        <v>0.08333333333</v>
      </c>
      <c r="DJ29" s="102">
        <f>SUMIFS(Revenue_Assumptions!$I$24:$M$24,Revenue_Assumptions!$I$7:$M$7,DJ$7)/12</f>
        <v>0.08333333333</v>
      </c>
      <c r="DK29" s="102">
        <f>SUMIFS(Revenue_Assumptions!$I$24:$M$24,Revenue_Assumptions!$I$7:$M$7,DK$7)/12</f>
        <v>0.08333333333</v>
      </c>
      <c r="DL29" s="102">
        <f>SUMIFS(Revenue_Assumptions!$I$24:$M$24,Revenue_Assumptions!$I$7:$M$7,DL$7)/12</f>
        <v>0.08333333333</v>
      </c>
      <c r="DM29" s="102">
        <f>SUMIFS(Revenue_Assumptions!$I$24:$M$24,Revenue_Assumptions!$I$7:$M$7,DM$7)/12</f>
        <v>0.08333333333</v>
      </c>
      <c r="DN29" s="102">
        <f>SUMIFS(Revenue_Assumptions!$I$24:$M$24,Revenue_Assumptions!$I$7:$M$7,DN$7)/12</f>
        <v>0.08333333333</v>
      </c>
      <c r="DO29" s="102">
        <f>SUMIFS(Revenue_Assumptions!$I$24:$M$24,Revenue_Assumptions!$I$7:$M$7,DO$7)/12</f>
        <v>0.08333333333</v>
      </c>
      <c r="DP29" s="102">
        <f>SUMIFS(Revenue_Assumptions!$I$24:$M$24,Revenue_Assumptions!$I$7:$M$7,DP$7)/12</f>
        <v>0.08333333333</v>
      </c>
      <c r="DQ29" s="102">
        <f>SUMIFS(Revenue_Assumptions!$I$24:$M$24,Revenue_Assumptions!$I$7:$M$7,DQ$7)/12</f>
        <v>0.08333333333</v>
      </c>
      <c r="DR29" s="102">
        <f>SUMIFS(Revenue_Assumptions!$I$24:$M$24,Revenue_Assumptions!$I$7:$M$7,DR$7)/12</f>
        <v>0.08333333333</v>
      </c>
      <c r="DU29" s="5" t="str">
        <f>+OFFSET(BU49,0,-$C$14)</f>
        <v/>
      </c>
    </row>
    <row r="30" ht="15.75" customHeight="1">
      <c r="B30" s="5" t="s">
        <v>139</v>
      </c>
      <c r="BN30" s="102"/>
      <c r="BO30" s="102"/>
      <c r="BP30" s="102"/>
      <c r="BQ30" s="102">
        <f t="shared" ref="BQ30:DR30" si="12">+SUM(OFFSET(BQ29,0,-$C$12):BQ29)</f>
        <v>0.08333333333</v>
      </c>
      <c r="BR30" s="102">
        <f t="shared" si="12"/>
        <v>0.1666666667</v>
      </c>
      <c r="BS30" s="102">
        <f t="shared" si="12"/>
        <v>0.25</v>
      </c>
      <c r="BT30" s="102">
        <f t="shared" si="12"/>
        <v>0.3333333333</v>
      </c>
      <c r="BU30" s="102">
        <f t="shared" si="12"/>
        <v>0.4166666667</v>
      </c>
      <c r="BV30" s="102">
        <f t="shared" si="12"/>
        <v>0.5</v>
      </c>
      <c r="BW30" s="102">
        <f t="shared" si="12"/>
        <v>0.5833333333</v>
      </c>
      <c r="BX30" s="102">
        <f t="shared" si="12"/>
        <v>0.6666666667</v>
      </c>
      <c r="BY30" s="102">
        <f t="shared" si="12"/>
        <v>0.75</v>
      </c>
      <c r="BZ30" s="102">
        <f t="shared" si="12"/>
        <v>0.75</v>
      </c>
      <c r="CA30" s="102">
        <f t="shared" si="12"/>
        <v>0.75</v>
      </c>
      <c r="CB30" s="102">
        <f t="shared" si="12"/>
        <v>0.75</v>
      </c>
      <c r="CC30" s="102">
        <f t="shared" si="12"/>
        <v>0.75</v>
      </c>
      <c r="CD30" s="102">
        <f t="shared" si="12"/>
        <v>0.75</v>
      </c>
      <c r="CE30" s="102">
        <f t="shared" si="12"/>
        <v>0.75</v>
      </c>
      <c r="CF30" s="102">
        <f t="shared" si="12"/>
        <v>0.75</v>
      </c>
      <c r="CG30" s="102">
        <f t="shared" si="12"/>
        <v>0.75</v>
      </c>
      <c r="CH30" s="102">
        <f t="shared" si="12"/>
        <v>0.75</v>
      </c>
      <c r="CI30" s="102">
        <f t="shared" si="12"/>
        <v>0.75</v>
      </c>
      <c r="CJ30" s="102">
        <f t="shared" si="12"/>
        <v>0.75</v>
      </c>
      <c r="CK30" s="102">
        <f t="shared" si="12"/>
        <v>0.75</v>
      </c>
      <c r="CL30" s="102">
        <f t="shared" si="12"/>
        <v>0.75</v>
      </c>
      <c r="CM30" s="102">
        <f t="shared" si="12"/>
        <v>0.75</v>
      </c>
      <c r="CN30" s="102">
        <f t="shared" si="12"/>
        <v>0.75</v>
      </c>
      <c r="CO30" s="102">
        <f t="shared" si="12"/>
        <v>0.75</v>
      </c>
      <c r="CP30" s="102">
        <f t="shared" si="12"/>
        <v>0.75</v>
      </c>
      <c r="CQ30" s="102">
        <f t="shared" si="12"/>
        <v>0.75</v>
      </c>
      <c r="CR30" s="102">
        <f t="shared" si="12"/>
        <v>0.75</v>
      </c>
      <c r="CS30" s="102">
        <f t="shared" si="12"/>
        <v>0.75</v>
      </c>
      <c r="CT30" s="102">
        <f t="shared" si="12"/>
        <v>0.75</v>
      </c>
      <c r="CU30" s="102">
        <f t="shared" si="12"/>
        <v>0.75</v>
      </c>
      <c r="CV30" s="102">
        <f t="shared" si="12"/>
        <v>0.75</v>
      </c>
      <c r="CW30" s="102">
        <f t="shared" si="12"/>
        <v>0.75</v>
      </c>
      <c r="CX30" s="102">
        <f t="shared" si="12"/>
        <v>0.75</v>
      </c>
      <c r="CY30" s="102">
        <f t="shared" si="12"/>
        <v>0.75</v>
      </c>
      <c r="CZ30" s="102">
        <f t="shared" si="12"/>
        <v>0.75</v>
      </c>
      <c r="DA30" s="102">
        <f t="shared" si="12"/>
        <v>0.75</v>
      </c>
      <c r="DB30" s="102">
        <f t="shared" si="12"/>
        <v>0.75</v>
      </c>
      <c r="DC30" s="102">
        <f t="shared" si="12"/>
        <v>0.75</v>
      </c>
      <c r="DD30" s="102">
        <f t="shared" si="12"/>
        <v>0.75</v>
      </c>
      <c r="DE30" s="102">
        <f t="shared" si="12"/>
        <v>0.75</v>
      </c>
      <c r="DF30" s="102">
        <f t="shared" si="12"/>
        <v>0.75</v>
      </c>
      <c r="DG30" s="102">
        <f t="shared" si="12"/>
        <v>0.75</v>
      </c>
      <c r="DH30" s="102">
        <f t="shared" si="12"/>
        <v>0.75</v>
      </c>
      <c r="DI30" s="102">
        <f t="shared" si="12"/>
        <v>0.75</v>
      </c>
      <c r="DJ30" s="102">
        <f t="shared" si="12"/>
        <v>0.75</v>
      </c>
      <c r="DK30" s="102">
        <f t="shared" si="12"/>
        <v>0.75</v>
      </c>
      <c r="DL30" s="102">
        <f t="shared" si="12"/>
        <v>0.75</v>
      </c>
      <c r="DM30" s="102">
        <f t="shared" si="12"/>
        <v>0.75</v>
      </c>
      <c r="DN30" s="102">
        <f t="shared" si="12"/>
        <v>0.75</v>
      </c>
      <c r="DO30" s="102">
        <f t="shared" si="12"/>
        <v>0.75</v>
      </c>
      <c r="DP30" s="102">
        <f t="shared" si="12"/>
        <v>0.75</v>
      </c>
      <c r="DQ30" s="102">
        <f t="shared" si="12"/>
        <v>0.75</v>
      </c>
      <c r="DR30" s="102">
        <f t="shared" si="12"/>
        <v>0.75</v>
      </c>
    </row>
    <row r="31" ht="4.5" customHeight="1"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/>
      <c r="CM31" s="52"/>
      <c r="CN31" s="52"/>
      <c r="CO31" s="52"/>
      <c r="CP31" s="52"/>
      <c r="CQ31" s="52"/>
      <c r="CR31" s="52"/>
      <c r="CS31" s="52"/>
      <c r="CT31" s="52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  <c r="DJ31" s="52"/>
      <c r="DK31" s="52"/>
      <c r="DL31" s="52"/>
      <c r="DM31" s="52"/>
      <c r="DN31" s="52"/>
      <c r="DO31" s="52"/>
      <c r="DP31" s="52"/>
      <c r="DQ31" s="52"/>
      <c r="DR31" s="52"/>
    </row>
    <row r="32" ht="15.75" customHeight="1">
      <c r="B32" s="5" t="s">
        <v>130</v>
      </c>
      <c r="BN32" s="142"/>
      <c r="BO32" s="142"/>
      <c r="BP32" s="142"/>
      <c r="BQ32" s="142">
        <f t="shared" ref="BQ32:DR32" si="13">+SUMIFS($BN29:$DR29,$BN$17:$DR$17,BQ$8)</f>
        <v>0</v>
      </c>
      <c r="BR32" s="142">
        <f t="shared" si="13"/>
        <v>0</v>
      </c>
      <c r="BS32" s="142">
        <f t="shared" si="13"/>
        <v>0</v>
      </c>
      <c r="BT32" s="142">
        <f t="shared" si="13"/>
        <v>0</v>
      </c>
      <c r="BU32" s="142">
        <f t="shared" si="13"/>
        <v>0</v>
      </c>
      <c r="BV32" s="142">
        <f t="shared" si="13"/>
        <v>0</v>
      </c>
      <c r="BW32" s="142">
        <f t="shared" si="13"/>
        <v>0</v>
      </c>
      <c r="BX32" s="142">
        <f t="shared" si="13"/>
        <v>0</v>
      </c>
      <c r="BY32" s="142">
        <f t="shared" si="13"/>
        <v>0.08333333333</v>
      </c>
      <c r="BZ32" s="142">
        <f t="shared" si="13"/>
        <v>0.08333333333</v>
      </c>
      <c r="CA32" s="142">
        <f t="shared" si="13"/>
        <v>0.08333333333</v>
      </c>
      <c r="CB32" s="142">
        <f t="shared" si="13"/>
        <v>0.08333333333</v>
      </c>
      <c r="CC32" s="142">
        <f t="shared" si="13"/>
        <v>0.08333333333</v>
      </c>
      <c r="CD32" s="142">
        <f t="shared" si="13"/>
        <v>0.08333333333</v>
      </c>
      <c r="CE32" s="142">
        <f t="shared" si="13"/>
        <v>0.08333333333</v>
      </c>
      <c r="CF32" s="142">
        <f t="shared" si="13"/>
        <v>0.08333333333</v>
      </c>
      <c r="CG32" s="142">
        <f t="shared" si="13"/>
        <v>0.08333333333</v>
      </c>
      <c r="CH32" s="142">
        <f t="shared" si="13"/>
        <v>0.08333333333</v>
      </c>
      <c r="CI32" s="142">
        <f t="shared" si="13"/>
        <v>0.08333333333</v>
      </c>
      <c r="CJ32" s="142">
        <f t="shared" si="13"/>
        <v>0.08333333333</v>
      </c>
      <c r="CK32" s="142">
        <f t="shared" si="13"/>
        <v>0.08333333333</v>
      </c>
      <c r="CL32" s="142">
        <f t="shared" si="13"/>
        <v>0.08333333333</v>
      </c>
      <c r="CM32" s="142">
        <f t="shared" si="13"/>
        <v>0.08333333333</v>
      </c>
      <c r="CN32" s="142">
        <f t="shared" si="13"/>
        <v>0.08333333333</v>
      </c>
      <c r="CO32" s="142">
        <f t="shared" si="13"/>
        <v>0.08333333333</v>
      </c>
      <c r="CP32" s="142">
        <f t="shared" si="13"/>
        <v>0.08333333333</v>
      </c>
      <c r="CQ32" s="142">
        <f t="shared" si="13"/>
        <v>0.08333333333</v>
      </c>
      <c r="CR32" s="142">
        <f t="shared" si="13"/>
        <v>0.08333333333</v>
      </c>
      <c r="CS32" s="142">
        <f t="shared" si="13"/>
        <v>0.08333333333</v>
      </c>
      <c r="CT32" s="142">
        <f t="shared" si="13"/>
        <v>0.08333333333</v>
      </c>
      <c r="CU32" s="142">
        <f t="shared" si="13"/>
        <v>0.08333333333</v>
      </c>
      <c r="CV32" s="142">
        <f t="shared" si="13"/>
        <v>0.08333333333</v>
      </c>
      <c r="CW32" s="142">
        <f t="shared" si="13"/>
        <v>0.08333333333</v>
      </c>
      <c r="CX32" s="142">
        <f t="shared" si="13"/>
        <v>0.08333333333</v>
      </c>
      <c r="CY32" s="142">
        <f t="shared" si="13"/>
        <v>0.08333333333</v>
      </c>
      <c r="CZ32" s="142">
        <f t="shared" si="13"/>
        <v>0.08333333333</v>
      </c>
      <c r="DA32" s="142">
        <f t="shared" si="13"/>
        <v>0.08333333333</v>
      </c>
      <c r="DB32" s="142">
        <f t="shared" si="13"/>
        <v>0.08333333333</v>
      </c>
      <c r="DC32" s="142">
        <f t="shared" si="13"/>
        <v>0.08333333333</v>
      </c>
      <c r="DD32" s="142">
        <f t="shared" si="13"/>
        <v>0.08333333333</v>
      </c>
      <c r="DE32" s="142">
        <f t="shared" si="13"/>
        <v>0.08333333333</v>
      </c>
      <c r="DF32" s="142">
        <f t="shared" si="13"/>
        <v>0.08333333333</v>
      </c>
      <c r="DG32" s="142">
        <f t="shared" si="13"/>
        <v>0.08333333333</v>
      </c>
      <c r="DH32" s="142">
        <f t="shared" si="13"/>
        <v>0.08333333333</v>
      </c>
      <c r="DI32" s="142">
        <f t="shared" si="13"/>
        <v>0.08333333333</v>
      </c>
      <c r="DJ32" s="142">
        <f t="shared" si="13"/>
        <v>0.08333333333</v>
      </c>
      <c r="DK32" s="142">
        <f t="shared" si="13"/>
        <v>0.08333333333</v>
      </c>
      <c r="DL32" s="142">
        <f t="shared" si="13"/>
        <v>0.08333333333</v>
      </c>
      <c r="DM32" s="142">
        <f t="shared" si="13"/>
        <v>0.08333333333</v>
      </c>
      <c r="DN32" s="142">
        <f t="shared" si="13"/>
        <v>0.08333333333</v>
      </c>
      <c r="DO32" s="142">
        <f t="shared" si="13"/>
        <v>0.08333333333</v>
      </c>
      <c r="DP32" s="142">
        <f t="shared" si="13"/>
        <v>0.08333333333</v>
      </c>
      <c r="DQ32" s="142">
        <f t="shared" si="13"/>
        <v>0.08333333333</v>
      </c>
      <c r="DR32" s="142">
        <f t="shared" si="13"/>
        <v>0.08333333333</v>
      </c>
    </row>
    <row r="33" ht="15.75" customHeight="1">
      <c r="B33" s="5" t="s">
        <v>128</v>
      </c>
      <c r="BN33" s="142"/>
      <c r="BO33" s="142"/>
      <c r="BP33" s="142"/>
      <c r="BQ33" s="142">
        <f t="shared" ref="BQ33:DR33" si="14">+IF(BQ$7=BP$7,BP33+BQ32,BQ32)</f>
        <v>0</v>
      </c>
      <c r="BR33" s="142">
        <f t="shared" si="14"/>
        <v>0</v>
      </c>
      <c r="BS33" s="142">
        <f t="shared" si="14"/>
        <v>0</v>
      </c>
      <c r="BT33" s="142">
        <f t="shared" si="14"/>
        <v>0</v>
      </c>
      <c r="BU33" s="142">
        <f t="shared" si="14"/>
        <v>0</v>
      </c>
      <c r="BV33" s="142">
        <f t="shared" si="14"/>
        <v>0</v>
      </c>
      <c r="BW33" s="142">
        <f t="shared" si="14"/>
        <v>0</v>
      </c>
      <c r="BX33" s="142">
        <f t="shared" si="14"/>
        <v>0</v>
      </c>
      <c r="BY33" s="142">
        <f t="shared" si="14"/>
        <v>0.08333333333</v>
      </c>
      <c r="BZ33" s="142">
        <f t="shared" si="14"/>
        <v>0.1666666667</v>
      </c>
      <c r="CA33" s="142">
        <f t="shared" si="14"/>
        <v>0.25</v>
      </c>
      <c r="CB33" s="142">
        <f t="shared" si="14"/>
        <v>0.3333333333</v>
      </c>
      <c r="CC33" s="142">
        <f t="shared" si="14"/>
        <v>0.4166666667</v>
      </c>
      <c r="CD33" s="142">
        <f t="shared" si="14"/>
        <v>0.5</v>
      </c>
      <c r="CE33" s="142">
        <f t="shared" si="14"/>
        <v>0.5833333333</v>
      </c>
      <c r="CF33" s="142">
        <f t="shared" si="14"/>
        <v>0.6666666667</v>
      </c>
      <c r="CG33" s="142">
        <f t="shared" si="14"/>
        <v>0.75</v>
      </c>
      <c r="CH33" s="142">
        <f t="shared" si="14"/>
        <v>0.8333333333</v>
      </c>
      <c r="CI33" s="142">
        <f t="shared" si="14"/>
        <v>0.08333333333</v>
      </c>
      <c r="CJ33" s="142">
        <f t="shared" si="14"/>
        <v>0.1666666667</v>
      </c>
      <c r="CK33" s="142">
        <f t="shared" si="14"/>
        <v>0.25</v>
      </c>
      <c r="CL33" s="142">
        <f t="shared" si="14"/>
        <v>0.3333333333</v>
      </c>
      <c r="CM33" s="142">
        <f t="shared" si="14"/>
        <v>0.4166666667</v>
      </c>
      <c r="CN33" s="142">
        <f t="shared" si="14"/>
        <v>0.5</v>
      </c>
      <c r="CO33" s="142">
        <f t="shared" si="14"/>
        <v>0.5833333333</v>
      </c>
      <c r="CP33" s="142">
        <f t="shared" si="14"/>
        <v>0.6666666667</v>
      </c>
      <c r="CQ33" s="142">
        <f t="shared" si="14"/>
        <v>0.75</v>
      </c>
      <c r="CR33" s="142">
        <f t="shared" si="14"/>
        <v>0.8333333333</v>
      </c>
      <c r="CS33" s="142">
        <f t="shared" si="14"/>
        <v>0.9166666667</v>
      </c>
      <c r="CT33" s="142">
        <f t="shared" si="14"/>
        <v>1</v>
      </c>
      <c r="CU33" s="142">
        <f t="shared" si="14"/>
        <v>0.08333333333</v>
      </c>
      <c r="CV33" s="142">
        <f t="shared" si="14"/>
        <v>0.1666666667</v>
      </c>
      <c r="CW33" s="142">
        <f t="shared" si="14"/>
        <v>0.25</v>
      </c>
      <c r="CX33" s="142">
        <f t="shared" si="14"/>
        <v>0.3333333333</v>
      </c>
      <c r="CY33" s="142">
        <f t="shared" si="14"/>
        <v>0.4166666667</v>
      </c>
      <c r="CZ33" s="142">
        <f t="shared" si="14"/>
        <v>0.5</v>
      </c>
      <c r="DA33" s="142">
        <f t="shared" si="14"/>
        <v>0.5833333333</v>
      </c>
      <c r="DB33" s="142">
        <f t="shared" si="14"/>
        <v>0.6666666667</v>
      </c>
      <c r="DC33" s="142">
        <f t="shared" si="14"/>
        <v>0.75</v>
      </c>
      <c r="DD33" s="142">
        <f t="shared" si="14"/>
        <v>0.8333333333</v>
      </c>
      <c r="DE33" s="142">
        <f t="shared" si="14"/>
        <v>0.9166666667</v>
      </c>
      <c r="DF33" s="142">
        <f t="shared" si="14"/>
        <v>1</v>
      </c>
      <c r="DG33" s="142">
        <f t="shared" si="14"/>
        <v>0.08333333333</v>
      </c>
      <c r="DH33" s="142">
        <f t="shared" si="14"/>
        <v>0.1666666667</v>
      </c>
      <c r="DI33" s="142">
        <f t="shared" si="14"/>
        <v>0.25</v>
      </c>
      <c r="DJ33" s="142">
        <f t="shared" si="14"/>
        <v>0.3333333333</v>
      </c>
      <c r="DK33" s="142">
        <f t="shared" si="14"/>
        <v>0.4166666667</v>
      </c>
      <c r="DL33" s="142">
        <f t="shared" si="14"/>
        <v>0.5</v>
      </c>
      <c r="DM33" s="142">
        <f t="shared" si="14"/>
        <v>0.5833333333</v>
      </c>
      <c r="DN33" s="142">
        <f t="shared" si="14"/>
        <v>0.6666666667</v>
      </c>
      <c r="DO33" s="142">
        <f t="shared" si="14"/>
        <v>0.75</v>
      </c>
      <c r="DP33" s="142">
        <f t="shared" si="14"/>
        <v>0.8333333333</v>
      </c>
      <c r="DQ33" s="142">
        <f t="shared" si="14"/>
        <v>0.9166666667</v>
      </c>
      <c r="DR33" s="142">
        <f t="shared" si="14"/>
        <v>1</v>
      </c>
    </row>
    <row r="34" ht="4.5" customHeight="1"/>
    <row r="35" ht="15.75" customHeight="1">
      <c r="B35" s="99" t="s">
        <v>74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100"/>
      <c r="BM35" s="100"/>
      <c r="BN35" s="100"/>
      <c r="BO35" s="100"/>
      <c r="BP35" s="100"/>
      <c r="BQ35" s="100"/>
      <c r="BR35" s="100"/>
      <c r="BS35" s="100"/>
      <c r="BT35" s="100"/>
      <c r="BU35" s="100"/>
      <c r="BV35" s="100"/>
      <c r="BW35" s="100"/>
      <c r="BX35" s="100"/>
      <c r="BY35" s="100"/>
      <c r="BZ35" s="100"/>
      <c r="CA35" s="100"/>
      <c r="CB35" s="100"/>
      <c r="CC35" s="100"/>
      <c r="CD35" s="100"/>
      <c r="CE35" s="100"/>
      <c r="CF35" s="100"/>
      <c r="CG35" s="100"/>
      <c r="CH35" s="100"/>
      <c r="CI35" s="100"/>
      <c r="CJ35" s="100"/>
      <c r="CK35" s="100"/>
      <c r="CL35" s="100"/>
      <c r="CM35" s="100"/>
      <c r="CN35" s="100"/>
      <c r="CO35" s="100"/>
      <c r="CP35" s="100"/>
      <c r="CQ35" s="100"/>
      <c r="CR35" s="100"/>
      <c r="CS35" s="100"/>
      <c r="CT35" s="100"/>
      <c r="CU35" s="100"/>
      <c r="CV35" s="100"/>
      <c r="CW35" s="100"/>
      <c r="CX35" s="100"/>
      <c r="CY35" s="100"/>
      <c r="CZ35" s="100"/>
      <c r="DA35" s="100"/>
      <c r="DB35" s="100"/>
      <c r="DC35" s="100"/>
      <c r="DD35" s="100"/>
      <c r="DE35" s="100"/>
      <c r="DF35" s="100"/>
      <c r="DG35" s="100"/>
      <c r="DH35" s="100"/>
      <c r="DI35" s="100"/>
      <c r="DJ35" s="100"/>
      <c r="DK35" s="100"/>
      <c r="DL35" s="100"/>
      <c r="DM35" s="100"/>
      <c r="DN35" s="100"/>
      <c r="DO35" s="100"/>
      <c r="DP35" s="100"/>
      <c r="DQ35" s="100"/>
      <c r="DR35" s="100"/>
    </row>
    <row r="36" ht="15.75" customHeight="1">
      <c r="B36" s="5" t="s">
        <v>183</v>
      </c>
      <c r="BN36" s="102"/>
      <c r="BO36" s="102"/>
      <c r="BP36" s="102"/>
      <c r="BQ36" s="102">
        <f>SUMIFS(Revenue_Assumptions!$I$31:$M$31,Revenue_Assumptions!$I$7:$M$7,BQ$7)/12</f>
        <v>0.1666666667</v>
      </c>
      <c r="BR36" s="102">
        <f>SUMIFS(Revenue_Assumptions!$I$31:$M$31,Revenue_Assumptions!$I$7:$M$7,BR$7)/12</f>
        <v>0.1666666667</v>
      </c>
      <c r="BS36" s="102">
        <f>SUMIFS(Revenue_Assumptions!$I$31:$M$31,Revenue_Assumptions!$I$7:$M$7,BS$7)/12</f>
        <v>0.1666666667</v>
      </c>
      <c r="BT36" s="102">
        <f>SUMIFS(Revenue_Assumptions!$I$31:$M$31,Revenue_Assumptions!$I$7:$M$7,BT$7)/12</f>
        <v>0.1666666667</v>
      </c>
      <c r="BU36" s="102">
        <f>SUMIFS(Revenue_Assumptions!$I$31:$M$31,Revenue_Assumptions!$I$7:$M$7,BU$7)/12</f>
        <v>0.1666666667</v>
      </c>
      <c r="BV36" s="102">
        <f>SUMIFS(Revenue_Assumptions!$I$31:$M$31,Revenue_Assumptions!$I$7:$M$7,BV$7)/12</f>
        <v>0.1666666667</v>
      </c>
      <c r="BW36" s="102">
        <f>SUMIFS(Revenue_Assumptions!$I$31:$M$31,Revenue_Assumptions!$I$7:$M$7,BW$7)/12</f>
        <v>0.25</v>
      </c>
      <c r="BX36" s="102">
        <f>SUMIFS(Revenue_Assumptions!$I$31:$M$31,Revenue_Assumptions!$I$7:$M$7,BX$7)/12</f>
        <v>0.25</v>
      </c>
      <c r="BY36" s="102">
        <f>SUMIFS(Revenue_Assumptions!$I$31:$M$31,Revenue_Assumptions!$I$7:$M$7,BY$7)/12</f>
        <v>0.25</v>
      </c>
      <c r="BZ36" s="102">
        <f>SUMIFS(Revenue_Assumptions!$I$31:$M$31,Revenue_Assumptions!$I$7:$M$7,BZ$7)/12</f>
        <v>0.25</v>
      </c>
      <c r="CA36" s="102">
        <f>SUMIFS(Revenue_Assumptions!$I$31:$M$31,Revenue_Assumptions!$I$7:$M$7,CA$7)/12</f>
        <v>0.25</v>
      </c>
      <c r="CB36" s="102">
        <f>SUMIFS(Revenue_Assumptions!$I$31:$M$31,Revenue_Assumptions!$I$7:$M$7,CB$7)/12</f>
        <v>0.25</v>
      </c>
      <c r="CC36" s="102">
        <f>SUMIFS(Revenue_Assumptions!$I$31:$M$31,Revenue_Assumptions!$I$7:$M$7,CC$7)/12</f>
        <v>0.25</v>
      </c>
      <c r="CD36" s="102">
        <f>SUMIFS(Revenue_Assumptions!$I$31:$M$31,Revenue_Assumptions!$I$7:$M$7,CD$7)/12</f>
        <v>0.25</v>
      </c>
      <c r="CE36" s="102">
        <f>SUMIFS(Revenue_Assumptions!$I$31:$M$31,Revenue_Assumptions!$I$7:$M$7,CE$7)/12</f>
        <v>0.25</v>
      </c>
      <c r="CF36" s="102">
        <f>SUMIFS(Revenue_Assumptions!$I$31:$M$31,Revenue_Assumptions!$I$7:$M$7,CF$7)/12</f>
        <v>0.25</v>
      </c>
      <c r="CG36" s="102">
        <f>SUMIFS(Revenue_Assumptions!$I$31:$M$31,Revenue_Assumptions!$I$7:$M$7,CG$7)/12</f>
        <v>0.25</v>
      </c>
      <c r="CH36" s="102">
        <f>SUMIFS(Revenue_Assumptions!$I$31:$M$31,Revenue_Assumptions!$I$7:$M$7,CH$7)/12</f>
        <v>0.25</v>
      </c>
      <c r="CI36" s="102">
        <f>SUMIFS(Revenue_Assumptions!$I$31:$M$31,Revenue_Assumptions!$I$7:$M$7,CI$7)/12</f>
        <v>0.3333333333</v>
      </c>
      <c r="CJ36" s="102">
        <f>SUMIFS(Revenue_Assumptions!$I$31:$M$31,Revenue_Assumptions!$I$7:$M$7,CJ$7)/12</f>
        <v>0.3333333333</v>
      </c>
      <c r="CK36" s="102">
        <f>SUMIFS(Revenue_Assumptions!$I$31:$M$31,Revenue_Assumptions!$I$7:$M$7,CK$7)/12</f>
        <v>0.3333333333</v>
      </c>
      <c r="CL36" s="102">
        <f>SUMIFS(Revenue_Assumptions!$I$31:$M$31,Revenue_Assumptions!$I$7:$M$7,CL$7)/12</f>
        <v>0.3333333333</v>
      </c>
      <c r="CM36" s="102">
        <f>SUMIFS(Revenue_Assumptions!$I$31:$M$31,Revenue_Assumptions!$I$7:$M$7,CM$7)/12</f>
        <v>0.3333333333</v>
      </c>
      <c r="CN36" s="102">
        <f>SUMIFS(Revenue_Assumptions!$I$31:$M$31,Revenue_Assumptions!$I$7:$M$7,CN$7)/12</f>
        <v>0.3333333333</v>
      </c>
      <c r="CO36" s="102">
        <f>SUMIFS(Revenue_Assumptions!$I$31:$M$31,Revenue_Assumptions!$I$7:$M$7,CO$7)/12</f>
        <v>0.3333333333</v>
      </c>
      <c r="CP36" s="102">
        <f>SUMIFS(Revenue_Assumptions!$I$31:$M$31,Revenue_Assumptions!$I$7:$M$7,CP$7)/12</f>
        <v>0.3333333333</v>
      </c>
      <c r="CQ36" s="102">
        <f>SUMIFS(Revenue_Assumptions!$I$31:$M$31,Revenue_Assumptions!$I$7:$M$7,CQ$7)/12</f>
        <v>0.3333333333</v>
      </c>
      <c r="CR36" s="102">
        <f>SUMIFS(Revenue_Assumptions!$I$31:$M$31,Revenue_Assumptions!$I$7:$M$7,CR$7)/12</f>
        <v>0.3333333333</v>
      </c>
      <c r="CS36" s="102">
        <f>SUMIFS(Revenue_Assumptions!$I$31:$M$31,Revenue_Assumptions!$I$7:$M$7,CS$7)/12</f>
        <v>0.3333333333</v>
      </c>
      <c r="CT36" s="102">
        <f>SUMIFS(Revenue_Assumptions!$I$31:$M$31,Revenue_Assumptions!$I$7:$M$7,CT$7)/12</f>
        <v>0.3333333333</v>
      </c>
      <c r="CU36" s="102">
        <f>SUMIFS(Revenue_Assumptions!$I$31:$M$31,Revenue_Assumptions!$I$7:$M$7,CU$7)/12</f>
        <v>0.5</v>
      </c>
      <c r="CV36" s="102">
        <f>SUMIFS(Revenue_Assumptions!$I$31:$M$31,Revenue_Assumptions!$I$7:$M$7,CV$7)/12</f>
        <v>0.5</v>
      </c>
      <c r="CW36" s="102">
        <f>SUMIFS(Revenue_Assumptions!$I$31:$M$31,Revenue_Assumptions!$I$7:$M$7,CW$7)/12</f>
        <v>0.5</v>
      </c>
      <c r="CX36" s="102">
        <f>SUMIFS(Revenue_Assumptions!$I$31:$M$31,Revenue_Assumptions!$I$7:$M$7,CX$7)/12</f>
        <v>0.5</v>
      </c>
      <c r="CY36" s="102">
        <f>SUMIFS(Revenue_Assumptions!$I$31:$M$31,Revenue_Assumptions!$I$7:$M$7,CY$7)/12</f>
        <v>0.5</v>
      </c>
      <c r="CZ36" s="102">
        <f>SUMIFS(Revenue_Assumptions!$I$31:$M$31,Revenue_Assumptions!$I$7:$M$7,CZ$7)/12</f>
        <v>0.5</v>
      </c>
      <c r="DA36" s="102">
        <f>SUMIFS(Revenue_Assumptions!$I$31:$M$31,Revenue_Assumptions!$I$7:$M$7,DA$7)/12</f>
        <v>0.5</v>
      </c>
      <c r="DB36" s="102">
        <f>SUMIFS(Revenue_Assumptions!$I$31:$M$31,Revenue_Assumptions!$I$7:$M$7,DB$7)/12</f>
        <v>0.5</v>
      </c>
      <c r="DC36" s="102">
        <f>SUMIFS(Revenue_Assumptions!$I$31:$M$31,Revenue_Assumptions!$I$7:$M$7,DC$7)/12</f>
        <v>0.5</v>
      </c>
      <c r="DD36" s="102">
        <f>SUMIFS(Revenue_Assumptions!$I$31:$M$31,Revenue_Assumptions!$I$7:$M$7,DD$7)/12</f>
        <v>0.5</v>
      </c>
      <c r="DE36" s="102">
        <f>SUMIFS(Revenue_Assumptions!$I$31:$M$31,Revenue_Assumptions!$I$7:$M$7,DE$7)/12</f>
        <v>0.5</v>
      </c>
      <c r="DF36" s="102">
        <f>SUMIFS(Revenue_Assumptions!$I$31:$M$31,Revenue_Assumptions!$I$7:$M$7,DF$7)/12</f>
        <v>0.5</v>
      </c>
      <c r="DG36" s="102">
        <f>SUMIFS(Revenue_Assumptions!$I$31:$M$31,Revenue_Assumptions!$I$7:$M$7,DG$7)/12</f>
        <v>0.6666666667</v>
      </c>
      <c r="DH36" s="102">
        <f>SUMIFS(Revenue_Assumptions!$I$31:$M$31,Revenue_Assumptions!$I$7:$M$7,DH$7)/12</f>
        <v>0.6666666667</v>
      </c>
      <c r="DI36" s="102">
        <f>SUMIFS(Revenue_Assumptions!$I$31:$M$31,Revenue_Assumptions!$I$7:$M$7,DI$7)/12</f>
        <v>0.6666666667</v>
      </c>
      <c r="DJ36" s="102">
        <f>SUMIFS(Revenue_Assumptions!$I$31:$M$31,Revenue_Assumptions!$I$7:$M$7,DJ$7)/12</f>
        <v>0.6666666667</v>
      </c>
      <c r="DK36" s="102">
        <f>SUMIFS(Revenue_Assumptions!$I$31:$M$31,Revenue_Assumptions!$I$7:$M$7,DK$7)/12</f>
        <v>0.6666666667</v>
      </c>
      <c r="DL36" s="102">
        <f>SUMIFS(Revenue_Assumptions!$I$31:$M$31,Revenue_Assumptions!$I$7:$M$7,DL$7)/12</f>
        <v>0.6666666667</v>
      </c>
      <c r="DM36" s="102">
        <f>SUMIFS(Revenue_Assumptions!$I$31:$M$31,Revenue_Assumptions!$I$7:$M$7,DM$7)/12</f>
        <v>0.6666666667</v>
      </c>
      <c r="DN36" s="102">
        <f>SUMIFS(Revenue_Assumptions!$I$31:$M$31,Revenue_Assumptions!$I$7:$M$7,DN$7)/12</f>
        <v>0.6666666667</v>
      </c>
      <c r="DO36" s="102">
        <f>SUMIFS(Revenue_Assumptions!$I$31:$M$31,Revenue_Assumptions!$I$7:$M$7,DO$7)/12</f>
        <v>0.6666666667</v>
      </c>
      <c r="DP36" s="102">
        <f>SUMIFS(Revenue_Assumptions!$I$31:$M$31,Revenue_Assumptions!$I$7:$M$7,DP$7)/12</f>
        <v>0.6666666667</v>
      </c>
      <c r="DQ36" s="102">
        <f>SUMIFS(Revenue_Assumptions!$I$31:$M$31,Revenue_Assumptions!$I$7:$M$7,DQ$7)/12</f>
        <v>0.6666666667</v>
      </c>
      <c r="DR36" s="102">
        <f>SUMIFS(Revenue_Assumptions!$I$31:$M$31,Revenue_Assumptions!$I$7:$M$7,DR$7)/12</f>
        <v>0.6666666667</v>
      </c>
    </row>
    <row r="37" ht="15.75" customHeight="1">
      <c r="B37" s="5" t="s">
        <v>139</v>
      </c>
      <c r="BN37" s="102"/>
      <c r="BO37" s="102"/>
      <c r="BP37" s="102"/>
      <c r="BQ37" s="102">
        <f t="shared" ref="BQ37:DR37" si="15">+SUM(OFFSET(BQ36,0,-$C$13):BQ36)</f>
        <v>0.1666666667</v>
      </c>
      <c r="BR37" s="102">
        <f t="shared" si="15"/>
        <v>0.3333333333</v>
      </c>
      <c r="BS37" s="102">
        <f t="shared" si="15"/>
        <v>0.5</v>
      </c>
      <c r="BT37" s="102">
        <f t="shared" si="15"/>
        <v>0.6666666667</v>
      </c>
      <c r="BU37" s="102">
        <f t="shared" si="15"/>
        <v>0.8333333333</v>
      </c>
      <c r="BV37" s="102">
        <f t="shared" si="15"/>
        <v>1</v>
      </c>
      <c r="BW37" s="102">
        <f t="shared" si="15"/>
        <v>1.25</v>
      </c>
      <c r="BX37" s="102">
        <f t="shared" si="15"/>
        <v>1.333333333</v>
      </c>
      <c r="BY37" s="102">
        <f t="shared" si="15"/>
        <v>1.416666667</v>
      </c>
      <c r="BZ37" s="102">
        <f t="shared" si="15"/>
        <v>1.5</v>
      </c>
      <c r="CA37" s="102">
        <f t="shared" si="15"/>
        <v>1.583333333</v>
      </c>
      <c r="CB37" s="102">
        <f t="shared" si="15"/>
        <v>1.666666667</v>
      </c>
      <c r="CC37" s="102">
        <f t="shared" si="15"/>
        <v>1.75</v>
      </c>
      <c r="CD37" s="102">
        <f t="shared" si="15"/>
        <v>1.75</v>
      </c>
      <c r="CE37" s="102">
        <f t="shared" si="15"/>
        <v>1.75</v>
      </c>
      <c r="CF37" s="102">
        <f t="shared" si="15"/>
        <v>1.75</v>
      </c>
      <c r="CG37" s="102">
        <f t="shared" si="15"/>
        <v>1.75</v>
      </c>
      <c r="CH37" s="102">
        <f t="shared" si="15"/>
        <v>1.75</v>
      </c>
      <c r="CI37" s="102">
        <f t="shared" si="15"/>
        <v>1.833333333</v>
      </c>
      <c r="CJ37" s="102">
        <f t="shared" si="15"/>
        <v>1.916666667</v>
      </c>
      <c r="CK37" s="102">
        <f t="shared" si="15"/>
        <v>2</v>
      </c>
      <c r="CL37" s="102">
        <f t="shared" si="15"/>
        <v>2.083333333</v>
      </c>
      <c r="CM37" s="102">
        <f t="shared" si="15"/>
        <v>2.166666667</v>
      </c>
      <c r="CN37" s="102">
        <f t="shared" si="15"/>
        <v>2.25</v>
      </c>
      <c r="CO37" s="102">
        <f t="shared" si="15"/>
        <v>2.333333333</v>
      </c>
      <c r="CP37" s="102">
        <f t="shared" si="15"/>
        <v>2.333333333</v>
      </c>
      <c r="CQ37" s="102">
        <f t="shared" si="15"/>
        <v>2.333333333</v>
      </c>
      <c r="CR37" s="102">
        <f t="shared" si="15"/>
        <v>2.333333333</v>
      </c>
      <c r="CS37" s="102">
        <f t="shared" si="15"/>
        <v>2.333333333</v>
      </c>
      <c r="CT37" s="102">
        <f t="shared" si="15"/>
        <v>2.333333333</v>
      </c>
      <c r="CU37" s="102">
        <f t="shared" si="15"/>
        <v>2.5</v>
      </c>
      <c r="CV37" s="102">
        <f t="shared" si="15"/>
        <v>2.666666667</v>
      </c>
      <c r="CW37" s="102">
        <f t="shared" si="15"/>
        <v>2.833333333</v>
      </c>
      <c r="CX37" s="102">
        <f t="shared" si="15"/>
        <v>3</v>
      </c>
      <c r="CY37" s="102">
        <f t="shared" si="15"/>
        <v>3.166666667</v>
      </c>
      <c r="CZ37" s="102">
        <f t="shared" si="15"/>
        <v>3.333333333</v>
      </c>
      <c r="DA37" s="102">
        <f t="shared" si="15"/>
        <v>3.5</v>
      </c>
      <c r="DB37" s="102">
        <f t="shared" si="15"/>
        <v>3.5</v>
      </c>
      <c r="DC37" s="102">
        <f t="shared" si="15"/>
        <v>3.5</v>
      </c>
      <c r="DD37" s="102">
        <f t="shared" si="15"/>
        <v>3.5</v>
      </c>
      <c r="DE37" s="102">
        <f t="shared" si="15"/>
        <v>3.5</v>
      </c>
      <c r="DF37" s="102">
        <f t="shared" si="15"/>
        <v>3.5</v>
      </c>
      <c r="DG37" s="102">
        <f t="shared" si="15"/>
        <v>3.666666667</v>
      </c>
      <c r="DH37" s="102">
        <f t="shared" si="15"/>
        <v>3.833333333</v>
      </c>
      <c r="DI37" s="102">
        <f t="shared" si="15"/>
        <v>4</v>
      </c>
      <c r="DJ37" s="102">
        <f t="shared" si="15"/>
        <v>4.166666667</v>
      </c>
      <c r="DK37" s="102">
        <f t="shared" si="15"/>
        <v>4.333333333</v>
      </c>
      <c r="DL37" s="102">
        <f t="shared" si="15"/>
        <v>4.5</v>
      </c>
      <c r="DM37" s="102">
        <f t="shared" si="15"/>
        <v>4.666666667</v>
      </c>
      <c r="DN37" s="102">
        <f t="shared" si="15"/>
        <v>4.666666667</v>
      </c>
      <c r="DO37" s="102">
        <f t="shared" si="15"/>
        <v>4.666666667</v>
      </c>
      <c r="DP37" s="102">
        <f t="shared" si="15"/>
        <v>4.666666667</v>
      </c>
      <c r="DQ37" s="102">
        <f t="shared" si="15"/>
        <v>4.666666667</v>
      </c>
      <c r="DR37" s="102">
        <f t="shared" si="15"/>
        <v>4.666666667</v>
      </c>
    </row>
    <row r="38" ht="4.5" customHeight="1"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  <c r="DL38" s="52"/>
      <c r="DM38" s="52"/>
      <c r="DN38" s="52"/>
      <c r="DO38" s="52"/>
      <c r="DP38" s="52"/>
      <c r="DQ38" s="52"/>
      <c r="DR38" s="52"/>
    </row>
    <row r="39" ht="15.75" customHeight="1">
      <c r="B39" s="5" t="s">
        <v>130</v>
      </c>
      <c r="BN39" s="142"/>
      <c r="BO39" s="142"/>
      <c r="BP39" s="142"/>
      <c r="BQ39" s="142">
        <f t="shared" ref="BQ39:DR39" si="16">+SUMIFS($BN36:$DR36,$BN$18:$DR$18,BQ$8)</f>
        <v>0</v>
      </c>
      <c r="BR39" s="142">
        <f t="shared" si="16"/>
        <v>0</v>
      </c>
      <c r="BS39" s="142">
        <f t="shared" si="16"/>
        <v>0</v>
      </c>
      <c r="BT39" s="142">
        <f t="shared" si="16"/>
        <v>0</v>
      </c>
      <c r="BU39" s="142">
        <f t="shared" si="16"/>
        <v>0</v>
      </c>
      <c r="BV39" s="142">
        <f t="shared" si="16"/>
        <v>0</v>
      </c>
      <c r="BW39" s="142">
        <f t="shared" si="16"/>
        <v>0.1666666667</v>
      </c>
      <c r="BX39" s="142">
        <f t="shared" si="16"/>
        <v>0.1666666667</v>
      </c>
      <c r="BY39" s="142">
        <f t="shared" si="16"/>
        <v>0.1666666667</v>
      </c>
      <c r="BZ39" s="142">
        <f t="shared" si="16"/>
        <v>0.1666666667</v>
      </c>
      <c r="CA39" s="142">
        <f t="shared" si="16"/>
        <v>0.1666666667</v>
      </c>
      <c r="CB39" s="142">
        <f t="shared" si="16"/>
        <v>0.1666666667</v>
      </c>
      <c r="CC39" s="142">
        <f t="shared" si="16"/>
        <v>0.25</v>
      </c>
      <c r="CD39" s="142">
        <f t="shared" si="16"/>
        <v>0.25</v>
      </c>
      <c r="CE39" s="142">
        <f t="shared" si="16"/>
        <v>0.25</v>
      </c>
      <c r="CF39" s="142">
        <f t="shared" si="16"/>
        <v>0.25</v>
      </c>
      <c r="CG39" s="142">
        <f t="shared" si="16"/>
        <v>0.25</v>
      </c>
      <c r="CH39" s="142">
        <f t="shared" si="16"/>
        <v>0.25</v>
      </c>
      <c r="CI39" s="142">
        <f t="shared" si="16"/>
        <v>0.25</v>
      </c>
      <c r="CJ39" s="142">
        <f t="shared" si="16"/>
        <v>0.25</v>
      </c>
      <c r="CK39" s="142">
        <f t="shared" si="16"/>
        <v>0.25</v>
      </c>
      <c r="CL39" s="142">
        <f t="shared" si="16"/>
        <v>0.25</v>
      </c>
      <c r="CM39" s="142">
        <f t="shared" si="16"/>
        <v>0.25</v>
      </c>
      <c r="CN39" s="142">
        <f t="shared" si="16"/>
        <v>0.25</v>
      </c>
      <c r="CO39" s="142">
        <f t="shared" si="16"/>
        <v>0.3333333333</v>
      </c>
      <c r="CP39" s="142">
        <f t="shared" si="16"/>
        <v>0.3333333333</v>
      </c>
      <c r="CQ39" s="142">
        <f t="shared" si="16"/>
        <v>0.3333333333</v>
      </c>
      <c r="CR39" s="142">
        <f t="shared" si="16"/>
        <v>0.3333333333</v>
      </c>
      <c r="CS39" s="142">
        <f t="shared" si="16"/>
        <v>0.3333333333</v>
      </c>
      <c r="CT39" s="142">
        <f t="shared" si="16"/>
        <v>0.3333333333</v>
      </c>
      <c r="CU39" s="142">
        <f t="shared" si="16"/>
        <v>0.3333333333</v>
      </c>
      <c r="CV39" s="142">
        <f t="shared" si="16"/>
        <v>0.3333333333</v>
      </c>
      <c r="CW39" s="142">
        <f t="shared" si="16"/>
        <v>0.3333333333</v>
      </c>
      <c r="CX39" s="142">
        <f t="shared" si="16"/>
        <v>0.3333333333</v>
      </c>
      <c r="CY39" s="142">
        <f t="shared" si="16"/>
        <v>0.3333333333</v>
      </c>
      <c r="CZ39" s="142">
        <f t="shared" si="16"/>
        <v>0.3333333333</v>
      </c>
      <c r="DA39" s="142">
        <f t="shared" si="16"/>
        <v>0.5</v>
      </c>
      <c r="DB39" s="142">
        <f t="shared" si="16"/>
        <v>0.5</v>
      </c>
      <c r="DC39" s="142">
        <f t="shared" si="16"/>
        <v>0.5</v>
      </c>
      <c r="DD39" s="142">
        <f t="shared" si="16"/>
        <v>0.5</v>
      </c>
      <c r="DE39" s="142">
        <f t="shared" si="16"/>
        <v>0.5</v>
      </c>
      <c r="DF39" s="142">
        <f t="shared" si="16"/>
        <v>0.5</v>
      </c>
      <c r="DG39" s="142">
        <f t="shared" si="16"/>
        <v>0.5</v>
      </c>
      <c r="DH39" s="142">
        <f t="shared" si="16"/>
        <v>0.5</v>
      </c>
      <c r="DI39" s="142">
        <f t="shared" si="16"/>
        <v>0.5</v>
      </c>
      <c r="DJ39" s="142">
        <f t="shared" si="16"/>
        <v>0.5</v>
      </c>
      <c r="DK39" s="142">
        <f t="shared" si="16"/>
        <v>0.5</v>
      </c>
      <c r="DL39" s="142">
        <f t="shared" si="16"/>
        <v>0.5</v>
      </c>
      <c r="DM39" s="142">
        <f t="shared" si="16"/>
        <v>0.6666666667</v>
      </c>
      <c r="DN39" s="142">
        <f t="shared" si="16"/>
        <v>0.6666666667</v>
      </c>
      <c r="DO39" s="142">
        <f t="shared" si="16"/>
        <v>0.6666666667</v>
      </c>
      <c r="DP39" s="142">
        <f t="shared" si="16"/>
        <v>0.6666666667</v>
      </c>
      <c r="DQ39" s="142">
        <f t="shared" si="16"/>
        <v>0.6666666667</v>
      </c>
      <c r="DR39" s="142">
        <f t="shared" si="16"/>
        <v>0.6666666667</v>
      </c>
    </row>
    <row r="40" ht="15.75" customHeight="1">
      <c r="B40" s="5" t="s">
        <v>128</v>
      </c>
      <c r="BN40" s="142"/>
      <c r="BO40" s="142"/>
      <c r="BP40" s="142"/>
      <c r="BQ40" s="142">
        <f t="shared" ref="BQ40:DR40" si="17">+IF(BQ$7=BP$7,BP40+BQ39,BQ39)</f>
        <v>0</v>
      </c>
      <c r="BR40" s="142">
        <f t="shared" si="17"/>
        <v>0</v>
      </c>
      <c r="BS40" s="142">
        <f t="shared" si="17"/>
        <v>0</v>
      </c>
      <c r="BT40" s="142">
        <f t="shared" si="17"/>
        <v>0</v>
      </c>
      <c r="BU40" s="142">
        <f t="shared" si="17"/>
        <v>0</v>
      </c>
      <c r="BV40" s="142">
        <f t="shared" si="17"/>
        <v>0</v>
      </c>
      <c r="BW40" s="142">
        <f t="shared" si="17"/>
        <v>0.1666666667</v>
      </c>
      <c r="BX40" s="142">
        <f t="shared" si="17"/>
        <v>0.3333333333</v>
      </c>
      <c r="BY40" s="142">
        <f t="shared" si="17"/>
        <v>0.5</v>
      </c>
      <c r="BZ40" s="142">
        <f t="shared" si="17"/>
        <v>0.6666666667</v>
      </c>
      <c r="CA40" s="142">
        <f t="shared" si="17"/>
        <v>0.8333333333</v>
      </c>
      <c r="CB40" s="142">
        <f t="shared" si="17"/>
        <v>1</v>
      </c>
      <c r="CC40" s="142">
        <f t="shared" si="17"/>
        <v>1.25</v>
      </c>
      <c r="CD40" s="142">
        <f t="shared" si="17"/>
        <v>1.5</v>
      </c>
      <c r="CE40" s="142">
        <f t="shared" si="17"/>
        <v>1.75</v>
      </c>
      <c r="CF40" s="142">
        <f t="shared" si="17"/>
        <v>2</v>
      </c>
      <c r="CG40" s="142">
        <f t="shared" si="17"/>
        <v>2.25</v>
      </c>
      <c r="CH40" s="142">
        <f t="shared" si="17"/>
        <v>2.5</v>
      </c>
      <c r="CI40" s="142">
        <f t="shared" si="17"/>
        <v>0.25</v>
      </c>
      <c r="CJ40" s="142">
        <f t="shared" si="17"/>
        <v>0.5</v>
      </c>
      <c r="CK40" s="142">
        <f t="shared" si="17"/>
        <v>0.75</v>
      </c>
      <c r="CL40" s="142">
        <f t="shared" si="17"/>
        <v>1</v>
      </c>
      <c r="CM40" s="142">
        <f t="shared" si="17"/>
        <v>1.25</v>
      </c>
      <c r="CN40" s="142">
        <f t="shared" si="17"/>
        <v>1.5</v>
      </c>
      <c r="CO40" s="142">
        <f t="shared" si="17"/>
        <v>1.833333333</v>
      </c>
      <c r="CP40" s="142">
        <f t="shared" si="17"/>
        <v>2.166666667</v>
      </c>
      <c r="CQ40" s="142">
        <f t="shared" si="17"/>
        <v>2.5</v>
      </c>
      <c r="CR40" s="142">
        <f t="shared" si="17"/>
        <v>2.833333333</v>
      </c>
      <c r="CS40" s="142">
        <f t="shared" si="17"/>
        <v>3.166666667</v>
      </c>
      <c r="CT40" s="142">
        <f t="shared" si="17"/>
        <v>3.5</v>
      </c>
      <c r="CU40" s="142">
        <f t="shared" si="17"/>
        <v>0.3333333333</v>
      </c>
      <c r="CV40" s="142">
        <f t="shared" si="17"/>
        <v>0.6666666667</v>
      </c>
      <c r="CW40" s="142">
        <f t="shared" si="17"/>
        <v>1</v>
      </c>
      <c r="CX40" s="142">
        <f t="shared" si="17"/>
        <v>1.333333333</v>
      </c>
      <c r="CY40" s="142">
        <f t="shared" si="17"/>
        <v>1.666666667</v>
      </c>
      <c r="CZ40" s="142">
        <f t="shared" si="17"/>
        <v>2</v>
      </c>
      <c r="DA40" s="142">
        <f t="shared" si="17"/>
        <v>2.5</v>
      </c>
      <c r="DB40" s="142">
        <f t="shared" si="17"/>
        <v>3</v>
      </c>
      <c r="DC40" s="142">
        <f t="shared" si="17"/>
        <v>3.5</v>
      </c>
      <c r="DD40" s="142">
        <f t="shared" si="17"/>
        <v>4</v>
      </c>
      <c r="DE40" s="142">
        <f t="shared" si="17"/>
        <v>4.5</v>
      </c>
      <c r="DF40" s="142">
        <f t="shared" si="17"/>
        <v>5</v>
      </c>
      <c r="DG40" s="142">
        <f t="shared" si="17"/>
        <v>0.5</v>
      </c>
      <c r="DH40" s="142">
        <f t="shared" si="17"/>
        <v>1</v>
      </c>
      <c r="DI40" s="142">
        <f t="shared" si="17"/>
        <v>1.5</v>
      </c>
      <c r="DJ40" s="142">
        <f t="shared" si="17"/>
        <v>2</v>
      </c>
      <c r="DK40" s="142">
        <f t="shared" si="17"/>
        <v>2.5</v>
      </c>
      <c r="DL40" s="142">
        <f t="shared" si="17"/>
        <v>3</v>
      </c>
      <c r="DM40" s="142">
        <f t="shared" si="17"/>
        <v>3.666666667</v>
      </c>
      <c r="DN40" s="142">
        <f t="shared" si="17"/>
        <v>4.333333333</v>
      </c>
      <c r="DO40" s="142">
        <f t="shared" si="17"/>
        <v>5</v>
      </c>
      <c r="DP40" s="142">
        <f t="shared" si="17"/>
        <v>5.666666667</v>
      </c>
      <c r="DQ40" s="142">
        <f t="shared" si="17"/>
        <v>6.333333333</v>
      </c>
      <c r="DR40" s="142">
        <f t="shared" si="17"/>
        <v>7</v>
      </c>
    </row>
    <row r="41" ht="4.5" customHeight="1"/>
    <row r="42" ht="15.75" customHeight="1">
      <c r="B42" s="99" t="s">
        <v>70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/>
      <c r="BD42" s="100"/>
      <c r="BE42" s="100"/>
      <c r="BF42" s="100"/>
      <c r="BG42" s="100"/>
      <c r="BH42" s="100"/>
      <c r="BI42" s="100"/>
      <c r="BJ42" s="100"/>
      <c r="BK42" s="100"/>
      <c r="BL42" s="100"/>
      <c r="BM42" s="100"/>
      <c r="BN42" s="100"/>
      <c r="BO42" s="100"/>
      <c r="BP42" s="100"/>
      <c r="BQ42" s="100"/>
      <c r="BR42" s="100"/>
      <c r="BS42" s="100"/>
      <c r="BT42" s="100"/>
      <c r="BU42" s="100"/>
      <c r="BV42" s="100"/>
      <c r="BW42" s="100"/>
      <c r="BX42" s="100"/>
      <c r="BY42" s="100"/>
      <c r="BZ42" s="100"/>
      <c r="CA42" s="100"/>
      <c r="CB42" s="100"/>
      <c r="CC42" s="100"/>
      <c r="CD42" s="100"/>
      <c r="CE42" s="100"/>
      <c r="CF42" s="100"/>
      <c r="CG42" s="100"/>
      <c r="CH42" s="100"/>
      <c r="CI42" s="100"/>
      <c r="CJ42" s="100"/>
      <c r="CK42" s="100"/>
      <c r="CL42" s="100"/>
      <c r="CM42" s="100"/>
      <c r="CN42" s="100"/>
      <c r="CO42" s="100"/>
      <c r="CP42" s="100"/>
      <c r="CQ42" s="100"/>
      <c r="CR42" s="100"/>
      <c r="CS42" s="100"/>
      <c r="CT42" s="100"/>
      <c r="CU42" s="100"/>
      <c r="CV42" s="100"/>
      <c r="CW42" s="100"/>
      <c r="CX42" s="100"/>
      <c r="CY42" s="100"/>
      <c r="CZ42" s="100"/>
      <c r="DA42" s="100"/>
      <c r="DB42" s="100"/>
      <c r="DC42" s="100"/>
      <c r="DD42" s="100"/>
      <c r="DE42" s="100"/>
      <c r="DF42" s="100"/>
      <c r="DG42" s="100"/>
      <c r="DH42" s="100"/>
      <c r="DI42" s="100"/>
      <c r="DJ42" s="100"/>
      <c r="DK42" s="100"/>
      <c r="DL42" s="100"/>
      <c r="DM42" s="100"/>
      <c r="DN42" s="100"/>
      <c r="DO42" s="100"/>
      <c r="DP42" s="100"/>
      <c r="DQ42" s="100"/>
      <c r="DR42" s="100"/>
    </row>
    <row r="43" ht="15.75" customHeight="1">
      <c r="B43" s="5" t="s">
        <v>183</v>
      </c>
      <c r="BN43" s="102"/>
      <c r="BO43" s="102"/>
      <c r="BP43" s="102"/>
      <c r="BQ43" s="102">
        <f>SUMIFS(Revenue_Assumptions!$I$38:$M$38,Revenue_Assumptions!$I$7:$M$7,BQ$7)/12</f>
        <v>0.25</v>
      </c>
      <c r="BR43" s="102">
        <f>SUMIFS(Revenue_Assumptions!$I$38:$M$38,Revenue_Assumptions!$I$7:$M$7,BR$7)/12</f>
        <v>0.25</v>
      </c>
      <c r="BS43" s="102">
        <f>SUMIFS(Revenue_Assumptions!$I$38:$M$38,Revenue_Assumptions!$I$7:$M$7,BS$7)/12</f>
        <v>0.25</v>
      </c>
      <c r="BT43" s="102">
        <f>SUMIFS(Revenue_Assumptions!$I$38:$M$38,Revenue_Assumptions!$I$7:$M$7,BT$7)/12</f>
        <v>0.25</v>
      </c>
      <c r="BU43" s="102">
        <f>SUMIFS(Revenue_Assumptions!$I$38:$M$38,Revenue_Assumptions!$I$7:$M$7,BU$7)/12</f>
        <v>0.25</v>
      </c>
      <c r="BV43" s="102">
        <f>SUMIFS(Revenue_Assumptions!$I$38:$M$38,Revenue_Assumptions!$I$7:$M$7,BV$7)/12</f>
        <v>0.25</v>
      </c>
      <c r="BW43" s="102">
        <f>SUMIFS(Revenue_Assumptions!$I$38:$M$38,Revenue_Assumptions!$I$7:$M$7,BW$7)/12</f>
        <v>0.3333333333</v>
      </c>
      <c r="BX43" s="102">
        <f>SUMIFS(Revenue_Assumptions!$I$38:$M$38,Revenue_Assumptions!$I$7:$M$7,BX$7)/12</f>
        <v>0.3333333333</v>
      </c>
      <c r="BY43" s="102">
        <f>SUMIFS(Revenue_Assumptions!$I$38:$M$38,Revenue_Assumptions!$I$7:$M$7,BY$7)/12</f>
        <v>0.3333333333</v>
      </c>
      <c r="BZ43" s="102">
        <f>SUMIFS(Revenue_Assumptions!$I$38:$M$38,Revenue_Assumptions!$I$7:$M$7,BZ$7)/12</f>
        <v>0.3333333333</v>
      </c>
      <c r="CA43" s="102">
        <f>SUMIFS(Revenue_Assumptions!$I$38:$M$38,Revenue_Assumptions!$I$7:$M$7,CA$7)/12</f>
        <v>0.3333333333</v>
      </c>
      <c r="CB43" s="102">
        <f>SUMIFS(Revenue_Assumptions!$I$38:$M$38,Revenue_Assumptions!$I$7:$M$7,CB$7)/12</f>
        <v>0.3333333333</v>
      </c>
      <c r="CC43" s="102">
        <f>SUMIFS(Revenue_Assumptions!$I$38:$M$38,Revenue_Assumptions!$I$7:$M$7,CC$7)/12</f>
        <v>0.3333333333</v>
      </c>
      <c r="CD43" s="102">
        <f>SUMIFS(Revenue_Assumptions!$I$38:$M$38,Revenue_Assumptions!$I$7:$M$7,CD$7)/12</f>
        <v>0.3333333333</v>
      </c>
      <c r="CE43" s="102">
        <f>SUMIFS(Revenue_Assumptions!$I$38:$M$38,Revenue_Assumptions!$I$7:$M$7,CE$7)/12</f>
        <v>0.3333333333</v>
      </c>
      <c r="CF43" s="102">
        <f>SUMIFS(Revenue_Assumptions!$I$38:$M$38,Revenue_Assumptions!$I$7:$M$7,CF$7)/12</f>
        <v>0.3333333333</v>
      </c>
      <c r="CG43" s="102">
        <f>SUMIFS(Revenue_Assumptions!$I$38:$M$38,Revenue_Assumptions!$I$7:$M$7,CG$7)/12</f>
        <v>0.3333333333</v>
      </c>
      <c r="CH43" s="102">
        <f>SUMIFS(Revenue_Assumptions!$I$38:$M$38,Revenue_Assumptions!$I$7:$M$7,CH$7)/12</f>
        <v>0.3333333333</v>
      </c>
      <c r="CI43" s="102">
        <f>SUMIFS(Revenue_Assumptions!$I$38:$M$38,Revenue_Assumptions!$I$7:$M$7,CI$7)/12</f>
        <v>0.3333333333</v>
      </c>
      <c r="CJ43" s="102">
        <f>SUMIFS(Revenue_Assumptions!$I$38:$M$38,Revenue_Assumptions!$I$7:$M$7,CJ$7)/12</f>
        <v>0.3333333333</v>
      </c>
      <c r="CK43" s="102">
        <f>SUMIFS(Revenue_Assumptions!$I$38:$M$38,Revenue_Assumptions!$I$7:$M$7,CK$7)/12</f>
        <v>0.3333333333</v>
      </c>
      <c r="CL43" s="102">
        <f>SUMIFS(Revenue_Assumptions!$I$38:$M$38,Revenue_Assumptions!$I$7:$M$7,CL$7)/12</f>
        <v>0.3333333333</v>
      </c>
      <c r="CM43" s="102">
        <f>SUMIFS(Revenue_Assumptions!$I$38:$M$38,Revenue_Assumptions!$I$7:$M$7,CM$7)/12</f>
        <v>0.3333333333</v>
      </c>
      <c r="CN43" s="102">
        <f>SUMIFS(Revenue_Assumptions!$I$38:$M$38,Revenue_Assumptions!$I$7:$M$7,CN$7)/12</f>
        <v>0.3333333333</v>
      </c>
      <c r="CO43" s="102">
        <f>SUMIFS(Revenue_Assumptions!$I$38:$M$38,Revenue_Assumptions!$I$7:$M$7,CO$7)/12</f>
        <v>0.3333333333</v>
      </c>
      <c r="CP43" s="102">
        <f>SUMIFS(Revenue_Assumptions!$I$38:$M$38,Revenue_Assumptions!$I$7:$M$7,CP$7)/12</f>
        <v>0.3333333333</v>
      </c>
      <c r="CQ43" s="102">
        <f>SUMIFS(Revenue_Assumptions!$I$38:$M$38,Revenue_Assumptions!$I$7:$M$7,CQ$7)/12</f>
        <v>0.3333333333</v>
      </c>
      <c r="CR43" s="102">
        <f>SUMIFS(Revenue_Assumptions!$I$38:$M$38,Revenue_Assumptions!$I$7:$M$7,CR$7)/12</f>
        <v>0.3333333333</v>
      </c>
      <c r="CS43" s="102">
        <f>SUMIFS(Revenue_Assumptions!$I$38:$M$38,Revenue_Assumptions!$I$7:$M$7,CS$7)/12</f>
        <v>0.3333333333</v>
      </c>
      <c r="CT43" s="102">
        <f>SUMIFS(Revenue_Assumptions!$I$38:$M$38,Revenue_Assumptions!$I$7:$M$7,CT$7)/12</f>
        <v>0.3333333333</v>
      </c>
      <c r="CU43" s="102">
        <f>SUMIFS(Revenue_Assumptions!$I$38:$M$38,Revenue_Assumptions!$I$7:$M$7,CU$7)/12</f>
        <v>0.5833333333</v>
      </c>
      <c r="CV43" s="102">
        <f>SUMIFS(Revenue_Assumptions!$I$38:$M$38,Revenue_Assumptions!$I$7:$M$7,CV$7)/12</f>
        <v>0.5833333333</v>
      </c>
      <c r="CW43" s="102">
        <f>SUMIFS(Revenue_Assumptions!$I$38:$M$38,Revenue_Assumptions!$I$7:$M$7,CW$7)/12</f>
        <v>0.5833333333</v>
      </c>
      <c r="CX43" s="102">
        <f>SUMIFS(Revenue_Assumptions!$I$38:$M$38,Revenue_Assumptions!$I$7:$M$7,CX$7)/12</f>
        <v>0.5833333333</v>
      </c>
      <c r="CY43" s="102">
        <f>SUMIFS(Revenue_Assumptions!$I$38:$M$38,Revenue_Assumptions!$I$7:$M$7,CY$7)/12</f>
        <v>0.5833333333</v>
      </c>
      <c r="CZ43" s="102">
        <f>SUMIFS(Revenue_Assumptions!$I$38:$M$38,Revenue_Assumptions!$I$7:$M$7,CZ$7)/12</f>
        <v>0.5833333333</v>
      </c>
      <c r="DA43" s="102">
        <f>SUMIFS(Revenue_Assumptions!$I$38:$M$38,Revenue_Assumptions!$I$7:$M$7,DA$7)/12</f>
        <v>0.5833333333</v>
      </c>
      <c r="DB43" s="102">
        <f>SUMIFS(Revenue_Assumptions!$I$38:$M$38,Revenue_Assumptions!$I$7:$M$7,DB$7)/12</f>
        <v>0.5833333333</v>
      </c>
      <c r="DC43" s="102">
        <f>SUMIFS(Revenue_Assumptions!$I$38:$M$38,Revenue_Assumptions!$I$7:$M$7,DC$7)/12</f>
        <v>0.5833333333</v>
      </c>
      <c r="DD43" s="102">
        <f>SUMIFS(Revenue_Assumptions!$I$38:$M$38,Revenue_Assumptions!$I$7:$M$7,DD$7)/12</f>
        <v>0.5833333333</v>
      </c>
      <c r="DE43" s="102">
        <f>SUMIFS(Revenue_Assumptions!$I$38:$M$38,Revenue_Assumptions!$I$7:$M$7,DE$7)/12</f>
        <v>0.5833333333</v>
      </c>
      <c r="DF43" s="102">
        <f>SUMIFS(Revenue_Assumptions!$I$38:$M$38,Revenue_Assumptions!$I$7:$M$7,DF$7)/12</f>
        <v>0.5833333333</v>
      </c>
      <c r="DG43" s="102">
        <f>SUMIFS(Revenue_Assumptions!$I$38:$M$38,Revenue_Assumptions!$I$7:$M$7,DG$7)/12</f>
        <v>0.75</v>
      </c>
      <c r="DH43" s="102">
        <f>SUMIFS(Revenue_Assumptions!$I$38:$M$38,Revenue_Assumptions!$I$7:$M$7,DH$7)/12</f>
        <v>0.75</v>
      </c>
      <c r="DI43" s="102">
        <f>SUMIFS(Revenue_Assumptions!$I$38:$M$38,Revenue_Assumptions!$I$7:$M$7,DI$7)/12</f>
        <v>0.75</v>
      </c>
      <c r="DJ43" s="102">
        <f>SUMIFS(Revenue_Assumptions!$I$38:$M$38,Revenue_Assumptions!$I$7:$M$7,DJ$7)/12</f>
        <v>0.75</v>
      </c>
      <c r="DK43" s="102">
        <f>SUMIFS(Revenue_Assumptions!$I$38:$M$38,Revenue_Assumptions!$I$7:$M$7,DK$7)/12</f>
        <v>0.75</v>
      </c>
      <c r="DL43" s="102">
        <f>SUMIFS(Revenue_Assumptions!$I$38:$M$38,Revenue_Assumptions!$I$7:$M$7,DL$7)/12</f>
        <v>0.75</v>
      </c>
      <c r="DM43" s="102">
        <f>SUMIFS(Revenue_Assumptions!$I$38:$M$38,Revenue_Assumptions!$I$7:$M$7,DM$7)/12</f>
        <v>0.75</v>
      </c>
      <c r="DN43" s="102">
        <f>SUMIFS(Revenue_Assumptions!$I$38:$M$38,Revenue_Assumptions!$I$7:$M$7,DN$7)/12</f>
        <v>0.75</v>
      </c>
      <c r="DO43" s="102">
        <f>SUMIFS(Revenue_Assumptions!$I$38:$M$38,Revenue_Assumptions!$I$7:$M$7,DO$7)/12</f>
        <v>0.75</v>
      </c>
      <c r="DP43" s="102">
        <f>SUMIFS(Revenue_Assumptions!$I$38:$M$38,Revenue_Assumptions!$I$7:$M$7,DP$7)/12</f>
        <v>0.75</v>
      </c>
      <c r="DQ43" s="102">
        <f>SUMIFS(Revenue_Assumptions!$I$38:$M$38,Revenue_Assumptions!$I$7:$M$7,DQ$7)/12</f>
        <v>0.75</v>
      </c>
      <c r="DR43" s="102">
        <f>SUMIFS(Revenue_Assumptions!$I$38:$M$38,Revenue_Assumptions!$I$7:$M$7,DR$7)/12</f>
        <v>0.75</v>
      </c>
    </row>
    <row r="44" ht="15.75" customHeight="1">
      <c r="B44" s="5" t="s">
        <v>139</v>
      </c>
      <c r="BN44" s="102"/>
      <c r="BO44" s="102"/>
      <c r="BP44" s="102"/>
      <c r="BQ44" s="102">
        <f t="shared" ref="BQ44:DR44" si="18">+SUM(OFFSET(BQ43,0,-$C$14):BQ43)</f>
        <v>0.25</v>
      </c>
      <c r="BR44" s="102">
        <f t="shared" si="18"/>
        <v>0.5</v>
      </c>
      <c r="BS44" s="102">
        <f t="shared" si="18"/>
        <v>0.75</v>
      </c>
      <c r="BT44" s="102">
        <f t="shared" si="18"/>
        <v>1</v>
      </c>
      <c r="BU44" s="102">
        <f t="shared" si="18"/>
        <v>1.25</v>
      </c>
      <c r="BV44" s="102">
        <f t="shared" si="18"/>
        <v>1.25</v>
      </c>
      <c r="BW44" s="102">
        <f t="shared" si="18"/>
        <v>1.333333333</v>
      </c>
      <c r="BX44" s="102">
        <f t="shared" si="18"/>
        <v>1.416666667</v>
      </c>
      <c r="BY44" s="102">
        <f t="shared" si="18"/>
        <v>1.5</v>
      </c>
      <c r="BZ44" s="102">
        <f t="shared" si="18"/>
        <v>1.583333333</v>
      </c>
      <c r="CA44" s="102">
        <f t="shared" si="18"/>
        <v>1.666666667</v>
      </c>
      <c r="CB44" s="102">
        <f t="shared" si="18"/>
        <v>1.666666667</v>
      </c>
      <c r="CC44" s="102">
        <f t="shared" si="18"/>
        <v>1.666666667</v>
      </c>
      <c r="CD44" s="102">
        <f t="shared" si="18"/>
        <v>1.666666667</v>
      </c>
      <c r="CE44" s="102">
        <f t="shared" si="18"/>
        <v>1.666666667</v>
      </c>
      <c r="CF44" s="102">
        <f t="shared" si="18"/>
        <v>1.666666667</v>
      </c>
      <c r="CG44" s="102">
        <f t="shared" si="18"/>
        <v>1.666666667</v>
      </c>
      <c r="CH44" s="102">
        <f t="shared" si="18"/>
        <v>1.666666667</v>
      </c>
      <c r="CI44" s="102">
        <f t="shared" si="18"/>
        <v>1.666666667</v>
      </c>
      <c r="CJ44" s="102">
        <f t="shared" si="18"/>
        <v>1.666666667</v>
      </c>
      <c r="CK44" s="102">
        <f t="shared" si="18"/>
        <v>1.666666667</v>
      </c>
      <c r="CL44" s="102">
        <f t="shared" si="18"/>
        <v>1.666666667</v>
      </c>
      <c r="CM44" s="102">
        <f t="shared" si="18"/>
        <v>1.666666667</v>
      </c>
      <c r="CN44" s="102">
        <f t="shared" si="18"/>
        <v>1.666666667</v>
      </c>
      <c r="CO44" s="102">
        <f t="shared" si="18"/>
        <v>1.666666667</v>
      </c>
      <c r="CP44" s="102">
        <f t="shared" si="18"/>
        <v>1.666666667</v>
      </c>
      <c r="CQ44" s="102">
        <f t="shared" si="18"/>
        <v>1.666666667</v>
      </c>
      <c r="CR44" s="102">
        <f t="shared" si="18"/>
        <v>1.666666667</v>
      </c>
      <c r="CS44" s="102">
        <f t="shared" si="18"/>
        <v>1.666666667</v>
      </c>
      <c r="CT44" s="102">
        <f t="shared" si="18"/>
        <v>1.666666667</v>
      </c>
      <c r="CU44" s="102">
        <f t="shared" si="18"/>
        <v>1.916666667</v>
      </c>
      <c r="CV44" s="102">
        <f t="shared" si="18"/>
        <v>2.166666667</v>
      </c>
      <c r="CW44" s="102">
        <f t="shared" si="18"/>
        <v>2.416666667</v>
      </c>
      <c r="CX44" s="102">
        <f t="shared" si="18"/>
        <v>2.666666667</v>
      </c>
      <c r="CY44" s="102">
        <f t="shared" si="18"/>
        <v>2.916666667</v>
      </c>
      <c r="CZ44" s="102">
        <f t="shared" si="18"/>
        <v>2.916666667</v>
      </c>
      <c r="DA44" s="102">
        <f t="shared" si="18"/>
        <v>2.916666667</v>
      </c>
      <c r="DB44" s="102">
        <f t="shared" si="18"/>
        <v>2.916666667</v>
      </c>
      <c r="DC44" s="102">
        <f t="shared" si="18"/>
        <v>2.916666667</v>
      </c>
      <c r="DD44" s="102">
        <f t="shared" si="18"/>
        <v>2.916666667</v>
      </c>
      <c r="DE44" s="102">
        <f t="shared" si="18"/>
        <v>2.916666667</v>
      </c>
      <c r="DF44" s="102">
        <f t="shared" si="18"/>
        <v>2.916666667</v>
      </c>
      <c r="DG44" s="102">
        <f t="shared" si="18"/>
        <v>3.083333333</v>
      </c>
      <c r="DH44" s="102">
        <f t="shared" si="18"/>
        <v>3.25</v>
      </c>
      <c r="DI44" s="102">
        <f t="shared" si="18"/>
        <v>3.416666667</v>
      </c>
      <c r="DJ44" s="102">
        <f t="shared" si="18"/>
        <v>3.583333333</v>
      </c>
      <c r="DK44" s="102">
        <f t="shared" si="18"/>
        <v>3.75</v>
      </c>
      <c r="DL44" s="102">
        <f t="shared" si="18"/>
        <v>3.75</v>
      </c>
      <c r="DM44" s="102">
        <f t="shared" si="18"/>
        <v>3.75</v>
      </c>
      <c r="DN44" s="102">
        <f t="shared" si="18"/>
        <v>3.75</v>
      </c>
      <c r="DO44" s="102">
        <f t="shared" si="18"/>
        <v>3.75</v>
      </c>
      <c r="DP44" s="102">
        <f t="shared" si="18"/>
        <v>3.75</v>
      </c>
      <c r="DQ44" s="102">
        <f t="shared" si="18"/>
        <v>3.75</v>
      </c>
      <c r="DR44" s="102">
        <f t="shared" si="18"/>
        <v>3.75</v>
      </c>
    </row>
    <row r="45" ht="4.5" customHeight="1"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  <c r="CK45" s="52"/>
      <c r="CL45" s="52"/>
      <c r="CM45" s="52"/>
      <c r="CN45" s="52"/>
      <c r="CO45" s="52"/>
      <c r="CP45" s="52"/>
      <c r="CQ45" s="52"/>
      <c r="CR45" s="52"/>
      <c r="CS45" s="52"/>
      <c r="CT45" s="52"/>
      <c r="CU45" s="52"/>
      <c r="CV45" s="52"/>
      <c r="CW45" s="52"/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2"/>
      <c r="DI45" s="52"/>
      <c r="DJ45" s="52"/>
      <c r="DK45" s="52"/>
      <c r="DL45" s="52"/>
      <c r="DM45" s="52"/>
      <c r="DN45" s="52"/>
      <c r="DO45" s="52"/>
      <c r="DP45" s="52"/>
      <c r="DQ45" s="52"/>
      <c r="DR45" s="52"/>
    </row>
    <row r="46" ht="15.75" customHeight="1">
      <c r="B46" s="5" t="s">
        <v>130</v>
      </c>
      <c r="BN46" s="142"/>
      <c r="BO46" s="142"/>
      <c r="BP46" s="142"/>
      <c r="BQ46" s="142">
        <f t="shared" ref="BQ46:DR46" si="19">+SUMIFS($BN43:$DR43,$BN$19:$DR$19,BQ$8)</f>
        <v>0</v>
      </c>
      <c r="BR46" s="142">
        <f t="shared" si="19"/>
        <v>0</v>
      </c>
      <c r="BS46" s="142">
        <f t="shared" si="19"/>
        <v>0</v>
      </c>
      <c r="BT46" s="142">
        <f t="shared" si="19"/>
        <v>0</v>
      </c>
      <c r="BU46" s="142">
        <f t="shared" si="19"/>
        <v>0.25</v>
      </c>
      <c r="BV46" s="142">
        <f t="shared" si="19"/>
        <v>0.25</v>
      </c>
      <c r="BW46" s="142">
        <f t="shared" si="19"/>
        <v>0.25</v>
      </c>
      <c r="BX46" s="142">
        <f t="shared" si="19"/>
        <v>0.25</v>
      </c>
      <c r="BY46" s="142">
        <f t="shared" si="19"/>
        <v>0.25</v>
      </c>
      <c r="BZ46" s="142">
        <f t="shared" si="19"/>
        <v>0.25</v>
      </c>
      <c r="CA46" s="142">
        <f t="shared" si="19"/>
        <v>0.3333333333</v>
      </c>
      <c r="CB46" s="142">
        <f t="shared" si="19"/>
        <v>0.3333333333</v>
      </c>
      <c r="CC46" s="142">
        <f t="shared" si="19"/>
        <v>0.3333333333</v>
      </c>
      <c r="CD46" s="142">
        <f t="shared" si="19"/>
        <v>0.3333333333</v>
      </c>
      <c r="CE46" s="142">
        <f t="shared" si="19"/>
        <v>0.3333333333</v>
      </c>
      <c r="CF46" s="142">
        <f t="shared" si="19"/>
        <v>0.3333333333</v>
      </c>
      <c r="CG46" s="142">
        <f t="shared" si="19"/>
        <v>0.3333333333</v>
      </c>
      <c r="CH46" s="142">
        <f t="shared" si="19"/>
        <v>0.3333333333</v>
      </c>
      <c r="CI46" s="142">
        <f t="shared" si="19"/>
        <v>0.3333333333</v>
      </c>
      <c r="CJ46" s="142">
        <f t="shared" si="19"/>
        <v>0.3333333333</v>
      </c>
      <c r="CK46" s="142">
        <f t="shared" si="19"/>
        <v>0.3333333333</v>
      </c>
      <c r="CL46" s="142">
        <f t="shared" si="19"/>
        <v>0.3333333333</v>
      </c>
      <c r="CM46" s="142">
        <f t="shared" si="19"/>
        <v>0.3333333333</v>
      </c>
      <c r="CN46" s="142">
        <f t="shared" si="19"/>
        <v>0.3333333333</v>
      </c>
      <c r="CO46" s="142">
        <f t="shared" si="19"/>
        <v>0.3333333333</v>
      </c>
      <c r="CP46" s="142">
        <f t="shared" si="19"/>
        <v>0.3333333333</v>
      </c>
      <c r="CQ46" s="142">
        <f t="shared" si="19"/>
        <v>0.3333333333</v>
      </c>
      <c r="CR46" s="142">
        <f t="shared" si="19"/>
        <v>0.3333333333</v>
      </c>
      <c r="CS46" s="142">
        <f t="shared" si="19"/>
        <v>0.3333333333</v>
      </c>
      <c r="CT46" s="142">
        <f t="shared" si="19"/>
        <v>0.3333333333</v>
      </c>
      <c r="CU46" s="142">
        <f t="shared" si="19"/>
        <v>0.3333333333</v>
      </c>
      <c r="CV46" s="142">
        <f t="shared" si="19"/>
        <v>0.3333333333</v>
      </c>
      <c r="CW46" s="142">
        <f t="shared" si="19"/>
        <v>0.3333333333</v>
      </c>
      <c r="CX46" s="142">
        <f t="shared" si="19"/>
        <v>0.3333333333</v>
      </c>
      <c r="CY46" s="142">
        <f t="shared" si="19"/>
        <v>0.5833333333</v>
      </c>
      <c r="CZ46" s="142">
        <f t="shared" si="19"/>
        <v>0.5833333333</v>
      </c>
      <c r="DA46" s="142">
        <f t="shared" si="19"/>
        <v>0.5833333333</v>
      </c>
      <c r="DB46" s="142">
        <f t="shared" si="19"/>
        <v>0.5833333333</v>
      </c>
      <c r="DC46" s="142">
        <f t="shared" si="19"/>
        <v>0.5833333333</v>
      </c>
      <c r="DD46" s="142">
        <f t="shared" si="19"/>
        <v>0.5833333333</v>
      </c>
      <c r="DE46" s="142">
        <f t="shared" si="19"/>
        <v>0.5833333333</v>
      </c>
      <c r="DF46" s="142">
        <f t="shared" si="19"/>
        <v>0.5833333333</v>
      </c>
      <c r="DG46" s="142">
        <f t="shared" si="19"/>
        <v>0.5833333333</v>
      </c>
      <c r="DH46" s="142">
        <f t="shared" si="19"/>
        <v>0.5833333333</v>
      </c>
      <c r="DI46" s="142">
        <f t="shared" si="19"/>
        <v>0.5833333333</v>
      </c>
      <c r="DJ46" s="142">
        <f t="shared" si="19"/>
        <v>0.5833333333</v>
      </c>
      <c r="DK46" s="142">
        <f t="shared" si="19"/>
        <v>0.75</v>
      </c>
      <c r="DL46" s="142">
        <f t="shared" si="19"/>
        <v>0.75</v>
      </c>
      <c r="DM46" s="142">
        <f t="shared" si="19"/>
        <v>0.75</v>
      </c>
      <c r="DN46" s="142">
        <f t="shared" si="19"/>
        <v>0.75</v>
      </c>
      <c r="DO46" s="142">
        <f t="shared" si="19"/>
        <v>0.75</v>
      </c>
      <c r="DP46" s="142">
        <f t="shared" si="19"/>
        <v>0.75</v>
      </c>
      <c r="DQ46" s="142">
        <f t="shared" si="19"/>
        <v>0.75</v>
      </c>
      <c r="DR46" s="142">
        <f t="shared" si="19"/>
        <v>0.75</v>
      </c>
    </row>
    <row r="47" ht="15.75" customHeight="1">
      <c r="B47" s="5" t="s">
        <v>128</v>
      </c>
      <c r="BN47" s="142"/>
      <c r="BO47" s="142"/>
      <c r="BP47" s="142"/>
      <c r="BQ47" s="142">
        <f t="shared" ref="BQ47:DR47" si="20">+IF(BQ$7=BP$7,BP47+BQ46,BQ46)</f>
        <v>0</v>
      </c>
      <c r="BR47" s="142">
        <f t="shared" si="20"/>
        <v>0</v>
      </c>
      <c r="BS47" s="142">
        <f t="shared" si="20"/>
        <v>0</v>
      </c>
      <c r="BT47" s="142">
        <f t="shared" si="20"/>
        <v>0</v>
      </c>
      <c r="BU47" s="142">
        <f t="shared" si="20"/>
        <v>0.25</v>
      </c>
      <c r="BV47" s="142">
        <f t="shared" si="20"/>
        <v>0.5</v>
      </c>
      <c r="BW47" s="142">
        <f t="shared" si="20"/>
        <v>0.25</v>
      </c>
      <c r="BX47" s="142">
        <f t="shared" si="20"/>
        <v>0.5</v>
      </c>
      <c r="BY47" s="142">
        <f t="shared" si="20"/>
        <v>0.75</v>
      </c>
      <c r="BZ47" s="142">
        <f t="shared" si="20"/>
        <v>1</v>
      </c>
      <c r="CA47" s="142">
        <f t="shared" si="20"/>
        <v>1.333333333</v>
      </c>
      <c r="CB47" s="142">
        <f t="shared" si="20"/>
        <v>1.666666667</v>
      </c>
      <c r="CC47" s="142">
        <f t="shared" si="20"/>
        <v>2</v>
      </c>
      <c r="CD47" s="142">
        <f t="shared" si="20"/>
        <v>2.333333333</v>
      </c>
      <c r="CE47" s="142">
        <f t="shared" si="20"/>
        <v>2.666666667</v>
      </c>
      <c r="CF47" s="142">
        <f t="shared" si="20"/>
        <v>3</v>
      </c>
      <c r="CG47" s="142">
        <f t="shared" si="20"/>
        <v>3.333333333</v>
      </c>
      <c r="CH47" s="142">
        <f t="shared" si="20"/>
        <v>3.666666667</v>
      </c>
      <c r="CI47" s="142">
        <f t="shared" si="20"/>
        <v>0.3333333333</v>
      </c>
      <c r="CJ47" s="142">
        <f t="shared" si="20"/>
        <v>0.6666666667</v>
      </c>
      <c r="CK47" s="142">
        <f t="shared" si="20"/>
        <v>1</v>
      </c>
      <c r="CL47" s="142">
        <f t="shared" si="20"/>
        <v>1.333333333</v>
      </c>
      <c r="CM47" s="142">
        <f t="shared" si="20"/>
        <v>1.666666667</v>
      </c>
      <c r="CN47" s="142">
        <f t="shared" si="20"/>
        <v>2</v>
      </c>
      <c r="CO47" s="142">
        <f t="shared" si="20"/>
        <v>2.333333333</v>
      </c>
      <c r="CP47" s="142">
        <f t="shared" si="20"/>
        <v>2.666666667</v>
      </c>
      <c r="CQ47" s="142">
        <f t="shared" si="20"/>
        <v>3</v>
      </c>
      <c r="CR47" s="142">
        <f t="shared" si="20"/>
        <v>3.333333333</v>
      </c>
      <c r="CS47" s="142">
        <f t="shared" si="20"/>
        <v>3.666666667</v>
      </c>
      <c r="CT47" s="142">
        <f t="shared" si="20"/>
        <v>4</v>
      </c>
      <c r="CU47" s="142">
        <f t="shared" si="20"/>
        <v>0.3333333333</v>
      </c>
      <c r="CV47" s="142">
        <f t="shared" si="20"/>
        <v>0.6666666667</v>
      </c>
      <c r="CW47" s="142">
        <f t="shared" si="20"/>
        <v>1</v>
      </c>
      <c r="CX47" s="142">
        <f t="shared" si="20"/>
        <v>1.333333333</v>
      </c>
      <c r="CY47" s="142">
        <f t="shared" si="20"/>
        <v>1.916666667</v>
      </c>
      <c r="CZ47" s="142">
        <f t="shared" si="20"/>
        <v>2.5</v>
      </c>
      <c r="DA47" s="142">
        <f t="shared" si="20"/>
        <v>3.083333333</v>
      </c>
      <c r="DB47" s="142">
        <f t="shared" si="20"/>
        <v>3.666666667</v>
      </c>
      <c r="DC47" s="142">
        <f t="shared" si="20"/>
        <v>4.25</v>
      </c>
      <c r="DD47" s="142">
        <f t="shared" si="20"/>
        <v>4.833333333</v>
      </c>
      <c r="DE47" s="142">
        <f t="shared" si="20"/>
        <v>5.416666667</v>
      </c>
      <c r="DF47" s="142">
        <f t="shared" si="20"/>
        <v>6</v>
      </c>
      <c r="DG47" s="142">
        <f t="shared" si="20"/>
        <v>0.5833333333</v>
      </c>
      <c r="DH47" s="142">
        <f t="shared" si="20"/>
        <v>1.166666667</v>
      </c>
      <c r="DI47" s="142">
        <f t="shared" si="20"/>
        <v>1.75</v>
      </c>
      <c r="DJ47" s="142">
        <f t="shared" si="20"/>
        <v>2.333333333</v>
      </c>
      <c r="DK47" s="142">
        <f t="shared" si="20"/>
        <v>3.083333333</v>
      </c>
      <c r="DL47" s="142">
        <f t="shared" si="20"/>
        <v>3.833333333</v>
      </c>
      <c r="DM47" s="142">
        <f t="shared" si="20"/>
        <v>4.583333333</v>
      </c>
      <c r="DN47" s="142">
        <f t="shared" si="20"/>
        <v>5.333333333</v>
      </c>
      <c r="DO47" s="142">
        <f t="shared" si="20"/>
        <v>6.083333333</v>
      </c>
      <c r="DP47" s="142">
        <f t="shared" si="20"/>
        <v>6.833333333</v>
      </c>
      <c r="DQ47" s="142">
        <f t="shared" si="20"/>
        <v>7.583333333</v>
      </c>
      <c r="DR47" s="142">
        <f t="shared" si="20"/>
        <v>8.333333333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546A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Col="1"/>
  <cols>
    <col customWidth="1" min="1" max="1" width="2.57"/>
    <col customWidth="1" min="2" max="2" width="32.0"/>
    <col customWidth="1" min="3" max="3" width="14.43"/>
    <col customWidth="1" min="4" max="4" width="2.57"/>
    <col customWidth="1" hidden="1" min="5" max="5" width="12.57" outlineLevel="1"/>
    <col collapsed="1" customWidth="1" min="6" max="6" width="12.57"/>
    <col customWidth="1" min="7" max="26" width="12.57"/>
  </cols>
  <sheetData>
    <row r="2">
      <c r="B2" s="31" t="s">
        <v>31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</row>
    <row r="3">
      <c r="B3" s="32" t="str">
        <f t="array" ref="B3">MID(CELL("filename",A1),FIND("]",CELL("filename",A1))+1,255)</f>
        <v>#VALUE!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</row>
    <row r="4">
      <c r="B4" s="32" t="s">
        <v>32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</row>
    <row r="5">
      <c r="B5" s="33" t="s">
        <v>33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</row>
    <row r="6" ht="4.5" customHeight="1"/>
    <row r="7">
      <c r="B7" s="34"/>
      <c r="C7" s="34"/>
      <c r="D7" s="70"/>
      <c r="E7" s="36">
        <v>2018.0</v>
      </c>
      <c r="F7" s="36">
        <f t="shared" ref="F7:M7" si="1">+E7+1</f>
        <v>2019</v>
      </c>
      <c r="G7" s="36">
        <f t="shared" si="1"/>
        <v>2020</v>
      </c>
      <c r="H7" s="36">
        <f t="shared" si="1"/>
        <v>2021</v>
      </c>
      <c r="I7" s="36">
        <f t="shared" si="1"/>
        <v>2022</v>
      </c>
      <c r="J7" s="36">
        <f t="shared" si="1"/>
        <v>2023</v>
      </c>
      <c r="K7" s="36">
        <f t="shared" si="1"/>
        <v>2024</v>
      </c>
      <c r="L7" s="36">
        <f t="shared" si="1"/>
        <v>2025</v>
      </c>
      <c r="M7" s="36">
        <f t="shared" si="1"/>
        <v>2026</v>
      </c>
    </row>
    <row r="8">
      <c r="B8" s="34"/>
      <c r="C8" s="34"/>
      <c r="D8" s="70"/>
      <c r="E8" s="42">
        <f t="shared" ref="E8:M8" si="2">+DATE(E7,12,31)</f>
        <v>43465</v>
      </c>
      <c r="F8" s="42">
        <f t="shared" si="2"/>
        <v>43830</v>
      </c>
      <c r="G8" s="42">
        <f t="shared" si="2"/>
        <v>44196</v>
      </c>
      <c r="H8" s="42">
        <f t="shared" si="2"/>
        <v>44561</v>
      </c>
      <c r="I8" s="42">
        <f t="shared" si="2"/>
        <v>44926</v>
      </c>
      <c r="J8" s="42">
        <f t="shared" si="2"/>
        <v>45291</v>
      </c>
      <c r="K8" s="42">
        <f t="shared" si="2"/>
        <v>45657</v>
      </c>
      <c r="L8" s="42">
        <f t="shared" si="2"/>
        <v>46022</v>
      </c>
      <c r="M8" s="42">
        <f t="shared" si="2"/>
        <v>46387</v>
      </c>
    </row>
    <row r="9">
      <c r="B9" s="34" t="s">
        <v>35</v>
      </c>
      <c r="C9" s="34"/>
      <c r="D9" s="70"/>
      <c r="E9" s="45" t="str">
        <f>+IF(E8&lt;=Cover!$C$20,"Actual","Projection")</f>
        <v>Actual</v>
      </c>
      <c r="F9" s="45" t="str">
        <f>+IF(F8&lt;=Cover!$C$20,"Actual","Projection")</f>
        <v>Actual</v>
      </c>
      <c r="G9" s="45" t="str">
        <f>+IF(G8&lt;=Cover!$C$20,"Actual","Projection")</f>
        <v>Actual</v>
      </c>
      <c r="H9" s="45" t="str">
        <f>+IF(H8&lt;=Cover!$C$20,"Actual","Projection")</f>
        <v>Projection</v>
      </c>
      <c r="I9" s="45" t="str">
        <f>+IF(I8&lt;=Cover!$C$20,"Actual","Projection")</f>
        <v>Projection</v>
      </c>
      <c r="J9" s="45" t="str">
        <f>+IF(J8&lt;=Cover!$C$20,"Actual","Projection")</f>
        <v>Projection</v>
      </c>
      <c r="K9" s="45" t="str">
        <f>+IF(K8&lt;=Cover!$C$20,"Actual","Projection")</f>
        <v>Projection</v>
      </c>
      <c r="L9" s="45" t="str">
        <f>+IF(L8&lt;=Cover!$C$20,"Actual","Projection")</f>
        <v>Projection</v>
      </c>
      <c r="M9" s="45" t="str">
        <f>+IF(M8&lt;=Cover!$C$20,"Actual","Projection")</f>
        <v>Projection</v>
      </c>
    </row>
    <row r="10" ht="4.5" customHeight="1"/>
    <row r="11">
      <c r="B11" s="71" t="s">
        <v>42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</row>
    <row r="12" ht="4.5" customHeight="1"/>
    <row r="13">
      <c r="B13" s="99" t="s">
        <v>82</v>
      </c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</row>
    <row r="14">
      <c r="B14" s="5" t="s">
        <v>121</v>
      </c>
      <c r="C14" s="129" t="s">
        <v>184</v>
      </c>
      <c r="E14" s="100"/>
      <c r="F14" s="143"/>
      <c r="G14" s="143"/>
      <c r="H14" s="143"/>
      <c r="I14" s="143"/>
      <c r="J14" s="144">
        <v>0.0</v>
      </c>
      <c r="K14" s="144">
        <v>0.0</v>
      </c>
      <c r="L14" s="144">
        <v>0.0</v>
      </c>
      <c r="M14" s="144">
        <v>0.0</v>
      </c>
    </row>
    <row r="15">
      <c r="B15" s="5" t="s">
        <v>127</v>
      </c>
      <c r="C15" s="129" t="s">
        <v>184</v>
      </c>
      <c r="E15" s="100"/>
      <c r="F15" s="143"/>
      <c r="G15" s="143"/>
      <c r="H15" s="143"/>
      <c r="I15" s="143"/>
      <c r="J15" s="144">
        <v>0.055</v>
      </c>
      <c r="K15" s="144">
        <v>0.055</v>
      </c>
      <c r="L15" s="144">
        <f t="shared" ref="L15:M15" si="3">+K15</f>
        <v>0.055</v>
      </c>
      <c r="M15" s="144">
        <f t="shared" si="3"/>
        <v>0.055</v>
      </c>
    </row>
    <row r="16" ht="4.5" customHeight="1"/>
    <row r="17">
      <c r="B17" s="5" t="s">
        <v>183</v>
      </c>
      <c r="C17" s="129" t="s">
        <v>185</v>
      </c>
      <c r="E17" s="100"/>
      <c r="F17" s="100"/>
      <c r="G17" s="100"/>
      <c r="H17" s="100"/>
      <c r="I17" s="145">
        <v>0.0</v>
      </c>
      <c r="J17" s="145">
        <v>1.0</v>
      </c>
      <c r="K17" s="145">
        <v>1.0</v>
      </c>
      <c r="L17" s="145">
        <v>1.0</v>
      </c>
      <c r="M17" s="145">
        <v>1.0</v>
      </c>
      <c r="O17" s="50"/>
      <c r="P17" s="50"/>
    </row>
    <row r="18">
      <c r="B18" s="5" t="s">
        <v>186</v>
      </c>
      <c r="C18" s="129" t="s">
        <v>187</v>
      </c>
      <c r="E18" s="100"/>
      <c r="F18" s="100"/>
      <c r="G18" s="100"/>
      <c r="H18" s="100"/>
      <c r="I18" s="146">
        <v>1500.0</v>
      </c>
      <c r="J18" s="146">
        <f t="shared" ref="J18:M18" si="4">I18*1.05</f>
        <v>1575</v>
      </c>
      <c r="K18" s="146">
        <f t="shared" si="4"/>
        <v>1653.75</v>
      </c>
      <c r="L18" s="146">
        <f t="shared" si="4"/>
        <v>1736.4375</v>
      </c>
      <c r="M18" s="146">
        <f t="shared" si="4"/>
        <v>1823.259375</v>
      </c>
      <c r="O18" s="147"/>
      <c r="P18" s="147"/>
    </row>
    <row r="19" ht="4.5" customHeight="1"/>
    <row r="20">
      <c r="B20" s="99" t="s">
        <v>76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</row>
    <row r="21" ht="15.75" customHeight="1">
      <c r="B21" s="5" t="s">
        <v>121</v>
      </c>
      <c r="C21" s="129" t="s">
        <v>184</v>
      </c>
      <c r="E21" s="100"/>
      <c r="F21" s="143"/>
      <c r="G21" s="143"/>
      <c r="H21" s="143"/>
      <c r="I21" s="143"/>
      <c r="J21" s="144">
        <v>0.0</v>
      </c>
      <c r="K21" s="144">
        <f t="shared" ref="K21:M21" si="5">+J21</f>
        <v>0</v>
      </c>
      <c r="L21" s="144">
        <f t="shared" si="5"/>
        <v>0</v>
      </c>
      <c r="M21" s="144">
        <f t="shared" si="5"/>
        <v>0</v>
      </c>
    </row>
    <row r="22" ht="15.75" customHeight="1">
      <c r="B22" s="5" t="s">
        <v>127</v>
      </c>
      <c r="C22" s="129" t="s">
        <v>184</v>
      </c>
      <c r="E22" s="100"/>
      <c r="F22" s="143"/>
      <c r="G22" s="143"/>
      <c r="H22" s="143"/>
      <c r="I22" s="143"/>
      <c r="J22" s="144">
        <v>0.06</v>
      </c>
      <c r="K22" s="144">
        <v>0.06</v>
      </c>
      <c r="L22" s="144">
        <v>0.06</v>
      </c>
      <c r="M22" s="144">
        <v>0.06</v>
      </c>
    </row>
    <row r="23" ht="4.5" customHeight="1"/>
    <row r="24" ht="15.75" customHeight="1">
      <c r="B24" s="5" t="s">
        <v>183</v>
      </c>
      <c r="C24" s="129" t="s">
        <v>185</v>
      </c>
      <c r="E24" s="100"/>
      <c r="F24" s="100"/>
      <c r="G24" s="100"/>
      <c r="H24" s="100"/>
      <c r="I24" s="145">
        <v>1.0</v>
      </c>
      <c r="J24" s="145">
        <v>1.0</v>
      </c>
      <c r="K24" s="145">
        <v>1.0</v>
      </c>
      <c r="L24" s="145">
        <v>1.0</v>
      </c>
      <c r="M24" s="145">
        <v>1.0</v>
      </c>
    </row>
    <row r="25" ht="15.75" customHeight="1">
      <c r="B25" s="5" t="s">
        <v>186</v>
      </c>
      <c r="C25" s="129" t="s">
        <v>187</v>
      </c>
      <c r="E25" s="100"/>
      <c r="F25" s="100"/>
      <c r="G25" s="100"/>
      <c r="H25" s="100"/>
      <c r="I25" s="146">
        <v>600.0</v>
      </c>
      <c r="J25" s="146">
        <f t="shared" ref="J25:M25" si="6">I25*1.05</f>
        <v>630</v>
      </c>
      <c r="K25" s="146">
        <f t="shared" si="6"/>
        <v>661.5</v>
      </c>
      <c r="L25" s="146">
        <f t="shared" si="6"/>
        <v>694.575</v>
      </c>
      <c r="M25" s="146">
        <f t="shared" si="6"/>
        <v>729.30375</v>
      </c>
    </row>
    <row r="26" ht="4.5" customHeight="1"/>
    <row r="27" ht="15.75" customHeight="1">
      <c r="B27" s="99" t="s">
        <v>74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</row>
    <row r="28" ht="15.75" customHeight="1">
      <c r="B28" s="5" t="s">
        <v>121</v>
      </c>
      <c r="C28" s="129" t="s">
        <v>184</v>
      </c>
      <c r="E28" s="100"/>
      <c r="F28" s="143"/>
      <c r="G28" s="143"/>
      <c r="H28" s="143"/>
      <c r="I28" s="143"/>
      <c r="J28" s="144">
        <v>-0.01</v>
      </c>
      <c r="K28" s="144">
        <f t="shared" ref="K28:M28" si="7">+J28</f>
        <v>-0.01</v>
      </c>
      <c r="L28" s="144">
        <f t="shared" si="7"/>
        <v>-0.01</v>
      </c>
      <c r="M28" s="144">
        <f t="shared" si="7"/>
        <v>-0.01</v>
      </c>
    </row>
    <row r="29" ht="15.75" customHeight="1">
      <c r="B29" s="5" t="s">
        <v>127</v>
      </c>
      <c r="C29" s="129" t="s">
        <v>184</v>
      </c>
      <c r="E29" s="100"/>
      <c r="F29" s="143"/>
      <c r="G29" s="143"/>
      <c r="H29" s="143"/>
      <c r="I29" s="143"/>
      <c r="J29" s="144">
        <v>0.12</v>
      </c>
      <c r="K29" s="144">
        <f t="shared" ref="K29:M29" si="8">+J29</f>
        <v>0.12</v>
      </c>
      <c r="L29" s="144">
        <f t="shared" si="8"/>
        <v>0.12</v>
      </c>
      <c r="M29" s="144">
        <f t="shared" si="8"/>
        <v>0.12</v>
      </c>
    </row>
    <row r="30" ht="4.5" customHeight="1"/>
    <row r="31" ht="15.75" customHeight="1">
      <c r="B31" s="5" t="s">
        <v>183</v>
      </c>
      <c r="C31" s="129" t="s">
        <v>185</v>
      </c>
      <c r="E31" s="100"/>
      <c r="F31" s="100"/>
      <c r="G31" s="100"/>
      <c r="H31" s="100"/>
      <c r="I31" s="145">
        <v>2.0</v>
      </c>
      <c r="J31" s="145">
        <v>3.0</v>
      </c>
      <c r="K31" s="145">
        <v>4.0</v>
      </c>
      <c r="L31" s="145">
        <v>6.0</v>
      </c>
      <c r="M31" s="145">
        <v>8.0</v>
      </c>
      <c r="O31" s="50"/>
      <c r="P31" s="147"/>
    </row>
    <row r="32" ht="15.75" customHeight="1">
      <c r="B32" s="5" t="s">
        <v>186</v>
      </c>
      <c r="C32" s="129" t="s">
        <v>187</v>
      </c>
      <c r="E32" s="100"/>
      <c r="F32" s="100"/>
      <c r="G32" s="100"/>
      <c r="H32" s="100"/>
      <c r="I32" s="146">
        <v>200.0</v>
      </c>
      <c r="J32" s="146">
        <f t="shared" ref="J32:M32" si="9">I32*1.05</f>
        <v>210</v>
      </c>
      <c r="K32" s="146">
        <f t="shared" si="9"/>
        <v>220.5</v>
      </c>
      <c r="L32" s="146">
        <f t="shared" si="9"/>
        <v>231.525</v>
      </c>
      <c r="M32" s="146">
        <f t="shared" si="9"/>
        <v>243.10125</v>
      </c>
      <c r="O32" s="50"/>
      <c r="P32" s="58"/>
    </row>
    <row r="33" ht="4.5" customHeight="1"/>
    <row r="34" ht="15.75" customHeight="1">
      <c r="B34" s="99" t="s">
        <v>70</v>
      </c>
      <c r="C34" s="100"/>
      <c r="D34" s="100"/>
      <c r="E34" s="100"/>
      <c r="F34" s="100"/>
      <c r="G34" s="100"/>
      <c r="H34" s="100"/>
      <c r="I34" s="100"/>
      <c r="J34" s="53"/>
      <c r="K34" s="100"/>
      <c r="L34" s="100"/>
      <c r="M34" s="100"/>
    </row>
    <row r="35" ht="15.75" customHeight="1">
      <c r="B35" s="5" t="s">
        <v>121</v>
      </c>
      <c r="C35" s="129" t="s">
        <v>184</v>
      </c>
      <c r="E35" s="100"/>
      <c r="F35" s="143"/>
      <c r="G35" s="143"/>
      <c r="H35" s="143"/>
      <c r="I35" s="143"/>
      <c r="J35" s="144">
        <v>-0.03</v>
      </c>
      <c r="K35" s="144">
        <f t="shared" ref="K35:M35" si="10">+J35</f>
        <v>-0.03</v>
      </c>
      <c r="L35" s="144">
        <f t="shared" si="10"/>
        <v>-0.03</v>
      </c>
      <c r="M35" s="144">
        <f t="shared" si="10"/>
        <v>-0.03</v>
      </c>
    </row>
    <row r="36" ht="15.75" customHeight="1">
      <c r="B36" s="5" t="s">
        <v>127</v>
      </c>
      <c r="C36" s="129" t="s">
        <v>184</v>
      </c>
      <c r="E36" s="100"/>
      <c r="F36" s="143"/>
      <c r="G36" s="143"/>
      <c r="H36" s="143"/>
      <c r="I36" s="143"/>
      <c r="J36" s="144">
        <v>0.15</v>
      </c>
      <c r="K36" s="144">
        <v>0.15</v>
      </c>
      <c r="L36" s="144">
        <v>0.16</v>
      </c>
      <c r="M36" s="144">
        <f>+L36+0.5%</f>
        <v>0.165</v>
      </c>
    </row>
    <row r="37" ht="4.5" customHeight="1"/>
    <row r="38" ht="15.75" customHeight="1">
      <c r="B38" s="5" t="s">
        <v>183</v>
      </c>
      <c r="C38" s="129" t="s">
        <v>185</v>
      </c>
      <c r="E38" s="100"/>
      <c r="F38" s="100"/>
      <c r="G38" s="100"/>
      <c r="H38" s="100"/>
      <c r="I38" s="145">
        <v>3.0</v>
      </c>
      <c r="J38" s="145">
        <v>4.0</v>
      </c>
      <c r="K38" s="145">
        <v>4.0</v>
      </c>
      <c r="L38" s="145">
        <v>7.0</v>
      </c>
      <c r="M38" s="145">
        <v>9.0</v>
      </c>
    </row>
    <row r="39" ht="15.75" customHeight="1">
      <c r="B39" s="5" t="s">
        <v>186</v>
      </c>
      <c r="C39" s="129" t="s">
        <v>187</v>
      </c>
      <c r="E39" s="100"/>
      <c r="F39" s="100"/>
      <c r="G39" s="100"/>
      <c r="H39" s="100"/>
      <c r="I39" s="146">
        <v>125.0</v>
      </c>
      <c r="J39" s="146">
        <f t="shared" ref="J39:M39" si="11">I39*1.05</f>
        <v>131.25</v>
      </c>
      <c r="K39" s="146">
        <f t="shared" si="11"/>
        <v>137.8125</v>
      </c>
      <c r="L39" s="146">
        <f t="shared" si="11"/>
        <v>144.703125</v>
      </c>
      <c r="M39" s="146">
        <f t="shared" si="11"/>
        <v>151.9382813</v>
      </c>
    </row>
    <row r="40" ht="4.5" customHeight="1"/>
    <row r="41" ht="15.75" customHeight="1">
      <c r="B41" s="71" t="s">
        <v>43</v>
      </c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</row>
    <row r="42" ht="4.5" customHeight="1"/>
    <row r="43" ht="15.75" customHeight="1">
      <c r="B43" s="5" t="s">
        <v>82</v>
      </c>
      <c r="C43" s="129" t="s">
        <v>188</v>
      </c>
      <c r="E43" s="109">
        <f>+Revenue_Calcs!E191</f>
        <v>0.7637303823</v>
      </c>
      <c r="F43" s="109">
        <f>+Revenue_Calcs!F191</f>
        <v>0.729049418</v>
      </c>
      <c r="G43" s="109">
        <f>+Revenue_Calcs!G191</f>
        <v>0.6030896427</v>
      </c>
      <c r="H43" s="109">
        <f>+Revenue_Calcs!H191</f>
        <v>0.6697862766</v>
      </c>
      <c r="I43" s="109">
        <f>+Revenue_Calcs!I191</f>
        <v>0.7503831789</v>
      </c>
      <c r="J43" s="144">
        <v>0.75</v>
      </c>
      <c r="K43" s="144">
        <v>0.75</v>
      </c>
      <c r="L43" s="144">
        <v>0.75</v>
      </c>
      <c r="M43" s="144">
        <v>0.75</v>
      </c>
    </row>
    <row r="44" ht="15.75" customHeight="1">
      <c r="B44" s="5" t="s">
        <v>76</v>
      </c>
      <c r="C44" s="129" t="s">
        <v>188</v>
      </c>
      <c r="E44" s="109">
        <f>+Revenue_Calcs!E196</f>
        <v>0.3201372738</v>
      </c>
      <c r="F44" s="109">
        <f>+Revenue_Calcs!F196</f>
        <v>0.3463108877</v>
      </c>
      <c r="G44" s="109">
        <f>+Revenue_Calcs!G196</f>
        <v>0.2775390096</v>
      </c>
      <c r="H44" s="109">
        <f>+Revenue_Calcs!H196</f>
        <v>0.3959254529</v>
      </c>
      <c r="I44" s="109">
        <f>+Revenue_Calcs!I196</f>
        <v>0.302764554</v>
      </c>
      <c r="J44" s="144">
        <v>0.46</v>
      </c>
      <c r="K44" s="144">
        <f t="shared" ref="K44:M44" si="12">+J44-1%</f>
        <v>0.45</v>
      </c>
      <c r="L44" s="144">
        <f t="shared" si="12"/>
        <v>0.44</v>
      </c>
      <c r="M44" s="144">
        <f t="shared" si="12"/>
        <v>0.43</v>
      </c>
    </row>
    <row r="45" ht="15.75" customHeight="1">
      <c r="B45" s="5" t="s">
        <v>74</v>
      </c>
      <c r="C45" s="129" t="s">
        <v>188</v>
      </c>
      <c r="E45" s="109">
        <f>+Revenue_Calcs!E201</f>
        <v>0.1912024673</v>
      </c>
      <c r="F45" s="109">
        <f>+Revenue_Calcs!F201</f>
        <v>0.1379239474</v>
      </c>
      <c r="G45" s="109">
        <f>+Revenue_Calcs!G201</f>
        <v>0.30576194</v>
      </c>
      <c r="H45" s="109">
        <f>+Revenue_Calcs!H201</f>
        <v>0.46170509</v>
      </c>
      <c r="I45" s="109">
        <f>+Revenue_Calcs!I201</f>
        <v>0.3657796084</v>
      </c>
      <c r="J45" s="144">
        <v>0.41</v>
      </c>
      <c r="K45" s="144">
        <f t="shared" ref="K45:M45" si="13">+J45-1%</f>
        <v>0.4</v>
      </c>
      <c r="L45" s="144">
        <f t="shared" si="13"/>
        <v>0.39</v>
      </c>
      <c r="M45" s="144">
        <f t="shared" si="13"/>
        <v>0.38</v>
      </c>
    </row>
    <row r="46" ht="15.75" customHeight="1">
      <c r="B46" s="5" t="s">
        <v>70</v>
      </c>
      <c r="C46" s="129" t="s">
        <v>188</v>
      </c>
      <c r="E46" s="109">
        <f>+Revenue_Calcs!E206</f>
        <v>0.1592692746</v>
      </c>
      <c r="F46" s="109">
        <f>+Revenue_Calcs!F206</f>
        <v>0.18630327</v>
      </c>
      <c r="G46" s="109">
        <f>+Revenue_Calcs!G206</f>
        <v>0.145693231</v>
      </c>
      <c r="H46" s="109">
        <f>+Revenue_Calcs!H206</f>
        <v>0.2506717716</v>
      </c>
      <c r="I46" s="109">
        <f>+Revenue_Calcs!I206</f>
        <v>0.2283500403</v>
      </c>
      <c r="J46" s="144">
        <v>0.31</v>
      </c>
      <c r="K46" s="144">
        <f t="shared" ref="K46:M46" si="14">+J46-1%</f>
        <v>0.3</v>
      </c>
      <c r="L46" s="144">
        <f t="shared" si="14"/>
        <v>0.29</v>
      </c>
      <c r="M46" s="144">
        <f t="shared" si="14"/>
        <v>0.28</v>
      </c>
    </row>
    <row r="47" ht="4.5" customHeight="1"/>
    <row r="48" ht="15.75" customHeight="1">
      <c r="B48" s="71" t="s">
        <v>44</v>
      </c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</row>
    <row r="49" ht="4.5" customHeight="1"/>
    <row r="50" ht="15.75" customHeight="1">
      <c r="B50" s="99" t="s">
        <v>140</v>
      </c>
      <c r="C50" s="100"/>
      <c r="D50" s="100"/>
      <c r="E50" s="100"/>
      <c r="F50" s="100"/>
      <c r="G50" s="100"/>
      <c r="H50" s="100"/>
      <c r="I50" s="100"/>
      <c r="J50" s="53"/>
      <c r="K50" s="100"/>
      <c r="L50" s="100"/>
      <c r="M50" s="100"/>
    </row>
    <row r="51" ht="15.75" customHeight="1">
      <c r="B51" s="5" t="s">
        <v>82</v>
      </c>
      <c r="C51" s="129" t="s">
        <v>187</v>
      </c>
      <c r="E51" s="112"/>
      <c r="F51" s="112"/>
      <c r="G51" s="112"/>
      <c r="H51" s="112"/>
      <c r="I51" s="146">
        <v>1000.0</v>
      </c>
      <c r="J51" s="146">
        <f t="shared" ref="J51:M51" si="15">I51*1.05</f>
        <v>1050</v>
      </c>
      <c r="K51" s="146">
        <f t="shared" si="15"/>
        <v>1102.5</v>
      </c>
      <c r="L51" s="146">
        <f t="shared" si="15"/>
        <v>1157.625</v>
      </c>
      <c r="M51" s="146">
        <f t="shared" si="15"/>
        <v>1215.50625</v>
      </c>
    </row>
    <row r="52" ht="15.75" customHeight="1">
      <c r="B52" s="5" t="s">
        <v>76</v>
      </c>
      <c r="C52" s="129" t="s">
        <v>187</v>
      </c>
      <c r="E52" s="112"/>
      <c r="F52" s="112"/>
      <c r="G52" s="112"/>
      <c r="H52" s="112"/>
      <c r="I52" s="146">
        <v>350.0</v>
      </c>
      <c r="J52" s="146">
        <f t="shared" ref="J52:M52" si="16">I52*1.05</f>
        <v>367.5</v>
      </c>
      <c r="K52" s="146">
        <f t="shared" si="16"/>
        <v>385.875</v>
      </c>
      <c r="L52" s="146">
        <f t="shared" si="16"/>
        <v>405.16875</v>
      </c>
      <c r="M52" s="146">
        <f t="shared" si="16"/>
        <v>425.4271875</v>
      </c>
    </row>
    <row r="53" ht="15.75" customHeight="1">
      <c r="B53" s="5" t="s">
        <v>74</v>
      </c>
      <c r="C53" s="129" t="s">
        <v>187</v>
      </c>
      <c r="E53" s="112"/>
      <c r="F53" s="112"/>
      <c r="G53" s="112"/>
      <c r="H53" s="112"/>
      <c r="I53" s="146">
        <v>200.0</v>
      </c>
      <c r="J53" s="146">
        <f t="shared" ref="J53:M53" si="17">I53*1.05</f>
        <v>210</v>
      </c>
      <c r="K53" s="146">
        <f t="shared" si="17"/>
        <v>220.5</v>
      </c>
      <c r="L53" s="146">
        <f t="shared" si="17"/>
        <v>231.525</v>
      </c>
      <c r="M53" s="146">
        <f t="shared" si="17"/>
        <v>243.10125</v>
      </c>
    </row>
    <row r="54" ht="15.75" customHeight="1">
      <c r="B54" s="5" t="s">
        <v>70</v>
      </c>
      <c r="C54" s="129" t="s">
        <v>187</v>
      </c>
      <c r="E54" s="112"/>
      <c r="F54" s="112"/>
      <c r="G54" s="112"/>
      <c r="H54" s="112"/>
      <c r="I54" s="146">
        <v>150.0</v>
      </c>
      <c r="J54" s="146">
        <f t="shared" ref="J54:M54" si="18">I54*1.05</f>
        <v>157.5</v>
      </c>
      <c r="K54" s="146">
        <f t="shared" si="18"/>
        <v>165.375</v>
      </c>
      <c r="L54" s="146">
        <f t="shared" si="18"/>
        <v>173.64375</v>
      </c>
      <c r="M54" s="146">
        <f t="shared" si="18"/>
        <v>182.3259375</v>
      </c>
    </row>
    <row r="55" ht="4.5" customHeight="1"/>
    <row r="56" ht="15.75" customHeight="1">
      <c r="B56" s="71" t="s">
        <v>45</v>
      </c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</row>
    <row r="57" ht="4.5" customHeight="1"/>
    <row r="58" ht="15.75" customHeight="1">
      <c r="B58" s="5" t="s">
        <v>45</v>
      </c>
      <c r="C58" s="129" t="s">
        <v>187</v>
      </c>
      <c r="E58" s="100"/>
      <c r="F58" s="52">
        <f>+Revenue_Calcs!F287</f>
        <v>34.39</v>
      </c>
      <c r="G58" s="52">
        <f>+Revenue_Calcs!G287</f>
        <v>66.10265</v>
      </c>
      <c r="H58" s="52">
        <f>+Revenue_Calcs!H287</f>
        <v>124.94943</v>
      </c>
      <c r="I58" s="52">
        <f>+Revenue_Calcs!I287</f>
        <v>105.9</v>
      </c>
      <c r="J58" s="146">
        <v>125.0</v>
      </c>
      <c r="K58" s="146">
        <f t="shared" ref="K58:M58" si="19">J58*1.05</f>
        <v>131.25</v>
      </c>
      <c r="L58" s="146">
        <f t="shared" si="19"/>
        <v>137.8125</v>
      </c>
      <c r="M58" s="146">
        <f t="shared" si="19"/>
        <v>144.703125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25.57"/>
    <col customWidth="1" min="3" max="3" width="23.43"/>
    <col customWidth="1" min="4" max="5" width="2.57"/>
    <col customWidth="1" min="6" max="26" width="12.57"/>
  </cols>
  <sheetData>
    <row r="2">
      <c r="B2" s="31" t="s">
        <v>31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</row>
    <row r="3">
      <c r="B3" s="32" t="str">
        <f t="array" ref="B3">MID(CELL("filename",A1),FIND("]",CELL("filename",A1))+1,255)</f>
        <v>#VALUE!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</row>
    <row r="4">
      <c r="B4" s="32" t="s">
        <v>32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</row>
    <row r="5">
      <c r="B5" s="33" t="s">
        <v>33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</row>
    <row r="6" ht="4.5" customHeight="1"/>
    <row r="7">
      <c r="B7" s="34"/>
      <c r="C7" s="34"/>
      <c r="D7" s="34"/>
      <c r="E7" s="35"/>
      <c r="F7" s="36">
        <v>2019.0</v>
      </c>
      <c r="G7" s="36">
        <f t="shared" ref="G7:M7" si="1">+F7+1</f>
        <v>2020</v>
      </c>
      <c r="H7" s="36">
        <f t="shared" si="1"/>
        <v>2021</v>
      </c>
      <c r="I7" s="36">
        <f t="shared" si="1"/>
        <v>2022</v>
      </c>
      <c r="J7" s="36">
        <f t="shared" si="1"/>
        <v>2023</v>
      </c>
      <c r="K7" s="36">
        <f t="shared" si="1"/>
        <v>2024</v>
      </c>
      <c r="L7" s="36">
        <f t="shared" si="1"/>
        <v>2025</v>
      </c>
      <c r="M7" s="36">
        <f t="shared" si="1"/>
        <v>2026</v>
      </c>
    </row>
    <row r="8">
      <c r="B8" s="34"/>
      <c r="C8" s="34"/>
      <c r="D8" s="34"/>
      <c r="E8" s="41"/>
      <c r="F8" s="42">
        <f t="shared" ref="F8:M8" si="2">+DATE(F7,12,31)</f>
        <v>43830</v>
      </c>
      <c r="G8" s="42">
        <f t="shared" si="2"/>
        <v>44196</v>
      </c>
      <c r="H8" s="42">
        <f t="shared" si="2"/>
        <v>44561</v>
      </c>
      <c r="I8" s="42">
        <f t="shared" si="2"/>
        <v>44926</v>
      </c>
      <c r="J8" s="42">
        <f t="shared" si="2"/>
        <v>45291</v>
      </c>
      <c r="K8" s="42">
        <f t="shared" si="2"/>
        <v>45657</v>
      </c>
      <c r="L8" s="42">
        <f t="shared" si="2"/>
        <v>46022</v>
      </c>
      <c r="M8" s="42">
        <f t="shared" si="2"/>
        <v>46387</v>
      </c>
    </row>
    <row r="9">
      <c r="B9" s="34" t="s">
        <v>35</v>
      </c>
      <c r="C9" s="34"/>
      <c r="D9" s="34"/>
      <c r="E9" s="44"/>
      <c r="F9" s="45" t="str">
        <f>+IF(F8&lt;=Cover!$C$20,"Actual","Projection")</f>
        <v>Actual</v>
      </c>
      <c r="G9" s="45" t="str">
        <f>+IF(G8&lt;=Cover!$C$20,"Actual","Projection")</f>
        <v>Actual</v>
      </c>
      <c r="H9" s="45" t="str">
        <f>+IF(H8&lt;=Cover!$C$20,"Actual","Projection")</f>
        <v>Projection</v>
      </c>
      <c r="I9" s="45" t="str">
        <f>+IF(I8&lt;=Cover!$C$20,"Actual","Projection")</f>
        <v>Projection</v>
      </c>
      <c r="J9" s="45" t="str">
        <f>+IF(J8&lt;=Cover!$C$20,"Actual","Projection")</f>
        <v>Projection</v>
      </c>
      <c r="K9" s="45" t="str">
        <f>+IF(K8&lt;=Cover!$C$20,"Actual","Projection")</f>
        <v>Projection</v>
      </c>
      <c r="L9" s="45" t="str">
        <f>+IF(L8&lt;=Cover!$C$20,"Actual","Projection")</f>
        <v>Projection</v>
      </c>
      <c r="M9" s="45" t="str">
        <f>+IF(M8&lt;=Cover!$C$20,"Actual","Projection")</f>
        <v>Projection</v>
      </c>
    </row>
    <row r="10" ht="4.5" customHeight="1"/>
    <row r="11">
      <c r="B11" s="71" t="s">
        <v>42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</row>
    <row r="12" ht="4.5" customHeight="1"/>
    <row r="13">
      <c r="B13" s="5" t="s">
        <v>82</v>
      </c>
      <c r="C13" s="129" t="s">
        <v>189</v>
      </c>
      <c r="E13" s="109"/>
      <c r="F13" s="109">
        <f>+COGS_Calcs!F85</f>
        <v>0.8860393586</v>
      </c>
      <c r="G13" s="109">
        <f>+COGS_Calcs!G85</f>
        <v>0.9135023863</v>
      </c>
      <c r="H13" s="109">
        <f>+COGS_Calcs!H85</f>
        <v>0.9382308521</v>
      </c>
      <c r="I13" s="144">
        <v>0.92</v>
      </c>
      <c r="J13" s="144">
        <f>+I13</f>
        <v>0.92</v>
      </c>
      <c r="K13" s="144">
        <f t="shared" ref="K13:M13" si="3">J13+0.2%</f>
        <v>0.922</v>
      </c>
      <c r="L13" s="144">
        <f t="shared" si="3"/>
        <v>0.924</v>
      </c>
      <c r="M13" s="144">
        <f t="shared" si="3"/>
        <v>0.926</v>
      </c>
    </row>
    <row r="14">
      <c r="B14" s="5" t="s">
        <v>76</v>
      </c>
      <c r="C14" s="129" t="s">
        <v>189</v>
      </c>
      <c r="E14" s="109"/>
      <c r="F14" s="109">
        <f>+COGS_Calcs!F87</f>
        <v>0.8337031246</v>
      </c>
      <c r="G14" s="109">
        <f>+COGS_Calcs!G87</f>
        <v>0.9038848151</v>
      </c>
      <c r="H14" s="109">
        <f>+COGS_Calcs!H87</f>
        <v>0.896211232</v>
      </c>
      <c r="I14" s="144">
        <f t="shared" ref="I14:J14" si="4">+H14</f>
        <v>0.896211232</v>
      </c>
      <c r="J14" s="144">
        <f t="shared" si="4"/>
        <v>0.896211232</v>
      </c>
      <c r="K14" s="144">
        <f t="shared" ref="K14:M14" si="5">J14+0.2%</f>
        <v>0.898211232</v>
      </c>
      <c r="L14" s="144">
        <f t="shared" si="5"/>
        <v>0.900211232</v>
      </c>
      <c r="M14" s="144">
        <f t="shared" si="5"/>
        <v>0.902211232</v>
      </c>
    </row>
    <row r="15">
      <c r="B15" s="5" t="s">
        <v>74</v>
      </c>
      <c r="C15" s="129" t="s">
        <v>189</v>
      </c>
      <c r="E15" s="109"/>
      <c r="F15" s="109">
        <f>+COGS_Calcs!F88</f>
        <v>0.8588997472</v>
      </c>
      <c r="G15" s="109">
        <f>+COGS_Calcs!G88</f>
        <v>0.9044758485</v>
      </c>
      <c r="H15" s="109">
        <f>+COGS_Calcs!H88</f>
        <v>0.9198565501</v>
      </c>
      <c r="I15" s="144">
        <f t="shared" ref="I15:J15" si="6">+H15</f>
        <v>0.9198565501</v>
      </c>
      <c r="J15" s="144">
        <f t="shared" si="6"/>
        <v>0.9198565501</v>
      </c>
      <c r="K15" s="144">
        <f t="shared" ref="K15:M15" si="7">J15+0.2%</f>
        <v>0.9218565501</v>
      </c>
      <c r="L15" s="144">
        <f t="shared" si="7"/>
        <v>0.9238565501</v>
      </c>
      <c r="M15" s="144">
        <f t="shared" si="7"/>
        <v>0.9258565501</v>
      </c>
    </row>
    <row r="16">
      <c r="B16" s="5" t="s">
        <v>70</v>
      </c>
      <c r="C16" s="129" t="s">
        <v>189</v>
      </c>
      <c r="E16" s="109"/>
      <c r="F16" s="109">
        <f>+COGS_Calcs!F89</f>
        <v>0.8728942231</v>
      </c>
      <c r="G16" s="109">
        <f>+COGS_Calcs!G89</f>
        <v>0.9068091164</v>
      </c>
      <c r="H16" s="109">
        <f>+COGS_Calcs!H89</f>
        <v>0.9265972012</v>
      </c>
      <c r="I16" s="144">
        <f t="shared" ref="I16:J16" si="8">+H16</f>
        <v>0.9265972012</v>
      </c>
      <c r="J16" s="144">
        <f t="shared" si="8"/>
        <v>0.9265972012</v>
      </c>
      <c r="K16" s="144">
        <f t="shared" ref="K16:M16" si="9">J16+0.2%</f>
        <v>0.9285972012</v>
      </c>
      <c r="L16" s="144">
        <f t="shared" si="9"/>
        <v>0.9305972012</v>
      </c>
      <c r="M16" s="144">
        <f t="shared" si="9"/>
        <v>0.9325972012</v>
      </c>
    </row>
    <row r="17" ht="4.5" customHeight="1"/>
    <row r="18">
      <c r="B18" s="5" t="s">
        <v>147</v>
      </c>
      <c r="C18" s="129" t="s">
        <v>190</v>
      </c>
      <c r="F18" s="109">
        <f>+COGS_Calcs!F93</f>
        <v>0.09364521257</v>
      </c>
      <c r="G18" s="109">
        <f>+COGS_Calcs!G93</f>
        <v>0.1048509435</v>
      </c>
      <c r="H18" s="109">
        <f>+COGS_Calcs!H93</f>
        <v>0.1175127329</v>
      </c>
      <c r="I18" s="109">
        <f>+COGS_Calcs!I93</f>
        <v>0.1045743855</v>
      </c>
      <c r="J18" s="109">
        <f>+COGS_Calcs!J93</f>
        <v>0.1011317753</v>
      </c>
      <c r="K18" s="144">
        <f t="shared" ref="K18:M18" si="10">J18-0.1%</f>
        <v>0.1001317753</v>
      </c>
      <c r="L18" s="144">
        <f t="shared" si="10"/>
        <v>0.09913177532</v>
      </c>
      <c r="M18" s="144">
        <f t="shared" si="10"/>
        <v>0.09813177532</v>
      </c>
    </row>
    <row r="19">
      <c r="B19" s="5" t="s">
        <v>56</v>
      </c>
      <c r="C19" s="129" t="s">
        <v>190</v>
      </c>
      <c r="F19" s="109">
        <f>+COGS_Calcs!F98</f>
        <v>0.0248510113</v>
      </c>
      <c r="G19" s="109">
        <f>+COGS_Calcs!G98</f>
        <v>0.02649593431</v>
      </c>
      <c r="H19" s="109">
        <f>+COGS_Calcs!H98</f>
        <v>0.02237036252</v>
      </c>
      <c r="I19" s="109">
        <f>+COGS_Calcs!I98</f>
        <v>0.02332644774</v>
      </c>
      <c r="J19" s="109">
        <f>+COGS_Calcs!J98</f>
        <v>0.02237511824</v>
      </c>
      <c r="K19" s="144">
        <f t="shared" ref="K19:M19" si="11">J19-0.1%</f>
        <v>0.02137511824</v>
      </c>
      <c r="L19" s="144">
        <f t="shared" si="11"/>
        <v>0.02037511824</v>
      </c>
      <c r="M19" s="144">
        <f t="shared" si="11"/>
        <v>0.01937511824</v>
      </c>
    </row>
    <row r="20">
      <c r="B20" s="5" t="s">
        <v>149</v>
      </c>
      <c r="C20" s="129" t="s">
        <v>190</v>
      </c>
      <c r="F20" s="109">
        <f>+COGS_Calcs!F103</f>
        <v>0.004310257398</v>
      </c>
      <c r="G20" s="109">
        <f>+COGS_Calcs!G103</f>
        <v>0.005224290172</v>
      </c>
      <c r="H20" s="109">
        <f>+COGS_Calcs!H103</f>
        <v>0</v>
      </c>
      <c r="I20" s="109">
        <f>+COGS_Calcs!I103</f>
        <v>0</v>
      </c>
      <c r="J20" s="109">
        <f>+COGS_Calcs!J103</f>
        <v>0</v>
      </c>
      <c r="K20" s="144">
        <f t="shared" ref="K20:M20" si="12">+J20</f>
        <v>0</v>
      </c>
      <c r="L20" s="144">
        <f t="shared" si="12"/>
        <v>0</v>
      </c>
      <c r="M20" s="144">
        <f t="shared" si="12"/>
        <v>0</v>
      </c>
    </row>
    <row r="21" ht="4.5" customHeight="1"/>
    <row r="22" ht="15.75" customHeight="1">
      <c r="B22" s="71" t="s">
        <v>43</v>
      </c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</row>
    <row r="23" ht="4.5" customHeight="1"/>
    <row r="24" ht="15.75" customHeight="1">
      <c r="B24" s="5" t="s">
        <v>82</v>
      </c>
      <c r="C24" s="129" t="s">
        <v>189</v>
      </c>
      <c r="E24" s="109"/>
      <c r="F24" s="109">
        <f>+COGS_Calcs!F185</f>
        <v>0.7250930555</v>
      </c>
      <c r="G24" s="109">
        <f>+COGS_Calcs!G185</f>
        <v>0.6996038285</v>
      </c>
      <c r="H24" s="109">
        <f>+COGS_Calcs!H185</f>
        <v>0.7225625004</v>
      </c>
      <c r="I24" s="144">
        <v>0.69</v>
      </c>
      <c r="J24" s="144">
        <f t="shared" ref="J24:J27" si="14">+I24</f>
        <v>0.69</v>
      </c>
      <c r="K24" s="144">
        <f t="shared" ref="K24:M24" si="13">+J24+0.3%</f>
        <v>0.693</v>
      </c>
      <c r="L24" s="144">
        <f t="shared" si="13"/>
        <v>0.696</v>
      </c>
      <c r="M24" s="144">
        <f t="shared" si="13"/>
        <v>0.699</v>
      </c>
      <c r="O24" s="148"/>
    </row>
    <row r="25" ht="15.75" customHeight="1">
      <c r="B25" s="5" t="s">
        <v>76</v>
      </c>
      <c r="C25" s="129" t="s">
        <v>189</v>
      </c>
      <c r="E25" s="109"/>
      <c r="F25" s="109">
        <f>+COGS_Calcs!F186</f>
        <v>0.6814893689</v>
      </c>
      <c r="G25" s="109">
        <f>+COGS_Calcs!G186</f>
        <v>0.7475955363</v>
      </c>
      <c r="H25" s="109">
        <f>+COGS_Calcs!H186</f>
        <v>0.6890718361</v>
      </c>
      <c r="I25" s="144">
        <v>0.69</v>
      </c>
      <c r="J25" s="144">
        <f t="shared" si="14"/>
        <v>0.69</v>
      </c>
      <c r="K25" s="144">
        <f t="shared" ref="K25:M25" si="15">+J25+0.3%</f>
        <v>0.693</v>
      </c>
      <c r="L25" s="144">
        <f t="shared" si="15"/>
        <v>0.696</v>
      </c>
      <c r="M25" s="144">
        <f t="shared" si="15"/>
        <v>0.699</v>
      </c>
      <c r="O25" s="149"/>
    </row>
    <row r="26" ht="15.75" customHeight="1">
      <c r="B26" s="5" t="s">
        <v>74</v>
      </c>
      <c r="C26" s="129" t="s">
        <v>189</v>
      </c>
      <c r="E26" s="109"/>
      <c r="F26" s="109">
        <f>+COGS_Calcs!F187</f>
        <v>0.2587369604</v>
      </c>
      <c r="G26" s="109">
        <f>+COGS_Calcs!G187</f>
        <v>0.492077364</v>
      </c>
      <c r="H26" s="109">
        <f>+COGS_Calcs!H187</f>
        <v>0.6428167964</v>
      </c>
      <c r="I26" s="144">
        <v>0.65</v>
      </c>
      <c r="J26" s="144">
        <f t="shared" si="14"/>
        <v>0.65</v>
      </c>
      <c r="K26" s="144">
        <f t="shared" ref="K26:M26" si="16">+J26+0.3%</f>
        <v>0.653</v>
      </c>
      <c r="L26" s="144">
        <f t="shared" si="16"/>
        <v>0.656</v>
      </c>
      <c r="M26" s="144">
        <f t="shared" si="16"/>
        <v>0.659</v>
      </c>
    </row>
    <row r="27" ht="15.75" customHeight="1">
      <c r="B27" s="5" t="s">
        <v>70</v>
      </c>
      <c r="C27" s="129" t="s">
        <v>189</v>
      </c>
      <c r="E27" s="109"/>
      <c r="F27" s="109">
        <f>+COGS_Calcs!F188</f>
        <v>0.7029888097</v>
      </c>
      <c r="G27" s="109">
        <f>+COGS_Calcs!G188</f>
        <v>0.4563453073</v>
      </c>
      <c r="H27" s="109">
        <f>+COGS_Calcs!H188</f>
        <v>0.7386531678</v>
      </c>
      <c r="I27" s="144">
        <v>0.75</v>
      </c>
      <c r="J27" s="144">
        <f t="shared" si="14"/>
        <v>0.75</v>
      </c>
      <c r="K27" s="144">
        <f t="shared" ref="K27:M27" si="17">+J27+0.3%</f>
        <v>0.753</v>
      </c>
      <c r="L27" s="144">
        <f t="shared" si="17"/>
        <v>0.756</v>
      </c>
      <c r="M27" s="144">
        <f t="shared" si="17"/>
        <v>0.759</v>
      </c>
    </row>
    <row r="28" ht="4.5" customHeight="1"/>
    <row r="29" ht="15.75" customHeight="1">
      <c r="B29" s="71" t="s">
        <v>44</v>
      </c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</row>
    <row r="30" ht="4.5" customHeight="1"/>
    <row r="31" ht="15.75" customHeight="1">
      <c r="B31" s="5" t="s">
        <v>82</v>
      </c>
      <c r="C31" s="129" t="s">
        <v>189</v>
      </c>
      <c r="E31" s="109"/>
      <c r="F31" s="109">
        <f>+COGS_Calcs!F267</f>
        <v>-2.425084238</v>
      </c>
      <c r="G31" s="109">
        <f>+COGS_Calcs!G267</f>
        <v>-0.4997549136</v>
      </c>
      <c r="H31" s="109">
        <f>+COGS_Calcs!H267</f>
        <v>-0.5993908574</v>
      </c>
      <c r="I31" s="144">
        <v>-3.5</v>
      </c>
      <c r="J31" s="144">
        <v>0.25</v>
      </c>
      <c r="K31" s="144">
        <f t="shared" ref="K31:M31" si="18">+J31+1%</f>
        <v>0.26</v>
      </c>
      <c r="L31" s="144">
        <f t="shared" si="18"/>
        <v>0.27</v>
      </c>
      <c r="M31" s="144">
        <f t="shared" si="18"/>
        <v>0.28</v>
      </c>
    </row>
    <row r="32" ht="15.75" customHeight="1">
      <c r="B32" s="5" t="s">
        <v>76</v>
      </c>
      <c r="C32" s="129" t="s">
        <v>189</v>
      </c>
      <c r="E32" s="109"/>
      <c r="F32" s="109">
        <f>+COGS_Calcs!F269</f>
        <v>-1.241223352</v>
      </c>
      <c r="G32" s="109">
        <f>+COGS_Calcs!G269</f>
        <v>-0.1216868589</v>
      </c>
      <c r="H32" s="109">
        <f>+COGS_Calcs!H269</f>
        <v>1.404835056</v>
      </c>
      <c r="I32" s="144">
        <v>0.15</v>
      </c>
      <c r="J32" s="144">
        <v>0.2</v>
      </c>
      <c r="K32" s="144">
        <f t="shared" ref="K32:M32" si="19">+J32+1%</f>
        <v>0.21</v>
      </c>
      <c r="L32" s="144">
        <f t="shared" si="19"/>
        <v>0.22</v>
      </c>
      <c r="M32" s="144">
        <f t="shared" si="19"/>
        <v>0.23</v>
      </c>
    </row>
    <row r="33" ht="15.75" customHeight="1">
      <c r="B33" s="5" t="s">
        <v>74</v>
      </c>
      <c r="C33" s="129" t="s">
        <v>189</v>
      </c>
      <c r="E33" s="109"/>
      <c r="F33" s="109">
        <f>+COGS_Calcs!F270</f>
        <v>-1.170665203</v>
      </c>
      <c r="G33" s="109">
        <f>+COGS_Calcs!G270</f>
        <v>-0.3498354969</v>
      </c>
      <c r="H33" s="109">
        <f>+COGS_Calcs!H270</f>
        <v>0.408634977</v>
      </c>
      <c r="I33" s="144">
        <v>0.2</v>
      </c>
      <c r="J33" s="144">
        <v>0.25</v>
      </c>
      <c r="K33" s="144">
        <f t="shared" ref="K33:M33" si="20">+J33+1%</f>
        <v>0.26</v>
      </c>
      <c r="L33" s="144">
        <f t="shared" si="20"/>
        <v>0.27</v>
      </c>
      <c r="M33" s="144">
        <f t="shared" si="20"/>
        <v>0.28</v>
      </c>
    </row>
    <row r="34" ht="15.75" customHeight="1">
      <c r="B34" s="5" t="s">
        <v>70</v>
      </c>
      <c r="C34" s="129" t="s">
        <v>189</v>
      </c>
      <c r="E34" s="109"/>
      <c r="F34" s="109">
        <f>+COGS_Calcs!F270</f>
        <v>-1.170665203</v>
      </c>
      <c r="G34" s="109">
        <f>+COGS_Calcs!G270</f>
        <v>-0.3498354969</v>
      </c>
      <c r="H34" s="109">
        <f>+COGS_Calcs!H270</f>
        <v>0.408634977</v>
      </c>
      <c r="I34" s="144">
        <v>0.2</v>
      </c>
      <c r="J34" s="144">
        <v>0.25</v>
      </c>
      <c r="K34" s="144">
        <f t="shared" ref="K34:M34" si="21">+J34+1%</f>
        <v>0.26</v>
      </c>
      <c r="L34" s="144">
        <f t="shared" si="21"/>
        <v>0.27</v>
      </c>
      <c r="M34" s="144">
        <f t="shared" si="21"/>
        <v>0.28</v>
      </c>
    </row>
    <row r="35" ht="4.5" customHeight="1"/>
    <row r="36" ht="15.75" customHeight="1">
      <c r="B36" s="5" t="s">
        <v>149</v>
      </c>
      <c r="C36" s="129" t="s">
        <v>191</v>
      </c>
      <c r="F36" s="109">
        <f>+COGS_Calcs!F275</f>
        <v>0.4432327784</v>
      </c>
      <c r="G36" s="109">
        <f>+COGS_Calcs!G275</f>
        <v>0.0107392214</v>
      </c>
      <c r="H36" s="109">
        <f>+COGS_Calcs!H275</f>
        <v>0</v>
      </c>
      <c r="I36" s="109" t="str">
        <f>+COGS_Calcs!I275</f>
        <v/>
      </c>
      <c r="J36" s="144" t="str">
        <f t="shared" ref="J36:M36" si="22">+I36</f>
        <v/>
      </c>
      <c r="K36" s="144" t="str">
        <f t="shared" si="22"/>
        <v/>
      </c>
      <c r="L36" s="144" t="str">
        <f t="shared" si="22"/>
        <v/>
      </c>
      <c r="M36" s="144" t="str">
        <f t="shared" si="22"/>
        <v/>
      </c>
    </row>
    <row r="37" ht="4.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25.57"/>
    <col customWidth="1" min="3" max="3" width="14.43"/>
    <col customWidth="1" min="4" max="5" width="2.57"/>
    <col customWidth="1" min="6" max="26" width="12.57"/>
  </cols>
  <sheetData>
    <row r="2">
      <c r="B2" s="31" t="s">
        <v>31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</row>
    <row r="3">
      <c r="B3" s="32" t="str">
        <f t="array" ref="B3">MID(CELL("filename",A1),FIND("]",CELL("filename",A1))+1,255)</f>
        <v>#VALUE!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</row>
    <row r="4">
      <c r="B4" s="32" t="s">
        <v>32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</row>
    <row r="5">
      <c r="B5" s="33" t="s">
        <v>33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</row>
    <row r="6" ht="4.5" customHeight="1"/>
    <row r="7">
      <c r="B7" s="34"/>
      <c r="C7" s="34"/>
      <c r="D7" s="34"/>
      <c r="E7" s="35"/>
      <c r="F7" s="36">
        <v>2019.0</v>
      </c>
      <c r="G7" s="36">
        <f t="shared" ref="G7:M7" si="1">+F7+1</f>
        <v>2020</v>
      </c>
      <c r="H7" s="36">
        <f t="shared" si="1"/>
        <v>2021</v>
      </c>
      <c r="I7" s="36">
        <f t="shared" si="1"/>
        <v>2022</v>
      </c>
      <c r="J7" s="36">
        <f t="shared" si="1"/>
        <v>2023</v>
      </c>
      <c r="K7" s="36">
        <f t="shared" si="1"/>
        <v>2024</v>
      </c>
      <c r="L7" s="36">
        <f t="shared" si="1"/>
        <v>2025</v>
      </c>
      <c r="M7" s="36">
        <f t="shared" si="1"/>
        <v>2026</v>
      </c>
    </row>
    <row r="8">
      <c r="B8" s="34"/>
      <c r="C8" s="34"/>
      <c r="D8" s="34"/>
      <c r="E8" s="41"/>
      <c r="F8" s="42">
        <f t="shared" ref="F8:M8" si="2">+DATE(F7,12,31)</f>
        <v>43830</v>
      </c>
      <c r="G8" s="42">
        <f t="shared" si="2"/>
        <v>44196</v>
      </c>
      <c r="H8" s="42">
        <f t="shared" si="2"/>
        <v>44561</v>
      </c>
      <c r="I8" s="42">
        <f t="shared" si="2"/>
        <v>44926</v>
      </c>
      <c r="J8" s="42">
        <f t="shared" si="2"/>
        <v>45291</v>
      </c>
      <c r="K8" s="42">
        <f t="shared" si="2"/>
        <v>45657</v>
      </c>
      <c r="L8" s="42">
        <f t="shared" si="2"/>
        <v>46022</v>
      </c>
      <c r="M8" s="42">
        <f t="shared" si="2"/>
        <v>46387</v>
      </c>
    </row>
    <row r="9">
      <c r="B9" s="34" t="s">
        <v>35</v>
      </c>
      <c r="C9" s="34"/>
      <c r="D9" s="34"/>
      <c r="E9" s="44"/>
      <c r="F9" s="45" t="str">
        <f>+IF(F8&lt;=Cover!$C$20,"Actual","Projection")</f>
        <v>Actual</v>
      </c>
      <c r="G9" s="45" t="str">
        <f>+IF(G8&lt;=Cover!$C$20,"Actual","Projection")</f>
        <v>Actual</v>
      </c>
      <c r="H9" s="45" t="str">
        <f>+IF(H8&lt;=Cover!$C$20,"Actual","Projection")</f>
        <v>Projection</v>
      </c>
      <c r="I9" s="45" t="str">
        <f>+IF(I8&lt;=Cover!$C$20,"Actual","Projection")</f>
        <v>Projection</v>
      </c>
      <c r="J9" s="45" t="str">
        <f>+IF(J8&lt;=Cover!$C$20,"Actual","Projection")</f>
        <v>Projection</v>
      </c>
      <c r="K9" s="45" t="str">
        <f>+IF(K8&lt;=Cover!$C$20,"Actual","Projection")</f>
        <v>Projection</v>
      </c>
      <c r="L9" s="45" t="str">
        <f>+IF(L8&lt;=Cover!$C$20,"Actual","Projection")</f>
        <v>Projection</v>
      </c>
      <c r="M9" s="45" t="str">
        <f>+IF(M8&lt;=Cover!$C$20,"Actual","Projection")</f>
        <v>Projection</v>
      </c>
    </row>
    <row r="10" ht="4.5" customHeight="1"/>
    <row r="11">
      <c r="B11" s="47" t="s">
        <v>192</v>
      </c>
    </row>
    <row r="12">
      <c r="B12" s="5" t="s">
        <v>155</v>
      </c>
      <c r="C12" s="129" t="s">
        <v>185</v>
      </c>
      <c r="F12" s="100"/>
      <c r="G12" s="131">
        <f>+Opex_Calcs!G12-Opex_Calcs!F12</f>
        <v>-2.464430118</v>
      </c>
      <c r="H12" s="131">
        <f>+Opex_Calcs!H12-Opex_Calcs!G12</f>
        <v>-25.06660162</v>
      </c>
      <c r="I12" s="131">
        <f>+Opex_Calcs!I12-Opex_Calcs!H12</f>
        <v>5.77344168</v>
      </c>
      <c r="J12" s="131">
        <f>+Opex_Calcs!J12-Opex_Calcs!I12</f>
        <v>14.87830481</v>
      </c>
      <c r="K12" s="145">
        <f t="shared" ref="K12:M12" si="3">+J12+2</f>
        <v>16.87830481</v>
      </c>
      <c r="L12" s="145">
        <f t="shared" si="3"/>
        <v>18.87830481</v>
      </c>
      <c r="M12" s="145">
        <f t="shared" si="3"/>
        <v>20.87830481</v>
      </c>
    </row>
    <row r="13">
      <c r="B13" s="5" t="s">
        <v>156</v>
      </c>
      <c r="C13" s="129" t="s">
        <v>185</v>
      </c>
      <c r="F13" s="100"/>
      <c r="G13" s="131">
        <f>+Opex_Calcs!G13-Opex_Calcs!F13</f>
        <v>-0.5689921203</v>
      </c>
      <c r="H13" s="131">
        <f>+Opex_Calcs!H13-Opex_Calcs!G13</f>
        <v>-1.102818405</v>
      </c>
      <c r="I13" s="131">
        <f>+Opex_Calcs!I13-Opex_Calcs!H13</f>
        <v>0.7673287424</v>
      </c>
      <c r="J13" s="131">
        <f>+Opex_Calcs!J13-Opex_Calcs!I13</f>
        <v>1.322252336</v>
      </c>
      <c r="K13" s="145">
        <v>2.0</v>
      </c>
      <c r="L13" s="145">
        <f t="shared" ref="L13:M13" si="4">+K13</f>
        <v>2</v>
      </c>
      <c r="M13" s="145">
        <f t="shared" si="4"/>
        <v>2</v>
      </c>
    </row>
    <row r="14">
      <c r="B14" s="5" t="s">
        <v>157</v>
      </c>
      <c r="C14" s="129" t="s">
        <v>185</v>
      </c>
      <c r="F14" s="100"/>
      <c r="G14" s="131">
        <f>+Opex_Calcs!G14-Opex_Calcs!F14</f>
        <v>-0.1532710919</v>
      </c>
      <c r="H14" s="131">
        <f>+Opex_Calcs!H14-Opex_Calcs!G14</f>
        <v>-0.8489709795</v>
      </c>
      <c r="I14" s="131">
        <f>+Opex_Calcs!I14-Opex_Calcs!H14</f>
        <v>-0.1510290205</v>
      </c>
      <c r="J14" s="131">
        <f>+Opex_Calcs!J14-Opex_Calcs!I14</f>
        <v>0</v>
      </c>
      <c r="K14" s="145">
        <v>0.0</v>
      </c>
      <c r="L14" s="145">
        <v>0.0</v>
      </c>
      <c r="M14" s="145">
        <v>0.0</v>
      </c>
    </row>
    <row r="15">
      <c r="B15" s="5" t="s">
        <v>158</v>
      </c>
      <c r="C15" s="129" t="s">
        <v>185</v>
      </c>
      <c r="F15" s="100"/>
      <c r="G15" s="131">
        <f>+Opex_Calcs!G15-Opex_Calcs!F15</f>
        <v>1.538319936</v>
      </c>
      <c r="H15" s="131">
        <f>+Opex_Calcs!H15-Opex_Calcs!G15</f>
        <v>-1.654068257</v>
      </c>
      <c r="I15" s="131">
        <f>+Opex_Calcs!I15-Opex_Calcs!H15</f>
        <v>-0.4140365344</v>
      </c>
      <c r="J15" s="131">
        <f>+Opex_Calcs!J15-Opex_Calcs!I15</f>
        <v>-0.4988691629</v>
      </c>
      <c r="K15" s="145">
        <v>2.0</v>
      </c>
      <c r="L15" s="145">
        <f t="shared" ref="L15:M15" si="5">+K15+1</f>
        <v>3</v>
      </c>
      <c r="M15" s="145">
        <f t="shared" si="5"/>
        <v>4</v>
      </c>
    </row>
    <row r="16" ht="4.5" customHeight="1"/>
    <row r="17">
      <c r="B17" s="47" t="s">
        <v>193</v>
      </c>
    </row>
    <row r="18">
      <c r="B18" s="5" t="s">
        <v>155</v>
      </c>
      <c r="C18" s="129" t="s">
        <v>187</v>
      </c>
      <c r="F18" s="52">
        <f>+Opex_Calcs!F22</f>
        <v>86.42686051</v>
      </c>
      <c r="G18" s="52">
        <f>+Opex_Calcs!G22</f>
        <v>79.67034508</v>
      </c>
      <c r="H18" s="52">
        <f>+Opex_Calcs!H22</f>
        <v>88.85918741</v>
      </c>
      <c r="I18" s="52">
        <f>+Opex_Calcs!I22</f>
        <v>95.35681944</v>
      </c>
      <c r="J18" s="52">
        <f>+Opex_Calcs!J22</f>
        <v>96.8542707</v>
      </c>
      <c r="K18" s="146">
        <f t="shared" ref="K18:M18" si="6">+J18*1.03</f>
        <v>99.75989882</v>
      </c>
      <c r="L18" s="146">
        <f t="shared" si="6"/>
        <v>102.7526958</v>
      </c>
      <c r="M18" s="146">
        <f t="shared" si="6"/>
        <v>105.8352767</v>
      </c>
    </row>
    <row r="19">
      <c r="B19" s="5" t="s">
        <v>156</v>
      </c>
      <c r="C19" s="129" t="s">
        <v>187</v>
      </c>
      <c r="F19" s="52">
        <f>+Opex_Calcs!F23</f>
        <v>81.77031406</v>
      </c>
      <c r="G19" s="52">
        <f>+Opex_Calcs!G23</f>
        <v>77.52421253</v>
      </c>
      <c r="H19" s="52">
        <f>+Opex_Calcs!H23</f>
        <v>70.58174882</v>
      </c>
      <c r="I19" s="52">
        <f>+Opex_Calcs!I23</f>
        <v>59.74150575</v>
      </c>
      <c r="J19" s="52">
        <f>+Opex_Calcs!J23</f>
        <v>58.1427275</v>
      </c>
      <c r="K19" s="146">
        <f t="shared" ref="K19:M19" si="7">+J19*1.03</f>
        <v>59.88700933</v>
      </c>
      <c r="L19" s="146">
        <f t="shared" si="7"/>
        <v>61.6836196</v>
      </c>
      <c r="M19" s="146">
        <f t="shared" si="7"/>
        <v>63.53412819</v>
      </c>
    </row>
    <row r="20">
      <c r="B20" s="5" t="s">
        <v>157</v>
      </c>
      <c r="C20" s="129" t="s">
        <v>187</v>
      </c>
      <c r="F20" s="52">
        <f>+Opex_Calcs!F24</f>
        <v>198.6877455</v>
      </c>
      <c r="G20" s="52">
        <f>+Opex_Calcs!G24</f>
        <v>214.1838452</v>
      </c>
      <c r="H20" s="52">
        <f>+Opex_Calcs!H24</f>
        <v>232.8431704</v>
      </c>
      <c r="I20" s="52">
        <f>+Opex_Calcs!I24</f>
        <v>262.0174504</v>
      </c>
      <c r="J20" s="52">
        <f>+Opex_Calcs!J24</f>
        <v>268.2222514</v>
      </c>
      <c r="K20" s="146">
        <f t="shared" ref="K20:M20" si="8">+J20*1.03</f>
        <v>276.268919</v>
      </c>
      <c r="L20" s="146">
        <f t="shared" si="8"/>
        <v>284.5569866</v>
      </c>
      <c r="M20" s="146">
        <f t="shared" si="8"/>
        <v>293.0936962</v>
      </c>
    </row>
    <row r="21" ht="15.75" customHeight="1">
      <c r="B21" s="5" t="s">
        <v>158</v>
      </c>
      <c r="C21" s="129" t="s">
        <v>187</v>
      </c>
      <c r="F21" s="52">
        <f>+Opex_Calcs!F25</f>
        <v>84.86756194</v>
      </c>
      <c r="G21" s="52">
        <f>+Opex_Calcs!G25</f>
        <v>95.65178305</v>
      </c>
      <c r="H21" s="52">
        <f>+Opex_Calcs!H25</f>
        <v>101.722705</v>
      </c>
      <c r="I21" s="52">
        <f>+Opex_Calcs!I25</f>
        <v>110.688469</v>
      </c>
      <c r="J21" s="52">
        <f>+Opex_Calcs!J25</f>
        <v>113.5351209</v>
      </c>
      <c r="K21" s="146">
        <f t="shared" ref="K21:M21" si="9">+J21*1.03</f>
        <v>116.9411745</v>
      </c>
      <c r="L21" s="146">
        <f t="shared" si="9"/>
        <v>120.4494098</v>
      </c>
      <c r="M21" s="146">
        <f t="shared" si="9"/>
        <v>124.0628921</v>
      </c>
    </row>
    <row r="22" ht="4.5" customHeight="1"/>
    <row r="23" ht="15.75" customHeight="1">
      <c r="B23" s="47" t="s">
        <v>194</v>
      </c>
    </row>
    <row r="24" ht="15.75" customHeight="1">
      <c r="B24" s="5" t="s">
        <v>167</v>
      </c>
      <c r="C24" s="129" t="s">
        <v>191</v>
      </c>
      <c r="F24" s="109" t="str">
        <f>+Opex_Calcs!F38/'Income Statement'!F$16</f>
        <v>#DIV/0!</v>
      </c>
      <c r="G24" s="109" t="str">
        <f>+Opex_Calcs!G38/'Income Statement'!G$16</f>
        <v>#DIV/0!</v>
      </c>
      <c r="H24" s="109" t="str">
        <f>+Opex_Calcs!H38/'Income Statement'!H$16</f>
        <v>#DIV/0!</v>
      </c>
      <c r="I24" s="109" t="str">
        <f>+Opex_Calcs!I38/'Income Statement'!I$16</f>
        <v>#DIV/0!</v>
      </c>
      <c r="J24" s="109" t="str">
        <f>+Opex_Calcs!J38/'Income Statement'!J$16</f>
        <v>#DIV/0!</v>
      </c>
      <c r="K24" s="144" t="str">
        <f t="shared" ref="K24:M24" si="10">+J24-0.001</f>
        <v>#DIV/0!</v>
      </c>
      <c r="L24" s="144" t="str">
        <f t="shared" si="10"/>
        <v>#DIV/0!</v>
      </c>
      <c r="M24" s="144" t="str">
        <f t="shared" si="10"/>
        <v>#DIV/0!</v>
      </c>
    </row>
    <row r="25" ht="15.75" customHeight="1">
      <c r="B25" s="5" t="s">
        <v>168</v>
      </c>
      <c r="C25" s="129" t="s">
        <v>195</v>
      </c>
      <c r="F25" s="109">
        <f>+Opex_Calcs!F39/Opex_Calcs!F$32</f>
        <v>0.0421300477</v>
      </c>
      <c r="G25" s="109">
        <f>+Opex_Calcs!G39/Opex_Calcs!G$32</f>
        <v>0.05029531072</v>
      </c>
      <c r="H25" s="109">
        <f>+Opex_Calcs!H39/Opex_Calcs!H$32</f>
        <v>0.05044914963</v>
      </c>
      <c r="I25" s="109">
        <f>+Opex_Calcs!I39/Opex_Calcs!I$32</f>
        <v>0.07524341071</v>
      </c>
      <c r="J25" s="109">
        <f>+Opex_Calcs!J39/Opex_Calcs!J$32</f>
        <v>0.07427380406</v>
      </c>
      <c r="K25" s="144">
        <f t="shared" ref="K25:M25" si="11">+J25</f>
        <v>0.07427380406</v>
      </c>
      <c r="L25" s="144">
        <f t="shared" si="11"/>
        <v>0.07427380406</v>
      </c>
      <c r="M25" s="144">
        <f t="shared" si="11"/>
        <v>0.07427380406</v>
      </c>
    </row>
    <row r="26" ht="15.75" customHeight="1">
      <c r="B26" s="5" t="s">
        <v>169</v>
      </c>
      <c r="C26" s="129" t="s">
        <v>191</v>
      </c>
      <c r="F26" s="109" t="str">
        <f>+Opex_Calcs!F40/'Income Statement'!F$16</f>
        <v>#DIV/0!</v>
      </c>
      <c r="G26" s="109" t="str">
        <f>+Opex_Calcs!G40/'Income Statement'!G$16</f>
        <v>#DIV/0!</v>
      </c>
      <c r="H26" s="109" t="str">
        <f>+Opex_Calcs!H40/'Income Statement'!H$16</f>
        <v>#DIV/0!</v>
      </c>
      <c r="I26" s="109" t="str">
        <f>+Opex_Calcs!I40/'Income Statement'!I$16</f>
        <v>#DIV/0!</v>
      </c>
      <c r="J26" s="109" t="str">
        <f>+Opex_Calcs!J40/'Income Statement'!J$16</f>
        <v>#DIV/0!</v>
      </c>
      <c r="K26" s="144" t="str">
        <f t="shared" ref="K26:M26" si="12">+J26*1.2</f>
        <v>#DIV/0!</v>
      </c>
      <c r="L26" s="144" t="str">
        <f t="shared" si="12"/>
        <v>#DIV/0!</v>
      </c>
      <c r="M26" s="144" t="str">
        <f t="shared" si="12"/>
        <v>#DIV/0!</v>
      </c>
      <c r="N26" s="150"/>
    </row>
    <row r="27" ht="15.75" customHeight="1">
      <c r="B27" s="5" t="s">
        <v>170</v>
      </c>
      <c r="C27" s="129" t="s">
        <v>195</v>
      </c>
      <c r="F27" s="109">
        <f>+Opex_Calcs!F41/Opex_Calcs!F$32</f>
        <v>0.001155439326</v>
      </c>
      <c r="G27" s="109">
        <f>+Opex_Calcs!G41/Opex_Calcs!G$32</f>
        <v>0.008498437556</v>
      </c>
      <c r="H27" s="109">
        <f>+Opex_Calcs!H41/Opex_Calcs!H$32</f>
        <v>0.003068753385</v>
      </c>
      <c r="I27" s="109">
        <f>+Opex_Calcs!I41/Opex_Calcs!I$32</f>
        <v>0.001152831996</v>
      </c>
      <c r="J27" s="109">
        <f>+Opex_Calcs!J41/Opex_Calcs!J$32</f>
        <v>0.001021599733</v>
      </c>
      <c r="K27" s="144">
        <f t="shared" ref="K27:M27" si="13">+J27</f>
        <v>0.001021599733</v>
      </c>
      <c r="L27" s="144">
        <f t="shared" si="13"/>
        <v>0.001021599733</v>
      </c>
      <c r="M27" s="144">
        <f t="shared" si="13"/>
        <v>0.001021599733</v>
      </c>
    </row>
    <row r="28" ht="15.75" customHeight="1">
      <c r="B28" s="5" t="s">
        <v>171</v>
      </c>
      <c r="C28" s="129" t="s">
        <v>195</v>
      </c>
      <c r="F28" s="109">
        <f>+Opex_Calcs!F42/Opex_Calcs!F$32</f>
        <v>0.02119129341</v>
      </c>
      <c r="G28" s="109">
        <f>+Opex_Calcs!G42/Opex_Calcs!G$32</f>
        <v>0.02886781187</v>
      </c>
      <c r="H28" s="109">
        <f>+Opex_Calcs!H42/Opex_Calcs!H$32</f>
        <v>0.02996393743</v>
      </c>
      <c r="I28" s="109">
        <f>+Opex_Calcs!I42/Opex_Calcs!I$32</f>
        <v>0.046359261</v>
      </c>
      <c r="J28" s="109">
        <f>+Opex_Calcs!J42/Opex_Calcs!J$32</f>
        <v>0.04697221454</v>
      </c>
      <c r="K28" s="144">
        <f t="shared" ref="K28:M28" si="14">+J28</f>
        <v>0.04697221454</v>
      </c>
      <c r="L28" s="144">
        <f t="shared" si="14"/>
        <v>0.04697221454</v>
      </c>
      <c r="M28" s="144">
        <f t="shared" si="14"/>
        <v>0.04697221454</v>
      </c>
    </row>
    <row r="29" ht="15.75" customHeight="1">
      <c r="B29" s="5" t="s">
        <v>172</v>
      </c>
      <c r="C29" s="129" t="s">
        <v>195</v>
      </c>
      <c r="F29" s="109">
        <f>+Opex_Calcs!F43/Opex_Calcs!F$32</f>
        <v>0.004490240886</v>
      </c>
      <c r="G29" s="109">
        <f>+Opex_Calcs!G43/Opex_Calcs!G$32</f>
        <v>0.003388905789</v>
      </c>
      <c r="H29" s="109">
        <f>+Opex_Calcs!H43/Opex_Calcs!H$32</f>
        <v>0.006273410163</v>
      </c>
      <c r="I29" s="109">
        <f>+Opex_Calcs!I43/Opex_Calcs!I$32</f>
        <v>0.006897237047</v>
      </c>
      <c r="J29" s="109">
        <f>+Opex_Calcs!J43/Opex_Calcs!J$32</f>
        <v>0.006112092263</v>
      </c>
      <c r="K29" s="144">
        <f t="shared" ref="K29:M29" si="15">+J29</f>
        <v>0.006112092263</v>
      </c>
      <c r="L29" s="144">
        <f t="shared" si="15"/>
        <v>0.006112092263</v>
      </c>
      <c r="M29" s="144">
        <f t="shared" si="15"/>
        <v>0.006112092263</v>
      </c>
    </row>
    <row r="30" ht="4.5" customHeight="1"/>
    <row r="31" ht="15.75" customHeight="1">
      <c r="B31" s="47" t="s">
        <v>196</v>
      </c>
    </row>
    <row r="32" ht="15.75" customHeight="1">
      <c r="B32" s="5" t="s">
        <v>51</v>
      </c>
      <c r="C32" s="129" t="s">
        <v>197</v>
      </c>
      <c r="F32" s="109">
        <f>+Opex_Calcs!F46/Opex_Calcs!F$32</f>
        <v>0.07778524299</v>
      </c>
      <c r="G32" s="109">
        <f>+Opex_Calcs!G46/Opex_Calcs!G$32</f>
        <v>0.07188717231</v>
      </c>
      <c r="H32" s="109">
        <f>+Opex_Calcs!H46/Opex_Calcs!H$32</f>
        <v>0.07349345182</v>
      </c>
      <c r="I32" s="109">
        <f>+Opex_Calcs!I46/Opex_Calcs!I$32</f>
        <v>0.06757534652</v>
      </c>
      <c r="J32" s="109">
        <f>+Opex_Calcs!J46/Opex_Calcs!J$32</f>
        <v>0.06028521318</v>
      </c>
      <c r="K32" s="144">
        <v>0.03</v>
      </c>
      <c r="L32" s="144">
        <v>0.03</v>
      </c>
      <c r="M32" s="144">
        <v>0.03</v>
      </c>
    </row>
    <row r="33" ht="15.75" customHeight="1">
      <c r="B33" s="5" t="s">
        <v>52</v>
      </c>
      <c r="C33" s="129" t="s">
        <v>195</v>
      </c>
      <c r="F33" s="109">
        <f>+Opex_Calcs!F47/Opex_Calcs!F$32</f>
        <v>0.02328430132</v>
      </c>
      <c r="G33" s="109">
        <f>+Opex_Calcs!G47/Opex_Calcs!G$32</f>
        <v>0.007010796739</v>
      </c>
      <c r="H33" s="109">
        <f>+Opex_Calcs!H47/Opex_Calcs!H$32</f>
        <v>0.01498088357</v>
      </c>
      <c r="I33" s="109">
        <f>+Opex_Calcs!I47/Opex_Calcs!I$32</f>
        <v>0.0284295318</v>
      </c>
      <c r="J33" s="109">
        <f>+Opex_Calcs!J47/Opex_Calcs!J$32</f>
        <v>0.0306142159</v>
      </c>
      <c r="K33" s="144">
        <f t="shared" ref="K33:M33" si="16">+J33-0.2%</f>
        <v>0.0286142159</v>
      </c>
      <c r="L33" s="144">
        <f t="shared" si="16"/>
        <v>0.0266142159</v>
      </c>
      <c r="M33" s="144">
        <f t="shared" si="16"/>
        <v>0.0246142159</v>
      </c>
    </row>
    <row r="34" ht="15.75" customHeight="1">
      <c r="B34" s="5" t="s">
        <v>53</v>
      </c>
      <c r="C34" s="129" t="s">
        <v>191</v>
      </c>
      <c r="F34" s="109" t="str">
        <f>+Opex_Calcs!F48/'Income Statement'!F$16</f>
        <v>#DIV/0!</v>
      </c>
      <c r="G34" s="109" t="str">
        <f>+Opex_Calcs!G48/'Income Statement'!G$16</f>
        <v>#DIV/0!</v>
      </c>
      <c r="H34" s="109" t="str">
        <f>+Opex_Calcs!H48/'Income Statement'!H$16</f>
        <v>#DIV/0!</v>
      </c>
      <c r="I34" s="109" t="str">
        <f>+Opex_Calcs!I48/'Income Statement'!I$16</f>
        <v>#DIV/0!</v>
      </c>
      <c r="J34" s="109" t="str">
        <f>+Opex_Calcs!J48/'Income Statement'!J$16</f>
        <v>#DIV/0!</v>
      </c>
      <c r="K34" s="144" t="str">
        <f t="shared" ref="K34:M34" si="17">+J34</f>
        <v>#DIV/0!</v>
      </c>
      <c r="L34" s="144" t="str">
        <f t="shared" si="17"/>
        <v>#DIV/0!</v>
      </c>
      <c r="M34" s="144" t="str">
        <f t="shared" si="17"/>
        <v>#DIV/0!</v>
      </c>
    </row>
    <row r="35" ht="15.75" customHeight="1">
      <c r="B35" s="5" t="s">
        <v>54</v>
      </c>
      <c r="C35" s="129" t="s">
        <v>197</v>
      </c>
      <c r="F35" s="100"/>
      <c r="G35" s="109">
        <f>+Opex_Calcs!G49/Opex_Calcs!F49-1</f>
        <v>-0.05080448093</v>
      </c>
      <c r="H35" s="109">
        <f>+Opex_Calcs!H49/Opex_Calcs!G49-1</f>
        <v>-0.2484725769</v>
      </c>
      <c r="I35" s="109">
        <f>+Opex_Calcs!I49/Opex_Calcs!H49-1</f>
        <v>-0.1436486334</v>
      </c>
      <c r="J35" s="109">
        <f>+Opex_Calcs!J49/Opex_Calcs!I49-1</f>
        <v>0.05608695652</v>
      </c>
      <c r="K35" s="144">
        <f t="shared" ref="K35:M35" si="18">+J35</f>
        <v>0.05608695652</v>
      </c>
      <c r="L35" s="144">
        <f t="shared" si="18"/>
        <v>0.05608695652</v>
      </c>
      <c r="M35" s="144">
        <f t="shared" si="18"/>
        <v>0.05608695652</v>
      </c>
    </row>
    <row r="36" ht="15.75" customHeight="1">
      <c r="B36" s="5" t="s">
        <v>55</v>
      </c>
      <c r="C36" s="129" t="s">
        <v>197</v>
      </c>
      <c r="F36" s="100"/>
      <c r="G36" s="109">
        <f>+Opex_Calcs!G50/Opex_Calcs!F50-1</f>
        <v>0.01049475042</v>
      </c>
      <c r="H36" s="109">
        <f>+Opex_Calcs!H50/Opex_Calcs!G50-1</f>
        <v>-0.3357765002</v>
      </c>
      <c r="I36" s="109">
        <f>+Opex_Calcs!I50/Opex_Calcs!H50-1</f>
        <v>0.3293454148</v>
      </c>
      <c r="J36" s="109">
        <f>+Opex_Calcs!J50/Opex_Calcs!I50-1</f>
        <v>-0.0858526864</v>
      </c>
      <c r="K36" s="144">
        <f t="shared" ref="K36:M36" si="19">+J36</f>
        <v>-0.0858526864</v>
      </c>
      <c r="L36" s="144">
        <f t="shared" si="19"/>
        <v>-0.0858526864</v>
      </c>
      <c r="M36" s="144">
        <f t="shared" si="19"/>
        <v>-0.0858526864</v>
      </c>
    </row>
    <row r="37" ht="15.75" customHeight="1">
      <c r="B37" s="5" t="s">
        <v>56</v>
      </c>
      <c r="C37" s="129" t="s">
        <v>197</v>
      </c>
      <c r="F37" s="100"/>
      <c r="G37" s="109">
        <f>+IFERROR(Opex_Calcs!G51/Opex_Calcs!F51-1,0)</f>
        <v>-5</v>
      </c>
      <c r="H37" s="109">
        <f>+IFERROR(Opex_Calcs!H51/Opex_Calcs!G51-1,0)</f>
        <v>1.25</v>
      </c>
      <c r="I37" s="109">
        <f>+IFERROR(Opex_Calcs!I51/Opex_Calcs!H51-1,0)</f>
        <v>-1</v>
      </c>
      <c r="J37" s="109">
        <f>+IFERROR(Opex_Calcs!J51/Opex_Calcs!I51-1,0)</f>
        <v>0</v>
      </c>
      <c r="K37" s="144">
        <f t="shared" ref="K37:M37" si="20">+J37</f>
        <v>0</v>
      </c>
      <c r="L37" s="144">
        <f t="shared" si="20"/>
        <v>0</v>
      </c>
      <c r="M37" s="144">
        <f t="shared" si="20"/>
        <v>0</v>
      </c>
    </row>
    <row r="38" ht="4.5" customHeight="1"/>
    <row r="39" ht="15.75" customHeight="1">
      <c r="B39" s="47" t="s">
        <v>198</v>
      </c>
    </row>
    <row r="40" ht="15.75" customHeight="1">
      <c r="B40" s="5" t="s">
        <v>58</v>
      </c>
      <c r="C40" s="129" t="s">
        <v>187</v>
      </c>
      <c r="F40" s="52">
        <f>+Opex_Calcs!F55</f>
        <v>87.7501548</v>
      </c>
      <c r="G40" s="52">
        <f>+Opex_Calcs!G55</f>
        <v>171.9276393</v>
      </c>
      <c r="H40" s="52">
        <f>+Opex_Calcs!H55</f>
        <v>619.7552216</v>
      </c>
      <c r="I40" s="146">
        <v>0.0</v>
      </c>
      <c r="J40" s="146">
        <f t="shared" ref="J40:M40" si="21">+I40</f>
        <v>0</v>
      </c>
      <c r="K40" s="146">
        <f t="shared" si="21"/>
        <v>0</v>
      </c>
      <c r="L40" s="146">
        <f t="shared" si="21"/>
        <v>0</v>
      </c>
      <c r="M40" s="146">
        <f t="shared" si="21"/>
        <v>0</v>
      </c>
    </row>
    <row r="41" ht="15.75" customHeight="1">
      <c r="B41" s="5" t="s">
        <v>66</v>
      </c>
      <c r="C41" s="129" t="s">
        <v>187</v>
      </c>
      <c r="F41" s="52" t="str">
        <f>+'Income Statement'!F47</f>
        <v/>
      </c>
      <c r="G41" s="52" t="str">
        <f>+'Income Statement'!G47</f>
        <v/>
      </c>
      <c r="H41" s="52" t="str">
        <f>+'Income Statement'!H47</f>
        <v/>
      </c>
      <c r="I41" s="146">
        <f>+H41*1.15</f>
        <v>0</v>
      </c>
      <c r="J41" s="146">
        <v>1100.0</v>
      </c>
      <c r="K41" s="146">
        <f t="shared" ref="K41:M41" si="22">+J41*1.15</f>
        <v>1265</v>
      </c>
      <c r="L41" s="146">
        <f t="shared" si="22"/>
        <v>1454.75</v>
      </c>
      <c r="M41" s="146">
        <f t="shared" si="22"/>
        <v>1672.9625</v>
      </c>
    </row>
    <row r="42" ht="15.75" customHeight="1"/>
    <row r="43" ht="15.75" customHeight="1">
      <c r="B43" s="70" t="s">
        <v>199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2026-01-21T22:48:32Z</dcterms:created>
</cp:coreProperties>
</file>