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2130" windowWidth="38445" windowHeight="1548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del -&gt;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Calculations -&gt;" sheetId="5" state="visible" r:id="rId5"/>
    <sheet xmlns:r="http://schemas.openxmlformats.org/officeDocument/2006/relationships" name="Revenue_Calcs" sheetId="6" state="visible" r:id="rId6"/>
    <sheet xmlns:r="http://schemas.openxmlformats.org/officeDocument/2006/relationships" name="COGS_Calcs" sheetId="7" state="visible" r:id="rId7"/>
    <sheet xmlns:r="http://schemas.openxmlformats.org/officeDocument/2006/relationships" name="Opex_Calcs" sheetId="8" state="visible" r:id="rId8"/>
    <sheet xmlns:r="http://schemas.openxmlformats.org/officeDocument/2006/relationships" name="Bookings to Revenue_Calcs" sheetId="9" state="visible" r:id="rId9"/>
    <sheet xmlns:r="http://schemas.openxmlformats.org/officeDocument/2006/relationships" name="Assumptions -&gt;" sheetId="10" state="visible" r:id="rId10"/>
    <sheet xmlns:r="http://schemas.openxmlformats.org/officeDocument/2006/relationships" name="Revenue_Assumptions" sheetId="11" state="visible" r:id="rId11"/>
    <sheet xmlns:r="http://schemas.openxmlformats.org/officeDocument/2006/relationships" name="COGS_Assumptions" sheetId="12" state="visible" r:id="rId12"/>
    <sheet xmlns:r="http://schemas.openxmlformats.org/officeDocument/2006/relationships" name="Opex_Assumptions" sheetId="13" state="visible" r:id="rId13"/>
    <sheet xmlns:r="http://schemas.openxmlformats.org/officeDocument/2006/relationships" name="Sheet1" sheetId="14" state="visible" r:id="rId14"/>
  </sheets>
  <definedNames>
    <definedName name="_____________________MHA1">{"rtn",#N/A,FALSE,"RTN";"tables",#N/A,FALSE,"RTN";"cf",#N/A,FALSE,"CF";"stats",#N/A,FALSE,"Stats";"prop",#N/A,FALSE,"Prop"}</definedName>
    <definedName name="_____________________T123456">{"COUNT",#N/A,FALSE,"AB"}</definedName>
    <definedName name="_____________________T12347">{"COUNT",#N/A,FALSE,"AB"}</definedName>
    <definedName name="__________________T123456">{"COUNT",#N/A,FALSE,"AB"}</definedName>
    <definedName name="__________________T12347">{"COUNT",#N/A,FALSE,"AB"}</definedName>
    <definedName name="________________MHA1">{"rtn",#N/A,FALSE,"RTN";"tables",#N/A,FALSE,"RTN";"cf",#N/A,FALSE,"CF";"stats",#N/A,FALSE,"Stats";"prop",#N/A,FALSE,"Prop"}</definedName>
    <definedName name="______________T123456">{"COUNT",#N/A,FALSE,"AB"}</definedName>
    <definedName name="______________T12347">{"COUNT",#N/A,FALSE,"AB"}</definedName>
    <definedName name="_____________MHA1">{"rtn",#N/A,FALSE,"RTN";"tables",#N/A,FALSE,"RTN";"cf",#N/A,FALSE,"CF";"stats",#N/A,FALSE,"Stats";"prop",#N/A,FALSE,"Prop"}</definedName>
    <definedName name="___________MHA1">{"rtn",#N/A,FALSE,"RTN";"tables",#N/A,FALSE,"RTN";"cf",#N/A,FALSE,"CF";"stats",#N/A,FALSE,"Stats";"prop",#N/A,FALSE,"Prop"}</definedName>
    <definedName name="__________MHA1">{"rtn",#N/A,FALSE,"RTN";"tables",#N/A,FALSE,"RTN";"cf",#N/A,FALSE,"CF";"stats",#N/A,FALSE,"Stats";"prop",#N/A,FALSE,"Prop"}</definedName>
    <definedName name="_________MHA1">{"rtn",#N/A,FALSE,"RTN";"tables",#N/A,FALSE,"RTN";"cf",#N/A,FALSE,"CF";"stats",#N/A,FALSE,"Stats";"prop",#N/A,FALSE,"Prop"}</definedName>
    <definedName name="_________MHA1_1">{"rtn",#N/A,FALSE,"RTN";"tables",#N/A,FALSE,"RTN";"cf",#N/A,FALSE,"CF";"stats",#N/A,FALSE,"Stats";"prop",#N/A,FALSE,"Prop"}</definedName>
    <definedName name="________MHA1">{"rtn",#N/A,FALSE,"RTN";"tables",#N/A,FALSE,"RTN";"cf",#N/A,FALSE,"CF";"stats",#N/A,FALSE,"Stats";"prop",#N/A,FALSE,"Prop"}</definedName>
    <definedName name="________MHA1_1">{"rtn",#N/A,FALSE,"RTN";"tables",#N/A,FALSE,"RTN";"cf",#N/A,FALSE,"CF";"stats",#N/A,FALSE,"Stats";"prop",#N/A,FALSE,"Prop"}</definedName>
    <definedName name="_______MHA1">{"rtn",#N/A,FALSE,"RTN";"tables",#N/A,FALSE,"RTN";"cf",#N/A,FALSE,"CF";"stats",#N/A,FALSE,"Stats";"prop",#N/A,FALSE,"Prop"}</definedName>
    <definedName name="_______MHA1_1">{"rtn",#N/A,FALSE,"RTN";"tables",#N/A,FALSE,"RTN";"cf",#N/A,FALSE,"CF";"stats",#N/A,FALSE,"Stats";"prop",#N/A,FALSE,"Prop"}</definedName>
    <definedName name="_______T123456">{"COUNT",#N/A,FALSE,"AB"}</definedName>
    <definedName name="_______T12347">{"COUNT",#N/A,FALSE,"AB"}</definedName>
    <definedName name="__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MHA1">{"rtn",#N/A,FALSE,"RTN";"tables",#N/A,FALSE,"RTN";"cf",#N/A,FALSE,"CF";"stats",#N/A,FALSE,"Stats";"prop",#N/A,FALSE,"Prop"}</definedName>
    <definedName name="______MHA1_1">{"rtn",#N/A,FALSE,"RTN";"tables",#N/A,FALSE,"RTN";"cf",#N/A,FALSE,"CF";"stats",#N/A,FALSE,"Stats";"prop",#N/A,FALSE,"Prop"}</definedName>
    <definedName name="___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F4">#REF!</definedName>
    <definedName name="___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MHA1">{"rtn",#N/A,FALSE,"RTN";"tables",#N/A,FALSE,"RTN";"cf",#N/A,FALSE,"CF";"stats",#N/A,FALSE,"Stats";"prop",#N/A,FALSE,"Prop"}</definedName>
    <definedName name="_____MHA1_1">{"rtn",#N/A,FALSE,"RTN";"tables",#N/A,FALSE,"RTN";"cf",#N/A,FALSE,"CF";"stats",#N/A,FALSE,"Stats";"prop",#N/A,FALSE,"Prop"}</definedName>
    <definedName name="_____New2">{"TOTAL",#N/A,FALSE,"A";"FISCAL94",#N/A,FALSE,"A";"FISCAL95",#N/A,FALSE,"A";"FISCAL96",#N/A,FALSE,"A";"misc page",#N/A,FALSE,"A"}</definedName>
    <definedName name="__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R">{#N/A,#N/A,FALSE,"Minors";#N/A,#N/A,FALSE,"96CAPREV"}</definedName>
    <definedName name="_____T123456">{"COUNT",#N/A,FALSE,"AB"}</definedName>
    <definedName name="_____T12347">{"COUNT",#N/A,FALSE,"AB"}</definedName>
    <definedName name="__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CF2">{#N/A,#N/A,TRUE,"DCF Summary (2)";#N/A,#N/A,TRUE,"DCF Summary";#N/A,"Middle Case Drivers",TRUE,"DCF"}</definedName>
    <definedName name="____DF4">#REF!</definedName>
    <definedName name="__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JLC1">{#N/A,#N/A,TRUE,"97plnfpg"}</definedName>
    <definedName name="____JLC3">{#N/A,#N/A,FALSE,"J97plnfp"}</definedName>
    <definedName name="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MHA1">{"rtn",#N/A,FALSE,"RTN";"tables",#N/A,FALSE,"RTN";"cf",#N/A,FALSE,"CF";"stats",#N/A,FALSE,"Stats";"prop",#N/A,FALSE,"Prop"}</definedName>
    <definedName name="____MHA1_1">{"rtn",#N/A,FALSE,"RTN";"tables",#N/A,FALSE,"RTN";"cf",#N/A,FALSE,"CF";"stats",#N/A,FALSE,"Stats";"prop",#N/A,FALSE,"Prop"}</definedName>
    <definedName name="____New2">{"TOTAL",#N/A,FALSE,"A";"FISCAL94",#N/A,FALSE,"A";"FISCAL95",#N/A,FALSE,"A";"FISCAL96",#N/A,FALSE,"A";"misc page",#N/A,FALSE,"A"}</definedName>
    <definedName name="_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R">{#N/A,#N/A,FALSE,"Minors";#N/A,#N/A,FALSE,"96CAPREV"}</definedName>
    <definedName name="____T123456">{"COUNT",#N/A,FALSE,"AB"}</definedName>
    <definedName name="____T12347">{"COUNT",#N/A,FALSE,"AB"}</definedName>
    <definedName name="____wrn2">{#N/A,#N/A,FALSE,"ASSUMPTIONS";#N/A,#N/A,FALSE,"Valuation Summary";"page1",#N/A,FALSE,"PRESENTATION";"page2",#N/A,FALSE,"PRESENTATION";#N/A,#N/A,FALSE,"ORIGINAL_ROLLBACK"}</definedName>
    <definedName name="____wrn3">{#N/A,#N/A,FALSE,"ASSUMPTIONS";#N/A,#N/A,FALSE,"Valuation Summary";"page1",#N/A,FALSE,"PRESENTATION";"page2",#N/A,FALSE,"PRESENTATION";#N/A,#N/A,FALSE,"ORIGINAL_ROLLBACK"}</definedName>
    <definedName name="___aaa1">{#N/A,#N/A,FALSE,"Model";#N/A,#N/A,FALSE,"Division"}</definedName>
    <definedName name="_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c">{#N/A,#N/A,FALSE,"Layout Cash Flow"}</definedName>
    <definedName name="___D33">{"Olk by Qtr Full",#N/A,FALSE,"Tot PalmPalm";"Olk by Qtr Full",#N/A,FALSE,"Tot Device";"Olk by Qtr Full",#N/A,FALSE,"Platform";"Olk by Qtr Full",#N/A,FALSE,"Palm.Net";"Olk by Qtr Full",#N/A,FALSE,"Elim"}</definedName>
    <definedName name="___DCF2">{#N/A,#N/A,TRUE,"DCF Summary (2)";#N/A,#N/A,TRUE,"DCF Summary";#N/A,"Middle Case Drivers",TRUE,"DCF"}</definedName>
    <definedName name="___DF4">#REF!</definedName>
    <definedName name="_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fy97">{#N/A,#N/A,FALSE,"FY97";#N/A,#N/A,FALSE,"FY98";#N/A,#N/A,FALSE,"FY99";#N/A,#N/A,FALSE,"FY00";#N/A,#N/A,FALSE,"FY01"}</definedName>
    <definedName name="___key2">#REF!</definedName>
    <definedName name="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MHA1">{"rtn",#N/A,FALSE,"RTN";"tables",#N/A,FALSE,"RTN";"cf",#N/A,FALSE,"CF";"stats",#N/A,FALSE,"Stats";"prop",#N/A,FALSE,"Prop"}</definedName>
    <definedName name="___MHA1_1">{"rtn",#N/A,FALSE,"RTN";"tables",#N/A,FALSE,"RTN";"cf",#N/A,FALSE,"CF";"stats",#N/A,FALSE,"Stats";"prop",#N/A,FALSE,"Prop"}</definedName>
    <definedName name="___New2">{"TOTAL",#N/A,FALSE,"A";"FISCAL94",#N/A,FALSE,"A";"FISCAL95",#N/A,FALSE,"A";"FISCAL96",#N/A,FALSE,"A";"misc page",#N/A,FALSE,"A"}</definedName>
    <definedName name="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r">{"consolidated",#N/A,FALSE,"Sheet1";"cms",#N/A,FALSE,"Sheet1";"fse",#N/A,FALSE,"Sheet1"}</definedName>
    <definedName name="___t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12347">{"COUNT",#N/A,FALSE,"AB"}</definedName>
    <definedName name="___t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wrn1">{#N/A,#N/A,FALSE,"DCF";#N/A,#N/A,FALSE,"WACC";#N/A,#N/A,FALSE,"Sales_EBIT";#N/A,#N/A,FALSE,"Capex_Depreciation";#N/A,#N/A,FALSE,"WC";#N/A,#N/A,FALSE,"Interest";#N/A,#N/A,FALSE,"Assumptions"}</definedName>
    <definedName name="__1__123Graph_ACHART_1">#REF!</definedName>
    <definedName name="__10__123Graph_CCHART_3">#REF!</definedName>
    <definedName name="__11__123Graph_CCHART_8">#REF!</definedName>
    <definedName name="__12__123Graph_DCHART_1">#REF!</definedName>
    <definedName name="__123Graph_A">#REF!</definedName>
    <definedName name="__123Graph_AANIDRO">#REF!</definedName>
    <definedName name="__123Graph_AAPPIP">#REF!</definedName>
    <definedName name="__123Graph_AB06">#REF!</definedName>
    <definedName name="__123Graph_ACANPIP">#REF!</definedName>
    <definedName name="__123Graph_ACHART1">#REF!</definedName>
    <definedName name="__123Graph_ACHART2">#REF!</definedName>
    <definedName name="__123Graph_ACURRENT">#REF!</definedName>
    <definedName name="__123Graph_ADONAGRA">#REF!</definedName>
    <definedName name="__123Graph_ADONATMO">#REF!</definedName>
    <definedName name="__123Graph_AEURPIP">#REF!</definedName>
    <definedName name="__123Graph_AEXPPIP">#REF!</definedName>
    <definedName name="__123Graph_AGRAPH1">#REF!</definedName>
    <definedName name="__123Graph_AGRAPH2">#REF!</definedName>
    <definedName name="__123Graph_AHIALCOOL">#REF!</definedName>
    <definedName name="__123Graph_AHIDRATADO">#REF!</definedName>
    <definedName name="__123Graph_AHOTBUTTONS">#REF!</definedName>
    <definedName name="__123Graph_AMEXPIP">#REF!</definedName>
    <definedName name="__123Graph_ANTINCMO">#REF!</definedName>
    <definedName name="__123Graph_AOPNETGRA">#REF!</definedName>
    <definedName name="__123Graph_ASACAS">#REF!</definedName>
    <definedName name="__123Graph_ASALES">#REF!</definedName>
    <definedName name="__123Graph_ASALESMO">#REF!</definedName>
    <definedName name="__123Graph_ASALESTREND">#REF!</definedName>
    <definedName name="__123Graph_ASAPIP">#REF!</definedName>
    <definedName name="__123Graph_ATOTPIP">#REF!</definedName>
    <definedName name="__123Graph_AUSPIP">#REF!</definedName>
    <definedName name="__123Graph_B">#REF!</definedName>
    <definedName name="__123Graph_BAPPIP">#REF!</definedName>
    <definedName name="__123Graph_BCANPIP">#REF!</definedName>
    <definedName name="__123Graph_BCHART1">#REF!</definedName>
    <definedName name="__123Graph_BCHART2">#REF!</definedName>
    <definedName name="__123Graph_BCURRENT">#REF!</definedName>
    <definedName name="__123Graph_BDONAGRA">#REF!</definedName>
    <definedName name="__123Graph_BDONATMO">#REF!</definedName>
    <definedName name="__123Graph_BEURPIP">#REF!</definedName>
    <definedName name="__123Graph_BEXPPIP">#REF!</definedName>
    <definedName name="__123Graph_BFUEL">#REF!</definedName>
    <definedName name="__123Graph_BGRAPH1">#REF!</definedName>
    <definedName name="__123Graph_BGRAPH2">#REF!</definedName>
    <definedName name="__123Graph_BMEXPIP">#REF!</definedName>
    <definedName name="__123Graph_BNTINCMO">#REF!</definedName>
    <definedName name="__123Graph_BOPNETGRA">#REF!</definedName>
    <definedName name="__123Graph_BSALES">#REF!</definedName>
    <definedName name="__123Graph_BSALESMO">#REF!</definedName>
    <definedName name="__123Graph_BSAPIP">#REF!</definedName>
    <definedName name="__123Graph_BTOTPIP">#REF!</definedName>
    <definedName name="__123Graph_BUSPIP">#REF!</definedName>
    <definedName name="__123Graph_C">#REF!</definedName>
    <definedName name="__123Graph_CAPDSO">#REF!</definedName>
    <definedName name="__123Graph_CCANDSO">#REF!</definedName>
    <definedName name="__123Graph_CCHART1">#REF!</definedName>
    <definedName name="__123Graph_CCHART2">#REF!</definedName>
    <definedName name="__123Graph_CCURRENT">#REF!</definedName>
    <definedName name="__123Graph_CDONAGRA">#REF!</definedName>
    <definedName name="__123Graph_CDONATMO">#REF!</definedName>
    <definedName name="__123Graph_CEURDSO">#REF!</definedName>
    <definedName name="__123Graph_CEXPDSO">#REF!</definedName>
    <definedName name="__123Graph_CGRAPH1">#REF!</definedName>
    <definedName name="__123Graph_CGRAPH2">#REF!</definedName>
    <definedName name="__123Graph_CMEXDSO">#REF!</definedName>
    <definedName name="__123Graph_CNTINCMO">#REF!</definedName>
    <definedName name="__123Graph_COPNETGRA">#REF!</definedName>
    <definedName name="__123Graph_CSADSO">#REF!</definedName>
    <definedName name="__123Graph_CSALES">#REF!</definedName>
    <definedName name="__123Graph_CSALESMO">#REF!</definedName>
    <definedName name="__123Graph_CTOTDSO">#REF!</definedName>
    <definedName name="__123Graph_CUSDSO">#REF!</definedName>
    <definedName name="__123Graph_D">#REF!</definedName>
    <definedName name="__123Graph_DAPDSO">#REF!</definedName>
    <definedName name="__123Graph_DCANDSO">#REF!</definedName>
    <definedName name="__123Graph_DCHART1">#REF!</definedName>
    <definedName name="__123Graph_DCHART2">#REF!</definedName>
    <definedName name="__123Graph_DCURRENT">#REF!</definedName>
    <definedName name="__123Graph_DEURDSO">#REF!</definedName>
    <definedName name="__123Graph_DEXPDSO">#REF!</definedName>
    <definedName name="__123Graph_DMEXDSO">#REF!</definedName>
    <definedName name="__123Graph_DSADSO">#REF!</definedName>
    <definedName name="__123Graph_DTOTDSO">#REF!</definedName>
    <definedName name="__123Graph_DUSDSO">#REF!</definedName>
    <definedName name="__123Graph_E">#REF!</definedName>
    <definedName name="__123Graph_ECHART1">#REF!</definedName>
    <definedName name="__123Graph_ECHART2">#REF!</definedName>
    <definedName name="__123Graph_ECURRENT">#REF!</definedName>
    <definedName name="__123Graph_F">#REF!</definedName>
    <definedName name="__123Graph_FCHART1">#REF!</definedName>
    <definedName name="__123Graph_FCHART2">#REF!</definedName>
    <definedName name="__123Graph_FCURRENT">#REF!</definedName>
    <definedName name="__123Graph_LBL_A">#REF!</definedName>
    <definedName name="__123Graph_LBL_ASALESTREND">#REF!</definedName>
    <definedName name="__123Graph_LBL_B">#REF!</definedName>
    <definedName name="__123Graph_LBL_C">#REF!</definedName>
    <definedName name="__123Graph_LBL_D">#REF!</definedName>
    <definedName name="__123Graph_X">#REF!</definedName>
    <definedName name="__123Graph_XANIDRO">#REF!</definedName>
    <definedName name="__123Graph_XAPDSO">#REF!</definedName>
    <definedName name="__123Graph_XAPPIP">#REF!</definedName>
    <definedName name="__123Graph_XCANDSO">#REF!</definedName>
    <definedName name="__123Graph_XCANPIP">#REF!</definedName>
    <definedName name="__123Graph_XCHART1">#REF!</definedName>
    <definedName name="__123Graph_XCHART2">#REF!</definedName>
    <definedName name="__123Graph_XCURRENT">#REF!</definedName>
    <definedName name="__123Graph_XDONAGRA">#REF!</definedName>
    <definedName name="__123Graph_XDONATMO">#REF!</definedName>
    <definedName name="__123Graph_XEURDSO">#REF!</definedName>
    <definedName name="__123Graph_XEURPIP">#REF!</definedName>
    <definedName name="__123Graph_XEXPDSO">#REF!</definedName>
    <definedName name="__123Graph_XEXPPIP">#REF!</definedName>
    <definedName name="__123Graph_XGRAPH1">#REF!</definedName>
    <definedName name="__123Graph_XGRAPH2">#REF!</definedName>
    <definedName name="__123Graph_XHIALCOOL">#REF!</definedName>
    <definedName name="__123Graph_XHIDRATADO">#REF!</definedName>
    <definedName name="__123Graph_XHOTBUTTONS">#REF!</definedName>
    <definedName name="__123Graph_XMEXDSO">#REF!</definedName>
    <definedName name="__123Graph_XMEXPIP">#REF!</definedName>
    <definedName name="__123Graph_XNTINCMO">#REF!</definedName>
    <definedName name="__123Graph_XOPNETGRA">#REF!</definedName>
    <definedName name="__123Graph_XSACAS">#REF!</definedName>
    <definedName name="__123Graph_XSADSO">#REF!</definedName>
    <definedName name="__123Graph_XSALES">#REF!</definedName>
    <definedName name="__123Graph_XSALESMO">#REF!</definedName>
    <definedName name="__123Graph_XSALESTREND">#REF!</definedName>
    <definedName name="__123Graph_XSAPIP">#REF!</definedName>
    <definedName name="__123Graph_XTOTDSO">#REF!</definedName>
    <definedName name="__123Graph_XTOTPIP">#REF!</definedName>
    <definedName name="__123Graph_XUSDSO">#REF!</definedName>
    <definedName name="__123Graph_XUSPIP">#REF!</definedName>
    <definedName name="__13__123Graph_DCHART_8">#REF!</definedName>
    <definedName name="__14__123Graph_LBL_ACHART_3">#REF!</definedName>
    <definedName name="__15__123Graph_LBL_ACHART_4">#REF!</definedName>
    <definedName name="__16__123Graph_LBL_BCHART_3">#REF!</definedName>
    <definedName name="__17__123Graph_LBL_BCHART_4">#REF!</definedName>
    <definedName name="__18__123Graph_LBL_CCHART_3">#REF!</definedName>
    <definedName name="__19__123Graph_XCHART_1">#REF!</definedName>
    <definedName name="__2__123Graph_ACHART_3">#REF!</definedName>
    <definedName name="__20__123Graph_XCHART_3">#REF!</definedName>
    <definedName name="__21__123Graph_XCHART_4">#REF!</definedName>
    <definedName name="__22__123Graph_XCHART_8">#REF!</definedName>
    <definedName name="__3__123Graph_ACHART_4">#REF!</definedName>
    <definedName name="__4__123Graph_ACHART_8">#REF!</definedName>
    <definedName name="__5__123Graph_BCHART_1">#REF!</definedName>
    <definedName name="__6__123Graph_BCHART_3">#REF!</definedName>
    <definedName name="__7__123Graph_BCHART_4">#REF!</definedName>
    <definedName name="__8__123Graph_BCHART_8">#REF!</definedName>
    <definedName name="__9__123Graph_CCHART_1">#REF!</definedName>
    <definedName name="__a1">{#N/A,#N/A,FALSE,"Pharm";#N/A,#N/A,FALSE,"WWCM"}</definedName>
    <definedName name="__A11">{#N/A,#N/A,FALSE,"Umsatz 99";#N/A,#N/A,FALSE,"ER 99 "}</definedName>
    <definedName name="__aaa1">{#N/A,#N/A,FALSE,"REPORT"}</definedName>
    <definedName name="__aas1">{#N/A,#N/A,FALSE,"REPORT"}</definedName>
    <definedName name="__ACS2000">{#N/A,#N/A,FALSE,"REPORT"}</definedName>
    <definedName name="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PW_RESTORE_DATA104__">#REF!,#REF!,#REF!,#REF!,#REF!,#REF!,#REF!,#REF!,#REF!,#REF!</definedName>
    <definedName name="__APW_RESTORE_DATA105__">#REF!,#REF!,#REF!,#REF!,#REF!,#REF!,#REF!,#REF!,#REF!,#REF!</definedName>
    <definedName name="__APW_RESTORE_DATA106__">#REF!,#REF!,#REF!,#REF!,#REF!,#REF!,#REF!,#REF!,#REF!,#REF!</definedName>
    <definedName name="__APW_RESTORE_DATA107__">#REF!,#REF!,#REF!,#REF!,#REF!,#REF!,#REF!,#REF!,#REF!,#REF!</definedName>
    <definedName name="__b111">{#N/A,#N/A,FALSE,"Pharm";#N/A,#N/A,FALSE,"WWCM"}</definedName>
    <definedName name="__c">{"Fiesta Facer Page",#N/A,FALSE,"Q_C_S";"Fiesta Main Page",#N/A,FALSE,"V_L";"Fiesta 95BP Struct",#N/A,FALSE,"StructBP";"Fiesta Post 95BP Struct",#N/A,FALSE,"AdjStructBP"}</definedName>
    <definedName name="__DCF2">{#N/A,#N/A,TRUE,"DCF Summary (2)";#N/A,#N/A,TRUE,"DCF Summary";#N/A,"Middle Case Drivers",TRUE,"DCF"}</definedName>
    <definedName name="__DF4">#REF!</definedName>
    <definedName name="__df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fdf1">{"incomemth",#N/A,TRUE,"forecast00";"incomepercentmth",#N/A,TRUE,"forecast00";"balancemth",#N/A,TRUE,"forecast00";"cashmth",#N/A,TRUE,"forecast00";"covenantmth",#N/A,TRUE,"forecast00"}</definedName>
    <definedName name="__fdg1">{"incomemth",#N/A,TRUE,"forecast00";"incomepercentmth",#N/A,TRUE,"forecast00";"balancemth",#N/A,TRUE,"forecast00";"cashmth",#N/A,TRUE,"forecast00";"covenantmth",#N/A,TRUE,"forecast00"}</definedName>
    <definedName name="__FDS_HYPERLINK_TOGGLE_STATE__">"ON"</definedName>
    <definedName name="__fd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>{#N/A,#N/A,FALSE,"FY97";#N/A,#N/A,FALSE,"FY98";#N/A,#N/A,FALSE,"FY99";#N/A,#N/A,FALSE,"FY00";#N/A,#N/A,FALSE,"FY01"}</definedName>
    <definedName name="__gf1">{"incomemth",#N/A,TRUE,"forecast00";"incomepercentmth",#N/A,TRUE,"forecast00";"balancemth",#N/A,TRUE,"forecast00";"cashmth",#N/A,TRUE,"forecast00";"covenantmth",#N/A,TRUE,"forecast00"}</definedName>
    <definedName name="__IntlFixupTable">#REF!</definedName>
    <definedName name="__JLC1">{#N/A,#N/A,TRUE,"97plnfpg"}</definedName>
    <definedName name="__JLC3">{#N/A,#N/A,FALSE,"J97plnfp"}</definedName>
    <definedName name="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MHA1">{"rtn",#N/A,FALSE,"RTN";"tables",#N/A,FALSE,"RTN";"cf",#N/A,FALSE,"CF";"stats",#N/A,FALSE,"Stats";"prop",#N/A,FALSE,"Prop"}</definedName>
    <definedName name="__MHA1_1">{"rtn",#N/A,FALSE,"RTN";"tables",#N/A,FALSE,"RTN";"cf",#N/A,FALSE,"CF";"stats",#N/A,FALSE,"Stats";"prop",#N/A,FALSE,"Prop"}</definedName>
    <definedName name="__na2">"100"</definedName>
    <definedName name="__na3">"50"</definedName>
    <definedName name="__na4">"IQ_LTM_DATE"</definedName>
    <definedName name="__new1">{#N/A,#N/A,FALSE,"Pharm";#N/A,#N/A,FALSE,"WWCM"}</definedName>
    <definedName name="__New2">{"TOTAL",#N/A,FALSE,"A";"FISCAL94",#N/A,FALSE,"A";"FISCAL95",#N/A,FALSE,"A";"FISCAL96",#N/A,FALSE,"A";"misc page",#N/A,FALSE,"A"}</definedName>
    <definedName name="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PRN2">{"adj95mult",#N/A,FALSE,"COMPCO";"adj95est",#N/A,FALSE,"COMPCO"}</definedName>
    <definedName name="__r">{#N/A,#N/A,FALSE,"Pharm";#N/A,#N/A,FALSE,"WWCM"}</definedName>
    <definedName name="__T123456">{"COUNT",#N/A,FALSE,"AB"}</definedName>
    <definedName name="__T12347">{"COUNT",#N/A,FALSE,"AB"}</definedName>
    <definedName name="__tm1">{#N/A,#N/A,FALSE,"Pharm";#N/A,#N/A,FALSE,"WWCM"}</definedName>
    <definedName name="__wrn1">{#N/A,#N/A,FALSE,"DCF";#N/A,#N/A,FALSE,"WACC";#N/A,#N/A,FALSE,"Sales_EBIT";#N/A,#N/A,FALSE,"Capex_Depreciation";#N/A,#N/A,FALSE,"WC";#N/A,#N/A,FALSE,"Interest";#N/A,#N/A,FALSE,"Assumptions"}</definedName>
    <definedName name="__wrn2">{#N/A,#N/A,FALSE,"ASSUMPTIONS";#N/A,#N/A,FALSE,"Valuation Summary";"page1",#N/A,FALSE,"PRESENTATION";"page2",#N/A,FALSE,"PRESENTATION";#N/A,#N/A,FALSE,"ORIGINAL_ROLLBACK"}</definedName>
    <definedName name="__wrn3">{#N/A,#N/A,FALSE,"ASSUMPTIONS";#N/A,#N/A,FALSE,"Valuation Summary";"page1",#N/A,FALSE,"PRESENTATION";"page2",#N/A,FALSE,"PRESENTATION";#N/A,#N/A,FALSE,"ORIGINAL_ROLLBACK"}</definedName>
    <definedName name="__X2">{#N/A,#N/A,FALSE,"Other";#N/A,#N/A,FALSE,"Ace";#N/A,#N/A,FALSE,"Derm"}</definedName>
    <definedName name="_1__123Graph_ACHART_1">#REF!</definedName>
    <definedName name="_1__123Graph_ACHART_4H">#REF!</definedName>
    <definedName name="_1__123Graph_CCHART_12">#REF!</definedName>
    <definedName name="_10__123Graph_ACHART_7">#REF!</definedName>
    <definedName name="_10__123Graph_BCHART_1">#REF!</definedName>
    <definedName name="_10__123Graph_BCHART_3">#REF!</definedName>
    <definedName name="_10__123Graph_BCHART_8">#REF!</definedName>
    <definedName name="_10__123Graph_CCHART_3">#REF!</definedName>
    <definedName name="_11__123Graph_ACHART_8">#REF!</definedName>
    <definedName name="_11__123Graph_CCHART_1">#REF!</definedName>
    <definedName name="_11__123Graph_CCHART_8">#REF!</definedName>
    <definedName name="_11__123Graph_DCHART_1">#REF!</definedName>
    <definedName name="_12__123Graph_ACHART_4">#REF!</definedName>
    <definedName name="_12__123Graph_ACHART_8">#REF!</definedName>
    <definedName name="_12__123Graph_BCHART_1">#REF!</definedName>
    <definedName name="_12__123Graph_BCHART_3">#REF!</definedName>
    <definedName name="_12__123Graph_CCHART_3">#REF!</definedName>
    <definedName name="_12__123Graph_DCHART_1">#REF!</definedName>
    <definedName name="_12__123Graph_LBL_ACHART_1">#REF!</definedName>
    <definedName name="_12__123Graph_XCHART_1">#REF!</definedName>
    <definedName name="_123Graph_A">#REF!</definedName>
    <definedName name="_123Graph_C">#REF!</definedName>
    <definedName name="_13__123Graph_BCHART_2">#REF!</definedName>
    <definedName name="_13__123Graph_CCHART_8">#REF!</definedName>
    <definedName name="_13__123Graph_DCHART_8">#REF!</definedName>
    <definedName name="_13__123Graph_LBL_ACHART_3">#REF!</definedName>
    <definedName name="_14__123Graph_BCHART_4">#REF!</definedName>
    <definedName name="_14__123Graph_DCHART_1">#REF!</definedName>
    <definedName name="_14__123Graph_LBL_ACHART_3">#REF!</definedName>
    <definedName name="_14__123Graph_LBL_DCHART_1">#REF!</definedName>
    <definedName name="_15__123Graph_ACHART_5">#REF!</definedName>
    <definedName name="_15__123Graph_BCHART_1">#REF!</definedName>
    <definedName name="_15__123Graph_BCHART_6">#REF!</definedName>
    <definedName name="_15__123Graph_DCHART_8">#REF!</definedName>
    <definedName name="_15__123Graph_LBL_ACHART_4">#REF!</definedName>
    <definedName name="_16__123Graph_BCHART_7">#REF!</definedName>
    <definedName name="_16__123Graph_BCHART_8">#REF!</definedName>
    <definedName name="_16__123Graph_LBL_ACHART_1">#REF!</definedName>
    <definedName name="_16__123Graph_LBL_BCHART_3">#REF!</definedName>
    <definedName name="_17__123Graph_A_Chart_1A">#REF!</definedName>
    <definedName name="_17__123Graph_BCHART_8">#REF!</definedName>
    <definedName name="_17__123Graph_LBL_ACHART_3">#REF!</definedName>
    <definedName name="_17__123Graph_LBL_BCHART_4">#REF!</definedName>
    <definedName name="_17_0_0Cwvu.GREY_A">#REF!</definedName>
    <definedName name="_18__123Graph_AChart_1">#REF!</definedName>
    <definedName name="_18__123Graph_ACHART_6">#REF!</definedName>
    <definedName name="_18__123Graph_BCHART_3">#REF!</definedName>
    <definedName name="_18__123Graph_CCHART_1">#REF!</definedName>
    <definedName name="_18__123Graph_CCHART_2">#REF!</definedName>
    <definedName name="_18__123Graph_LBL_ACHART_4">#REF!</definedName>
    <definedName name="_18__123Graph_LBL_CCHART_3">#REF!</definedName>
    <definedName name="_19__123Graph_AChart_2">#REF!</definedName>
    <definedName name="_19__123Graph_DCHART_1">#REF!</definedName>
    <definedName name="_19__123Graph_LBL_BCHART_3">#REF!</definedName>
    <definedName name="_19__123Graph_XCHART_1">#REF!</definedName>
    <definedName name="_2__123Graph_ACHART_1">#REF!</definedName>
    <definedName name="_2__123Graph_ACHART_3">#REF!</definedName>
    <definedName name="_2__123Graph_BCHART_4H">#REF!</definedName>
    <definedName name="_2__123Graph_CCHART_12">#REF!</definedName>
    <definedName name="_2__123Graph_CCHART_8">#REF!</definedName>
    <definedName name="_20__123Graph_AChart_3">#REF!</definedName>
    <definedName name="_20__123Graph_CCHART_3">#REF!</definedName>
    <definedName name="_20__123Graph_DCHART_2">#REF!</definedName>
    <definedName name="_20__123Graph_LBL_BCHART_4">#REF!</definedName>
    <definedName name="_20__123Graph_XCHART_3">#REF!</definedName>
    <definedName name="_21__123Graph_AChart_4">#REF!</definedName>
    <definedName name="_21__123Graph_BCHART_3">#REF!</definedName>
    <definedName name="_21__123Graph_BCHART_4">#REF!</definedName>
    <definedName name="_21__123Graph_LBL_ACHART_1">#REF!</definedName>
    <definedName name="_21__123Graph_LBL_CCHART_3">#REF!</definedName>
    <definedName name="_21__123Graph_XCHART_4">#REF!</definedName>
    <definedName name="_22__123Graph_AChart_5">#REF!</definedName>
    <definedName name="_22__123Graph_CCHART_8">#REF!</definedName>
    <definedName name="_22__123Graph_LBL_ACHART_2">#REF!</definedName>
    <definedName name="_22__123Graph_LBL_DCHART_1">#REF!</definedName>
    <definedName name="_22__123Graph_XCHART_8">#REF!</definedName>
    <definedName name="_23__123Graph_AChart_6">#REF!</definedName>
    <definedName name="_23__123Graph_LBL_ACHART_5">#REF!</definedName>
    <definedName name="_23__123Graph_XCHART_1">#REF!</definedName>
    <definedName name="_24__123Graph_B_Chart_1A">#REF!</definedName>
    <definedName name="_24__123Graph_BCHART_8">#REF!</definedName>
    <definedName name="_24__123Graph_CCHART_3">#REF!</definedName>
    <definedName name="_24__123Graph_DCHART_1">#REF!</definedName>
    <definedName name="_24__123Graph_LBL_BCHART_1">#REF!</definedName>
    <definedName name="_24__123Graph_XCHART_3">#REF!</definedName>
    <definedName name="_25__123Graph_C_Chart_1A">#REF!</definedName>
    <definedName name="_25__123Graph_LBL_BCHART_4">#REF!</definedName>
    <definedName name="_25__123Graph_XCHART_4">#REF!</definedName>
    <definedName name="_26__123Graph_D_Chart_1A">#REF!</definedName>
    <definedName name="_26__123Graph_DCHART_8">#REF!</definedName>
    <definedName name="_26__123Graph_XCHART_1">#REF!</definedName>
    <definedName name="_26__123Graph_XCHART_8">#REF!</definedName>
    <definedName name="_27__123Graph_CCHART_1">#REF!</definedName>
    <definedName name="_27__123Graph_DCHART_3">#REF!</definedName>
    <definedName name="_27__123Graph_E_Chart_1A">#REF!</definedName>
    <definedName name="_27__123Graph_XCHART_2">#REF!</definedName>
    <definedName name="_28__123Graph_F_Chart_1A">#REF!</definedName>
    <definedName name="_28__123Graph_LBL_ACHART_3">#REF!</definedName>
    <definedName name="_29__123Graph_X_Chart_1A">#REF!</definedName>
    <definedName name="_3__123Graph_ACHART_1">#REF!</definedName>
    <definedName name="_3__123Graph_ACHART_4">#REF!</definedName>
    <definedName name="_3__123Graph_BCHART_2">#REF!</definedName>
    <definedName name="_3__123Graph_CCHART_4H">#REF!</definedName>
    <definedName name="_30__123Graph_CCHART_3">#REF!</definedName>
    <definedName name="_30__123Graph_ECHART_3">#REF!</definedName>
    <definedName name="_30__123Graph_LBL_ACHART_4">#REF!</definedName>
    <definedName name="_30__123Graph_XChart_1">#REF!</definedName>
    <definedName name="_31__123Graph_XChart_2">#REF!</definedName>
    <definedName name="_32__123Graph_LBL_BCHART_3">#REF!</definedName>
    <definedName name="_32__123Graph_XChart_3">#REF!</definedName>
    <definedName name="_33__123Graph_CCHART_8">#REF!</definedName>
    <definedName name="_33__123Graph_FCHART_3">#REF!</definedName>
    <definedName name="_33__123Graph_XChart_4">#REF!</definedName>
    <definedName name="_34__123Graph_LBL_BCHART_4">#REF!</definedName>
    <definedName name="_34__123Graph_XChart_5">#REF!</definedName>
    <definedName name="_35__123Graph_XChart_6">#REF!</definedName>
    <definedName name="_36__123Graph_DCHART_1">#REF!</definedName>
    <definedName name="_36__123Graph_LBL_CCHART_3">#REF!</definedName>
    <definedName name="_36__123Graph_XCHART_1">#REF!</definedName>
    <definedName name="_38__123Graph_XCHART_1">#REF!</definedName>
    <definedName name="_39__123Graph_DCHART_8">#REF!</definedName>
    <definedName name="_39__123Graph_XCHART_2">#REF!</definedName>
    <definedName name="_4__123Graph_ACHART_3">#REF!</definedName>
    <definedName name="_4__123Graph_ACHART_8">#REF!</definedName>
    <definedName name="_4__123Graph_CCHART_8">#REF!</definedName>
    <definedName name="_4__123Graph_XCHART_4H">#REF!</definedName>
    <definedName name="_40__123Graph_XCHART_3">#REF!</definedName>
    <definedName name="_42__123Graph_LBL_ACHART_3">#REF!</definedName>
    <definedName name="_42__123Graph_XCHART_4">#REF!</definedName>
    <definedName name="_44__123Graph_XCHART_8">#REF!</definedName>
    <definedName name="_45__123Graph_LBL_ACHART_4">#REF!</definedName>
    <definedName name="_45__123Graph_XCHART_5">#REF!</definedName>
    <definedName name="_48__123Graph_LBL_BCHART_3">#REF!</definedName>
    <definedName name="_48__123Graph_XCHART_6">#REF!</definedName>
    <definedName name="_5__123Graph_ACHART_4">#REF!</definedName>
    <definedName name="_5__123Graph_BCHART_1">#REF!</definedName>
    <definedName name="_51__123Graph_LBL_BCHART_4">#REF!</definedName>
    <definedName name="_54__123Graph_LBL_CCHART_3">#REF!</definedName>
    <definedName name="_57__123Graph_XCHART_1">#REF!</definedName>
    <definedName name="_6__123Graph_ACHART_1">#REF!</definedName>
    <definedName name="_6__123Graph_ACHART_2">#REF!</definedName>
    <definedName name="_6__123Graph_ACHART_3">#REF!</definedName>
    <definedName name="_6__123Graph_ACHART_4">#REF!</definedName>
    <definedName name="_6__123Graph_ACHART_8">#REF!</definedName>
    <definedName name="_6__123Graph_BCHART_1">#REF!</definedName>
    <definedName name="_6__123Graph_BCHART_3">#REF!</definedName>
    <definedName name="_60__123Graph_XCHART_3">#REF!</definedName>
    <definedName name="_63__123Graph_XCHART_4">#REF!</definedName>
    <definedName name="_66__123Graph_XCHART_8">#REF!</definedName>
    <definedName name="_7__123Graph_ACHART_1">#REF!</definedName>
    <definedName name="_7__123Graph_ACHART_2">#REF!</definedName>
    <definedName name="_7__123Graph_BCHART_1">#REF!</definedName>
    <definedName name="_7__123Graph_BCHART_4">#REF!</definedName>
    <definedName name="_8__123Graph_ACHART_3">#REF!</definedName>
    <definedName name="_8__123Graph_ACHART_4">#REF!</definedName>
    <definedName name="_8__123Graph_ACHART_8">#REF!</definedName>
    <definedName name="_8__123Graph_BCHART_3">#REF!</definedName>
    <definedName name="_8__123Graph_BCHART_8">#REF!</definedName>
    <definedName name="_9__123Graph_ACHART_3">#REF!</definedName>
    <definedName name="_9__123Graph_ACHART_4">#REF!</definedName>
    <definedName name="_9__123Graph_ACHART_6">#REF!</definedName>
    <definedName name="_9__123Graph_BCHART_1">#REF!</definedName>
    <definedName name="_9__123Graph_BCHART_4">#REF!</definedName>
    <definedName name="_9__123Graph_CCHART_1">#REF!</definedName>
    <definedName name="_a1">{#N/A,#N/A,FALSE,"Pharm";#N/A,#N/A,FALSE,"WWCM"}</definedName>
    <definedName name="_A11">{#N/A,#N/A,FALSE,"Umsatz 99";#N/A,#N/A,FALSE,"ER 99 "}</definedName>
    <definedName name="_aaa1">{#N/A,#N/A,FALSE,"REPORT"}</definedName>
    <definedName name="_aas1">{#N/A,#N/A,FALSE,"REPORT"}</definedName>
    <definedName name="_ACS2000">{#N/A,#N/A,FALSE,"REPORT"}</definedName>
    <definedName name="_Actual_for_2004_Measure">#REF!</definedName>
    <definedName name="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b111">{#N/A,#N/A,FALSE,"Pharm";#N/A,#N/A,FALSE,"WWCM"}</definedName>
    <definedName name="_bdm.00628FCD9B824F6C8F06EE813DE28F54.edm">#REF!</definedName>
    <definedName name="_bdm.0077A1EFE81848E9AF62206B67B0BE38.edm">#REF!</definedName>
    <definedName name="_bdm.00EC971BF37311D6B67A0010A48BFF38.edm">#REF!</definedName>
    <definedName name="_bdm.0101CE9886FF458D9F1C444663EAAC3B.edm">#REF!</definedName>
    <definedName name="_bdm.014B48EB5A2B4F91AF7082913FF881BF.edm">#REF!</definedName>
    <definedName name="_bdm.020381284EBD4FA2B15CF496329279EF.edm">#REF!</definedName>
    <definedName name="_bdm.02079742F7314D4E92D065884A9EF46E.edm">#REF!</definedName>
    <definedName name="_bdm.020B9A151BC94DF796207C69F2575D8C.edm">#REF!</definedName>
    <definedName name="_bdm.023B0A2509844A929D654B4B2FF45EC8.edm">#REF!</definedName>
    <definedName name="_bdm.02652F2045C946998E2E629F85FE5CD4.edm">#REF!</definedName>
    <definedName name="_bdm.026E96BF4F9D49419E9B13FFEFAC8DE8.edm">#REF!</definedName>
    <definedName name="_bdm.028CC6519D43470B92AA1057669099E5.edm">#REF!</definedName>
    <definedName name="_bdm.02B4C75159F04199B8934F516F6AA809.edm">#REF!</definedName>
    <definedName name="_bdm.02ED01FCE88A4C0F837293428B18554E.edm">#REF!</definedName>
    <definedName name="_bdm.03512DDF7D9545B88E1362BB5F641FCD.edm">#REF!</definedName>
    <definedName name="_bdm.03DD44CFD1924D08A0423EAA2E13F1AB.edm">#REF!</definedName>
    <definedName name="_bdm.044B15321E4B4C03B6CDEC9EFF79DF80.edm">#REF!</definedName>
    <definedName name="_bdm.045725A469A146049D05B901FD91C808.edm">#REF!</definedName>
    <definedName name="_bdm.0488B6EB24544945BFED70BB8E99B121.edm">#REF!</definedName>
    <definedName name="_bdm.050E76F41C754C279DA97D7D3DC27086.edm">#REF!</definedName>
    <definedName name="_bdm.0532EAC0032C41598DCCFFCD0C08B9BE.edm">#REF!</definedName>
    <definedName name="_bdm.053C19DDE71146C7BB353DB80848FFA0.edm">#REF!</definedName>
    <definedName name="_bdm.05AD755AE1B644BCB6FF7AF6D6C94EE7.edm">#REF!</definedName>
    <definedName name="_bdm.05B7D36D80CB4713BF37422E1B079E9C.edm">#REF!</definedName>
    <definedName name="_bdm.05C2D837C14941B5BA8921164BAFD1E2.edm">#REF!</definedName>
    <definedName name="_bdm.062E4F7E8ACF4BB8A09178BB561E07BA.edm">#REF!</definedName>
    <definedName name="_bdm.069E0903A0524E058DBD0D65F455B355.edm">#REF!</definedName>
    <definedName name="_bdm.06C9E2D981FC4096A57FC227D8B43D35.edm">#REF!</definedName>
    <definedName name="_bdm.073124E035AF46F282A5B1E87AE6E792.edm">#REF!</definedName>
    <definedName name="_bdm.074EB0C6AAE811D6B66B0010A4863BD8.edm">#REF!</definedName>
    <definedName name="_bdm.075516DF6D474B1CA05EC11A256B88BD.edm">#REF!</definedName>
    <definedName name="_bdm.07C54DFF5E534C3E8859FE499270A5AB.edm">#REF!</definedName>
    <definedName name="_bdm.07FAAF288C7F40C68B81A520EFB0773B.edm">#REF!</definedName>
    <definedName name="_bdm.08347EC17CFA4831A27665426D95CBE3.edm">#REF!</definedName>
    <definedName name="_bdm.097753650E004B8C87DEDE359C56E9B6.edm">#REF!</definedName>
    <definedName name="_bdm.09CEF7044C834245B50891A0C8ED760E.edm">#REF!</definedName>
    <definedName name="_bdm.0A1096B9741A43259E65FECD5FBD0787.edm">#REF!</definedName>
    <definedName name="_bdm.0A56FBB4D3E94D76915CFA92934E6A25.edm">#REF!</definedName>
    <definedName name="_bdm.0B50767A95D5414BAE0BA687F7B2A086.edm">#REF!</definedName>
    <definedName name="_bdm.0B5E4A07F78E4E3E923312BD37FD77A2.edm">#REF!</definedName>
    <definedName name="_bdm.0C4E3B42C5C24DDCAC5F12B732087AC7.edm">#REF!</definedName>
    <definedName name="_bdm.0CF1517B9171402582397A5C2159E97A.edm">#REF!</definedName>
    <definedName name="_bdm.0D1D78872C6C4CD2949340515F157612.edm">#REF!</definedName>
    <definedName name="_bdm.0D36997B78AB466394832F21270DBFC5.edm">#REF!</definedName>
    <definedName name="_bdm.0DA59F0DBB3D4768A7821788B27B6497.edm">#REF!</definedName>
    <definedName name="_bdm.0DB20995C9854E53A792CD3FD0B868AC.edm">#REF!</definedName>
    <definedName name="_bdm.0DCF3CE421554A9082E0B8A40DBD6FA4.edm">#REF!</definedName>
    <definedName name="_bdm.0DE44911D7094E90B3DEED97A9F4B72E.edm">#REF!</definedName>
    <definedName name="_bdm.0E08FE8AC29647558ED31CA52106CD72.edm">#REF!</definedName>
    <definedName name="_bdm.0E2C8F2F364243E2B85FBBC94E748564.edm">#REF!</definedName>
    <definedName name="_bdm.0E5FF099372F488FABB566A12BE994E6.edm">#REF!</definedName>
    <definedName name="_bdm.0E72569B534E450BBDD4D4C08A228512.edm">#REF!</definedName>
    <definedName name="_bdm.0E7857D7423F476298279C7EA2BEFA68.edm">#REF!</definedName>
    <definedName name="_bdm.0F288D482B984B9FB7CF701B327B593C.edm">#REF!</definedName>
    <definedName name="_bdm.0FBD79EB2A4043BCA5A41D9E234DC189.edm">#REF!</definedName>
    <definedName name="_bdm.0FE579AE6EBE4A03AEA35A7F7B449830.edm">#REF!</definedName>
    <definedName name="_bdm.10521C6931054F108320029711F55E08.edm">#REF!</definedName>
    <definedName name="_bdm.105A6EA88498413DA917C0CED815D258.edm">#REF!</definedName>
    <definedName name="_bdm.10C7181EFB9C4A8E9119A23D910FEE5F.edm">#REF!</definedName>
    <definedName name="_bdm.10C7BD106DB14367B2A66079B7A7E9EA.edm">#REF!</definedName>
    <definedName name="_bdm.10DC428B5ABA42F9A486E6FB29FCFCFD.edm">#REF!</definedName>
    <definedName name="_bdm.10E20494F47240EC9CDEF4A877E16DCF.edm">#REF!</definedName>
    <definedName name="_bdm.110075C8BC304D429245F5CA303DFC4F.edm">#REF!</definedName>
    <definedName name="_bdm.11506455E7DE4EE0BD7A39469CBC264B.edm">#REF!</definedName>
    <definedName name="_bdm.12AD1E6F9107443A9A52C32036667A2C.edm">#REF!</definedName>
    <definedName name="_bdm.13308F275BB844B09BC903B0F9167D88.edm">#REF!</definedName>
    <definedName name="_bdm.14263D1F2D814D5EB1F95B1D6957384D.edm">#REF!</definedName>
    <definedName name="_bdm.142F6DDBBFBE4B85A0450ABB2111F569.edm">#REF!</definedName>
    <definedName name="_bdm.14B7FD86198A4B3DA7C7B8507CF22CFD.edm">#REF!</definedName>
    <definedName name="_bdm.1546ECE4B697484AAB90B28AB708F295.edm">#REF!</definedName>
    <definedName name="_bdm.1571D4A9C4694368843C2F721BA7644E.edm">#REF!</definedName>
    <definedName name="_bdm.16D30ED17E854DEE91B4FC39663D8D01.edm">#REF!</definedName>
    <definedName name="_bdm.16F0282E935E4F7187393AC227EC2695.edm">#REF!</definedName>
    <definedName name="_bdm.1742263542124AF3BCE865208D9E404D.edm">#REF!</definedName>
    <definedName name="_bdm.178DA99AD3DC440D98F884BD78631C52.edm">#REF!</definedName>
    <definedName name="_bdm.17B5DC10C28549F292FCB8DC79B43563.edm">#REF!</definedName>
    <definedName name="_bdm.17BAB2A5729141439AABF03E16D9D219.edm">#REF!</definedName>
    <definedName name="_bdm.17F83D2EBED44DFE9C2776DB6CA978E9.edm">#REF!</definedName>
    <definedName name="_bdm.1848655873D64F02B0C21EA075FE78F5.edm">#REF!</definedName>
    <definedName name="_bdm.18F872EA41EB42D6B8CE32747B237FBF.edm">#REF!</definedName>
    <definedName name="_bdm.190B71B068684EEA826EF050712DA456.edm">#REF!</definedName>
    <definedName name="_bdm.190D0444B6204043BC963A066D752948.edm">#REF!</definedName>
    <definedName name="_bdm.1925861F1AF14194919CB2978FCDE43B.edm">#REF!</definedName>
    <definedName name="_bdm.1947C269431F4D57A54F6F32CE0C09F6.edm">#REF!</definedName>
    <definedName name="_bdm.19575CE001CF4A55BEC20F1D0146AC95.edm">#REF!</definedName>
    <definedName name="_bdm.1969BB18ED5948BEA808FBA1549FAAFD.edm">#REF!</definedName>
    <definedName name="_bdm.196E2C1A7BD14EB9BA42E1F187F09491.edm">#REF!</definedName>
    <definedName name="_bdm.19DC00AFFB61436B916670E6F82993D9.edm">#REF!</definedName>
    <definedName name="_bdm.1A2BF69EB12541B695DDE8713805365B.edm">#REF!</definedName>
    <definedName name="_bdm.1AD2C974E8284EE29AE32645380BD610.edm">#REF!</definedName>
    <definedName name="_bdm.1B666951DC9941F2A5DBE572DA611E79.edm">#REF!</definedName>
    <definedName name="_bdm.1B9EE71476064B9BBD08944E51A8FA1B.edm">#REF!</definedName>
    <definedName name="_bdm.1BDFD2474F6E47088264802C781AA678.edm">#REF!</definedName>
    <definedName name="_bdm.1BEC47944BB344F3BCDEBB2C953A80AF.edm">#REF!</definedName>
    <definedName name="_bdm.1C05406114C049789668F1CBA1E5B184.edm">#REF!</definedName>
    <definedName name="_bdm.1D220B6B5B164370A3CF21AC7A43A0CE.edm">#REF!</definedName>
    <definedName name="_bdm.1D2F6BABA6744956ABCE249CE33BD5E9.edm">#REF!</definedName>
    <definedName name="_bdm.1D5081D5FD824A2FA691607ECBDC25EA.edm">#REF!</definedName>
    <definedName name="_bdm.1DF82C96AF3C40C79BA8BD6CB43CADCF.edm">#REF!</definedName>
    <definedName name="_bdm.1E0AB042559A4328BFFF48F1082C9870.edm">#REF!</definedName>
    <definedName name="_bdm.1E174FF182FE4327AC9992C9CB30CEB1.edm">#REF!</definedName>
    <definedName name="_bdm.1E4998F6806A478DA69D0C3A7C91B092.edm">#REF!</definedName>
    <definedName name="_bdm.1E69A5B39DAA4B89A92B65DED2FD16F4.edm">#REF!</definedName>
    <definedName name="_bdm.1E72DE99838E4622BDFE9E5ECFFEA574.edm">#REF!</definedName>
    <definedName name="_bdm.1EB0F988EF6742F5873D9F30002CBE94.edm">#REF!</definedName>
    <definedName name="_bdm.1F17038ACB874987826F696C915A8236.edm">#REF!</definedName>
    <definedName name="_bdm.1F253A911F15417EBD24093B49F602A9.edm">#REF!</definedName>
    <definedName name="_bdm.1F8EF658D6064D2783A70472F7877EA3.edm">#REF!</definedName>
    <definedName name="_bdm.1F9BFE97922341DC9913B640AEC37313.edm">#REF!</definedName>
    <definedName name="_bdm.1FAFC0C6DEB4476EA3201A5430EDA615.edm">#REF!</definedName>
    <definedName name="_bdm.1FED5B0F6DBD43239314BBD62563CD2A.edm">#REF!</definedName>
    <definedName name="_bdm.206C2D94AA3711D6B64A0010A494EFA8.edm">#REF!</definedName>
    <definedName name="_bdm.206C2DBCAA3711D6B64A0010A494EFA8.edm">#REF!</definedName>
    <definedName name="_bdm.2074B1533A7E4E9FA3226A657161A26F.edm">#REF!</definedName>
    <definedName name="_bdm.21076A8F218347E1A22B4777942C9DE8.edm">#REF!</definedName>
    <definedName name="_bdm.219019D8D14E48DCB80FC2F2972A3E4F.edm">#REF!</definedName>
    <definedName name="_bdm.21D70E5051C24CA0915BCFAE36BC3A8B.edm">#REF!</definedName>
    <definedName name="_bdm.220ABDB127024EEF88978546727EAC0D.edm">#REF!</definedName>
    <definedName name="_bdm.22ADEF1DBA16429F9BA2083CBC357A06.edm">#REF!</definedName>
    <definedName name="_bdm.22D2B1D63236438CAB453A225EA58963.edm">#REF!</definedName>
    <definedName name="_bdm.23082D1FC4EF49E5A5D905CC341790E5.edm">#REF!</definedName>
    <definedName name="_bdm.2398C53567284E5E8937DD13BB789BD3.edm">#REF!</definedName>
    <definedName name="_bdm.254CD980702C4E1DA096E1B673D68CB3.edm">#REF!</definedName>
    <definedName name="_bdm.256BAC9DAB8C419096317D56A886EE92.edm">#REF!</definedName>
    <definedName name="_bdm.256CA7BB3DC540CD902F522DEEBDD422.edm">#REF!</definedName>
    <definedName name="_bdm.2599A91C569144CE8B11C9FBF455E285.edm">#REF!</definedName>
    <definedName name="_bdm.25A9C63C58E0417DB5AA529D4513182D.edm">#REF!</definedName>
    <definedName name="_bdm.25ACB1A7FD5645B09002826B654D5938.edm">#REF!</definedName>
    <definedName name="_bdm.25B795C4E6A44D30A98311C96332BCF0.edm">#REF!</definedName>
    <definedName name="_bdm.2693C73ACCE34EC18978BF86295C3430.edm">#REF!</definedName>
    <definedName name="_bdm.26DAD82321CB429EAC5929040FC84481.edm">#REF!</definedName>
    <definedName name="_bdm.279511A8E42241F19297ADE1C3ACC6BD.edm">#REF!</definedName>
    <definedName name="_bdm.27A6C0B6DEAE48388EE17DB48CF0545F.edm">#REF!</definedName>
    <definedName name="_bdm.27C64C8586AE42B6B69CBABDD8DD6F86.edm">#REF!</definedName>
    <definedName name="_bdm.27E28DCC9F5E45A3BDDBF091A4604B8C.edm">#REF!</definedName>
    <definedName name="_bdm.27E55B0472CF462F90AE82C7B5B2E625.edm">#REF!</definedName>
    <definedName name="_bdm.28F3C3B79E43484AA41A87D12ADB61B5.edm">#REF!</definedName>
    <definedName name="_bdm.2954882716114685A8F9069F2F4D3CE5.edm">#REF!</definedName>
    <definedName name="_bdm.298A5F8B64B9430DBAA63A1F768B0EAE.edm">#REF!</definedName>
    <definedName name="_bdm.299631BC05434255B1B1439A5691B58B.edm">#REF!</definedName>
    <definedName name="_bdm.29B6C90491534050B2C5F5D0FAC008D1.edm">#REF!</definedName>
    <definedName name="_bdm.2A2C1AD3D43746C3B145A4E98664B88E.edm">#REF!</definedName>
    <definedName name="_bdm.2A30F47081D4412CB404B99657EF074B.edm">#REF!</definedName>
    <definedName name="_bdm.2A4A1748E6784F359034878F7873359B.edm">#REF!</definedName>
    <definedName name="_bdm.2A5234D8A73011D6B6510010A48BFF38.edm">#REF!</definedName>
    <definedName name="_bdm.2A568D5E120C4CA2B2B89FC1C54F08BE.edm">#REF!</definedName>
    <definedName name="_bdm.2A7F0634550741A382BE070198E19D44.edm">#REF!</definedName>
    <definedName name="_bdm.2AB8234C29D94D7EAD52D60227365442.edm">#REF!</definedName>
    <definedName name="_bdm.2B5FE286FD31474C86081094B6E54935.edm">#REF!</definedName>
    <definedName name="_bdm.2BE03F2DA7BB4A3090558010F6DB5D53.edm">#REF!</definedName>
    <definedName name="_bdm.2CF99D97A61B41F6B3AA6E06E719F0A4.edm">#REF!</definedName>
    <definedName name="_bdm.2DDB2874CD704CF392A4CF5A1899B788.edm">#REF!</definedName>
    <definedName name="_bdm.2E6B333BD79A4B01A2BE2143E7115F29.edm">#REF!</definedName>
    <definedName name="_bdm.2F6223BCED3146A89501B73110CA220A.edm">#REF!</definedName>
    <definedName name="_bdm.2F7A28C715A34E59ACD47BF4ACFF5BEC.edm">#REF!</definedName>
    <definedName name="_bdm.2F7FDB93CC844FBBA90A2E4BF1AF92FD.edm">#REF!</definedName>
    <definedName name="_bdm.2FB22EE84F9649D5A86A378169BCA9E5.edm">#REF!</definedName>
    <definedName name="_bdm.300AD74A4CB340EC819E80CB01F466A0.edm">#REF!</definedName>
    <definedName name="_bdm.308EA4E3F819487DA935FAE0F95D991B.edm">#REF!</definedName>
    <definedName name="_bdm.30A08561BDCA4971AEBB2D511AF0912F.edm">#REF!</definedName>
    <definedName name="_bdm.30B76ABB9C2649D6926870B0EEC13693.edm">#REF!</definedName>
    <definedName name="_bdm.3170F7822924496192BF962F2333AB2A.edm">#REF!</definedName>
    <definedName name="_bdm.317630215C304A9593BCEE8DC5A9A104.edm">#REF!</definedName>
    <definedName name="_bdm.31CD4FCC5F8D4DB0A9A96D2AF532C817.edm">#REF!</definedName>
    <definedName name="_bdm.3207604AA08C45C7A0EE7ED0609AC8C5.edm">#REF!</definedName>
    <definedName name="_bdm.323D6DF2921E4F87B29472FA0E3508ED.edm">#REF!</definedName>
    <definedName name="_bdm.327EA03D3A584F82A302CFE810FD977E.edm">#REF!</definedName>
    <definedName name="_bdm.329FD9CDA97C40029C4A921D6224414B.edm">#REF!</definedName>
    <definedName name="_bdm.332D210E2DB648878CB5D892D80652D6.edm">#REF!</definedName>
    <definedName name="_bdm.33B528A62D9E47499B598E464569FE79.edm">#REF!</definedName>
    <definedName name="_bdm.33E8C6A0FC2A41F28F36EFE0C451D1C8.edm">#REF!</definedName>
    <definedName name="_bdm.3480B78C50014DF3BF567826DA157C66.edm">#REF!</definedName>
    <definedName name="_bdm.34D4F1FF74324883AE27C4D2F7A26E0E.edm">#REF!</definedName>
    <definedName name="_bdm.35C17C1594054E34B9A67423BDDA99B2.edm">#REF!</definedName>
    <definedName name="_bdm.36B39627A7D44B91AD0479D92C5EDDC0.edm">#REF!</definedName>
    <definedName name="_bdm.37206074DD284FF399122A0BAB2CC76E.edm">#REF!</definedName>
    <definedName name="_bdm.37583F759FFD456D88B9693046EFE4D0.edm">#REF!</definedName>
    <definedName name="_bdm.3803A7941AB5419A8F5B3F22659B0C31.edm">#REF!</definedName>
    <definedName name="_bdm.3809D90D6AB1459094D5CF9363A0D3B7.edm">#REF!</definedName>
    <definedName name="_bdm.3904F8F37A744B94B129398ABFAE04F8.edm">#REF!</definedName>
    <definedName name="_bdm.391999CACE464470A52D5211F98EF808.edm">#REF!</definedName>
    <definedName name="_bdm.396F0119E49B4C9287B59BB9D8E3120F.edm">#REF!</definedName>
    <definedName name="_bdm.39BCD9D772784EB5A686A1A898C93BCF.edm">#REF!</definedName>
    <definedName name="_bdm.39C09902C55E4DFAB2F33EBDB878026D.edm">#REF!</definedName>
    <definedName name="_bdm.39C9E15CE9D24374A40E40FCDF6B0E3F.edm">#REF!</definedName>
    <definedName name="_bdm.39DBCB3477184F08A33A0E519E6D7698.edm">#REF!</definedName>
    <definedName name="_bdm.3A00BFB064C349C18F2DAF14BB84C865.edm">#REF!</definedName>
    <definedName name="_bdm.3AB97D89679B4ECE8C2D29383C46ABD8.edm">#REF!</definedName>
    <definedName name="_bdm.3BC86EEE1D1745FF9733ED8223BB8976.edm">#REF!</definedName>
    <definedName name="_bdm.3C1CC0821C2A4BC6BE4DCBB1A037BCFE.edm">#REF!</definedName>
    <definedName name="_bdm.3C9AFD24E8AC465B93FDC234769BA453.edm">#REF!</definedName>
    <definedName name="_bdm.3D28B5C0B3174E7695148CD2BBC5E746.edm">#REF!</definedName>
    <definedName name="_bdm.3E9C7A1FEC5947968F815112890F9211.edm">#REF!</definedName>
    <definedName name="_bdm.3EE642D27E7B4720ADB88F31A16CB458.edm">#REF!</definedName>
    <definedName name="_bdm.3F09A6E7DEF141D394A2053F30614CE4.edm">#REF!</definedName>
    <definedName name="_bdm.3F0F2158DE8E413DB6CA19D1DA50F8F0.edm">#REF!</definedName>
    <definedName name="_bdm.3F560B14FEF541A68AA8C11E396DF8B6.edm">#REF!</definedName>
    <definedName name="_bdm.3F61F9E890F74209BA6DAA4137682DA0.edm">#REF!</definedName>
    <definedName name="_bdm.3FD5B52068BC4268A674B5E038EF8617.edm">#REF!</definedName>
    <definedName name="_bdm.3FFEE8484F5F4FD78F751BB5AFF76849.edm">#REF!</definedName>
    <definedName name="_bdm.404C5BF0DDC24CFF8EF63A0BF89C6993.edm">#REF!</definedName>
    <definedName name="_bdm.40607C88C8FA4F84A9A2EF5BE9BF4562.edm">#REF!</definedName>
    <definedName name="_bdm.40BA8CFF98B84DB1BE0E23DBB5005A4E.edm">#REF!</definedName>
    <definedName name="_bdm.411237EA1E4948B09C45B377B4294C27.edm">#REF!</definedName>
    <definedName name="_bdm.418392816ED046BBA05C601E57A678F3.edm">#REF!</definedName>
    <definedName name="_bdm.4212F73CB8D346CB92A9724D9A486486.edm">#REF!</definedName>
    <definedName name="_bdm.42802E95197149D9B41BAD12863E3242.edm">#REF!</definedName>
    <definedName name="_bdm.428579D7C1FE4F6AB2214700FCBBFFB0.edm">#REF!</definedName>
    <definedName name="_bdm.431BCA8CC3A54BEF95334167F0F8EC55.edm">#REF!</definedName>
    <definedName name="_bdm.43753D313C434DBDAA18E677F5DED2C1.edm">#REF!</definedName>
    <definedName name="_bdm.43BEFD54E5614A47BA6CC71AF25685D4.edm">#REF!</definedName>
    <definedName name="_bdm.443F16CCC4F541CEB38834EFF6279E0B.edm">#REF!</definedName>
    <definedName name="_bdm.44A7AFE455524A5AA4C0051144171E10.edm">#REF!</definedName>
    <definedName name="_bdm.45454F7247BC4361AA496FB26BE6337D.edm">#REF!</definedName>
    <definedName name="_bdm.454608BE810744269D4F8DD0CC567BCC.edm">#REF!</definedName>
    <definedName name="_bdm.45EADCCFF62A421A95C90343F8451B7E.edm">#REF!</definedName>
    <definedName name="_bdm.460E72BAA5164D9881D410AC15BE8B42.edm">#REF!</definedName>
    <definedName name="_bdm.4691602F391E433B882576A2EE523B32.edm">#REF!</definedName>
    <definedName name="_bdm.46AA3F6DE83349389FBD4CE0CAEFF29B.edm">#REF!</definedName>
    <definedName name="_bdm.475844AEC35A11D6B6A80010A4860669.edm">#REF!</definedName>
    <definedName name="_bdm.483CE52867F34C35A4D1B9CC11172C62.edm">#REF!</definedName>
    <definedName name="_bdm.48B80208EB5449A6885BD8B5FC42BF73.edm">#REF!</definedName>
    <definedName name="_bdm.48EBE65C3B244666BD1AE9F08263EDCA.edm">#REF!</definedName>
    <definedName name="_bdm.48EDAEFDA7DF48A19B044F06BEE48D02.edm">#REF!</definedName>
    <definedName name="_bdm.4948C8A3D3E1498CBF0D60E720E7FC2D.edm">#REF!</definedName>
    <definedName name="_bdm.49680129826D479B87AE60BB03B43832.edm">#REF!</definedName>
    <definedName name="_bdm.4A1ED1A579F94FF7A30883C5A84BFD03.edm">#REF!</definedName>
    <definedName name="_bdm.4A451AF6C4DE40BE8149D5C59061D1CA.edm">#REF!</definedName>
    <definedName name="_bdm.4BACF6F441574CBA83A6F3F980B6422D.edm">#REF!</definedName>
    <definedName name="_bdm.4C93A0AB83254B778B15DDFC78CB40B4.edm">#REF!</definedName>
    <definedName name="_bdm.4D0CA4AF78814CD09713AB6F66C9F0A7.edm">#REF!</definedName>
    <definedName name="_bdm.4D149573CFE64B2EB38A57A4E1F87C35.edm">#REF!</definedName>
    <definedName name="_bdm.4D54FFD98360451A9CC1DC1279DE1D29.edm">#REF!</definedName>
    <definedName name="_bdm.4D56505E4B3442D3880FC56B7B3BB826.edm">#REF!</definedName>
    <definedName name="_bdm.4DC3AE1E0F744F5D9EF18EA21D885678.edm">#REF!</definedName>
    <definedName name="_bdm.4E7A9582F2FB420F9567C72160A2BD16.edm">#REF!</definedName>
    <definedName name="_bdm.4F795DE46EA8420FB3575ADCBB5D81D0.edm">#REF!</definedName>
    <definedName name="_bdm.50189a56ad9647f388607a37458b4f4c.edm">#REF!</definedName>
    <definedName name="_bdm.5027225510644DF88418648672B20675.edm">#REF!</definedName>
    <definedName name="_bdm.506F8C201A6B42618E3A9FAEC485BD7A.edm">#REF!</definedName>
    <definedName name="_bdm.50ED6F7816794F3894E59B89ED27C735.edm">#REF!</definedName>
    <definedName name="_bdm.513A7CE817F841EEB85DD7F1B96522D2.edm">#REF!</definedName>
    <definedName name="_bdm.513D96F963EC4183AFBD65AAAFE20746.edm">#REF!</definedName>
    <definedName name="_bdm.5145E2374A1143C49FA71355CDB89252.edm">#REF!</definedName>
    <definedName name="_bdm.528343931B2C434796C1CBD0B9B37AD4.edm">#REF!</definedName>
    <definedName name="_bdm.52D23C8E86DA4633900C28DC8A160897.edm">#REF!</definedName>
    <definedName name="_bdm.53560227A3444DE7BD2C6290AEEEFD6A.edm">#REF!</definedName>
    <definedName name="_bdm.53BCFD0C5D4F4E6590CA00E6450B32CB.edm">#REF!</definedName>
    <definedName name="_bdm.546028CE0FBA41E8B0E4B66ED55882A2.edm">#REF!</definedName>
    <definedName name="_bdm.54F1E604DB79427CB5B22E3E2547D02D.edm">#REF!</definedName>
    <definedName name="_bdm.55F92649105C4A8EBC3427D4EC0F5F03.edm">#REF!</definedName>
    <definedName name="_bdm.5666DA1E7D5F4F33BF386C7839436C24.edm">#REF!</definedName>
    <definedName name="_bdm.56C9D084B66C40CD8F157685821740BB.edm">#REF!</definedName>
    <definedName name="_bdm.57375F6F1A8349BDB8D9EA77DC2DF440.edm">#REF!</definedName>
    <definedName name="_bdm.5899DA80924A4C1182E5C7D6095DD314.edm">#REF!</definedName>
    <definedName name="_bdm.597354D9110D423BB093BCB8871ED198.edm">#REF!</definedName>
    <definedName name="_bdm.59D975383E594618A5E9AF0F1E5CCDB2.edm">#REF!</definedName>
    <definedName name="_bdm.5AE77257362A41D5ADCDEE0C7DE7DA67.edm">#REF!</definedName>
    <definedName name="_bdm.5AF8C68B1B4D4725A2EF100AD746D415.edm">#REF!</definedName>
    <definedName name="_bdm.5B204CAA29AC4667ABB9B23BA017CE74.edm">#REF!</definedName>
    <definedName name="_bdm.5C6D0D9D93BD4742A18A5B8A51E9F99E.edm">#REF!</definedName>
    <definedName name="_bdm.5C9D3FF18E474F08A252A7A33930598E.edm">#REF!</definedName>
    <definedName name="_bdm.5CA6D5D9D886488B9DF12098BDEC2D3E.edm">#REF!</definedName>
    <definedName name="_bdm.5CD53986D7FF4559A19CFB74490F0BD8.edm">#REF!</definedName>
    <definedName name="_bdm.5CFF27454F87470DAE0C1E4000FB1D25.edm">#REF!</definedName>
    <definedName name="_bdm.5D8D55B204CB487ABFE89E021F786C24.edm">#REF!</definedName>
    <definedName name="_bdm.5DB0585B5F2249CFBECF5314BC75BB67.edm">#REF!</definedName>
    <definedName name="_bdm.5DBB14AA8B534769A9173AB46C4C8DAB.edm">#REF!</definedName>
    <definedName name="_bdm.5DDDC8E9462B49DAA7DEF701FACC7E0C.edm">#REF!</definedName>
    <definedName name="_bdm.5DE54CC3CB984843B6B6B89E3A748F65.edm">#REF!</definedName>
    <definedName name="_bdm.5DF8E015EACF4ACAAE4F2204CC2153F5.edm">#REF!</definedName>
    <definedName name="_bdm.5E2A3741D33144D78F20B635D578857E.edm">#REF!</definedName>
    <definedName name="_bdm.5E7F617B6BCF41CEB1E7BD9B748CBBE3.edm">#REF!</definedName>
    <definedName name="_bdm.5E917FD7221848AFB35D24480F4EC346.edm">#REF!</definedName>
    <definedName name="_bdm.5ED84A6FDDF74A13984CF836AC2B61A9.edm">#REF!</definedName>
    <definedName name="_bdm.5EE386060E11431C94266FE21A51ADB3.edm">#REF!</definedName>
    <definedName name="_bdm.5EE7843A8FCE42B0ADBF5FBD4707C67E.edm">#REF!</definedName>
    <definedName name="_bdm.5EF6CF1B8D7B482EBF6982650294B9C9.edm">#REF!</definedName>
    <definedName name="_bdm.5F552BAA91B545D7B75B3C6EB3136853.edm">#REF!</definedName>
    <definedName name="_bdm.5F8CC79D4FFE49289AD0A587599EE4A8.edm">#REF!</definedName>
    <definedName name="_bdm.61102D8B11A445608CA259250405ACB7.edm">#REF!</definedName>
    <definedName name="_bdm.61B73ABCE71B4C0DB8886E2091A98C0A.edm">#REF!</definedName>
    <definedName name="_bdm.61E1F0AD82274477BCF41D5ECFC8A1DB.edm">#REF!</definedName>
    <definedName name="_bdm.623B059E76514313BEA9E83309A5D195.edm">#REF!</definedName>
    <definedName name="_bdm.635BC897BE9843D6A2C05F29B3D114D3.edm">#REF!</definedName>
    <definedName name="_bdm.6380020DCF3E4F1E8795C087F5D10473.edm">#REF!</definedName>
    <definedName name="_bdm.647151F8AC1D418B96CE9ACA6EA1BDA2.edm">#REF!</definedName>
    <definedName name="_bdm.649B937CA2CE47C0825D713FBE81C25E.edm">#REF!</definedName>
    <definedName name="_bdm.6543244057494E7FB7DC05E459CCCDF8.edm">#REF!</definedName>
    <definedName name="_bdm.655D6BD401844556A20A2515CD7C86D2.edm">#REF!</definedName>
    <definedName name="_bdm.6585FA7BEF4A47D4B23D11F023F3688E.edm">#REF!</definedName>
    <definedName name="_bdm.65A096E432FC43AD868EC1545AD140BD.edm">#REF!</definedName>
    <definedName name="_bdm.65E9893C9AEA48F0901FED60F2EBCD47.edm">#REF!</definedName>
    <definedName name="_bdm.65f5c880e902405091df26ee32ec2013.edm">#REF!</definedName>
    <definedName name="_bdm.65F71FA2EA89473EB011323DADD6A056.edm">#REF!</definedName>
    <definedName name="_bdm.66B8A86AA38B4D169352E2FDFDAA0D09.edm">#REF!</definedName>
    <definedName name="_bdm.6738E237911843BE86AA9568F2C02915.edm">#REF!</definedName>
    <definedName name="_bdm.6757656113bb402f8aedebb4a84ea85c.edm">#REF!</definedName>
    <definedName name="_bdm.67AB1D9CDB5C4FD39F333BB0BBA820CE.edm">#REF!</definedName>
    <definedName name="_bdm.680534A8CE05489CAF305B50B8D9395C.edm">#REF!</definedName>
    <definedName name="_bdm.68569DC481304279902D3AC0D5D9DD16.edm">#REF!</definedName>
    <definedName name="_bdm.688FA7F28CC145838B3AF2B523E24F84.edm">#REF!</definedName>
    <definedName name="_bdm.68C63F4515314BF89862B5A20C1BD7F8.edm">#REF!</definedName>
    <definedName name="_bdm.6AA1CB96E50A4249B1FA1F87775772CB.edm">#REF!</definedName>
    <definedName name="_bdm.6B1083DFED3F42049C2E612CF735134F.edm">#REF!</definedName>
    <definedName name="_bdm.6BBB01F3CA2D4391930ED58472ABB475.edm">#REF!</definedName>
    <definedName name="_bdm.6C11E49A487B49DFBA9A2D782D814CD2.edm">#REF!</definedName>
    <definedName name="_bdm.6C1DD4364C5149E88F3B7F6ACC85440F.edm">#REF!</definedName>
    <definedName name="_bdm.6C5152912D93404CB7937EECADAB8826.edm">#REF!</definedName>
    <definedName name="_bdm.6C9AD2AC67A84208A8CA59D3DE1915B0.edm">#REF!</definedName>
    <definedName name="_bdm.6CF948DFF4CA4E74B9226183938ACDB6.edm">#REF!</definedName>
    <definedName name="_bdm.6D226D07072145F4B2F572D6CDF93C59.edm">#REF!</definedName>
    <definedName name="_bdm.6D616DD3E3B04BC88CD244C1D767D326.edm">#REF!</definedName>
    <definedName name="_bdm.6DCD09F061A44E1CAEA41A4ED973FCA6.edm">#REF!</definedName>
    <definedName name="_bdm.6E335960AD864D5DBCE5A9EF680D2930.edm">#REF!</definedName>
    <definedName name="_bdm.6F293C089D8142B884F0CD85FDA52A46.edm">#REF!</definedName>
    <definedName name="_bdm.6F44DF6EBF3D4432A71DF03D4DA26537.edm">#REF!</definedName>
    <definedName name="_bdm.700CE76222FF47CF9F426F464056CB07.edm">#REF!</definedName>
    <definedName name="_bdm.700D6C18EBFE42EEBB78792BB32CADED.edm">#REF!</definedName>
    <definedName name="_bdm.70144F2FA49F4CD09CAD94C7CEE88DDB.edm">#REF!</definedName>
    <definedName name="_bdm.70930C9F803E41C7B33643D2957FFFD2.edm">#REF!</definedName>
    <definedName name="_bdm.71047B4328BD449B96F3D3D8F0BA4BF4.edm">#REF!</definedName>
    <definedName name="_bdm.71B1E071896743469A68D740D659FF2D.edm">#REF!</definedName>
    <definedName name="_bdm.71CFBF43E6884A81856572108D06B66F.edm">#REF!</definedName>
    <definedName name="_bdm.71E778345FB6478BBFF343FCAFC083EA.edm">#REF!</definedName>
    <definedName name="_bdm.71E9769D67644132B847A885083CD694.edm">#REF!</definedName>
    <definedName name="_bdm.7260F40786394460BA3BB3B689E34C81.edm">#REF!</definedName>
    <definedName name="_bdm.726808AF6ACB495FA1B21036DFA75F1F.edm">#REF!</definedName>
    <definedName name="_bdm.72934129B329455ABD5822AD0C713752.edm">#REF!</definedName>
    <definedName name="_bdm.72E85C467477469DA54600FABA32AC9A.edm">#REF!</definedName>
    <definedName name="_bdm.7375F0F69CE749CAA94EA1A37468EF2F.edm">#REF!</definedName>
    <definedName name="_bdm.73C1AA7E756346319E5E8F596A6887AA.edm">#REF!</definedName>
    <definedName name="_bdm.740B54656D9D45B09E13C2C5913CB5A3.edm">#REF!</definedName>
    <definedName name="_bdm.74269881E2794903AFC15C22C2C9D694.edm">#REF!</definedName>
    <definedName name="_bdm.744511281D1F486D82248BE59E6E2295.edm">#REF!</definedName>
    <definedName name="_bdm.74B19A7D3BA04AB3BC8C6B72722DF942.edm">#REF!</definedName>
    <definedName name="_bdm.74D84D6F13154D35A410C46EA6D0D6D7.edm">#REF!</definedName>
    <definedName name="_bdm.753ED9B1FED44FFBB388B7509BF06C97.edm">#REF!</definedName>
    <definedName name="_bdm.757ADFFFDF1A4B06B02526052279A658.edm">#REF!</definedName>
    <definedName name="_bdm.75AEB8ED3BB74DDAAF13881E19CF0474.edm">#REF!</definedName>
    <definedName name="_bdm.75B01926043541D1A6556368F1C63207.edm">#REF!</definedName>
    <definedName name="_bdm.76277BC5D83F4188A178A6A54D358AF1.edm">#REF!</definedName>
    <definedName name="_bdm.763145F7396F459B824F842673004DA8.edm">#REF!</definedName>
    <definedName name="_bdm.76CB26C38BD6425B8EF13D4F9F050D8C.edm">#REF!</definedName>
    <definedName name="_bdm.76EF9D4CBEBF4857A0B790A18E2BDF53.edm">#REF!</definedName>
    <definedName name="_bdm.772FC7347F12488C9B6F749FB5AE5A1B.edm">#REF!</definedName>
    <definedName name="_bdm.77CA350A03D2489DBB902CDB2CC7E9F3.edm">#REF!</definedName>
    <definedName name="_bdm.77E3DB1B6A6448A88B71EC33708EDC78.edm">#REF!</definedName>
    <definedName name="_bdm.77FD22E7B14C4EE3853B7BCADC5859B5.edm">#REF!</definedName>
    <definedName name="_bdm.7815160B305D4DC499B60802F206A98E.edm">#REF!</definedName>
    <definedName name="_bdm.78AFE9E80B0D4AFF8C04381071A38851.edm">#REF!</definedName>
    <definedName name="_bdm.78B77DCD689A43EC883A79537C2E8408.edm">#REF!</definedName>
    <definedName name="_bdm.78E2B1240B8B42A39971554EB5AC247F.edm">#REF!</definedName>
    <definedName name="_bdm.79048CB2734E42A1813A19AF346D6F3B.edm">#REF!</definedName>
    <definedName name="_bdm.79080FA8B1DB44C2BDDC6DA897E8B8FB.edm">#REF!</definedName>
    <definedName name="_bdm.796A1D7F51DA47928C5BC4E8DD3CAE6E.edm">#REF!</definedName>
    <definedName name="_bdm.7971B93021B648BEB0A06E2E251756CA.edm">#REF!</definedName>
    <definedName name="_bdm.7ABDAB9DEE104EC69DB66AABDE154025.edm">#REF!</definedName>
    <definedName name="_bdm.7ADB198E0E4A4666B940CD69BA2D0A9E.edm">#REF!</definedName>
    <definedName name="_bdm.7B007940329849568FF8B2D44B9C4B13.edm">#REF!</definedName>
    <definedName name="_bdm.7B2A4F94A9FB4CD286C0FF23443B9184.edm">#REF!</definedName>
    <definedName name="_bdm.7B72BC9772534DBAA04B19095EDF540A.edm">#REF!</definedName>
    <definedName name="_bdm.7BF116DE38A64470B4E18265DDE92DC0.edm">#REF!</definedName>
    <definedName name="_bdm.7C350B6A981F4654BBF9123071309DBC.edm">#REF!</definedName>
    <definedName name="_bdm.7C94300BA80D11D6B6520010A48BFF38.edm">#REF!</definedName>
    <definedName name="_bdm.7D32BE19AC494B549B6C3D157F92E7BC.edm">#REF!</definedName>
    <definedName name="_bdm.7D7CA2623B74404EA728F9A524B65275.edm">#REF!</definedName>
    <definedName name="_bdm.7DC45D46BFBA47EFA1384C0D9AA597D1.edm">#REF!</definedName>
    <definedName name="_bdm.7E4E9ED049944762B1E1446F419D3371.edm">#REF!</definedName>
    <definedName name="_bdm.7E9045F23A4A4387A1A033AA4DB4FA53.edm">#REF!</definedName>
    <definedName name="_bdm.7EA75D0FD727457B9DBD4029392A3988.edm">#REF!</definedName>
    <definedName name="_bdm.7ED7BE0688BA464BA57B5C4A8FE429E8.edm">#REF!</definedName>
    <definedName name="_bdm.7EFABF4C0CF34F85835F270EEF142470.edm">#REF!</definedName>
    <definedName name="_bdm.7F3A9061895447DB9058180F98AECD45.edm">#REF!</definedName>
    <definedName name="_bdm.7F96D57FCE974A7F816D1035820FC6FF.edm">#REF!</definedName>
    <definedName name="_bdm.7F9D65EB4F634FE386D841548C4F6662.edm">#REF!</definedName>
    <definedName name="_bdm.7FFD65134049474BB1DB10BEBAFDF686.edm">#REF!</definedName>
    <definedName name="_bdm.80340559CE674F58943D8E7EC86DBA4F.edm">#REF!</definedName>
    <definedName name="_bdm.803667C105C14884B5A6CB9298713468.edm">#REF!</definedName>
    <definedName name="_bdm.8043F0BD9A1C4FABB215706D483A2907.edm">#REF!</definedName>
    <definedName name="_bdm.806E1688796F40A79ED47C192C17E994.edm">#REF!</definedName>
    <definedName name="_bdm.8087E9509BB547ACA7CD1DC3EEB6AE2A.edm">#REF!</definedName>
    <definedName name="_bdm.808A054521A449C8A9C65357D3517844.edm">#REF!</definedName>
    <definedName name="_bdm.80B23A37468B40B3894A27D4E20E72C4.edm">#REF!</definedName>
    <definedName name="_bdm.81009E44167944CAA0BAA27E4A5B2B15.edm">#REF!</definedName>
    <definedName name="_bdm.812B793BB2D743E6AC0EA96108BF0DE8.edm">#REF!</definedName>
    <definedName name="_bdm.81B98AF251F547F2913ED60757F76F6A.edm">#REF!</definedName>
    <definedName name="_bdm.81FB209497BA45E7AB24CCFA0C852650.edm">#REF!</definedName>
    <definedName name="_bdm.825A168FEFD04A8F8A006E8776F72876.edm">#REF!</definedName>
    <definedName name="_bdm.82644e32cd9d433fb0685aa6af1599b5.edm">#REF!</definedName>
    <definedName name="_bdm.82FEBB8AB6FA44BC9364E61EE0F6DE18.edm">#REF!</definedName>
    <definedName name="_bdm.83444DA71B124E30BDFC416C3C835D58.edm">#REF!</definedName>
    <definedName name="_bdm.8372421BE5D44EDF89E2D3D330DBFA5B.edm">#REF!</definedName>
    <definedName name="_bdm.8372D10CAC804846BD34EC30978F6C1C.edm">#REF!</definedName>
    <definedName name="_bdm.838667AEA1FD44689ED08B69BB61CF61.edm">#REF!</definedName>
    <definedName name="_bdm.83AA3AC1FEB341A08D72C8E047045D19.edm">#REF!</definedName>
    <definedName name="_bdm.83CA9AD602FB4D3ABB7ED5D3FB732AD0.edm">#REF!</definedName>
    <definedName name="_bdm.846E67F585EE4A99BEB90DAF644281FF.edm">#REF!</definedName>
    <definedName name="_bdm.84dd219bd63c474aa79a6168ad2c40fd.edm">#REF!</definedName>
    <definedName name="_bdm.851B0A84FA2F419B9A21519BEDEE7FAB.edm">#REF!</definedName>
    <definedName name="_bdm.8554FA1A9E944FBFA056947C73EE3839.edm">#REF!</definedName>
    <definedName name="_bdm.860D46D5746E4B04AAA16BB5C9974A1A.edm">#REF!</definedName>
    <definedName name="_bdm.86667C793907441EB8B9B5BC538530F8.edm">#REF!</definedName>
    <definedName name="_bdm.874D473845384134872618403C31B1CF.edm">#REF!</definedName>
    <definedName name="_bdm.881C11335FC4476E8AD892C6D69EC4D8.edm">#REF!</definedName>
    <definedName name="_bdm.889B0C01A12B4C6893AFBB1E367DFF55.edm">#REF!</definedName>
    <definedName name="_bdm.88B23E70B2044083B53316922D490B0D.edm">#REF!</definedName>
    <definedName name="_bdm.88DFEC77CFBB4956834BC715FC05200D.edm">#REF!</definedName>
    <definedName name="_bdm.8994A2262DB3490A825212D66E5B6AD4.edm">#REF!</definedName>
    <definedName name="_bdm.8A37F7BF932F488C803F2326E7B830DE.edm">#REF!</definedName>
    <definedName name="_bdm.8A58D70CE9E04F22AF55BE5F040CFC67.edm">#REF!</definedName>
    <definedName name="_bdm.8B68549E7C8A405CB2968E11CC5540F3.edm">#REF!</definedName>
    <definedName name="_bdm.8B6A3F9B66334120804DB28EE2982DEA.edm">#REF!</definedName>
    <definedName name="_bdm.8B9B833431AA4D65A2A6F6832141FD7A.edm">#REF!</definedName>
    <definedName name="_bdm.8ba6d6dd72f84587be894945e6a9a185.edm">#REF!</definedName>
    <definedName name="_bdm.8BE8657FD1664D5BAF4626DEDB21FCFB.edm">#REF!</definedName>
    <definedName name="_bdm.8BFE33F0D91B4D5EB60269CC7CE8D37F.edm">#REF!</definedName>
    <definedName name="_bdm.8C3F0375701C46E09FE4C0662E62C932.edm">#REF!</definedName>
    <definedName name="_bdm.8CA890C3C511490D9571DC07174EB172.edm">#REF!</definedName>
    <definedName name="_bdm.8D001EFA365C40EBA3BD37464EBE3009.edm">#REF!</definedName>
    <definedName name="_bdm.8D1848696CCC4472B9D72219F515442F.edm">#REF!</definedName>
    <definedName name="_bdm.8D7C809E256D488EA330D7C849FFFD49.edm">#REF!</definedName>
    <definedName name="_bdm.8E05A6813FB9457FB1919E93413997E8.edm">#REF!</definedName>
    <definedName name="_bdm.8E6D06A125CF4280A14F77DC091CFA46.edm">#REF!</definedName>
    <definedName name="_bdm.8E6E416A89D844B483D55AA34621A1C1.edm">#REF!</definedName>
    <definedName name="_bdm.8E84CAABAB7A4B8C884E144EE1881604.edm">#REF!</definedName>
    <definedName name="_bdm.8F5E432711154DF89A2440207F98B07D.edm">#REF!</definedName>
    <definedName name="_bdm.8FA45EF3DE484EFC80A91D53E94A6FC4.edm">#REF!</definedName>
    <definedName name="_bdm.8FF3BF171E2349979CB11B4E3239B0E3.edm">#REF!</definedName>
    <definedName name="_bdm.900FAFBE062C4143884C3880BD866466.edm">#REF!</definedName>
    <definedName name="_bdm.908CC2BEE0FD40A8BAC88CD666A29E28.edm">#REF!</definedName>
    <definedName name="_bdm.91A9B6216FF246DE9F7390A097A5DEFD.edm">#REF!</definedName>
    <definedName name="_bdm.91B0A1BC063546C185F76391A23C3F5E.edm">#REF!</definedName>
    <definedName name="_bdm.91CD4DEC29C049BD929A8110F777B566.edm">#REF!</definedName>
    <definedName name="_bdm.92795785E4A448FF93C8CA5E7DF7820B.edm">#REF!</definedName>
    <definedName name="_bdm.93534DCDE7F84B34A15A3C2D09A84478.edm">#REF!</definedName>
    <definedName name="_bdm.93DB1232D03B485288E2DB96D9E2415C.edm">#REF!</definedName>
    <definedName name="_bdm.9430A34B85B64251B77A8AAED9A8C014.edm">#REF!</definedName>
    <definedName name="_bdm.9451B8A5E33849F48B8FB53A7237E6CE.edm">#REF!</definedName>
    <definedName name="_bdm.946A1633B4E0459E960544966A1DF6CB.edm">#REF!</definedName>
    <definedName name="_bdm.95285EC446A34A5B8C69CB60FB4BFECF.edm">#REF!</definedName>
    <definedName name="_bdm.952DC289B2D3435CA7FB937CFE80C520.edm">#REF!</definedName>
    <definedName name="_bdm.966ff0f366ed4398b27e77ab09ac2bfa.edm">#REF!</definedName>
    <definedName name="_bdm.968E9260F5DF4235ABC2659F30C599F1.edm">#REF!</definedName>
    <definedName name="_bdm.96E97136D6804888A1E017620DB84BC9.edm">#REF!</definedName>
    <definedName name="_bdm.96F2B8722D9A4B43AC3D9981DC509338.edm">#REF!</definedName>
    <definedName name="_bdm.96FD6FE2BA574AF8B2C778C0ADD1FE07.edm">#REF!</definedName>
    <definedName name="_bdm.970AEAF2A7014448AA135C7EA1B8D7EA.edm">#REF!</definedName>
    <definedName name="_bdm.972FCC2A942F45C8B2287294A5EA6590.edm">#REF!</definedName>
    <definedName name="_bdm.977DE76EE615477883A9CBBD77A681C2.edm">#REF!</definedName>
    <definedName name="_bdm.9787714A260E4A78812ECC5CE83E4B9D.edm">#REF!</definedName>
    <definedName name="_bdm.983AC8FF6A984882AED2CBB174642E2F.edm">#REF!</definedName>
    <definedName name="_bdm.98509675FE304640BD0099E41768A4DB.edm">#REF!</definedName>
    <definedName name="_bdm.98A6FF5E6E104127A4B3CE93863956AF.edm">#REF!</definedName>
    <definedName name="_bdm.98CDF015E8FE4315B61B3BFE13898812.edm">#REF!</definedName>
    <definedName name="_bdm.98DA668A90F240D591C2ACEFE834E487.edm">#REF!</definedName>
    <definedName name="_bdm.991A663BE1BA4CE6916986AE15E5C2FE.edm">#REF!</definedName>
    <definedName name="_bdm.99388E34D13C47428C937D48E1DDEECF.edm">#REF!</definedName>
    <definedName name="_bdm.994160C5841248FC97422355A618AF07.edm">#REF!</definedName>
    <definedName name="_bdm.997D0773D7274E3096BACC8A89539443.edm">#REF!</definedName>
    <definedName name="_bdm.99FC09CB430E4DBEAE5223ACBE146E9E.edm">#REF!</definedName>
    <definedName name="_bdm.9A96A80E039F407A9B76BADFF53BDFEF.edm">#REF!</definedName>
    <definedName name="_bdm.9AA6758088BE4FE2B40ED5340E3EC9C2.edm">#REF!</definedName>
    <definedName name="_bdm.9BADCEA73A6E48AEB91538861763BC47.edm">#REF!</definedName>
    <definedName name="_bdm.9BB88B99999244E8AFD51A5DA182BAD2.edm">#REF!</definedName>
    <definedName name="_bdm.9BD899F281E749FDADCE93768ECC63B3.edm">#REF!</definedName>
    <definedName name="_bdm.9C8876C5F2F944A48FA5B41955C926C2.edm">#REF!</definedName>
    <definedName name="_bdm.9CCCBD048AD84D48BA0F9D3A84928913.edm">#REF!</definedName>
    <definedName name="_bdm.9CDC35CDB7B143079762F320F757C403.edm">#REF!</definedName>
    <definedName name="_bdm.9D4509913E354D95983F285763A51F4E.edm">#REF!</definedName>
    <definedName name="_bdm.9D4AB493B9BB46D6B67B0933691CC39D.edm">#REF!</definedName>
    <definedName name="_bdm.9D576385AB334E0F91FC7FB7CEA21807.edm">#REF!</definedName>
    <definedName name="_bdm.9DF14E571924492AA6EC045C79DCA90C.edm">#REF!</definedName>
    <definedName name="_bdm.9DFC858430DE44A69F8B0F8CFB53FFA6.edm">#REF!</definedName>
    <definedName name="_bdm.9E42FEEF1A1D4DC3BB4C1571292555E5.edm">#REF!</definedName>
    <definedName name="_bdm.9E50B697BB1D4F1C96F0454AC0493EF5.edm">#REF!</definedName>
    <definedName name="_bdm.9E97F54CA7D445A8B37B4C103D293537.edm">#REF!</definedName>
    <definedName name="_bdm.9EA6DE0CADDB4633933E62BD5A305EFC.edm">#REF!</definedName>
    <definedName name="_bdm.9EAECDBD8291451D98EA4C42080A6B70.edm">#REF!</definedName>
    <definedName name="_bdm.9ECB63A12E9F4B9C88C18E0F4ACCFD11.edm">#REF!</definedName>
    <definedName name="_bdm.9EE864F35C8D494894CE310B148B0446.edm">#REF!</definedName>
    <definedName name="_bdm.9F53E5BEC27A4BCA9895CE2419015102.edm">#REF!</definedName>
    <definedName name="_bdm.A00643E6A705476084A5F584F5934ED2.edm">#REF!</definedName>
    <definedName name="_bdm.A04B5F0ECAF34EDFA78BA62339D53B48.edm">#REF!</definedName>
    <definedName name="_bdm.A0783238DD414C05A2DAF7E86F0C01E6.edm">#REF!</definedName>
    <definedName name="_bdm.A0B6C061B6A84636A94A364A84319E9E.edm">#REF!</definedName>
    <definedName name="_bdm.A0CF1E1AB8854812B17287BF503A80D2.edm">#REF!</definedName>
    <definedName name="_bdm.A1189DBD73734B6AB6932B6F2CBECC68.edm">#REF!</definedName>
    <definedName name="_bdm.A18B1720385046DDB818A6A005FE2B0E.edm">#REF!</definedName>
    <definedName name="_bdm.A19BD2EDEAA34E56A8BB4CFDAC711D1B.edm">#REF!</definedName>
    <definedName name="_bdm.A1C2283F55E445F4B852F9A326BF8D5D.edm">#REF!</definedName>
    <definedName name="_bdm.A2C1A5060C6344E1A582BAD5AE6EF53D.edm">#REF!</definedName>
    <definedName name="_bdm.A3033EE320BC4450B9123164230A7F12.edm">#REF!</definedName>
    <definedName name="_bdm.A314FCD00A0641C9BFAF4DC35D124EA9.edm">#REF!</definedName>
    <definedName name="_bdm.A3223C89CB2D4AEFBFB65F1BC98EDEF0.edm">#REF!</definedName>
    <definedName name="_bdm.A4C2FE39322F4A2B912B61ED693BB84A.edm">#REF!</definedName>
    <definedName name="_bdm.A5079CC3AD6E11D6B69B0010A4860669.edm">#REF!</definedName>
    <definedName name="_bdm.A51FF886F36547B7A0E6590859ACFA18.edm">#REF!</definedName>
    <definedName name="_bdm.A551AD7B7926449CA18B96716283F8F4.edm">#REF!</definedName>
    <definedName name="_bdm.A57B1B15D3684455B41C3B30F2FA8322.edm">#REF!</definedName>
    <definedName name="_bdm.A5ACD67A37814D1AB59C856D8B6F2DF0.edm">#REF!</definedName>
    <definedName name="_bdm.A76B119490E54F00983296FEEFBBDCAC.edm">#REF!</definedName>
    <definedName name="_bdm.A77C880E8FBE441C95CE3F92DFDF6336.edm">#REF!</definedName>
    <definedName name="_bdm.A7A73E42F58044DCA8CC1BC2962803EA.edm">#REF!</definedName>
    <definedName name="_bdm.A7DD30D910CB4CFBADF15377C889C8EE.edm">#REF!</definedName>
    <definedName name="_bdm.A8125A31048E4CE5A9E7FFED3A6EEC7B.edm">#REF!</definedName>
    <definedName name="_bdm.A835AB8BC6DC49ACA93174F81142BACB.edm">#REF!</definedName>
    <definedName name="_bdm.A852CDBA55C94BB49B9292C47B481E06.edm">#REF!</definedName>
    <definedName name="_bdm.A8A818CA55D4428CA7651D1B1A0C717C.edm">#REF!</definedName>
    <definedName name="_bdm.A8E3766A1B2B4EA9AEAFFC1FD6183D2A.edm">#REF!</definedName>
    <definedName name="_bdm.A925713FD6974631AA09CBF6E79DD493.edm">#REF!</definedName>
    <definedName name="_bdm.A9433F36D27E42998843D0702B3398CD.edm">#REF!</definedName>
    <definedName name="_bdm.A9871BF2BE2B4D63BDF520FE1BB25892.edm">#REF!</definedName>
    <definedName name="_bdm.A9B7A2454E0149F8A41C141A8FE2B3FD.edm">#REF!</definedName>
    <definedName name="_bdm.A9E8F2214015449F99BBFDAC629C22DB.edm">#REF!</definedName>
    <definedName name="_bdm.AA2F5D92684B4EDBBC19B7EB7B3EA5D5.edm">#REF!</definedName>
    <definedName name="_bdm.AA849B5610244B71A817077A2D1B9250.edm">#REF!</definedName>
    <definedName name="_bdm.AB0EED42CDB442E78F09BE45F4535AF7.edm">#REF!</definedName>
    <definedName name="_bdm.AB3A026D80A344D8B3CEA63EF9C311E0.edm">#REF!</definedName>
    <definedName name="_bdm.AB52415298E34F85B048D5AB77972B60.edm">#REF!</definedName>
    <definedName name="_bdm.AB94E62955764CA8B3FD975E83039AAE.edm">#REF!</definedName>
    <definedName name="_bdm.ABB7F168219D4287982D28A39DE34188.edm">#REF!</definedName>
    <definedName name="_bdm.ABC0E05734364F228197C083E55B7183.edm">#REF!</definedName>
    <definedName name="_bdm.ABEC84C526B949799B82019B446CC74C.edm">#REF!</definedName>
    <definedName name="_bdm.AC7E3E5F84EC4B798DC9D5ED496E6C5C.edm">#REF!</definedName>
    <definedName name="_bdm.ACA6B6C51E7C4BFDA72443FD51E3D70F.edm">#REF!</definedName>
    <definedName name="_bdm.ACD1318250C646278A1B8793AA30831A.edm">#REF!</definedName>
    <definedName name="_bdm.ACE5D4193D3F4447AFC1C813980EFA99.edm">#REF!</definedName>
    <definedName name="_bdm.AD3A6C0BAC68459FBE3975DC620D8C90.edm">#REF!</definedName>
    <definedName name="_bdm.AD6766E08FCB467E8B669B40D877B929.edm">#REF!</definedName>
    <definedName name="_bdm.AD6F5036FF634A19B0E910CBFD64E556.edm">#REF!</definedName>
    <definedName name="_bdm.ADE63A88559244DBA6492ADE6B9297B3.edm">#REF!</definedName>
    <definedName name="_bdm.AE1FBA0B0FC3485188EF8DE68C4F97C3.edm">#REF!</definedName>
    <definedName name="_bdm.AE50EFB30B3B42A1A2BA2B5658415FFF.edm">#REF!</definedName>
    <definedName name="_bdm.AEDF57C973344E1FA2C83B10D5384341.edm">#REF!</definedName>
    <definedName name="_bdm.AF462FD92A954B7B8B38891685DCD1AF.edm">#REF!</definedName>
    <definedName name="_bdm.B003080D17D740D5902F2C483255248E.edm">#REF!</definedName>
    <definedName name="_bdm.B05D128810904C918C8D565042356000.edm">#REF!</definedName>
    <definedName name="_bdm.B0CFD1EEA380419BA2C53B03448D1285.edm">#REF!</definedName>
    <definedName name="_bdm.B0E1F73202C9448BAE57B95C00D10932.edm">#REF!</definedName>
    <definedName name="_bdm.B129682F75944FF4A259464228B6BE06.edm">#REF!</definedName>
    <definedName name="_bdm.B2D510CA9F4046BBB4A7D628DEB06DE9.edm">#REF!</definedName>
    <definedName name="_bdm.B368E7FD7E85416DA2815D46A8D98C9E.edm">#REF!</definedName>
    <definedName name="_bdm.B3FB7BFCF8C24F9B80738015F477FA7D.edm">#REF!</definedName>
    <definedName name="_bdm.B4304459C934450E80E1E1C187C23A17.edm">#REF!</definedName>
    <definedName name="_bdm.B504EC076CD2407CAECA180FE1447EB2.edm">#REF!</definedName>
    <definedName name="_bdm.B51D83D636944025A1996FE016F852F1.edm">#REF!</definedName>
    <definedName name="_bdm.B5419FC1BD3848A6800EA796C5C0EF2E.edm">#REF!</definedName>
    <definedName name="_bdm.B5475DECE13D4ED8AE13A2DEC5D5070F.edm">#REF!</definedName>
    <definedName name="_bdm.B5DCC29E4AA54FBF9E84F0A67BE75DED.edm">#REF!</definedName>
    <definedName name="_bdm.B5E1CE290D664EC9908CE120B7DDB7AD.edm">#REF!</definedName>
    <definedName name="_bdm.B661B8E4D29B4E39BA6940BB45310199.edm">#REF!</definedName>
    <definedName name="_bdm.B70DF1CA325F4835B262185E36EFBCE5.edm">#REF!</definedName>
    <definedName name="_bdm.B7E7C50F3DAA4F209FDC7EAC95768391.edm">#REF!</definedName>
    <definedName name="_bdm.B829D7BA98114D4389ADE0392ED309DD.edm">#REF!</definedName>
    <definedName name="_bdm.B858ADD3FEAD431085F6D77CE87AF482.edm">#REF!</definedName>
    <definedName name="_bdm.B91BF0A48D364AFE9B706DF758CA7B5B.edm">#REF!</definedName>
    <definedName name="_bdm.B9B75D2E33A345B893E65C6068329B34.edm">#REF!</definedName>
    <definedName name="_bdm.B9FBECB379F246FFAB29680451152793.edm">#REF!</definedName>
    <definedName name="_bdm.B9FFD30AC47E45B392E551A210890006.edm">#REF!</definedName>
    <definedName name="_bdm.BA029BC5A1E84105A6FB8334F3A0A48A.edm">#REF!</definedName>
    <definedName name="_bdm.BA4AF58A6250465B80D5A147F295D4DE.edm">#REF!</definedName>
    <definedName name="_bdm.BA759280F5E749B5B422ACEA85F12DF4.edm">#REF!</definedName>
    <definedName name="_bdm.BAD6C29E8737480DA74326892A123810.edm">#REF!</definedName>
    <definedName name="_bdm.BAD6FB61E89F4B799406FDFB2C353231.edm">#REF!</definedName>
    <definedName name="_bdm.BB59D91C713F4EF0A0FA009876D4F048.edm">#REF!</definedName>
    <definedName name="_bdm.BB669183FA794AD6844DAEFC5D5675B8.edm">#REF!</definedName>
    <definedName name="_bdm.BB7DC6374E7C4CE6BD20BF592C7B6176.edm">#REF!</definedName>
    <definedName name="_bdm.BC31C9F9A17546C895F2D41CA4BDD873.edm">#REF!</definedName>
    <definedName name="_bdm.BC43E0FCAF9D4C9AA7C6EA50D85C1843.edm">#REF!</definedName>
    <definedName name="_bdm.BD31A80AEEEA484CB8BF6204D87FC893.edm">#REF!</definedName>
    <definedName name="_bdm.BD3CE6CB961F42D59FC59FD09CF66939.edm">#REF!</definedName>
    <definedName name="_bdm.BD509C20E7EC48209EAF4412A90E9CC1.edm">#REF!</definedName>
    <definedName name="_bdm.BDA80911910C4026B63FC6D213F4306C.edm">#REF!</definedName>
    <definedName name="_bdm.BDB9018F394B4D619CA288E2B170F24A.edm">#REF!</definedName>
    <definedName name="_bdm.BE7B84AAC50542C7A8BCDCCD2EDFACF3.edm">#REF!</definedName>
    <definedName name="_bdm.BF464F28B96A47E2B498166B4439A886.edm">#REF!</definedName>
    <definedName name="_bdm.BF69873DCA9C4775BEBB9C8E753DAB46.edm">#REF!</definedName>
    <definedName name="_bdm.BFB0D280F20243D29535A15437E540DE.edm">#REF!</definedName>
    <definedName name="_bdm.BFB5B95A174842F4A8F2375A9FFDAEDC.edm">#REF!</definedName>
    <definedName name="_bdm.BFD21F3CFC0D47F0967226AE88C4E1AC.edm">#REF!</definedName>
    <definedName name="_bdm.BFD348C94CE74B9B948C48D10A79AB56.edm">#REF!</definedName>
    <definedName name="_bdm.C04F078FF77840BFB05B43A4DA79031A.edm">#REF!</definedName>
    <definedName name="_bdm.C0D40696085E49099831902D538DE4D4.edm">#REF!</definedName>
    <definedName name="_bdm.C0F0A83CF71B4EF7A3F488243567E385.edm">#REF!</definedName>
    <definedName name="_bdm.C0F5ADB39F4B4C2299A880C43395DBAF.edm">#REF!</definedName>
    <definedName name="_bdm.C14E0CEA9BE24FD1B59CC06D27D32BF9.edm">#REF!</definedName>
    <definedName name="_bdm.C194714595F14520AA52E6501AEC9C62.edm">#REF!</definedName>
    <definedName name="_bdm.C1BB772F57604D329D796EEDAA103B80.edm">#REF!</definedName>
    <definedName name="_bdm.C25894AE57854EF199FBC0310D46BF18.edm">#REF!</definedName>
    <definedName name="_bdm.C2C8C5053CD8452EA68B57871BA7BBC2.edm">#REF!</definedName>
    <definedName name="_bdm.C2D0D9ED5C0A4CAE96086187CE10C601.edm">#REF!</definedName>
    <definedName name="_bdm.C329B662A15941C58E38DE34A4509437.edm">#REF!</definedName>
    <definedName name="_bdm.C34CD0AF303B4E84A4FB7F97EA05F7A6.edm">#REF!</definedName>
    <definedName name="_bdm.C369FE745F514F6091E15AC591DEAB2E.edm">#REF!</definedName>
    <definedName name="_bdm.C37AC4F827AD41ABA71C377EC9647825.edm">#REF!</definedName>
    <definedName name="_bdm.C3E13177535448438E150830D06FAD0D.edm">#REF!</definedName>
    <definedName name="_bdm.C3F21CE8BDDD423AA1D66D034871EC24.edm">#REF!</definedName>
    <definedName name="_bdm.C4A2B53F49104E5CAC02F6530DE4A74A.edm">#REF!</definedName>
    <definedName name="_bdm.C536029E1F6240C5A53D97FB597D2083.edm">#REF!</definedName>
    <definedName name="_bdm.C538B819D8E7427D832EE9C7BFE7983A.edm">#REF!</definedName>
    <definedName name="_bdm.C55E5D6BA4EC441A91CA5BEEA4E16BF1.edm">#REF!</definedName>
    <definedName name="_bdm.C5DF5D8429054AF8BB36B6050ADD20A6.edm">#REF!</definedName>
    <definedName name="_bdm.C615DC9E36804957883962320CECCA09.edm">#REF!</definedName>
    <definedName name="_bdm.C61969384C984092BB8CD20982F6B3B6.edm">#REF!</definedName>
    <definedName name="_bdm.C666660578604CA39B400A527F6F47A4.edm">#REF!</definedName>
    <definedName name="_bdm.C6DF74AF76C345B5A36001E8585EFAA5.edm">#REF!</definedName>
    <definedName name="_bdm.C715D688370A4AF8A674CC65CF18CA24.edm">#REF!</definedName>
    <definedName name="_bdm.C7B3922953C6426985C1620C7A3C7EDA.edm">#REF!</definedName>
    <definedName name="_bdm.C7EBECEE16EF4F55A5512B680D8A6106.edm">#REF!</definedName>
    <definedName name="_bdm.C8003552E7AD4B88B87D1409C3D9B12E.edm">#REF!</definedName>
    <definedName name="_bdm.C83AD97D91A14FE4A1D7DFE0A8040554.edm">#REF!</definedName>
    <definedName name="_bdm.C9299FEDDF42425C8DAF9E49F55C46C4.edm">#REF!</definedName>
    <definedName name="_bdm.C9AAEF808D554CA5B53246E5731D102F.edm">#REF!</definedName>
    <definedName name="_bdm.C9AD573F369B417FB0A17E768B32D2A8.edm">#REF!</definedName>
    <definedName name="_bdm.C9AFE5FFD654455C92E8D7279C9DF168.edm">#REF!</definedName>
    <definedName name="_bdm.CA2B34821C524FC8842C506A7BF0F92E.edm">#REF!</definedName>
    <definedName name="_bdm.CAAD75B892744DA7A396804116BF19C2.edm">#REF!</definedName>
    <definedName name="_bdm.CBE87296C97E401A85A42DB239E23049.edm">#REF!</definedName>
    <definedName name="_bdm.CBFB8A1EAADB4C03967C11F4944256E4.edm">#REF!</definedName>
    <definedName name="_bdm.CC0A8C22187A4749BFC5C831E452E224.edm">#REF!</definedName>
    <definedName name="_bdm.CCA03FF33CD943F9BFEF286D55E7B2A5.edm">#REF!</definedName>
    <definedName name="_bdm.CCD8AD3B631F4A879E68F4BB562DE6FF.edm">#REF!</definedName>
    <definedName name="_bdm.CCEF8C99A5964846BC975EE0AA416535.edm">#REF!</definedName>
    <definedName name="_bdm.CD64EA5757A64666A9756C01B63EF22A.edm">#REF!</definedName>
    <definedName name="_bdm.CD7973B02F534A888A7F14E92AE7E578.edm">#REF!</definedName>
    <definedName name="_bdm.CE1C09E278CA40B1A1CB878D1D9242A9.edm">#REF!</definedName>
    <definedName name="_bdm.CE65FEFB1AF94A499F3851F0CD9DF90F.edm">#REF!</definedName>
    <definedName name="_bdm.CEBB6A14528F448289D542FA3717CAF3.edm">#REF!</definedName>
    <definedName name="_bdm.CEC0F940E8D4451E98704F56CE36EA9A.edm">#REF!</definedName>
    <definedName name="_bdm.CF26F181CFB149089A150B6E9984E88F.edm">#REF!</definedName>
    <definedName name="_bdm.CF8AEAF52A8A4887A0B828A298C40612.edm">#REF!</definedName>
    <definedName name="_bdm.D020ED2ECE4848F485BACF3A6601FA25.edm">#REF!</definedName>
    <definedName name="_bdm.D0B59BE390984049A77EF5F017F9A8D0.edm">#REF!</definedName>
    <definedName name="_bdm.D14BB958E5884CC19D1A1FE85E27CABC.edm">#REF!</definedName>
    <definedName name="_bdm.D174AC55E4F14A4BBA682A81C2CBB872.edm">#REF!</definedName>
    <definedName name="_bdm.D1FE6606321A4E308AF1787067A8C814.edm">#REF!</definedName>
    <definedName name="_bdm.D3CD2003F1864916AA37FCD55AFA3A9F.edm">#REF!</definedName>
    <definedName name="_bdm.D41457ED29A0432B9E96210775CD9097.edm">#REF!</definedName>
    <definedName name="_bdm.D43A6B2A947B4EA9A42335B05D28E8EB.edm">#REF!</definedName>
    <definedName name="_bdm.D47CA4D0B4494CBB8F50F6DBC51AD730.edm">#REF!</definedName>
    <definedName name="_bdm.D4A2FC8DB31A4C018801E6E77AC77E3A.edm">#REF!</definedName>
    <definedName name="_bdm.D5A970840F704505A3314E3C89E9F83C.edm">#REF!</definedName>
    <definedName name="_bdm.D5B1E2FC6DC04B23AF42330FF5BAC9C5.edm">#REF!</definedName>
    <definedName name="_bdm.D5E561EBD92B4887A1BB5A944ECDBDFA.edm">#REF!</definedName>
    <definedName name="_bdm.D5FAA374367241959C322560ED7F8A37.edm">#REF!</definedName>
    <definedName name="_bdm.d652015ca7324b21b6fa7510e880a497.edm">#REF!</definedName>
    <definedName name="_bdm.D6667D3414094EF49E6E129FEA8586E5.edm">#REF!</definedName>
    <definedName name="_bdm.D669BDCB369146119FC3EE688C5B9598.edm">#REF!</definedName>
    <definedName name="_bdm.D6F5CF6F8045429480DDCE6E0FB4CF8A.edm">#REF!</definedName>
    <definedName name="_bdm.D824635185544CA1AF896F102368FB62.edm">#REF!</definedName>
    <definedName name="_bdm.D83EFA7232ED469280D48891B256A74F.edm">#REF!</definedName>
    <definedName name="_bdm.D884E0F5D4CB417BA25162F104D3CB10.edm">#REF!</definedName>
    <definedName name="_bdm.D99215FCF77045E0B1004579D0884371.edm">#REF!</definedName>
    <definedName name="_bdm.D9D59AD56CFF4BD89A6E086EB6830B78.edm">#REF!</definedName>
    <definedName name="_bdm.D9E6F7E2FBDB4FF6A6D632BFBE3A1A0F.edm">#REF!</definedName>
    <definedName name="_bdm.DA2B51307DCF40FBB7EA50C3DAF39D37.edm">#REF!</definedName>
    <definedName name="_bdm.DA40FBE9A21F45CAAF44C89D86D767E0.edm">#REF!</definedName>
    <definedName name="_bdm.DA456E79736A4781ACAE43D8F1858BB0.edm">#REF!</definedName>
    <definedName name="_bdm.DB4675DE840C40549DB02FFA7A37A90B.edm">#REF!</definedName>
    <definedName name="_bdm.DB90E7AC81D6440C96E6B64E1FCB702B.edm">#REF!</definedName>
    <definedName name="_bdm.DBBDCCA241AB4CDBA0A2926762898DB0.edm">#REF!</definedName>
    <definedName name="_bdm.DBDDCE6D291340DFA73C1EAB7ABAD6AE.edm">#REF!</definedName>
    <definedName name="_bdm.DBED0FF28B7F46BF836FE32D4DE46B03.edm">#REF!</definedName>
    <definedName name="_bdm.DBF8F79D2FE244698C14155A4A3CFA25.edm">#REF!</definedName>
    <definedName name="_bdm.dc26b42d597c4e33b15d74b5cb12d37a.edm">#REF!</definedName>
    <definedName name="_bdm.DC800D995A7E4157AFF6ECA7438CBB6F.edm">#REF!</definedName>
    <definedName name="_bdm.DD8E7CB51BC04633B05147D30A76D80F.edm">#REF!</definedName>
    <definedName name="_bdm.DDB6CE09E8A14C0E976E17AFB7637E76.edm">#REF!</definedName>
    <definedName name="_bdm.DDC8F78F10164D7995FCB315239F0BC7.edm">#REF!</definedName>
    <definedName name="_bdm.DE76277649FA406487968D4C9669121D.edm">#REF!</definedName>
    <definedName name="_bdm.DE7D382C2635442DB0954D25283AC608.edm">#REF!</definedName>
    <definedName name="_bdm.DEA02B8DB9594F51BA561009BFB2731A.edm">#REF!</definedName>
    <definedName name="_bdm.DEB4D18E25554E9B9A5DB29485574589.edm">#REF!</definedName>
    <definedName name="_bdm.DF9AC0CCB2AC4F71A75F09BAC7CA1CAA.edm">#REF!</definedName>
    <definedName name="_bdm.DFBE57D240B5461D813C216169C15E9A.edm">#REF!</definedName>
    <definedName name="_bdm.DFFD8463C52F480597C295CE0061B749.edm">#REF!</definedName>
    <definedName name="_bdm.E0E09833E7884563826050A31055BBC9.edm">#REF!</definedName>
    <definedName name="_bdm.E0F1C89529E84CBA882C8CD9AB4DEE1F.edm">#REF!</definedName>
    <definedName name="_bdm.E0FCAD0818CF410F83ADEE48CCDE27DD.edm">#REF!</definedName>
    <definedName name="_bdm.E1837D3312514FD98F4C33975864BCF8.edm">#REF!</definedName>
    <definedName name="_bdm.E18630D9EA3D40E49A458795BBBF24D9.edm">#REF!</definedName>
    <definedName name="_bdm.E2011F0CC5414D128E867DA4F842AC36.edm">#REF!</definedName>
    <definedName name="_bdm.E2713B28FAC44138A874F102FEE3A8B4.edm">#REF!</definedName>
    <definedName name="_bdm.E2C81FF2C2BF4F83968533878A6B9BA4.edm">#REF!</definedName>
    <definedName name="_bdm.E2DE8527FE52411392CE06BD5481ADA1.edm">#REF!</definedName>
    <definedName name="_bdm.E401C6DF14D34F83ACA432AB5C6DBD59.edm">#REF!</definedName>
    <definedName name="_bdm.E41EFB5D67CA4F098426416C424233E9.edm">#REF!</definedName>
    <definedName name="_bdm.E438982364844612918DE717041EF07E.edm">#REF!</definedName>
    <definedName name="_bdm.E49742B4FAAC4A0191EBC45ABA8E4D9F.edm">#REF!</definedName>
    <definedName name="_bdm.E52699831A844B698D1F4BC04ADD6956.edm">#REF!</definedName>
    <definedName name="_bdm.E5E791ED8BD04267A71BD33F4FFBEA2A.edm">#REF!</definedName>
    <definedName name="_bdm.E6B474E0AE0948B2AD436F3BCC3C3F23.edm">#REF!</definedName>
    <definedName name="_bdm.E6FDFD2D8FEB434083F8655016212492.edm">#REF!</definedName>
    <definedName name="_bdm.E759967588A5442C9B723120C8E73070.edm">#REF!</definedName>
    <definedName name="_bdm.E7774C2A9A34477C974CA42E6AEE0EC7.edm">#REF!</definedName>
    <definedName name="_bdm.E7E6C55D5A074E59BC7D647F3046571D.edm">#REF!</definedName>
    <definedName name="_bdm.E80EC4DBC5154884A8212A79D2A69CA8.edm">#REF!</definedName>
    <definedName name="_bdm.e822ce02f4354460800cec2782d0d508.edm">#REF!</definedName>
    <definedName name="_bdm.E8301848F17C48DDAEB62324BFFB9792.edm">#REF!</definedName>
    <definedName name="_bdm.E84AAA0FBA484CD4AA99869AE1DF13C8.edm">#REF!</definedName>
    <definedName name="_bdm.E8E49C6DF7BD45AE9D28FA42F05764BF.edm">#REF!</definedName>
    <definedName name="_bdm.E914DCB1872D458D8978B6DD8E02BA50.edm">#REF!</definedName>
    <definedName name="_bdm.E9922D8ABABC437689687D3832AA918D.edm">#REF!</definedName>
    <definedName name="_bdm.E99262E08FD14D0D85656350CB016D85.edm">#REF!</definedName>
    <definedName name="_bdm.E9CCAE8596D9481D837EE0C15EE6195E.edm">#REF!</definedName>
    <definedName name="_bdm.EAAACECA5CB840C9927D6BBF36015FB7.edm">#REF!</definedName>
    <definedName name="_bdm.EAEC9C3D50474F6CA7AEE5FBEDB1FC8E.edm">#REF!</definedName>
    <definedName name="_bdm.EC0FED27E529455D83389B00BE827DC1.edm">#REF!</definedName>
    <definedName name="_bdm.ECC9F373FB1E4EF493F69019703B4C0C.edm">#REF!</definedName>
    <definedName name="_bdm.ED385D59E6E5452190C5F9387E62BD69.edm">#REF!</definedName>
    <definedName name="_bdm.ED8021DABE244DACAB7967D8BD02933B.edm">#REF!</definedName>
    <definedName name="_bdm.EE2E4F1825EA4B71B32589360B666158.edm">#REF!</definedName>
    <definedName name="_bdm.EE4A65FC78A44935BFD229A5892D3F4A.edm">#REF!</definedName>
    <definedName name="_bdm.EEECB3705D90410695934B49428C7B45.edm">#REF!</definedName>
    <definedName name="_bdm.EFA9AF35FC7D43C589669C950F56E80C.edm">#REF!</definedName>
    <definedName name="_bdm.EFF7983BB9A047FD84DD7C340E0853AB.edm">#REF!</definedName>
    <definedName name="_bdm.F0B1B418EDB64C6CA4C2481ABBB508A5.edm">#REF!</definedName>
    <definedName name="_bdm.F0B3901D35BF4005A71CB064DA0503A4.edm">#REF!</definedName>
    <definedName name="_bdm.F0C4D0A06132474297172E66F1E293D3.edm">#REF!</definedName>
    <definedName name="_bdm.F0F40F22973D4E6FBFCCDA4A812DE808.edm">#REF!</definedName>
    <definedName name="_bdm.F16CDE695B5146908E78CDD9F5E25F2C.edm">#REF!</definedName>
    <definedName name="_bdm.F18E305365E04841B663E3E0ADEA9418.edm">#REF!</definedName>
    <definedName name="_bdm.F29A517B6666403FB15EB73990F5EDD9.edm">#REF!</definedName>
    <definedName name="_bdm.F2A1379877E24CFF91D1CD99B8A8D650.edm">#REF!</definedName>
    <definedName name="_bdm.F3340340DB0E4A4DB056FBF62E1826D8.edm">#REF!</definedName>
    <definedName name="_bdm.F393607449154A17B1B56CD56047792B.edm">#REF!</definedName>
    <definedName name="_bdm.F39A5BDBAD4D49E6BE5092309A5B163A.edm">#REF!</definedName>
    <definedName name="_bdm.F3CFF2BF5402457FB00E2E054D82FB37.edm">#REF!</definedName>
    <definedName name="_bdm.F4164DE47BCA44F49E2266B3D5510754.edm">#REF!</definedName>
    <definedName name="_bdm.F42A9DBD7F844D2E8A75BAAADEEBC874.edm">#REF!</definedName>
    <definedName name="_bdm.F444C53E9AD64F2D9BC76CA83B705B3E.edm">#REF!</definedName>
    <definedName name="_bdm.F4728034891C452F8B990509BFBDCF9D.edm">#REF!</definedName>
    <definedName name="_bdm.F4912DB540554E3D95FCFB40424CA502.edm">#REF!</definedName>
    <definedName name="_bdm.F49180971557492BB2EEC0FAEC8337E5.edm">#REF!</definedName>
    <definedName name="_bdm.F496CE46C0A745C69FA158B999972483.edm">#REF!</definedName>
    <definedName name="_bdm.F4BC23F18C224DADAD6D2D0AF37C0106.edm">#REF!</definedName>
    <definedName name="_bdm.F5B0CEAF44BC42AB9CDD942262239F49.edm">#REF!</definedName>
    <definedName name="_bdm.F5C51698EE854B5685E4BC4C7C01FC72.edm">#REF!</definedName>
    <definedName name="_bdm.F732BDB633DB4E18BA71319AE38E65A4.edm">#REF!</definedName>
    <definedName name="_bdm.F75EFAB259E64C3E82375E7A0C05228F.edm">#REF!</definedName>
    <definedName name="_bdm.F7DFEF6A74EF48F9A2BD2BF13D4EB88A.edm">#REF!</definedName>
    <definedName name="_bdm.F7E091AD74D2486AA2AA80A8F256087D.edm">#REF!</definedName>
    <definedName name="_bdm.F8349144CA034B17BAA677CB970252CF.edm">#REF!</definedName>
    <definedName name="_bdm.F884775407794BCA85204DBA808B86AB.edm">#REF!</definedName>
    <definedName name="_bdm.F8A8DCEB4DD84118B520FF6070B6FAA2.edm">#REF!</definedName>
    <definedName name="_bdm.F8C31FE1A018452E9E1C4EDDE8BA4522.edm">#REF!</definedName>
    <definedName name="_bdm.F8D37F6BEAC84BEF9146866533097162.edm">#REF!</definedName>
    <definedName name="_bdm.F996A483C4DF4D2FB1219B6012D3EDD4.edm">#REF!</definedName>
    <definedName name="_bdm.F9A3185EB0A6456B8B4C9BD249BDD96B.edm">#REF!</definedName>
    <definedName name="_bdm.F9D367D58E1745259E7E9B1B2C4433AE.edm">#REF!</definedName>
    <definedName name="_bdm.FA206C7EF05344A1ADB2599D6DDD41D6.edm">#REF!</definedName>
    <definedName name="_bdm.FA5944A4D7D644CA8283449B5AE2024F.edm">#REF!</definedName>
    <definedName name="_bdm.FA5AD8608BF447A19C39E2A014CBA028.edm">#REF!</definedName>
    <definedName name="_bdm.FA5EADE9F91745999510034EC433119A.edm">#REF!</definedName>
    <definedName name="_bdm.FB06355068A6473E8BFD84F095498EEF.edm">#REF!</definedName>
    <definedName name="_bdm.FB18DEB01EA64EDDBA945360BC456BA7.edm">#REF!</definedName>
    <definedName name="_bdm.FB8D8AB244B64BB9B4F5F5A4C5205085.edm">#REF!</definedName>
    <definedName name="_bdm.FBA13FC976A64CBDB4878E15E63EF763.edm">#REF!</definedName>
    <definedName name="_bdm.FBA756927C054543A09A37AE733D8BC7.edm">#REF!</definedName>
    <definedName name="_bdm.FBC8F4734CD44B95848F689416B40C4F.edm">#REF!</definedName>
    <definedName name="_bdm.FC1BDFB5C74647FEA4E73F6AB0F2EFC3.edm">#REF!</definedName>
    <definedName name="_bdm.FC43E0CFC6C04B6D8C65AC46A8B9910E.edm">#REF!</definedName>
    <definedName name="_bdm.FC80B04A028648D385C0769FFFEBE276.edm">#REF!</definedName>
    <definedName name="_bdm.FCD802781DD7435E88F13DE4D4F3FF6A.edm">#REF!</definedName>
    <definedName name="_bdm.FD178DE840B940E4B7189043EA2CFE4D.edm">#REF!</definedName>
    <definedName name="_bdm.FD58F0A0A0BD458E847AFDAA1D6E7EFC.edm">#REF!</definedName>
    <definedName name="_bdm.FDBD19558B064FEB9B723E6A8238F094.edm">#REF!</definedName>
    <definedName name="_bdm.FE4A89C4AFEA43C7A2CD83D3C66DD3AC.edm">#REF!</definedName>
    <definedName name="_bdm.FE758129DDB740FA950B34C638D718FF.edm">#REF!</definedName>
    <definedName name="_bdm.FF269D10713B43AE84EB8700D190E853.edm">#REF!</definedName>
    <definedName name="_bdm.FF2819E156E940D3B9AA6C8BD4B8283E.edm">#REF!</definedName>
    <definedName name="_bdm.FF8E9486839944EAA1BC635145766DF3.edm">#REF!</definedName>
    <definedName name="_Budget_for_Measure">#REF!</definedName>
    <definedName name="_c">{"Fiesta Facer Page",#N/A,FALSE,"Q_C_S";"Fiesta Main Page",#N/A,FALSE,"V_L";"Fiesta 95BP Struct",#N/A,FALSE,"StructBP";"Fiesta Post 95BP Struct",#N/A,FALSE,"AdjStructBP"}</definedName>
    <definedName name="_cd1">{#N/A,#N/A,FALSE,"Job Sched"}</definedName>
    <definedName name="_cd2">{#N/A,#N/A,FALSE,"Job Sched"}</definedName>
    <definedName name="_CD3">{#N/A,#N/A,FALSE,"Job Sched"}</definedName>
    <definedName name="_cd4">{#N/A,#N/A,FALSE,"Job Sched"}</definedName>
    <definedName name="_Cd5">{#N/A,#N/A,FALSE,"A"}</definedName>
    <definedName name="_cd8">{#N/A,#N/A,FALSE,"Job Sched"}</definedName>
    <definedName name="_D33">{"Olk by Qtr Full",#N/A,FALSE,"Tot PalmPalm";"Olk by Qtr Full",#N/A,FALSE,"Tot Device";"Olk by Qtr Full",#N/A,FALSE,"Platform";"Olk by Qtr Full",#N/A,FALSE,"Palm.Net";"Olk by Qtr Full",#N/A,FALSE,"Elim"}</definedName>
    <definedName name="_DCF2">{#N/A,#N/A,TRUE,"DCF Summary (2)";#N/A,#N/A,TRUE,"DCF Summary";#N/A,"Middle Case Drivers",TRUE,"DCF"}</definedName>
    <definedName name="_DF4">#REF!</definedName>
    <definedName name="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Values">#REF!</definedName>
    <definedName name="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F">#REF!</definedName>
    <definedName name="_Fill">#REF!</definedName>
    <definedName name="_FIll2">#REF!</definedName>
    <definedName name="_for_YTD_Year">#REF!</definedName>
    <definedName name="_fy97">{#N/A,#N/A,FALSE,"FY97";#N/A,#N/A,FALSE,"FY98";#N/A,#N/A,FALSE,"FY99";#N/A,#N/A,FALSE,"FY00";#N/A,#N/A,FALSE,"FY01"}</definedName>
    <definedName name="_I2">{"PVGraph2",#N/A,FALSE,"PV Data"}</definedName>
    <definedName name="_I3">{"PVGraph2",#N/A,FALSE,"PV Data"}</definedName>
    <definedName name="_JLC1">{#N/A,#N/A,TRUE,"97plnfpg"}</definedName>
    <definedName name="_JLC3">{#N/A,#N/A,FALSE,"J97plnfp"}</definedName>
    <definedName name="_Key1">#REF!</definedName>
    <definedName name="_key10">#REF!</definedName>
    <definedName name="_KEY2">#REF!</definedName>
    <definedName name="_key3">#REF!</definedName>
    <definedName name="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9">#REF!</definedName>
    <definedName name="_mbm">#REF!</definedName>
    <definedName name="_mfg2">{"PAGE 1",#N/A,FALSE,"WEST_OT"}</definedName>
    <definedName name="_mfg3">{"PAGE 1",#N/A,FALSE,"WEST_OT"}</definedName>
    <definedName name="_mfg4">{"PAGE 1",#N/A,FALSE,"WEST_OT"}</definedName>
    <definedName name="_mfg5">{"PAGE 1",#N/A,FALSE,"WEST_OT"}</definedName>
    <definedName name="_MHA1">{"rtn",#N/A,FALSE,"RTN";"tables",#N/A,FALSE,"RTN";"cf",#N/A,FALSE,"CF";"stats",#N/A,FALSE,"Stats";"prop",#N/A,FALSE,"Prop"}</definedName>
    <definedName name="_MHA1_1">{"rtn",#N/A,FALSE,"RTN";"tables",#N/A,FALSE,"RTN";"cf",#N/A,FALSE,"CF";"stats",#N/A,FALSE,"Stats";"prop",#N/A,FALSE,"Prop"}</definedName>
    <definedName name="_mm">#REF!</definedName>
    <definedName name="_mm1">#REF!</definedName>
    <definedName name="_mm2">#REF!</definedName>
    <definedName name="_mm3">#REF!</definedName>
    <definedName name="_mm4">#REF!</definedName>
    <definedName name="_na2">"100"</definedName>
    <definedName name="_na3">"50"</definedName>
    <definedName name="_na4">"IQ_LTM_DATE"</definedName>
    <definedName name="_new">#REF!</definedName>
    <definedName name="_new1">{#N/A,#N/A,FALSE,"Pharm";#N/A,#N/A,FALSE,"WWCM"}</definedName>
    <definedName name="_New2">{"TOTAL",#N/A,FALSE,"A";"FISCAL94",#N/A,FALSE,"A";"FISCAL95",#N/A,FALSE,"A";"FISCAL96",#N/A,FALSE,"A";"misc page",#N/A,FALSE,"A"}</definedName>
    <definedName name="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>255</definedName>
    <definedName name="_Order2">255</definedName>
    <definedName name="_P00comps1">#REF!</definedName>
    <definedName name="_P00comps2">#REF!</definedName>
    <definedName name="_Parse_In">#REF!</definedName>
    <definedName name="_Parse_Out">#REF!</definedName>
    <definedName name="_Pat1">#REF!</definedName>
    <definedName name="_pcSlicerSheet_Slicer1">#REF!</definedName>
    <definedName name="_pcSlicerSheet_Slicer2">#REF!</definedName>
    <definedName name="_pcSlicerSheet1_Slicer1">#REF!</definedName>
    <definedName name="_pcSlicerSheet1_Slicer2">#REF!</definedName>
    <definedName name="_pcSlicerSheet10_Slicer1">#REF!</definedName>
    <definedName name="_pcSlicerSheet10_Slicer2">#REF!</definedName>
    <definedName name="_pcSlicerSheet11_Slicer1">#REF!</definedName>
    <definedName name="_pcSlicerSheet11_Slicer2">#REF!</definedName>
    <definedName name="_pcSlicerSheet12_Slicer1">#REF!</definedName>
    <definedName name="_pcSlicerSheet12_Slicer2">#REF!</definedName>
    <definedName name="_pcSlicerSheet13_Slicer1">#REF!</definedName>
    <definedName name="_pcSlicerSheet13_Slicer2">#REF!</definedName>
    <definedName name="_pcSlicerSheet14_Slicer1">#REF!</definedName>
    <definedName name="_pcSlicerSheet14_Slicer2">#REF!</definedName>
    <definedName name="_pcSlicerSheet15_Slicer1">#REF!</definedName>
    <definedName name="_pcSlicerSheet15_Slicer2">#REF!</definedName>
    <definedName name="_pcSlicerSheet16_Slicer1">#REF!</definedName>
    <definedName name="_pcSlicerSheet16_Slicer2">#REF!</definedName>
    <definedName name="_pcSlicerSheet17_Slicer1">#REF!</definedName>
    <definedName name="_pcSlicerSheet17_Slicer2">#REF!</definedName>
    <definedName name="_pcSlicerSheet18_Slicer1">#REF!</definedName>
    <definedName name="_pcSlicerSheet18_Slicer2">#REF!</definedName>
    <definedName name="_pcSlicerSheet19_Slicer1">#REF!</definedName>
    <definedName name="_pcSlicerSheet19_Slicer2">#REF!</definedName>
    <definedName name="_pcSlicerSheet2_Slicer1">#REF!</definedName>
    <definedName name="_pcSlicerSheet2_Slicer2">#REF!</definedName>
    <definedName name="_pcSlicerSheet20_Slicer1">#REF!</definedName>
    <definedName name="_pcSlicerSheet20_Slicer2">#REF!</definedName>
    <definedName name="_pcSlicerSheet21_Slicer1">#REF!</definedName>
    <definedName name="_pcSlicerSheet21_Slicer2">#REF!</definedName>
    <definedName name="_pcSlicerSheet22_Slicer1">#REF!</definedName>
    <definedName name="_pcSlicerSheet22_Slicer2">#REF!</definedName>
    <definedName name="_pcSlicerSheet3_Slicer1">#REF!</definedName>
    <definedName name="_pcSlicerSheet3_Slicer2">#REF!</definedName>
    <definedName name="_pcSlicerSheet4_Slicer1">#REF!</definedName>
    <definedName name="_pcSlicerSheet4_Slicer2">#REF!</definedName>
    <definedName name="_pcSlicerSheet5_Slicer1">#REF!</definedName>
    <definedName name="_pcSlicerSheet5_Slicer2">#REF!</definedName>
    <definedName name="_pcSlicerSheet6_Slicer1">#REF!</definedName>
    <definedName name="_pcSlicerSheet6_Slicer2">#REF!</definedName>
    <definedName name="_pcSlicerSheet7_Slicer1">#REF!</definedName>
    <definedName name="_pcSlicerSheet7_Slicer2">#REF!</definedName>
    <definedName name="_pcSlicerSheet8_Slicer1">#REF!</definedName>
    <definedName name="_pcSlicerSheet8_Slicer2">#REF!</definedName>
    <definedName name="_pcSlicerSheet9_Slicer1">#REF!</definedName>
    <definedName name="_pcSlicerSheet9_Slicer2">#REF!</definedName>
    <definedName name="_r">{#N/A,#N/A,FALSE,"Pharm";#N/A,#N/A,FALSE,"WWCM"}</definedName>
    <definedName name="_Regression_Int">1</definedName>
    <definedName name="_Regression_Out">#REF!</definedName>
    <definedName name="_Regression_X">#REF!</definedName>
    <definedName name="_Regression_Y">#REF!</definedName>
    <definedName name="_Rf_Feb_Act_for_YTD">#REF!</definedName>
    <definedName name="_Rf_Oct_Act_for_2003_YTD">#REF!</definedName>
    <definedName name="_s1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ort">#REF!</definedName>
    <definedName name="_t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12347">{"COUNT",#N/A,FALSE,"AB"}</definedName>
    <definedName name="_t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1_In1">#REF!</definedName>
    <definedName name="_Table1_In2">#REF!</definedName>
    <definedName name="_Table1_Out">#REF!</definedName>
    <definedName name="_Table2_In1">#REF!</definedName>
    <definedName name="_Table2_In2">#REF!</definedName>
    <definedName name="_Table2_Out">#REF!</definedName>
    <definedName name="_Table3_In2">#REF!</definedName>
    <definedName name="_tm1">{#N/A,#N/A,FALSE,"Pharm";#N/A,#N/A,FALSE,"WWCM"}</definedName>
    <definedName name="_w1">{"PVGraph2",#N/A,FALSE,"PV Data"}</definedName>
    <definedName name="_w2">{"PVGraph2",#N/A,FALSE,"PV Data"}</definedName>
    <definedName name="_w3">{"PVGraph2",#N/A,FALSE,"PV Data"}</definedName>
    <definedName name="_wrn1">{#N/A,#N/A,FALSE,"DCF";#N/A,#N/A,FALSE,"WACC";#N/A,#N/A,FALSE,"Sales_EBIT";#N/A,#N/A,FALSE,"Capex_Depreciation";#N/A,#N/A,FALSE,"WC";#N/A,#N/A,FALSE,"Interest";#N/A,#N/A,FALSE,"Assumptions"}</definedName>
    <definedName name="_wrn2">{#N/A,#N/A,FALSE,"ASSUMPTIONS";#N/A,#N/A,FALSE,"Valuation Summary";"page1",#N/A,FALSE,"PRESENTATION";"page2",#N/A,FALSE,"PRESENTATION";#N/A,#N/A,FALSE,"ORIGINAL_ROLLBACK"}</definedName>
    <definedName name="_wrn3">{#N/A,#N/A,FALSE,"ASSUMPTIONS";#N/A,#N/A,FALSE,"Valuation Summary";"page1",#N/A,FALSE,"PRESENTATION";"page2",#N/A,FALSE,"PRESENTATION";#N/A,#N/A,FALSE,"ORIGINAL_ROLLBACK"}</definedName>
    <definedName name="_x1">{#N/A,#N/A,FALSE,"FY97";#N/A,#N/A,FALSE,"FY98";#N/A,#N/A,FALSE,"FY99";#N/A,#N/A,FALSE,"FY00";#N/A,#N/A,FALSE,"FY01"}</definedName>
    <definedName name="_X2">{#N/A,#N/A,FALSE,"Other";#N/A,#N/A,FALSE,"Ace";#N/A,#N/A,FALSE,"Derm"}</definedName>
    <definedName name="_y2">{"PVGraph2",#N/A,FALSE,"PV Data"}</definedName>
    <definedName name="_Zcomps2">{0,0,0,0,1,-4105,28.3464566929134,28.3464566929134,28.346456664,28.3464566929134,2,TRUE,TRUE,FALSE,FALSE,FALSE,#N/A,1,85,1,2,"","","","&amp;""Kennerly,Roman Bold""&amp;14L&amp;12EHMAN &amp;14 B&amp;12ROTHERS","","",FALSE}</definedName>
    <definedName name="a">#REF!</definedName>
    <definedName name="a_1">{"rtn",#N/A,FALSE,"RTN";"tables",#N/A,FALSE,"RTN";"cf",#N/A,FALSE,"CF";"stats",#N/A,FALSE,"Stats";"prop",#N/A,FALSE,"Prop"}</definedName>
    <definedName name="aa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aa_1">{"Outflow 1",#N/A,FALSE,"Outflows-Inflows";"Outflow 2",#N/A,FALSE,"Outflows-Inflows";"Inflow 1",#N/A,FALSE,"Outflows-Inflows";"Inflow 2",#N/A,FALSE,"Outflows-Inflows"}</definedName>
    <definedName name="aaa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aaaa">{#N/A,#N/A,FALSE,"Model";#N/A,#N/A,FALSE,"Division"}</definedName>
    <definedName name="aaaaa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_1">{"rtn",#N/A,FALSE,"RTN";"tables",#N/A,FALSE,"RTN";"cf",#N/A,FALSE,"CF";"stats",#N/A,FALSE,"Stats";"prop",#N/A,FALSE,"Prop"}</definedName>
    <definedName name="aaaaaa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aaaaaa_1">{"Outflow 1",#N/A,FALSE,"Outflows-Inflows";"Outflow 2",#N/A,FALSE,"Outflows-Inflows";"Inflow 1",#N/A,FALSE,"Outflows-Inflows";"Inflow 2",#N/A,FALSE,"Outflows-Inflows"}</definedName>
    <definedName name="aaaaaaa">{"Outflow 1",#N/A,FALSE,"Outflows-Inflows";"Outflow 2",#N/A,FALSE,"Outflows-Inflows";"Inflow 1",#N/A,FALSE,"Outflows-Inflows";"Inflow 2",#N/A,FALSE,"Outflows-Inflows"}</definedName>
    <definedName name="aaaaaaa_1">{"Outflow 1",#N/A,FALSE,"Outflows-Inflows";"Outflow 2",#N/A,FALSE,"Outflows-Inflows";"Inflow 1",#N/A,FALSE,"Outflows-Inflows";"Inflow 2",#N/A,FALSE,"Outflows-Inflows"}</definedName>
    <definedName name="aaaaaaaaaaa">{#N/A,#N/A,FALSE,"REPORT"}</definedName>
    <definedName name="aaaaaaaaaaaaaa">{"rtn",#N/A,FALSE,"RTN";"tables",#N/A,FALSE,"RTN";"cf",#N/A,FALSE,"CF";"stats",#N/A,FALSE,"Stats";"prop",#N/A,FALSE,"Prop"}</definedName>
    <definedName name="aaaaaaaaaaaaaa_1">{"rtn",#N/A,FALSE,"RTN";"tables",#N/A,FALSE,"RTN";"cf",#N/A,FALSE,"CF";"stats",#N/A,FALSE,"Stats";"prop",#N/A,FALSE,"Prop"}</definedName>
    <definedName name="aaaaaaaaaaaaaaa">{#N/A,#N/A,FALSE,"Pharm";#N/A,#N/A,FALSE,"WWCM"}</definedName>
    <definedName name="aaaaaaaaaaaaaaaa">{"Outflow 1",#N/A,FALSE,"Outflows-Inflows";"Outflow 2",#N/A,FALSE,"Outflows-Inflows";"Inflow 1",#N/A,FALSE,"Outflows-Inflows";"Inflow 2",#N/A,FALSE,"Outflows-Inflows"}</definedName>
    <definedName name="aaaaaaaaaaaaaaaa_1">{"Outflow 1",#N/A,FALSE,"Outflows-Inflows";"Outflow 2",#N/A,FALSE,"Outflows-Inflows";"Inflow 1",#N/A,FALSE,"Outflows-Inflows";"Inflow 2",#N/A,FALSE,"Outflows-Inflows"}</definedName>
    <definedName name="aaaaaaaaaaaaaaaaaa">{"Outflow 1",#N/A,FALSE,"Outflows-Inflows";"Outflow 2",#N/A,FALSE,"Outflows-Inflows";"Inflow 1",#N/A,FALSE,"Outflows-Inflows";"Inflow 2",#N/A,FALSE,"Outflows-Inflows"}</definedName>
    <definedName name="aaaaaaaaaaaaaaaaaa_1">{"Outflow 1",#N/A,FALSE,"Outflows-Inflows";"Outflow 2",#N/A,FALSE,"Outflows-Inflows";"Inflow 1",#N/A,FALSE,"Outflows-Inflows";"Inflow 2",#N/A,FALSE,"Outflows-Inflows"}</definedName>
    <definedName name="aaaaaaaaaaaaaaaaaaaaaaa">{"Outflow 1",#N/A,FALSE,"Outflows-Inflows";"Outflow 2",#N/A,FALSE,"Outflows-Inflows";"Inflow 1",#N/A,FALSE,"Outflows-Inflows";"Inflow 2",#N/A,FALSE,"Outflows-Inflows"}</definedName>
    <definedName name="aaaaaaaaaaaaaaaaaaaaaaa_1">{"Outflow 1",#N/A,FALSE,"Outflows-Inflows";"Outflow 2",#N/A,FALSE,"Outflows-Inflows";"Inflow 1",#N/A,FALSE,"Outflows-Inflows";"Inflow 2",#N/A,FALSE,"Outflows-Inflows"}</definedName>
    <definedName name="aaaaab">{#N/A,#N/A,FALSE,"Model";#N/A,#N/A,FALSE,"Division"}</definedName>
    <definedName name="aaasb">{#N/A,#N/A,FALSE,"Pharm";#N/A,#N/A,FALSE,"WWCM"}</definedName>
    <definedName name="aab">{#N/A,#N/A,FALSE,"Pharm";#N/A,#N/A,FALSE,"WWCM"}</definedName>
    <definedName name="aabb">{#N/A,#N/A,FALSE,"Projections";#N/A,#N/A,FALSE,"Multiples Valuation";#N/A,#N/A,FALSE,"LBO";#N/A,#N/A,FALSE,"Multiples_Sensitivity";#N/A,#N/A,FALSE,"Summary"}</definedName>
    <definedName name="aaddd">{#N/A,#N/A,FALSE,"REPORT"}</definedName>
    <definedName name="aas">{#N/A,#N/A,FALSE,"1";#N/A,#N/A,FALSE,"2";#N/A,#N/A,FALSE,"16 - 17";#N/A,#N/A,FALSE,"18 - 19";#N/A,#N/A,FALSE,"26";#N/A,#N/A,FALSE,"27";#N/A,#N/A,FALSE,"28"}</definedName>
    <definedName name="aasd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>{"rtn",#N/A,FALSE,"RTN";"tables",#N/A,FALSE,"RTN";"cf",#N/A,FALSE,"CF";"stats",#N/A,FALSE,"Stats";"prop",#N/A,FALSE,"Prop"}</definedName>
    <definedName name="aasdfa_1">{"rtn",#N/A,FALSE,"RTN";"tables",#N/A,FALSE,"RTN";"cf",#N/A,FALSE,"CF";"stats",#N/A,FALSE,"Stats";"prop",#N/A,FALSE,"Prop"}</definedName>
    <definedName name="aasdfab">{"rtn",#N/A,FALSE,"RTN";"tables",#N/A,FALSE,"RTN";"cf",#N/A,FALSE,"CF";"stats",#N/A,FALSE,"Stats";"prop",#N/A,FALSE,"Prop"}</definedName>
    <definedName name="aasdfab_1">{"rtn",#N/A,FALSE,"RTN";"tables",#N/A,FALSE,"RTN";"cf",#N/A,FALSE,"CF";"stats",#N/A,FALSE,"Stats";"prop",#N/A,FALSE,"Prop"}</definedName>
    <definedName name="aassas">{"PR1","pr1",TRUE,"Sch PR-1"}</definedName>
    <definedName name="ab">{"rtn",#N/A,FALSE,"RTN";"tables",#N/A,FALSE,"RTN";"cf",#N/A,FALSE,"CF";"stats",#N/A,FALSE,"Stats";"prop",#N/A,FALSE,"Prop"}</definedName>
    <definedName name="ab_1">{"rtn",#N/A,FALSE,"RTN";"tables",#N/A,FALSE,"RTN";"cf",#N/A,FALSE,"CF";"stats",#N/A,FALSE,"Stats";"prop",#N/A,FALSE,"Prop"}</definedName>
    <definedName name="abc">{"bs",#N/A,FALSE,"SCF"}</definedName>
    <definedName name="Abrisa">{"FY04_Assets",#N/A,FALSE,"Fin Stmt Budget";"FY04_Liabilities",#N/A,FALSE,"Fin Stmt Budget";"FY04_Inc_Stmt",#N/A,FALSE,"Fin Stmt Budget";"FY04_SOCF",#N/A,FALSE,"Fin Stmt Budget"}</definedName>
    <definedName name="ac">#REF!</definedName>
    <definedName name="acc">{#N/A,#N/A,FALSE,"Calc";#N/A,#N/A,FALSE,"Sensitivity";#N/A,#N/A,FALSE,"LT Earn.Dil.";#N/A,#N/A,FALSE,"Dil. AVP"}</definedName>
    <definedName name="Access_Button">"CONSOL_SIM_List"</definedName>
    <definedName name="AccessDatabase">"I:\DEPT8900\OEL\FY01\Reports\Budget Comparison\Comparitive Budget TEST.mdb"</definedName>
    <definedName name="ACwvu.ALL.">#REF!</definedName>
    <definedName name="ACwvu.CapersView.">#REF!</definedName>
    <definedName name="ACwvu.Japan_Capers_Ed_Pub.">#REF!</definedName>
    <definedName name="ACwvu.KJP_CC.">#REF!</definedName>
    <definedName name="ACwvu.PRT.">#REF!</definedName>
    <definedName name="adasdasdasdasd">{"PR1","pr1",TRUE,"Sch PR-1"}</definedName>
    <definedName name="a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">{#N/A,#N/A,FALSE,"Aging Summary";#N/A,#N/A,FALSE,"Ratio Analysis";#N/A,#N/A,FALSE,"Test 120 Day Accts";#N/A,#N/A,FALSE,"Tickmarks"}</definedName>
    <definedName name="adfadf">{"'Sheet1'!$A$1:$J$121"}</definedName>
    <definedName name="adfadfasfda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saf">{"AQUIRORDCF",#N/A,FALSE,"Merger consequences";"Acquirorassns",#N/A,FALSE,"Merger consequences"}</definedName>
    <definedName name="adfgasdysty">{#N/A,#N/A,FALSE,"REPORT"}</definedName>
    <definedName name="adfsfadfasf">{"Outflow 1",#N/A,FALSE,"Outflows-Inflows";"Outflow 2",#N/A,FALSE,"Outflows-Inflows";"Inflow 1",#N/A,FALSE,"Outflows-Inflows";"Inflow 2",#N/A,FALSE,"Outflows-Inflows"}</definedName>
    <definedName name="adfsfadfasf_1">{"Outflow 1",#N/A,FALSE,"Outflows-Inflows";"Outflow 2",#N/A,FALSE,"Outflows-Inflows";"Inflow 1",#N/A,FALSE,"Outflows-Inflows";"Inflow 2",#N/A,FALSE,"Outflows-Inflows"}</definedName>
    <definedName name="adfsfjfjky">{#N/A,#N/A,FALSE,"REPORT"}</definedName>
    <definedName name="adsf">{#N/A,#N/A,FALSE,"Job Sched"}</definedName>
    <definedName name="aeradfaereawt">{"var_page",#N/A,FALSE,"template"}</definedName>
    <definedName name="AERJJ">#REF!</definedName>
    <definedName name="aertqet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FDADSFDAS">{#N/A,#N/A,FALSE,"REPORT"}</definedName>
    <definedName name="africa">{#N/A,#N/A,FALSE,"CNS";#N/A,#N/A,FALSE,"Serz";#N/A,#N/A,FALSE,"Ace"}</definedName>
    <definedName name="ag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>{#N/A,#N/A,FALSE,"REPORT"}</definedName>
    <definedName name="ag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s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sgaghgfj">{#N/A,#N/A,FALSE,"Pharm";#N/A,#N/A,FALSE,"WWCM"}</definedName>
    <definedName name="alex">{#N/A,#N/A,FALSE,"REPORT"}</definedName>
    <definedName name="alexan">{#N/A,#N/A,FALSE,"REPORT"}</definedName>
    <definedName name="andy">{#N/A,#N/A,FALSE,"REPORT"}</definedName>
    <definedName name="anscount">1</definedName>
    <definedName name="argqe">{#N/A,#N/A,FALSE,"puboff";#N/A,#N/A,FALSE,"financials";#N/A,#N/A,FALSE,"valuation";#N/A,#N/A,FALSE,"split"}</definedName>
    <definedName name="ARroll">{"print 1.6",#N/A,FALSE,"Sheet1";"print 2.6",#N/A,FALSE,"Sheet1";"print 3.6",#N/A,FALSE,"Sheet1";"print 4.6",#N/A,FALSE,"Sheet1";"print 5.6",#N/A,FALSE,"Sheet1";"print 6.6",#N/A,FALSE,"Sheet1"}</definedName>
    <definedName name="ARroll_1">{"print 1.6",#N/A,FALSE,"Sheet1";"print 2.6",#N/A,FALSE,"Sheet1";"print 3.6",#N/A,FALSE,"Sheet1";"print 4.6",#N/A,FALSE,"Sheet1";"print 5.6",#N/A,FALSE,"Sheet1";"print 6.6",#N/A,FALSE,"Sheet1"}</definedName>
    <definedName name="AS">{"bs",#N/A,FALSE,"SCF"}</definedName>
    <definedName name="as_1">{"Outflow 1",#N/A,FALSE,"Outflows-Inflows";"Outflow 2",#N/A,FALSE,"Outflows-Inflows";"Inflow 1",#N/A,FALSE,"Outflows-Inflows";"Inflow 2",#N/A,FALSE,"Outflows-Inflows"}</definedName>
    <definedName name="AS2DocOpenMode">"AS2DocumentEdit"</definedName>
    <definedName name="AS2HasNoAutoHeaderFooter">" "</definedName>
    <definedName name="AS2NamedRange">6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sas">{#N/A,#N/A,FALSE,"Pharm";#N/A,#N/A,FALSE,"WWCM"}</definedName>
    <definedName name="asasasasas">{"PR1","pr1",TRUE,"Sch PR-1"}</definedName>
    <definedName name="ASD">{"bs",#N/A,FALSE,"SCF"}</definedName>
    <definedName name="asdasdasda">{#N/A,#N/A,TRUE,"DCF Summary (2)";#N/A,#N/A,TRUE,"DCF Summary";#N/A,"Middle Case Drivers",TRUE,"DCF"}</definedName>
    <definedName name="asdf">{"Balance Sheet",#N/A,FALSE,"Consolidated"}</definedName>
    <definedName name="asdfadg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>{"'Sheet1'!$A$1:$J$121"}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_1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aa_1">{"print 1.6",#N/A,FALSE,"Sheet1";"print 2.6",#N/A,FALSE,"Sheet1";"print 3.6",#N/A,FALSE,"Sheet1";"print 4.6",#N/A,FALSE,"Sheet1";"print 5.6",#N/A,FALSE,"Sheet1";"print 6.6",#N/A,FALSE,"Sheet1"}</definedName>
    <definedName name="asdfasdf">{"rtn",#N/A,FALSE,"RTN";"tables",#N/A,FALSE,"RTN";"cf",#N/A,FALSE,"CF";"stats",#N/A,FALSE,"Stats";"prop",#N/A,FALSE,"Prop"}</definedName>
    <definedName name="asdfasdf_1">{"rtn",#N/A,FALSE,"RTN";"tables",#N/A,FALSE,"RTN";"cf",#N/A,FALSE,"CF";"stats",#N/A,FALSE,"Stats";"prop",#N/A,FALSE,"Prop"}</definedName>
    <definedName name="asdfasf">38939.6653819444</definedName>
    <definedName name="asdfg">{#N/A,#N/A,FALSE,"Pharm";#N/A,#N/A,FALSE,"WWCM"}</definedName>
    <definedName name="asdgahdfhth">{#N/A,#N/A,FALSE,"REPORT"}</definedName>
    <definedName name="asdgayery">{#N/A,#N/A,FALSE,"Pharm";#N/A,#N/A,FALSE,"WWCM"}</definedName>
    <definedName name="asdgfdytyet">{#N/A,#N/A,FALSE,"REPORT"}</definedName>
    <definedName name="asdgtryukuio">{#N/A,#N/A,FALSE,"REPORT"}</definedName>
    <definedName name="asdjgkl">{#N/A,#N/A,FALSE,"Pharm";#N/A,#N/A,FALSE,"WWCM"}</definedName>
    <definedName name="asdzfczv">#REF!</definedName>
    <definedName name="asf">{"DCF1",#N/A,FALSE,"SIERRA DCF";"MATRIX1",#N/A,FALSE,"SIERRA DCF"}</definedName>
    <definedName name="asffghujyki">{#N/A,#N/A,FALSE,"Pharm";#N/A,#N/A,FALSE,"WWCM"}</definedName>
    <definedName name="asfg">{#N/A,#N/A,FALSE,"Balance Sheet";#N/A,#N/A,FALSE,"Income Statement";#N/A,#N/A,FALSE,"Changes in Financial Position"}</definedName>
    <definedName name="ASIA">{#N/A,#N/A,FALSE,"Est97";#N/A,#N/A,FALSE,"Plan98";#N/A,#N/A,FALSE,"Graphs";#N/A,#N/A,FALSE,"5Yr"}</definedName>
    <definedName name="asngfat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s">#REF!</definedName>
    <definedName name="ass_1">{"print 1.6",#N/A,FALSE,"Sheet1";"print 2.6",#N/A,FALSE,"Sheet1";"print 3.6",#N/A,FALSE,"Sheet1";"print 4.6",#N/A,FALSE,"Sheet1";"print 5.6",#N/A,FALSE,"Sheet1";"print 6.6",#N/A,FALSE,"Sheet1"}</definedName>
    <definedName name="ASSA">{#N/A,#N/A,FALSE,"1";#N/A,#N/A,FALSE,"2";#N/A,#N/A,FALSE,"16 - 17";#N/A,#N/A,FALSE,"18 - 19";#N/A,#N/A,FALSE,"26";#N/A,#N/A,FALSE,"27";#N/A,#N/A,FALSE,"28"}</definedName>
    <definedName name="assasdafsda">{"PR1","pr1",TRUE,"Sch PR-1"}</definedName>
    <definedName name="asss">{"rtn",#N/A,FALSE,"RTN";"tables",#N/A,FALSE,"RTN";"cf",#N/A,FALSE,"CF";"stats",#N/A,FALSE,"Stats";"prop",#N/A,FALSE,"Prop"}</definedName>
    <definedName name="asss_1">{"rtn",#N/A,FALSE,"RTN";"tables",#N/A,FALSE,"RTN";"cf",#N/A,FALSE,"CF";"stats",#N/A,FALSE,"Stats";"prop",#N/A,FALSE,"Prop"}</definedName>
    <definedName name="AustinTest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to1">{#N/A,#N/A,FALSE,"Sheet1"}</definedName>
    <definedName name="AUto2">{#N/A,#N/A,FALSE,"Sheet1"}</definedName>
    <definedName name="av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WER">#REF!</definedName>
    <definedName name="AX">{#N/A,#N/A,FALSE,"Pharm";#N/A,#N/A,FALSE,"WWCM"}</definedName>
    <definedName name="ax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yman">{#N/A,#N/A,FALSE,"1";#N/A,#N/A,FALSE,"2";#N/A,#N/A,FALSE,"16 - 17";#N/A,#N/A,FALSE,"18 - 19";#N/A,#N/A,FALSE,"26";#N/A,#N/A,FALSE,"27";#N/A,#N/A,FALSE,"28"}</definedName>
    <definedName name="ayman1">{#N/A,#N/A,FALSE,"Pharm";#N/A,#N/A,FALSE,"WWCM"}</definedName>
    <definedName name="ayman2">{#N/A,#N/A,FALSE,"Pharm";#N/A,#N/A,FALSE,"WWCM"}</definedName>
    <definedName name="ayman7">{#N/A,#N/A,FALSE,"REPORT"}</definedName>
    <definedName name="ayman8">{#N/A,#N/A,FALSE,"REPORT"}</definedName>
    <definedName name="az">{#N/A,#N/A,FALSE,"Pharm";#N/A,#N/A,FALSE,"WWCM"}</definedName>
    <definedName name="azeazr">{#N/A,#N/A,FALSE,"Sales Graph";#N/A,#N/A,FALSE,"BUC Graph";#N/A,#N/A,FALSE,"P&amp;L - YTD"}</definedName>
    <definedName name="azerety">{#N/A,#N/A,FALSE,"Pharm";#N/A,#N/A,FALSE,"WWCM"}</definedName>
    <definedName name="b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alance">{"bs",#N/A,FALSE,"SCF"}</definedName>
    <definedName name="Bank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>#REF!</definedName>
    <definedName name="bb">{"histincome",#N/A,FALSE,"hyfins";"closing balance",#N/A,FALSE,"hyfins"}</definedName>
    <definedName name="bbb">{#N/A,#N/A,FALSE,"Pharm";#N/A,#N/A,FALSE,"WWCM"}</definedName>
    <definedName name="bbbb">{#N/A,#N/A,FALSE,"REPORT"}</definedName>
    <definedName name="bbbb_1">{"Outflow 1",#N/A,FALSE,"Outflows-Inflows";"Outflow 2",#N/A,FALSE,"Outflows-Inflows";"Inflow 1",#N/A,FALSE,"Outflows-Inflows";"Inflow 2",#N/A,FALSE,"Outflows-Inflows"}</definedName>
    <definedName name="bbbbb">{"consolidated",#N/A,FALSE,"Sheet1";"cms",#N/A,FALSE,"Sheet1";"fse",#N/A,FALSE,"Sheet1"}</definedName>
    <definedName name="BBBBBB">{#N/A,#N/A,FALSE,"REPORT"}</definedName>
    <definedName name="bbbbbb_1">{"rtn",#N/A,FALSE,"RTN";"tables",#N/A,FALSE,"RTN";"cf",#N/A,FALSE,"CF";"stats",#N/A,FALSE,"Stats";"prop",#N/A,FALSE,"Prop"}</definedName>
    <definedName name="bbbbbbb">{"Outflow 1",#N/A,FALSE,"Outflows-Inflows";"Outflow 2",#N/A,FALSE,"Outflows-Inflows";"Inflow 1",#N/A,FALSE,"Outflows-Inflows";"Inflow 2",#N/A,FALSE,"Outflows-Inflows"}</definedName>
    <definedName name="bbbbbbb_1">{"Outflow 1",#N/A,FALSE,"Outflows-Inflows";"Outflow 2",#N/A,FALSE,"Outflows-Inflows";"Inflow 1",#N/A,FALSE,"Outflows-Inflows";"Inflow 2",#N/A,FALSE,"Outflows-Inflows"}</definedName>
    <definedName name="BBBBBBBBB">{#N/A,#N/A,FALSE,"REPORT"}</definedName>
    <definedName name="bbbbbbbbbbbbb">{#N/A,#N/A,FALSE,"Pharm";#N/A,#N/A,FALSE,"WWCM"}</definedName>
    <definedName name="BBD">{#N/A,#N/A,FALSE,"PRJCTED QTRLY QTY's"}</definedName>
    <definedName name="bbt">{#N/A,#N/A,FALSE,"DI 2 YEAR MASTER SCHEDULE"}</definedName>
    <definedName name="BDOCheckMinor">#REF!</definedName>
    <definedName name="BDOCheckNeg">#REF!</definedName>
    <definedName name="BDOCheckTrue">#REF!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xGS09Y00R295FQF4OCD3UZVDBE">query_Standard #REF!</definedName>
    <definedName name="BExSBB5BB2NTOBYTX7MDBWRM5SBC">query_Standard #REF!</definedName>
    <definedName name="BG_Del">15</definedName>
    <definedName name="BG_Ins">4</definedName>
    <definedName name="BG_Mod">6</definedName>
    <definedName name="bgh">{"histincome",#N/A,FALSE,"hyfins";"closing balance",#N/A,FALSE,"hyfins"}</definedName>
    <definedName name="bill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bill1">{"PAGE 1",#N/A,FALSE,"WEST_OT"}</definedName>
    <definedName name="bill2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bill3">{"PAGE 1",#N/A,FALSE,"WEST_OT"}</definedName>
    <definedName name="billrev2">{"PAGE 1",#N/A,FALSE,"WEST_OT"}</definedName>
    <definedName name="blah">{"bs combined",#N/A,FALSE,"Consol BS";"PL Combined",#N/A,FALSE,"CONSOL PL";"CF COMBINED",#N/A,FALSE,"CONSOL CF"}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LPB1">#REF!</definedName>
    <definedName name="BLPB10">#REF!</definedName>
    <definedName name="BLPB100">#REF!</definedName>
    <definedName name="BLPB101">#REF!</definedName>
    <definedName name="BLPB102">#REF!</definedName>
    <definedName name="BLPB103">#REF!</definedName>
    <definedName name="BLPB104">#REF!</definedName>
    <definedName name="BLPB105">#REF!</definedName>
    <definedName name="BLPB106">#REF!</definedName>
    <definedName name="BLPB107">#REF!</definedName>
    <definedName name="BLPB11">#REF!</definedName>
    <definedName name="BLPB12">#REF!</definedName>
    <definedName name="BLPB13">#REF!</definedName>
    <definedName name="BLPB14">#REF!</definedName>
    <definedName name="BLPB15">#REF!</definedName>
    <definedName name="BLPB16">#REF!</definedName>
    <definedName name="BLPB17">#REF!</definedName>
    <definedName name="BLPB18">#REF!</definedName>
    <definedName name="BLPB19">#REF!</definedName>
    <definedName name="BLPB2">#REF!</definedName>
    <definedName name="BLPB20">#REF!</definedName>
    <definedName name="BLPB21">#REF!</definedName>
    <definedName name="BLPB22">#REF!</definedName>
    <definedName name="BLPB23">#REF!</definedName>
    <definedName name="BLPB24">#REF!</definedName>
    <definedName name="BLPB25">#REF!</definedName>
    <definedName name="BLPB26">#REF!</definedName>
    <definedName name="BLPB27">#REF!</definedName>
    <definedName name="BLPB28">#REF!</definedName>
    <definedName name="BLPB29">#REF!</definedName>
    <definedName name="BLPB3">#REF!</definedName>
    <definedName name="BLPB30">#REF!</definedName>
    <definedName name="BLPB31">#REF!</definedName>
    <definedName name="BLPB32">#REF!</definedName>
    <definedName name="BLPB33">#REF!</definedName>
    <definedName name="BLPB34">#REF!</definedName>
    <definedName name="BLPB35">#REF!</definedName>
    <definedName name="BLPB36">#REF!</definedName>
    <definedName name="BLPB37">#REF!</definedName>
    <definedName name="BLPB38">#REF!</definedName>
    <definedName name="BLPB39">#REF!</definedName>
    <definedName name="BLPB4">#REF!</definedName>
    <definedName name="BLPB40">#REF!</definedName>
    <definedName name="BLPB41">#REF!</definedName>
    <definedName name="BLPB42">#REF!</definedName>
    <definedName name="BLPB43">#REF!</definedName>
    <definedName name="BLPB44">#REF!</definedName>
    <definedName name="BLPB45">#REF!</definedName>
    <definedName name="BLPB46">#REF!</definedName>
    <definedName name="BLPB47">#REF!</definedName>
    <definedName name="BLPB48">#REF!</definedName>
    <definedName name="BLPB49">#REF!</definedName>
    <definedName name="BLPB5">#REF!</definedName>
    <definedName name="BLPB50">#REF!</definedName>
    <definedName name="BLPB51">#REF!</definedName>
    <definedName name="BLPB52">#REF!</definedName>
    <definedName name="BLPB53">#REF!</definedName>
    <definedName name="BLPB54">#REF!</definedName>
    <definedName name="BLPB55">#REF!</definedName>
    <definedName name="BLPB56">#REF!</definedName>
    <definedName name="BLPB57">#REF!</definedName>
    <definedName name="BLPB58">#REF!</definedName>
    <definedName name="BLPB59">#REF!</definedName>
    <definedName name="BLPB6">#REF!</definedName>
    <definedName name="BLPB60">#REF!</definedName>
    <definedName name="BLPB61">#REF!</definedName>
    <definedName name="BLPB62">#REF!</definedName>
    <definedName name="BLPB63">#REF!</definedName>
    <definedName name="BLPB64">#REF!</definedName>
    <definedName name="BLPB65">#REF!</definedName>
    <definedName name="BLPB66">#REF!</definedName>
    <definedName name="BLPB67">#REF!</definedName>
    <definedName name="BLPB68">#REF!</definedName>
    <definedName name="BLPB69">#REF!</definedName>
    <definedName name="BLPB7">#REF!</definedName>
    <definedName name="BLPB70">#REF!</definedName>
    <definedName name="BLPB71">#REF!</definedName>
    <definedName name="BLPB72">#REF!</definedName>
    <definedName name="BLPB73">#REF!</definedName>
    <definedName name="BLPB74">#REF!</definedName>
    <definedName name="BLPB75">#REF!</definedName>
    <definedName name="BLPB76">#REF!</definedName>
    <definedName name="BLPB77">#REF!</definedName>
    <definedName name="BLPB78">#REF!</definedName>
    <definedName name="BLPB79">#REF!</definedName>
    <definedName name="BLPB8">#REF!</definedName>
    <definedName name="BLPB80">#REF!</definedName>
    <definedName name="BLPB81">#REF!</definedName>
    <definedName name="BLPB82">#REF!</definedName>
    <definedName name="BLPB83">#REF!</definedName>
    <definedName name="BLPB84">#REF!</definedName>
    <definedName name="BLPB85">#REF!</definedName>
    <definedName name="BLPB86">#REF!</definedName>
    <definedName name="BLPB87">#REF!</definedName>
    <definedName name="BLPB88">#REF!</definedName>
    <definedName name="BLPB89">#REF!</definedName>
    <definedName name="BLPB9">#REF!</definedName>
    <definedName name="BLPB90">#REF!</definedName>
    <definedName name="BLPB91">#REF!</definedName>
    <definedName name="BLPB92">#REF!</definedName>
    <definedName name="BLPB93">#REF!</definedName>
    <definedName name="BLPB94">#REF!</definedName>
    <definedName name="BLPB95">#REF!</definedName>
    <definedName name="BLPB96">#REF!</definedName>
    <definedName name="BLPB97">#REF!</definedName>
    <definedName name="BLPB98">#REF!</definedName>
    <definedName name="BLPB99">#REF!</definedName>
    <definedName name="BLPH_2">#REF!</definedName>
    <definedName name="BLPH1">#REF!</definedName>
    <definedName name="BLPH10">#REF!</definedName>
    <definedName name="BLPH100">#REF!</definedName>
    <definedName name="BLPH1000003">#REF!</definedName>
    <definedName name="BLPH101">#REF!</definedName>
    <definedName name="BLPH102">#REF!</definedName>
    <definedName name="BLPH103">#REF!</definedName>
    <definedName name="BLPH104">#REF!</definedName>
    <definedName name="BLPH105">#REF!</definedName>
    <definedName name="BLPH106">#REF!</definedName>
    <definedName name="BLPH107">#REF!</definedName>
    <definedName name="BLPH108">#REF!</definedName>
    <definedName name="BLPH109">#REF!</definedName>
    <definedName name="BLPH11">#REF!</definedName>
    <definedName name="BLPH110">#REF!</definedName>
    <definedName name="BLPH111">#REF!</definedName>
    <definedName name="BLPH112">#REF!</definedName>
    <definedName name="BLPH12">#REF!</definedName>
    <definedName name="BLPH13">#REF!</definedName>
    <definedName name="BLPH14">#REF!</definedName>
    <definedName name="BLPH2">#REF!</definedName>
    <definedName name="BLPH3">#REF!</definedName>
    <definedName name="BLPH4">#REF!</definedName>
    <definedName name="BLPH5">#REF!</definedName>
    <definedName name="BLPH52">#REF!</definedName>
    <definedName name="BLPH53">#REF!</definedName>
    <definedName name="BLPH54">#REF!</definedName>
    <definedName name="BLPH55">#REF!</definedName>
    <definedName name="BLPH56">#REF!</definedName>
    <definedName name="BLPH57">#REF!</definedName>
    <definedName name="BLPH58">#REF!</definedName>
    <definedName name="BLPH59">#REF!</definedName>
    <definedName name="BLPH6">#REF!</definedName>
    <definedName name="BLPH60">#REF!</definedName>
    <definedName name="BLPH61">#REF!</definedName>
    <definedName name="BLPH62">#REF!</definedName>
    <definedName name="BLPH63">#REF!</definedName>
    <definedName name="BLPH68">#REF!</definedName>
    <definedName name="BLPH7">#REF!</definedName>
    <definedName name="BLPH74">#REF!</definedName>
    <definedName name="BLPH75">#REF!</definedName>
    <definedName name="BLPH76">#REF!</definedName>
    <definedName name="BLPH77">#REF!</definedName>
    <definedName name="BLPH78">#REF!</definedName>
    <definedName name="BLPH79">#REF!</definedName>
    <definedName name="BLPH8">#REF!</definedName>
    <definedName name="BLPH80">#REF!</definedName>
    <definedName name="BLPH81">#REF!</definedName>
    <definedName name="BLPH82">#REF!</definedName>
    <definedName name="BLPH83">#REF!</definedName>
    <definedName name="BLPH84">#REF!</definedName>
    <definedName name="BLPH85">#REF!</definedName>
    <definedName name="BLPH86">#REF!</definedName>
    <definedName name="BLPH87">#REF!</definedName>
    <definedName name="BLPH88">#REF!</definedName>
    <definedName name="BLPH89">#REF!</definedName>
    <definedName name="BLPH9">#REF!</definedName>
    <definedName name="BLPH90">#REF!</definedName>
    <definedName name="BLPH91">#REF!</definedName>
    <definedName name="BLPH92">#REF!</definedName>
    <definedName name="BLPH93">#REF!</definedName>
    <definedName name="BLPH94">#REF!</definedName>
    <definedName name="BLPH95">#REF!</definedName>
    <definedName name="BLPH96">#REF!</definedName>
    <definedName name="BLPH97">#REF!</definedName>
    <definedName name="BLPH98">#REF!</definedName>
    <definedName name="BLPH99">#REF!</definedName>
    <definedName name="BLPI1">#REF!</definedName>
    <definedName name="BLPI3">#REF!</definedName>
    <definedName name="BLPI4">#REF!</definedName>
    <definedName name="BLPI5">#REF!</definedName>
    <definedName name="BNE_MESSAGES_HIDDEN">#REF!</definedName>
    <definedName name="bnm">{#N/A,#N/A,FALSE,"REPORT"}</definedName>
    <definedName name="bnnn">{"consolidated",#N/A,FALSE,"Sheet1";"cms",#N/A,FALSE,"Sheet1";"fse",#N/A,FALSE,"Sheet1"}</definedName>
    <definedName name="Bob">#REF!</definedName>
    <definedName name="bpp">{#N/A,#N/A,TRUE,"DCF Summary (2)";#N/A,#N/A,TRUE,"DCF Summary";#N/A,"Middle Case Drivers",TRUE,"DCF"}</definedName>
    <definedName name="Bridge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>{#N/A,#N/A,FALSE,"Job Sched"}</definedName>
    <definedName name="Bullshit">{"Outflow 1",#N/A,FALSE,"Outflows-Inflows";"Outflow 2",#N/A,FALSE,"Outflows-Inflows";"Inflow 1",#N/A,FALSE,"Outflows-Inflows";"Inflow 2",#N/A,FALSE,"Outflows-Inflows"}</definedName>
    <definedName name="Bullshit_1">{"Outflow 1",#N/A,FALSE,"Outflows-Inflows";"Outflow 2",#N/A,FALSE,"Outflows-Inflows";"Inflow 1",#N/A,FALSE,"Outflows-Inflows";"Inflow 2",#N/A,FALSE,"Outflows-Inflows"}</definedName>
    <definedName name="bye">{#N/A,#N/A,FALSE,"Aging Summary";#N/A,#N/A,FALSE,"Ratio Analysis";#N/A,#N/A,FALSE,"Test 120 Day Accts";#N/A,#N/A,FALSE,"Tickmarks"}</definedName>
    <definedName name="bye_1">{#N/A,#N/A,FALSE,"Aging Summary";#N/A,#N/A,FALSE,"Ratio Analysis";#N/A,#N/A,FALSE,"Test 120 Day Accts";#N/A,#N/A,FALSE,"Tickmarks"}</definedName>
    <definedName name="c.LTMYear">#REF!</definedName>
    <definedName name="Campusack">{#N/A,#N/A,TRUE,"97plnfpg"}</definedName>
    <definedName name="Cap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ex">{"bs",#N/A,FALSE,"SCF"}</definedName>
    <definedName name="Capex2">{"bs",#N/A,FALSE,"SCF"}</definedName>
    <definedName name="CapitalStructure">#REF!</definedName>
    <definedName name="casds">{"DCF1",#N/A,FALSE,"SIERRA DCF";"MATRIX1",#N/A,FALSE,"SIERRA DCF"}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BWorkbookPriority">-1980710710</definedName>
    <definedName name="cc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ccc">{#N/A,#N/A,FALSE,"Calc";#N/A,#N/A,FALSE,"Sensitivity";#N/A,#N/A,FALSE,"LT Earn.Dil.";#N/A,#N/A,FALSE,"Dil. AVP"}</definedName>
    <definedName name="cccc">{#N/A,#N/A,FALSE,"Layout Cash Flow"}</definedName>
    <definedName name="ccccc">{#N/A,#N/A,FALSE,"Layout Cash Flow"}</definedName>
    <definedName name="ccccccc">{"rtn",#N/A,FALSE,"RTN";"tables",#N/A,FALSE,"RTN";"cf",#N/A,FALSE,"CF";"stats",#N/A,FALSE,"Stats";"prop",#N/A,FALSE,"Prop"}</definedName>
    <definedName name="ccccccc_1">{"rtn",#N/A,FALSE,"RTN";"tables",#N/A,FALSE,"RTN";"cf",#N/A,FALSE,"CF";"stats",#N/A,FALSE,"Stats";"prop",#N/A,FALSE,"Prop"}</definedName>
    <definedName name="cccccccccccc">{"Outflow 1",#N/A,FALSE,"Outflows-Inflows";"Outflow 2",#N/A,FALSE,"Outflows-Inflows";"Inflow 1",#N/A,FALSE,"Outflows-Inflows";"Inflow 2",#N/A,FALSE,"Outflows-Inflows"}</definedName>
    <definedName name="cccccccccccc_1">{"Outflow 1",#N/A,FALSE,"Outflows-Inflows";"Outflow 2",#N/A,FALSE,"Outflows-Inflows";"Inflow 1",#N/A,FALSE,"Outflows-Inflows";"Inflow 2",#N/A,FALSE,"Outflows-Inflows"}</definedName>
    <definedName name="CCVHKVHKVHKVHKVHKCVHKC">#REF!</definedName>
    <definedName name="cdsc">{#N/A,#N/A,FALSE,"FFCXOUT3"}</definedName>
    <definedName name="CDW">{#N/A,#N/A,FALSE,"Job Sched"}</definedName>
    <definedName name="ChangeRange">#REF!</definedName>
    <definedName name="char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>#REF!</definedName>
    <definedName name="ChartTitle">#REF!</definedName>
    <definedName name="chgcvhgvvg">#REF!</definedName>
    <definedName name="chosie">{#N/A,#N/A,FALSE,"Pharm";#N/A,#N/A,FALSE,"WWCM"}</definedName>
    <definedName name="CIQANR_0de47bf040d24041928f683623764ee8">#REF!</definedName>
    <definedName name="CIQANR_207fc91a7fb04bc5a8ac1a153c013724">#REF!</definedName>
    <definedName name="CIQANR_393fab8b2bae453394ecd03d0046c94d">#REF!</definedName>
    <definedName name="CIQANR_5a577ce641ea41b5a378e5fe2647d2eb">#REF!</definedName>
    <definedName name="CIQANR_626faed3fdfc48f5a2aa424819ce4106">#REF!</definedName>
    <definedName name="CIQANR_7a53ac5db59b4b7194125faebcb36c60">#REF!</definedName>
    <definedName name="CIQANR_7ec3cec2eabd42fc9322934f3f69d669">#REF!</definedName>
    <definedName name="CIQANR_9aef4366fbb042d095a4cfd2c71559e5">#REF!</definedName>
    <definedName name="CIQANR_a9d2f4b95ad94c2a9e17ff8889302769">#REF!</definedName>
    <definedName name="CIQANR_b732830d97c046c58b8ed7734a3432b6">#REF!</definedName>
    <definedName name="CIQANR_d1cb3c82e97a48efb5e25e927c639495">#REF!</definedName>
    <definedName name="CIQANR_d34c605a4a5241d6b7f37e701638c56a">#REF!</definedName>
    <definedName name="CIQANR_da0220a7beac468d97f672cbb23de15e">#REF!</definedName>
    <definedName name="CIQANR_f9f52bdc70d3487e99884b8e8e1628fc">#REF!</definedName>
    <definedName name="CIQWBGuid">"Financials 8-31-2012.xlsx"</definedName>
    <definedName name="CIQWBGuil2">"c74735fe-0900-4227-b020-948d12a31ac8"</definedName>
    <definedName name="cma">#REF!</definedName>
    <definedName name="COGstandard">{#N/A,#N/A,FALSE,"Pharm";#N/A,#N/A,FALSE,"WWCM"}</definedName>
    <definedName name="Column">#REF!</definedName>
    <definedName name="comm">{"PAGE 1",#N/A,FALSE,"WEST_OT"}</definedName>
    <definedName name="comm2">{"PAGE 1",#N/A,FALSE,"WEST_OT"}</definedName>
    <definedName name="comm3">{"PAGE 1",#N/A,FALSE,"WEST_OT"}</definedName>
    <definedName name="commrev2">{"PAGE 1",#N/A,FALSE,"WEST_OT"}</definedName>
    <definedName name="Compad">{#N/A,#N/A,FALSE,"J97plnfp"}</definedName>
    <definedName name="CompanyName1">#REF!</definedName>
    <definedName name="CompanyName2">#REF!</definedName>
    <definedName name="comparison">{"bs",#N/A,FALSE,"SCF"}</definedName>
    <definedName name="Compco1">{"Page1",#N/A,FALSE,"CompCo";"Page2",#N/A,FALSE,"CompCo"}</definedName>
    <definedName name="Compco2">{"Page1",#N/A,FALSE,"CompCo";"Page2",#N/A,FALSE,"CompCo"}</definedName>
    <definedName name="CompRange1Main">#REF!</definedName>
    <definedName name="CompRange2Main">#REF!</definedName>
    <definedName name="CompRange3Main">#REF!</definedName>
    <definedName name="Confidentiality">#REF!</definedName>
    <definedName name="conflict1">#REF!</definedName>
    <definedName name="Confused">#REF!</definedName>
    <definedName name="ContentsHelp">#REF!</definedName>
    <definedName name="COPY">{#N/A,#N/A,FALSE,"Pharm";#N/A,#N/A,FALSE,"WWCM"}</definedName>
    <definedName name="copy1">{#N/A,#N/A,FALSE,"Pharm";#N/A,#N/A,FALSE,"WWCM"}</definedName>
    <definedName name="COPY2">{#N/A,#N/A,FALSE,"Pharm";#N/A,#N/A,FALSE,"WWCM"}</definedName>
    <definedName name="copy233">{#N/A,#N/A,FALSE,"Pharm";#N/A,#N/A,FALSE,"WWCM"}</definedName>
    <definedName name="copy33">{#N/A,#N/A,FALSE,"Pharm";#N/A,#N/A,FALSE,"WWCM"}</definedName>
    <definedName name="copy38">{#N/A,#N/A,FALSE,"Pharm";#N/A,#N/A,FALSE,"WWCM"}</definedName>
    <definedName name="Corporate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pv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ap">{#N/A,#N/A,FALSE,"J97plnfp"}</definedName>
    <definedName name="CreateTable">#REF!</definedName>
    <definedName name="CreditStats">#REF!</definedName>
    <definedName name="Customers">{#N/A,#N/A,FALSE,"1996";#N/A,#N/A,FALSE,"1995";#N/A,#N/A,FALSE,"1994"}</definedName>
    <definedName name="cv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HKCKVHVHKCVHKVHCKVHKC">#REF!</definedName>
    <definedName name="CVHKCVHKKVHVHKCVHKHKCVCVHK">#REF!</definedName>
    <definedName name="CVVKHCVHKVKCVHKVHKKVHVHK">#REF!</definedName>
    <definedName name="Cwvu.ALL.">#REF!,#REF!</definedName>
    <definedName name="Cwvu.CapersView.">#REF!</definedName>
    <definedName name="Cwvu.GREY_ALL.">#REF!</definedName>
    <definedName name="Cwvu.Japan_Capers_Ed_Pub.">#REF!</definedName>
    <definedName name="Cwvu.KJP_CC.">#REF!,#REF!,#REF!,#REF!,#REF!,#REF!,#REF!,#REF!,#REF!,#REF!,#REF!,#REF!,#REF!,#REF!,#REF!,#REF!,#REF!,#REF!,#REF!,#REF!</definedName>
    <definedName name="Cwvu.PRT.">#REF!,#REF!,#REF!,#REF!,#REF!</definedName>
    <definedName name="cxzv">#REF!</definedName>
    <definedName name="D">{#N/A,#N/A,FALSE,"AD_Purch";#N/A,#N/A,FALSE,"Projections";#N/A,#N/A,FALSE,"DCF";#N/A,#N/A,FALSE,"Mkt Val"}</definedName>
    <definedName name="DAD">{#N/A,#N/A,FALSE,"REPORT"}</definedName>
    <definedName name="DADF">{#N/A,#N/A,FALSE,"REPORT"}</definedName>
    <definedName name="dadfa">{"PAGE1",#N/A,FALSE,"ADJMODL";"PAGE2",#N/A,FALSE,"ADJMODL";"PAGE3",#N/A,FALSE,"ADJMODL";"PAGE4",#N/A,FALSE,"ADJMODL";"PAGE5",#N/A,FALSE,"ADJMODL";"PAGE6",#N/A,FALSE,"ADJMODL";"PAGE7",#N/A,FALSE,"ADJMODL";"PAGE8",#N/A,FALSE,"ADJMODL"}</definedName>
    <definedName name="dadsf">#REF!</definedName>
    <definedName name="daf">{#N/A,#N/A,FALSE,"1";#N/A,#N/A,FALSE,"2";#N/A,#N/A,FALSE,"16 - 17";#N/A,#N/A,FALSE,"18 - 19";#N/A,#N/A,FALSE,"26";#N/A,#N/A,FALSE,"27";#N/A,#N/A,FALSE,"28"}</definedName>
    <definedName name="dafd">{"bs",#N/A,FALSE,"SCF"}</definedName>
    <definedName name="dafdsaf">{"incomemth",#N/A,TRUE,"forecast00";"incomepercentmth",#N/A,TRUE,"forecast00";"balancemth",#N/A,TRUE,"forecast00";"cashmth",#N/A,TRUE,"forecast00";"covenantmth",#N/A,TRUE,"forecast00"}</definedName>
    <definedName name="dafdsf">{"qchm_dcf",#N/A,FALSE,"QCHMDCF2";"qchm_terminal",#N/A,FALSE,"QCHMDCF2"}</definedName>
    <definedName name="dafsaf1">{"incomemth",#N/A,TRUE,"forecast00";"incomepercentmth",#N/A,TRUE,"forecast00";"balancemth",#N/A,TRUE,"forecast00";"cashmth",#N/A,TRUE,"forecast00";"covenantmth",#N/A,TRUE,"forecast00"}</definedName>
    <definedName name="dakfkjafgkeaj">{#N/A,#N/A,FALSE,"Pharm";#N/A,#N/A,FALSE,"WWCM"}</definedName>
    <definedName name="Dat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>{"BONUS JOURNAL ENTRY",#N/A,FALSE,"BONUS";"BONUS CALC",#N/A,FALSE,"BONUS";"BONUS DATA",#N/A,FALSE,"BONUS"}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_summary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base.File">#REF!</definedName>
    <definedName name="DateRangeCompMain">#REF!</definedName>
    <definedName name="DateRangePriceMain">#REF!</definedName>
    <definedName name="DateStart">#REF!</definedName>
    <definedName name="db">{#N/A,#N/A,FALSE,"Memo Page";#N/A,#N/A,FALSE,"Flash";#N/A,#N/A,FALSE,"Sls vs Mkt";#N/A,#N/A,FALSE,"YTD";#N/A,#N/A,FALSE,"Brand Detail";#N/A,#N/A,FALSE,"QTR_Index"}</definedName>
    <definedName name="dbed">{"histincome",#N/A,FALSE,"hyfins";"closing balance",#N/A,FALSE,"hyfins"}</definedName>
    <definedName name="dbf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CF">{#N/A,#N/A,FALSE,"Projections";#N/A,#N/A,FALSE,"Multiples Valuation";#N/A,#N/A,FALSE,"LBO";#N/A,#N/A,FALSE,"Multiples_Sensitivity";#N/A,#N/A,FALSE,"Summary"}</definedName>
    <definedName name="DCF_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>{"Opsys",#N/A,FALSE,"NPV_OPsys";"NT",#N/A,FALSE,"NPV_NT";"DevP",#N/A,FALSE,"NPV_DevPdt";"Office",#N/A,FALSE,"NPV_Office"}</definedName>
    <definedName name="ddd">{"histincome",#N/A,FALSE,"hyfins";"closing balance",#N/A,FALSE,"hyfins"}</definedName>
    <definedName name="dddaz">{#N/A,#N/A,FALSE,"Pharm";#N/A,#N/A,FALSE,"WWCM"}</definedName>
    <definedName name="dddd">{"SALARIES",#N/A,FALSE,"SAMPLECC"}</definedName>
    <definedName name="dddddd">{#N/A,#N/A,FALSE,"Pharm";#N/A,#N/A,FALSE,"WWCM"}</definedName>
    <definedName name="ddde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>{#N/A,#N/A,FALSE,"Finanzbedarsrechnung"}</definedName>
    <definedName name="ddfd">#REF!</definedName>
    <definedName name="ddfwd">{"PAGE1",#N/A,FALSE,"ADJMODL";"PAGE2",#N/A,FALSE,"ADJMODL";"PAGE3",#N/A,FALSE,"ADJMODL";"PAGE4",#N/A,FALSE,"ADJMODL";"PAGE5",#N/A,FALSE,"ADJMODL";"PAGE6",#N/A,FALSE,"ADJMODL";"PAGE7",#N/A,FALSE,"ADJMODL";"PAGE8",#N/A,FALSE,"ADJMODL"}</definedName>
    <definedName name="DE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bbie">{"FY03_Assets",#N/A,FALSE,"Fin Stmt Budget";"FY03_Liabilities",#N/A,FALSE,"Fin Stmt Budget";"FY03_Inc_Stmt",#N/A,FALSE,"Fin Stmt Budget";"FY03_SOCF",#N/A,FALSE,"Fin Stmt Budget"}</definedName>
    <definedName name="Debt">{"print 1.6",#N/A,FALSE,"Sheet1";"print 2.6",#N/A,FALSE,"Sheet1";"print 3.6",#N/A,FALSE,"Sheet1";"print 4.6",#N/A,FALSE,"Sheet1";"print 5.6",#N/A,FALSE,"Sheet1";"print 6.6",#N/A,FALSE,"Sheet1"}</definedName>
    <definedName name="Debt_1">{"print 1.6",#N/A,FALSE,"Sheet1";"print 2.6",#N/A,FALSE,"Sheet1";"print 3.6",#N/A,FALSE,"Sheet1";"print 4.6",#N/A,FALSE,"Sheet1";"print 5.6",#N/A,FALSE,"Sheet1";"print 6.6",#N/A,FALSE,"Sheet1"}</definedName>
    <definedName name="DebtService1">{"Outflow 1",#N/A,FALSE,"Outflows-Inflows";"Outflow 2",#N/A,FALSE,"Outflows-Inflows";"Inflow 1",#N/A,FALSE,"Outflows-Inflows";"Inflow 2",#N/A,FALSE,"Outflows-Inflows"}</definedName>
    <definedName name="Dec95JobSched">{#N/A,#N/A,FALSE,"Job Sched"}</definedName>
    <definedName name="dede">{#N/A,#N/A,FALSE,"Pharm";#N/A,#N/A,FALSE,"WWCM"}</definedName>
    <definedName name="DEDED">{#N/A,#N/A,FALSE,"Card";#N/A,#N/A,FALSE,"Prav";#N/A,#N/A,FALSE,"Irbe";#N/A,#N/A,FALSE,"Plavix";#N/A,#N/A,FALSE,"Capt";#N/A,#N/A,FALSE,"Fosi"}</definedName>
    <definedName name="DEDEDZE">{#N/A,#N/A,FALSE,"Pharm";#N/A,#N/A,FALSE,"WWCM"}</definedName>
    <definedName name="DEDZD">{#N/A,#N/A,FALSE,"Pharm";#N/A,#N/A,FALSE,"WWCM"}</definedName>
    <definedName name="DEE">{#N/A,#N/A,FALSE,"Pharm";#N/A,#N/A,FALSE,"WWCM"}</definedName>
    <definedName name="delete">#REF!</definedName>
    <definedName name="DeleteRange">#REF!</definedName>
    <definedName name="DeleteTable">#REF!</definedName>
    <definedName name="DEZLFEZKLHF">{#N/A,#N/A,FALSE,"Pharm";#N/A,#N/A,FALSE,"WWCM"}</definedName>
    <definedName name="df">{"Matrix",#N/A,FALSE,"ACQMTRX";"Fees",#N/A,FALSE,"ACQMTRX"}</definedName>
    <definedName name="dfa">{"Acq_matrix",#N/A,FALSE,"Acquisition Matrix"}</definedName>
    <definedName name="dfd">{"BS",#N/A,FALSE,"USA"}</definedName>
    <definedName name="dfdafadfa">#REF!</definedName>
    <definedName name="dfdas">{"FCB_ALL",#N/A,FALSE,"FCB";"GREY_ALL",#N/A,FALSE,"GREY"}</definedName>
    <definedName name="DFDD">{#N/A,#N/A,FALSE,"REPORT"}</definedName>
    <definedName name="dfdf">{"page1",#N/A,FALSE,"BHCOMPC5";"page2",#N/A,FALSE,"BHCOMPC5";"page3",#N/A,FALSE,"BHCOMPC5";"page4",#N/A,FALSE,"BHCOMPC5"}</definedName>
    <definedName name="dfdfd">{"FCB_ALL",#N/A,FALSE,"FCB";"GREY_ALL",#N/A,FALSE,"GREY"}</definedName>
    <definedName name="dfdfdfd">{#N/A,#N/A,FALSE,"AD_Purchase";#N/A,#N/A,FALSE,"Credit";#N/A,#N/A,FALSE,"PF Acquisition";#N/A,#N/A,FALSE,"PF Offering"}</definedName>
    <definedName name="dfdfdfldsj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HTRH">#REF!</definedName>
    <definedName name="df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HDHDHDH">#REF!</definedName>
    <definedName name="dfhgfgdjgd">{"Matrix",#N/A,FALSE,"ACQMTRX";"Fees",#N/A,FALSE,"ACQMTRX"}</definedName>
    <definedName name="dfhs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jsalkdfjlsadjf">{"PAGE1",#N/A,FALSE,"ADJMODL";"PAGE2",#N/A,FALSE,"ADJMODL";"PAGE3",#N/A,FALSE,"ADJMODL";"PAGE4",#N/A,FALSE,"ADJMODL";"PAGE5",#N/A,FALSE,"ADJMODL";"PAGE6",#N/A,FALSE,"ADJMODL";"PAGE7",#N/A,FALSE,"ADJMODL";"PAGE8",#N/A,FALSE,"ADJMODL"}</definedName>
    <definedName name="dfk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>{#N/A,#N/A,FALSE,"Pharm";#N/A,#N/A,FALSE,"WWCM"}</definedName>
    <definedName name="dfsa">#REF!</definedName>
    <definedName name="dfsafdsa">#REF!</definedName>
    <definedName name="dfsdfd">{"PAGE1",#N/A,FALSE,"ADJMODL";"PAGE2",#N/A,FALSE,"ADJMODL";"PAGE3",#N/A,FALSE,"ADJMODL";"PAGE4",#N/A,FALSE,"ADJMODL";"PAGE5",#N/A,FALSE,"ADJMODL";"PAGE6",#N/A,FALSE,"ADJMODL";"PAGE7",#N/A,FALSE,"ADJMODL";"PAGE8",#N/A,FALSE,"ADJMODL"}</definedName>
    <definedName name="dgdg">{#N/A,#N/A,FALSE,"Calc";#N/A,#N/A,FALSE,"Sensitivity";#N/A,#N/A,FALSE,"LT Earn.Dil.";#N/A,#N/A,FALSE,"Dil. AVP"}</definedName>
    <definedName name="dgdgss">{"consolidated",#N/A,FALSE,"Sheet1";"cms",#N/A,FALSE,"Sheet1";"fse",#N/A,FALSE,"Sheet1"}</definedName>
    <definedName name="Div_Industrial">{"adj95mult",#N/A,FALSE,"COMPCO";"adj95est",#N/A,FALSE,"COMPCO"}</definedName>
    <definedName name="DivFpb">#REF!</definedName>
    <definedName name="djd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dkjf">{"PAGE1",#N/A,FALSE,"ADJMODL";"PAGE2",#N/A,FALSE,"ADJMODL";"PAGE3",#N/A,FALSE,"ADJMODL";"PAGE4",#N/A,FALSE,"ADJMODL";"PAGE5",#N/A,FALSE,"ADJMODL";"PAGE6",#N/A,FALSE,"ADJMODL";"PAGE7",#N/A,FALSE,"ADJMODL";"PAGE8",#N/A,FALSE,"ADJMODL"}</definedName>
    <definedName name="djksljd">{#N/A,#N/A,FALSE,"Other";#N/A,#N/A,FALSE,"Ace";#N/A,#N/A,FALSE,"Derm"}</definedName>
    <definedName name="dkfjdf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>{#N/A,#N/A,FALSE,"Pharm";#N/A,#N/A,FALSE,"WWCM"}</definedName>
    <definedName name="dkj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oh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ug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cv">#REF!</definedName>
    <definedName name="dsfsffss">{#N/A,#N/A,FALSE,"Pharm";#N/A,#N/A,FALSE,"WWCM"}</definedName>
    <definedName name="dsg">{#N/A,#N/A,FALSE,"Calc";#N/A,#N/A,FALSE,"Sensitivity";#N/A,#N/A,FALSE,"LT Earn.Dil.";#N/A,#N/A,FALSE,"Dil. AVP"}</definedName>
    <definedName name="DSHiddenYear1">#REF!</definedName>
    <definedName name="DSHiddenYear2">#REF!</definedName>
    <definedName name="DSHiddenYear3">#REF!</definedName>
    <definedName name="DSHiddenYear4">#REF!</definedName>
    <definedName name="DSIndHiddenYear1">#REF!</definedName>
    <definedName name="DSIndHiddenYear2">#REF!</definedName>
    <definedName name="DSIndHiddenYear3">#REF!</definedName>
    <definedName name="DSIndHiddenYear4">#REF!</definedName>
    <definedName name="DSIndHistHiddenYear1">#REF!</definedName>
    <definedName name="DSIndHistHiddenYear2">#REF!</definedName>
    <definedName name="DSIndHistHiddenYear3">#REF!</definedName>
    <definedName name="DSIndHistHiddenYear4">#REF!</definedName>
    <definedName name="DSIndHistHiddenYear5">#REF!</definedName>
    <definedName name="DSO">{#N/A,#N/A,TRUE,"index";#N/A,#N/A,TRUE,"Summary";#N/A,#N/A,TRUE,"Continuing Business";#N/A,#N/A,TRUE,"Disposals";#N/A,#N/A,TRUE,"Acquisitions";#N/A,#N/A,TRUE,"Actual &amp; Plan Reconciliation"}</definedName>
    <definedName name="dss">{#N/A,#N/A,FALSE,"ACQ_GRAPHS";#N/A,#N/A,FALSE,"T_1 GRAPHS";#N/A,#N/A,FALSE,"T_2 GRAPHS";#N/A,#N/A,FALSE,"COMB_GRAPHS"}</definedName>
    <definedName name="dsss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vdfv">{"VWJECAN",#N/A,FALSE,"D"}</definedName>
    <definedName name="dvsdvef">#REF!</definedName>
    <definedName name="DZ.IndSpec_Left">#REF!</definedName>
    <definedName name="DZ.IndSpec_Right">#REF!</definedName>
    <definedName name="DZ.LTM">#REF!</definedName>
    <definedName name="DZ.LTMPlus">#REF!</definedName>
    <definedName name="e">{#N/A,#N/A,FALSE,"Layout GuV"}</definedName>
    <definedName name="e5yy25y">{#N/A,#N/A,FALSE,"Projections";#N/A,#N/A,FALSE,"Contribution_Stock";#N/A,#N/A,FALSE,"PF_Combo_Stock";#N/A,#N/A,FALSE,"Projections";#N/A,#N/A,FALSE,"Contribution_Cash";#N/A,#N/A,FALSE,"PF_Combo_Cash";#N/A,#N/A,FALSE,"IPO_Cash"}</definedName>
    <definedName name="eaf">#REF!</definedName>
    <definedName name="East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>{"FY04_Assets",#N/A,FALSE,"Fin Stmt Budget";"FY04_Liabilities",#N/A,FALSE,"Fin Stmt Budget";"FY04_Inc_Stmt",#N/A,FALSE,"Fin Stmt Budget";"FY04_SOCF",#N/A,FALSE,"Fin Stmt Budget"}</definedName>
    <definedName name="Eastern">{"FY03_Assets",#N/A,FALSE,"Fin Stmt Budget";"FY03_Liabilities",#N/A,FALSE,"Fin Stmt Budget";"FY03_Inc_Stmt",#N/A,FALSE,"Fin Stmt Budget";"FY03_SOCF",#N/A,FALSE,"Fin Stmt Budget"}</definedName>
    <definedName name="ee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EEE">{#N/A,#N/A,FALSE,"Pharm";#N/A,#N/A,FALSE,"WWCM"}</definedName>
    <definedName name="eeeee">{#N/A,#N/A,FALSE,"Pharm";#N/A,#N/A,FALSE,"WWCM"}</definedName>
    <definedName name="eeeeeeeeeeee">#REF!</definedName>
    <definedName name="eerre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">#REF!</definedName>
    <definedName name="eferferfge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jejejej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TJS">#REF!</definedName>
    <definedName name="ejkfgkjze">{#N/A,#N/A,FALSE,"Pharm";#N/A,#N/A,FALSE,"WWCM"}</definedName>
    <definedName name="EJTRJ">#REF!</definedName>
    <definedName name="emily">{#N/A,#N/A,FALSE,"Calc";#N/A,#N/A,FALSE,"Sensitivity";#N/A,#N/A,FALSE,"LT Earn.Dil.";#N/A,#N/A,FALSE,"Dil. AVP"}</definedName>
    <definedName name="Eng">{"PAGE 1",#N/A,FALSE,"WEST_OT"}</definedName>
    <definedName name="ER">#REF!</definedName>
    <definedName name="EraseMe">{#N/A,#N/A,FALSE,"Job Sched"}</definedName>
    <definedName name="erd">{#N/A,#N/A,FALSE,"Pharm";#N/A,#N/A,FALSE,"WWCM"}</definedName>
    <definedName name="ERJWEAS">#REF!</definedName>
    <definedName name="erryeyetyuu">{#N/A,#N/A,FALSE,"Pharm";#N/A,#N/A,FALSE,"WWCM"}</definedName>
    <definedName name="er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ertdftr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dsfe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rtsd">{"cap_structure",#N/A,FALSE,"Graph-Mkt Cap";"price",#N/A,FALSE,"Graph-Price";"ebit",#N/A,FALSE,"Graph-EBITDA";"ebitda",#N/A,FALSE,"Graph-EBITDA"}</definedName>
    <definedName name="ERTYY">#REF!</definedName>
    <definedName name="ERWERHH">#REF!</definedName>
    <definedName name="erwtr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sf">#REF!</definedName>
    <definedName name="ESSAI">{#N/A,#N/A,FALSE,"Pharm";#N/A,#N/A,FALSE,"WWCM"}</definedName>
    <definedName name="etet">{#N/A,#N/A,FALSE,"Calc";#N/A,#N/A,FALSE,"Sensitivity";#N/A,#N/A,FALSE,"LT Earn.Dil.";#N/A,#N/A,FALSE,"Dil. AVP"}</definedName>
    <definedName name="ETJTRJRJ">#REF!</definedName>
    <definedName name="etr">{#N/A,#N/A,FALSE,"FACTSHEETS";#N/A,#N/A,FALSE,"pump";#N/A,#N/A,FALSE,"filter"}</definedName>
    <definedName name="ETRJE">#REF!</definedName>
    <definedName name="ETSKTRKTRKTRKTRK">#REF!</definedName>
    <definedName name="EUROPE">{#N/A,#N/A,FALSE,"Est97";#N/A,#N/A,FALSE,"Plan98";#N/A,#N/A,FALSE,"Graphs";#N/A,#N/A,FALSE,"5Yr"}</definedName>
    <definedName name="EV__CVPARAMS__">"Any by Any!$B$15:$C$36;"</definedName>
    <definedName name="EV__DECIMALSYMBOL__">"."</definedName>
    <definedName name="EV__EVCOM_OPTIONS__">8</definedName>
    <definedName name="EV__EXPOPTIONS__">0</definedName>
    <definedName name="EV__LASTREFTIME__">41613.6635416666</definedName>
    <definedName name="EV__LOCKEDCVW__FINANCE">"INCOME_STATEMENT,ACTUAL,TOTWITHALLOC,Madras_Chem_BU,All_Interco,USD,2012.MAR,ALL_VENDORS,PERIODIC,"</definedName>
    <definedName name="EV__LOCKSTATUS__">2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134217783</definedName>
    <definedName name="EV__WBVERSION__">0</definedName>
    <definedName name="EV_LASTREFTIME">38943.6463310185</definedName>
    <definedName name="ewg">#REF!</definedName>
    <definedName name="ewgw">{#N/A,#N/A,FALSE,"Admin";#N/A,#N/A,FALSE,"Other"}</definedName>
    <definedName name="ewr">#REF!</definedName>
    <definedName name="ewrew">{#N/A,#N/A,FALSE,"Projections";#N/A,#N/A,FALSE,"Multiples Valuation";#N/A,#N/A,FALSE,"LBO";#N/A,#N/A,FALSE,"Multiples_Sensitivity";#N/A,#N/A,FALSE,"Summary"}</definedName>
    <definedName name="ewrfsdtr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ysdfer">{"inputs raw data",#N/A,TRUE,"INPUT"}</definedName>
    <definedName name="ewwe">{#N/A,#N/A,FALSE,"REPORT"}</definedName>
    <definedName name="ExactAddinReports">1</definedName>
    <definedName name="Exchange_Rates">#REF!</definedName>
    <definedName name="ExecSummary">{#N/A,#N/A,FALSE,"J97plnfp"}</definedName>
    <definedName name="ExRate_Yr1">#REF!</definedName>
    <definedName name="ExRate_Yr2">#REF!</definedName>
    <definedName name="ExRate_Yr3">#REF!</definedName>
    <definedName name="ExRate_Yr4">#REF!</definedName>
    <definedName name="ExRate_Yr5">#REF!</definedName>
    <definedName name="ExRate_Yr6">#REF!</definedName>
    <definedName name="ExRate_Yr7">#REF!</definedName>
    <definedName name="ExRateLTM_Yr1">#REF!</definedName>
    <definedName name="ExRateLTM_Yr2">#REF!</definedName>
    <definedName name="ExRateLTM_Yr3">#REF!</definedName>
    <definedName name="f">{#N/A,#N/A,FALSE,"Layout Aktiva";#N/A,#N/A,FALSE,"Layout Passiva";#N/A,#N/A,FALSE,"Layout GuV";#N/A,#N/A,FALSE,"Layout Cash Flow";#N/A,#N/A,FALSE,"Mittelherkunft";#N/A,#N/A,FALSE,"Mittelverwendung";#N/A,#N/A,FALSE,"Finanzbedarsrechnung"}</definedName>
    <definedName name="fasdfs">{#N/A,#N/A,FALSE,"Aging Summary";#N/A,#N/A,FALSE,"Ratio Analysis";#N/A,#N/A,FALSE,"Test 120 Day Accts";#N/A,#N/A,FALSE,"Tickmarks"}</definedName>
    <definedName name="fcd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uk">{"by departments",#N/A,TRUE,"FORECAST";"cap_headcount",#N/A,TRUE,"FORECAST";"summary",#N/A,TRUE,"FORECAST"}</definedName>
    <definedName name="fdasfasd">{"bs",#N/A,FALSE,"SCF"}</definedName>
    <definedName name="fdf">{"incomemth",#N/A,TRUE,"forecast00";"incomepercentmth",#N/A,TRUE,"forecast00";"balancemth",#N/A,TRUE,"forecast00";"cashmth",#N/A,TRUE,"forecast00";"covenantmth",#N/A,TRUE,"forecast00"}</definedName>
    <definedName name="F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hdf">{"inputs raw data",#N/A,TRUE,"INPUT"}</definedName>
    <definedName name="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>{"incomemth",#N/A,TRUE,"forecast00";"incomepercentmth",#N/A,TRUE,"forecast00";"balancemth",#N/A,TRUE,"forecast00";"cashmth",#N/A,TRUE,"forecast00";"covenantmth",#N/A,TRUE,"forecast00"}</definedName>
    <definedName name="FDP_0_1_aUrv">#REF!</definedName>
    <definedName name="FDP_1_1_aUrv">#REF!</definedName>
    <definedName name="FDP_10_1_aUrv">#REF!</definedName>
    <definedName name="FDP_100_1_aUrv">#REF!</definedName>
    <definedName name="FDP_101_1_aUrv">#REF!</definedName>
    <definedName name="FDP_102_1_aUrv">#REF!</definedName>
    <definedName name="FDP_103_1_aUrv">#REF!</definedName>
    <definedName name="FDP_104_1_aUrv">#REF!</definedName>
    <definedName name="FDP_105_1_aUrv">#REF!</definedName>
    <definedName name="FDP_106_1_aUrv">#REF!</definedName>
    <definedName name="FDP_107_1_aUrv">#REF!</definedName>
    <definedName name="FDP_108_1_aUrv">#REF!</definedName>
    <definedName name="FDP_109_1_aUrv">#REF!</definedName>
    <definedName name="FDP_11_1_aDrv">#REF!</definedName>
    <definedName name="FDP_110_1_aUrv">#REF!</definedName>
    <definedName name="FDP_111_1_aUrv">#REF!</definedName>
    <definedName name="FDP_112_1_aUrv">#REF!</definedName>
    <definedName name="FDP_113_1_aUrv">#REF!</definedName>
    <definedName name="FDP_114_1_aUrv">#REF!</definedName>
    <definedName name="FDP_115_1_aUrv">#REF!</definedName>
    <definedName name="FDP_116_1_aUrv">#REF!</definedName>
    <definedName name="FDP_117_1_aUrv">#REF!</definedName>
    <definedName name="FDP_118_1_aUrv">#REF!</definedName>
    <definedName name="FDP_119_1_aUrv">#REF!</definedName>
    <definedName name="FDP_12_1_aDrv">#REF!</definedName>
    <definedName name="FDP_120_1_aUrv">#REF!</definedName>
    <definedName name="FDP_121_1_aUrv">#REF!</definedName>
    <definedName name="FDP_122_1_aUrv">#REF!</definedName>
    <definedName name="FDP_123_1_aUrv">#REF!</definedName>
    <definedName name="FDP_124_1_aUrv">#REF!</definedName>
    <definedName name="FDP_125_1_aUrv">#REF!</definedName>
    <definedName name="FDP_126_1_aUrv">#REF!</definedName>
    <definedName name="FDP_127_1_aUrv">#REF!</definedName>
    <definedName name="FDP_128_1_aUrv">#REF!</definedName>
    <definedName name="FDP_129_1_aUrv">#REF!</definedName>
    <definedName name="FDP_13_1_aDrv">#REF!</definedName>
    <definedName name="FDP_130_1_aUrv">#REF!</definedName>
    <definedName name="FDP_131_1_aUrv">#REF!</definedName>
    <definedName name="FDP_132_1_aUrv">#REF!</definedName>
    <definedName name="FDP_133_1_aUrv">#REF!</definedName>
    <definedName name="FDP_134_1_aUrv">#REF!</definedName>
    <definedName name="FDP_135_1_aUrv">#REF!</definedName>
    <definedName name="FDP_136_1_aSrv">#REF!</definedName>
    <definedName name="FDP_137_1_aUrv">#REF!</definedName>
    <definedName name="FDP_138_1_aUrv">#REF!</definedName>
    <definedName name="FDP_139_1_aUrv">#REF!</definedName>
    <definedName name="FDP_14_1_aDrv">#REF!</definedName>
    <definedName name="FDP_140_1_aUrv">#REF!</definedName>
    <definedName name="FDP_141_1_aSrv">#REF!</definedName>
    <definedName name="FDP_142_1_aUrv">#REF!</definedName>
    <definedName name="FDP_143_1_aUrv">#REF!</definedName>
    <definedName name="FDP_144_1_aUrv">#REF!</definedName>
    <definedName name="FDP_145_1_aUrv">#REF!</definedName>
    <definedName name="FDP_146_1_aUrv">#REF!</definedName>
    <definedName name="FDP_147_1_aUrv">#REF!</definedName>
    <definedName name="FDP_148_1_aUrv">#REF!</definedName>
    <definedName name="FDP_149_1_aUrv">#REF!</definedName>
    <definedName name="FDP_15_1_aUrv">#REF!</definedName>
    <definedName name="FDP_150_1_aUrv">#REF!</definedName>
    <definedName name="FDP_151_1_aUrv">#REF!</definedName>
    <definedName name="FDP_152_1_aUrv">#REF!</definedName>
    <definedName name="FDP_153_1_aUrv">#REF!</definedName>
    <definedName name="FDP_154_1_aUrv">#REF!</definedName>
    <definedName name="FDP_155_1_aSrv">#REF!</definedName>
    <definedName name="FDP_156_1_aUrv">#REF!</definedName>
    <definedName name="FDP_157_1_aSrv">#REF!</definedName>
    <definedName name="FDP_158_1_aUrv">#REF!</definedName>
    <definedName name="FDP_159_1_aSrv">#REF!</definedName>
    <definedName name="FDP_16_1_aDrv">#REF!</definedName>
    <definedName name="FDP_160_1_aUrv">#REF!</definedName>
    <definedName name="FDP_161_1_aSrv">#REF!</definedName>
    <definedName name="FDP_162_1_aUrv">#REF!</definedName>
    <definedName name="FDP_163_1_aSrv">#REF!</definedName>
    <definedName name="FDP_164_1_aUrv">#REF!</definedName>
    <definedName name="FDP_165_1_aSrv">#REF!</definedName>
    <definedName name="FDP_166_1_aDrv">#REF!</definedName>
    <definedName name="FDP_167_1_aDrv">#REF!</definedName>
    <definedName name="FDP_168_1_aDrv">#REF!</definedName>
    <definedName name="FDP_169_1_aDrv">#REF!</definedName>
    <definedName name="FDP_17_1_aUrv">#REF!</definedName>
    <definedName name="FDP_170_1_aDrv">#REF!</definedName>
    <definedName name="FDP_171_1_aDrv">#REF!</definedName>
    <definedName name="FDP_172_1_aDrv">#REF!</definedName>
    <definedName name="FDP_173_1_aDrv">#REF!</definedName>
    <definedName name="FDP_174_1_aDrv">#REF!</definedName>
    <definedName name="FDP_175_1_aDrv">#REF!</definedName>
    <definedName name="FDP_176_1_aDrv">#REF!</definedName>
    <definedName name="FDP_177_1_aDrv">#REF!</definedName>
    <definedName name="FDP_178_1_aDrv">#REF!</definedName>
    <definedName name="FDP_179_1_aUrv">#REF!</definedName>
    <definedName name="FDP_18_1_aUrv">#REF!</definedName>
    <definedName name="FDP_180_1_aUrv">#REF!</definedName>
    <definedName name="FDP_181_1_aUrv">#REF!</definedName>
    <definedName name="FDP_182_1_aDrv">#REF!</definedName>
    <definedName name="FDP_183_1_aDrv">#REF!</definedName>
    <definedName name="FDP_184_1_aUdv">#REF!</definedName>
    <definedName name="FDP_185_1_aUdv">#REF!</definedName>
    <definedName name="FDP_186_1_aUdv">#REF!</definedName>
    <definedName name="FDP_187_1_aUdv">#REF!</definedName>
    <definedName name="FDP_188_1_aUdv">#REF!</definedName>
    <definedName name="FDP_189_1_aUdv">#REF!</definedName>
    <definedName name="FDP_19_1_aDrv">#REF!</definedName>
    <definedName name="FDP_190_1_aUdv">#REF!</definedName>
    <definedName name="FDP_191_1_aUdv">#REF!</definedName>
    <definedName name="FDP_192_1_aUdv">#REF!</definedName>
    <definedName name="FDP_193_1_aUdv">#REF!</definedName>
    <definedName name="FDP_194_1_aUdv">#REF!</definedName>
    <definedName name="FDP_195_1_aUdv">#REF!</definedName>
    <definedName name="FDP_196_1_aUdv">#REF!</definedName>
    <definedName name="FDP_197_1_aUdv">#REF!</definedName>
    <definedName name="FDP_198_1_aUdv">#REF!</definedName>
    <definedName name="FDP_199_1_aUdv">#REF!</definedName>
    <definedName name="FDP_2_1_aUrv">#REF!</definedName>
    <definedName name="FDP_20_1_aDrv">#REF!</definedName>
    <definedName name="FDP_200_1_aDdv">#REF!</definedName>
    <definedName name="FDP_201_1_aDdv">#REF!</definedName>
    <definedName name="FDP_202_1_aDdv">#REF!</definedName>
    <definedName name="FDP_203_1_aDdv">#REF!</definedName>
    <definedName name="FDP_204_1_aUrv">#REF!</definedName>
    <definedName name="FDP_205_1_aUrv">#REF!</definedName>
    <definedName name="FDP_206_1_aDrv">#REF!</definedName>
    <definedName name="FDP_21_1_aDrv">#REF!</definedName>
    <definedName name="FDP_22_1_aDrv">#REF!</definedName>
    <definedName name="FDP_23_1_aDrv">#REF!</definedName>
    <definedName name="FDP_24_1_aDrv">#REF!</definedName>
    <definedName name="FDP_25_1_aUrv">#REF!</definedName>
    <definedName name="FDP_26_1_aUrv">#REF!</definedName>
    <definedName name="FDP_27_1_aDrv">#REF!</definedName>
    <definedName name="FDP_28_1_aUrv">#REF!</definedName>
    <definedName name="FDP_29_1_aUrv">#REF!</definedName>
    <definedName name="FDP_3_1_aUrv">#REF!</definedName>
    <definedName name="FDP_30_1_aUrv">#REF!</definedName>
    <definedName name="FDP_31_1_aUrv">#REF!</definedName>
    <definedName name="FDP_32_1_aUrv">#REF!</definedName>
    <definedName name="FDP_33_1_aDrv">#REF!</definedName>
    <definedName name="FDP_34_1_aUrv">#REF!</definedName>
    <definedName name="FDP_35_1_aUrv">#REF!</definedName>
    <definedName name="FDP_36_1_aUrv">#REF!</definedName>
    <definedName name="FDP_37_1_aUrv">#REF!</definedName>
    <definedName name="FDP_38_1_aUrv">#REF!</definedName>
    <definedName name="FDP_39_1_aSrv">#REF!</definedName>
    <definedName name="FDP_4_1_aSrv">#REF!</definedName>
    <definedName name="FDP_40_1_aUrv">#REF!</definedName>
    <definedName name="FDP_41_1_aUrv">#REF!</definedName>
    <definedName name="FDP_42_1_aUrv">#REF!</definedName>
    <definedName name="FDP_43_1_aUrv">#REF!</definedName>
    <definedName name="FDP_44_1_aUrv">#REF!</definedName>
    <definedName name="FDP_45_1_aSrv">#REF!</definedName>
    <definedName name="FDP_46_1_aSrv">#REF!</definedName>
    <definedName name="FDP_47_1_aUrv">#REF!</definedName>
    <definedName name="FDP_48_1_aUrv">#REF!</definedName>
    <definedName name="FDP_49_1_aUrv">#REF!</definedName>
    <definedName name="FDP_5_1_aDrv">#REF!</definedName>
    <definedName name="FDP_50_1_aUrv">#REF!</definedName>
    <definedName name="FDP_51_1_aUrv">#REF!</definedName>
    <definedName name="FDP_52_1_aSrv">#REF!</definedName>
    <definedName name="FDP_53_1_aUrv">#REF!</definedName>
    <definedName name="FDP_54_1_aUrv">#REF!</definedName>
    <definedName name="FDP_55_1_aUrv">#REF!</definedName>
    <definedName name="FDP_56_1_aUrv">#REF!</definedName>
    <definedName name="FDP_57_1_aUrv">#REF!</definedName>
    <definedName name="FDP_58_1_aUrv">#REF!</definedName>
    <definedName name="FDP_59_1_aUrv">#REF!</definedName>
    <definedName name="FDP_6_1_aSrv">#REF!</definedName>
    <definedName name="FDP_60_1_aUrv">#REF!</definedName>
    <definedName name="FDP_61_1_aUrv">#REF!</definedName>
    <definedName name="FDP_62_1_aUrv">#REF!</definedName>
    <definedName name="FDP_63_1_aUrv">#REF!</definedName>
    <definedName name="FDP_64_1_aUrv">#REF!</definedName>
    <definedName name="FDP_65_1_aSrv">#REF!</definedName>
    <definedName name="FDP_66_1_aSrv">#REF!</definedName>
    <definedName name="FDP_67_1_aUrv">#REF!</definedName>
    <definedName name="FDP_68_1_aSrv">#REF!</definedName>
    <definedName name="FDP_69_1_aSrv">#REF!</definedName>
    <definedName name="FDP_7_1_aSrv">#REF!</definedName>
    <definedName name="FDP_70_1_aUrv">#REF!</definedName>
    <definedName name="FDP_71_1_aUrv">#REF!</definedName>
    <definedName name="FDP_72_1_aUrv">#REF!</definedName>
    <definedName name="FDP_73_1_aSrv">#REF!</definedName>
    <definedName name="FDP_74_1_aDrv">#REF!</definedName>
    <definedName name="FDP_75_1_aUrv">#REF!</definedName>
    <definedName name="FDP_76_1_aDrv">#REF!</definedName>
    <definedName name="FDP_77_1_aUrv">#REF!</definedName>
    <definedName name="FDP_78_1_aSrv">#REF!</definedName>
    <definedName name="FDP_79_1_aUrv">#REF!</definedName>
    <definedName name="FDP_8_1_aUrv">#REF!</definedName>
    <definedName name="FDP_80_1_aSrv">#REF!</definedName>
    <definedName name="FDP_81_1_aUrv">#REF!</definedName>
    <definedName name="FDP_82_1_aUrv">#REF!</definedName>
    <definedName name="FDP_83_1_aUrv">#REF!</definedName>
    <definedName name="FDP_84_1_aUrv">#REF!</definedName>
    <definedName name="FDP_85_1_aUrv">#REF!</definedName>
    <definedName name="FDP_86_1_aSrv">#REF!</definedName>
    <definedName name="FDP_87_1_aUrv">#REF!</definedName>
    <definedName name="FDP_88_1_aSrv">#REF!</definedName>
    <definedName name="FDP_89_1_aUrv">#REF!</definedName>
    <definedName name="FDP_9_1_aSrv">#REF!</definedName>
    <definedName name="FDP_90_1_aUrv">#REF!</definedName>
    <definedName name="FDP_91_1_aUrv">#REF!</definedName>
    <definedName name="FDP_92_1_aSrv">#REF!</definedName>
    <definedName name="FDP_93_1_aUrv">#REF!</definedName>
    <definedName name="FDP_94_1_aSrv">#REF!</definedName>
    <definedName name="FDP_95_1_aUrv">#REF!</definedName>
    <definedName name="FDP_96_1_aUrv">#REF!</definedName>
    <definedName name="FDP_97_1_aSrv">#REF!</definedName>
    <definedName name="FDP_98_1_aDrv">#REF!</definedName>
    <definedName name="FDP_99_1_aUrv">#REF!</definedName>
    <definedName name="fds">{#N/A,#N/A,FALSE,"Pharm";#N/A,#N/A,FALSE,"WWCM"}</definedName>
    <definedName name="fdsa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fsd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>{"incomemth",#N/A,TRUE,"forecast00";"incomepercentmth",#N/A,TRUE,"forecast00";"balancemth",#N/A,TRUE,"forecast00";"cashmth",#N/A,TRUE,"forecast00";"covenantmth",#N/A,TRUE,"forecast00"}</definedName>
    <definedName name="fdsg1">{"incomemth",#N/A,TRUE,"forecast00";"incomepercentmth",#N/A,TRUE,"forecast00";"balancemth",#N/A,TRUE,"forecast00";"cashmth",#N/A,TRUE,"forecast00";"covenantmth",#N/A,TRUE,"forecast00"}</definedName>
    <definedName name="fdskj">{#N/A,#N/A,FALSE,"Model";#N/A,#N/A,FALSE,"Division"}</definedName>
    <definedName name="fe">{#N/A,#N/A,FALSE,"Layout GuV"}</definedName>
    <definedName name="fe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fs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DF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>{#N/A,#N/A,FALSE,"Pharm";#N/A,#N/A,FALSE,"WWCM"}</definedName>
    <definedName name="ffff">{"SALESSCHED",#N/A,FALSE,"SAMPLECC"}</definedName>
    <definedName name="ff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ff">{#N/A,#N/A,FALSE,"Pharm";#N/A,#N/A,FALSE,"WWCM"}</definedName>
    <definedName name="ffy">{#N/A,#N/A,FALSE,"FY97";#N/A,#N/A,FALSE,"FY98";#N/A,#N/A,FALSE,"FY99";#N/A,#N/A,FALSE,"FY00";#N/A,#N/A,FALSE,"FY01"}</definedName>
    <definedName name="fg">{#N/A,#N/A,FALSE,"REPORT"}</definedName>
    <definedName name="fgefgef">{"qchm_dcf",#N/A,FALSE,"QCHMDCF2";"qchm_terminal",#N/A,FALSE,"QCHMDCF2"}</definedName>
    <definedName name="fgg">#REF!</definedName>
    <definedName name="fgkjkh">{#N/A,#N/A,FALSE,"REPORT"}</definedName>
    <definedName name="fgsg">{"consolidated",#N/A,FALSE,"Sheet1";"cms",#N/A,FALSE,"Sheet1";"fse",#N/A,FALSE,"Sheet1"}</definedName>
    <definedName name="FHJ">#REF!</definedName>
    <definedName name="fhrghgrd">{"DCF1",#N/A,FALSE,"SIERRA DCF";"MATRIX1",#N/A,FALSE,"SIERRA DCF"}</definedName>
    <definedName name="fill2">#REF!</definedName>
    <definedName name="financials">{"PAGE1",#N/A,FALSE,"BID (3)";"PAGE2",#N/A,FALSE,"BID (3)"}</definedName>
    <definedName name="FirstPlotDate">#REF!</definedName>
    <definedName name="FJEZK">{#N/A,#N/A,FALSE,"Pharm";#N/A,#N/A,FALSE,"WWCM"}</definedName>
    <definedName name="fjlk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ootnote5">#REF!</definedName>
    <definedName name="Footnote6">#REF!</definedName>
    <definedName name="Footnote7">#REF!</definedName>
    <definedName name="Footnote8">#REF!</definedName>
    <definedName name="forgeti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r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F">{#N/A,#N/A,FALSE,"1";#N/A,#N/A,FALSE,"2";#N/A,#N/A,FALSE,"16 - 17";#N/A,#N/A,FALSE,"18 - 19";#N/A,#N/A,FALSE,"26";#N/A,#N/A,FALSE,"27";#N/A,#N/A,FALSE,"28"}</definedName>
    <definedName name="FRFERFE">{#N/A,#N/A,FALSE,"Pharm";#N/A,#N/A,FALSE,"WWCM"}</definedName>
    <definedName name="fs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fsa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sd">{"inputs raw data",#N/A,TRUE,"INPUT"}</definedName>
    <definedName name="fsda">#REF!</definedName>
    <definedName name="fsdfdfa">{"page1",#N/A,FALSE,"BHCOMPC5";"page2",#N/A,FALSE,"BHCOMPC5";"page3",#N/A,FALSE,"BHCOMPC5";"page4",#N/A,FALSE,"BHCOMPC5"}</definedName>
    <definedName name="fsfs">{#N/A,#N/A,FALSE,"Calc";#N/A,#N/A,FALSE,"Sensitivity";#N/A,#N/A,FALSE,"LT Earn.Dil.";#N/A,#N/A,FALSE,"Dil. AVP"}</definedName>
    <definedName name="fsssa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uck">{"by departments",#N/A,TRUE,"FORECAST";"cap_headcount",#N/A,TRUE,"FORECAST";"summary",#N/A,TRUE,"FORECAST"}</definedName>
    <definedName name="fuckme">{"SUMMARY",#N/A,TRUE,"SUMMARY";"compare",#N/A,TRUE,"Vs. Bus Plan";"ratios",#N/A,TRUE,"Ratios";"REVENUE",#N/A,TRUE,"Revenue";"expenses",#N/A,TRUE,"1996 budget";"payroll",#N/A,TRUE,"Payroll"}</definedName>
    <definedName name="fundIV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VG">{#N/A,#N/A,FALSE,"Pharm";#N/A,#N/A,FALSE,"WWCM"}</definedName>
    <definedName name="FWEg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">{#N/A,#N/A,FALSE,"Pharm";#N/A,#N/A,FALSE,"WWCM"}</definedName>
    <definedName name="GA">{#N/A,#N/A,FALSE,"Job Sched"}</definedName>
    <definedName name="gdfgdf">{#N/A,#N/A,FALSE,"Pharm";#N/A,#N/A,FALSE,"WWCM"}</definedName>
    <definedName name="gdgd">{#N/A,#N/A,FALSE,"Calc";#N/A,#N/A,FALSE,"Sensitivity";#N/A,#N/A,FALSE,"LT Earn.Dil.";#N/A,#N/A,FALSE,"Dil. AVP"}</definedName>
    <definedName name="GeelCapexFcs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>#REF!</definedName>
    <definedName name="geww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>{"incomemth",#N/A,TRUE,"forecast00";"incomepercentmth",#N/A,TRUE,"forecast00";"balancemth",#N/A,TRUE,"forecast00";"cashmth",#N/A,TRUE,"forecast00";"covenantmth",#N/A,TRUE,"forecast00"}</definedName>
    <definedName name="gfdjhjh">{#N/A,#N/A,FALSE,"Pharm";#N/A,#N/A,FALSE,"WWCM"}</definedName>
    <definedName name="gfsd">{"consolidated",#N/A,FALSE,"Sheet1";"cms",#N/A,FALSE,"Sheet1";"fse",#N/A,FALSE,"Sheet1"}</definedName>
    <definedName name="GG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g">{#N/A,#N/A,FALSE,"A"}</definedName>
    <definedName name="ghjggjh">{#N/A,#N/A,FALSE,"Pharm";#N/A,#N/A,FALSE,"WWCM"}</definedName>
    <definedName name="ghjyt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leacher">{"COSTCENTER",#N/A,FALSE,"SAMPLECC";"SALARIES",#N/A,FALSE,"SAMPLECC";"SALESSCHED",#N/A,FALSE,"SAMPLECC";"REVIEW",#N/A,FALSE,"SAMPLECC"}</definedName>
    <definedName name="Global1">{#N/A,#N/A,FALSE,"Pharm";#N/A,#N/A,FALSE,"WWCM"}</definedName>
    <definedName name="gods">{"consolidated",#N/A,FALSE,"Sheet1";"cms",#N/A,FALSE,"Sheet1";"fse",#N/A,FALSE,"Sheet1"}</definedName>
    <definedName name="gooch">{#N/A,#N/A,FALSE,"Projections";#N/A,#N/A,FALSE,"Multiples Valuation";#N/A,#N/A,FALSE,"LBO";#N/A,#N/A,FALSE,"Multiples_Sensitivity";#N/A,#N/A,FALSE,"Summary"}</definedName>
    <definedName name="gors">{"var_page",#N/A,FALSE,"template"}</definedName>
    <definedName name="got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o">{#N/A,#N/A,FALSE,"PRO FORMA FINANCIALS"}</definedName>
    <definedName name="graph">{#N/A,#N/A,FALSE,"REPORT"}</definedName>
    <definedName name="grapha1">#REF!</definedName>
    <definedName name="GraphPage">#REF!</definedName>
    <definedName name="GREG_wrn.Bonus.">{"BONUS JOURNAL ENTRY",#N/A,FALSE,"BONUS";"BONUS CALC",#N/A,FALSE,"BONUS";"BONUS DATA",#N/A,FALSE,"BONUS"}</definedName>
    <definedName name="Gridlines">#REF!</definedName>
    <definedName name="gui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h">{#N/A,#N/A,FALSE,"REPORT"}</definedName>
    <definedName name="hdd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ello">{"rtn",#N/A,FALSE,"RTN";"tables",#N/A,FALSE,"RTN";"cf",#N/A,FALSE,"CF";"stats",#N/A,FALSE,"Stats";"prop",#N/A,FALSE,"Prop"}</definedName>
    <definedName name="Hello_1">{"rtn",#N/A,FALSE,"RTN";"tables",#N/A,FALSE,"RTN";"cf",#N/A,FALSE,"CF";"stats",#N/A,FALSE,"Stats";"prop",#N/A,FALSE,"Prop"}</definedName>
    <definedName name="heryyw">{"Outflow 1",#N/A,FALSE,"Outflows-Inflows";"Outflow 2",#N/A,FALSE,"Outflows-Inflows";"Inflow 1",#N/A,FALSE,"Outflows-Inflows";"Inflow 2",#N/A,FALSE,"Outflows-Inflows"}</definedName>
    <definedName name="heryyw_1">{"Outflow 1",#N/A,FALSE,"Outflows-Inflows";"Outflow 2",#N/A,FALSE,"Outflows-Inflows";"Inflow 1",#N/A,FALSE,"Outflows-Inflows";"Inflow 2",#N/A,FALSE,"Outflows-Inflows"}</definedName>
    <definedName name="HFinGraph">{#N/A,#N/A,FALSE,"Pharm";#N/A,#N/A,FALSE,"WWCM"}</definedName>
    <definedName name="hg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DF">#REF!</definedName>
    <definedName name="hgjhg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hgjghj">{"DCF1",#N/A,FALSE,"SIERRA DCF";"MATRIX1",#N/A,FALSE,"SIERRA DCF"}</definedName>
    <definedName name="hhh">{#N/A,#N/A,FALSE,"PRO FORMA FINANCIALS"}</definedName>
    <definedName name="hhh_1">{"Outflow 1",#N/A,FALSE,"Outflows-Inflows";"Outflow 2",#N/A,FALSE,"Outflows-Inflows";"Inflow 1",#N/A,FALSE,"Outflows-Inflows";"Inflow 2",#N/A,FALSE,"Outflows-Inflows"}</definedName>
    <definedName name="Hibh">{#N/A,#N/A,FALSE,"Pharm";#N/A,#N/A,FALSE,"WWCM"}</definedName>
    <definedName name="High">{#N/A,#N/A,FALSE,"Pharm";#N/A,#N/A,FALSE,"WWCM"}</definedName>
    <definedName name="hjhjffukfuk">{#N/A,#N/A,FALSE,"Pharm";#N/A,#N/A,FALSE,"WWCM"}</definedName>
    <definedName name="hjhjfkfukywrte">{#N/A,#N/A,FALSE,"Pharm";#N/A,#N/A,FALSE,"WWCM"}</definedName>
    <definedName name="hjhkjkl">{#N/A,#N/A,FALSE,"Pharm";#N/A,#N/A,FALSE,"WWCM"}</definedName>
    <definedName name="hjjjkk">{#N/A,#N/A,FALSE,"REPORT"}</definedName>
    <definedName name="hjjkk">{#N/A,#N/A,FALSE,"Pharm";#N/A,#N/A,FALSE,"WWCM"}</definedName>
    <definedName name="hjkk">{#N/A,#N/A,FALSE,"Pharm";#N/A,#N/A,FALSE,"WWCM"}</definedName>
    <definedName name="HKSH">{#N/A,#N/A,FALSE,"REPORT"}</definedName>
    <definedName name="HMG">{#N/A,#N/A,FALSE,"REPORT"}</definedName>
    <definedName name="hn._I006">#REF!</definedName>
    <definedName name="hn._I018">#REF!</definedName>
    <definedName name="hn._I024">#REF!</definedName>
    <definedName name="hn._I028">#REF!</definedName>
    <definedName name="hn._I029">#REF!</definedName>
    <definedName name="hn._I030">#REF!</definedName>
    <definedName name="hn._I031">#REF!</definedName>
    <definedName name="hn._I044">#REF!</definedName>
    <definedName name="hn._I051">#REF!</definedName>
    <definedName name="hn._I059">#REF!</definedName>
    <definedName name="hn._I062">#REF!</definedName>
    <definedName name="hn._I070">#REF!</definedName>
    <definedName name="hn._I071">#REF!</definedName>
    <definedName name="hn._I075">#REF!</definedName>
    <definedName name="hn._I077">#REF!</definedName>
    <definedName name="hn._I083">#REF!</definedName>
    <definedName name="hn._I085">#REF!</definedName>
    <definedName name="hn._P001">#REF!</definedName>
    <definedName name="hn._P002">#REF!</definedName>
    <definedName name="hn._P004">#REF!</definedName>
    <definedName name="hn._P014">#REF!</definedName>
    <definedName name="hn._P016">#REF!</definedName>
    <definedName name="hn._P017">#REF!</definedName>
    <definedName name="hn._P017g">#REF!</definedName>
    <definedName name="hn._P021">#REF!</definedName>
    <definedName name="hn._P024">#REF!</definedName>
    <definedName name="hn.Add015">#REF!</definedName>
    <definedName name="hn.ConvertVal1">#REF!</definedName>
    <definedName name="hn.ConvertZero1">#REF!,#REF!,#REF!,#REF!,#REF!,#REF!,#REF!,#REF!,#REF!,#REF!</definedName>
    <definedName name="hn.ConvertZero2">#REF!,#REF!,#REF!,#REF!,#REF!,#REF!,#REF!,#REF!</definedName>
    <definedName name="hn.ConvertZero3">#REF!,#REF!,#REF!,#REF!,#REF!</definedName>
    <definedName name="hn.ConvertZero4">#REF!,#REF!,#REF!,#REF!,#REF!,#REF!,#REF!,#REF!</definedName>
    <definedName name="hn.ConvertZeroUnhide1">#REF!,#REF!,#REF!</definedName>
    <definedName name="hn.CopyforPR">#REF!</definedName>
    <definedName name="hn.Delete015">#REF!,#REF!,#REF!,#REF!,#REF!</definedName>
    <definedName name="hn.domestic">#REF!</definedName>
    <definedName name="hn.DZ_MultByFXRates">#REF!,#REF!,#REF!,#REF!</definedName>
    <definedName name="hn.FromMain">#REF!</definedName>
    <definedName name="hn.FromMain1">#REF!</definedName>
    <definedName name="hn.FromMain2">#REF!</definedName>
    <definedName name="hn.FromMain3">#REF!</definedName>
    <definedName name="hn.FromMain4">#REF!</definedName>
    <definedName name="hn.FromMain5">#REF!</definedName>
    <definedName name="hn.Global">#REF!</definedName>
    <definedName name="hn.LTM_MultByFXRates">#REF!,#REF!,#REF!,#REF!,#REF!,#REF!,#REF!</definedName>
    <definedName name="hn.LTMData">#REF!</definedName>
    <definedName name="hn.MultbyFXRates">#REF!,#REF!,#REF!,#REF!,#REF!,#REF!,#REF!</definedName>
    <definedName name="hn.MultByFXRates1">#REF!,#REF!,#REF!,#REF!,#REF!</definedName>
    <definedName name="hn.MultByFXRates2">#REF!,#REF!,#REF!,#REF!,#REF!</definedName>
    <definedName name="hn.MultByFXRates3">#REF!,#REF!,#REF!,#REF!,#REF!</definedName>
    <definedName name="hn.MultbyFxrates4">#REF!,#REF!,#REF!,#REF!,#REF!,#REF!,#REF!</definedName>
    <definedName name="hn.multbyfxrates5">#REF!,#REF!,#REF!,#REF!,#REF!</definedName>
    <definedName name="hn.multbyfxrates6">#REF!,#REF!,#REF!,#REF!,#REF!</definedName>
    <definedName name="hn.multbyfxrates7">#REF!,#REF!,#REF!,#REF!,#REF!</definedName>
    <definedName name="hn.MultByFXRatesBot1">#REF!,#REF!,#REF!,#REF!,#REF!,#REF!,#REF!,#REF!,#REF!,#REF!,#REF!,#REF!</definedName>
    <definedName name="hn.MultByFXRatesBot2">#REF!,#REF!,#REF!,#REF!,#REF!,#REF!,#REF!,#REF!,#REF!,#REF!,#REF!,#REF!</definedName>
    <definedName name="hn.MultByFXRatesBot3">#REF!,#REF!,#REF!,#REF!,#REF!,#REF!,#REF!,#REF!,#REF!,#REF!,#REF!,#REF!</definedName>
    <definedName name="hn.MultByFXRatesBot4">#REF!,#REF!,#REF!,#REF!,#REF!,#REF!,#REF!,#REF!,#REF!,#REF!,#REF!,#REF!,#REF!</definedName>
    <definedName name="hn.MultByFXRatesBot5">#REF!,#REF!,#REF!,#REF!,#REF!,#REF!,#REF!,#REF!,#REF!,#REF!,#REF!</definedName>
    <definedName name="hn.MultByFXRatesBot6">#REF!,#REF!,#REF!,#REF!,#REF!,#REF!,#REF!,#REF!,#REF!,#REF!,#REF!</definedName>
    <definedName name="hn.MultByFXRatesBot7">#REF!,#REF!,#REF!,#REF!,#REF!,#REF!,#REF!,#REF!,#REF!,#REF!,#REF!</definedName>
    <definedName name="hn.MultByFXRatesTop1">#REF!,#REF!,#REF!,#REF!,#REF!,#REF!,#REF!,#REF!,#REF!,#REF!,#REF!,#REF!</definedName>
    <definedName name="hn.MultByFXRatesTop2">#REF!,#REF!,#REF!,#REF!,#REF!,#REF!,#REF!,#REF!,#REF!,#REF!,#REF!,#REF!,#REF!,#REF!,#REF!</definedName>
    <definedName name="hn.MultByFXRatesTop3">#REF!,#REF!,#REF!,#REF!,#REF!,#REF!,#REF!,#REF!,#REF!,#REF!,#REF!,#REF!,#REF!,#REF!,#REF!</definedName>
    <definedName name="hn.MultByFXRatesTop4">#REF!,#REF!,#REF!,#REF!,#REF!,#REF!,#REF!,#REF!,#REF!,#REF!,#REF!,#REF!,#REF!,#REF!,#REF!</definedName>
    <definedName name="hn.MultByFXRatesTop5">#REF!,#REF!,#REF!,#REF!,#REF!,#REF!,#REF!,#REF!,#REF!,#REF!,#REF!,#REF!</definedName>
    <definedName name="hn.MultByFXRatesTop6">#REF!,#REF!,#REF!,#REF!,#REF!,#REF!,#REF!,#REF!,#REF!,#REF!,#REF!,#REF!,#REF!,#REF!,#REF!</definedName>
    <definedName name="hn.MultByFXRatesTop7">#REF!,#REF!,#REF!,#REF!,#REF!,#REF!,#REF!,#REF!,#REF!,#REF!,#REF!,#REF!,#REF!,#REF!,#REF!</definedName>
    <definedName name="hn.ParityCheck">#REF!</definedName>
    <definedName name="hn.PrivateLTMYear">#REF!</definedName>
    <definedName name="hn.USLast">#REF!</definedName>
    <definedName name="hn.YearLabel">#REF!</definedName>
    <definedName name="hnu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>{#N/A,#N/A,FALSE,"PRJCTED MNTHLY QTY's"}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houy">{#N/A,#N/A,FALSE,"AD_Purchase";#N/A,#N/A,FALSE,"Credit";#N/A,#N/A,FALSE,"PF Acquisition";#N/A,#N/A,FALSE,"PF Offering"}</definedName>
    <definedName name="htgrer">{"page1",#N/A,FALSE,"BHCOMPC5";"page2",#N/A,FALSE,"BHCOMPC5";"page3",#N/A,FALSE,"BHCOMPC5";"page4",#N/A,FALSE,"BHCOMPC5"}</definedName>
    <definedName name="HTML_CodePage">1252</definedName>
    <definedName name="HTML_Control">{"'Sheet1'!$A$1:$J$121"}</definedName>
    <definedName name="HTML_Description">""</definedName>
    <definedName name="HTML_Email">""</definedName>
    <definedName name="HTML_Header">"Sheet1"</definedName>
    <definedName name="HTML_LastUpdate">"10/21/99"</definedName>
    <definedName name="HTML_LineAfter">FALSE</definedName>
    <definedName name="HTML_LineBefore">FALSE</definedName>
    <definedName name="HTML_Name">"Paulette Peoples"</definedName>
    <definedName name="HTML_OBDlg2">TRUE</definedName>
    <definedName name="HTML_OBDlg4">TRUE</definedName>
    <definedName name="HTML_OS">0</definedName>
    <definedName name="HTML_PathFile">"\\Bhincres01\groups\Mkt_Dev\EXECMKTR\RIGS\RigBible\Web NA.htm"</definedName>
    <definedName name="HTML_Title">"Total North America"</definedName>
    <definedName name="HTML1_1">"[SUMFIN.XLS]IncStmt!$A$1:$AB$116"</definedName>
    <definedName name="HTML2_1">"'[BankBoston Lockbox Receipts.xls]Sheet1'!$A$4:$H$42"</definedName>
    <definedName name="HTML3_1">"'[BankBoston Lockbox Receipts.xls]Sheet1'!$A$4:$J$42"</definedName>
    <definedName name="HTML4_1">"'[BankBoston Lockbox Receipts.xls]8-98'!$A$4:$H$37"</definedName>
    <definedName name="HTML5_1">"'[NDX Daily Cash Report.xls]9-98'!$A$4:$H$37"</definedName>
    <definedName name="HTML6_1">"'[NDX Daily Cash Report.xls]10-98'!$A$4:$H$38"</definedName>
    <definedName name="HTML7_1">"'[NDX Daily Cash Report.xls]11-98'!$A$4:$H$37"</definedName>
    <definedName name="HTML8_1">"'[NDX Daily Cash Report.xls]12-98'!$A$4:$H$39"</definedName>
    <definedName name="HTML9_1">"'[NDX Daily Cash Report.xls]1-99'!$A$4:$H$37"</definedName>
    <definedName name="htyuityuiotio">{#N/A,#N/A,FALSE,"REPORT"}</definedName>
    <definedName name="hu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i">{#N/A,#N/A,FALSE,"Assump2";#N/A,#N/A,FALSE,"Income2";#N/A,#N/A,FALSE,"Balance2";#N/A,#N/A,FALSE,"DCF Filter";#N/A,#N/A,FALSE,"Trans Assump2";#N/A,#N/A,FALSE,"Combined Income2";#N/A,#N/A,FALSE,"Combined Balance2"}</definedName>
    <definedName name="Hypertention">{#N/A,#N/A,FALSE,"Pharm";#N/A,#N/A,FALSE,"WWCM"}</definedName>
    <definedName name="hypo">{#N/A,#N/A,FALSE,"Pharm";#N/A,#N/A,FALSE,"WWCM"}</definedName>
    <definedName name="i">{"DCF1",#N/A,FALSE,"SIERRA DCF";"MATRIX1",#N/A,FALSE,"SIERRA DCF"}</definedName>
    <definedName name="iffx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>{#N/A,#N/A,FALSE,"TSUM";#N/A,#N/A,FALSE,"shares";#N/A,#N/A,FALSE,"earnout";#N/A,#N/A,FALSE,"Heaty";#N/A,#N/A,FALSE,"self-tend";#N/A,#N/A,FALSE,"self-sum"}</definedName>
    <definedName name="ik">{#N/A,#N/A,FALSE,"Calc";#N/A,#N/A,FALSE,"Sensitivity";#N/A,#N/A,FALSE,"LT Earn.Dil.";#N/A,#N/A,FALSE,"Dil. AVP"}</definedName>
    <definedName name="imob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ncStmt3">{"AUTO",#N/A,FALSE,"SAMPLECC"}</definedName>
    <definedName name="IndType">#REF!</definedName>
    <definedName name="Interco2">{#N/A,#N/A,FALSE,"Job Sched"}</definedName>
    <definedName name="Interes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IntroPrintArea">#REF!</definedName>
    <definedName name="Inventory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P">{#N/A,#N/A,FALSE,"Pharm";#N/A,#N/A,FALSE,"WWCM"}</definedName>
    <definedName name="IPRD_mites">{"bs",#N/A,FALSE,"SCF"}</definedName>
    <definedName name="IPRD_Pollen">{"bs",#N/A,FALSE,"SCF"}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USTABLE_RATE_LOANS_FDIC">"c6375"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AL_DIVIDEND">"c229"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HELD_FDIC">"c6305"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UDITOR_NAME">"c1539"</definedName>
    <definedName name="IQ_AUDITOR_OPINION">"c1540"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BROKER_REC_NO_REUT">"c5315"</definedName>
    <definedName name="IQ_AVG_BROKER_REC_REUT">"c3630"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FAX">"c2100"</definedName>
    <definedName name="IQ_BOARD_MEMBER_OFFICE">"c2098"</definedName>
    <definedName name="IQ_BOARD_MEMBER_PHONE">"c2099"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ONDRATING_FITCH">"c223"</definedName>
    <definedName name="IQ_BONDRATING_FITCH_DATE">"c241"</definedName>
    <definedName name="IQ_BONDRATING_SP">"c224"</definedName>
    <definedName name="IQ_BONDRATING_SP_DATE">"c242"</definedName>
    <definedName name="IQ_BOOK_VALUE">"c68"</definedName>
    <definedName name="IQ_BROK_COMISSION">"c98"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BV_SHARE_ACT_OR_EST_REUT">"c5477"</definedName>
    <definedName name="IQ_BV_SHARE_EST_REUT">"c5439"</definedName>
    <definedName name="IQ_BV_SHARE_HIGH_EST_REUT">"c5441"</definedName>
    <definedName name="IQ_BV_SHARE_LOW_EST_REUT">"c5442"</definedName>
    <definedName name="IQ_BV_SHARE_MEDIAN_EST_REUT">"c5440"</definedName>
    <definedName name="IQ_BV_SHARE_NUM_EST_REUT">"c5443"</definedName>
    <definedName name="IQ_BV_SHARE_STDDEV_EST_REUT">"c5444"</definedName>
    <definedName name="IQ_CAL_Q">"c101"</definedName>
    <definedName name="IQ_CAL_Y">"c102"</definedName>
    <definedName name="IQ_CALL_FEATURE">"c2197"</definedName>
    <definedName name="IQ_CALLABLE">"c2196"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ACT_OR_EST_REUT">"c5474"</definedName>
    <definedName name="IQ_CAPEX_BNK">"c110"</definedName>
    <definedName name="IQ_CAPEX_BR">"c111"</definedName>
    <definedName name="IQ_CAPEX_EST_REUT">"c3969"</definedName>
    <definedName name="IQ_CAPEX_FIN">"c112"</definedName>
    <definedName name="IQ_CAPEX_HIGH_EST_REUT">"c3971"</definedName>
    <definedName name="IQ_CAPEX_INS">"c113"</definedName>
    <definedName name="IQ_CAPEX_LOW_EST_REUT">"c3972"</definedName>
    <definedName name="IQ_CAPEX_MEDIAN_EST_REUT">"c3970"</definedName>
    <definedName name="IQ_CAPEX_NUM_EST_REUT">"c3973"</definedName>
    <definedName name="IQ_CAPEX_STDDEV_EST_REUT">"c3974"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IN_PROCESS_FDIC">"c6386"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CE_FDIC">"c6296"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ACT_OR_EST_REUT">"c5463"</definedName>
    <definedName name="IQ_CFPS_EST">"c1667"</definedName>
    <definedName name="IQ_CFPS_EST_REUT">"c3844"</definedName>
    <definedName name="IQ_CFPS_HIGH_EST">"c1669"</definedName>
    <definedName name="IQ_CFPS_HIGH_EST_REUT">"c3846"</definedName>
    <definedName name="IQ_CFPS_LOW_EST">"c1670"</definedName>
    <definedName name="IQ_CFPS_LOW_EST_REUT">"c3847"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INVENTORY">"c151"</definedName>
    <definedName name="IQ_CHANGE_NET_WORKING_CAPITAL">"c1909"</definedName>
    <definedName name="IQ_CHANGE_OTHER_NET_OPER_ASSETS_BR">"c3595"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ASSB_OUTSTANDING_BS_DATE">"c1972"</definedName>
    <definedName name="IQ_CLASSB_OUTSTANDING_FILING_DATE">"c1974"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LOANS">"c223"</definedName>
    <definedName name="IQ_CONTRACTS_OTHER_COMMODITIES_EQUITIES._FDIC">"c6522"</definedName>
    <definedName name="IQ_CONTRACTS_OTHER_COMMODITIES_EQUITIES_FDIC">"c6522"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RT_DEBT">"c224"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BORROWINGS">"c225"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CHARGE_OFFS_FDIC">"c6652"</definedName>
    <definedName name="IQ_CREDIT_CARD_FEE">"c231"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ACT_OR_EST_REUT">"c5464"</definedName>
    <definedName name="IQ_DPS_EST">"c1674"</definedName>
    <definedName name="IQ_DPS_EST_BOTTOM_UP_REUT">"c5501"</definedName>
    <definedName name="IQ_DPS_EST_REUT">"c3851"</definedName>
    <definedName name="IQ_DPS_HIGH_EST">"c1676"</definedName>
    <definedName name="IQ_DPS_HIGH_EST_REUT">"c3853"</definedName>
    <definedName name="IQ_DPS_LOW_EST">"c1677"</definedName>
    <definedName name="IQ_DPS_LOW_EST_REUT">"c3854"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ARNINGS_ANNOUNCE_DATE_REUT">"c5314"</definedName>
    <definedName name="IQ_EARNINGS_COVERAGE_NET_CHARGE_OFFS_FDIC">"c6735"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ACT_OR_EST_REUT">"c5465"</definedName>
    <definedName name="IQ_EBIT_EST">"c1681"</definedName>
    <definedName name="IQ_EBIT_EST_REUT">"c5333"</definedName>
    <definedName name="IQ_EBIT_GROWTH_1">"c157"</definedName>
    <definedName name="IQ_EBIT_GROWTH_2">"c161"</definedName>
    <definedName name="IQ_EBIT_HIGH_EST">"c1683"</definedName>
    <definedName name="IQ_EBIT_HIGH_EST_REUT">"c5335"</definedName>
    <definedName name="IQ_EBIT_INT">"c360"</definedName>
    <definedName name="IQ_EBIT_LOW_EST">"c1684"</definedName>
    <definedName name="IQ_EBIT_LOW_EST_REUT">"c5336"</definedName>
    <definedName name="IQ_EBIT_MARGIN">"c359"</definedName>
    <definedName name="IQ_EBIT_MEDIAN_EST">"c1682"</definedName>
    <definedName name="IQ_EBIT_MEDIAN_EST_REUT">"c5334"</definedName>
    <definedName name="IQ_EBIT_NUM_EST">"c1685"</definedName>
    <definedName name="IQ_EBIT_NUM_EST_REUT">"c5337"</definedName>
    <definedName name="IQ_EBIT_OVER_IE">"c1369"</definedName>
    <definedName name="IQ_EBIT_STDDEV_EST">"c1686"</definedName>
    <definedName name="IQ_EBIT_STDDEV_EST_REUT">"c5338"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ACT_OR_EST_REUT">"c5462"</definedName>
    <definedName name="IQ_EBITDA_CAPEX_INT">"c368"</definedName>
    <definedName name="IQ_EBITDA_CAPEX_OVER_TOTAL_IE">"c1370"</definedName>
    <definedName name="IQ_EBITDA_EST">"c369"</definedName>
    <definedName name="IQ_EBITDA_EST_REUT">"c3640"</definedName>
    <definedName name="IQ_EBITDA_GROWTH_1">"c156"</definedName>
    <definedName name="IQ_EBITDA_GROWTH_2">"c160"</definedName>
    <definedName name="IQ_EBITDA_HIGH_EST">"c370"</definedName>
    <definedName name="IQ_EBITDA_HIGH_EST_REUT">"c3642"</definedName>
    <definedName name="IQ_EBITDA_INT">"c373"</definedName>
    <definedName name="IQ_EBITDA_LOW_EST">"c371"</definedName>
    <definedName name="IQ_EBITDA_LOW_EST_REUT">"c3643"</definedName>
    <definedName name="IQ_EBITDA_MARGIN">"c372"</definedName>
    <definedName name="IQ_EBITDA_MEDIAN_EST">"c1663"</definedName>
    <definedName name="IQ_EBITDA_MEDIAN_EST_REUT">"c3641"</definedName>
    <definedName name="IQ_EBITDA_NO_EST">"c267"</definedName>
    <definedName name="IQ_EBITDA_NUM_EST">"c374"</definedName>
    <definedName name="IQ_EBITDA_NUM_EST_REUT">"c3644"</definedName>
    <definedName name="IQ_EBITDA_OVER_TOTAL_IE">"c1371"</definedName>
    <definedName name="IQ_EBITDA_STDDEV_EST">"c375"</definedName>
    <definedName name="IQ_EBITDA_STDDEV_EST_REUT">"c3645"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PLOYEES">"c392"</definedName>
    <definedName name="IQ_ENTERPRISE_VALUE">"c1348"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ACT_OR_EST_REUT">"c5460"</definedName>
    <definedName name="IQ_EPS_EST">"c399"</definedName>
    <definedName name="IQ_EPS_EST_1">"c189"</definedName>
    <definedName name="IQ_EPS_EST_BOTTOM_UP_REUT">"c5497"</definedName>
    <definedName name="IQ_EPS_EST_REUT">"c5453"</definedName>
    <definedName name="IQ_EPS_GW_ACT_OR_EST_REUT">"c5469"</definedName>
    <definedName name="IQ_EPS_GW_EST">"c1737"</definedName>
    <definedName name="IQ_EPS_GW_EST_BOTTOM_UP_REUT">"c5499"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>"c400"</definedName>
    <definedName name="IQ_EPS_HIGH_EST_REUT">"c5454"</definedName>
    <definedName name="IQ_EPS_LOW_EST">"c401"</definedName>
    <definedName name="IQ_EPS_LOW_EST_REUT">"c5455"</definedName>
    <definedName name="IQ_EPS_MEDIAN_EST">"c1661"</definedName>
    <definedName name="IQ_EPS_MEDIAN_EST_REUT">"c5456"</definedName>
    <definedName name="IQ_EPS_NO_EST">"c271"</definedName>
    <definedName name="IQ_EPS_NORM">"c1902"</definedName>
    <definedName name="IQ_EPS_NORM_EST_BOTTOM_UP_REUT">"c5498"</definedName>
    <definedName name="IQ_EPS_NORM_EST_REUT">"c5326"</definedName>
    <definedName name="IQ_EPS_NORM_HIGH_EST_REUT">"c5328"</definedName>
    <definedName name="IQ_EPS_NORM_LOW_EST_REUT">"c5329"</definedName>
    <definedName name="IQ_EPS_NORM_MEDIAN_EST_REUT">"c5327"</definedName>
    <definedName name="IQ_EPS_NORM_NUM_EST_REUT">"c5330"</definedName>
    <definedName name="IQ_EPS_NORM_STDDEV_EST_REUT">"c5331"</definedName>
    <definedName name="IQ_EPS_NUM_EST">"c402"</definedName>
    <definedName name="IQ_EPS_NUM_EST_REUT">"c5451"</definedName>
    <definedName name="IQ_EPS_REPORT_ACT_OR_EST_REUT">"c5470"</definedName>
    <definedName name="IQ_EPS_REPORTED_EST">"c1744"</definedName>
    <definedName name="IQ_EPS_REPORTED_EST_BOTTOM_UP_REUT">"c5500"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TDDEV_EST">"c403"</definedName>
    <definedName name="IQ_EPS_STDDEV_EST_REUT">"c5452"</definedName>
    <definedName name="IQ_EQUITY_AFFIL">"c1451"</definedName>
    <definedName name="IQ_EQUITY_CAPITAL_ASSETS_FDIC">"c6744"</definedName>
    <definedName name="IQ_EQUITY_FDIC">"c6353"</definedName>
    <definedName name="IQ_EQUITY_METHOD">"c404"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_SHARE_REUT">"c5445"</definedName>
    <definedName name="IQ_EST_ACT_CAPEX_REUT">"c3975"</definedName>
    <definedName name="IQ_EST_ACT_CFPS">"c1673"</definedName>
    <definedName name="IQ_EST_ACT_CFPS_REUT">"c3850"</definedName>
    <definedName name="IQ_EST_ACT_DPS">"c1680"</definedName>
    <definedName name="IQ_EST_ACT_DPS_REUT">"c3857"</definedName>
    <definedName name="IQ_EST_ACT_EBIT">"c1687"</definedName>
    <definedName name="IQ_EST_ACT_EBIT_REUT">"c5339"</definedName>
    <definedName name="IQ_EST_ACT_EBITDA">"c1664"</definedName>
    <definedName name="IQ_EST_ACT_EBITDA_REUT">"c3836"</definedName>
    <definedName name="IQ_EST_ACT_EPS">"c1648"</definedName>
    <definedName name="IQ_EST_ACT_EPS_GW">"c1743"</definedName>
    <definedName name="IQ_EST_ACT_EPS_GW_REUT">"c5395"</definedName>
    <definedName name="IQ_EST_ACT_EPS_NORM_REUT">"c5332"</definedName>
    <definedName name="IQ_EST_ACT_EPS_REPORTED">"c1750"</definedName>
    <definedName name="IQ_EST_ACT_EPS_REPORTED_REUT">"c5402"</definedName>
    <definedName name="IQ_EST_ACT_EPS_REUT">"c5457"</definedName>
    <definedName name="IQ_EST_ACT_FFO">"c1666"</definedName>
    <definedName name="IQ_EST_ACT_FFO_REUT">"c3843"</definedName>
    <definedName name="IQ_EST_ACT_FFO_SHARE_SHARE_REUT">"c3843"</definedName>
    <definedName name="IQ_EST_ACT_NAV">"c1757"</definedName>
    <definedName name="IQ_EST_ACT_NAV_SHARE_REUT">"c5616"</definedName>
    <definedName name="IQ_EST_ACT_NET_DEBT_REUT">"c5446"</definedName>
    <definedName name="IQ_EST_ACT_NI">"c1722"</definedName>
    <definedName name="IQ_EST_ACT_NI_GW">"c1729"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TURN_ASSETS_REUT">"c3996"</definedName>
    <definedName name="IQ_EST_ACT_RETURN_EQUITY_REUT">"c3989"</definedName>
    <definedName name="IQ_EST_ACT_REV">"c2113"</definedName>
    <definedName name="IQ_EST_ACT_REV_REUT">"c3835"</definedName>
    <definedName name="IQ_EST_CAPEX_GROWTH_1YR_REUT">"c5447"</definedName>
    <definedName name="IQ_EST_CAPEX_GROWTH_2YR_REUT">"c5448"</definedName>
    <definedName name="IQ_EST_CAPEX_GROWTH_Q_1YR_REUT">"c5449"</definedName>
    <definedName name="IQ_EST_CAPEX_SEQ_GROWTH_Q_REUT">"c5450"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REUT">"c5437"</definedName>
    <definedName name="IQ_EST_DATE">"c1634"</definedName>
    <definedName name="IQ_EST_DATE_REUT">"c5438"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PS_DIFF">"c1864"</definedName>
    <definedName name="IQ_EST_EPS_DIFF_REUT">"c5458"</definedName>
    <definedName name="IQ_EST_EPS_GROWTH_1YR">"c1636"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_REUT">"c5495"</definedName>
    <definedName name="IQ_EST_EPS_GROWTH_5YR_HIGH">"c1657"</definedName>
    <definedName name="IQ_EST_EPS_GROWTH_5YR_HIGH_REUT">"c5322"</definedName>
    <definedName name="IQ_EST_EPS_GROWTH_5YR_LOW">"c1658"</definedName>
    <definedName name="IQ_EST_EPS_GROWTH_5YR_LOW_REUT">"c5323"</definedName>
    <definedName name="IQ_EST_EPS_GROWTH_5YR_MEDIAN">"c1656"</definedName>
    <definedName name="IQ_EST_EPS_GROWTH_5YR_MEDIAN_REUT">"c5321"</definedName>
    <definedName name="IQ_EST_EPS_GROWTH_5YR_NUM">"c1659"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REUT">"c5325"</definedName>
    <definedName name="IQ_EST_EPS_GROWTH_Q_1YR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_REUT">"c5411"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EQ_GROWTH_Q_REUT">"c3859"</definedName>
    <definedName name="IQ_EST_EPS_SURPRISE">"c1635"</definedName>
    <definedName name="IQ_EST_EPS_SURPRISE_PERCENT">"c1635"</definedName>
    <definedName name="IQ_EST_EPS_SURPRISE_PERCENT_REUT">"c5459"</definedName>
    <definedName name="IQ_EST_FFO_DIFF">"c1869"</definedName>
    <definedName name="IQ_EST_FFO_DIFF_REUT">"c3890"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SHARE_DIFF_REUT">"c3890"</definedName>
    <definedName name="IQ_EST_FFO_SHARE_SHARE_SURPRISE_PERCENT_REUT">"c3891"</definedName>
    <definedName name="IQ_EST_FFO_SURPRISE_PERCENT">"c1870"</definedName>
    <definedName name="IQ_EST_FFO_SURPRISE_PERCENT_REUT">"c3891"</definedName>
    <definedName name="IQ_EST_FOOTNOTE_REUT">"c5478"</definedName>
    <definedName name="IQ_EST_NAV_DIFF">"c1895"</definedName>
    <definedName name="IQ_EST_NAV_SURPRISE_PERCENT">"c1896"</definedName>
    <definedName name="IQ_EST_NI_DIFF">"c1885"</definedName>
    <definedName name="IQ_EST_NI_DIFF_REUT">"c5423"</definedName>
    <definedName name="IQ_EST_NI_GW_DIFF">"c1887"</definedName>
    <definedName name="IQ_EST_NI_GW_DIFF_REUT">"c5425"</definedName>
    <definedName name="IQ_EST_NI_GW_SURPRISE_PERCENT">"c1888"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URPRISE_PERCENT">"c1886"</definedName>
    <definedName name="IQ_EST_NI_SURPRISE_PERCENT_REUT">"c5424"</definedName>
    <definedName name="IQ_EST_NUM_BUY">"c1759"</definedName>
    <definedName name="IQ_EST_NUM_BUY_REUT">"c3869"</definedName>
    <definedName name="IQ_EST_NUM_BUY_THOM">"c5165"</definedName>
    <definedName name="IQ_EST_NUM_HIGH_REC_REUT">"c3870"</definedName>
    <definedName name="IQ_EST_NUM_HIGHEST_REC_REUT">"c3869"</definedName>
    <definedName name="IQ_EST_NUM_HOLD">"c1761"</definedName>
    <definedName name="IQ_EST_NUM_HOLD_REUT">"c3871"</definedName>
    <definedName name="IQ_EST_NUM_HOLD_THOM">"c5167"</definedName>
    <definedName name="IQ_EST_NUM_LOW_REC_REUT">"c3872"</definedName>
    <definedName name="IQ_EST_NUM_LOWEST_REC_REUT">"c3873"</definedName>
    <definedName name="IQ_EST_NUM_NEUTRAL_REC_REUT">"c3871"</definedName>
    <definedName name="IQ_EST_NUM_NO_OPINION">"c1758"</definedName>
    <definedName name="IQ_EST_NUM_NO_OPINION_REUT">"c3868"</definedName>
    <definedName name="IQ_EST_NUM_OUTPERFORM">"c1760"</definedName>
    <definedName name="IQ_EST_NUM_OUTPERFORM_REUT">"c3870"</definedName>
    <definedName name="IQ_EST_NUM_OUTPERFORM_THOM">"c5166"</definedName>
    <definedName name="IQ_EST_NUM_SELL">"c1763"</definedName>
    <definedName name="IQ_EST_NUM_SELL_REUT">"c3873"</definedName>
    <definedName name="IQ_EST_NUM_SELL_THOM">"c5169"</definedName>
    <definedName name="IQ_EST_NUM_UNDERPERFORM">"c1762"</definedName>
    <definedName name="IQ_EST_NUM_UNDERPERFORM_REUT">"c3872"</definedName>
    <definedName name="IQ_EST_NUM_UNDERPERFORM_THOM">"c5168"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"c165"</definedName>
    <definedName name="IQ_EV_OVER_REVENUE_EST_1">"c166"</definedName>
    <definedName name="IQ_EVAL_DATE">"c2180"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>"NBRC049"</definedName>
    <definedName name="IQ_EXPLORE_DRILL">"c409"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EST">"c418"</definedName>
    <definedName name="IQ_FFO_EST_REUT">"c3837"</definedName>
    <definedName name="IQ_FFO_HIGH_EST">"c419"</definedName>
    <definedName name="IQ_FFO_HIGH_EST_REUT">"c3839"</definedName>
    <definedName name="IQ_FFO_LOW_EST">"c420"</definedName>
    <definedName name="IQ_FFO_LOW_EST_REUT">"c3840"</definedName>
    <definedName name="IQ_FFO_MEDIAN_EST">"c1665"</definedName>
    <definedName name="IQ_FFO_MEDIAN_EST_REUT">"c3838"</definedName>
    <definedName name="IQ_FFO_NO_EST">"c276"</definedName>
    <definedName name="IQ_FFO_NUM_EST">"c421"</definedName>
    <definedName name="IQ_FFO_NUM_EST_REUT">"c3841"</definedName>
    <definedName name="IQ_FFO_SHARE_SHARE_EST_REUT">"c3837"</definedName>
    <definedName name="IQ_FFO_SHARE_SHARE_HIGH_EST_REUT">"c3839"</definedName>
    <definedName name="IQ_FFO_SHARE_SHARE_LOW_EST_REUT">"c3840"</definedName>
    <definedName name="IQ_FFO_SHARE_SHARE_MEDIAN_EST_REUT">"c3838"</definedName>
    <definedName name="IQ_FFO_SHARE_SHARE_NUM_EST_REUT">"c3841"</definedName>
    <definedName name="IQ_FFO_SHARE_SHARE_STDDEV_EST_REUT">"c3842"</definedName>
    <definedName name="IQ_FFO_STDDEV_EST">"c422"</definedName>
    <definedName name="IQ_FFO_STDDEV_EST_REUT">"c3842"</definedName>
    <definedName name="IQ_FH">100000</definedName>
    <definedName name="IQ_FHLB_ADVANCES_FDIC">"c6366"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NOTES_PAY_TOTAL">"c5522"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INT_DATE">"c2186"</definedName>
    <definedName name="IQ_FIRST_YEAR_LIFE">"c439"</definedName>
    <definedName name="IQ_FISCAL_Q">"c440"</definedName>
    <definedName name="IQ_FISCAL_Y">"c441"</definedName>
    <definedName name="IQ_FIVE_PERCENT_AMOUNT">"c240"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FY_DATE">"IQ_FY_DATE"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C_BNK">"c488"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INTAN">"c520"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ROSS_SPRD">"c2155"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ELD_MATURITY_FDIC">"c6408"</definedName>
    <definedName name="IQ_HIGH_TARGET_PRICE">"c1651"</definedName>
    <definedName name="IQ_HIGH_TARGET_PRICE_REUT">"c5317"</definedName>
    <definedName name="IQ_HIGHPRICE">"c545"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OWNERS_WRITTEN">"c546"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AIR_OIL">"c547"</definedName>
    <definedName name="IQ_IMPAIRMENT_GW">"c548"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PROVIDED_DIVIDEND">"c19252"</definedName>
    <definedName name="IQ_INDEXCONSTITUENT_CLOSEPRICE">"c19241"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AMOUNT">"c238"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AMOUNT">"c236"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IT">"c597"</definedName>
    <definedName name="IQ_INT_INC_SECURITIES_FDIC">"c6559"</definedName>
    <definedName name="IQ_INT_INC_TOTAL">"c598"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NVESTMENT_BANKING_OTHER_FEES_FDIC">"c6666"</definedName>
    <definedName name="IQ_IPRD">"c644"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PARENT">"c2144"</definedName>
    <definedName name="IQ_LAND">"c645"</definedName>
    <definedName name="IQ_LAST_EBIT_MARGIN">"c151"</definedName>
    <definedName name="IQ_LAST_EBITDA_MARGIN">"c150"</definedName>
    <definedName name="IQ_LAST_GROSS_MARGIN">"c149"</definedName>
    <definedName name="IQ_LAST_NET_INC_MARGIN">"c152"</definedName>
    <definedName name="IQ_LAST_PMT_DATE">"c2188"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">"1"</definedName>
    <definedName name="IQ_LATESTK">1000</definedName>
    <definedName name="IQ_LATESTKFR">"100"</definedName>
    <definedName name="IQ_LATESTQ">500</definedName>
    <definedName name="IQ_LATESTQFR">"50"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W_TARGET_PRICE">"c1652"</definedName>
    <definedName name="IQ_LOW_TARGET_PRICE_REUT">"c5318"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ARKTCAP">"c258"</definedName>
    <definedName name="IQ_MATURITY_DATE">"c2146"</definedName>
    <definedName name="IQ_MATURITY_ONE_YEAR_LESS_FDIC">"c6425"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REUT">"c4048"</definedName>
    <definedName name="IQ_MM_ACCOUNT">"c743"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TD">800000</definedName>
    <definedName name="IQ_MULTIFAMILY_RESIDENTIAL_LOANS_FDIC">"c6311"</definedName>
    <definedName name="IQ_NAMES_REVISION_DATE_">42184.5488773148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_REUT">"c5623"</definedName>
    <definedName name="IQ_NAV_SHARE_EST_REUT">"c5617"</definedName>
    <definedName name="IQ_NAV_SHARE_HIGH_EST_REUT">"c5620"</definedName>
    <definedName name="IQ_NAV_SHARE_LOW_EST_REUT">"c5621"</definedName>
    <definedName name="IQ_NAV_SHARE_MEDIAN_EST_REUT">"c5618"</definedName>
    <definedName name="IQ_NAV_SHARE_NUM_EST_REUT">"c5622"</definedName>
    <definedName name="IQ_NAV_SHARE_STDDEV_EST_REUT">"c5619"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DEBT">"c1584"</definedName>
    <definedName name="IQ_NET_DEBT_ACT_OR_EST_REUT">"c5473"</definedName>
    <definedName name="IQ_NET_DEBT_EBITDA">"c750"</definedName>
    <definedName name="IQ_NET_DEBT_EST_REUT">"c3976"</definedName>
    <definedName name="IQ_NET_DEBT_HIGH_EST_REUT">"c3978"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DEBT_LOW_EST_REUT">"c3979"</definedName>
    <definedName name="IQ_NET_DEBT_MEDIAN_EST_REUT">"c3977"</definedName>
    <definedName name="IQ_NET_DEBT_NUM_EST_REUT">"c3980"</definedName>
    <definedName name="IQ_NET_DEBT_STDDEV_EST_REUT">"c3981"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"c158"</definedName>
    <definedName name="IQ_NET_INC_GROWTH_2">"c162"</definedName>
    <definedName name="IQ_NET_INC_MARGIN">"c1398"</definedName>
    <definedName name="IQ_NET_INCOME_FDIC">"c6587"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NK_FDIC">"c6570"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EST_REUT">"c5368"</definedName>
    <definedName name="IQ_NI_GW_EST">"c1723"</definedName>
    <definedName name="IQ_NI_GW_EST_REUT">"c5375"</definedName>
    <definedName name="IQ_NI_GW_HIGH_EST">"c1725"</definedName>
    <definedName name="IQ_NI_GW_HIGH_EST_REUT">"c5377"</definedName>
    <definedName name="IQ_NI_GW_LOW_EST">"c1726"</definedName>
    <definedName name="IQ_NI_GW_LOW_EST_REUT">"c5378"</definedName>
    <definedName name="IQ_NI_GW_MEDIAN_EST">"c1724"</definedName>
    <definedName name="IQ_NI_GW_MEDIAN_EST_REUT">"c5376"</definedName>
    <definedName name="IQ_NI_GW_NUM_EST">"c1727"</definedName>
    <definedName name="IQ_NI_GW_NUM_EST_REUT">"c5379"</definedName>
    <definedName name="IQ_NI_GW_STDDEV_EST">"c1728"</definedName>
    <definedName name="IQ_NI_GW_STDDEV_EST_REUT">"c5380"</definedName>
    <definedName name="IQ_NI_HIGH_EST">"c1718"</definedName>
    <definedName name="IQ_NI_HIGH_EST_REUT">"c5370"</definedName>
    <definedName name="IQ_NI_LOW_EST">"c1719"</definedName>
    <definedName name="IQ_NI_LOW_EST_REUT">"c5371"</definedName>
    <definedName name="IQ_NI_MARGIN">"c794"</definedName>
    <definedName name="IQ_NI_MEDIAN_EST">"c1717"</definedName>
    <definedName name="IQ_NI_MEDIAN_EST_REUT">"c5369"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FAS">"c795"</definedName>
    <definedName name="IQ_NI_STDDEV_EST">"c1721"</definedName>
    <definedName name="IQ_NI_STDDEV_EST_REUT">"c5373"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EXP_FDIC">"c6579"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NUTIL_REV">"c2089"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OFFIC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ED55">1</definedName>
    <definedName name="IQ_OPENPRICE">"c848"</definedName>
    <definedName name="IQ_OPER_INC">"c849"</definedName>
    <definedName name="IQ_OPER_INC_ACT_OR_EST_REUT">"c5466"</definedName>
    <definedName name="IQ_OPER_INC_BR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"c1448"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ED">"c2116"</definedName>
    <definedName name="IQ_OPTIONS_ISSUED">"c857"</definedName>
    <definedName name="IQ_OPTIONS_OS">"c858"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MORT_BR">"c5566"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SAVINGS_DEPOSITS_FDIC">"c6554"</definedName>
    <definedName name="IQ_OTHER_TRANSACTIONS_FDIC">"c6504"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REUT">"c4052"</definedName>
    <definedName name="IQ_PENSION">"c1031"</definedName>
    <definedName name="IQ_PERCENT_CHANGE_EST_5YR_GROWTH_RATE_12MONTHS">"c1852"</definedName>
    <definedName name="IQ_PERCENT_CHANGE_EST_5YR_GROWTH_RATE_12MONTHS_REUT">"c3959"</definedName>
    <definedName name="IQ_PERCENT_CHANGE_EST_5YR_GROWTH_RATE_18MONTHS">"c1853"</definedName>
    <definedName name="IQ_PERCENT_CHANGE_EST_5YR_GROWTH_RATE_18MONTHS_REUT">"c3960"</definedName>
    <definedName name="IQ_PERCENT_CHANGE_EST_5YR_GROWTH_RATE_3MONTHS">"c1849"</definedName>
    <definedName name="IQ_PERCENT_CHANGE_EST_5YR_GROWTH_RATE_3MONTHS_REUT">"c3956"</definedName>
    <definedName name="IQ_PERCENT_CHANGE_EST_5YR_GROWTH_RATE_6MONTHS">"c1850"</definedName>
    <definedName name="IQ_PERCENT_CHANGE_EST_5YR_GROWTH_RATE_6MONTHS_REUT">"c3957"</definedName>
    <definedName name="IQ_PERCENT_CHANGE_EST_5YR_GROWTH_RATE_9MONTHS">"c1851"</definedName>
    <definedName name="IQ_PERCENT_CHANGE_EST_5YR_GROWTH_RATE_9MONTHS_REUT">"c3958"</definedName>
    <definedName name="IQ_PERCENT_CHANGE_EST_5YR_GROWTH_RATE_DAY">"c1846"</definedName>
    <definedName name="IQ_PERCENT_CHANGE_EST_5YR_GROWTH_RATE_DAY_REUT">"c3954"</definedName>
    <definedName name="IQ_PERCENT_CHANGE_EST_5YR_GROWTH_RATE_MONTH">"c1848"</definedName>
    <definedName name="IQ_PERCENT_CHANGE_EST_5YR_GROWTH_RATE_MONTH_REUT">"c3955"</definedName>
    <definedName name="IQ_PERCENT_CHANGE_EST_5YR_GROWTH_RATE_WEEK">"c1847"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REUT">"c3917"</definedName>
    <definedName name="IQ_PERCENT_CHANGE_EST_EBITDA_18MONTHS">"c1805"</definedName>
    <definedName name="IQ_PERCENT_CHANGE_EST_EBITDA_18MONTHS_REUT">"c3918"</definedName>
    <definedName name="IQ_PERCENT_CHANGE_EST_EBITDA_3MONTHS">"c1801"</definedName>
    <definedName name="IQ_PERCENT_CHANGE_EST_EBITDA_3MONTHS_REUT">"c3914"</definedName>
    <definedName name="IQ_PERCENT_CHANGE_EST_EBITDA_6MONTHS">"c1802"</definedName>
    <definedName name="IQ_PERCENT_CHANGE_EST_EBITDA_6MONTHS_REUT">"c3915"</definedName>
    <definedName name="IQ_PERCENT_CHANGE_EST_EBITDA_9MONTHS">"c1803"</definedName>
    <definedName name="IQ_PERCENT_CHANGE_EST_EBITDA_9MONTHS_REUT">"c3916"</definedName>
    <definedName name="IQ_PERCENT_CHANGE_EST_EBITDA_DAY">"c1798"</definedName>
    <definedName name="IQ_PERCENT_CHANGE_EST_EBITDA_DAY_REUT">"c3912"</definedName>
    <definedName name="IQ_PERCENT_CHANGE_EST_EBITDA_MONTH">"c1800"</definedName>
    <definedName name="IQ_PERCENT_CHANGE_EST_EBITDA_MONTH_REUT">"c3913"</definedName>
    <definedName name="IQ_PERCENT_CHANGE_EST_EBITDA_WEEK">"c1799"</definedName>
    <definedName name="IQ_PERCENT_CHANGE_EST_EBITDA_WEEK_REUT">"c3961"</definedName>
    <definedName name="IQ_PERCENT_CHANGE_EST_EPS_12MONTHS">"c1788"</definedName>
    <definedName name="IQ_PERCENT_CHANGE_EST_EPS_12MONTHS_REUT">"c3902"</definedName>
    <definedName name="IQ_PERCENT_CHANGE_EST_EPS_18MONTHS">"c1789"</definedName>
    <definedName name="IQ_PERCENT_CHANGE_EST_EPS_18MONTHS_REUT">"c3903"</definedName>
    <definedName name="IQ_PERCENT_CHANGE_EST_EPS_3MONTHS">"c1785"</definedName>
    <definedName name="IQ_PERCENT_CHANGE_EST_EPS_3MONTHS_REUT">"c3899"</definedName>
    <definedName name="IQ_PERCENT_CHANGE_EST_EPS_6MONTHS">"c1786"</definedName>
    <definedName name="IQ_PERCENT_CHANGE_EST_EPS_6MONTHS_REUT">"c3900"</definedName>
    <definedName name="IQ_PERCENT_CHANGE_EST_EPS_9MONTHS">"c1787"</definedName>
    <definedName name="IQ_PERCENT_CHANGE_EST_EPS_9MONTHS_REUT">"c3901"</definedName>
    <definedName name="IQ_PERCENT_CHANGE_EST_EPS_DAY">"c1782"</definedName>
    <definedName name="IQ_PERCENT_CHANGE_EST_EPS_DAY_REUT">"c3896"</definedName>
    <definedName name="IQ_PERCENT_CHANGE_EST_EPS_MONTH">"c1784"</definedName>
    <definedName name="IQ_PERCENT_CHANGE_EST_EPS_MONTH_REUT">"c3898"</definedName>
    <definedName name="IQ_PERCENT_CHANGE_EST_EPS_WEEK">"c1783"</definedName>
    <definedName name="IQ_PERCENT_CHANGE_EST_EPS_WEEK_REUT">"c3897"</definedName>
    <definedName name="IQ_PERCENT_CHANGE_EST_FFO_12MONTHS">"c1828"</definedName>
    <definedName name="IQ_PERCENT_CHANGE_EST_FFO_12MONTHS_CIQ">"c3769"</definedName>
    <definedName name="IQ_PERCENT_CHANGE_EST_FFO_12MONTHS_REUT">"c3938"</definedName>
    <definedName name="IQ_PERCENT_CHANGE_EST_FFO_18MONTHS">"c1829"</definedName>
    <definedName name="IQ_PERCENT_CHANGE_EST_FFO_18MONTHS_CIQ">"c3770"</definedName>
    <definedName name="IQ_PERCENT_CHANGE_EST_FFO_18MONTHS_REUT">"c3939"</definedName>
    <definedName name="IQ_PERCENT_CHANGE_EST_FFO_3MONTHS">"c1825"</definedName>
    <definedName name="IQ_PERCENT_CHANGE_EST_FFO_3MONTHS_CIQ">"c3766"</definedName>
    <definedName name="IQ_PERCENT_CHANGE_EST_FFO_3MONTHS_REUT">"c3935"</definedName>
    <definedName name="IQ_PERCENT_CHANGE_EST_FFO_6MONTHS">"c1826"</definedName>
    <definedName name="IQ_PERCENT_CHANGE_EST_FFO_6MONTHS_CIQ">"c3767"</definedName>
    <definedName name="IQ_PERCENT_CHANGE_EST_FFO_6MONTHS_REUT">"c3936"</definedName>
    <definedName name="IQ_PERCENT_CHANGE_EST_FFO_9MONTHS">"c1827"</definedName>
    <definedName name="IQ_PERCENT_CHANGE_EST_FFO_9MONTHS_CIQ">"c3768"</definedName>
    <definedName name="IQ_PERCENT_CHANGE_EST_FFO_9MONTHS_REUT">"c3937"</definedName>
    <definedName name="IQ_PERCENT_CHANGE_EST_FFO_DAY">"c1822"</definedName>
    <definedName name="IQ_PERCENT_CHANGE_EST_FFO_DAY_CIQ">"c3764"</definedName>
    <definedName name="IQ_PERCENT_CHANGE_EST_FFO_DAY_REUT">"c3933"</definedName>
    <definedName name="IQ_PERCENT_CHANGE_EST_FFO_MONTH">"c1824"</definedName>
    <definedName name="IQ_PERCENT_CHANGE_EST_FFO_MONTH_CIQ">"c3765"</definedName>
    <definedName name="IQ_PERCENT_CHANGE_EST_FFO_MONTH_REUT">"c3934"</definedName>
    <definedName name="IQ_PERCENT_CHANGE_EST_FFO_SHARE_SHARE_12MONTHS">"c1828"</definedName>
    <definedName name="IQ_PERCENT_CHANGE_EST_FFO_SHARE_SHARE_12MONTHS_CIQ">"c3769"</definedName>
    <definedName name="IQ_PERCENT_CHANGE_EST_FFO_SHARE_SHARE_12MONTHS_REUT">"c3938"</definedName>
    <definedName name="IQ_PERCENT_CHANGE_EST_FFO_SHARE_SHARE_18MONTHS">"c1829"</definedName>
    <definedName name="IQ_PERCENT_CHANGE_EST_FFO_SHARE_SHARE_18MONTHS_CIQ">"c3770"</definedName>
    <definedName name="IQ_PERCENT_CHANGE_EST_FFO_SHARE_SHARE_18MONTHS_REUT">"c3939"</definedName>
    <definedName name="IQ_PERCENT_CHANGE_EST_FFO_SHARE_SHARE_3MONTHS">"c1825"</definedName>
    <definedName name="IQ_PERCENT_CHANGE_EST_FFO_SHARE_SHARE_3MONTHS_CIQ">"c3766"</definedName>
    <definedName name="IQ_PERCENT_CHANGE_EST_FFO_SHARE_SHARE_3MONTHS_REUT">"c3935"</definedName>
    <definedName name="IQ_PERCENT_CHANGE_EST_FFO_SHARE_SHARE_6MONTHS">"c1826"</definedName>
    <definedName name="IQ_PERCENT_CHANGE_EST_FFO_SHARE_SHARE_6MONTHS_CIQ">"c3767"</definedName>
    <definedName name="IQ_PERCENT_CHANGE_EST_FFO_SHARE_SHARE_6MONTHS_REUT">"c3936"</definedName>
    <definedName name="IQ_PERCENT_CHANGE_EST_FFO_SHARE_SHARE_9MONTHS">"c1827"</definedName>
    <definedName name="IQ_PERCENT_CHANGE_EST_FFO_SHARE_SHARE_9MONTHS_CIQ">"c3768"</definedName>
    <definedName name="IQ_PERCENT_CHANGE_EST_FFO_SHARE_SHARE_9MONTHS_REUT">"c3937"</definedName>
    <definedName name="IQ_PERCENT_CHANGE_EST_FFO_SHARE_SHARE_DAY">"c1822"</definedName>
    <definedName name="IQ_PERCENT_CHANGE_EST_FFO_SHARE_SHARE_DAY_CIQ">"c3764"</definedName>
    <definedName name="IQ_PERCENT_CHANGE_EST_FFO_SHARE_SHARE_DAY_REUT">"c3933"</definedName>
    <definedName name="IQ_PERCENT_CHANGE_EST_FFO_SHARE_SHARE_MONTH">"c1824"</definedName>
    <definedName name="IQ_PERCENT_CHANGE_EST_FFO_SHARE_SHARE_MONTH_CIQ">"c3765"</definedName>
    <definedName name="IQ_PERCENT_CHANGE_EST_FFO_SHARE_SHARE_MONTH_REUT">"c3934"</definedName>
    <definedName name="IQ_PERCENT_CHANGE_EST_FFO_SHARE_SHARE_WEEK">"c1823"</definedName>
    <definedName name="IQ_PERCENT_CHANGE_EST_FFO_SHARE_SHARE_WEEK_CIQ">"c3795"</definedName>
    <definedName name="IQ_PERCENT_CHANGE_EST_FFO_SHARE_SHARE_WEEK_REUT">"c3964"</definedName>
    <definedName name="IQ_PERCENT_CHANGE_EST_FFO_WEEK">"c1823"</definedName>
    <definedName name="IQ_PERCENT_CHANGE_EST_FFO_WEEK_CIQ">"c3795"</definedName>
    <definedName name="IQ_PERCENT_CHANGE_EST_FFO_WEEK_REUT">"c3964"</definedName>
    <definedName name="IQ_PERCENT_CHANGE_EST_PRICE_TARGET_12MONTHS">"c1844"</definedName>
    <definedName name="IQ_PERCENT_CHANGE_EST_PRICE_TARGET_12MONTHS_REUT">"c3952"</definedName>
    <definedName name="IQ_PERCENT_CHANGE_EST_PRICE_TARGET_18MONTHS">"c1845"</definedName>
    <definedName name="IQ_PERCENT_CHANGE_EST_PRICE_TARGET_18MONTHS_REUT">"c3953"</definedName>
    <definedName name="IQ_PERCENT_CHANGE_EST_PRICE_TARGET_3MONTHS">"c1841"</definedName>
    <definedName name="IQ_PERCENT_CHANGE_EST_PRICE_TARGET_3MONTHS_REUT">"c3949"</definedName>
    <definedName name="IQ_PERCENT_CHANGE_EST_PRICE_TARGET_6MONTHS">"c1842"</definedName>
    <definedName name="IQ_PERCENT_CHANGE_EST_PRICE_TARGET_6MONTHS_REUT">"c3950"</definedName>
    <definedName name="IQ_PERCENT_CHANGE_EST_PRICE_TARGET_9MONTHS">"c1843"</definedName>
    <definedName name="IQ_PERCENT_CHANGE_EST_PRICE_TARGET_9MONTHS_REUT">"c3951"</definedName>
    <definedName name="IQ_PERCENT_CHANGE_EST_PRICE_TARGET_DAY">"c1838"</definedName>
    <definedName name="IQ_PERCENT_CHANGE_EST_PRICE_TARGET_DAY_REUT">"c3947"</definedName>
    <definedName name="IQ_PERCENT_CHANGE_EST_PRICE_TARGET_MONTH">"c1840"</definedName>
    <definedName name="IQ_PERCENT_CHANGE_EST_PRICE_TARGET_MONTH_REUT">"c3948"</definedName>
    <definedName name="IQ_PERCENT_CHANGE_EST_PRICE_TARGET_WEEK">"c1839"</definedName>
    <definedName name="IQ_PERCENT_CHANGE_EST_PRICE_TARGET_WEEK_REUT">"c3967"</definedName>
    <definedName name="IQ_PERCENT_CHANGE_EST_RECO_12MONTHS">"c1836"</definedName>
    <definedName name="IQ_PERCENT_CHANGE_EST_RECO_12MONTHS_REUT">"c3945"</definedName>
    <definedName name="IQ_PERCENT_CHANGE_EST_RECO_18MONTHS">"c1837"</definedName>
    <definedName name="IQ_PERCENT_CHANGE_EST_RECO_18MONTHS_REUT">"c3946"</definedName>
    <definedName name="IQ_PERCENT_CHANGE_EST_RECO_3MONTHS">"c1833"</definedName>
    <definedName name="IQ_PERCENT_CHANGE_EST_RECO_3MONTHS_REUT">"c3942"</definedName>
    <definedName name="IQ_PERCENT_CHANGE_EST_RECO_6MONTHS">"c1834"</definedName>
    <definedName name="IQ_PERCENT_CHANGE_EST_RECO_6MONTHS_REUT">"c3943"</definedName>
    <definedName name="IQ_PERCENT_CHANGE_EST_RECO_9MONTHS">"c1835"</definedName>
    <definedName name="IQ_PERCENT_CHANGE_EST_RECO_9MONTHS_REUT">"c3944"</definedName>
    <definedName name="IQ_PERCENT_CHANGE_EST_RECO_DAY">"c1830"</definedName>
    <definedName name="IQ_PERCENT_CHANGE_EST_RECO_DAY_REUT">"c3940"</definedName>
    <definedName name="IQ_PERCENT_CHANGE_EST_RECO_MONTH">"c1832"</definedName>
    <definedName name="IQ_PERCENT_CHANGE_EST_RECO_MONTH_REUT">"c3941"</definedName>
    <definedName name="IQ_PERCENT_CHANGE_EST_RECO_WEEK">"c1831"</definedName>
    <definedName name="IQ_PERCENT_CHANGE_EST_RECO_WEEK_REUT">"c3965"</definedName>
    <definedName name="IQ_PERCENT_CHANGE_EST_REV_12MONTHS">"c1796"</definedName>
    <definedName name="IQ_PERCENT_CHANGE_EST_REV_12MONTHS_REUT">"c3910"</definedName>
    <definedName name="IQ_PERCENT_CHANGE_EST_REV_18MONTHS">"c1797"</definedName>
    <definedName name="IQ_PERCENT_CHANGE_EST_REV_18MONTHS_REUT">"c3911"</definedName>
    <definedName name="IQ_PERCENT_CHANGE_EST_REV_3MONTHS">"c1793"</definedName>
    <definedName name="IQ_PERCENT_CHANGE_EST_REV_3MONTHS_REUT">"c3907"</definedName>
    <definedName name="IQ_PERCENT_CHANGE_EST_REV_6MONTHS">"c1794"</definedName>
    <definedName name="IQ_PERCENT_CHANGE_EST_REV_6MONTHS_REUT">"c3908"</definedName>
    <definedName name="IQ_PERCENT_CHANGE_EST_REV_9MONTHS">"c1795"</definedName>
    <definedName name="IQ_PERCENT_CHANGE_EST_REV_9MONTHS_REUT">"c3909"</definedName>
    <definedName name="IQ_PERCENT_CHANGE_EST_REV_DAY">"c1790"</definedName>
    <definedName name="IQ_PERCENT_CHANGE_EST_REV_DAY_REUT">"c3904"</definedName>
    <definedName name="IQ_PERCENT_CHANGE_EST_REV_MONTH">"c1792"</definedName>
    <definedName name="IQ_PERCENT_CHANGE_EST_REV_MONTH_REUT">"c3906"</definedName>
    <definedName name="IQ_PERCENT_CHANGE_EST_REV_WEEK">"c1791"</definedName>
    <definedName name="IQ_PERCENT_CHANGE_EST_REV_WEEK_REUT">"c3905"</definedName>
    <definedName name="IQ_PERCENT_FLOAT">"c227"</definedName>
    <definedName name="IQ_PERCENT_INSURED_FDIC">"c6374"</definedName>
    <definedName name="IQ_PERIODDATE">"c1414"</definedName>
    <definedName name="IQ_PERIODDATE_BS">"c1032"</definedName>
    <definedName name="IQ_PERIODDATE_CF">"c1033"</definedName>
    <definedName name="IQ_PERIODDATE_FDIC">"c13646"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EDGED_SECURITIES_FDIC">"c6401"</definedName>
    <definedName name="IQ_PLL">"c2114"</definedName>
    <definedName name="IQ_PMT_FREQ">"c2236"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REUT">"c3968"</definedName>
    <definedName name="IQ_PRE_OPEN_COST">"c1040"</definedName>
    <definedName name="IQ_PRE_TAX_ACT_OR_EST_REUT">"c5467"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>"c16"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>"c6731"</definedName>
    <definedName name="IQ_PRICE_CFPS_FWD_REUT">"c4053"</definedName>
    <definedName name="IQ_PRICE_OVER_BVPS">"c1412"</definedName>
    <definedName name="IQ_PRICE_OVER_EPS_EST">"c174"</definedName>
    <definedName name="IQ_PRICE_OVER_EPS_EST_1">"c175"</definedName>
    <definedName name="IQ_PRICE_OVER_LTM_EPS">"c1413"</definedName>
    <definedName name="IQ_PRICE_TARGET">"c82"</definedName>
    <definedName name="IQ_PRICE_TARGET_BOTTOM_UP_REUT">"c5494"</definedName>
    <definedName name="IQ_PRICE_TARGET_REUT">"c3631"</definedName>
    <definedName name="IQ_PRICEDATE">"c1069"</definedName>
    <definedName name="IQ_PRICEDATETIME">"IQ_PRICEDATETIME"</definedName>
    <definedName name="IQ_PRICING_DATE">"c1613"</definedName>
    <definedName name="IQ_PRIMARY_EPS_TYPE_REUT">"c5481"</definedName>
    <definedName name="IQ_PRIMARY_EPS_TYPE_THOM">"c5297"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VG_STORE_SIZE_GROSS">"c2066"</definedName>
    <definedName name="IQ_RETAIL_AVG_STORE_SIZE_NET">"c2067"</definedName>
    <definedName name="IQ_RETAIL_CLOSED_STORES">"c2063"</definedName>
    <definedName name="IQ_RETAIL_DEPOSITS_FDIC">"c6488"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_REUT">"c5475"</definedName>
    <definedName name="IQ_RETURN_ASSETS_BANK">"c1114"</definedName>
    <definedName name="IQ_RETURN_ASSETS_BROK">"c1115"</definedName>
    <definedName name="IQ_RETURN_ASSETS_EST_REUT">"c3990"</definedName>
    <definedName name="IQ_RETURN_ASSETS_FDIC">"c6730"</definedName>
    <definedName name="IQ_RETURN_ASSETS_FS">"c1116"</definedName>
    <definedName name="IQ_RETURN_ASSETS_HIGH_EST_REUT">"c3992"</definedName>
    <definedName name="IQ_RETURN_ASSETS_LOW_EST_REUT">"c3993"</definedName>
    <definedName name="IQ_RETURN_ASSETS_MEDIAN_EST_REUT">"c3991"</definedName>
    <definedName name="IQ_RETURN_ASSETS_NUM_EST_REUT">"c3994"</definedName>
    <definedName name="IQ_RETURN_ASSETS_STDDEV_EST_REUT">"c3995"</definedName>
    <definedName name="IQ_RETURN_CAPITAL">"c1117"</definedName>
    <definedName name="IQ_RETURN_EQUITY">"c1118"</definedName>
    <definedName name="IQ_RETURN_EQUITY_ACT_OR_EST_REUT">"c5476"</definedName>
    <definedName name="IQ_RETURN_EQUITY_BANK">"c1119"</definedName>
    <definedName name="IQ_RETURN_EQUITY_BROK">"c1120"</definedName>
    <definedName name="IQ_RETURN_EQUITY_EST_REUT">"c3983"</definedName>
    <definedName name="IQ_RETURN_EQUITY_FDIC">"c6732"</definedName>
    <definedName name="IQ_RETURN_EQUITY_FS">"c1121"</definedName>
    <definedName name="IQ_RETURN_EQUITY_HIGH_EST_REUT">"c3985"</definedName>
    <definedName name="IQ_RETURN_EQUITY_LOW_EST_REUT">"c3986"</definedName>
    <definedName name="IQ_RETURN_EQUITY_MEDIAN_EST_REUT">"c3984"</definedName>
    <definedName name="IQ_RETURN_EQUITY_NUM_EST_REUT">"c3987"</definedName>
    <definedName name="IQ_RETURN_EQUITY_STDDEV_EST_REUT">"c3988"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STDDEV_EST_REUT">"c3639"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_REUT">"c5461"</definedName>
    <definedName name="IQ_REVENUE_EST">"c1126"</definedName>
    <definedName name="IQ_REVENUE_EST_1">"c190"</definedName>
    <definedName name="IQ_REVENUE_EST_BOTTOM_UP_REUT">"c5496"</definedName>
    <definedName name="IQ_REVENUE_EST_REUT">"c3634"</definedName>
    <definedName name="IQ_REVENUE_GROWTH_1">"c155"</definedName>
    <definedName name="IQ_REVENUE_GROWTH_2">"c159"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O_EST">"c263"</definedName>
    <definedName name="IQ_REVENUE_NUM_EST">"c1129"</definedName>
    <definedName name="IQ_REVENUE_NUM_EST_REUT">"c3638"</definedName>
    <definedName name="IQ_REVISION_DATE_">39000.7075115741</definedName>
    <definedName name="IQ_REVISION_DATE__1">39237.6235648148</definedName>
    <definedName name="IQ_REVOLVING_SECURED_1_4_NON_ACCRUAL_FFIEC">"c13314"</definedName>
    <definedName name="IQ_RISK_WEIGHTED_ASSETS_FDIC">"c6370"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>"c228"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">"c2171"</definedName>
    <definedName name="IQ_SP_DATE">"c2172"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TW">"c2166"</definedName>
    <definedName name="IQ_SUB_DEBT_FDIC">"c6346"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LASTCLOSE">"c1855"</definedName>
    <definedName name="IQ_TARGET_PRICE_NUM">"c1653"</definedName>
    <definedName name="IQ_TARGET_PRICE_NUM_REUT">"c5319"</definedName>
    <definedName name="IQ_TARGET_PRICE_STDDEV">"c1654"</definedName>
    <definedName name="IQ_TARGET_PRICE_STDDEV_REUT">"c5320"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REUT">"c4050"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REUT">"c4051"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ER_ONE_RATIO">"c1229"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SSETS_FDIC">"c6339"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DUE">"c2509"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COVERIES_FDIC">"c6622"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RISK_BASED_CAPITAL_RATIO_FDIC">"c6747"</definedName>
    <definedName name="IQ_TOTAL_SECURITIES_FDIC">"c6306"</definedName>
    <definedName name="IQ_TOTAL_SPECIAL">"c1618"</definedName>
    <definedName name="IQ_TOTAL_ST_BORROW">"c1424"</definedName>
    <definedName name="IQ_TOTAL_SUBS">"c2119"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">"c1508"</definedName>
    <definedName name="IQ_TOTAL_UNUSUAL_BR">"c5517"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ST_INC">"c1319"</definedName>
    <definedName name="IQ_TRUST_PREF">"c1320"</definedName>
    <definedName name="IQ_TWELVE_MONTHS_FIXED_AND_FLOATING_FDIC">"c6420"</definedName>
    <definedName name="IQ_TWELVE_MONTHS_MORTGAGE_PASS_THROUGHS_FDIC">"c6412"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DIVIDED_PROFITS_FDIC">"c6352"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>1</definedName>
    <definedName name="IQB_BOOKMARK_LOCATION_0">#REF!</definedName>
    <definedName name="IQB_BOOKMARK_LOCATION_1">#REF!</definedName>
    <definedName name="IQB_BOOKMARK_LOCATION_2">#REF!</definedName>
    <definedName name="IQB_BOOKMARK_LOCATION_3">#REF!</definedName>
    <definedName name="IQB_BOOKMARK_LOCATION_4">#REF!</definedName>
    <definedName name="IQB_BOOKMARK_LOCATION_5">#REF!</definedName>
    <definedName name="IQB_BOOKMARK_LOCATION_7">#REF!</definedName>
    <definedName name="IQB_CURRENT_BOOKMARK">0</definedName>
    <definedName name="IQRB6">"$B$7:$B$26"</definedName>
    <definedName name="IQRC11">"$C$12:$C$967"</definedName>
    <definedName name="IQRCapIQIDPullH13">#REF!</definedName>
    <definedName name="IQRCapIQIDPullH14">#REF!</definedName>
    <definedName name="IQRCapIQIDPullH15">#REF!</definedName>
    <definedName name="IQRCapIQIDPullH16">#REF!</definedName>
    <definedName name="IQRCapIQIDPullH17">#REF!</definedName>
    <definedName name="IQRCapIQIDPullH18">#REF!</definedName>
    <definedName name="IQRCapIQIDPullH19">#REF!</definedName>
    <definedName name="IQRCapIQIDPullH20">#REF!</definedName>
    <definedName name="IQRCapIQIDPullH23">#REF!</definedName>
    <definedName name="IQRCapIQIDPullH25">#REF!</definedName>
    <definedName name="IQRCapIQIDPullH26">#REF!</definedName>
    <definedName name="IQRCapIQIDPullH27">#REF!</definedName>
    <definedName name="IQRCapIQIDPullH28">#REF!</definedName>
    <definedName name="IQRCapIQIDPullH32">#REF!</definedName>
    <definedName name="IQRCapIQIDPullH34">#REF!</definedName>
    <definedName name="IQRCapIQIDPullH35">#REF!</definedName>
    <definedName name="IQRCapIQIDPullH36">#REF!</definedName>
    <definedName name="IQRCapIQIDPullH37">#REF!</definedName>
    <definedName name="IQRCapIQIDPullH38">#REF!</definedName>
    <definedName name="IQRCapIQIDPullH39">#REF!</definedName>
    <definedName name="IQRCapIQIDPullH42">#REF!</definedName>
    <definedName name="IQRCapIQIDPullH43">#REF!</definedName>
    <definedName name="IQRCapIQIDPullH45">#REF!</definedName>
    <definedName name="IQRCapIQIDPullH46">#REF!</definedName>
    <definedName name="IQRCapIQIDPullH48">#REF!</definedName>
    <definedName name="IQRCapIQIDPullH49">#REF!</definedName>
    <definedName name="IQRCapIQIDPullH51">#REF!</definedName>
    <definedName name="IQRCapIQIDPullH53">#REF!</definedName>
    <definedName name="IQRCapIQIDPullH54">#REF!</definedName>
    <definedName name="IQRCapIQIDPullH55">#REF!</definedName>
    <definedName name="IQRCapIQIDPullH56">#REF!</definedName>
    <definedName name="IQRCapIQIDPullH57">#REF!</definedName>
    <definedName name="IQRCapIQIDPullH60">#REF!</definedName>
    <definedName name="IQRCapIQIDPullH61">#REF!</definedName>
    <definedName name="IQRCapIQIDPullH62">#REF!</definedName>
    <definedName name="IQRCapIQIDPullH63">#REF!</definedName>
    <definedName name="IQRCapIQIDPullH64">#REF!</definedName>
    <definedName name="IQRCapIQIDPullH65">#REF!</definedName>
    <definedName name="IQRCapIQIDPullH66">#REF!</definedName>
    <definedName name="IQRCapIQIDPullH68">#REF!</definedName>
    <definedName name="IQRCapIQIDPullH72">#REF!</definedName>
    <definedName name="IQRCapIQIDPullH73">#REF!</definedName>
    <definedName name="IQRCapIQIDPullH75">#REF!</definedName>
    <definedName name="IQRCapIQIDPullH76">#REF!</definedName>
    <definedName name="IQRCapIQIDPullH77">#REF!</definedName>
    <definedName name="IQRCapIQIDPullH78">#REF!</definedName>
    <definedName name="IQRCapIQIDPullH79">#REF!</definedName>
    <definedName name="IQRCapIQIDPullH80">#REF!</definedName>
    <definedName name="IQRCapIQIDPullH81">#REF!</definedName>
    <definedName name="IQRCapIQIDPullH82">#REF!</definedName>
    <definedName name="IQRCapIQIDPullH83">#REF!</definedName>
    <definedName name="IQRCapIQIDPullH85">#REF!</definedName>
    <definedName name="IQRCapIQIDPullN13">#REF!</definedName>
    <definedName name="IQRCapIQIDPullN14">#REF!</definedName>
    <definedName name="IQRCapIQIDPullN15">#REF!</definedName>
    <definedName name="IQRCapIQIDPullN16">#REF!</definedName>
    <definedName name="IQRCapIQIDPullN17">#REF!</definedName>
    <definedName name="IQRCapIQIDPullN18">#REF!</definedName>
    <definedName name="IQRCapIQIDPullN19">#REF!</definedName>
    <definedName name="IQRCapIQIDPullN20">#REF!</definedName>
    <definedName name="IQRCapIQIDPullN23">#REF!</definedName>
    <definedName name="IQRCapIQIDPullN25">#REF!</definedName>
    <definedName name="IQRCapIQIDPullN26">#REF!</definedName>
    <definedName name="IQRCapIQIDPullN27">#REF!</definedName>
    <definedName name="IQRCapIQIDPullN28">#REF!</definedName>
    <definedName name="IQRCapIQIDPullN32">#REF!</definedName>
    <definedName name="IQRCapIQIDPullN34">#REF!</definedName>
    <definedName name="IQRCapIQIDPullN35">#REF!</definedName>
    <definedName name="IQRCapIQIDPullN36">#REF!</definedName>
    <definedName name="IQRCapIQIDPullN37">#REF!</definedName>
    <definedName name="IQRCapIQIDPullN38">#REF!</definedName>
    <definedName name="IQRCapIQIDPullN39">#REF!</definedName>
    <definedName name="IQRCapIQIDPullN42">#REF!</definedName>
    <definedName name="IQRCapIQIDPullN43">#REF!</definedName>
    <definedName name="IQRCapIQIDPullN45">#REF!</definedName>
    <definedName name="IQRCapIQIDPullN46">#REF!</definedName>
    <definedName name="IQRCapIQIDPullN48">#REF!</definedName>
    <definedName name="IQRCapIQIDPullN49">#REF!</definedName>
    <definedName name="IQRCapIQIDPullN51">#REF!</definedName>
    <definedName name="IQRCapIQIDPullN53">#REF!</definedName>
    <definedName name="IQRCapIQIDPullN54">#REF!</definedName>
    <definedName name="IQRCapIQIDPullN55">#REF!</definedName>
    <definedName name="IQRCapIQIDPullN56">#REF!</definedName>
    <definedName name="IQRCapIQIDPullN57">#REF!</definedName>
    <definedName name="IQRCapIQIDPullN60">#REF!</definedName>
    <definedName name="IQRCapIQIDPullN61">#REF!</definedName>
    <definedName name="IQRCapIQIDPullN62">#REF!</definedName>
    <definedName name="IQRCapIQIDPullN63">#REF!</definedName>
    <definedName name="IQRCapIQIDPullN64">#REF!</definedName>
    <definedName name="IQRCapIQIDPullN65">#REF!</definedName>
    <definedName name="IQRCapIQIDPullN66">#REF!</definedName>
    <definedName name="IQRCapIQIDPullN68">#REF!</definedName>
    <definedName name="IQRCapIQIDPullN72">#REF!</definedName>
    <definedName name="IQRCapIQIDPullN73">#REF!</definedName>
    <definedName name="IQRCapIQIDPullN75">#REF!</definedName>
    <definedName name="IQRCapIQIDPullN76">#REF!</definedName>
    <definedName name="IQRCapIQIDPullN77">#REF!</definedName>
    <definedName name="IQRCapIQIDPullN78">#REF!</definedName>
    <definedName name="IQRCapIQIDPullN79">#REF!</definedName>
    <definedName name="IQRCapIQIDPullN80">#REF!</definedName>
    <definedName name="IQRCapIQIDPullN81">#REF!</definedName>
    <definedName name="IQRCapIQIDPullN82">#REF!</definedName>
    <definedName name="IQRCapIQIDPullN83">#REF!</definedName>
    <definedName name="IQRCapIQIDPullN85">#REF!</definedName>
    <definedName name="IQRCurrentCompsO6">#REF!</definedName>
    <definedName name="IQRD11">"$D$12:$D$967"</definedName>
    <definedName name="IQRD6">"$D$7:$D$26"</definedName>
    <definedName name="IQRD8">"$D$9:$D$964"</definedName>
    <definedName name="IQRDataSheetDP12">#REF!</definedName>
    <definedName name="IQRDataSheetDP13">#REF!</definedName>
    <definedName name="IQRDataSheetDP14">#REF!</definedName>
    <definedName name="IQRDataSheetDP15">#REF!</definedName>
    <definedName name="IQRDataSheetDP16">#REF!</definedName>
    <definedName name="IQRDataSheetDP17">#REF!</definedName>
    <definedName name="IQRDataSheetDP18">#REF!</definedName>
    <definedName name="IQRDataSheetDP19">#REF!</definedName>
    <definedName name="IQRDataSheetDP20">#REF!</definedName>
    <definedName name="IQRDataSheetDP21">#REF!</definedName>
    <definedName name="IQRDataSheetDP22">#REF!</definedName>
    <definedName name="IQRDataSheetDP23">#REF!</definedName>
    <definedName name="IQRDataSheetDP24">#REF!</definedName>
    <definedName name="IQRDataSheetDP25">#REF!</definedName>
    <definedName name="IQRDataSheetDP26">#REF!</definedName>
    <definedName name="IQRDataSheetDP27">#REF!</definedName>
    <definedName name="IQRDataSheetDP28">#REF!</definedName>
    <definedName name="IQRDataSheetDP30">#REF!</definedName>
    <definedName name="IQRDataSheetDP31">#REF!</definedName>
    <definedName name="IQRDataSheetDP32">#REF!</definedName>
    <definedName name="IQRDataSheetDP33">#REF!</definedName>
    <definedName name="IQRDataSheetDP34">#REF!</definedName>
    <definedName name="IQRDataSheetDP35">#REF!</definedName>
    <definedName name="IQRDataSheetDP36">#REF!</definedName>
    <definedName name="IQRDataSheetDP37">#REF!</definedName>
    <definedName name="IQRDataSheetDP38">#REF!</definedName>
    <definedName name="IQRDataSheetDP39">#REF!</definedName>
    <definedName name="IQRDataSheetDP41">#REF!</definedName>
    <definedName name="IQRDataSheetDP42">#REF!</definedName>
    <definedName name="IQRDataSheetDP43">#REF!</definedName>
    <definedName name="IQRDataSheetDP44">#REF!</definedName>
    <definedName name="IQRDataSheetDP45">#REF!</definedName>
    <definedName name="IQRDataSheetDP46">#REF!</definedName>
    <definedName name="IQRDataSheetDP47">#REF!</definedName>
    <definedName name="IQRDataSheetDP48">#REF!</definedName>
    <definedName name="IQRDataSheetDP49">#REF!</definedName>
    <definedName name="IQRDataSheetDP50">#REF!</definedName>
    <definedName name="IQRDataSheetDP51">#REF!</definedName>
    <definedName name="IQRDataSheetDP52">#REF!</definedName>
    <definedName name="IQRDataSheetDP53">#REF!</definedName>
    <definedName name="IQRE8">"$E$9:$E$964"</definedName>
    <definedName name="IQRH6">"$H$7:$H$238"</definedName>
    <definedName name="IQRI2">"$I$3:$I$66"</definedName>
    <definedName name="IQRI6">"$I$7:$I$238"</definedName>
    <definedName name="IQRJ3">"$J$4:$J$67"</definedName>
    <definedName name="IQRJ6">"$J$7:$J$238"</definedName>
    <definedName name="IQRL16">"$L$17:$L$21"</definedName>
    <definedName name="IQRM15">"$M$16:$M$32"</definedName>
    <definedName name="IQRM16">"$N$16"</definedName>
    <definedName name="IQRM17">"$M$18:$M$22"</definedName>
    <definedName name="IQRO14">"$O$15:$O$66"</definedName>
    <definedName name="IQRP30">"$P$31:$P$281"</definedName>
    <definedName name="IQRPeerGroupMAAA61">#REF!</definedName>
    <definedName name="IQRPeerGroupMAAB61">#REF!</definedName>
    <definedName name="IQRPeerGroupMAAC61">#REF!</definedName>
    <definedName name="IQRPeerGroupMAAD61">#REF!</definedName>
    <definedName name="IQRPeerGroupMAAE61">#REF!</definedName>
    <definedName name="IQRPeerGroupMAAF61">#REF!</definedName>
    <definedName name="IQRPeerGroupMAAG61">#REF!</definedName>
    <definedName name="IQRPeerGroupMAAH61">#REF!</definedName>
    <definedName name="IQRPeerGroupMAAI61">#REF!</definedName>
    <definedName name="IQRPeerGroupMAAJ61">#REF!</definedName>
    <definedName name="IQRPeerGroupMAC61">#REF!</definedName>
    <definedName name="IQRPeerGroupMAD61">#REF!</definedName>
    <definedName name="IQRPeerGroupMAE61">#REF!</definedName>
    <definedName name="IQRPeerGroupMAF61">#REF!</definedName>
    <definedName name="IQRPeerGroupMAG61">#REF!</definedName>
    <definedName name="IQRPeerGroupMAH61">#REF!</definedName>
    <definedName name="IQRPeerGroupMAI61">#REF!</definedName>
    <definedName name="IQRPeerGroupMAJ61">#REF!</definedName>
    <definedName name="IQRPeerGroupMAK61">#REF!</definedName>
    <definedName name="IQRPeerGroupMAL61">#REF!</definedName>
    <definedName name="IQRPeerGroupMAM61">#REF!</definedName>
    <definedName name="IQRPeerGroupMAN61">#REF!</definedName>
    <definedName name="IQRPeerGroupMAO61">#REF!</definedName>
    <definedName name="IQRPeerGroupMAQ61">#REF!</definedName>
    <definedName name="IQRPeerGroupMAS61">#REF!</definedName>
    <definedName name="IQRPeerGroupMAT61">#REF!</definedName>
    <definedName name="IQRPeerGroupMAV61">#REF!</definedName>
    <definedName name="IQRPeerGroupMAW61">#REF!</definedName>
    <definedName name="IQRPeerGroupMAY61">#REF!</definedName>
    <definedName name="IQRPeerGroupMAZ61">#REF!</definedName>
    <definedName name="IQRPublicTradingMultiplesC10">#REF!</definedName>
    <definedName name="IQRPublicTradingMultiplesC12">#REF!</definedName>
    <definedName name="IQRPublicTradingMultiplesC24">#REF!</definedName>
    <definedName name="IQRPVChartB13">#REF!</definedName>
    <definedName name="IQRR192">"$R$193:$R$443"</definedName>
    <definedName name="IQRR207">"$R$208:$R$458"</definedName>
    <definedName name="IQRR24">"$R$25:$R$275"</definedName>
    <definedName name="IQRRelativepricesv2C26">#REF!</definedName>
    <definedName name="IQRRelativePVB14">#REF!</definedName>
    <definedName name="IQRSheet1B10">#REF!</definedName>
    <definedName name="IQRSheet1B5">#REF!</definedName>
    <definedName name="IQRSheet1B8">#REF!</definedName>
    <definedName name="IQRSheet1B9">#REF!</definedName>
    <definedName name="IQRSheet1C10">#REF!</definedName>
    <definedName name="IQRSheet1C7">#REF!</definedName>
    <definedName name="IQRSheet1D7">#REF!</definedName>
    <definedName name="IQRSheet1E2646">#REF!</definedName>
    <definedName name="IQRSheet1E7">#REF!</definedName>
    <definedName name="IQRSheet1F7">#REF!</definedName>
    <definedName name="IQRSheet1G7">#REF!</definedName>
    <definedName name="IQRSheet2H5">#REF!</definedName>
    <definedName name="IQRStockPriceChartB13">#REF!</definedName>
    <definedName name="Irbe">{#N/A,#N/A,FALSE,"Pharm";#N/A,#N/A,FALSE,"WWCM"}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emStart">#REF!</definedName>
    <definedName name="iv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">{#N/A,#N/A,FALSE,"REPORT"}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h">{#N/A,#N/A,FALSE,"Assump";#N/A,#N/A,FALSE,"Income";#N/A,#N/A,FALSE,"Balance";#N/A,#N/A,FALSE,"DCF Pump";#N/A,#N/A,FALSE,"Trans Assump";#N/A,#N/A,FALSE,"Combined Income";#N/A,#N/A,FALSE,"Combined Balance"}</definedName>
    <definedName name="jj">{#N/A,#N/A,TRUE,"DCF Summary (2)";#N/A,#N/A,TRUE,"DCF Summary";#N/A,"Base Case Value Drivers",TRUE,"DCF"}</definedName>
    <definedName name="jjj">{#N/A,#N/A,FALSE,"REPORT"}</definedName>
    <definedName name="JJZK">#REF!</definedName>
    <definedName name="jk">{#N/A,#N/A,FALSE,"FY97";#N/A,#N/A,FALSE,"FY98";#N/A,#N/A,FALSE,"FY99";#N/A,#N/A,FALSE,"FY00";#N/A,#N/A,FALSE,"FY01"}</definedName>
    <definedName name="jkhasjkhd">#REF!</definedName>
    <definedName name="jkl">{#N/A,#N/A,FALSE,"REPORT"}</definedName>
    <definedName name="jklhjk">{#N/A,#N/A,FALSE,"Sheet1"}</definedName>
    <definedName name="jlc">{#N/A,#N/A,FALSE,"J97plnfp"}</definedName>
    <definedName name="JLCC">{#N/A,#N/A,FALSE,"J97plnfp"}</definedName>
    <definedName name="Joe">{"FY04_Assets",#N/A,FALSE,"Fin Stmt Budget";"FY04_Liabilities",#N/A,FALSE,"Fin Stmt Budget";"FY04_Inc_Stmt",#N/A,FALSE,"Fin Stmt Budget";"FY04_SOCF",#N/A,FALSE,"Fin Stmt Budget"}</definedName>
    <definedName name="jr97pl">{#N/A,#N/A,FALSE,"J97plnfp"}</definedName>
    <definedName name="jsfda">{"incomemth",#N/A,TRUE,"forecast00";"incomepercentmth",#N/A,TRUE,"forecast00";"balancemth",#N/A,TRUE,"forecast00";"cashmth",#N/A,TRUE,"forecast00";"covenantmth",#N/A,TRUE,"forecast00"}</definedName>
    <definedName name="ju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dy">{#N/A,#N/A,FALSE,"Pharm";#N/A,#N/A,FALSE,"WWCM"}</definedName>
    <definedName name="judy1">{#N/A,#N/A,FALSE,"Pharm";#N/A,#N/A,FALSE,"WWCM"}</definedName>
    <definedName name="junk">#REF!</definedName>
    <definedName name="junk1">#REF!</definedName>
    <definedName name="junk107">#REF!</definedName>
    <definedName name="junk2">{"BS",#N/A,FALSE,"USA"}</definedName>
    <definedName name="junk3">{"BS",#N/A,FALSE,"USA"}</definedName>
    <definedName name="junk5">#REF!</definedName>
    <definedName name="k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K2_WBEVMODE">0</definedName>
    <definedName name="kcuf">{"SUMMARY",#N/A,TRUE,"SUMMARY";"compare",#N/A,TRUE,"Vs. Bus Plan";"ratios",#N/A,TRUE,"Ratios";"REVENUE",#N/A,TRUE,"Revenue";"expenses",#N/A,TRUE,"1996 budget";"payroll",#N/A,TRUE,"Payroll"}</definedName>
    <definedName name="kdjfdkj">{"PAGE1",#N/A,FALSE,"ADJMODL";"PAGE2",#N/A,FALSE,"ADJMODL";"PAGE3",#N/A,FALSE,"ADJMODL";"PAGE4",#N/A,FALSE,"ADJMODL";"PAGE5",#N/A,FALSE,"ADJMODL";"PAGE6",#N/A,FALSE,"ADJMODL";"PAGE7",#N/A,FALSE,"ADJMODL";"PAGE8",#N/A,FALSE,"ADJMODL"}</definedName>
    <definedName name="kdjsasdfasdfajks">#REF!</definedName>
    <definedName name="kern">#REF!</definedName>
    <definedName name="key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1V2">#REF!</definedName>
    <definedName name="keycop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j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o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ern">#REF!</definedName>
    <definedName name="kkj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>{#N/A,#N/A,FALSE,"Pharm";#N/A,#N/A,FALSE,"WWCM"}</definedName>
    <definedName name="kl">{#N/A,#N/A,FALSE,"FY97";#N/A,#N/A,FALSE,"FY98";#N/A,#N/A,FALSE,"FY99";#N/A,#N/A,FALSE,"FY00";#N/A,#N/A,FALSE,"FY01"}</definedName>
    <definedName name="krista">{#N/A,#N/A,TRUE,"97plnfpg"}</definedName>
    <definedName name="kslkjkjlkjd">{#N/A,#N/A,FALSE,"REPORT"}</definedName>
    <definedName name="kyd.ChngCell.01.">#REF!</definedName>
    <definedName name="kyd.ChngCell.02.">#REF!</definedName>
    <definedName name="kyd.ElementList.02.">#REF!</definedName>
    <definedName name="LastEndDate">#REF!</definedName>
    <definedName name="LastStartDate">#REF!</definedName>
    <definedName name="LBO">{#N/A,#N/A,FALSE,"Summary";#N/A,#N/A,FALSE,"Projections";#N/A,#N/A,FALSE,"Mkt Mults";#N/A,#N/A,FALSE,"DCF";#N/A,#N/A,FALSE,"Accr Dil";#N/A,#N/A,FALSE,"PIC LBO";#N/A,#N/A,FALSE,"MULT10_4";#N/A,#N/A,FALSE,"CBI LBO"}</definedName>
    <definedName name="LBOAnalysis2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ea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e">{#N/A,#N/A,FALSE,"Pharm";#N/A,#N/A,FALSE,"WWCM"}</definedName>
    <definedName name="limcount">1</definedName>
    <definedName name="limey">{#N/A,#N/A,FALSE,"Calc";#N/A,#N/A,FALSE,"Sensitivity";#N/A,#N/A,FALSE,"LT Earn.Dil.";#N/A,#N/A,FALSE,"Dil. AVP"}</definedName>
    <definedName name="lkjlkj">{"Final",#N/A,FALSE,"Feb-96"}</definedName>
    <definedName name="lklkl">{"consolidated",#N/A,FALSE,"Sheet1";"cms",#N/A,FALSE,"Sheet1";"fse",#N/A,FALSE,"Sheet1"}</definedName>
    <definedName name="ll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LLCP">{"PAGE1",#N/A,FALSE,"BID (3)";"PAGE2",#N/A,FALSE,"BID (3)"}</definedName>
    <definedName name="LLL">{#N/A,#N/A,FALSE,"ACQ_GRAPHS";#N/A,#N/A,FALSE,"T_1 GRAPHS";#N/A,#N/A,FALSE,"T_2 GRAPHS";#N/A,#N/A,FALSE,"COMB_GRAPHS"}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tusGraphChart1">#REF!</definedName>
    <definedName name="lotusgraphchart1b">#REF!</definedName>
    <definedName name="lotusgraphchart1x">#REF!</definedName>
    <definedName name="lskdjfksldjf">#REF!</definedName>
    <definedName name="ltm_BalanceSheet">#REF!</definedName>
    <definedName name="ltm_IncomeStatement">#REF!</definedName>
    <definedName name="m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1">{"rtn",#N/A,FALSE,"RTN";"tables",#N/A,FALSE,"RTN";"cf",#N/A,FALSE,"CF";"stats",#N/A,FALSE,"Stats";"prop",#N/A,FALSE,"Prop"}</definedName>
    <definedName name="Malcolm">{"Budget V Actual YTD",#N/A,FALSE,"Budget v Actual"}</definedName>
    <definedName name="Mark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trix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DI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">{#N/A,#N/A,TRUE,"index";#N/A,#N/A,TRUE,"Summary";#N/A,#N/A,TRUE,"Continuing Business";#N/A,#N/A,TRUE,"Disposals";#N/A,#N/A,TRUE,"Acquisitions";#N/A,#N/A,TRUE,"Actual &amp; Plan Reconciliation"}</definedName>
    <definedName name="meoi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rillPrintIt">#REF!</definedName>
    <definedName name="MEWarning">1</definedName>
    <definedName name="mfgr">{"PAGE 1",#N/A,FALSE,"WEST_OT"}</definedName>
    <definedName name="mfgtest">{"PAGE 1",#N/A,FALSE,"WEST_OT"}</definedName>
    <definedName name="MHA">{"Outflow 1",#N/A,FALSE,"Outflows-Inflows";"Outflow 2",#N/A,FALSE,"Outflows-Inflows";"Inflow 1",#N/A,FALSE,"Outflows-Inflows";"Inflow 2",#N/A,FALSE,"Outflows-Inflows"}</definedName>
    <definedName name="MHA_1">{"Outflow 1",#N/A,FALSE,"Outflows-Inflows";"Outflow 2",#N/A,FALSE,"Outflows-Inflows";"Inflow 1",#N/A,FALSE,"Outflows-Inflows";"Inflow 2",#N/A,FALSE,"Outflows-Inflows"}</definedName>
    <definedName name="Midwest">{"FY02_Assets",#N/A,FALSE,"Fin Stmt Budget";"FY02_Liabilities",#N/A,FALSE,"Fin Stmt Budget";"FY02_Inc_Stmt",#N/A,FALSE,"Fin Stmt Budget";"FY02_SOCF",#N/A,FALSE,"Fin Stmt Budget"}</definedName>
    <definedName name="mike">#REF!</definedName>
    <definedName name="mike2">#REF!</definedName>
    <definedName name="mikek">#REF!</definedName>
    <definedName name="mikke">#REF!</definedName>
    <definedName name="min">{#N/A,#N/A,FALSE,"REPORT"}</definedName>
    <definedName name="mina">{#N/A,#N/A,FALSE,"REPORT"}</definedName>
    <definedName name="mj">{#N/A,#N/A,FALSE,"FY97";#N/A,#N/A,FALSE,"FY98";#N/A,#N/A,FALSE,"FY99";#N/A,#N/A,FALSE,"FY00";#N/A,#N/A,FALSE,"FY01"}</definedName>
    <definedName name="ml">#REF!</definedName>
    <definedName name="mlw">{#N/A,#N/A,FALSE,"Pharm";#N/A,#N/A,FALSE,"WWCM"}</definedName>
    <definedName name="mmjj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m">{"MFGLBRBEN",#N/A,FALSE,"SAMPLECC"}</definedName>
    <definedName name="mmmmm">{#N/A,#N/A,FALSE,"Calc";#N/A,#N/A,FALSE,"Sensitivity";#N/A,#N/A,FALSE,"LT Earn.Dil.";#N/A,#N/A,FALSE,"Dil. AVP"}</definedName>
    <definedName name="mmmmmmmmmmmmm">{"rtn",#N/A,FALSE,"RTN";"tables",#N/A,FALSE,"RTN";"cf",#N/A,FALSE,"CF";"stats",#N/A,FALSE,"Stats";"prop",#N/A,FALSE,"Prop"}</definedName>
    <definedName name="mmmmmmmmmmmmm_1">{"rtn",#N/A,FALSE,"RTN";"tables",#N/A,FALSE,"RTN";"cf",#N/A,FALSE,"CF";"stats",#N/A,FALSE,"Stats";"prop",#N/A,FALSE,"Prop"}</definedName>
    <definedName name="m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w">{#N/A,#N/A,FALSE,"Pharm";#N/A,#N/A,FALSE,"WWCM"}</definedName>
    <definedName name="N">{"by departments",#N/A,TRUE,"FORECAST";"cap_headcount",#N/A,TRUE,"FORECAST";"summary",#N/A,TRUE,"FORECAST"}</definedName>
    <definedName name="na">"IQ_FY_DATE"</definedName>
    <definedName name="NCapLease">#REF!</definedName>
    <definedName name="NClassBOutStanding">#REF!</definedName>
    <definedName name="NCompExp">#REF!</definedName>
    <definedName name="NetIncomeGraph">#REF!</definedName>
    <definedName name="NetIncomeGraph1">#REF!</definedName>
    <definedName name="new">{"'Income Statement'!$A$1:$L$32"}</definedName>
    <definedName name="newdata">{"PAGE 1",#N/A,FALSE,"WEST_OT"}</definedName>
    <definedName name="newdata2">{"PAGE 1",#N/A,FALSE,"WEST_OT"}</definedName>
    <definedName name="newdcf">{#N/A,#N/A,TRUE,"DCF Summary (2)";#N/A,#N/A,TRUE,"DCF Summary";#N/A,"Middle Case Drivers",TRUE,"DCF"}</definedName>
    <definedName name="newnewnew">{#N/A,#N/A,FALSE,"Pharm";#N/A,#N/A,FALSE,"WWCM"}</definedName>
    <definedName name="NewRange">#REF!</definedName>
    <definedName name="NFairValueCY">#REF!</definedName>
    <definedName name="NFairValuePY">#REF!</definedName>
    <definedName name="NInvestFVCY">#REF!</definedName>
    <definedName name="NInvestFVPY">#REF!</definedName>
    <definedName name="nname">38743.7825231481</definedName>
    <definedName name="nnn">{"INDUSTRYCONVENTIONS",#N/A,FALSE,"SAMPLECC"}</definedName>
    <definedName name="nnnb">{"consolidated",#N/A,FALSE,"Sheet1";"cms",#N/A,FALSE,"Sheet1";"fse",#N/A,FALSE,"Sheet1"}</definedName>
    <definedName name="nnnn">{#N/A,#N/A,FALSE,"Job Sched"}</definedName>
    <definedName name="nnnnnnnnnnnnnnnn">{"print 1.6",#N/A,FALSE,"Sheet1";"print 2.6",#N/A,FALSE,"Sheet1";"print 3.6",#N/A,FALSE,"Sheet1";"print 4.6",#N/A,FALSE,"Sheet1";"print 5.6",#N/A,FALSE,"Sheet1";"print 6.6",#N/A,FALSE,"Sheet1"}</definedName>
    <definedName name="nnnnnnnnnnnnnnnn_1">{"print 1.6",#N/A,FALSE,"Sheet1";"print 2.6",#N/A,FALSE,"Sheet1";"print 3.6",#N/A,FALSE,"Sheet1";"print 4.6",#N/A,FALSE,"Sheet1";"print 5.6",#N/A,FALSE,"Sheet1";"print 6.6",#N/A,FALSE,"Sheet1"}</definedName>
    <definedName name="no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noidea">{#N/A,#N/A,FALSE,"Calc";#N/A,#N/A,FALSE,"Sensitivity";#N/A,#N/A,FALSE,"LT Earn.Dil.";#N/A,#N/A,FALSE,"Dil. AVP"}</definedName>
    <definedName name="Nope">{"'Bellville Acetylene'!$A$1:$L$99"}</definedName>
    <definedName name="Note">#REF!</definedName>
    <definedName name="nouv">{#N/A,#N/A,FALSE,"Pharm";#N/A,#N/A,FALSE,"WWCM"}</definedName>
    <definedName name="nuovo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we">{"pages345",#N/A,FALSE,"group and company";"page1920",#N/A,FALSE,"glass grp";"page21",#N/A,FALSE,"glass and marbleine";"page2223",#N/A,FALSE,"wood grp "}</definedName>
    <definedName name="o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h_sum">{#N/A,#N/A,FALSE,"PRO FORMA FINANCIALS"}</definedName>
    <definedName name="oh_sum1">{#N/A,#N/A,FALSE,"PRO FORMA FINANCIALS"}</definedName>
    <definedName name="OIK">#REF!</definedName>
    <definedName name="ok">{"TOTAL",#N/A,FALSE,"A";"FISCAL94",#N/A,FALSE,"A";"FISCAL95",#N/A,FALSE,"A";"FISCAL96",#N/A,FALSE,"A";"misc page",#N/A,FALSE,"A"}</definedName>
    <definedName name="okay">{#N/A,#N/A,FALSE,"INPUTS";#N/A,#N/A,FALSE,"PROFORMA BSHEET";#N/A,#N/A,FALSE,"COMBINED";#N/A,#N/A,FALSE,"HIGH YIELD";#N/A,#N/A,FALSE,"COMB_GRAPHS"}</definedName>
    <definedName name="old">{"Period 5 Income Statements",#N/A,FALSE,"Income Statement";"Period 5 Balance Sheets",#N/A,FALSE,"Balance Sheet";"Period 5 Cashflow Statements",#N/A,FALSE,"Cashflow Statement";"Period 5 Financial Ratios",#N/A,FALSE,"Financial Ratios"}</definedName>
    <definedName name="olddata">{"PAGE 1",#N/A,FALSE,"WEST_OT"}</definedName>
    <definedName name="olddata1">{"PAGE 1",#N/A,FALSE,"WEST_OT"}</definedName>
    <definedName name="olddata2">{"PAGE 1",#N/A,FALSE,"WEST_OT"}</definedName>
    <definedName name="olddata3">{"PAGE 1",#N/A,FALSE,"WEST_OT"}</definedName>
    <definedName name="one.total">{#N/A,#N/A,FALSE,"Coverage";#N/A,#N/A,FALSE,"Leverage";#N/A,#N/A,FALSE,"Projections"}</definedName>
    <definedName name="ONYX19970501222055">#REF!</definedName>
    <definedName name="ONYX19970501222155">#REF!</definedName>
    <definedName name="ooo">{#N/A,#N/A,FALSE,"REPORT"}</definedName>
    <definedName name="ooooo">{#N/A,#N/A,FALSE,"Calc";#N/A,#N/A,FALSE,"Sensitivity";#N/A,#N/A,FALSE,"LT Earn.Dil.";#N/A,#N/A,FALSE,"Dil. AVP"}</definedName>
    <definedName name="opopop">{#N/A,#N/A,TRUE,"index";#N/A,#N/A,TRUE,"Summary";#N/A,#N/A,TRUE,"Continuing Business";#N/A,#N/A,TRUE,"Disposals";#N/A,#N/A,TRUE,"Acquisitions";#N/A,#N/A,TRUE,"Actual &amp; Plan Reconciliation"}</definedName>
    <definedName name="other33">{#N/A,#N/A,FALSE,"Pharm";#N/A,#N/A,FALSE,"WWCM"}</definedName>
    <definedName name="othermar">{#N/A,#N/A,FALSE,"Pharm";#N/A,#N/A,FALSE,"WWCM"}</definedName>
    <definedName name="p">{#N/A,#N/A,TRUE,"Model"}</definedName>
    <definedName name="p.Covenants">#REF!</definedName>
    <definedName name="p.Covenants_Titles">#REF!</definedName>
    <definedName name="p.CreditStats">#REF!</definedName>
    <definedName name="p.LTM_BS">#REF!</definedName>
    <definedName name="p.LTM_IS">#REF!</definedName>
    <definedName name="p.Summary">#REF!</definedName>
    <definedName name="p.Summary_Titles">#REF!</definedName>
    <definedName name="pac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geNumber">#REF!</definedName>
    <definedName name="patty">{"PAGE 1",#N/A,FALSE,"WEST_OT"}</definedName>
    <definedName name="Pechous">{"FY01_Assets",#N/A,FALSE,"Fin Stmt Budget";"FY01_Liabilities",#N/A,FALSE,"Fin Stmt Budget";"FY01_Inc_Stmt",#N/A,FALSE,"Fin Stmt Budget";"FY01_SOCF",#N/A,FALSE,"Fin Stmt Budget"}</definedName>
    <definedName name="pepe">{#N/A,#N/A,FALSE,"Pharm";#N/A,#N/A,FALSE,"WWCM"}</definedName>
    <definedName name="PEPE4">{#N/A,#N/A,FALSE,"Pharm";#N/A,#N/A,FALSE,"WWCM"}</definedName>
    <definedName name="PEPE5">{#N/A,#N/A,FALSE,"Pharm";#N/A,#N/A,FALSE,"WWCM"}</definedName>
    <definedName name="perm">{"PAGE 1",#N/A,FALSE,"WEST_OT"}</definedName>
    <definedName name="perm1">{"PAGE 1",#N/A,FALSE,"WEST_OT"}</definedName>
    <definedName name="perm3">{"PAGE 1",#N/A,FALSE,"WEST_OT"}</definedName>
    <definedName name="perm4">{"PAGE 1",#N/A,FALSE,"WEST_OT"}</definedName>
    <definedName name="perm5">{"PAGE 2",#N/A,FALSE,"WEST_OT"}</definedName>
    <definedName name="perm6">{"PAGE 2",#N/A,FALSE,"WEST_OT"}</definedName>
    <definedName name="perm7">{"PAGE 1",#N/A,FALSE,"WEST_OT"}</definedName>
    <definedName name="PetPL">{#N/A,#N/A,FALSE,"J97plnfp"}</definedName>
    <definedName name="pharma">{#N/A,#N/A,FALSE,"Sales Graph";#N/A,#N/A,FALSE,"PSBM";#N/A,#N/A,FALSE,"BUC Graph";#N/A,#N/A,FALSE,"P&amp;L - YTD"}</definedName>
    <definedName name="pl">{#N/A,#N/A,FALSE,"REPORT"}</definedName>
    <definedName name="PlanVLE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Cepi">{#N/A,#N/A,FALSE,"REPORT"}</definedName>
    <definedName name="PLProcef">{#N/A,#N/A,FALSE,"REPORT"}</definedName>
    <definedName name="PLTaxol">{#N/A,#N/A,FALSE,"REPORT"}</definedName>
    <definedName name="ply">#REF!</definedName>
    <definedName name="plywood">#REF!</definedName>
    <definedName name="Pnl">{#N/A,#N/A,FALSE,"Pharm";#N/A,#N/A,FALSE,"WWCM"}</definedName>
    <definedName name="PO">{#N/A,#N/A,FALSE,"PRO FORMA FINANCIALS"}</definedName>
    <definedName name="port29">{#N/A,#N/A,FALSE,"Pharm";#N/A,#N/A,FALSE,"WWCM"}</definedName>
    <definedName name="POW">{#N/A,#N/A,FALSE,"PRO FORMA FINANCIALS"}</definedName>
    <definedName name="pppp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remissas">{"summary1",#N/A,TRUE,"Comps";"summary2",#N/A,TRUE,"Comps";"summary3",#N/A,TRUE,"Comps"}</definedName>
    <definedName name="Presentation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view2">{"PR1","pr1",TRUE,"Sch PR-1"}</definedName>
    <definedName name="PriceRangeMain">#REF!</definedName>
    <definedName name="pricesg.xls">{#N/A,#N/A,FALSE,"J97plnfp"}</definedName>
    <definedName name="Procef">{#N/A,#N/A,FALSE,"Pharm";#N/A,#N/A,FALSE,"WWCM"}</definedName>
    <definedName name="prod">{#N/A,#N/A,FALSE,"Pharm";#N/A,#N/A,FALSE,"WWCM"}</definedName>
    <definedName name="profimp2">{"PAGE 1",#N/A,FALSE,"WEST_OT"}</definedName>
    <definedName name="profimp3">{"PAGE 2",#N/A,FALSE,"WEST_OT"}</definedName>
    <definedName name="profimp5">{"PAGE 1",#N/A,FALSE,"WEST_OT"}</definedName>
    <definedName name="profimptest">{"PAGE 2",#N/A,FALSE,"WEST_OT"}</definedName>
    <definedName name="project">{#N/A,#N/A,FALSE,"DI 2 YEAR MASTER SCHEDULE"}</definedName>
    <definedName name="prova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vdsk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">{"page1",#N/A,FALSE,"BHCOMPC5";"page2",#N/A,FALSE,"BHCOMPC5";"page3",#N/A,FALSE,"BHCOMPC5";"page4",#N/A,FALSE,"BHCOMPC5"}</definedName>
    <definedName name="Q1_Team_Mapping">#REF!,#REF!,#REF!,#REF!,#REF!,#REF!,#REF!</definedName>
    <definedName name="qawerhqreh">#REF!</definedName>
    <definedName name="qaz">{#N/A,#N/A,FALSE,"Pharm";#N/A,#N/A,FALSE,"WWCM"}</definedName>
    <definedName name="qe5yh">{#N/A,#N/A,FALSE,"Summary";#N/A,#N/A,FALSE,"Projections";#N/A,#N/A,FALSE,"Mkt Mults";#N/A,#N/A,FALSE,"DCF";#N/A,#N/A,FALSE,"Accr Dil";#N/A,#N/A,FALSE,"PIC LBO";#N/A,#N/A,FALSE,"MULT10_4";#N/A,#N/A,FALSE,"CBI LBO"}</definedName>
    <definedName name="qegeg">#REF!</definedName>
    <definedName name="qerherhrh">#REF!</definedName>
    <definedName name="qertweyu">{#N/A,#N/A,FALSE,"REPORT"}</definedName>
    <definedName name="qet">#REF!</definedName>
    <definedName name="qetryywt">{#N/A,#N/A,FALSE,"REPORT"}</definedName>
    <definedName name="qjwieji">#REF!</definedName>
    <definedName name="QofE2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q">#REF!</definedName>
    <definedName name="qq_1">{"Outflow 1",#N/A,FALSE,"Outflows-Inflows";"Outflow 2",#N/A,FALSE,"Outflows-Inflows";"Inflow 1",#N/A,FALSE,"Outflows-Inflows";"Inflow 2",#N/A,FALSE,"Outflows-Inflows"}</definedName>
    <definedName name="qqq">{#N/A,#N/A,FALSE,"Pharm";#N/A,#N/A,FALSE,"WWCM"}</definedName>
    <definedName name="qqq_1">{"Outflow 1",#N/A,FALSE,"Outflows-Inflows";"Outflow 2",#N/A,FALSE,"Outflows-Inflows";"Inflow 1",#N/A,FALSE,"Outflows-Inflows";"Inflow 2",#N/A,FALSE,"Outflows-Inflows"}</definedName>
    <definedName name="qqqq">#REF!</definedName>
    <definedName name="qqqq_1">{"print 1.6",#N/A,FALSE,"Sheet1";"print 2.6",#N/A,FALSE,"Sheet1";"print 3.6",#N/A,FALSE,"Sheet1";"print 4.6",#N/A,FALSE,"Sheet1";"print 5.6",#N/A,FALSE,"Sheet1";"print 6.6",#N/A,FALSE,"Sheet1"}</definedName>
    <definedName name="qqqqqq">#REF!</definedName>
    <definedName name="QQQQQQQ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qqqqqqqqqq">#REF!</definedName>
    <definedName name="qqwtweryey">{#N/A,#N/A,FALSE,"REPORT"}</definedName>
    <definedName name="qrewrqwerqw3e">{"Outflow 1",#N/A,FALSE,"Outflows-Inflows";"Outflow 2",#N/A,FALSE,"Outflows-Inflows";"Inflow 1",#N/A,FALSE,"Outflows-Inflows";"Inflow 2",#N/A,FALSE,"Outflows-Inflows"}</definedName>
    <definedName name="qrewrqwerqw3e_1">{"Outflow 1",#N/A,FALSE,"Outflows-Inflows";"Outflow 2",#N/A,FALSE,"Outflows-Inflows";"Inflow 1",#N/A,FALSE,"Outflows-Inflows";"Inflow 2",#N/A,FALSE,"Outflows-Inflows"}</definedName>
    <definedName name="Quart">{"revenue",#N/A,FALSE,"Visudyne JV";"qearn1",#N/A,FALSE,"Qearn";"qearn2",#N/A,FALSE,"Qearn";#N/A,#N/A,FALSE,"Qmargin";"cashflow",#N/A,FALSE,"Cashflow"}</definedName>
    <definedName name="quit">{"rtn",#N/A,FALSE,"RTN";"tables",#N/A,FALSE,"RTN";"cf",#N/A,FALSE,"CF";"stats",#N/A,FALSE,"Stats";"prop",#N/A,FALSE,"Prop"}</definedName>
    <definedName name="quit_1">{"rtn",#N/A,FALSE,"RTN";"tables",#N/A,FALSE,"RTN";"cf",#N/A,FALSE,"CF";"stats",#N/A,FALSE,"Stats";"prop",#N/A,FALSE,"Prop"}</definedName>
    <definedName name="qw">{#N/A,#N/A,FALSE,"REPORT"}</definedName>
    <definedName name="qwdsads">#REF!</definedName>
    <definedName name="qwe">#REF!</definedName>
    <definedName name="qwekjqwiejiou">#REF!</definedName>
    <definedName name="qwerqwe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qwertqry">{#N/A,#N/A,FALSE,"REPORT"}</definedName>
    <definedName name="qwetqryetytu">{#N/A,#N/A,FALSE,"Pharm";#N/A,#N/A,FALSE,"WWCM"}</definedName>
    <definedName name="qwhrqh">#REF!</definedName>
    <definedName name="qwjjeqiow">#REF!</definedName>
    <definedName name="qwjkehqjkwhy">#REF!</definedName>
    <definedName name="qwkjheqjkwh">#REF!</definedName>
    <definedName name="r.CashFlow">#REF!</definedName>
    <definedName name="r.Leverage">#REF!</definedName>
    <definedName name="r.Liquidity">#REF!</definedName>
    <definedName name="r.LTM">#REF!</definedName>
    <definedName name="r.LTMInterim">#REF!</definedName>
    <definedName name="r.Market">#REF!</definedName>
    <definedName name="r.Profitability">#REF!</definedName>
    <definedName name="r.Summary">#REF!</definedName>
    <definedName name="Ramp">{"rtn",#N/A,FALSE,"RTN";"tables",#N/A,FALSE,"RTN";"cf",#N/A,FALSE,"CF";"stats",#N/A,FALSE,"Stats";"prop",#N/A,FALSE,"Prop"}</definedName>
    <definedName name="Ramp_1">{"rtn",#N/A,FALSE,"RTN";"tables",#N/A,FALSE,"RTN";"cf",#N/A,FALSE,"CF";"stats",#N/A,FALSE,"Stats";"prop",#N/A,FALSE,"Prop"}</definedName>
    <definedName name="RawsFIT">{#N/A,#N/A,TRUE,"Summary";#N/A,#N/A,TRUE,"Assumptions";#N/A,#N/A,TRUE,"Comparison";#N/A,#N/A,TRUE,"Financials";#N/A,#N/A,TRUE,"Plan v. Act"}</definedName>
    <definedName name="ra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ecap">{#N/A,#N/A,FALSE,"IPO";#N/A,#N/A,FALSE,"DCF";#N/A,#N/A,FALSE,"LBO";#N/A,#N/A,FALSE,"MULT_VAL";#N/A,#N/A,FALSE,"Status Quo";#N/A,#N/A,FALSE,"Recap"}</definedName>
    <definedName name="RedefinePrintTableRange">#REF!</definedName>
    <definedName name="redo">{#N/A,#N/A,FALSE,"ACQ_GRAPHS";#N/A,#N/A,FALSE,"T_1 GRAPHS";#N/A,#N/A,FALSE,"T_2 GRAPHS";#N/A,#N/A,FALSE,"COMB_GRAPHS"}</definedName>
    <definedName name="reggie">{#N/A,#N/A,FALSE,"Pharm";#N/A,#N/A,FALSE,"WWCM"}</definedName>
    <definedName name="Related">{#N/A,#N/A,FALSE,"Job Sched"}</definedName>
    <definedName name="rename1">#REF!</definedName>
    <definedName name="ReportGroup">0</definedName>
    <definedName name="reps">{"FY03_Assets",#N/A,FALSE,"Fin Stmt Budget";"FY03_Liabilities",#N/A,FALSE,"Fin Stmt Budget";"FY03_Inc_Stmt",#N/A,FALSE,"Fin Stmt Budget";"FY03_SOCF",#N/A,FALSE,"Fin Stmt Budget"}</definedName>
    <definedName name="resp.">{#N/A,#N/A,FALSE,"Pharm";#N/A,#N/A,FALSE,"WWCM"}</definedName>
    <definedName name="RestatedActuals">{#N/A,#N/A,FALSE,"Aging Summary";#N/A,#N/A,FALSE,"Ratio Analysis";#N/A,#N/A,FALSE,"Test 120 Day Accts";#N/A,#N/A,FALSE,"Tickmarks"}</definedName>
    <definedName name="retyu">{#N/A,#N/A,FALSE,"AD_Purchase";#N/A,#N/A,FALSE,"Credit";#N/A,#N/A,FALSE,"PF Acquisition";#N/A,#N/A,FALSE,"PF Offering"}</definedName>
    <definedName name="REWR">#REF!</definedName>
    <definedName name="rf2e">{#N/A,#N/A,FALSE,"Pharm";#N/A,#N/A,FALSE,"WWCM"}</definedName>
    <definedName name="rfgg">{#N/A,#N/A,FALSE,"sum-don";#N/A,#N/A,FALSE,"inc-don"}</definedName>
    <definedName name="RG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ich">{"Capital Plan CA Schedule",#N/A,TRUE,"Capital Plan";"Capital Plan Summary",#N/A,TRUE,"Capital Plan"}</definedName>
    <definedName name="Rick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ngComments">#REF!</definedName>
    <definedName name="rngDialogType">#REF!</definedName>
    <definedName name="rngEndDate">#REF!</definedName>
    <definedName name="rngLastQuery">#REF!</definedName>
    <definedName name="rngLastRefreshOffline">#REF!</definedName>
    <definedName name="rngPassword">#REF!</definedName>
    <definedName name="rngPivotLocation">#REF!</definedName>
    <definedName name="rngProtected">#REF!</definedName>
    <definedName name="rngPWD">#REF!</definedName>
    <definedName name="rngQuery">#REF!</definedName>
    <definedName name="rngQueryType">#REF!</definedName>
    <definedName name="rngRangeName">#REF!</definedName>
    <definedName name="rngRefreshedDate">#REF!</definedName>
    <definedName name="rngScenarios">#REF!</definedName>
    <definedName name="rngShow">#REF!</definedName>
    <definedName name="rngStartDate">#REF!</definedName>
    <definedName name="rngStoredProcedure">#REF!</definedName>
    <definedName name="rngUID">#REF!</definedName>
    <definedName name="rngUnplugged">#REF!</definedName>
    <definedName name="rngVersion">#REF!</definedName>
    <definedName name="RR">#REF!</definedName>
    <definedName name="RRR">#REF!</definedName>
    <definedName name="RRRR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R">#REF!</definedName>
    <definedName name="RRW">#REF!</definedName>
    <definedName name="rsem">{#N/A,#N/A,FALSE,"1996";#N/A,#N/A,FALSE,"1995";#N/A,#N/A,FALSE,"1994"}</definedName>
    <definedName name="RT">#REF!</definedName>
    <definedName name="RunningHead">#REF!</definedName>
    <definedName name="rustey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wert">{#N/A,#N/A,FALSE,"Pharm";#N/A,#N/A,FALSE,"WWCM"}</definedName>
    <definedName name="RWERWTEW">#REF!</definedName>
    <definedName name="Rwvu.CapersView.">#REF!</definedName>
    <definedName name="Rwvu.Japan_Capers_Ed_Pub.">#REF!</definedName>
    <definedName name="Rwvu.KJP_CC.">#REF!</definedName>
    <definedName name="Rwvu.PRT.">#REF!,#REF!</definedName>
    <definedName name="r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s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_1">{"Outflow 1",#N/A,FALSE,"Outflows-Inflows";"Outflow 2",#N/A,FALSE,"Outflows-Inflows";"Inflow 1",#N/A,FALSE,"Outflows-Inflows";"Inflow 2",#N/A,FALSE,"Outflows-Inflows"}</definedName>
    <definedName name="sa">{#N/A,#N/A,FALSE,"IPO";#N/A,#N/A,FALSE,"DCF";#N/A,#N/A,FALSE,"LBO";#N/A,#N/A,FALSE,"MULT_VAL";#N/A,#N/A,FALSE,"Status Quo";#N/A,#N/A,FALSE,"Recap"}</definedName>
    <definedName name="saa">{"rtn",#N/A,FALSE,"RTN";"tables",#N/A,FALSE,"RTN";"cf",#N/A,FALSE,"CF";"stats",#N/A,FALSE,"Stats";"prop",#N/A,FALSE,"Prop"}</definedName>
    <definedName name="saa_1">{"rtn",#N/A,FALSE,"RTN";"tables",#N/A,FALSE,"RTN";"cf",#N/A,FALSE,"CF";"stats",#N/A,FALSE,"Stats";"prop",#N/A,FALSE,"Prop"}</definedName>
    <definedName name="sad">{"by_month",#N/A,TRUE,"template";"destec_month",#N/A,TRUE,"template";"by_quarter",#N/A,TRUE,"template";"destec_quarter",#N/A,TRUE,"template";"by_year",#N/A,TRUE,"template";"destec_annual",#N/A,TRUE,"template"}</definedName>
    <definedName name="sadgasd">#REF!</definedName>
    <definedName name="SAG">#REF!</definedName>
    <definedName name="Sales">#REF!</definedName>
    <definedName name="sally">{#N/A,#N/A,FALSE,"Pharm";#N/A,#N/A,FALSE,"WWCM"}</definedName>
    <definedName name="SAPBEXrevision">3</definedName>
    <definedName name="SAPBEXsysID">"PN2"</definedName>
    <definedName name="SAPBEXwbID">"3T2LGOD7SYY4EFWWGCCVZMA6C"</definedName>
    <definedName name="sas">{"Outflow 1",#N/A,FALSE,"Outflows-Inflows";"Outflow 2",#N/A,FALSE,"Outflows-Inflows";"Inflow 1",#N/A,FALSE,"Outflows-Inflows";"Inflow 2",#N/A,FALSE,"Outflows-Inflows"}</definedName>
    <definedName name="sas_1">{"Outflow 1",#N/A,FALSE,"Outflows-Inflows";"Outflow 2",#N/A,FALSE,"Outflows-Inflows";"Inflow 1",#N/A,FALSE,"Outflows-Inflows";"Inflow 2",#N/A,FALSE,"Outflows-Inflows"}</definedName>
    <definedName name="SD">{#N/A,#N/A,FALSE,"Pharm";#N/A,#N/A,FALSE,"WWCM"}</definedName>
    <definedName name="SDA">{#N/A,#N/A,FALSE,"Minors";#N/A,#N/A,FALSE,"96CAPREV"}</definedName>
    <definedName name="SDAFDASFSD">#REF!</definedName>
    <definedName name="sdafgs">{#N/A,#N/A,FALSE,"Pharm";#N/A,#N/A,FALSE,"WWCM"}</definedName>
    <definedName name="sdasd">{"EVA",#N/A,FALSE,"EVA";"WACC",#N/A,FALSE,"WACC"}</definedName>
    <definedName name="sdf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ass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rsta">{"var_page",#N/A,FALSE,"template"}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h">{#N/A,#N/A,FALSE,"Pharm";#N/A,#N/A,FALSE,"WWCM"}</definedName>
    <definedName name="SDFHG">{"Agg Output",#N/A,FALSE,"Operational Drivers Output";"NW Output",#N/A,FALSE,"Operational Drivers Output";"South Output",#N/A,FALSE,"Operational Drivers Output";"Central Output",#N/A,FALSE,"Operational Drivers Output"}</definedName>
    <definedName name="sdflkj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>{#N/A,#N/A,FALSE,"Projections";#N/A,#N/A,FALSE,"Multiples Valuation";#N/A,#N/A,FALSE,"LBO";#N/A,#N/A,FALSE,"Multiples_Sensitivity";#N/A,#N/A,FALSE,"Summary"}</definedName>
    <definedName name="sdfsdfsdf">{#N/A,#N/A,TRUE,"DCF Summary (2)";#N/A,#N/A,TRUE,"DCF Summary";#N/A,"Middle Case Drivers",TRUE,"DCF"}</definedName>
    <definedName name="sdf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agf">{#N/A,#N/A,FALSE,"Pharm";#N/A,#N/A,FALSE,"WWCM"}</definedName>
    <definedName name="sdhdhfdfhh">{#N/A,#N/A,FALSE,"Balance Sheet";#N/A,#N/A,FALSE,"Income Statement";#N/A,#N/A,FALSE,"Changes in Financial Position"}</definedName>
    <definedName name="sdsadasd">{#N/A,#N/A,FALSE,"Pharm";#N/A,#N/A,FALSE,"WWCM"}</definedName>
    <definedName name="sdsd">{#N/A,#N/A,FALSE,"REPORT"}</definedName>
    <definedName name="sdsds">{"PR1","pr1",TRUE,"Sch PR-1"}</definedName>
    <definedName name="sdvcx">#REF!</definedName>
    <definedName name="se">{"COSTCENTER",#N/A,FALSE,"SAMPLECC";"SALARIES",#N/A,FALSE,"SAMPLECC";"SALESSCHED",#N/A,FALSE,"SAMPLECC";"REVIEW",#N/A,FALSE,"SAMPLECC"}</definedName>
    <definedName name="SectionHead">#REF!</definedName>
    <definedName name="SEF_profit_chart">#REF!</definedName>
    <definedName name="SEF_Sales_Trend">#REF!</definedName>
    <definedName name="segfsdvgfsd">{"page1",#N/A,FALSE,"BHCOMPC5";"page2",#N/A,FALSE,"BHCOMPC5";"page3",#N/A,FALSE,"BHCOMPC5";"page4",#N/A,FALSE,"BHCOMPC5"}</definedName>
    <definedName name="Selim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l">{"INDUSTRYCONVENTIONS",#N/A,FALSE,"SAMPLECC"}</definedName>
    <definedName name="selm">{"MFGLBRBEN",#N/A,FALSE,"SAMPLECC"}</definedName>
    <definedName name="sencount">1</definedName>
    <definedName name="sf">{#N/A,#N/A,FALSE,"Sales Graph";#N/A,#N/A,FALSE,"BUC Graph";#N/A,#N/A,FALSE,"P&amp;L - YTD"}</definedName>
    <definedName name="sfads">{"EVA",#N/A,FALSE,"EVA";"WACC",#N/A,FALSE,"WACC"}</definedName>
    <definedName name="sfdirect">{#N/A,#N/A,FALSE,"REPORT"}</definedName>
    <definedName name="sfdk">#REF!</definedName>
    <definedName name="SFG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v">{"consolidated",#N/A,FALSE,"Sheet1";"cms",#N/A,FALSE,"Sheet1";"fse",#N/A,FALSE,"Sheet1"}</definedName>
    <definedName name="sfq">{#N/A,#N/A,FALSE,"Calc";#N/A,#N/A,FALSE,"Sensitivity";#N/A,#N/A,FALSE,"LT Earn.Dil.";#N/A,#N/A,FALSE,"Dil. AVP"}</definedName>
    <definedName name="sfsf">{#N/A,#N/A,FALSE,"Calc";#N/A,#N/A,FALSE,"Sensitivity";#N/A,#N/A,FALSE,"LT Earn.Dil.";#N/A,#N/A,FALSE,"Dil. AVP"}</definedName>
    <definedName name="sg">{"SALARIES",#N/A,FALSE,"SAMPLECC"}</definedName>
    <definedName name="sgag">{"page1",#N/A,FALSE,"BHCOMPC5";"page2",#N/A,FALSE,"BHCOMPC5";"page3",#N/A,FALSE,"BHCOMPC5";"page4",#N/A,FALSE,"BHCOMPC5"}</definedName>
    <definedName name="sgd">{#N/A,#N/A,FALSE,"Calc";#N/A,#N/A,FALSE,"Sensitivity";#N/A,#N/A,FALSE,"LT Earn.Dil.";#N/A,#N/A,FALSE,"Dil. AVP"}</definedName>
    <definedName name="sgdg">{#N/A,#N/A,FALSE,"Calc";#N/A,#N/A,FALSE,"Sensitivity";#N/A,#N/A,FALSE,"LT Earn.Dil.";#N/A,#N/A,FALSE,"Dil. AVP"}</definedName>
    <definedName name="sgsx">{"consolidated",#N/A,FALSE,"Sheet1";"cms",#N/A,FALSE,"Sheet1";"fse",#N/A,FALSE,"Sheet1"}</definedName>
    <definedName name="sh">{"SALESSCHED",#N/A,FALSE,"SAMPLECC"}</definedName>
    <definedName name="Sheet2">{#N/A,#N/A,FALSE,"DISTRIBUTION";#N/A,#N/A,FALSE,"1996 BRAND SUMMARY (2)";#N/A,#N/A,FALSE,"1995 BRAND SUMMARY"}</definedName>
    <definedName name="Sheet3">{"bs combined",#N/A,FALSE,"Consol BS";"PL Combined",#N/A,FALSE,"CONSOL PL";"CF COMBINED",#N/A,FALSE,"CONSOL CF"}</definedName>
    <definedName name="Sheet4">{#N/A,#N/A,FALSE,"1996 BRAND SUMMARY"}</definedName>
    <definedName name="Show.MDB.Update.Warning">#REF!</definedName>
    <definedName name="sj">{"TRADESHOWS",#N/A,FALSE,"SAMPLECC"}</definedName>
    <definedName name="sjfg">#REF!</definedName>
    <definedName name="SleepmasterIncom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r_Client_Name1">#REF!</definedName>
    <definedName name="Slicer_Project_Name">#REF!</definedName>
    <definedName name="Slicer_Task_Name">#REF!</definedName>
    <definedName name="solver_adj">#REF!</definedName>
    <definedName name="solver_cvg">0.0001</definedName>
    <definedName name="solver_drv">1</definedName>
    <definedName name="solver_est">1</definedName>
    <definedName name="solver_itr">100</definedName>
    <definedName name="solver_lhs1">#REF!</definedName>
    <definedName name="solver_lhs10">#REF!</definedName>
    <definedName name="solver_lhs11">#REF!</definedName>
    <definedName name="solver_lhs2">#REF!</definedName>
    <definedName name="solver_lhs3">#REF!</definedName>
    <definedName name="solver_lhs4">#REF!</definedName>
    <definedName name="solver_lhs5">#REF!</definedName>
    <definedName name="solver_lhs6">#REF!</definedName>
    <definedName name="solver_lhs7">#REF!</definedName>
    <definedName name="solver_lhs8">#REF!</definedName>
    <definedName name="solver_lhs9">#REF!</definedName>
    <definedName name="solver_lin">0</definedName>
    <definedName name="solver_neg">2</definedName>
    <definedName name="solver_num">0</definedName>
    <definedName name="solver_nwt">1</definedName>
    <definedName name="solver_opt">#REF!</definedName>
    <definedName name="solver_pre">0.000001</definedName>
    <definedName name="solver_rel1">2</definedName>
    <definedName name="solver_rel10">1</definedName>
    <definedName name="solver_rel11">3</definedName>
    <definedName name="solver_rel2">2</definedName>
    <definedName name="solver_rel3">2</definedName>
    <definedName name="solver_rel4">2</definedName>
    <definedName name="solver_rel5">1</definedName>
    <definedName name="solver_rel6">3</definedName>
    <definedName name="solver_rel7">2</definedName>
    <definedName name="solver_rel8">1</definedName>
    <definedName name="solver_rel9">3</definedName>
    <definedName name="solver_rhs1">#REF!</definedName>
    <definedName name="solver_rhs10">#REF!</definedName>
    <definedName name="solver_rhs11">#REF!</definedName>
    <definedName name="solver_rhs2">#REF!</definedName>
    <definedName name="solver_rhs3">#REF!</definedName>
    <definedName name="solver_rhs4">#REF!</definedName>
    <definedName name="solver_rhs5">#REF!</definedName>
    <definedName name="solver_rhs6">#REF!</definedName>
    <definedName name="solver_rhs7">#REF!</definedName>
    <definedName name="solver_rhs8">#REF!</definedName>
    <definedName name="solver_rhs9">#REF!</definedName>
    <definedName name="solver_scl">2</definedName>
    <definedName name="solver_sho">2</definedName>
    <definedName name="solver_tim">100</definedName>
    <definedName name="solver_tol">0.05</definedName>
    <definedName name="solver_typ">3</definedName>
    <definedName name="solver_val">0.6</definedName>
    <definedName name="sortnew">#REF!</definedName>
    <definedName name="SortV2">#REF!</definedName>
    <definedName name="ss">{#N/A,#N/A,FALSE,"Calc";#N/A,#N/A,FALSE,"Sensitivity";#N/A,#N/A,FALSE,"LT Earn.Dil.";#N/A,#N/A,FALSE,"Dil. AVP"}</definedName>
    <definedName name="ss_1">{"rtn",#N/A,FALSE,"RTN";"tables",#N/A,FALSE,"RTN";"cf",#N/A,FALSE,"CF";"stats",#N/A,FALSE,"Stats";"prop",#N/A,FALSE,"Prop"}</definedName>
    <definedName name="SSD">{#N/A,#N/A,FALSE,"REPORT"}</definedName>
    <definedName name="sss">{#N/A,#N/A,FALSE,"Pharm";#N/A,#N/A,FALSE,"WWCM"}</definedName>
    <definedName name="sss_1">{"Outflow 1",#N/A,FALSE,"Outflows-Inflows";"Outflow 2",#N/A,FALSE,"Outflows-Inflows";"Inflow 1",#N/A,FALSE,"Outflows-Inflows";"Inflow 2",#N/A,FALSE,"Outflows-Inflows"}</definedName>
    <definedName name="ssss">{"REVIEW",#N/A,FALSE,"SAMPLECC"}</definedName>
    <definedName name="ssss_1">{"print 1.6",#N/A,FALSE,"Sheet1";"print 2.6",#N/A,FALSE,"Sheet1";"print 3.6",#N/A,FALSE,"Sheet1";"print 4.6",#N/A,FALSE,"Sheet1";"print 5.6",#N/A,FALSE,"Sheet1";"print 6.6",#N/A,FALSE,"Sheet1"}</definedName>
    <definedName name="sssss">{#N/A,#N/A,FALSE,"Calc";#N/A,#N/A,FALSE,"Sensitivity";#N/A,#N/A,FALSE,"LT Earn.Dil.";#N/A,#N/A,FALSE,"Dil. AVP"}</definedName>
    <definedName name="sssss_1">{"print 1.6",#N/A,FALSE,"Sheet1";"print 2.6",#N/A,FALSE,"Sheet1";"print 3.6",#N/A,FALSE,"Sheet1";"print 4.6",#N/A,FALSE,"Sheet1";"print 5.6",#N/A,FALSE,"Sheet1";"print 6.6",#N/A,FALSE,"Sheet1"}</definedName>
    <definedName name="ssssss">{"rtn",#N/A,FALSE,"RTN";"tables",#N/A,FALSE,"RTN";"cf",#N/A,FALSE,"CF";"stats",#N/A,FALSE,"Stats";"prop",#N/A,FALSE,"Prop"}</definedName>
    <definedName name="ssssss_1">{"rtn",#N/A,FALSE,"RTN";"tables",#N/A,FALSE,"RTN";"cf",#N/A,FALSE,"CF";"stats",#N/A,FALSE,"Stats";"prop",#N/A,FALSE,"Prop"}</definedName>
    <definedName name="sssssss">#REF!</definedName>
    <definedName name="sssssss_1">{"print 1.6",#N/A,FALSE,"Sheet1";"print 2.6",#N/A,FALSE,"Sheet1";"print 3.6",#N/A,FALSE,"Sheet1";"print 4.6",#N/A,FALSE,"Sheet1";"print 5.6",#N/A,FALSE,"Sheet1";"print 6.6",#N/A,FALSE,"Sheet1"}</definedName>
    <definedName name="ssssssss">{"rtn",#N/A,FALSE,"RTN";"tables",#N/A,FALSE,"RTN";"cf",#N/A,FALSE,"CF";"stats",#N/A,FALSE,"Stats";"prop",#N/A,FALSE,"Prop"}</definedName>
    <definedName name="ssssssss_1">{"rtn",#N/A,FALSE,"RTN";"tables",#N/A,FALSE,"RTN";"cf",#N/A,FALSE,"CF";"stats",#N/A,FALSE,"Stats";"prop",#N/A,FALSE,"Prop"}</definedName>
    <definedName name="sssssssss">{"rtn",#N/A,FALSE,"RTN";"tables",#N/A,FALSE,"RTN";"cf",#N/A,FALSE,"CF";"stats",#N/A,FALSE,"Stats";"prop",#N/A,FALSE,"Prop"}</definedName>
    <definedName name="sssssssss_1">{"rtn",#N/A,FALSE,"RTN";"tables",#N/A,FALSE,"RTN";"cf",#N/A,FALSE,"CF";"stats",#N/A,FALSE,"Stats";"prop",#N/A,FALSE,"Prop"}</definedName>
    <definedName name="Staril">{#N/A,#N/A,FALSE,"REPORT"}</definedName>
    <definedName name="StratPlanAP">{#N/A,#N/A,FALSE,"Pharm";#N/A,#N/A,FALSE,"WWCM"}</definedName>
    <definedName name="Stub_Header1">#REF!</definedName>
    <definedName name="Stub_Header2">#REF!</definedName>
    <definedName name="Stub_Header3">#REF!</definedName>
    <definedName name="stuff">{"TOTAL",#N/A,FALSE,"A";"FISCAL94",#N/A,FALSE,"A";"FISCAL95",#N/A,FALSE,"A";"FISCAL96",#N/A,FALSE,"A";"misc page",#N/A,FALSE,"A"}</definedName>
    <definedName name="sub">#REF!</definedName>
    <definedName name="SUMMARY_BOOK">{"page1",#N/A,FALSE,"GIRLBO";"page2",#N/A,FALSE,"GIRLBO";"page3",#N/A,FALSE,"GIRLBO";"page4",#N/A,FALSE,"GIRLBO";"page5",#N/A,FALSE,"GIRLBO"}</definedName>
    <definedName name="supp">{#N/A,#N/A,FALSE,"Comp Balance";#N/A,#N/A,FALSE,"Sum Balance ";#N/A,#N/A,FALSE,"Balance Trend";#N/A,#N/A,FALSE,"Comp PL";#N/A,#N/A,FALSE,"PL";#N/A,#N/A,FALSE,"Sum PL";#N/A,#N/A,FALSE,"PL Trend";#N/A,#N/A,FALSE,"Change"}</definedName>
    <definedName name="Suppliers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SCHED">#REF!</definedName>
    <definedName name="SUPPSCHED2">#REF!</definedName>
    <definedName name="Swvu.ALL.">#REF!</definedName>
    <definedName name="Swvu.CapersView.">#REF!</definedName>
    <definedName name="Swvu.Japan_Capers_Ed_Pub.">#REF!</definedName>
    <definedName name="Swvu.KJP_CC.">#REF!</definedName>
    <definedName name="Swvu.PRT.">#REF!</definedName>
    <definedName name="SX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ZTKZKL">#REF!</definedName>
    <definedName name="t">{#N/A,#N/A,FALSE,"Minors";#N/A,#N/A,FALSE,"96CAPREV"}</definedName>
    <definedName name="tab_wrn.ALL.">{"INCOME",#N/A,FALSE,"Metrocall";"VALUE",#N/A,FALSE,"Metrocall"}</definedName>
    <definedName name="tab_wrn.CHART.">{"CHART",#N/A,FALSE,"Arch Communications"}</definedName>
    <definedName name="table3">#REF!</definedName>
    <definedName name="TargetDCF2">{#N/A,#N/A,FALSE,"Sheet1"}</definedName>
    <definedName name="taxol">{#N/A,#N/A,FALSE,"Pharm";#N/A,#N/A,FALSE,"WWCM"}</definedName>
    <definedName name="Taxpb">#REF!</definedName>
    <definedName name="te">#REF!</definedName>
    <definedName name="Tem">{#N/A,#N/A,FALSE,"Pharm";#N/A,#N/A,FALSE,"WWCM"}</definedName>
    <definedName name="temp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_1">{"Outflow 1",#N/A,FALSE,"Outflows-Inflows";"Outflow 2",#N/A,FALSE,"Outflows-Inflows";"Inflow 1",#N/A,FALSE,"Outflows-Inflows";"Inflow 2",#N/A,FALSE,"Outflows-Inflows"}</definedName>
    <definedName name="temp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3">{"PAGE 1",#N/A,FALSE,"WEST_OT"}</definedName>
    <definedName name="tempe">#REF!</definedName>
    <definedName name="tempp">#REF!</definedName>
    <definedName name="temppp">#REF!</definedName>
    <definedName name="temppppp">#REF!</definedName>
    <definedName name="tempq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>{#N/A,#N/A,TRUE,"FD IV Portfolio Summary ";#N/A,#N/A,TRUE,"Western";#N/A,#N/A,TRUE,"Kranson";#N/A,#N/A,TRUE,"ARC";#N/A,#N/A,TRUE,"Precise";#N/A,#N/A,TRUE,"WNA"}</definedName>
    <definedName name="tempq7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w">#REF!</definedName>
    <definedName name="tepm">#REF!</definedName>
    <definedName name="teq">{#N/A,#N/A,FALSE,"Pharm";#N/A,#N/A,FALSE,"WWCM"}</definedName>
    <definedName name="Tequin">{#N/A,#N/A,FALSE,"Pharm";#N/A,#N/A,FALSE,"WWCM"}</definedName>
    <definedName name="tequinol">{#N/A,#N/A,FALSE,"REPORT"}</definedName>
    <definedName name="tesg4">{"PAGE 1",#N/A,FALSE,"WEST_OT"}</definedName>
    <definedName name="test1">{"PAGE 1",#N/A,FALSE,"WEST_OT"}</definedName>
    <definedName name="test10">{"PAGE 1",#N/A,FALSE,"WEST_OT"}</definedName>
    <definedName name="test11">{"PAGE 1",#N/A,FALSE,"WEST_OT"}</definedName>
    <definedName name="test12">{"PAGE 2",#N/A,FALSE,"WEST_OT"}</definedName>
    <definedName name="test13">{"PAGE 2",#N/A,FALSE,"WEST_OT"}</definedName>
    <definedName name="test14">{"PAGE 1",#N/A,FALSE,"WEST_OT"}</definedName>
    <definedName name="test15">{"PAGE 1",#N/A,FALSE,"WEST_OT"}</definedName>
    <definedName name="test2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0">{"PAGE 1",#N/A,FALSE,"WEST_OT"}</definedName>
    <definedName name="test21">{"PAGE 1",#N/A,FALSE,"WEST_OT"}</definedName>
    <definedName name="test22">{"PAGE 1",#N/A,FALSE,"WEST_OT"}</definedName>
    <definedName name="test23">{"PAGE 1",#N/A,FALSE,"WEST_OT"}</definedName>
    <definedName name="test24">{"PAGE 1",#N/A,FALSE,"WEST_OT"}</definedName>
    <definedName name="test25">{"PAGE 1",#N/A,FALSE,"WEST_OT"}</definedName>
    <definedName name="test26">{"PAGE 1",#N/A,FALSE,"WEST_OT"}</definedName>
    <definedName name="test27">{"PAGE 1",#N/A,FALSE,"WEST_OT"}</definedName>
    <definedName name="test28">{"PAGE 1",#N/A,FALSE,"WEST_OT"}</definedName>
    <definedName name="test29">{"PAGE 1",#N/A,FALSE,"WEST_OT"}</definedName>
    <definedName name="test3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>{"PAGE 2",#N/A,FALSE,"WEST_OT"}</definedName>
    <definedName name="test31">{"PAGE 1",#N/A,FALSE,"WEST_OT"}</definedName>
    <definedName name="test32">{"PAGE 1",#N/A,FALSE,"WEST_OT"}</definedName>
    <definedName name="test33">{"PAGE 1",#N/A,FALSE,"WEST_OT"}</definedName>
    <definedName name="test34">{"PAGE 1",#N/A,FALSE,"WEST_OT"}</definedName>
    <definedName name="test35">{"PAGE 1",#N/A,FALSE,"WEST_OT"}</definedName>
    <definedName name="test36">{"PAGE 1",#N/A,FALSE,"WEST_OT"}</definedName>
    <definedName name="test37">{"PAGE 2",#N/A,FALSE,"WEST_OT"}</definedName>
    <definedName name="test38">{"PAGE 1",#N/A,FALSE,"WEST_OT"}</definedName>
    <definedName name="test39">{"PAGE 1",#N/A,FALSE,"WEST_OT"}</definedName>
    <definedName name="test4">{"PAGE 1",#N/A,FALSE,"WEST_OT"}</definedName>
    <definedName name="test40">{"PAGE 2",#N/A,FALSE,"WEST_OT"}</definedName>
    <definedName name="test41">{"PAGE 1",#N/A,FALSE,"WEST_OT"}</definedName>
    <definedName name="test42">{"PAGE 1",#N/A,FALSE,"WEST_OT"}</definedName>
    <definedName name="test43">{"PAGE 2",#N/A,FALSE,"WEST_OT"}</definedName>
    <definedName name="test44">{"PAGE 2",#N/A,FALSE,"WEST_OT"}</definedName>
    <definedName name="test45">{"PAGE 1",#N/A,FALSE,"WEST_OT"}</definedName>
    <definedName name="test46">{"PAGE 1",#N/A,FALSE,"WEST_OT"}</definedName>
    <definedName name="test5">{"PAGE 1",#N/A,FALSE,"WEST_OT"}</definedName>
    <definedName name="test6">{"PAGE 2",#N/A,FALSE,"WEST_OT"}</definedName>
    <definedName name="test7">{"PAGE 2",#N/A,FALSE,"WEST_OT"}</definedName>
    <definedName name="test8">{"PAGE 1",#N/A,FALSE,"WEST_OT"}</definedName>
    <definedName name="test9">{"PAGE 1",#N/A,FALSE,"WEST_OT"}</definedName>
    <definedName name="teste">{#N/A,#N/A,FALSE,"Pharm";#N/A,#N/A,FALSE,"WWCM"}</definedName>
    <definedName name="Testing">{#N/A,#N/A,TRUE,"index";#N/A,#N/A,TRUE,"Summary";#N/A,#N/A,TRUE,"Continuing Business";#N/A,#N/A,TRUE,"Disposals";#N/A,#N/A,TRUE,"Acquisitions";#N/A,#N/A,TRUE,"Actual &amp; Plan Reconciliation"}</definedName>
    <definedName name="tete">{#N/A,#N/A,FALSE,"Calc";#N/A,#N/A,FALSE,"Sensitivity";#N/A,#N/A,FALSE,"LT Earn.Dil.";#N/A,#N/A,FALSE,"Dil. AVP"}</definedName>
    <definedName name="TextRefCopyRangeCount">57</definedName>
    <definedName name="tfill">#REF!</definedName>
    <definedName name="TGP">#REF!</definedName>
    <definedName name="thth">{#N/A,#N/A,FALSE,"Calc";#N/A,#N/A,FALSE,"Sensitivity";#N/A,#N/A,FALSE,"LT Earn.Dil.";#N/A,#N/A,FALSE,"Dil. AVP"}</definedName>
    <definedName name="Time">#REF!</definedName>
    <definedName name="Timestamp">#REF!</definedName>
    <definedName name="TJRTJTETJ">#REF!</definedName>
    <definedName name="tmp_333">#REF!</definedName>
    <definedName name="tmp_787">#REF!</definedName>
    <definedName name="tmp_839">#REF!</definedName>
    <definedName name="tmpLoadSedol">#REF!</definedName>
    <definedName name="tou">{#N/A,#N/A,TRUE,"TransPrcd 1";#N/A,#N/A,TRUE,"TransPrcd 2";#N/A,#N/A,TRUE,"TransPrcd 3"}</definedName>
    <definedName name="tpp">#REF!</definedName>
    <definedName name="TRJEAJ">#REF!</definedName>
    <definedName name="trout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yeuyit">{#N/A,#N/A,FALSE,"Pharm";#N/A,#N/A,FALSE,"WWCM"}</definedName>
    <definedName name="TRZL">#REF!</definedName>
    <definedName name="TT">#REF!</definedName>
    <definedName name="TT_bdm">#REF!</definedName>
    <definedName name="ttt">#REF!</definedName>
    <definedName name="tttoo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>{"PAGE 1",#N/A,FALSE,"WEST_OT"}</definedName>
    <definedName name="tttttt">#REF!</definedName>
    <definedName name="ttttttt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>#REF!</definedName>
    <definedName name="TTTTTTTTT">#REF!</definedName>
    <definedName name="tttttttttt">#REF!</definedName>
    <definedName name="tttttttttttttttt">#REF!</definedName>
    <definedName name="twert">{"by_month",#N/A,TRUE,"template";"destec_month",#N/A,TRUE,"template";"by_quarter",#N/A,TRUE,"template";"destec_quarter",#N/A,TRUE,"template";"by_year",#N/A,TRUE,"template";"destec_annual",#N/A,TRUE,"template"}</definedName>
    <definedName name="ty">{"Assumptions",#N/A,TRUE,"Assumptions";"Income",#N/A,TRUE,"Income";"Balance",#N/A,TRUE,"Balance"}</definedName>
    <definedName name="tyhdfs">{"inputs raw data",#N/A,TRUE,"INPUT"}</definedName>
    <definedName name="Type">#REF!</definedName>
    <definedName name="tyr">{#N/A,#N/A,FALSE,"AD_Purch";#N/A,#N/A,FALSE,"Projections";#N/A,#N/A,FALSE,"DCF";#N/A,#N/A,FALSE,"Mkt Val"}</definedName>
    <definedName name="tyryu">{#N/A,#N/A,FALSE,"Sheet1";#N/A,#N/A,FALSE,"Summary";#N/A,#N/A,FALSE,"proj1";#N/A,#N/A,FALSE,"proj2"}</definedName>
    <definedName name="tyuhj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utytyi">{#N/A,#N/A,FALSE,"Pharm";#N/A,#N/A,FALSE,"WWCM"}</definedName>
    <definedName name="tyyufkjkhjd">{#N/A,#N/A,FALSE,"Pharm";#N/A,#N/A,FALSE,"WWCM"}</definedName>
    <definedName name="TZKTRKTR">#REF!</definedName>
    <definedName name="TZLSDTZ">#REF!</definedName>
    <definedName name="U">#REF!</definedName>
    <definedName name="ULZUL">#REF!</definedName>
    <definedName name="Unit">{#N/A,#N/A,FALSE,"Pharm";#N/A,#N/A,FALSE,"WWCM"}</definedName>
    <definedName name="United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SA">{#N/A,#N/A,FALSE,"Est97";#N/A,#N/A,FALSE,"Plan98";#N/A,#N/A,FALSE,"Graphs";#N/A,#N/A,FALSE,"5Yr"}</definedName>
    <definedName name="USDollar">#REF!</definedName>
    <definedName name="UU">#REF!</definedName>
    <definedName name="uuu">#REF!</definedName>
    <definedName name="uuuuuu">#REF!</definedName>
    <definedName name="V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_1">{"rtn",#N/A,FALSE,"RTN";"tables",#N/A,FALSE,"RTN";"cf",#N/A,FALSE,"CF";"stats",#N/A,FALSE,"Stats";"prop",#N/A,FALSE,"Prop"}</definedName>
    <definedName name="val">{#N/A,#N/A,FALSE,"Valuation Assumptions";#N/A,#N/A,FALSE,"Summary";#N/A,#N/A,FALSE,"DCF";#N/A,#N/A,FALSE,"Valuation";#N/A,#N/A,FALSE,"WACC";#N/A,#N/A,FALSE,"UBVH";#N/A,#N/A,FALSE,"Free Cash Flow"}</definedName>
    <definedName name="Valuation2">{"PR1","pr1",TRUE,"Sch PR-1"}</definedName>
    <definedName name="valuevx">42.314159</definedName>
    <definedName name="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dzxc">#REF!</definedName>
    <definedName name="ver1.01">#REF!</definedName>
    <definedName name="ver1.1">#REF!</definedName>
    <definedName name="vertex42_copyright">"© 2015 Vertex42 LLC"</definedName>
    <definedName name="vertex42_id">"waterfall-chart.xlsx"</definedName>
    <definedName name="vertex42_title">"Waterfall Chart Template"</definedName>
    <definedName name="vhcmth2">{"pages345",#N/A,FALSE,"group and company";"page1920",#N/A,FALSE,"glass grp";"page21",#N/A,FALSE,"glass and marbleine";"page2223",#N/A,FALSE,"wood grp "}</definedName>
    <definedName name="vhcytd2">{"pages345",#N/A,FALSE,"group and company";"page1920",#N/A,FALSE,"glass grp";"page21",#N/A,FALSE,"glass and marbleine";"page2223",#N/A,FALSE,"wood grp "}</definedName>
    <definedName name="vhcytdebitda">{"pages345",#N/A,FALSE,"group and company";"page1920",#N/A,FALSE,"glass grp";"page21",#N/A,FALSE,"glass and marbleine";"page2223",#N/A,FALSE,"wood grp "}</definedName>
    <definedName name="VHKCVHKVKCH">#REF!</definedName>
    <definedName name="VHKVHKCVHKVHKCVHK">#REF!</definedName>
    <definedName name="victor">{"multiple",#N/A,FALSE,"client";"margins",#N/A,FALSE,"client";"data",#N/A,FALSE,"client"}</definedName>
    <definedName name="VKKVHHK">#REF!</definedName>
    <definedName name="VNV">#REF!</definedName>
    <definedName name="vo">{"consolidated",#N/A,FALSE,"Sheet1";"cms",#N/A,FALSE,"Sheet1";"fse",#N/A,FALSE,"Sheet1"}</definedName>
    <definedName name="vsd">#REF!</definedName>
    <definedName name="vv">{"cash_marc",#N/A,FALSE,"dec95cr.xls"}</definedName>
    <definedName name="vvcrr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">{"DCF1",#N/A,FALSE,"SIERRA DCF";"MATRIX1",#N/A,FALSE,"SIERRA DCF"}</definedName>
    <definedName name="w_1">{"rtn",#N/A,FALSE,"RTN";"tables",#N/A,FALSE,"RTN";"cf",#N/A,FALSE,"CF";"stats",#N/A,FALSE,"Stats";"prop",#N/A,FALSE,"Prop"}</definedName>
    <definedName name="w5y2367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CC3">{"adj95mult",#N/A,FALSE,"COMPCO";"adj95est",#N/A,FALSE,"COMPCO"}</definedName>
    <definedName name="wan">{"COMBINED",#N/A,FALSE,"BALANCE SHEET 2";"KRONE",#N/A,FALSE,"BALANCE SHEET 2";"INTERSYSTEMS",#N/A,FALSE,"BALANCE SHEET 2"}</definedName>
    <definedName name="WARZ">#REF!</definedName>
    <definedName name="was">{#N/A,#N/A,FALSE,"Sales Graph";#N/A,#N/A,FALSE,"BUC Graph";#N/A,#N/A,FALSE,"P&amp;L - YTD"}</definedName>
    <definedName name="wb">{#N/A,#N/A,FALSE,"Pharm";#N/A,#N/A,FALSE,"WWCM"}</definedName>
    <definedName name="wc">{#N/A,#N/A,FALSE,"Pharm";#N/A,#N/A,FALSE,"WWCM"}</definedName>
    <definedName name="we">{#N/A,#N/A,FALSE,"Pharm";#N/A,#N/A,FALSE,"WWCM"}</definedName>
    <definedName name="weaads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dasf">{"inputs raw data",#N/A,TRUE,"INPUT"}</definedName>
    <definedName name="WEEEEE">{#N/A,#N/A,FALSE,"Minors";#N/A,#N/A,FALSE,"96CAPREV"}</definedName>
    <definedName name="wef">#REF!</definedName>
    <definedName name="wefdg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df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rfds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H">#REF!</definedName>
    <definedName name="werrr">{#N/A,#N/A,FALSE,"Pharm";#N/A,#N/A,FALSE,"WWCM"}</definedName>
    <definedName name="wersdf">{"summary1",#N/A,TRUE,"Comps";"summary2",#N/A,TRUE,"Comps";"summary3",#N/A,TRUE,"Comps"}</definedName>
    <definedName name="werwe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W">#REF!</definedName>
    <definedName name="WERZ">#REF!</definedName>
    <definedName name="WET">#REF!</definedName>
    <definedName name="WEWEWTWETWET">#REF!</definedName>
    <definedName name="weydsfg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hat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?">{#N/A,#N/A,TRUE,"Summary";#N/A,#N/A,TRUE,"Financials"}</definedName>
    <definedName name="What2?">{#N/A,#N/A,TRUE,"Summary";#N/A,#N/A,TRUE,"Financials";#N/A,#N/A,TRUE,"Assumptions";#N/A,#N/A,TRUE,"Pro Forma";#N/A,#N/A,TRUE,"Debt";#N/A,#N/A,TRUE,"Amortization";#N/A,#N/A,TRUE,"GG Returns"}</definedName>
    <definedName name="What3?">{#N/A,#N/A,TRUE,"Summary";#N/A,#N/A,TRUE,"Assumptions";#N/A,#N/A,TRUE,"Comparison";#N/A,#N/A,TRUE,"Financials";#N/A,#N/A,TRUE,"Plan v. Act"}</definedName>
    <definedName name="WHATEVE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>#REF!</definedName>
    <definedName name="where">{"pages345",#N/A,FALSE,"group and company";"page1920",#N/A,FALSE,"glass grp";"page21",#N/A,FALSE,"glass and marbleine";"page2223",#N/A,FALSE,"wood grp "}</definedName>
    <definedName name="Woods">#REF!</definedName>
    <definedName name="working">{#N/A,#N/A,FALSE,"REPORT"}</definedName>
    <definedName name="wrd">{#N/A,#N/A,FALSE,"INPUTS";#N/A,#N/A,FALSE,"PROFORMA BSHEET";#N/A,#N/A,FALSE,"COMBINED";#N/A,#N/A,FALSE,"HIGH YIELD";#N/A,#N/A,FALSE,"COMB_GRAPHS"}</definedName>
    <definedName name="WRN">{#N/A,#N/A,FALSE,"Pkg Assets";#N/A,#N/A,FALSE,"Elite Pkg Liab";#N/A,#N/A,FALSE,"Pkg Income";#N/A,#N/A,FALSE,"Pkg FOH";#N/A,#N/A,FALSE,"Pkg SGA"}</definedName>
    <definedName name="wrn.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>{#N/A,#N/A,FALSE,"Calc";#N/A,#N/A,FALSE,"Sensitivity";#N/A,#N/A,FALSE,"LT Earn.Dil.";#N/A,#N/A,FALSE,"Dil. AVP"}</definedName>
    <definedName name="wrn.1.._.5._.Year._.Model.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11111">{#N/A,#N/A,FALSE,"Pharm";#N/A,#N/A,FALSE,"WWCM"}</definedName>
    <definedName name="wrn.12_30._.Adv._.Book.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>{#N/A,#N/A,FALSE,"PRO FORMA FINANCIALS"}</definedName>
    <definedName name="wrn.1294BSADJUST.">{#N/A,#N/A,FALSE,"PRO FORMA FINANCIALS"}</definedName>
    <definedName name="wrn.1294IS.">{#N/A,#N/A,FALSE,"PRO FORMA FINANCIALS"}</definedName>
    <definedName name="wrn.1294ISADJUST.">{#N/A,#N/A,FALSE,"PRO FORMA FINANCIALS"}</definedName>
    <definedName name="wrn.1996._.BUDGET.">{"SUMMARY",#N/A,TRUE,"SUMMARY";"compare",#N/A,TRUE,"Vs. Bus Plan";"ratios",#N/A,TRUE,"Ratios";"REVENUE",#N/A,TRUE,"Revenue";"expenses",#N/A,TRUE,"1996 budget";"payroll",#N/A,TRUE,"Payroll"}</definedName>
    <definedName name="wrn.1996._.TO._.2004.">{"ten year ratios",#N/A,TRUE,"PROFIT_LOSS";"ten year ratios",#N/A,TRUE,"Ratios";"ten yr opex and capex",#N/A,TRUE,"1996 budget";"ten year revenues",#N/A,TRUE,"Revenue_1996-2004";"ten year payroll",#N/A,TRUE,"Payroll"}</definedName>
    <definedName name="wrn.1998._.Budget.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FINANCIAL._.STATEMENTS.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._.budget.">{"common_pl",#N/A,FALSE,"Commonized PL";"analyst",#N/A,FALSE,"Budget to Analyst";"sec",#N/A,FALSE,"SEC PL";"summary",#N/A,FALSE,"Summary";"detail",#N/A,FALSE,"Detail"}</definedName>
    <definedName name="wrn.2.._.PPM.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>{"Cover",#N/A,FALSE,"Cover";"Summary",#N/A,FALSE,"Summarpage"}</definedName>
    <definedName name="wrn.2._.pagers.2">{"Cover",#N/A,FALSE,"Cover";"Summary",#N/A,FALSE,"Summarpage"}</definedName>
    <definedName name="wrn.2001._.Budget.">{"MFG",#N/A,FALSE,"Man";"SER",#N/A,FALSE,"Service"}</definedName>
    <definedName name="wrn.2003._.Detail._.in._.Dollars.">{#N/A,#N/A,FALSE,"2003 Est";#N/A,#N/A,FALSE,"2003 Pr";#N/A,#N/A,FALSE,"2003 Plan"}</definedName>
    <definedName name="wrn.2003._.Detail._.per._.pax.">{#N/A,#N/A,FALSE,"2003 Est per pax";#N/A,#N/A,FALSE,"2003 Pr per pax";#N/A,#N/A,FALSE,"2003 Plan per pax"}</definedName>
    <definedName name="wrn.2003._.RM._.Reports.">{#N/A,#N/A,FALSE,"Prd Summ 03Prvs03E";#N/A,#N/A,FALSE,"Prd Summ 03Pvs03E"}</definedName>
    <definedName name="wrn.2004._.Detail._.in._.Dollars.">{#N/A,#N/A,FALSE,"2004 Est";#N/A,#N/A,FALSE,"2004 Pr Est";#N/A,#N/A,FALSE,"2004 Plan"}</definedName>
    <definedName name="wrn.2004._.Detail._.per._.pax.">{#N/A,#N/A,FALSE,"2004 Est per pax";#N/A,#N/A,FALSE,"2004 Pr per pax";#N/A,#N/A,FALSE,"2004 Plan per pax"}</definedName>
    <definedName name="wrn.2004._.RM._.Reports.">{#N/A,#N/A,FALSE,"Prd Summ 04Pvs04E";#N/A,#N/A,FALSE,"Prd Summ 04Prvs04E";#N/A,#N/A,FALSE,"Prd Summ 03Evs04E"}</definedName>
    <definedName name="wrn.3.._.Pre._.Opening.">{"Pre Opening BS",#N/A,FALSE,"Pre-Opening";"Pre Opening Worksheet",#N/A,FALSE,"Pre-Opening"}</definedName>
    <definedName name="wrn.3.._.Pre._.Opening._1">{"Pre Opening BS",#N/A,FALSE,"Pre-Opening";"Pre Opening Worksheet",#N/A,FALSE,"Pre-Opening"}</definedName>
    <definedName name="wrn.3._.month._.budget.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00._.Adv.._.Board.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yr.CF.">{"assume",#N/A,FALSE,"K&amp;20th Month CF";"MoCF",#N/A,FALSE,"K&amp;20th Month CF";"AnCF",#N/A,FALSE,"K&amp;20th Month CF"}</definedName>
    <definedName name="wrn.4.._.Detail._.Financial._.Statements.">{"IS All",#N/A,FALSE,"Summary P&amp;L";"IS CS All",#N/A,FALSE,"CS Inc. Stmt.";"BS All",#N/A,FALSE,"Balance Sheet";"CF All",#N/A,FALSE,"CashFlow"}</definedName>
    <definedName name="wrn.4.._.Detail._.Financial._.Statements._1">{"IS All",#N/A,FALSE,"Summary P&amp;L";"IS CS All",#N/A,FALSE,"CS Inc. Stmt.";"BS All",#N/A,FALSE,"Balance Sheet";"CF All",#N/A,FALSE,"CashFlow"}</definedName>
    <definedName name="wrn.495BS.">{#N/A,#N/A,FALSE,"PRO FORMA FINANCIALS"}</definedName>
    <definedName name="wrn.495BSADJUST.">{#N/A,#N/A,FALSE,"PRO FORMA FINANCIALS"}</definedName>
    <definedName name="wrn.495IS.">{#N/A,#N/A,FALSE,"PRO FORMA FINANCIALS"}</definedName>
    <definedName name="wrn.495ISADJUST.">{#N/A,#N/A,FALSE,"PRO FORMA FINANCIALS"}</definedName>
    <definedName name="wrn.5.._.ALL._.Detail._.Support.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6.._.Two._.Year._.Reports.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>{#N/A,#N/A,FALSE,"REPORT"}</definedName>
    <definedName name="wrn.731">{#N/A,#N/A,FALSE,"REPORT"}</definedName>
    <definedName name="wrn.750.">{#N/A,#N/A,FALSE,"REPORT"}</definedName>
    <definedName name="wrn.7501">{#N/A,#N/A,FALSE,"REPORT"}</definedName>
    <definedName name="wrn.760.16.">{#N/A,#N/A,FALSE,"REPORT"}</definedName>
    <definedName name="wrn.7900">{#N/A,#N/A,FALSE,"REPORT"}</definedName>
    <definedName name="wrn.9_30._.Adv._.Board.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>{#N/A,#N/A,FALSE,"REPORT"}</definedName>
    <definedName name="wrn.96._.Plan.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563.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7PLNS2.XLS.">{#N/A,#N/A,TRUE,"97plnfpg"}</definedName>
    <definedName name="wrn.99999">{#N/A,#N/A,FALSE,"REPORT"}</definedName>
    <definedName name="wrn.A_VALUATION.">{#N/A,#N/A,FALSE,"A_D";#N/A,#N/A,FALSE,"WACC";#N/A,#N/A,FALSE,"DCF";#N/A,#N/A,FALSE,"A";#N/A,#N/A,FALSE,"LBO";#N/A,#N/A,FALSE,"C";#N/A,#N/A,FALSE,"impd";#N/A,#N/A,FALSE,"comps"}</definedName>
    <definedName name="wrn.aaa">{#N/A,#N/A,FALSE,"Pharm";#N/A,#N/A,FALSE,"WWCM"}</definedName>
    <definedName name="wrn.AAAA._.Reports.">{"AAA Minn",#N/A,FALSE,"AAAA - Minn";"AAAA Col and Miami",#N/A,FALSE,"AAAA - Col &amp; Miami";"AAAA Consol",#N/A,FALSE,"AAAA - Consolidated"}</definedName>
    <definedName name="wrn.aaaaaaa">{#N/A,#N/A,FALSE,"Pharm";#N/A,#N/A,FALSE,"WWCM"}</definedName>
    <definedName name="wrn.Accounts.">{"turnover",#N/A,FALSE;"profits",#N/A,FALSE;"cash",#N/A,FALSE}</definedName>
    <definedName name="wrn.ACCOUNTS._.PAYABLE.">{#N/A,#N/A,FALSE,"CC-1 Accounts Payable";#N/A,#N/A,FALSE,"CC-2 Search for Unrecorded Liab"}</definedName>
    <definedName name="wrn.Accr_Dil.">{#N/A,#N/A,FALSE,"Debt Accr";#N/A,#N/A,FALSE,"Stock Accr";#N/A,#N/A,FALSE,"Debt Stock Accr"}</definedName>
    <definedName name="wrn.ACCRUED._.EXPENSES.">{#N/A,#N/A,FALSE,"EE-1 Othr Acts. Pbl &amp; Accr. Exp";#N/A,#N/A,FALSE,"FF-1 Payroll Taxes";#N/A,#N/A,FALSE,"HH-1 Employee Benefit Plans"}</definedName>
    <definedName name="wrn.AcqState.">{#N/A,#N/A,TRUE,"Acq-Ass";#N/A,#N/A,TRUE,"Acq-IS";#N/A,#N/A,TRUE,"Acq-BS";#N/A,#N/A,TRUE,"Acq-CF"}</definedName>
    <definedName name="wrn.Acquiror.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>{"a_Acquiror Assumptions",#N/A,FALSE,"Financials";"b_Acquiror Income Statement",#N/A,FALSE,"Financials";"c_Acquiror Balance Sheet",#N/A,FALSE,"Financials";"d_Acquiror Cashflow Statement",#N/A,FALSE,"Financials"}</definedName>
    <definedName name="wrn.Acquisition_matrix.">{"Acq_matrix",#N/A,FALSE,"Acquisition Matrix"}</definedName>
    <definedName name="wrn.Acquisition_matrix_from_DBAB">{"Acq_matrix",#N/A,FALSE,"Acquisition Matrix"}</definedName>
    <definedName name="wrn.AcqVal.">{#N/A,#N/A,FALSE,"Acq-Val";#N/A,#N/A,FALSE,"Acq-Mult Val"}</definedName>
    <definedName name="wrn.adj95.">{"adj95mult",#N/A,FALSE,"COMPCO";"adj95est",#N/A,FALSE,"COMPCO"}</definedName>
    <definedName name="wrn.adj95._from_DBAB">{"adj95mult",#N/A,FALSE,"COMPCO";"adj95est",#N/A,FALSE,"COMPCO"}</definedName>
    <definedName name="wrn.adj95a">{"adj95mult",#N/A,FALSE,"COMPCO";"adj95est",#N/A,FALSE,"COMPCO"}</definedName>
    <definedName name="wrn.administracion.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ency._.Profit._.and._.Loss.">{"Forecast PL by Client",#N/A,FALSE,"P&amp;L by Client - Forecast";"Projected PL by Client",#N/A,FALSE,"P&amp;L by Client - Projected";"Consolidated PL",#N/A,FALSE,"Consolidated P&amp;L"}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PH._.Full._.Report.">{"Qearn1",#N/A,FALSE,"Qearn";"Qearn2",#N/A,FALSE,"Qearn";"qmargin",#N/A,FALSE,"Qmargin";"cashflow",#N/A,FALSE,"Cashflow"}</definedName>
    <definedName name="wrn.ALAN.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>{#N/A,#N/A,FALSE,"INPUTS";#N/A,#N/A,FALSE,"PROFORMA BSHEET";#N/A,#N/A,FALSE,"COMBINED";#N/A,#N/A,FALSE,"ACQUIROR";#N/A,#N/A,FALSE,"TARGET 1";#N/A,#N/A,FALSE,"TARGET 2";#N/A,#N/A,FALSE,"HIGH YIELD";#N/A,#N/A,FALSE,"OVERFUND"}</definedName>
    <definedName name="wrn.All._.Agings._.with._.Excess._.Cash.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>{#N/A,#N/A,FALSE,"puboff";#N/A,#N/A,FALSE,"financials";#N/A,#N/A,FALSE,"valuation";#N/A,#N/A,FALSE,"split"}</definedName>
    <definedName name="wrn.all._.print.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hedules.">{#N/A,#N/A,FALSE,"Static Proforma";#N/A,#N/A,FALSE,"Bldg Dev DCF";#N/A,#N/A,FALSE,"Land Sales DCF"}</definedName>
    <definedName name="wrn.ALL._.SHEETS.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PAPERS.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2">{#N/A,#N/A,FALSE,"DCF";#N/A,#N/A,FALSE,"WACC";#N/A,#N/A,FALSE,"Sales_EBIT";#N/A,#N/A,FALSE,"Capex_Depreciation";#N/A,#N/A,FALSE,"WC";#N/A,#N/A,FALSE,"Interest";#N/A,#N/A,FALSE,"Assumptions"}</definedName>
    <definedName name="wrn.ALL.new">{"INCOME",#N/A,FALSE,"Metrocall";"VALUE",#N/A,FALSE,"Metrocall"}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2.">{#N/A,#N/A,FALSE,"DCF";#N/A,#N/A,FALSE,"WACC";#N/A,#N/A,FALSE,"Sales_EBIT";#N/A,#N/A,FALSE,"Capex_Depreciation";#N/A,#N/A,FALSE,"WC";#N/A,#N/A,FALSE,"Interest";#N/A,#N/A,FALSE,"Assumptions"}</definedName>
    <definedName name="wrn.all3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>{#N/A,#N/A,FALSE,"ASSUMPTIONS";#N/A,#N/A,FALSE,"Valuation Summary";"page1",#N/A,FALSE,"PRESENTATION";"page2",#N/A,FALSE,"PRESENTATION";#N/A,#N/A,FALSE,"ORIGINAL_ROLLBACK"}</definedName>
    <definedName name="wrn.ALL5">{#N/A,#N/A,FALSE,"ASSUMPTIONS";#N/A,#N/A,FALSE,"Valuation Summary";"page1",#N/A,FALSE,"PRESENTATION";"page2",#N/A,FALSE,"PRESENTATION";#N/A,#N/A,FALSE,"ORIGINAL_ROLLBACK"}</definedName>
    <definedName name="wrn.ALL6">{#N/A,#N/A,FALSE,"ASSUMPTIONS";#N/A,#N/A,FALSE,"Valuation Summary";"page1",#N/A,FALSE,"PRESENTATION";"page2",#N/A,FALSE,"PRESENTATION";#N/A,#N/A,FALSE,"ORIGINAL_ROLLBACK"}</definedName>
    <definedName name="wrn.ALL8">{#N/A,#N/A,FALSE,"ASSUMPTIONS";#N/A,#N/A,FALSE,"Valuation Summary";"page1",#N/A,FALSE,"PRESENTATION";"page2",#N/A,FALSE,"PRESENTATION";#N/A,#N/A,FALSE,"ORIGINAL_ROLLBACK"}</definedName>
    <definedName name="wrn.ALL94.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>{#N/A,#N/A,FALSE,"Balance Sheet";#N/A,#N/A,FALSE,"Income Statement";#N/A,#N/A,FALSE,"Changes in Financial Position"}</definedName>
    <definedName name="wrn.AllModels.">{#N/A,#N/A,FALSE,"AD_Purchase";#N/A,#N/A,FALSE,"Credit";#N/A,#N/A,FALSE,"PF Acquisition";#N/A,#N/A,FALSE,"PF Offering"}</definedName>
    <definedName name="wrn.ANALISIS._.SENSIBILIDAD.">{#N/A,#N/A,FALSE,"BALANCE";#N/A,#N/A,FALSE,"CUENTA DE PYG";#N/A,#N/A,FALSE,"RATIOS"}</definedName>
    <definedName name="wrn.AQUIROR._.DCF.">{"AQUIRORDCF",#N/A,FALSE,"Merger consequences";"Acquirorassns",#N/A,FALSE,"Merger consequences"}</definedName>
    <definedName name="wrn.AQUIROR._.DCF._from_DBAB">{"AQUIRORDCF",#N/A,FALSE,"Merger consequences";"Acquirorassns",#N/A,FALSE,"Merger consequences"}</definedName>
    <definedName name="wrn.asg.">{#N/A,#N/A,FALSE,"Exh 1";#N/A,#N/A,FALSE,"Exh 2";#N/A,#N/A,FALSE,"Exh 2a";#N/A,#N/A,FALSE,"Exh 3";#N/A,#N/A,FALSE,"Exhib 4";#N/A,#N/A,FALSE,"eh 5";#N/A,#N/A,FALSE,"Exh 6"}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{"baseassum",#N/A,FALSE,"BASEDCF";"bassum2",#N/A,FALSE,"BASEDCF";"hmix",#N/A,FALSE,"BASEDCF"}</definedName>
    <definedName name="wrn.Assumptions._.and._.Results.">{"CV_1",#N/A,TRUE,"Assumptions and Results"}</definedName>
    <definedName name="wrn.AUTO.">{"AUTO",#N/A,FALSE,"SAMPLECC"}</definedName>
    <definedName name="wrn.Auto._.Comp.">{#N/A,#N/A,FALSE,"Sheet1"}</definedName>
    <definedName name="wrn.Auto._.Comp.1">{#N/A,#N/A,FALSE,"Sheet1"}</definedName>
    <definedName name="wrn.ba.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>{"Back Page",#N/A,FALSE,"Front and Back"}</definedName>
    <definedName name="wrn.backup.">{"background",#N/A,FALSE,"CS First Boston Merger Model";"inputs",#N/A,FALSE,"CS First Boston Merger Model"}</definedName>
    <definedName name="wrn.balance._.sheet.">{"bs",#N/A,FALSE,"SCF"}</definedName>
    <definedName name="wrn.balance._.sheet.2">{"bs",#N/A,FALSE,"SCF"}</definedName>
    <definedName name="wrn.balance._.sheet2.">{"bs",#N/A,FALSE,"SCF"}</definedName>
    <definedName name="wrn.balance._.sheet3.">{"bs",#N/A,FALSE,"SCF"}</definedName>
    <definedName name="wrn.balance._.sheet4.">{"bs",#N/A,FALSE,"SCF"}</definedName>
    <definedName name="wrn.balance._sheet2.">{"bs",#N/A,FALSE,"SCF"}</definedName>
    <definedName name="wrn.Bank._.of._.America.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ers.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_Middle_Drivers.">{#N/A,#N/A,TRUE,"DCF Summary (2)";#N/A,#N/A,TRUE,"DCF Summary";#N/A,"Middle Case Drivers",TRUE,"DCF"}</definedName>
    <definedName name="wrn.basics.">{#N/A,#N/A,FALSE,"TSUM";#N/A,#N/A,FALSE,"shares";#N/A,#N/A,FALSE,"earnout";#N/A,#N/A,FALSE,"Heaty";#N/A,#N/A,FALSE,"self-tend";#N/A,#N/A,FALSE,"self-sum"}</definedName>
    <definedName name="wrn.BBCert.">{#N/A,#N/A,FALSE,"BBCert";#N/A,#N/A,FALSE,"Ineligible Summ";#N/A,#N/A,FALSE,"Ineligible Detail"}</definedName>
    <definedName name="wrn.Bewegungsbilanz.">{#N/A,#N/A,FALSE,"Mittelherkunft";#N/A,#N/A,FALSE,"Mittelverwendung"}</definedName>
    <definedName name="wrn.BGEN.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>{"PAGE1",#N/A,FALSE,"BID (3)";"PAGE2",#N/A,FALSE,"BID (3)"}</definedName>
    <definedName name="wrn.Bilanz.">{#N/A,#N/A,FALSE,"Layout Aktiva";#N/A,#N/A,FALSE,"Layout Passiva"}</definedName>
    <definedName name="wrn.BKD.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m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NUS.">{"BONUS JOURNAL ENTRY",#N/A,FALSE,"BONUS";"BONUS CALC",#N/A,FALSE,"BONUS";"BONUS DATA",#N/A,FALSE,"BONUS"}</definedName>
    <definedName name="wrn.BONUS2.">{"BONUS JOURNAL ENTRY",#N/A,FALSE,"BONUS";"BONUS CALC",#N/A,FALSE,"BONUS";"BONUS DATA",#N/A,FALSE,"BONUS"}</definedName>
    <definedName name="wrn.BP._.print.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SAnnualModel.">{"BSAnnualModel",#N/A,FALSE,"BS"}</definedName>
    <definedName name="wrn.budget.">{"budget vs all page 1",#N/A,FALSE,"Budget vs All";"budget vs all page 2",#N/A,FALSE,"Budget vs All";"mv to makegood",#N/A,FALSE,"Major Variances";"mv to fc3",#N/A,FALSE,"Major Variances";"mv to fy98",#N/A,FALSE,"Major Variances";"chart 1",#N/A,FALSE,"Charts";"chart 2",#N/A,FALSE,"Charts";"chart 3",#N/A,FALSE,"Charts";"roll-up fy00",#N/A,FALSE,"Roll-up";"production fy00",#N/A,FALSE,"Production";"waste fy00",#N/A,FALSE,"Waste";"total costs fy00",#N/A,FALSE,"Total Costs";"plant costs fy00",#N/A,FALSE,"Plant Costs";"cmw costs fy00",#N/A,FALSE,"CMW Costs";"braintree costs fy00",#N/A,FALSE,"Braintree Costs";"plymouth costs fy00",#N/A,FALSE,"Plymouth Costs";"labor summary fy00",#N/A,FALSE,"Labor Summary";"materials fy00",#N/A,FALSE,"Materials";"maintenance services fy00",#N/A,FALSE,"Maintenance Services";"host fees fy00",#N/A,FALSE,"Host Fees";"close fy00",#N/A,FALSE,"Closure-Post Closure";"interest fy00",#N/A,FALSE,"Interest";"depreciation fy00",#N/A,FALSE,"Depreciation";"purchase fy00",#N/A,FALSE,"Purchase Accounting";"mact revenue fy00",#N/A,FALSE,"MACT Revenues";"mact effect",#N/A,FALSE,"MACT Revenues";"capital fy00",#N/A,FALSE,"Capital";#N/A,#N/A,FALSE,"Sensitivities";"roll-up 15",#N/A,FALSE,"Roll-up";"production 15",#N/A,FALSE,"Production";"waste 15",#N/A,FALSE,"Waste";"parent cash",#N/A,FALSE,"Parent Cash";"capital 15",#N/A,FALSE,"Capital"}</definedName>
    <definedName name="wrn.Budget._.Detail.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>{#N/A,#N/A,FALSE,"Comparison";#N/A,#N/A,FALSE,"Income Statement";#N/A,#N/A,FALSE,"Balance Sheet";#N/A,#N/A,FALSE,"Cash Flow";#N/A,#N/A,FALSE,"Material &amp; Labor";#N/A,#N/A,FALSE,"Operating OH"}</definedName>
    <definedName name="wrn.budgetb.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>{"ACQ",#N/A,FALSE,"ACQUISITIONS";"ACQF",#N/A,FALSE,"ACQUISITIONS";"PF",#N/A,FALSE,"PROYECTOVILA";"PV",#N/A,FALSE,"PROYECTOVILA";"Fee Dev",#N/A,FALSE,"DEVELOPMENT GROWTH";"gd",#N/A,FALSE,"DEVELOPMENT GROWTH"}</definedName>
    <definedName name="wrn.bullshit1.">{#N/A,#N/A,FALSE,"Sheet1";#N/A,#N/A,FALSE,"Summary";#N/A,#N/A,FALSE,"proj1";#N/A,#N/A,FALSE,"proj2"}</definedName>
    <definedName name="wrn.CapersPlotter.">{#N/A,#N/A,FALSE,"DI 2 YEAR MASTER SCHEDULE"}</definedName>
    <definedName name="wrn.CAPITAL.">{#N/A,#N/A,FALSE,"Minors";#N/A,#N/A,FALSE,"96CAPREV"}</definedName>
    <definedName name="wrn.CAPITAL._.LEASES.">{#N/A,#N/A,FALSE,"NN-1 Capital Leases"}</definedName>
    <definedName name="wrn.Capital._.Plan._.Report.">{"Capital Plan CA Schedule",#N/A,TRUE,"Capital Plan";"Capital Plan Summary",#N/A,TRUE,"Capital Plan"}</definedName>
    <definedName name="wrn.Cardiovasculars.">{#N/A,#N/A,FALSE,"Card";#N/A,#N/A,FALSE,"Prav";#N/A,#N/A,FALSE,"Irbe";#N/A,#N/A,FALSE,"Plavix";#N/A,#N/A,FALSE,"Capt";#N/A,#N/A,FALSE,"Fosi"}</definedName>
    <definedName name="wrn.CASH.">{#N/A,#N/A,FALSE,"A-1 Bank Reconcilation";#N/A,#N/A,FALSE,"A-2 Outstanding Checks";#N/A,#N/A,FALSE,"A-3 Savings Accounts";#N/A,#N/A,FALSE,"A-4 Certificates of Deposit";#N/A,#N/A,FALSE,"A-5 Bank Transfer Schedule"}</definedName>
    <definedName name="wrn.Cash._.Flow.">{#N/A,#N/A,FALSE,"Layout Cash Flow"}</definedName>
    <definedName name="wrn.Cell._.Nightmare.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tral._.Nervous._.System.">{#N/A,#N/A,FALSE,"CNS";#N/A,#N/A,FALSE,"Serz";#N/A,#N/A,FALSE,"Ace"}</definedName>
    <definedName name="wrn.CFSModel.">{"CFSModel",#N/A,FALSE,"CFS"}</definedName>
    <definedName name="wrn.CHART.">{"CHART",#N/A,FALSE,"Arch Communications"}</definedName>
    <definedName name="wrn.chart.new">{"CHART",#N/A,FALSE,"Arch Communications"}</definedName>
    <definedName name="wrn.client.">{"multiple",#N/A,FALSE,"client";"margins",#N/A,FALSE,"client";"data",#N/A,FALSE,"client"}</definedName>
    <definedName name="wrn.Client3.">{"data",#N/A,FALSE,"client (3)";"margins",#N/A,FALSE,"client (3)";"multiple",#N/A,FALSE,"client (3)"}</definedName>
    <definedName name="wrn.client4.">{"multiple",#N/A,FALSE,"client (4)";"margins",#N/A,FALSE,"client (4)";"data",#N/A,FALSE,"client (4)"}</definedName>
    <definedName name="wrn.clientcopy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lumbus.">{"Columbus Actual Expense",#N/A,FALSE,"Columbus97 Exp. - Actual";"Columbus Projected Expense",#N/A,FALSE,"Columbus97-98 Exp. - Projected";"Columbus Forecast Expense",#N/A,FALSE,"Columbus97 Exp. - Forecast";"Columbus Profit and Loss",#N/A,FALSE,"Columbus P&amp;L "}</definedName>
    <definedName name="wrn.Combination.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>{#N/A,#N/A,FALSE,"INPUTS";#N/A,#N/A,FALSE,"PROFORMA BSHEET";#N/A,#N/A,FALSE,"COMBINED";#N/A,#N/A,FALSE,"HIGH YIELD";#N/A,#N/A,FALSE,"COMB_GRAPHS"}</definedName>
    <definedName name="wrn.ComboResults.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>{#N/A,#N/A,FALSE,"Combo-Ass ";#N/A,#N/A,FALSE,"Combo-IS";#N/A,#N/A,FALSE,"Combo-BS";#N/A,#N/A,FALSE,"Combo-CF"}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CO.">{"Page1",#N/A,FALSE,"CompCo";"Page2",#N/A,FALSE,"CompCo"}</definedName>
    <definedName name="wrn.Compco._.Only.">{"vi1",#N/A,FALSE,"6_30_96";"vi2",#N/A,FALSE,"6_30_96";"vi3",#N/A,FALSE,"6_30_96"}</definedName>
    <definedName name="wrn.compco._from_DBAB">{"mult96",#N/A,FALSE,"PETCOMP";"est96",#N/A,FALSE,"PETCOMP";"mult95",#N/A,FALSE,"PETCOMP";"est95",#N/A,FALSE,"PETCOMP";"multltm",#N/A,FALSE,"PETCOMP";"resultltm",#N/A,FALSE,"PETCOMP"}</definedName>
    <definedName name="wrn.compco2">{"page1",#N/A,FALSE,"BHCOMPC5";"page2",#N/A,FALSE,"BHCOMPC5";"page3",#N/A,FALSE,"BHCOMPC5";"page4",#N/A,FALSE,"BHCOMPC5"}</definedName>
    <definedName name="wrn.compilation.">{#N/A,#N/A,FALSE,"TABLE OF CONTENTS";#N/A,#N/A,FALSE,"COMPLTR";#N/A,#N/A,FALSE,"BAL SHEET";#N/A,#N/A,FALSE,"INCOME STMNT";#N/A,#N/A,FALSE,"RETAINED E";#N/A,#N/A,FALSE,"NOTES";#N/A,#N/A,FALSE,"NOTES (2)";#N/A,#N/A,FALSE,"NOTES (3)";#N/A,#N/A,FALSE,"Supplemental";#N/A,#N/A,FALSE,"95contract"}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olidated.">{"income",#N/A,FALSE,"CONSOLIDATED";"value",#N/A,FALSE,"CONSOLIDATED"}</definedName>
    <definedName name="wrn.Consolidated._.Financials.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umer._.Medicines.">{#N/A,#N/A,FALSE,"OTC";#N/A,#N/A,FALSE,"Ther";#N/A,#N/A,FALSE,"Temp";#N/A,#N/A,FALSE,"Exce";#N/A,#N/A,FALSE,"Buff";#N/A,#N/A,FALSE,"Picot";#N/A,#N/A,FALSE,"Luftal";#N/A,#N/A,FALSE,"Comt"}</definedName>
    <definedName name="wrn.Continous._.Page._.Numbers._.DCF.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>{#N/A,#N/A,FALSE,"A"}</definedName>
    <definedName name="wrn.COSTCENTER.">{"COSTCENTER",#N/A,FALSE,"SAMPLECC"}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wboy.">{"assumptions",#N/A,FALSE,"Assumption Summary";"proforma97",#N/A,FALSE,"97 pro forma";"sensitivity97",#N/A,FALSE,"97 sensitivity ";"proforma98",#N/A,FALSE,"98 pro forma";"sensitivity98",#N/A,FALSE,"98 sensitivity"}</definedName>
    <definedName name="wrn.Current._.View.">{#N/A,#N/A,FALSE,"ACCS-XXX.XLS";#N/A,#N/A,FALSE,"ACCS-ADJ.XLS";#N/A,#N/A,FALSE,"ACCS-COR.XLS";#N/A,#N/A,FALSE,"LEGL-ACX.XLS";#N/A,#N/A,FALSE,"JNTV-PHX.XLS"}</definedName>
    <definedName name="wrn.cxdia.">{#N/A,#N/A,FALSE,"FFCXOUT3"}</definedName>
    <definedName name="wrn.cxdiager.">{#N/A,#N/A,FALSE,"FFCXOUT3"}</definedName>
    <definedName name="wrn.cy._.budget.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DCF.">{"DCF1",#N/A,FALSE,"SIERRA DCF";"MATRIX1",#N/A,FALSE,"SIERRA DCF"}</definedName>
    <definedName name="wrn.DCF._.Valuation.">{"value box",#N/A,TRUE,"DPL Inc. Fin Statements";"unlevered free cash flows",#N/A,TRUE,"DPL Inc. Fin Statements"}</definedName>
    <definedName name="wrn.DCF._from_DBAB">{"DCF1",#N/A,FALSE,"SIERRA DCF";"MATRIX1",#N/A,FALSE,"SIERRA DCF"}</definedName>
    <definedName name="wrn.DCF_Terminal_Value_qchm.">{"qchm_dcf",#N/A,FALSE,"QCHMDCF2";"qchm_terminal",#N/A,FALSE,"QCHMDCF2"}</definedName>
    <definedName name="wrn.DCF_Terminal_Value_qchm._from_DBAB">{"qchm_dcf",#N/A,FALSE,"QCHMDCF2";"qchm_terminal",#N/A,FALSE,"QCHMDCF2"}</definedName>
    <definedName name="wrn.dcf2">{"DCF1",#N/A,FALSE,"SIERRA DCF";"MATRIX1",#N/A,FALSE,"SIERRA DCF"}</definedName>
    <definedName name="wrn.dcf2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.">{"BSDEB",#N/A,FALSE,"Jun 98";"ISDEB",#N/A,FALSE,"Jun 98";"CFDEB",#N/A,FALSE,"Jun 98";"WP1DEB",#N/A,FALSE,"Jun 98";"WP2DEB",#N/A,FALSE,"Jun 98";"WP3EB",#N/A,FALSE,"Jun 98";"EQUITYDEB",#N/A,FALSE,"Jun 98"}</definedName>
    <definedName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artment.">{"GA Summary",#N/A,FALSE,"Dept P&amp;L Forecast";"GA Trend",#N/A,FALSE,"Dept P&amp;L Forecast"}</definedName>
    <definedName name="wrn.DEPARTMENTS.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>{"depmatrix",#N/A,FALSE,"DECATUR-DIMMIT"}</definedName>
    <definedName name="wrn.DEPT_ACTUALSvBUDGET.">{#N/A,#N/A,FALSE,"115";#N/A,#N/A,FALSE,"120";#N/A,#N/A,FALSE,"130";#N/A,#N/A,FALSE,"150";#N/A,#N/A,FALSE,"165";#N/A,#N/A,FALSE,"280";#N/A,#N/A,FALSE,"520";#N/A,#N/A,FALSE,"810";#N/A,#N/A,FALSE,"830";#N/A,#N/A,FALSE,"910"}</definedName>
    <definedName name="wrn.detail.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>{#N/A,#N/A,FALSE,"Detail"}</definedName>
    <definedName name="wrn.Detail_Projection.">{#N/A,#N/A,FALSE,"Detail YTD"}</definedName>
    <definedName name="wrn.Detailed._.Model.">{"P_L",#N/A,TRUE,"P&amp;L";"Rev",#N/A,TRUE,"Rev";"Staff",#N/A,TRUE,"Staff";"Exp",#N/A,TRUE,"Exp";"Capital",#N/A,TRUE,"Capital"}</definedName>
    <definedName name="wrn.Detailed._.Model._1">{"P_L",#N/A,TRUE,"P&amp;L";"Rev",#N/A,TRUE,"Rev";"Staff",#N/A,TRUE,"Staff";"Exp",#N/A,TRUE,"Exp";"Capital",#N/A,TRUE,"Capital"}</definedName>
    <definedName name="wrn.Detailed._.P._.and._.L.">{"P and L Detail Page 1",#N/A,FALSE,"Data";"P and L Detail Page 2",#N/A,FALSE,"Data"}</definedName>
    <definedName name="wrn.devdeal.">{"top",#N/A,TRUE,"Detail";"next",#N/A,TRUE,"Detail";"then",#N/A,TRUE,"Detail";"and",#N/A,TRUE,"Detail";"inaddition",#N/A,TRUE,"Detail";"finally",#N/A,TRUE,"Detail"}</definedName>
    <definedName name="wrn.Development._.Hours.">{#N/A,#N/A,FALSE,"July 95";#N/A,#N/A,FALSE,"Aug 95";#N/A,#N/A,FALSE,"Sep 95";#N/A,#N/A,FALSE,"October 95"}</definedName>
    <definedName name="wrn.DISTRIBUTION.">{#N/A,#N/A,FALSE,"1996 BRAND SUMMARY"}</definedName>
    <definedName name="wrn.distributiona.">{#N/A,#N/A,FALSE,"1996 BRAND SUMMARY"}</definedName>
    <definedName name="wrn.Divisional._.IS.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>{"djcash",#N/A,FALSE,"DJann";"djinc",#N/A,FALSE,"DJann";"djtaxes",#N/A,FALSE,"DJann";"djbuspub",#N/A,FALSE,"DJann";"djwall",#N/A,FALSE,"DJann";"djcompprs",#N/A,FALSE,"DJann";"djteler",#N/A,FALSE,"DJann"}</definedName>
    <definedName name="wrn.document.">{"consolidated",#N/A,FALSE,"Sheet1";"cms",#N/A,FALSE,"Sheet1";"fse",#N/A,FALSE,"Sheet1"}</definedName>
    <definedName name="wrn.documentation.">{"document1",#N/A,FALSE,"Documentation";"document2",#N/A,FALSE,"Documentation"}</definedName>
    <definedName name="wrn.DPI._.Summary.">{#N/A,#N/A,TRUE,"Summary";#N/A,#N/A,TRUE,"Financials"}</definedName>
    <definedName name="wrn.Draft.">{"Draft",#N/A,FALSE,"Feb-96"}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>{#N/A,#N/A,FALSE,"2003_Input - P&amp;L"}</definedName>
    <definedName name="wrn.ebitda2">{#N/A,#N/A,FALSE,"2003_Input - P&amp;L"}</definedName>
    <definedName name="wrn.Economic._.Value._.Added._.Analysis.">{"EVA",#N/A,FALSE,"EVA";"WACC",#N/A,FALSE,"WACC"}</definedName>
    <definedName name="wrn.Economic._.Value._.Added._.Analysis._from_DBAB">{"EVA",#N/A,FALSE,"EVA";"WACC",#N/A,FALSE,"WACC"}</definedName>
    <definedName name="wrn.ecpall.">{"ecpcash",#N/A,FALSE,"ECPann";"ecpinc",#N/A,FALSE,"ECPann";"ecpindia",#N/A,FALSE,"ECPann";"ecpmun",#N/A,FALSE,"ECPann";"ecpphoenix",#N/A,FALSE,"ECPann";"ecpothe",#N/A,FALSE,"ECPann";"ecpbalsht",#N/A,FALSE,"ECPann"}</definedName>
    <definedName name="wrn.Edutainment._.Priority._.List.">{#N/A,#N/A,FALSE,"DI 2 YEAR MASTER SCHEDULE"}</definedName>
    <definedName name="wrn.ElitePackaging.">{#N/A,#N/A,FALSE,"Pkg Assets";#N/A,#N/A,FALSE,"Elite Pkg Liab";#N/A,#N/A,FALSE,"Pkg Income";#N/A,#N/A,FALSE,"Pkg FOH";#N/A,#N/A,FALSE,"Pkg SGA"}</definedName>
    <definedName name="wrn.Entire._.Model._.with._.Backup.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t25yr.">{#N/A,#N/A,FALSE,"Est97";#N/A,#N/A,FALSE,"Plan98";#N/A,#N/A,FALSE,"Graphs";#N/A,#N/A,FALSE,"5Yr"}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._.Workpapers._.1.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change.">{"Balance Sheet",#N/A,FALSE,"Exchange 05-06";"Profit and Loss",#N/A,FALSE,"Exchange 05-06"}</definedName>
    <definedName name="wrn.exec.">{"exec",#N/A,FALSE,"EXECSUM";"int",#N/A,FALSE,"EXECSUM"}</definedName>
    <definedName name="wrn.Exhibits.">{#N/A,#N/A,FALSE,"Options PV";"stat_quo",#N/A,FALSE,"Status Quo";"traditional",#N/A,FALSE,"Traditional";"MBO_w_equity",#N/A,FALSE,"Master";#N/A,#N/A,FALSE,"stock";#N/A,#N/A,FALSE,"cash"}</definedName>
    <definedName name="wrn.EXPENSES.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CB.">{"FCB_ALL",#N/A,FALSE,"FCB"}</definedName>
    <definedName name="wrn.fcb2">{"FCB_ALL",#N/A,FALSE,"FCB"}</definedName>
    <definedName name="wrn.fcopy2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DII6_01PortReview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ELDSELLING.">{"FIELDSELLING",#N/A,FALSE,"SAMPLECC"}</definedName>
    <definedName name="wrn.filecopy.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n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97.">{#N/A,#N/A,FALSE,"FIN97 DETAIL"}</definedName>
    <definedName name="wrn.Final.">{"Final",#N/A,FALSE,"Feb-96"}</definedName>
    <definedName name="wrn.Financial.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>{#N/A,#N/A,TRUE,"Cover letter";#N/A,#N/A,TRUE,"Definitions";#N/A,#N/A,TRUE,"financial data";#N/A,#N/A,TRUE,"general data"}</definedName>
    <definedName name="wrn.Financial._.Output.">{"P and L",#N/A,FALSE,"Financial Output";"Cashflow",#N/A,FALSE,"Financial Output";"Balance Sheet",#N/A,FALSE,"Financial Output"}</definedName>
    <definedName name="wrn.Financial._.Statements.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Wrk.">{#N/A,#N/A,FALSE,"Sep 98";"Bal Sheet CY - Legal",#N/A,FALSE,"Sep 98";"Bal Sheet PY - Legal",#N/A,FALSE,"Sep 98";"Inc Stmt - Legal",#N/A,FALSE,"Sep 98";"Cash Flow - Legal",#N/A,FALSE,"Sep 98"}</definedName>
    <definedName name="wrn.financials.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.for._.PPM.">{"Cover",#N/A,FALSE,"Cover";"Income Statement",#N/A,FALSE,"IncStmt";"Balance Sheet",#N/A,FALSE,"BalSht";"Cash Flow",#N/A,FALSE,"CashFlow";"Footnotes",#N/A,FALSE,"Footnotes"}</definedName>
    <definedName name="wrn.Financials._.for._.PPM._1">{"Cover",#N/A,FALSE,"Cover";"Income Statement",#N/A,FALSE,"IncStmt";"Balance Sheet",#N/A,FALSE,"BalSht";"Cash Flow",#N/A,FALSE,"CashFlow";"Footnotes",#N/A,FALSE,"Footnotes"}</definedName>
    <definedName name="wrn.Financials_long.">{"IS",#N/A,FALSE,"Financials2 (Expanded)";"bsa",#N/A,FALSE,"Financials2 (Expanded)";"BS",#N/A,FALSE,"Financials2 (Expanded)";"CF",#N/A,FALSE,"Financials2 (Expanded)"}</definedName>
    <definedName name="wrn.Finanzbedarfsrechnung.">{#N/A,#N/A,FALSE,"Finanzbedarfsrechnung"}</definedName>
    <definedName name="wrn.first2.">{#N/A,#N/A,FALSE,"sum-don";#N/A,#N/A,FALSE,"inc-don"}</definedName>
    <definedName name="wrn.first3.">{#N/A,#N/A,FALSE,"Summary";#N/A,#N/A,FALSE,"proj1";#N/A,#N/A,FALSE,"proj2"}</definedName>
    <definedName name="wrn.first4.">{#N/A,#N/A,FALSE,"Summary";#N/A,#N/A,FALSE,"proj1";#N/A,#N/A,FALSE,"proj2";#N/A,#N/A,FALSE,"DCF"}</definedName>
    <definedName name="wrn.Five._.Year._.Model.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>{"FIVEYEAR",#N/A,TRUE,"SUMMARY";"FIVEYEAR",#N/A,TRUE,"Ratios";"FIVEYEAR",#N/A,TRUE,"Revenue";"FIVEYEAR",#N/A,TRUE,"DETAIL";"FIVEYEAR",#N/A,TRUE,"Payroll"}</definedName>
    <definedName name="wrn.Five._.Year._.Record.">{"Five Year Record",#N/A,FALSE,"Front and Back"}</definedName>
    <definedName name="wrn.Fla._.Cape._.Info._.Memo._.Reports.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ORECAST.">{"COMBINED",#N/A,FALSE,"BALANCE SHEET 2";"KRONE",#N/A,FALSE,"BALANCE SHEET 2";"INTERSYSTEMS",#N/A,FALSE,"BALANCE SHEET 2"}</definedName>
    <definedName name="wrn.Forecast._.Red._.Book.">{"RB QY $",#N/A,FALSE,"Fin STMT";"RB QY Stats",#N/A,FALSE,"Fin STMT";"RB 00 $",#N/A,FALSE,"Fin STMT";"RB 00 Stats",#N/A,FALSE,"Fin STMT";"RB 01 $",#N/A,FALSE,"Fin STMT";"RB 01 Stats",#N/A,FALSE,"Fin STMT"}</definedName>
    <definedName name="wrn.Forecast._.Report.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orms.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>{#N/A,#N/A,TRUE,"financial data";#N/A,#N/A,TRUE,"general data";#N/A,#N/A,TRUE,"order fulfillment"}</definedName>
    <definedName name="wrn.FOschedules.">{"FOschedule1",#N/A,FALSE,"Sheet1";"FOschedule2",#N/A,FALSE,"Sheet1";"FOschedule3",#N/A,FALSE,"Sheet1"}</definedName>
    <definedName name="wrn.Front._.Page.">{"Front Page",#N/A,FALSE,"Front and Back"}</definedName>
    <definedName name="wrn.full.">{"vi1",#N/A,FALSE,"Pagcc";"vi2",#N/A,FALSE,"Pagcc";"vi3",#N/A,FALSE,"Pagcc";"vi4",#N/A,FALSE,"Pagcc";"vi5",#N/A,FALSE,"Pagcc";#N/A,#N/A,FALSE,"Contribution"}</definedName>
    <definedName name="wrn.Full._.Model.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nty.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>{#N/A,#N/A,TRUE,"Income Statement";#N/A,#N/A,TRUE,"Gas Assumptions";#N/A,#N/A,TRUE,"DCF";#N/A,#N/A,TRUE,"Depreciation Matrix";#N/A,#N/A,TRUE,"Matrix";#N/A,#N/A,TRUE,"Matrix_Perpetuity"}</definedName>
    <definedName name="wrn.full._.report._from_DBAB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orkbook._.Report.">{"Balance Sheet Summary",#N/A,TRUE,"Balance Sheet";"Cash Flow Summary",#N/A,TRUE,"Cash Flow";"Capital Plan CA Schedule",#N/A,TRUE,"Capital Plan";"Capital Plan Summary",#N/A,TRUE,"Capital Plan"}</definedName>
    <definedName name="wrn.Full_Analysis_Analyst.">{#N/A,#N/A,TRUE,"DCF Summary (2)";#N/A,#N/A,TRUE,"DCF Summary";#N/A,"Analyst Value Drivers",TRUE,"DCF"}</definedName>
    <definedName name="wrn.Full_Analysis_Base.">{#N/A,#N/A,TRUE,"DCF Summary (2)";#N/A,#N/A,TRUE,"DCF Summary";#N/A,"Base Case Value Drivers",TRUE,"DCF"}</definedName>
    <definedName name="wrn.Full_Analysis_Middle.">{#N/A,#N/A,TRUE,"DCF Summary (2)";#N/A,#N/A,TRUE,"DCF Summary";#N/A,"Middle Case Drivers",TRUE,"DCF"}</definedName>
    <definedName name="wrn.Fund._.II.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>{#N/A,#N/A,TRUE,"FD IV Portfolio Summary ";#N/A,#N/A,TRUE,"Western";#N/A,#N/A,TRUE,"Kranson";#N/A,#N/A,TRUE,"ARC";#N/A,#N/A,TRUE,"Precise";#N/A,#N/A,TRUE,"WNA"}</definedName>
    <definedName name="wrn.FY01_Fin_Stmts.">{"FY01_Assets",#N/A,FALSE,"Fin Stmt Budget";"FY01_Liabilities",#N/A,FALSE,"Fin Stmt Budget";"FY01_Inc_Stmt",#N/A,FALSE,"Fin Stmt Budget";"FY01_SOCF",#N/A,FALSE,"Fin Stmt Budget"}</definedName>
    <definedName name="wrn.FY02_Fin_Stmts.">{"FY02_Assets",#N/A,FALSE,"Fin Stmt Budget";"FY02_Liabilities",#N/A,FALSE,"Fin Stmt Budget";"FY02_Inc_Stmt",#N/A,FALSE,"Fin Stmt Budget";"FY02_SOCF",#N/A,FALSE,"Fin Stmt Budget"}</definedName>
    <definedName name="wrn.FY03_Fin_Stmts.">{"FY03_Assets",#N/A,FALSE,"Fin Stmt Budget";"FY03_Liabilities",#N/A,FALSE,"Fin Stmt Budget";"FY03_Inc_Stmt",#N/A,FALSE,"Fin Stmt Budget";"FY03_SOCF",#N/A,FALSE,"Fin Stmt Budget"}</definedName>
    <definedName name="wrn.FY04_Fin._.Stmts.">{"FY04_Assets",#N/A,FALSE,"Fin Stmt Budget";"FY04_Liabilities",#N/A,FALSE,"Fin Stmt Budget";"FY04_Inc_Stmt",#N/A,FALSE,"Fin Stmt Budget";"FY04_SOCF",#N/A,FALSE,"Fin Stmt Budget"}</definedName>
    <definedName name="wrn.FY06">{"FY04_Assets",#N/A,FALSE,"Fin Stmt Budget";"FY04_Liabilities",#N/A,FALSE,"Fin Stmt Budget";"FY04_Inc_Stmt",#N/A,FALSE,"Fin Stmt Budget";"FY04_SOCF",#N/A,FALSE,"Fin Stmt Budget"}</definedName>
    <definedName name="wrn.FY07">{"FY01_Assets",#N/A,FALSE,"Fin Stmt Budget";"FY01_Liabilities",#N/A,FALSE,"Fin Stmt Budget";"FY01_Inc_Stmt",#N/A,FALSE,"Fin Stmt Budget";"FY01_SOCF",#N/A,FALSE,"Fin Stmt Budget"}</definedName>
    <definedName name="wrn.FY07_fin">{"FY04_Assets",#N/A,FALSE,"Fin Stmt Budget";"FY04_Liabilities",#N/A,FALSE,"Fin Stmt Budget";"FY04_Inc_Stmt",#N/A,FALSE,"Fin Stmt Budget";"FY04_SOCF",#N/A,FALSE,"Fin Stmt Budget"}</definedName>
    <definedName name="wrn.FY96sbp99">{#N/A,#N/A,FALSE,"FY97";#N/A,#N/A,FALSE,"FY98";#N/A,#N/A,FALSE,"FY99";#N/A,#N/A,FALSE,"FY00";#N/A,#N/A,FALSE,"FY01"}</definedName>
    <definedName name="wrn.FY97SBP.">{#N/A,#N/A,FALSE,"FY97";#N/A,#N/A,FALSE,"FY98";#N/A,#N/A,FALSE,"FY99";#N/A,#N/A,FALSE,"FY00";#N/A,#N/A,FALSE,"FY01"}</definedName>
    <definedName name="wrn.FY97SBP.1">{#N/A,#N/A,FALSE,"FY97";#N/A,#N/A,FALSE,"FY98";#N/A,#N/A,FALSE,"FY99";#N/A,#N/A,FALSE,"FY00";#N/A,#N/A,FALSE,"FY01"}</definedName>
    <definedName name="wrn.FY97SBP2">{#N/A,#N/A,FALSE,"FY97";#N/A,#N/A,FALSE,"FY98";#N/A,#N/A,FALSE,"FY99";#N/A,#N/A,FALSE,"FY00";#N/A,#N/A,FALSE,"FY01"}</definedName>
    <definedName name="wrn.GCIall.">{"gcicash",#N/A,FALSE,"GCIINC";"gciinc",#N/A,FALSE,"GCIINC";"gciexclusa",#N/A,FALSE,"GCIINC";"usatdy",#N/A,FALSE,"GCIINC"}</definedName>
    <definedName name="wrn.gd.">{#N/A,#N/A,FALSE,"Summary";#N/A,#N/A,FALSE,"Annual";#N/A,#N/A,FALSE,"Quarterly";#N/A,#N/A,FALSE,"Land Systems";#N/A,#N/A,FALSE,"LandSystemsQtr";#N/A,#N/A,FALSE,"E.B.";#N/A,#N/A,FALSE,"EBqtr";#N/A,#N/A,FALSE,"Other";#N/A,#N/A,FALSE,"Other, Qtr.";#N/A,#N/A,FALSE,"Balance Sht.";#N/A,#N/A,FALSE,"BalShtQtr";#N/A,#N/A,FALSE,"Cashflow";#N/A,#N/A,FALSE,"CashflowQtr"}</definedName>
    <definedName name="wrn.General._.OTC.">{#N/A,#N/A,FALSE,"Title Page (3)";#N/A,#N/A,FALSE,"YTD - OTC";#N/A,#N/A,FALSE,"MTH - OTC"}</definedName>
    <definedName name="wrn.General._.Pharm.">{#N/A,#N/A,FALSE,"Title Page (2)";#N/A,#N/A,FALSE,"YTD - Pharm";#N/A,#N/A,FALSE,"MTH - Pharm"}</definedName>
    <definedName name="wrn.General._.Total.">{#N/A,#N/A,FALSE,"Title Page (4)";#N/A,#N/A,FALSE,"YTD - Total";#N/A,#N/A,FALSE,"MTH - Total"}</definedName>
    <definedName name="wrn.Geographic._.Trends.">{"Geographic P1",#N/A,FALSE,"Division &amp; Geog"}</definedName>
    <definedName name="wrn.GRAPHS.">{#N/A,#N/A,FALSE,"ACQ_GRAPHS";#N/A,#N/A,FALSE,"T_1 GRAPHS";#N/A,#N/A,FALSE,"T_2 GRAPHS";#N/A,#N/A,FALSE,"COMB_GRAPHS"}</definedName>
    <definedName name="wrn.Gross._.Income._.Actual.">{"Columbus",#N/A,FALSE,"97 GI - Actual";"Miami",#N/A,FALSE,"97 GI - Actual";"Minn",#N/A,FALSE,"97 GI - Actual"}</definedName>
    <definedName name="wrn.Gross._.Income._.Forecast.">{"Columbus",#N/A,FALSE,"97 GI - Forecast";"Miami",#N/A,FALSE,"97 GI - Forecast";"Minn",#N/A,FALSE,"97 GI - Forecast"}</definedName>
    <definedName name="wrn.Gross._.Income._.Projection.">{"Columbus",#N/A,FALSE,"97-98 GI - Projection";"Miami",#N/A,FALSE,"97-98 GI - Projection";"Minn",#N/A,FALSE,"97-98 GI - Projection"}</definedName>
    <definedName name="wrn.Gross._.Profit._.Report.">{"Monthly",#N/A,FALSE,"Phosphate Gross Profit";"Quarterly",#N/A,FALSE,"Phosphate Gross Profit"}</definedName>
    <definedName name="wrn.GuV.">{#N/A,#N/A,FALSE,"Layout GuV"}</definedName>
    <definedName name="wrn.HAMMOND.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EAT.">{#N/A,#N/A,FALSE,"Heat";#N/A,#N/A,FALSE,"DCF";#N/A,#N/A,FALSE,"LBO";#N/A,#N/A,FALSE,"A";#N/A,#N/A,FALSE,"C";#N/A,#N/A,FALSE,"impd";#N/A,#N/A,FALSE,"Accr-Dilu"}</definedName>
    <definedName name="wrn.Historical._.Financials.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DPH.">{"Rituxan Revenues",#N/A,FALSE,"B cell Revenues";"QEarn1",#N/A,FALSE,"Qearn";"QEarn2",#N/A,FALSE,"Qearn";"QMargin",#N/A,FALSE,"qmargin";"Cashflow",#N/A,FALSE,"cashflow";"Product Pipeline",#N/A,FALSE,"Product Pipeline"}</definedName>
    <definedName name="wrn.II._.PortRev33102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ncome.">{"Income",#N/A,FALSE,"Recap IS"}</definedName>
    <definedName name="wrn.income._.statement.">{"income statement",#N/A,FALSE,"ATLAS-A"}</definedName>
    <definedName name="wrn.Income._.Statements.">{"Deal-IS",#N/A,FALSE,"Deal";"Nixon-IS",#N/A,FALSE,"Nabisco";"Kennedy-IS",#N/A,FALSE,"Kellogg"}</definedName>
    <definedName name="wrn.Income._1">{"Income",#N/A,FALSE,"Recap IS"}</definedName>
    <definedName name="wrn.INDEPS.">{"page1",#N/A,FALSE,"TIND_CC1";"page2",#N/A,FALSE,"TIND_CC1";"page3",#N/A,FALSE,"TIND_CC1";"page4",#N/A,FALSE,"TIND_CC1";"page5",#N/A,FALSE,"TIND_CC1"}</definedName>
    <definedName name="wrn.INDUSTRYCONVENTIONS.">{"INDUSTRYCONVENTIONS",#N/A,FALSE,"SAMPLECC"}</definedName>
    <definedName name="wrn.Infectious._.Diseases.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MemoPhotosMapsPlans.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rme._.Mensual.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>{#N/A,#N/A,FALSE,"inputs";#N/A,#N/A,FALSE,"inputs"}</definedName>
    <definedName name="wrn.INTANGIBLES.">{#N/A,#N/A,FALSE,"T-1 Intangibles"}</definedName>
    <definedName name="wrn.INTEREST.">{#N/A,#N/A,FALSE,"0700 Interest Expense";#N/A,#N/A,FALSE,"0700-1 Summary of Interest Earn"}</definedName>
    <definedName name="wrn.Internal.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roduction.">{"Intro",#N/A,FALSE,"Intro"}</definedName>
    <definedName name="wrn.INVENTORY.">{#N/A,#N/A,FALSE,"F-1 Inventory Price Test-RM";#N/A,#N/A,FALSE,"F-2 Inventory-Test Count"}</definedName>
    <definedName name="wrn.Investment._.Package.">{#N/A,#N/A,TRUE,"Title Page";"TOC",#N/A,TRUE,"TOC";"Assumptions",#N/A,TRUE,"Assumptions";"Highlights",#N/A,TRUE,"Highlights";"1996 IS-OHS",#N/A,TRUE,"OHS";"1996 IS-VCI",#N/A,TRUE,"VCI";"1996 IS-Cons",#N/A,TRUE,"Consolidated";"1997 IS-OHS",#N/A,TRUE,"OHS";"1997 IS-VCI",#N/A,TRUE,"VCI";"1997 IS-Cons",#N/A,TRUE,"Consolidated";"1998 IS-OHS",#N/A,TRUE,"OHS";"1998 IS-VCI",#N/A,TRUE,"VCI";"1998 IS-Cons",#N/A,TRUE,"Consolidated";"1999 IS-OHS",#N/A,TRUE,"OHS";"1999 IS-VCI",#N/A,TRUE,"VCI";"1999 IS-Cons",#N/A,TRUE,"Consolidated";"1996-99 BS-OHS",#N/A,TRUE,"OHS BS";"1996-99 BS-VCI",#N/A,TRUE,"VCI BS";"1996-99 BS-Cons",#N/A,TRUE,"Consolidated BS"}</definedName>
    <definedName name="wrn.Investment._.Summary.">{#N/A,#N/A,TRUE,"Summary";#N/A,#N/A,TRUE,"Financials";#N/A,#N/A,TRUE,"Assumptions";#N/A,#N/A,TRUE,"Pro Forma";#N/A,#N/A,TRUE,"Debt";#N/A,#N/A,TRUE,"Amortization";#N/A,#N/A,TRUE,"GG Returns"}</definedName>
    <definedName name="wrn.Investor._.Cash._.Flows.">{"CV_2",#N/A,TRUE,"Investor Cash Flows"}</definedName>
    <definedName name="wrn.IPO._.Valuation.">{"assumptions",#N/A,FALSE,"Scenario 1";"valuation",#N/A,FALSE,"Scenario 1"}</definedName>
    <definedName name="wrn.ipovalue.">{#N/A,#N/A,FALSE,"puboff";#N/A,#N/A,FALSE,"valuation";#N/A,#N/A,FALSE,"finanalsis";#N/A,#N/A,FALSE,"split";#N/A,#N/A,FALSE,"ownership"}</definedName>
    <definedName name="wrn.IQRCGMES.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SAnnualModel.">{"AnnModel",#N/A,FALSE,"IS"}</definedName>
    <definedName name="wrn.ISCG._.model.">{#N/A,#N/A,FALSE,"Second";#N/A,#N/A,FALSE,"ownership";#N/A,#N/A,FALSE,"Valuation";#N/A,#N/A,FALSE,"Eqiv";#N/A,#N/A,FALSE,"Mults";#N/A,#N/A,FALSE,"ISCG Graphics"}</definedName>
    <definedName name="wrn.ISQtrModel.">{"QtrModel",#N/A,FALSE,"IS"}</definedName>
    <definedName name="wrn.J97PLNS.XLS.">{#N/A,#N/A,FALSE,"J97plnfp"}</definedName>
    <definedName name="wrn.JANI._.REBATES.">{"TOTAL",#N/A,FALSE,"A";"FISCAL94",#N/A,FALSE,"A";"FISCAL95",#N/A,FALSE,"A";"FISCAL96",#N/A,FALSE,"A";"misc page",#N/A,FALSE,"A"}</definedName>
    <definedName name="wrn.Japan_Capers_Ed._.Pub.">{"Japan_Capers_Ed_Pub",#N/A,FALSE,"DI 2 YEAR MASTER SCHEDULE"}</definedName>
    <definedName name="wrn.jcbsum.">{#N/A,#N/A,FALSE,"Finstmts";#N/A,#N/A,FALSE,"Lost Revenue";#N/A,#N/A,FALSE,"Ratios"}</definedName>
    <definedName name="wrn.jerrys_copy.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OGO_CONSOLIDADO.">{#N/A,#N/A,TRUE,"Consolidado";#N/A,#N/A,TRUE,"Laticínios";#N/A,#N/A,TRUE,"Frangos";#N/A,#N/A,TRUE,"Suínos";#N/A,#N/A,TRUE,"Peru";#N/A,#N/A,TRUE,"Carnes";#N/A,#N/A,TRUE,"Suco";#N/A,#N/A,TRUE,"Batata"}</definedName>
    <definedName name="wrn.K3._.Annual.">{"K3Cash",#N/A,FALSE,"Ann";"K3Income",#N/A,FALSE,"Ann";"K3Educ",#N/A,FALSE,"Ann";"K3media",#N/A,FALSE,"Ann";"K3Info",#N/A,FALSE,"Ann";"K3Valuation",#N/A,FALSE,"Ann"}</definedName>
    <definedName name="wrn.K3._.Quarterly.">{"K3 first",#N/A,FALSE,"Qtr.";"K3 second",#N/A,FALSE,"Qtr.";"K3 Third",#N/A,FALSE,"Qtr.";"K3 Fourth",#N/A,FALSE,"Qtr.";"K3 Full",#N/A,FALSE,"Qtr."}</definedName>
    <definedName name="wrn.Komplettausdruck.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>{"kricash",#N/A,FALSE,"INC";"kriinc",#N/A,FALSE,"INC";"krimiami",#N/A,FALSE,"INC";"kriother",#N/A,FALSE,"INC";"kripapers",#N/A,FALSE,"INC"}</definedName>
    <definedName name="wrn.landscape._.template.">{#N/A,#N/A,FALSE,"Sheet1"}</definedName>
    <definedName name="wrn.LBO.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>{"LBO Summary",#N/A,FALSE,"Summary"}</definedName>
    <definedName name="wrn.LIFE._.INS.._.LOANS.">{#N/A,#N/A,FALSE,"TT-1 Officers' Life Insurance"}</definedName>
    <definedName name="wrn.LONG._.TERM._.DEBT.">{#N/A,#N/A,FALSE,"MM-1 Long Term Debt"}</definedName>
    <definedName name="wrn.LP._.Committee._.Book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m_cash.">{"cash_marc",#N/A,FALSE,"dec95cr.xls"}</definedName>
    <definedName name="wrn.main.">{#N/A,#N/A,FALSE,"Finstmts";#N/A,#N/A,FALSE,"O&amp;M and Cap";#N/A,#N/A,FALSE,"Fuel";#N/A,#N/A,FALSE,"Gen Dat";#N/A,#N/A,FALSE,"Lost Revenue";#N/A,#N/A,FALSE,"Ratios"}</definedName>
    <definedName name="wrn.Maine.">{"Assumptions",#N/A,TRUE,"Assumptions";"Income",#N/A,TRUE,"Income";"Balance",#N/A,TRUE,"Balance"}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_.Values.">{#N/A,#N/A,TRUE,"10 Yr Hold";#N/A,#N/A,TRUE,"7 Yr Hold";#N/A,#N/A,TRUE,"5 Yr Hold";#N/A,#N/A,TRUE,"3 Yr Hold"}</definedName>
    <definedName name="wrn.MARKETABLE._.SEC..">{#N/A,#N/A,FALSE,"B-1 Mkt. Sec. - Int.";#N/A,#N/A,FALSE,"B-2 Mkt. Sec. - Val.";#N/A,#N/A,FALSE,"B-3 Mkt. Sec. - Gain (Loss)"}</definedName>
    <definedName name="wrn.Massimo.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EDI.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moria97.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.">{#N/A,#N/A,FALSE,"IPO";#N/A,#N/A,FALSE,"DCF";#N/A,#N/A,FALSE,"LBO";#N/A,#N/A,FALSE,"MULT_VAL";#N/A,#N/A,FALSE,"Status Quo";#N/A,#N/A,FALSE,"Recap"}</definedName>
    <definedName name="wrn.MFGLBRBEN.">{"MFGLBRBEN",#N/A,FALSE,"SAMPLECC"}</definedName>
    <definedName name="wrn.mhpall.">{"mhpcash",#N/A,FALSE,"MHPNEWX";"mhpinc",#N/A,FALSE,"MHPNEWX";"mhptax",#N/A,FALSE,"MHPNEWX";"mhpbroad",#N/A,FALSE,"MHPNEWX";"mhpeduc",#N/A,FALSE,"MHPNEWX";"mhpfin",#N/A,FALSE,"MHPNEWX";"mhpinfo",#N/A,FALSE,"MHPNEWX"}</definedName>
    <definedName name="wrn.Miami.">{"Miami Actual Expense",#N/A,FALSE,"Miami97 Exp. - Actual";"Miami Projected Expense",#N/A,FALSE,"Miami97-98 Exp. - Projected";"Miami Forecast Expense",#N/A,FALSE,"Miami97 Exp. - Forecast";"Miami Profit and Loss",#N/A,FALSE,"Miami P&amp;L"}</definedName>
    <definedName name="wrn.mikes_copy.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nneapolis.">{"Minn Actual Expense",#N/A,FALSE,"Minn 97 Exp. - Actual";"Minn Projected Expense",#N/A,FALSE,"Minn 97-98 Exp. - Projected";"Minn Forecast Expense",#N/A,FALSE,"Minn 97 Exp. - Forecast";"Minn Profit and Loss",#N/A,FALSE,"Minn P&amp;L"}</definedName>
    <definedName name="wrn.model.">{"page1",#N/A,FALSE,"GIRLBO";"page2",#N/A,FALSE,"GIRLBO";"page3",#N/A,FALSE,"GIRLBO";"page4",#N/A,FALSE,"GIRLBO";"page5",#N/A,FALSE,"GIRLBO"}</definedName>
    <definedName name="wrn.Models.">{"cable_one",#N/A,FALSE,"cable 96-02";"cable_two",#N/A,FALSE,"cable 96-02";"Newrev_one",#N/A,FALSE,"New rev 97 - 02";"Newrev_two",#N/A,FALSE,"New rev 97 - 02"}</definedName>
    <definedName name="wrn.Month.">{#N/A,#N/A,FALSE,"Comp Balance";#N/A,#N/A,FALSE,"Sum Balance ";#N/A,#N/A,FALSE,"Balance Trend";#N/A,#N/A,FALSE,"Comp PL";#N/A,#N/A,FALSE,"PL";#N/A,#N/A,FALSE,"Sum PL";#N/A,#N/A,FALSE,"PL Trend";#N/A,#N/A,FALSE,"Change"}</definedName>
    <definedName name="wrn.Month._.end._.call.">{#N/A,#N/A,FALSE,"Bud Month-end Call";#N/A,#N/A,FALSE,"Bud vs Actual";#N/A,#N/A,FALSE,"FC3 Month-end Call";#N/A,#N/A,FALSE,"FC3 vs Actual"}</definedName>
    <definedName name="wrn.Month._.end._.report.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ly._.LE.">{"sku_equnits",#N/A,FALSE,"1997 &amp; PROD";"sku_nsr",#N/A,FALSE,"1997 &amp; PROD";"sku_units",#N/A,FALSE,"1997 &amp; PROD";"yag_eq",#N/A,FALSE,"YAGSUM";"yag_units",#N/A,FALSE,"YAGSUM";"yag_nsr",#N/A,FALSE,"YAGSUM";"SKUSUM_NSR",#N/A,FALSE,"1997 &amp; PROD";"SKUSUM_UNITS",#N/A,FALSE,"1997 &amp; PROD";"SKUSUM_EQ",#N/A,FALSE,"1997 &amp; PROD"}</definedName>
    <definedName name="wrn.Monthly._.MIFA._.Sheets.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s._.1999.">{"Monthly 1999 Stats",#N/A,FALSE,"Months";"Monthly 1999 IS",#N/A,FALSE,"Months"}</definedName>
    <definedName name="wrn.Months._.2000.">{"Monthly 2000 Stats",#N/A,FALSE,"Months";"Monthly 2000 IS",#N/A,FALSE,"Months"}</definedName>
    <definedName name="wrn.Months._.2001.">{"Monthly 2001 Stats",#N/A,FALSE,"Months";"Monthly 2001 IS",#N/A,FALSE,"Months"}</definedName>
    <definedName name="wrn.Months._.2002.">{"Monthly 2002 Stats",#N/A,FALSE,"Months";"Monthly 2002 IS",#N/A,FALSE,"Months"}</definedName>
    <definedName name="wrn.Months._.2003.">{"Monthly 2003 Stats",#N/A,FALSE,"Months";"Monthly 2003 IS",#N/A,FALSE,"Months"}</definedName>
    <definedName name="wrn.newest.">{#N/A,#N/A,TRUE,"TS";#N/A,#N/A,TRUE,"Combo";#N/A,#N/A,TRUE,"FAIR";#N/A,#N/A,TRUE,"RBC";#N/A,#N/A,TRUE,"xxxx"}</definedName>
    <definedName name="wrn.noc.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TES._.REC..">{#N/A,#N/A,FALSE,"H-1 Notes Receivable"}</definedName>
    <definedName name="wrn.ntfinance.">{"Rate",#N/A,TRUE,"SUMMARY";"Ratios",#N/A,TRUE,"Ratios";"BUDGETREVENUE",#N/A,TRUE,"Revenue";"TOTALS",#N/A,TRUE,"DETAIL"}</definedName>
    <definedName name="wrn.nytaann.">{"nytacash",#N/A,FALSE,"GLOBEINC";"nytainc",#N/A,FALSE,"GLOBEINC";"nytanyt",#N/A,FALSE,"GLOBEINC";"nytareg",#N/A,FALSE,"GLOBEINC";"nytaglobe",#N/A,FALSE,"GLOBEINC";"nytapprttl",#N/A,FALSE,"GLOBEINC"}</definedName>
    <definedName name="wrn.O._.and._.I._.Worksheet.">{#N/A,#N/A,FALSE,"O&amp;I Worksheet"}</definedName>
    <definedName name="wrn.on._.site._.assessment.">{#N/A,#N/A,TRUE,"Cover letter";#N/A,#N/A,TRUE,"Definitions";#N/A,#N/A,TRUE,"financial data";#N/A,#N/A,TRUE,"general data";#N/A,#N/A,TRUE,"order fulfillment"}</definedName>
    <definedName name="wrn.Oncology.">{#N/A,#N/A,FALSE,"Onco";#N/A,#N/A,FALSE,"Taxol";#N/A,#N/A,FALSE,"UFT";#N/A,#N/A,FALSE,"Carb"}</definedName>
    <definedName name="wrn.Opportunity._.Assessment.">{#N/A,#N/A,TRUE,"Summary";#N/A,#N/A,TRUE,"Assumptions";#N/A,#N/A,TRUE,"Comparison";#N/A,#N/A,TRUE,"Financials";#N/A,#N/A,TRUE,"Plan v. Act"}</definedName>
    <definedName name="wrn.OTC._.Market._.Report.">{#N/A,#N/A,FALSE,"Sales Graph";#N/A,#N/A,FALSE,"BUC Graph";#N/A,#N/A,FALSE,"P&amp;L - YTD"}</definedName>
    <definedName name="wrn.OTHER._.INCOME.">{#N/A,#N/A,FALSE,"0600-1 Other Income (Expense)"}</definedName>
    <definedName name="wrn.Other._.Pharm.">{#N/A,#N/A,FALSE,"Other";#N/A,#N/A,FALSE,"Ace";#N/A,#N/A,FALSE,"Derm"}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hd.">{#N/A,#N/A,FALSE,"OVHDSUM"}</definedName>
    <definedName name="wrn.ovhd1.">{#N/A,#N/A,FALSE,"OVHDSUM"}</definedName>
    <definedName name="wrn.p">{#N/A,#N/A,FALSE,"1";#N/A,#N/A,FALSE,"2";#N/A,#N/A,FALSE,"16 - 17";#N/A,#N/A,FALSE,"18 - 19";#N/A,#N/A,FALSE,"26";#N/A,#N/A,FALSE,"27";#N/A,#N/A,FALSE,"28"}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>{"PAGE 1",#N/A,FALSE,"WEST_OT"}</definedName>
    <definedName name="wrn.PAGE._.2.">{"PAGE 2",#N/A,FALSE,"WEST_OT"}</definedName>
    <definedName name="wrn.PAGE._.3.">{"PAGE 2",#N/A,FALSE,"WEST_OT"}</definedName>
    <definedName name="wrn.Pages._.for._.Distribution.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aging._.Compco.">{"financials",#N/A,TRUE,"6_30_96";"footnotes",#N/A,TRUE,"6_30_96";"valuation",#N/A,TRUE,"6_30_96"}</definedName>
    <definedName name="wrn.Partner._.Expenses.">{"Partner Actual Exp",#N/A,FALSE,"Partners97 Exp. - Actual";"Partner Projected Exp",#N/A,FALSE,"Partners97-98 Exp. - Projected";"Partners Forecast Exp",#N/A,FALSE,"Partners97 Exp. - Forecast"}</definedName>
    <definedName name="wrn.Period._.1._.Financial._.Statements.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>{"Period 9 Income Statements",#N/A,FALSE,"Income Statement";"Period 9 Balance Sheets",#N/A,FALSE,"Balance Sheet";"Period 9 Cashflow Statements",#N/A,FALSE,"Cashflow Statement";"Period 9 Financial Ratios",#N/A,FALSE,"Financial Ratios"}</definedName>
    <definedName name="wrn.Pharm._.Market._.Report.">{#N/A,#N/A,FALSE,"Sales Graph";#N/A,#N/A,FALSE,"PSBM";#N/A,#N/A,FALSE,"BUC Graph";#N/A,#N/A,FALSE,"P&amp;L - YTD"}</definedName>
    <definedName name="wrn.Pharmaceuticals.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>{"20 Years",#N/A,FALSE,"P&amp;Ls";"2001",#N/A,FALSE,"P&amp;Ls"}</definedName>
    <definedName name="wrn.Plan._.Sheets.">{#N/A,#N/A,TRUE,"95 Consolidated Forecast";#N/A,#N/A,TRUE,"95 Consolidated Frcst per Gal";#N/A,#N/A,TRUE,"96 Consolidated Plan";#N/A,#N/A,TRUE,"96 Consolidated per Gallon"}</definedName>
    <definedName name="wrn.PLFORECAST.">{"CY",#N/A,FALSE,"FORECAST";"PAYROLL",#N/A,FALSE,"FORECAST";"REC",#N/A,FALSE,"FORECAST";"SALES",#N/A,FALSE,"FORECAST"}</definedName>
    <definedName name="wrn.PnL.">{"qearn",#N/A,FALSE,"Qearn";"qearn2",#N/A,FALSE,"Qearn";"qmargin",#N/A,FALSE,"Qearn"}</definedName>
    <definedName name="wrn.POST.">{#N/A,#N/A,FALSE,"Memo Page";#N/A,#N/A,FALSE,"Flash";#N/A,#N/A,FALSE,"Sls vs Mkt";#N/A,#N/A,FALSE,"YTD";#N/A,#N/A,FALSE,"Brand Detail";#N/A,#N/A,FALSE,"QTR_Index"}</definedName>
    <definedName name="wrn.ppp">{#N/A,#N/A,FALSE,"1";#N/A,#N/A,FALSE,"2";#N/A,#N/A,FALSE,"16 - 17";#N/A,#N/A,FALSE,"18 - 19";#N/A,#N/A,FALSE,"26";#N/A,#N/A,FALSE,"27";#N/A,#N/A,FALSE,"28"}</definedName>
    <definedName name="wrn.PRBFinancials.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.">{#N/A,#N/A,FALSE,"Summary";#N/A,#N/A,FALSE,"Flash";#N/A,#N/A,FALSE,"Sls vs Mkt";#N/A,#N/A,FALSE,"YTD";#N/A,#N/A,FALSE,"Brand Detail";#N/A,#N/A,FALSE,"QTR_Index";#N/A,#N/A,FALSE,"VOP Impact"}</definedName>
    <definedName name="wrn.PREPAIDS.">{#N/A,#N/A,FALSE,"G-1 Prepaid Expenses-Other";#N/A,#N/A,FALSE,"G-2 Prepaid Property Taxes";#N/A,#N/A,FALSE,"G-3 Prepaid Insurance "}</definedName>
    <definedName name="wrn.PRES_OUT.">{"page1",#N/A,FALSE,"PRESENTATION";"page2",#N/A,FALSE,"PRESENTATION";#N/A,#N/A,FALSE,"Valuation Summary"}</definedName>
    <definedName name="wrn.PRES_OUT2">{"page1",#N/A,FALSE,"PRESENTATION";"page2",#N/A,FALSE,"PRESENTATION";#N/A,#N/A,FALSE,"Valuation Summary"}</definedName>
    <definedName name="wrn.Pres_OUT3">{"page1",#N/A,FALSE,"PRESENTATION";"page2",#N/A,FALSE,"PRESENTATION";#N/A,#N/A,FALSE,"Valuation Summary"}</definedName>
    <definedName name="wrn.PRES_OUT4">{"page1",#N/A,FALSE,"PRESENTATION";"page2",#N/A,FALSE,"PRESENTATION";#N/A,#N/A,FALSE,"Valuation Summary"}</definedName>
    <definedName name="wrn.PRES_OUT5">{"page1",#N/A,FALSE,"PRESENTATION";"page2",#N/A,FALSE,"PRESENTATION";#N/A,#N/A,FALSE,"Valuation Summary"}</definedName>
    <definedName name="wrn.PRES_OUT6">{"page1",#N/A,FALSE,"PRESENTATION";"page2",#N/A,FALSE,"PRESENTATION";#N/A,#N/A,FALSE,"Valuation Summary"}</definedName>
    <definedName name="wrn.PRES_OUT8">{"page1",#N/A,FALSE,"PRESENTATION";"page2",#N/A,FALSE,"PRESENTATION";#N/A,#N/A,FALSE,"Valuation Summary"}</definedName>
    <definedName name="wrn.prin2._.all.">{#N/A,#N/A,FALSE,"Pharm";#N/A,#N/A,FALSE,"WWCM"}</definedName>
    <definedName name="wrn.prin3">{#N/A,#N/A,FALSE,"Pharm";#N/A,#N/A,FALSE,"WWCM"}</definedName>
    <definedName name="wrn.print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>{#N/A,#N/A,FALSE,"SUMMARY";#N/A,#N/A,FALSE,"ITI";#N/A,#N/A,FALSE,"Rostra";#N/A,#N/A,FALSE,"Lavelle";#N/A,#N/A,FALSE,"Eagle";#N/A,#N/A,FALSE,"Baird";#N/A,#N/A,FALSE,"Ass";#N/A,#N/A,FALSE,"Golden";#N/A,#N/A,FALSE,"Struck";#N/A,#N/A,FALSE,"Wrights";#N/A,#N/A,FALSE,"TEKRA";#N/A,#N/A,FALSE,"Kux";#N/A,#N/A,FALSE,"SPI";#N/A,#N/A,FALSE,"Midwest"}</definedName>
    <definedName name="wrn.Print._.4.">{"Outflow 1",#N/A,FALSE,"Outflows-Inflows";"Outflow 2",#N/A,FALSE,"Outflows-Inflows";"Inflow 1",#N/A,FALSE,"Outflows-Inflows";"Inflow 2",#N/A,FALSE,"Outflows-Inflows"}</definedName>
    <definedName name="wrn.Print._.4._1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6._1">{"print 1.6",#N/A,FALSE,"Sheet1";"print 2.6",#N/A,FALSE,"Sheet1";"print 3.6",#N/A,FALSE,"Sheet1";"print 4.6",#N/A,FALSE,"Sheet1";"print 5.6",#N/A,FALSE,"Sheet1";"print 6.6",#N/A,FALSE,"Sheet1"}</definedName>
    <definedName name="wrn.PRINT._.ALL.">{#N/A,#N/A,FALSE,"Pharm";#N/A,#N/A,FALSE,"WWCM"}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>{"summary",#N/A,FALSE,"Valuation Analysis";"assumptions1",#N/A,FALSE,"Valuation Analysis";"assumptions2",#N/A,FALSE,"Valuation Analysis"}</definedName>
    <definedName name="wrn.PRINT._.ALL.2">{#N/A,#N/A,FALSE,"Pharm";#N/A,#N/A,FALSE,"WWCM"}</definedName>
    <definedName name="wrn.print._.all2">{#N/A,#N/A,FALSE,"Pharm";#N/A,#N/A,FALSE,"WWCM"}</definedName>
    <definedName name="wrn.Print._.Disk.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ocuments.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NC._.CONS._.TOTALS.">{"DONC CONS RPT",#N/A,TRUE,"Doncaster"}</definedName>
    <definedName name="wrn.print._.graphs.">{"cap_structure",#N/A,FALSE,"Graph-Mkt Cap";"price",#N/A,FALSE,"Graph-Price";"ebit",#N/A,FALSE,"Graph-EBITDA";"ebitda",#N/A,FALSE,"Graph-EBITDA"}</definedName>
    <definedName name="wrn.print._.graphs._1">{"cap_structure",#N/A,FALSE,"Graph-Mkt Cap";"price",#N/A,FALSE,"Graph-Price";"ebit",#N/A,FALSE,"Graph-EBITDA";"ebitda",#N/A,FALSE,"Graph-EBITDA"}</definedName>
    <definedName name="wrn.Print._.It.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raw._.data._.entry.">{"inputs raw data",#N/A,TRUE,"INPUT"}</definedName>
    <definedName name="wrn.print._.raw._.data._.entry._1">{"inputs raw data",#N/A,TRUE,"INPUT"}</definedName>
    <definedName name="wrn.print._.standalone.">{"standalone1",#N/A,FALSE,"DCFBase";"standalone2",#N/A,FALSE,"DCFBase"}</definedName>
    <definedName name="wrn.print._.summary._.sheets.">{"summary1",#N/A,TRUE,"Comps";"summary2",#N/A,TRUE,"Comps";"summary3",#N/A,TRUE,"Comps"}</definedName>
    <definedName name="wrn.print._.summary._.sheets._1">{"summary1",#N/A,TRUE,"Comps";"summary2",#N/A,TRUE,"Comps";"summary3",#N/A,TRUE,"Comps"}</definedName>
    <definedName name="wrn.print._all1.">{#N/A,#N/A,FALSE,"Pharm";#N/A,#N/A,FALSE,"WWCM"}</definedName>
    <definedName name="wrn.PRINT_ALL.">{"SUMMARY",#N/A,FALSE,"DEALSUM";"ASSUMPS",#N/A,FALSE,"DEALSUM"}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Earnings_template.">{"by_month",#N/A,TRUE,"template";"destec_month",#N/A,TRUE,"template";"by_quarter",#N/A,TRUE,"template";"destec_quarter",#N/A,TRUE,"template";"by_year",#N/A,TRUE,"template";"destec_annual",#N/A,TRUE,"template"}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>{"var_page",#N/A,FALSE,"template"}</definedName>
    <definedName name="wrn.print2">{#N/A,#N/A,FALSE,"Pharm";#N/A,#N/A,FALSE,"WWCM"}</definedName>
    <definedName name="wrn.PRINT2.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>{#N/A,#N/A,FALSE,"Op-BS";#N/A,#N/A,FALSE,"Assum";#N/A,#N/A,FALSE,"IS";#N/A,#N/A,FALSE,"Syn+Elim";#N/A,#N/A,FALSE,"BSCF";#N/A,#N/A,FALSE,"Blue_IS";#N/A,#N/A,FALSE,"Blue_BSCF";#N/A,#N/A,FALSE,"Ratings"}</definedName>
    <definedName name="wrn.printall.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financialsmth.">{"incomemth",#N/A,TRUE,"forecast00";"incomepercentmth",#N/A,TRUE,"forecast00";"balancemth",#N/A,TRUE,"forecast00";"cashmth",#N/A,TRUE,"forecast00";"covenantmth",#N/A,TRUE,"forecast00"}</definedName>
    <definedName name="wrn.printout.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qtr.">{"nytasecond",#N/A,FALSE,"NYTQTRS";"nytafirst",#N/A,FALSE,"NYTQTRS";"nytathird",#N/A,FALSE,"NYTQTRS";"nytafourth",#N/A,FALSE,"NYTQTRS";"nytafull",#N/A,FALSE,"NYTQTRS"}</definedName>
    <definedName name="wrn.PRINTREP.">{"PRINTREP",#N/A,FALSE,"Sheet1"}</definedName>
    <definedName name="wrn.Priority._.list.">{#N/A,#N/A,FALSE,"DI 2 YEAR MASTER SCHEDULE"}</definedName>
    <definedName name="wrn.Prjcted._.Mnthly._.Qtys.">{#N/A,#N/A,FALSE,"PRJCTED MNTHLY QTY's"}</definedName>
    <definedName name="wrn.Prjcted._.Qtrly._.Dollars.">{#N/A,#N/A,FALSE,"PRJCTED QTRLY $'s"}</definedName>
    <definedName name="wrn.Prjcted._.Qtrly._.Qtys.">{#N/A,#N/A,FALSE,"PRJCTED QTRLY QTY's"}</definedName>
    <definedName name="wrn.Pro._.Forma.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ducts">{#N/A,#N/A,FALSE,"1";#N/A,#N/A,FALSE,"2";#N/A,#N/A,FALSE,"16 - 17";#N/A,#N/A,FALSE,"18 - 19";#N/A,#N/A,FALSE,"26";#N/A,#N/A,FALSE,"27";#N/A,#N/A,FALSE,"28"}</definedName>
    <definedName name="wrn.Products.">{#N/A,#N/A,FALSE,"1";#N/A,#N/A,FALSE,"2";#N/A,#N/A,FALSE,"16 - 17";#N/A,#N/A,FALSE,"18 - 19";#N/A,#N/A,FALSE,"26";#N/A,#N/A,FALSE,"27";#N/A,#N/A,FALSE,"28"}</definedName>
    <definedName name="wrn.PROFIT_LOSS.">{"רווה_מסכם",#N/A,FALSE,"p&amp;l";"באור_תפעול",#N/A,FALSE,"operation";"באור_מופ",#N/A,FALSE,"R&amp;D";"באור_שיווק",#N/A,FALSE,"M&amp;S";"באור_הנהלה",#N/A,FALSE,"g&amp;a"}</definedName>
    <definedName name="wrn.Projection._.Inputs.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PERTY._.AND._.EQUIP..">{#N/A,#N/A,FALSE,"M-1 Property and Equipment";#N/A,#N/A,FALSE,"M-2 Asset Additions";#N/A,#N/A,FALSE,"M-3 Property Disposals"}</definedName>
    <definedName name="wrn.pror">{#N/A,#N/A,FALSE,"Pharm";#N/A,#N/A,FALSE,"WWCM"}</definedName>
    <definedName name="wrn.Pulp.">{"Pulp Production",#N/A,FALSE,"Pulp";"Pulp Earnings",#N/A,FALSE,"Pulp"}</definedName>
    <definedName name="wrn.Pulp.2">{"Pulp Production",#N/A,FALSE,"Pulp";"Pulp Earnings",#N/A,FALSE,"Pulp"}</definedName>
    <definedName name="wrn.Pulp.3">{"Pulp Production",#N/A,FALSE,"Pulp";"Pulp Earnings",#N/A,FALSE,"Pulp"}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Q3._.Prof._.Serv._.Summary.">{"Professional Service Summary",#N/A,FALSE,"Q3 Prof Serv"}</definedName>
    <definedName name="wrn.Q3._.Professional._.service._.detail.">{"Professional Service Detail",#N/A,FALSE,"Q3 Prof Serv"}</definedName>
    <definedName name="wrn.QLT._.Full._.Report.">{"revenue",#N/A,FALSE,"Visudyne JV";"qearn1",#N/A,FALSE,"Qearn";"qearn2",#N/A,FALSE,"Qearn";#N/A,#N/A,FALSE,"Qmargin";"cashflow",#N/A,FALSE,"Cashflow"}</definedName>
    <definedName name="wrn.Qtr._.3.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1.">{"QTR1PGIBS",#N/A,FALSE,"Qtr 1 PGI";"QTR1PGIPL",#N/A,FALSE,"Qtr 1 PGI";"QTR1PGICF",#N/A,FALSE,"Qtr 1 PGI";"QTR1BS",#N/A,FALSE,"Qtr 1 ";"QTR1PL",#N/A,FALSE,"Qtr 1 ";"QTR1CF",#N/A,FALSE,"Qtr 1 "}</definedName>
    <definedName name="wrn.Qtr2.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uarterly._.MIFA._.Sheets.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RECEIVABLES.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gions._.Bank.">{#N/A,#N/A,FALSE,"Cover_Page";#N/A,#N/A,FALSE,"Balance Sheet FY12";#N/A,#N/A,FALSE,"Consolidated-Cash Flow";#N/A,#N/A,FALSE,"CY_Per Inc FY12"}</definedName>
    <definedName name="wrn.Relevant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>{#N/A,#N/A,FALSE,"AD_Purch";#N/A,#N/A,FALSE,"Projections";#N/A,#N/A,FALSE,"DCF";#N/A,#N/A,FALSE,"Mkt Val"}</definedName>
    <definedName name="wrn.Remnant.">{#N/A,#N/A,FALSE,"DISTRIBUTION";#N/A,#N/A,FALSE,"1996 BRAND SUMMARY (2)";#N/A,#N/A,FALSE,"1995 BRAND SUMMARY"}</definedName>
    <definedName name="wrn.report.">{"pag1",#N/A,FALSE,"Sheet1";"pag2",#N/A,FALSE,"Sheet1";"pag3",#N/A,FALSE,"Sheet1";"pag4",#N/A,FALSE,"Sheet1"}</definedName>
    <definedName name="wrn.Report._.2.">{#N/A,#N/A,TRUE,"Pivots-Employee";#N/A,"Scenerio2",TRUE,"Assumptions Summary"}</definedName>
    <definedName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_PR_1.">{"PR1","pr1",TRUE,"Sch PR-1"}</definedName>
    <definedName name="wrn.Report1.">{#N/A,#N/A,FALSE,"IS";#N/A,#N/A,FALSE,"BS";#N/A,#N/A,FALSE,"CF";#N/A,#N/A,FALSE,"CE";#N/A,#N/A,FALSE,"Depr";#N/A,#N/A,FALSE,"APAL"}</definedName>
    <definedName name="wrn.Reports._.to._.EBITDARM.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SULTADO.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S.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VIEW.">{"REVIEW",#N/A,FALSE,"SAMPLECC"}</definedName>
    <definedName name="wrn.review._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Pack.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s.">{"Base_rev",#N/A,FALSE,"Proj_IS_Base";"Projrev",#N/A,FALSE,"Proj_IS_wOTLC";"Delta",#N/A,FALSE,"Delta Rev_PV"}</definedName>
    <definedName name="wrn.Riverwood_comp_model.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ALARIES.">{"SALARIES",#N/A,FALSE,"SAMPLECC"}</definedName>
    <definedName name="wrn.sales.">{"sales",#N/A,FALSE,"Sales";"sales existing",#N/A,FALSE,"Sales";"sales rd1",#N/A,FALSE,"Sales";"sales rd2",#N/A,FALSE,"Sales"}</definedName>
    <definedName name="wrn.sales._from_DBAB">{"sales",#N/A,FALSE,"Sales";"sales existing",#N/A,FALSE,"Sales";"sales rd1",#N/A,FALSE,"Sales";"sales rd2",#N/A,FALSE,"Sales"}</definedName>
    <definedName name="wrn.SalesMarginPages.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SCHED.">{"SALESSCHED",#N/A,FALSE,"SAMPLECC"}</definedName>
    <definedName name="wrn.sample.">{"sample",#N/A,FALSE,"Client Input Sheet"}</definedName>
    <definedName name="wrn.SANDSQUARTERLY.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cenario._.Summary.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>{"schedule1",#N/A,FALSE,"Sheet1";"schedule2",#N/A,FALSE,"Sheet1";"schedule3",#N/A,FALSE,"Sheet1";"schedule4",#N/A,FALSE,"Sheet1";"schedule5",#N/A,FALSE,"Sheet1";"schedule6",#N/A,FALSE,"Sheet1"}</definedName>
    <definedName name="wrn.Scripts.">{"ENBREL",#N/A,FALSE,"Sheet1";"RenaGel",#N/A,FALSE,"Sheet1";"HIV PI",#N/A,FALSE,"Sheet1";"MS",#N/A,FALSE,"Sheet1"}</definedName>
    <definedName name="wrn.SHORT.">{"CREDIT STATISTICS",#N/A,FALSE,"STATS";"CF_AND_IS",#N/A,FALSE,"PLAN";"BALSHEET",#N/A,FALSE,"BALANCE SHEET"}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name="wrn.sspall.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>{"FCB_ALL",#N/A,FALSE,"FCB";"GREY_ALL",#N/A,FALSE,"GREY"}</definedName>
    <definedName name="wrn.STOCKHOLDERS._.EQUITY.">{#N/A,#N/A,FALSE,"WW-1 Stockholders' Equity"}</definedName>
    <definedName name="wrn.sum.">{"Opsys",#N/A,FALSE,"NPV_OPsys";"NT",#N/A,FALSE,"NPV_NT";"DevP",#N/A,FALSE,"NPV_DevPdt";"Office",#N/A,FALSE,"NPV_Office"}</definedName>
    <definedName name="wrn.summaries.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2.">{#N/A,#N/A,TRUE,"Model"}</definedName>
    <definedName name="wrn.SummaryPgs.">{#N/A,#N/A,FALSE,"CreditStat";#N/A,#N/A,FALSE,"SPbrkup";#N/A,#N/A,FALSE,"MerSPsyn";#N/A,#N/A,FALSE,"MerSPwKCsyn";#N/A,#N/A,FALSE,"MerSPwKCsyn (2)";#N/A,#N/A,FALSE,"CreditStat (2)"}</definedName>
    <definedName name="wrn.t_cash.">{"cash_tes",#N/A,FALSE,"dec95cr.xls"}</definedName>
    <definedName name="wrn.Target.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>{"targetdcf",#N/A,FALSE,"Merger consequences";"TARGETASSU",#N/A,FALSE,"Merger consequences";"TERMINAL VALUE",#N/A,FALSE,"Merger consequences"}</definedName>
    <definedName name="wrn.TARGET._.DCF._from_DBAB">{"targetdcf",#N/A,FALSE,"Merger consequences";"TARGETASSU",#N/A,FALSE,"Merger consequences";"TERMINAL VALUE",#N/A,FALSE,"Merger consequences"}</definedName>
    <definedName name="wrn.Target._1">{"e_Target Assumptions",#N/A,FALSE,"Financials";"f_Target Income Statement",#N/A,FALSE,"Financials";"g_Target Balance Sheet",#N/A,FALSE,"Financials";"h_Target Cashflow Statement",#N/A,FALSE,"Financials"}</definedName>
    <definedName name="wrn.TargetLBO.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>{#N/A,#N/A,FALSE,"Tar-Ass";#N/A,#N/A,FALSE,"Tar-IS";#N/A,#N/A,FALSE,"Tar-BS";#N/A,#N/A,FALSE,"Tar-Adg BS";#N/A,#N/A,FALSE,"Tar-CF"}</definedName>
    <definedName name="wrn.TargetVal.">{#N/A,#N/A,TRUE,"Val - sum";#N/A,#N/A,TRUE,"Val - Sum1";#N/A,#N/A,TRUE,"Val - sum2";#N/A,#N/A,TRUE,"Val - Sum3";#N/A,#N/A,TRUE,"Tar-DCF";#N/A,#N/A,TRUE,"Tar-Val LBO";#N/A,#N/A,TRUE,"Tar-Mult Val"}</definedName>
    <definedName name="wrn.TAXATION.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st.">{#N/A,#N/A,FALSE,"Availability";#N/A,#N/A,FALSE,"Loan Stats";#N/A,#N/A,FALSE,"Clltrl Ln Smmry";#N/A,#N/A,FALSE,"AR Stats";#N/A,#N/A,FALSE,"AR Sum";#N/A,#N/A,FALSE,"Recs";#N/A,#N/A,FALSE,"Ship,CM Rev"}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>{"CSheet",#N/A,FALSE,"C";"SmCap",#N/A,FALSE,"VAL1";"GulfCoast",#N/A,FALSE,"VAL1";"nav",#N/A,FALSE,"NAV";"Summary",#N/A,FALSE,"NAV"}</definedName>
    <definedName name="wrn.three">{"EVA",#N/A,FALSE,"EVA";"WACC",#N/A,FALSE,"WACC"}</definedName>
    <definedName name="wrn.Tier._.1.">{#N/A,#N/A,TRUE,"segqtr"}</definedName>
    <definedName name="wrn.TMCALL.">{"tmccash",#N/A,FALSE,"INCX";"tmcinc",#N/A,FALSE,"INCX";"tmcpretx",#N/A,FALSE,"INCX";"tmcadrev",#N/A,FALSE,"INCX";"tmcbooks",#N/A,FALSE,"INCX"}</definedName>
    <definedName name="wrn.tobacco.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>{"income",#N/A,FALSE,"TOBACCO";"value",#N/A,FALSE,"TOBACCO";"assum1",#N/A,FALSE,"TOBACCO"}</definedName>
    <definedName name="wrn.TODO.">{#N/A,#N/A,FALSE,"RESUMEN";#N/A,#N/A,FALSE,"PARQ_C";#N/A,#N/A,FALSE,"PARQ_P";#N/A,#N/A,FALSE,"MIN_S_C";#N/A,#N/A,FALSE,"MIN_S_P";#N/A,#N/A,FALSE,"MIN_E_M_M";#N/A,#N/A,FALSE,"MIN_E_FIJA";#N/A,#N/A,FALSE,"SUPUESTOS"}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>{#N/A,#N/A,FALSE,"Sales Graph";#N/A,#N/A,FALSE,"BUC Graph";#N/A,#N/A,FALSE,"P&amp;L - YTD"}</definedName>
    <definedName name="wrn.total._.year.">{#N/A,#N/A,FALSE,"2003_Input - P&amp;L"}</definedName>
    <definedName name="wrn.total1.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ut._.Sauf._.BG.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e._.analysis.">{#N/A,#N/A,FALSE,"Volume Inputs";#N/A,#N/A,FALSE,"MCF";#N/A,#N/A,FALSE,"Detail Trade Calc.";#N/A,#N/A,FALSE,"Participation Rates";#N/A,#N/A,FALSE,"Galvin Rpt.";#N/A,#N/A,FALSE,"Glvn Rpt Brdg-96PLAN vs. 97";#N/A,#N/A,FALSE,"Glvn Rpt Brdg-96OL vs. 97";#N/A,#N/A,FALSE,"Branded Summary";#N/A,#N/A,FALSE,"Accrual Funds"}</definedName>
    <definedName name="wrn.TRADESHOWS.">{"TRADESHOWS",#N/A,FALSE,"SAMPLECC"}</definedName>
    <definedName name="wrn.TransPrcd_123.">{#N/A,#N/A,TRUE,"TransPrcd 1";#N/A,#N/A,TRUE,"TransPrcd 2";#N/A,#N/A,TRUE,"TransPrcd 3"}</definedName>
    <definedName name="wrn.trball.">{"trbcash",#N/A,FALSE,"INCPF";"trbinc",#N/A,FALSE,"INCPF";"trbchic",#N/A,FALSE,"INCPF";"trbadrev",#N/A,FALSE,"INCPF";"trbstns",#N/A,FALSE,"INCPF";"trbtvstns",#N/A,FALSE,"INCPF"}</definedName>
    <definedName name="wrn.Trended._.BS.">{"TrendLiab",#N/A,FALSE,"Balance Sheet";"TrendAssets",#N/A,FALSE,"Balance Sheet"}</definedName>
    <definedName name="wrn.Tweety.">{#N/A,#N/A,FALSE,"A&amp;E";#N/A,#N/A,FALSE,"HighTop";#N/A,#N/A,FALSE,"JG";#N/A,#N/A,FALSE,"RI";#N/A,#N/A,FALSE,"woHT";#N/A,#N/A,FALSE,"woHT&amp;JG"}</definedName>
    <definedName name="wrn.twofin.">{"bscompare",#N/A,FALSE,"Bal Sheet"}</definedName>
    <definedName name="wrn.Tycon._.Model.">{"rtn",#N/A,FALSE,"RTN";"tables",#N/A,FALSE,"RTN";"cf",#N/A,FALSE,"CF";"stats",#N/A,FALSE,"Stats";"prop",#N/A,FALSE,"Prop"}</definedName>
    <definedName name="wrn.Tycon._.Model._1">{"rtn",#N/A,FALSE,"RTN";"tables",#N/A,FALSE,"RTN";"cf",#N/A,FALSE,"CF";"stats",#N/A,FALSE,"Stats";"prop",#N/A,FALSE,"Prop"}</definedName>
    <definedName name="wrn.Typhoon.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pstairs.">{"histincome",#N/A,FALSE,"hyfins";"closing balance",#N/A,FALSE,"hyfins"}</definedName>
    <definedName name="wrn.US._.Bank.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VALUATION.">{#N/A,#N/A,FALSE,"Pooling";#N/A,#N/A,FALSE,"income";#N/A,#N/A,FALSE,"valuation"}</definedName>
    <definedName name="wrn.Variance._.REports.">{#N/A,#N/A,FALSE,"Summary";#N/A,#N/A,FALSE,"04E Summ";#N/A,#N/A,FALSE,"04Pvs03E Summ";#N/A,#N/A,FALSE,"03E Summ"}</definedName>
    <definedName name="wrn.VRTX.">{"Revenues",#N/A,FALSE,"Revenue";"qearn1",#N/A,FALSE,"Qearn";"qearn2",#N/A,FALSE,"Qearn";#N/A,#N/A,FALSE,"Qmargin";"cashflow",#N/A,FALSE,"Cashflow";"Product Pipeline",#N/A,FALSE,"Product Pipeline"}</definedName>
    <definedName name="wrn.Wacc.">{"Area1",#N/A,FALSE,"OREWACC";"Area2",#N/A,FALSE,"OREWACC"}</definedName>
    <definedName name="wrn.Warrant._.analysis.">{#N/A,#N/A,FALSE,"sum (2)";#N/A,#N/A,FALSE,"bs";#N/A,#N/A,FALSE,"is";#N/A,#N/A,FALSE,"cf";#N/A,#N/A,FALSE,"ltd";#N/A,#N/A,FALSE,"irr (2)"}</definedName>
    <definedName name="wrn.waternown._.budget.2004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stern._.Metal.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">{#N/A,#N/A,FALSE,"assumptions";#N/A,#N/A,FALSE,"contrib_annual";#N/A,#N/A,FALSE,"historic";#N/A,#N/A,FALSE,"Proforma";#N/A,#N/A,FALSE,"CALENDARIZED";#N/A,#N/A,FALSE,"Has_gets";#N/A,#N/A,FALSE,"DILUTION"}</definedName>
    <definedName name="wrn.wicor.">{#N/A,#N/A,FALSE,"FACTSHEETS";#N/A,#N/A,FALSE,"pump";#N/A,#N/A,FALSE,"filter"}</definedName>
    <definedName name="wrn.WK.">{#N/A,#N/A,FALSE,"PA";#N/A,#N/A,FALSE,"PA (2)";#N/A,#N/A,FALSE,"PA (3)"}</definedName>
    <definedName name="wrn.Workpapers.">{"Cash Flow Input - Legal",#N/A,FALSE,"Sep 98";"Net Income Adj - Legal",#N/A,FALSE,"Sep 98";"Working Cap Adj - Legal",#N/A,FALSE,"Sep 98";"Equity - Legal",#N/A,FALSE,"Sep 98"}</definedName>
    <definedName name="wrn.wpoall.">{"wpocash",#N/A,FALSE,"WPOALLT";"wpoinc",#N/A,FALSE,"WPOALLT";"wpoexcl",#N/A,FALSE,"WPOALLT";"wpocable",#N/A,FALSE,"WPOALLT";"wpobroad",#N/A,FALSE,"WPOALLT";"wpopost",#N/A,FALSE,"WPOALLT";"wponwsweek",#N/A,FALSE,"WPOALLT"}</definedName>
    <definedName name="wrn.xrates.">{#N/A,#N/A,FALSE,"1996";#N/A,#N/A,FALSE,"1995";#N/A,#N/A,FALSE,"1994"}</definedName>
    <definedName name="wrn.xx.">{"sarhist",#N/A,FALSE,"Sheet2";"sarhist",#N/A,FALSE,"Sheet2"}</definedName>
    <definedName name="wrn.z_ALL.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דוח_מרכז.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>{"הערות",#N/A,FALSE,"תקציב מול ביצוע (2)"}</definedName>
    <definedName name="wrn.השקעות.">{"השקעות",#N/A,FALSE,"investments";"מפעל חדש",#N/A,FALSE,"nf"}</definedName>
    <definedName name="wrn.טבלאות_עזר.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>{"מאזן",#N/A,FALSE,"מאזן בוחן"}</definedName>
    <definedName name="wrn.מאזן_בוחן_כללי.">{#N/A,#N/A,FALSE,"מאזן בוחן";"כל_מאזן_בוחן",#N/A,FALSE,"מאזן בוחן"}</definedName>
    <definedName name="wrn.מופ.">{"באור_מופ",#N/A,FALSE,"R&amp;D";"מופ_לפי_מוצרים",#N/A,FALSE,"R&amp;D"}</definedName>
    <definedName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>{"רווה",#N/A,FALSE,"מאזן בוחן"}</definedName>
    <definedName name="wrn.רווה_לפי_מוצרים.">{"ossix",#N/A,FALSE,"ossix";"דרמיקול",#N/A,FALSE,"dermicol";"reflux",#N/A,FALSE,"reflux";"מופ_לפי_מוצרים",#N/A,FALSE,"R&amp;D"}</definedName>
    <definedName name="wrn.שכר_כולל.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>{"תזרים",#N/A,FALSE,"cf"}</definedName>
    <definedName name="wrn_eva">{"EVA",#N/A,FALSE,"EVA";"WACC",#N/A,FALSE,"WACC"}</definedName>
    <definedName name="wrn1.all.">{"INCOME",#N/A,FALSE,"Metrocall";"VALUE",#N/A,FALSE,"Metrocall"}</definedName>
    <definedName name="wrn1.all.new">{"INCOME",#N/A,FALSE,"Metrocall";"VALUE",#N/A,FALSE,"Metrocall"}</definedName>
    <definedName name="wrn1.history">{#N/A,#N/A,FALSE,"model"}</definedName>
    <definedName name="wrn3.ALL.">{#N/A,#N/A,FALSE,"DCF";#N/A,#N/A,FALSE,"WACC";#N/A,#N/A,FALSE,"Sales_EBIT";#N/A,#N/A,FALSE,"Capex_Depreciation";#N/A,#N/A,FALSE,"WC";#N/A,#N/A,FALSE,"Interest";#N/A,#N/A,FALSE,"Assumptions"}</definedName>
    <definedName name="wrn3.histroic">{#N/A,#N/A,FALSE,"model"}</definedName>
    <definedName name="wrna.prod">{#N/A,#N/A,FALSE,"1";#N/A,#N/A,FALSE,"2";#N/A,#N/A,FALSE,"16 - 17";#N/A,#N/A,FALSE,"18 - 19";#N/A,#N/A,FALSE,"26";#N/A,#N/A,FALSE,"27";#N/A,#N/A,FALSE,"28"}</definedName>
    <definedName name="wrnfy97">{#N/A,#N/A,FALSE,"FY97";#N/A,#N/A,FALSE,"FY98";#N/A,#N/A,FALSE,"FY99";#N/A,#N/A,FALSE,"FY00";#N/A,#N/A,FALSE,"FY01"}</definedName>
    <definedName name="WRR">{#N/A,#N/A,FALSE,"Pharm";#N/A,#N/A,FALSE,"WWCM"}</definedName>
    <definedName name="wrrrrr">{#N/A,#N/A,FALSE,"REPORT"}</definedName>
    <definedName name="wt">{#N/A,#N/A,FALSE,"FY97";#N/A,#N/A,FALSE,"FY98";#N/A,#N/A,FALSE,"FY99";#N/A,#N/A,FALSE,"FY00";#N/A,#N/A,FALSE,"FY01"}</definedName>
    <definedName name="WTWEWETWETWETWET">#REF!</definedName>
    <definedName name="wv">{#N/A,#N/A,FALSE,"Pharm";#N/A,#N/A,FALSE,"WWCM"}</definedName>
    <definedName name="wvu.ALL.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CapersView.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>{#N/A,#N/A,FALSE,"INPUTS";#N/A,#N/A,FALSE,"PROFORMA BSHEET";#N/A,#N/A,FALSE,"COMBINED";#N/A,#N/A,FALSE,"ACQUIROR";#N/A,#N/A,FALSE,"TARGET 1";#N/A,#N/A,FALSE,"TARGET 2";#N/A,#N/A,FALSE,"HIGH YIELD";#N/A,#N/A,FALSE,"OVERFUND"}</definedName>
    <definedName name="ww.Rel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>{#N/A,#N/A,FALSE,"Est97";#N/A,#N/A,FALSE,"Plan98";#N/A,#N/A,FALSE,"Graphs";#N/A,#N/A,FALSE,"5Yr"}</definedName>
    <definedName name="wx">{#N/A,#N/A,FALSE,"Pharm";#N/A,#N/A,FALSE,"WWCM"}</definedName>
    <definedName name="x">{#N/A,#N/A,FALSE,"FY97";#N/A,#N/A,FALSE,"FY98";#N/A,#N/A,FALSE,"FY99";#N/A,#N/A,FALSE,"FY00";#N/A,#N/A,FALSE,"FY01"}</definedName>
    <definedName name="XAxisIncr">#REF!</definedName>
    <definedName name="xcv">{#N/A,#N/A,FALSE,"Pharm";#N/A,#N/A,FALSE,"WWCM"}</definedName>
    <definedName name="XFDG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NN">#REF!</definedName>
    <definedName name="XREF_COLUMN_1">#REF!</definedName>
    <definedName name="XREF_COLUMN_13">#REF!</definedName>
    <definedName name="XREF_COLUMN_14">#REF!</definedName>
    <definedName name="XREF_COLUMN_15">#REF!</definedName>
    <definedName name="XREF_COLUMN_19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ActiveRow">#REF!</definedName>
    <definedName name="XRefColumnsCount">4</definedName>
    <definedName name="XRefCopy10Row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Row">#REF!</definedName>
    <definedName name="XRefCopy15Row">#REF!</definedName>
    <definedName name="XRefCopy16Row">#REF!</definedName>
    <definedName name="XRefCopy17Row">#REF!</definedName>
    <definedName name="XRefCopy1Row">#REF!</definedName>
    <definedName name="XRefCopy2">#REF!</definedName>
    <definedName name="XRefCopy27">#REF!</definedName>
    <definedName name="XRefCopy2Row">#REF!</definedName>
    <definedName name="XRefCopy3Row">#REF!</definedName>
    <definedName name="XRefCopy4">#REF!</definedName>
    <definedName name="XRefCopy7">#REF!</definedName>
    <definedName name="XRefCopy8">#REF!</definedName>
    <definedName name="XRefCopy9">#REF!</definedName>
    <definedName name="XRefCopy9Row">#REF!</definedName>
    <definedName name="XRefCopyRangeCount">8</definedName>
    <definedName name="XRefPaste1">#REF!</definedName>
    <definedName name="XRefPaste10Row">#REF!</definedName>
    <definedName name="XRefPaste11Row">#REF!</definedName>
    <definedName name="XRefPaste12Row">#REF!</definedName>
    <definedName name="XRefPaste13Row">#REF!</definedName>
    <definedName name="XRefPaste14Row">#REF!</definedName>
    <definedName name="XRefPaste15Row">#REF!</definedName>
    <definedName name="XRefPaste16Row">#REF!</definedName>
    <definedName name="XRefPaste17Row">#REF!</definedName>
    <definedName name="XRefPaste18Row">#REF!</definedName>
    <definedName name="XRefPaste19Row">#REF!</definedName>
    <definedName name="XRefPaste1Row">#REF!</definedName>
    <definedName name="XRefPaste2">#REF!</definedName>
    <definedName name="XRefPaste21Row">#REF!</definedName>
    <definedName name="XRefPaste22">#REF!</definedName>
    <definedName name="XRefPaste23Row">#REF!</definedName>
    <definedName name="XRefPaste25Row">#REF!</definedName>
    <definedName name="XRefPaste26Row">#REF!</definedName>
    <definedName name="XRefPaste27Row">#REF!</definedName>
    <definedName name="XRefPaste28Row">#REF!</definedName>
    <definedName name="XRefPaste29Row">#REF!</definedName>
    <definedName name="XRefPaste30Row">#REF!</definedName>
    <definedName name="XRefPaste31Row">#REF!</definedName>
    <definedName name="XRefPaste32Row">#REF!</definedName>
    <definedName name="XRefPaste33Row">#REF!</definedName>
    <definedName name="XRefPaste34Row">#REF!</definedName>
    <definedName name="XRefPaste35Row">#REF!</definedName>
    <definedName name="XRefPaste5">#REF!</definedName>
    <definedName name="XRefPaste5Row">#REF!</definedName>
    <definedName name="XRefPaste6">#REF!</definedName>
    <definedName name="XRefPaste6Row">#REF!</definedName>
    <definedName name="XRefPaste7Row">#REF!</definedName>
    <definedName name="XRefPaste8Row">#REF!</definedName>
    <definedName name="XRefPaste9Row">#REF!</definedName>
    <definedName name="XRefPasteRangeCount">2</definedName>
    <definedName name="xx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xxx">{"PAGE 1",#N/A,FALSE,"WEST_OT"}</definedName>
    <definedName name="xxxx">{"PAGE 1",#N/A,FALSE,"WEST_OT"}</definedName>
    <definedName name="xxxxx">{#N/A,#N/A,FALSE,"Calc";#N/A,#N/A,FALSE,"Sensitivity";#N/A,#N/A,FALSE,"LT Earn.Dil.";#N/A,#N/A,FALSE,"Dil. AVP"}</definedName>
    <definedName name="xxxxxxxx">{"var_page",#N/A,FALSE,"template"}</definedName>
    <definedName name="XXXXXXXXXX">#REF!</definedName>
    <definedName name="xyz">{#N/A,#N/A,FALSE,"OVHDSUM"}</definedName>
    <definedName name="xz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">#REF!</definedName>
    <definedName name="y">{#N/A,#N/A,TRUE,"Cover letter";#N/A,#N/A,TRUE,"Definitions";#N/A,#N/A,TRUE,"financial data";#N/A,#N/A,TRUE,"general data"}</definedName>
    <definedName name="YAxisIncr">#REF!</definedName>
    <definedName name="YAxisMax">#REF!</definedName>
    <definedName name="YAxisMin">#REF!</definedName>
    <definedName name="YEAH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s">{"PAGE 1",#N/A,FALSE,"WEST_OT"}</definedName>
    <definedName name="ygjv">{"cap_structure",#N/A,FALSE,"Graph-Mkt Cap";"price",#N/A,FALSE,"Graph-Price";"ebit",#N/A,FALSE,"Graph-EBITDA";"ebitda",#N/A,FALSE,"Graph-EBITDA"}</definedName>
    <definedName name="yhn">{#N/A,#N/A,FALSE,"Model";#N/A,#N/A,FALSE,"Division"}</definedName>
    <definedName name="yjhg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ouh">{#N/A,#N/A,FALSE,"AD_Purchase";#N/A,#N/A,FALSE,"Credit";#N/A,#N/A,FALSE,"PF Acquisition";#N/A,#N/A,FALSE,"PF Offering"}</definedName>
    <definedName name="yrd">{"PAGE 1",#N/A,FALSE,"WEST_OT"}</definedName>
    <definedName name="ytd">#REF!</definedName>
    <definedName name="YTER">#REF!</definedName>
    <definedName name="YTRE">#REF!</definedName>
    <definedName name="YTRED">#REF!</definedName>
    <definedName name="yy">{"consolidated",#N/A,FALSE,"Sheet1";"cms",#N/A,FALSE,"Sheet1";"fse",#N/A,FALSE,"Sheet1"}</definedName>
    <definedName name="YYY">{#N/A,#N/A,FALSE,"Est97";#N/A,#N/A,FALSE,"Plan98";#N/A,#N/A,FALSE,"Graphs";#N/A,#N/A,FALSE,"5Yr"}</definedName>
    <definedName name="YYYYYYY">#REF!</definedName>
    <definedName name="YYYYYYYYY">#REF!</definedName>
    <definedName name="z">{"Budget V Actual YTD",#N/A,FALSE,"Budget v Actual"}</definedName>
    <definedName name="Z_6D32E220_B2B4_11D5_A6FB_00D0593767F7_.wvu.Rows">#REF!,#REF!,#REF!,#REF!,#REF!,#REF!,#REF!</definedName>
    <definedName name="Z_9118CF73_A0E0_408F_82FC_D7B84F445576_.wvu.Cols">#REF!</definedName>
    <definedName name="Z_9118CF73_A0E0_408F_82FC_D7B84F445576_.wvu.PrintArea">#REF!</definedName>
    <definedName name="Z_9118CF73_A0E0_408F_82FC_D7B84F445576_.wvu.Rows">#REF!,#REF!</definedName>
    <definedName name="Z_9A428CE1_B4D9_11D0_A8AA_0000C071AEE7_.wvu.Cols">#REF!,#REF!</definedName>
    <definedName name="Z_9A428CE1_B4D9_11D0_A8AA_0000C071AEE7_.wvu.PrintArea">#REF!</definedName>
    <definedName name="Z_9A428CE1_B4D9_11D0_A8AA_0000C071AEE7_.wvu.Rows">#REF!,#REF!,#REF!,#REF!,#REF!,#REF!,#REF!,#REF!</definedName>
    <definedName name="zaCQW">{"turnover",#N/A,FALSE;"profits",#N/A,FALSE;"cash",#N/A,FALSE}</definedName>
    <definedName name="zaq">{#N/A,#N/A,FALSE,"Calc";#N/A,#N/A,FALSE,"Sensitivity";#N/A,#N/A,FALSE,"LT Earn.Dil.";#N/A,#N/A,FALSE,"Dil. AVP"}</definedName>
    <definedName name="zer">{#N/A,#N/A,FALSE,"Calc";#N/A,#N/A,FALSE,"Sensitivity";#N/A,#N/A,FALSE,"LT Earn.Dil.";#N/A,#N/A,FALSE,"Dil. AVP"}</definedName>
    <definedName name="zfill">#REF!</definedName>
    <definedName name="zfzsf">{"page1",#N/A,FALSE,"BHCOMPC5";"page2",#N/A,FALSE,"BHCOMPC5";"page3",#N/A,FALSE,"BHCOMPC5";"page4",#N/A,FALSE,"BHCOMPC5"}</definedName>
    <definedName name="zhu">{#N/A,#N/A,FALSE,"REPORT"}</definedName>
    <definedName name="zhutr">{#N/A,#N/A,FALSE,"REPORT"}</definedName>
    <definedName name="ZKZK">#REF!</definedName>
    <definedName name="ZKZLL">#REF!</definedName>
    <definedName name="ZSZ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UKLTZLZL">#REF!</definedName>
    <definedName name="zx">#REF!</definedName>
    <definedName name="zxcv">#REF!</definedName>
    <definedName name="ZXX">#REF!</definedName>
    <definedName name="ZXZx">#REF!</definedName>
    <definedName name="zz">#REF!</definedName>
    <definedName name="zza4pg">{#N/A,#N/A,FALSE,"REPORT"}</definedName>
    <definedName name="zzee">{#N/A,#N/A,FALSE,"Pharm";#N/A,#N/A,FALSE,"WWCM"}</definedName>
    <definedName name="ZZZ">{#N/A,#N/A,FALSE,"Est97";#N/A,#N/A,FALSE,"Plan98";#N/A,#N/A,FALSE,"Graphs";#N/A,#N/A,FALSE,"5Yr"}</definedName>
    <definedName name="zzz.com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z">{#N/A,#N/A,FALSE,"REPORT"}</definedName>
    <definedName name="zzzzzz">{"var_page",#N/A,FALSE,"template"}</definedName>
    <definedName name="zzzzzzzzz">#REF!</definedName>
    <definedName name="zzzzzzzzzzz">#REF!</definedName>
    <definedName name="אאא">{#N/A,#N/A,FALSE,"מאזן בוחן";"כל_מאזן_בוחן",#N/A,FALSE,"מאזן בוחן"}</definedName>
    <definedName name="אאא1">{#N/A,#N/A,FALSE,"מאזן בוחן";"כל_מאזן_בוחן",#N/A,FALSE,"מאזן בוחן"}</definedName>
    <definedName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>{#N/A,#N/A,FALSE,"מאזן בוחן";"כל_מאזן_בוחן",#N/A,FALSE,"מאזן בוחן"}</definedName>
    <definedName name="מאזן_בוחן_כללי1">{#N/A,#N/A,FALSE,"מאזן בוחן";"כל_מאזן_בוחן",#N/A,FALSE,"מאזן בוחן"}</definedName>
    <definedName name="סעיפי_מאזן_בוחן_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고">{#N/A,#N/A,FALSE,"REPORT"}</definedName>
    <definedName name="ㄶㅇ노ㅗㄶ호">{#N/A,#N/A,FALSE,"REPORT"}</definedName>
    <definedName name="미애">{#N/A,#N/A,FALSE,"REPORT"}</definedName>
    <definedName name="BExGS09Y00R295FQF4OCD3UZVDBE" localSheetId="1">query_Standard #REF!</definedName>
    <definedName name="BExSBB5BB2NTOBYTX7MDBWRM5SBC" localSheetId="1">query_Standard #REF!</definedName>
    <definedName name="ChangeRange" localSheetId="1">#REF!</definedName>
    <definedName name="ContentsHelp" localSheetId="1">#REF!</definedName>
    <definedName name="CreateTable" localSheetId="1">#REF!</definedName>
    <definedName name="DeleteRange" localSheetId="1">#REF!</definedName>
    <definedName name="DeleteTable" localSheetId="1">#REF!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1">#REF!</definedName>
    <definedName name="NewRange" localSheetId="1">#REF!</definedName>
    <definedName name="RedefinePrintTableRange" localSheetId="1">#REF!</definedName>
    <definedName name="Sales" localSheetId="1">#REF!</definedName>
    <definedName name="BExGS09Y00R295FQF4OCD3UZVDBE" localSheetId="3">query_Standard #REF!</definedName>
    <definedName name="BExSBB5BB2NTOBYTX7MDBWRM5SBC" localSheetId="3">query_Standard #REF!</definedName>
    <definedName name="ChangeRange" localSheetId="3">#REF!</definedName>
    <definedName name="ContentsHelp" localSheetId="3">#REF!</definedName>
    <definedName name="CreateTable" localSheetId="3">#REF!</definedName>
    <definedName name="DeleteRange" localSheetId="3">#REF!</definedName>
    <definedName name="DeleteTable" localSheetId="3">#REF!</definedName>
    <definedName name="LOCAL_MYSQL_DATE_FORMAT" localSheetId="3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3">#REF!</definedName>
    <definedName name="NewRange" localSheetId="3">#REF!</definedName>
    <definedName name="RedefinePrintTableRange" localSheetId="3">#REF!</definedName>
    <definedName name="Sales" localSheetId="3">#REF!</definedName>
    <definedName name="BExGS09Y00R295FQF4OCD3UZVDBE" localSheetId="6">query_Standard #REF!</definedName>
    <definedName name="BExSBB5BB2NTOBYTX7MDBWRM5SBC" localSheetId="6">query_Standard #REF!</definedName>
    <definedName name="ChangeRange" localSheetId="6">#REF!</definedName>
    <definedName name="ContentsHelp" localSheetId="6">#REF!</definedName>
    <definedName name="CreateTable" localSheetId="6">#REF!</definedName>
    <definedName name="DeleteRange" localSheetId="6">#REF!</definedName>
    <definedName name="DeleteTable" localSheetId="6">#REF!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6">#REF!</definedName>
    <definedName name="NewRange" localSheetId="6">#REF!</definedName>
    <definedName name="RedefinePrintTableRange" localSheetId="6">#REF!</definedName>
    <definedName name="Sales" localSheetId="6">#REF!</definedName>
    <definedName name="BExGS09Y00R295FQF4OCD3UZVDBE" localSheetId="7">query_Standard #REF!</definedName>
    <definedName name="BExSBB5BB2NTOBYTX7MDBWRM5SBC" localSheetId="7">query_Standard #REF!</definedName>
    <definedName name="ChangeRange" localSheetId="7">#REF!</definedName>
    <definedName name="ContentsHelp" localSheetId="7">#REF!</definedName>
    <definedName name="CreateTable" localSheetId="7">#REF!</definedName>
    <definedName name="DeleteRange" localSheetId="7">#REF!</definedName>
    <definedName name="DeleteTable" localSheetId="7">#REF!</definedName>
    <definedName name="LOCAL_MYSQL_DATE_FORMAT" localSheetId="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7">#REF!</definedName>
    <definedName name="NewRange" localSheetId="7">#REF!</definedName>
    <definedName name="RedefinePrintTableRange" localSheetId="7">#REF!</definedName>
    <definedName name="Sales" localSheetId="7">#REF!</definedName>
    <definedName name="BExGS09Y00R295FQF4OCD3UZVDBE" localSheetId="8">query_Standard #REF!</definedName>
    <definedName name="BExSBB5BB2NTOBYTX7MDBWRM5SBC" localSheetId="8">query_Standard #REF!</definedName>
    <definedName name="ChangeRange" localSheetId="8">#REF!</definedName>
    <definedName name="ContentsHelp" localSheetId="8">#REF!</definedName>
    <definedName name="CreateTable" localSheetId="8">#REF!</definedName>
    <definedName name="DeleteRange" localSheetId="8">#REF!</definedName>
    <definedName name="DeleteTable" localSheetId="8">#REF!</definedName>
    <definedName name="LOCAL_MYSQL_DATE_FORMAT" localSheetId="8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8">#REF!</definedName>
    <definedName name="NewRange" localSheetId="8">#REF!</definedName>
    <definedName name="RedefinePrintTableRange" localSheetId="8">#REF!</definedName>
    <definedName name="Sales" localSheetId="8">#REF!</definedName>
    <definedName name="BExGS09Y00R295FQF4OCD3UZVDBE" localSheetId="10">query_Standard #REF!</definedName>
    <definedName name="BExSBB5BB2NTOBYTX7MDBWRM5SBC" localSheetId="10">query_Standard #REF!</definedName>
    <definedName name="ChangeRange" localSheetId="10">#REF!</definedName>
    <definedName name="ContentsHelp" localSheetId="10">#REF!</definedName>
    <definedName name="CreateTable" localSheetId="10">#REF!</definedName>
    <definedName name="DeleteRange" localSheetId="10">#REF!</definedName>
    <definedName name="DeleteTable" localSheetId="10">#REF!</definedName>
    <definedName name="LOCAL_MYSQL_DATE_FORMAT" localSheetId="1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10">#REF!</definedName>
    <definedName name="NewRange" localSheetId="10">#REF!</definedName>
    <definedName name="RedefinePrintTableRange" localSheetId="10">#REF!</definedName>
    <definedName name="Sales" localSheetId="10">#REF!</definedName>
    <definedName name="BExGS09Y00R295FQF4OCD3UZVDBE" localSheetId="11">query_Standard #REF!</definedName>
    <definedName name="BExSBB5BB2NTOBYTX7MDBWRM5SBC" localSheetId="11">query_Standard #REF!</definedName>
    <definedName name="ChangeRange" localSheetId="11">#REF!</definedName>
    <definedName name="ContentsHelp" localSheetId="11">#REF!</definedName>
    <definedName name="CreateTable" localSheetId="11">#REF!</definedName>
    <definedName name="DeleteRange" localSheetId="11">#REF!</definedName>
    <definedName name="DeleteTable" localSheetId="11">#REF!</definedName>
    <definedName name="LOCAL_MYSQL_DATE_FORMAT" localSheetId="1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11">#REF!</definedName>
    <definedName name="NewRange" localSheetId="11">#REF!</definedName>
    <definedName name="RedefinePrintTableRange" localSheetId="11">#REF!</definedName>
    <definedName name="Sales" localSheetId="11">#REF!</definedName>
    <definedName name="BExGS09Y00R295FQF4OCD3UZVDBE" localSheetId="12">query_Standard #REF!</definedName>
    <definedName name="BExSBB5BB2NTOBYTX7MDBWRM5SBC" localSheetId="12">query_Standard #REF!</definedName>
    <definedName name="ChangeRange" localSheetId="12">#REF!</definedName>
    <definedName name="ContentsHelp" localSheetId="12">#REF!</definedName>
    <definedName name="CreateTable" localSheetId="12">#REF!</definedName>
    <definedName name="DeleteRange" localSheetId="12">#REF!</definedName>
    <definedName name="DeleteTable" localSheetId="12">#REF!</definedName>
    <definedName name="LOCAL_MYSQL_DATE_FORMAT" localSheetId="12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12">#REF!</definedName>
    <definedName name="NewRange" localSheetId="12">#REF!</definedName>
    <definedName name="RedefinePrintTableRange" localSheetId="12">#REF!</definedName>
    <definedName name="Sales" localSheetId="12">#REF!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[$-409]mmm\-yy"/>
    <numFmt numFmtId="165" formatCode="_(#,##0.0_)_%;\(#,##0.0\)_%;_(&quot;–&quot;_)_%;_(@_)_%"/>
    <numFmt numFmtId="166" formatCode="_([$$]#,##0.0_)_%;\([$$]#,##0.0\)_%;_(&quot;–&quot;_)_%;_(@_)_%"/>
    <numFmt numFmtId="167" formatCode="_(#,##0%_);\(#,##0%\);_(&quot;–&quot;_)_%;_(@_)_%"/>
    <numFmt numFmtId="168" formatCode="_(#,##0_)_%;\(#,##0\)_%;_(&quot;–&quot;_)_%;_(@_)_%"/>
    <numFmt numFmtId="169" formatCode="_(#,##0.0%_);\(#,##0.0%\);_(&quot;–&quot;_)_%;_(@_)_%"/>
    <numFmt numFmtId="170" formatCode="_([$$]#,##0_)_%;\([$$]#,##0\)_%;_(&quot;–&quot;_)_%;_(@_)_%"/>
    <numFmt numFmtId="171" formatCode="[$$-380A]\ #,##0.00;\-[$$-380A]\ #,##0.00"/>
    <numFmt numFmtId="172" formatCode="_(#,##0.000%_);\(#,##0.000%\);_(&quot;–&quot;_)_%;_(@_)_%"/>
    <numFmt numFmtId="173" formatCode="0.0%"/>
    <numFmt numFmtId="174" formatCode="0&quot; months&quot;"/>
    <numFmt numFmtId="175" formatCode="[$$-380A]\ #,##0.0;\-[$$-380A]\ #,##0.0"/>
  </numFmts>
  <fonts count="33">
    <font>
      <name val="Calibri"/>
      <color theme="1"/>
      <sz val="11"/>
      <scheme val="minor"/>
    </font>
    <font>
      <name val="Calibri"/>
      <b val="1"/>
      <color theme="1"/>
      <sz val="18"/>
    </font>
    <font>
      <name val="Calibri"/>
      <color theme="1"/>
      <sz val="14"/>
    </font>
    <font>
      <name val="Calibri"/>
      <color theme="10"/>
      <sz val="11"/>
      <u val="single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color rgb="FF0000FF"/>
      <sz val="11"/>
    </font>
    <font>
      <name val="Arial"/>
      <color theme="1"/>
      <sz val="11"/>
    </font>
    <font>
      <name val="Arial"/>
      <b val="1"/>
      <color theme="0"/>
      <sz val="11"/>
    </font>
    <font>
      <name val="Arial"/>
      <b val="1"/>
      <color theme="1"/>
      <sz val="11"/>
    </font>
    <font>
      <name val="Arial"/>
      <i val="1"/>
      <color theme="0"/>
      <sz val="11"/>
    </font>
    <font>
      <name val="Arial"/>
      <b val="1"/>
      <color rgb="FF2683C6"/>
      <sz val="11"/>
    </font>
    <font>
      <name val="Arial"/>
      <i val="1"/>
      <color theme="1"/>
      <sz val="11"/>
    </font>
    <font>
      <name val="Arial"/>
      <i val="1"/>
      <color rgb="FFFF0000"/>
      <sz val="11"/>
    </font>
    <font>
      <name val="Calibri"/>
      <b val="1"/>
      <color theme="0"/>
      <sz val="14"/>
    </font>
    <font>
      <name val="Calibri"/>
      <color theme="0"/>
      <sz val="11"/>
    </font>
    <font>
      <name val="Calibri"/>
      <i val="1"/>
      <color theme="0"/>
      <sz val="11"/>
    </font>
    <font>
      <name val="Calibri"/>
      <i val="1"/>
      <color theme="1"/>
      <sz val="11"/>
    </font>
    <font>
      <name val="Calibri"/>
      <b val="1"/>
      <color theme="0"/>
      <sz val="11"/>
    </font>
    <font>
      <name val="Calibri"/>
      <sz val="11"/>
    </font>
    <font>
      <name val="Calibri"/>
      <b val="1"/>
      <i val="1"/>
      <color theme="1"/>
      <sz val="11"/>
    </font>
    <font>
      <name val="Calibri"/>
      <color theme="1"/>
      <sz val="11"/>
    </font>
    <font>
      <name val="Calibri"/>
      <color rgb="FF008000"/>
      <sz val="11"/>
    </font>
    <font>
      <name val="Calibri"/>
      <i val="1"/>
      <color rgb="FF00B050"/>
      <sz val="11"/>
    </font>
    <font>
      <name val="Calibri"/>
      <color rgb="FFD8D8D8"/>
      <sz val="11"/>
    </font>
    <font>
      <name val="Calibri"/>
      <color rgb="FFFF0000"/>
      <sz val="11"/>
    </font>
    <font>
      <name val="Calibri"/>
      <i val="1"/>
      <color rgb="FFFF0000"/>
      <sz val="11"/>
    </font>
    <font>
      <name val="Calibri"/>
      <color rgb="FF800080"/>
      <sz val="11"/>
    </font>
    <font>
      <name val="Calibri"/>
      <i val="1"/>
      <color rgb="FF0000FF"/>
      <sz val="11"/>
    </font>
    <font>
      <name val="Calibri"/>
      <b val="1"/>
      <color rgb="FFFF0000"/>
      <sz val="11"/>
    </font>
    <font>
      <name val="Calibri"/>
      <b val="1"/>
      <color theme="1"/>
      <sz val="11"/>
      <u val="single"/>
    </font>
    <font>
      <name val="Calibri"/>
      <b val="1"/>
      <color theme="1"/>
      <sz val="11"/>
      <vertAlign val="superscript"/>
    </font>
    <font>
      <name val="Calibri"/>
      <b val="1"/>
      <i val="1"/>
      <color theme="1"/>
      <sz val="11"/>
      <vertAlign val="superscript"/>
    </font>
  </fonts>
  <fills count="13">
    <fill>
      <patternFill/>
    </fill>
    <fill>
      <patternFill patternType="gray125"/>
    </fill>
    <fill>
      <patternFill patternType="solid">
        <fgColor rgb="FF2683C6"/>
        <bgColor rgb="FF2683C6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D6DCE4"/>
        <bgColor rgb="FFD6DCE4"/>
      </patternFill>
    </fill>
    <fill>
      <patternFill patternType="solid">
        <fgColor rgb="FF44546A"/>
        <bgColor rgb="FF44546A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7F7F7F"/>
        <bgColor rgb="FF7F7F7F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rgb="FFFFFFCC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dotted">
        <color rgb="FF2683C6"/>
      </left>
      <right style="dotted">
        <color rgb="FF2683C6"/>
      </right>
      <top style="dotted">
        <color rgb="FF2683C6"/>
      </top>
      <bottom/>
      <diagonal/>
    </border>
    <border>
      <left style="dotted">
        <color rgb="FF2683C6"/>
      </left>
      <right style="dotted">
        <color rgb="FF2683C6"/>
      </right>
      <top/>
      <bottom/>
      <diagonal/>
    </border>
    <border>
      <left style="dotted">
        <color rgb="FF2683C6"/>
      </left>
      <right style="dotted">
        <color rgb="FF2683C6"/>
      </right>
      <top/>
      <bottom/>
      <diagonal/>
    </border>
    <border>
      <left style="thin">
        <color rgb="FF2683C6"/>
      </left>
      <right/>
      <top style="thin">
        <color rgb="FF2683C6"/>
      </top>
      <bottom style="thin">
        <color rgb="FF2683C6"/>
      </bottom>
      <diagonal/>
    </border>
    <border>
      <left/>
      <right/>
      <top style="thin">
        <color rgb="FF2683C6"/>
      </top>
      <bottom style="thin">
        <color rgb="FF2683C6"/>
      </bottom>
      <diagonal/>
    </border>
    <border>
      <left style="dotted">
        <color rgb="FF2683C6"/>
      </left>
      <right style="dotted">
        <color rgb="FF2683C6"/>
      </right>
      <top style="thin">
        <color rgb="FF2683C6"/>
      </top>
      <bottom style="thin">
        <color rgb="FF2683C6"/>
      </bottom>
      <diagonal/>
    </border>
    <border>
      <left/>
      <right style="thin">
        <color rgb="FF2683C6"/>
      </right>
      <top style="thin">
        <color rgb="FF2683C6"/>
      </top>
      <bottom style="thin">
        <color rgb="FF2683C6"/>
      </bottom>
      <diagonal/>
    </border>
    <border>
      <left style="dotted">
        <color rgb="FF2683C6"/>
      </left>
      <right style="dotted">
        <color rgb="FF2683C6"/>
      </right>
      <top style="thin">
        <color rgb="FF2683C6"/>
      </top>
      <bottom style="dotted">
        <color rgb="FF2683C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</borders>
  <cellStyleXfs count="1">
    <xf numFmtId="0" fontId="5" fillId="0" borderId="12"/>
  </cellStyleXfs>
  <cellXfs count="1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14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2" borderId="1" pivotButton="0" quotePrefix="0" xfId="0"/>
    <xf numFmtId="164" fontId="8" fillId="2" borderId="1" applyAlignment="1" pivotButton="0" quotePrefix="0" xfId="0">
      <alignment horizontal="center"/>
    </xf>
    <xf numFmtId="0" fontId="9" fillId="3" borderId="2" applyAlignment="1" pivotButton="0" quotePrefix="0" xfId="0">
      <alignment horizontal="center" wrapText="1"/>
    </xf>
    <xf numFmtId="0" fontId="10" fillId="2" borderId="1" pivotButton="0" quotePrefix="0" xfId="0"/>
    <xf numFmtId="0" fontId="8" fillId="2" borderId="1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7" fillId="0" borderId="4" pivotButton="0" quotePrefix="0" xfId="0"/>
    <xf numFmtId="165" fontId="7" fillId="0" borderId="0" applyAlignment="1" pivotButton="0" quotePrefix="0" xfId="0">
      <alignment vertical="center"/>
    </xf>
    <xf numFmtId="165" fontId="7" fillId="0" borderId="4" pivotButton="0" quotePrefix="0" xfId="0"/>
    <xf numFmtId="0" fontId="11" fillId="0" borderId="5" applyAlignment="1" pivotButton="0" quotePrefix="0" xfId="0">
      <alignment vertical="center"/>
    </xf>
    <xf numFmtId="0" fontId="11" fillId="0" borderId="6" applyAlignment="1" pivotButton="0" quotePrefix="0" xfId="0">
      <alignment vertical="center"/>
    </xf>
    <xf numFmtId="166" fontId="11" fillId="0" borderId="6" applyAlignment="1" pivotButton="0" quotePrefix="0" xfId="0">
      <alignment vertical="center"/>
    </xf>
    <xf numFmtId="166" fontId="11" fillId="0" borderId="7" applyAlignment="1" pivotButton="0" quotePrefix="0" xfId="0">
      <alignment vertical="center"/>
    </xf>
    <xf numFmtId="166" fontId="11" fillId="0" borderId="8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7" fontId="12" fillId="0" borderId="0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7" fontId="12" fillId="0" borderId="4" applyAlignment="1" pivotButton="0" quotePrefix="0" xfId="0">
      <alignment vertical="center"/>
    </xf>
    <xf numFmtId="167" fontId="12" fillId="0" borderId="9" applyAlignment="1" pivotButton="0" quotePrefix="0" xfId="0">
      <alignment vertical="center"/>
    </xf>
    <xf numFmtId="0" fontId="13" fillId="0" borderId="0" pivotButton="0" quotePrefix="0" xfId="0"/>
    <xf numFmtId="168" fontId="13" fillId="0" borderId="0" pivotButton="0" quotePrefix="0" xfId="0"/>
    <xf numFmtId="0" fontId="14" fillId="4" borderId="1" pivotButton="0" quotePrefix="0" xfId="0"/>
    <xf numFmtId="0" fontId="15" fillId="4" borderId="1" pivotButton="0" quotePrefix="0" xfId="0"/>
    <xf numFmtId="0" fontId="16" fillId="4" borderId="1" pivotButton="0" quotePrefix="0" xfId="0"/>
    <xf numFmtId="0" fontId="17" fillId="3" borderId="1" pivotButton="0" quotePrefix="0" xfId="0"/>
    <xf numFmtId="0" fontId="4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4" fontId="20" fillId="0" borderId="0" applyAlignment="1" pivotButton="0" quotePrefix="0" xfId="0">
      <alignment horizontal="center"/>
    </xf>
    <xf numFmtId="164" fontId="20" fillId="3" borderId="1" applyAlignment="1" pivotButton="0" quotePrefix="0" xfId="0">
      <alignment horizontal="center"/>
    </xf>
    <xf numFmtId="164" fontId="20" fillId="5" borderId="1" applyAlignment="1" pivotButton="0" quotePrefix="0" xfId="0">
      <alignment horizontal="center"/>
    </xf>
    <xf numFmtId="0" fontId="20" fillId="0" borderId="0" pivotButton="0" quotePrefix="0" xfId="0"/>
    <xf numFmtId="169" fontId="21" fillId="0" borderId="0" pivotButton="0" quotePrefix="0" xfId="0"/>
    <xf numFmtId="170" fontId="21" fillId="0" borderId="0" pivotButton="0" quotePrefix="0" xfId="0"/>
    <xf numFmtId="170" fontId="6" fillId="0" borderId="0" pivotButton="0" quotePrefix="0" xfId="0"/>
    <xf numFmtId="170" fontId="22" fillId="0" borderId="0" pivotButton="0" quotePrefix="0" xfId="0"/>
    <xf numFmtId="170" fontId="21" fillId="3" borderId="1" pivotButton="0" quotePrefix="0" xfId="0"/>
    <xf numFmtId="0" fontId="21" fillId="0" borderId="13" pivotButton="0" quotePrefix="0" xfId="0"/>
    <xf numFmtId="170" fontId="21" fillId="0" borderId="13" pivotButton="0" quotePrefix="0" xfId="0"/>
    <xf numFmtId="170" fontId="21" fillId="3" borderId="14" pivotButton="0" quotePrefix="0" xfId="0"/>
    <xf numFmtId="169" fontId="21" fillId="0" borderId="13" pivotButton="0" quotePrefix="0" xfId="0"/>
    <xf numFmtId="171" fontId="21" fillId="0" borderId="0" pivotButton="0" quotePrefix="0" xfId="0"/>
    <xf numFmtId="169" fontId="23" fillId="0" borderId="0" pivotButton="0" quotePrefix="0" xfId="0"/>
    <xf numFmtId="0" fontId="21" fillId="0" borderId="15" pivotButton="0" quotePrefix="0" xfId="0"/>
    <xf numFmtId="170" fontId="21" fillId="0" borderId="15" pivotButton="0" quotePrefix="0" xfId="0"/>
    <xf numFmtId="169" fontId="21" fillId="0" borderId="15" pivotButton="0" quotePrefix="0" xfId="0"/>
    <xf numFmtId="172" fontId="21" fillId="0" borderId="0" pivotButton="0" quotePrefix="0" xfId="0"/>
    <xf numFmtId="0" fontId="21" fillId="8" borderId="1" pivotButton="0" quotePrefix="0" xfId="0"/>
    <xf numFmtId="0" fontId="4" fillId="9" borderId="16" pivotButton="0" quotePrefix="0" xfId="0"/>
    <xf numFmtId="170" fontId="4" fillId="9" borderId="16" pivotButton="0" quotePrefix="0" xfId="0"/>
    <xf numFmtId="170" fontId="4" fillId="0" borderId="0" pivotButton="0" quotePrefix="0" xfId="0"/>
    <xf numFmtId="169" fontId="4" fillId="9" borderId="16" pivotButton="0" quotePrefix="0" xfId="0"/>
    <xf numFmtId="173" fontId="21" fillId="0" borderId="0" pivotButton="0" quotePrefix="0" xfId="0"/>
    <xf numFmtId="0" fontId="17" fillId="0" borderId="0" pivotButton="0" quotePrefix="0" xfId="0"/>
    <xf numFmtId="0" fontId="18" fillId="10" borderId="1" pivotButton="0" quotePrefix="0" xfId="0"/>
    <xf numFmtId="0" fontId="24" fillId="0" borderId="0" pivotButton="0" quotePrefix="0" xfId="0"/>
    <xf numFmtId="170" fontId="25" fillId="0" borderId="0" pivotButton="0" quotePrefix="0" xfId="0"/>
    <xf numFmtId="0" fontId="4" fillId="0" borderId="13" pivotButton="0" quotePrefix="0" xfId="0"/>
    <xf numFmtId="170" fontId="4" fillId="0" borderId="13" pivotButton="0" quotePrefix="0" xfId="0"/>
    <xf numFmtId="0" fontId="26" fillId="0" borderId="0" pivotButton="0" quotePrefix="0" xfId="0"/>
    <xf numFmtId="170" fontId="26" fillId="0" borderId="0" pivotButton="0" quotePrefix="0" xfId="0"/>
    <xf numFmtId="0" fontId="21" fillId="11" borderId="17" pivotButton="0" quotePrefix="0" xfId="0"/>
    <xf numFmtId="0" fontId="21" fillId="11" borderId="14" pivotButton="0" quotePrefix="0" xfId="0"/>
    <xf numFmtId="170" fontId="21" fillId="11" borderId="14" pivotButton="0" quotePrefix="0" xfId="0"/>
    <xf numFmtId="170" fontId="21" fillId="11" borderId="18" pivotButton="0" quotePrefix="0" xfId="0"/>
    <xf numFmtId="0" fontId="21" fillId="11" borderId="19" pivotButton="0" quotePrefix="0" xfId="0"/>
    <xf numFmtId="0" fontId="21" fillId="11" borderId="1" pivotButton="0" quotePrefix="0" xfId="0"/>
    <xf numFmtId="170" fontId="21" fillId="11" borderId="1" pivotButton="0" quotePrefix="0" xfId="0"/>
    <xf numFmtId="170" fontId="21" fillId="11" borderId="20" pivotButton="0" quotePrefix="0" xfId="0"/>
    <xf numFmtId="0" fontId="21" fillId="11" borderId="21" pivotButton="0" quotePrefix="0" xfId="0"/>
    <xf numFmtId="0" fontId="21" fillId="11" borderId="16" pivotButton="0" quotePrefix="0" xfId="0"/>
    <xf numFmtId="0" fontId="21" fillId="11" borderId="22" pivotButton="0" quotePrefix="0" xfId="0"/>
    <xf numFmtId="170" fontId="21" fillId="11" borderId="16" pivotButton="0" quotePrefix="0" xfId="0"/>
    <xf numFmtId="170" fontId="21" fillId="11" borderId="23" pivotButton="0" quotePrefix="0" xfId="0"/>
    <xf numFmtId="0" fontId="21" fillId="3" borderId="17" pivotButton="0" quotePrefix="0" xfId="0"/>
    <xf numFmtId="0" fontId="21" fillId="3" borderId="14" pivotButton="0" quotePrefix="0" xfId="0"/>
    <xf numFmtId="169" fontId="21" fillId="3" borderId="14" pivotButton="0" quotePrefix="0" xfId="0"/>
    <xf numFmtId="169" fontId="21" fillId="3" borderId="18" pivotButton="0" quotePrefix="0" xfId="0"/>
    <xf numFmtId="0" fontId="21" fillId="3" borderId="24" pivotButton="0" quotePrefix="0" xfId="0"/>
    <xf numFmtId="0" fontId="21" fillId="3" borderId="22" pivotButton="0" quotePrefix="0" xfId="0"/>
    <xf numFmtId="169" fontId="21" fillId="3" borderId="22" pivotButton="0" quotePrefix="0" xfId="0"/>
    <xf numFmtId="169" fontId="21" fillId="3" borderId="25" pivotButton="0" quotePrefix="0" xfId="0"/>
    <xf numFmtId="0" fontId="20" fillId="3" borderId="1" pivotButton="0" quotePrefix="0" xfId="0"/>
    <xf numFmtId="0" fontId="21" fillId="3" borderId="1" pivotButton="0" quotePrefix="0" xfId="0"/>
    <xf numFmtId="168" fontId="21" fillId="3" borderId="1" pivotButton="0" quotePrefix="0" xfId="0"/>
    <xf numFmtId="165" fontId="22" fillId="0" borderId="0" pivotButton="0" quotePrefix="0" xfId="0"/>
    <xf numFmtId="170" fontId="27" fillId="0" borderId="15" pivotButton="0" quotePrefix="0" xfId="0"/>
    <xf numFmtId="169" fontId="17" fillId="0" borderId="0" pivotButton="0" quotePrefix="0" xfId="0"/>
    <xf numFmtId="169" fontId="28" fillId="0" borderId="0" pivotButton="0" quotePrefix="0" xfId="0"/>
    <xf numFmtId="170" fontId="6" fillId="3" borderId="1" pivotButton="0" quotePrefix="0" xfId="0"/>
    <xf numFmtId="0" fontId="29" fillId="0" borderId="0" pivotButton="0" quotePrefix="0" xfId="0"/>
    <xf numFmtId="170" fontId="29" fillId="0" borderId="0" pivotButton="0" quotePrefix="0" xfId="0"/>
    <xf numFmtId="169" fontId="22" fillId="0" borderId="0" pivotButton="0" quotePrefix="0" xfId="0"/>
    <xf numFmtId="168" fontId="21" fillId="0" borderId="0" pivotButton="0" quotePrefix="0" xfId="0"/>
    <xf numFmtId="165" fontId="22" fillId="3" borderId="1" pivotButton="0" quotePrefix="0" xfId="0"/>
    <xf numFmtId="170" fontId="22" fillId="3" borderId="1" pivotButton="0" quotePrefix="0" xfId="0"/>
    <xf numFmtId="170" fontId="27" fillId="0" borderId="13" pivotButton="0" quotePrefix="0" xfId="0"/>
    <xf numFmtId="168" fontId="26" fillId="0" borderId="0" pivotButton="0" quotePrefix="0" xfId="0"/>
    <xf numFmtId="169" fontId="26" fillId="0" borderId="0" pivotButton="0" quotePrefix="0" xfId="0"/>
    <xf numFmtId="170" fontId="21" fillId="3" borderId="16" pivotButton="0" quotePrefix="0" xfId="0"/>
    <xf numFmtId="170" fontId="6" fillId="0" borderId="15" pivotButton="0" quotePrefix="0" xfId="0"/>
    <xf numFmtId="170" fontId="22" fillId="0" borderId="15" pivotButton="0" quotePrefix="0" xfId="0"/>
    <xf numFmtId="170" fontId="27" fillId="0" borderId="0" pivotButton="0" quotePrefix="0" xfId="0"/>
    <xf numFmtId="170" fontId="6" fillId="0" borderId="13" pivotButton="0" quotePrefix="0" xfId="0"/>
    <xf numFmtId="169" fontId="25" fillId="0" borderId="0" pivotButton="0" quotePrefix="0" xfId="0"/>
    <xf numFmtId="0" fontId="21" fillId="3" borderId="16" pivotButton="0" quotePrefix="0" xfId="0"/>
    <xf numFmtId="170" fontId="17" fillId="0" borderId="0" pivotButton="0" quotePrefix="0" xfId="0"/>
    <xf numFmtId="168" fontId="25" fillId="0" borderId="0" pivotButton="0" quotePrefix="0" xfId="0"/>
    <xf numFmtId="0" fontId="4" fillId="5" borderId="1" pivotButton="0" quotePrefix="0" xfId="0"/>
    <xf numFmtId="0" fontId="4" fillId="3" borderId="1" pivotButton="0" quotePrefix="0" xfId="0"/>
    <xf numFmtId="0" fontId="2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  <xf numFmtId="168" fontId="6" fillId="0" borderId="0" pivotButton="0" quotePrefix="0" xfId="0"/>
    <xf numFmtId="168" fontId="22" fillId="0" borderId="0" pivotButton="0" quotePrefix="0" xfId="0"/>
    <xf numFmtId="168" fontId="21" fillId="0" borderId="13" pivotButton="0" quotePrefix="0" xfId="0"/>
    <xf numFmtId="170" fontId="6" fillId="0" borderId="26" pivotButton="0" quotePrefix="0" xfId="0"/>
    <xf numFmtId="0" fontId="15" fillId="0" borderId="0" pivotButton="0" quotePrefix="0" xfId="0"/>
    <xf numFmtId="0" fontId="21" fillId="0" borderId="27" pivotButton="0" quotePrefix="0" xfId="0"/>
    <xf numFmtId="174" fontId="6" fillId="12" borderId="18" applyAlignment="1" pivotButton="0" quotePrefix="0" xfId="0">
      <alignment horizontal="center"/>
    </xf>
    <xf numFmtId="0" fontId="21" fillId="0" borderId="28" pivotButton="0" quotePrefix="0" xfId="0"/>
    <xf numFmtId="174" fontId="6" fillId="12" borderId="20" applyAlignment="1" pivotButton="0" quotePrefix="0" xfId="0">
      <alignment horizontal="center"/>
    </xf>
    <xf numFmtId="0" fontId="21" fillId="0" borderId="29" pivotButton="0" quotePrefix="0" xfId="0"/>
    <xf numFmtId="174" fontId="6" fillId="12" borderId="25" applyAlignment="1" pivotButton="0" quotePrefix="0" xfId="0">
      <alignment horizontal="center"/>
    </xf>
    <xf numFmtId="164" fontId="21" fillId="0" borderId="0" applyAlignment="1" pivotButton="0" quotePrefix="0" xfId="0">
      <alignment horizontal="center"/>
    </xf>
    <xf numFmtId="165" fontId="21" fillId="0" borderId="0" pivotButton="0" quotePrefix="0" xfId="0"/>
    <xf numFmtId="169" fontId="22" fillId="3" borderId="1" pivotButton="0" quotePrefix="0" xfId="0"/>
    <xf numFmtId="169" fontId="6" fillId="12" borderId="30" applyAlignment="1" pivotButton="0" quotePrefix="0" xfId="0">
      <alignment horizontal="right"/>
    </xf>
    <xf numFmtId="168" fontId="6" fillId="12" borderId="30" applyAlignment="1" pivotButton="0" quotePrefix="0" xfId="0">
      <alignment horizontal="right"/>
    </xf>
    <xf numFmtId="170" fontId="6" fillId="12" borderId="30" applyAlignment="1" pivotButton="0" quotePrefix="0" xfId="0">
      <alignment horizontal="right"/>
    </xf>
    <xf numFmtId="175" fontId="21" fillId="0" borderId="0" pivotButton="0" quotePrefix="0" xfId="0"/>
    <xf numFmtId="0" fontId="30" fillId="0" borderId="0" applyAlignment="1" pivotButton="0" quotePrefix="0" xfId="0">
      <alignment horizontal="center"/>
    </xf>
    <xf numFmtId="169" fontId="6" fillId="0" borderId="0" pivotButton="0" quotePrefix="0" xfId="0"/>
    <xf numFmtId="0" fontId="21" fillId="0" borderId="0" pivotButton="0" quotePrefix="0" xfId="0"/>
    <xf numFmtId="0" fontId="18" fillId="6" borderId="10" applyAlignment="1" pivotButton="0" quotePrefix="0" xfId="0">
      <alignment horizontal="center"/>
    </xf>
    <xf numFmtId="0" fontId="19" fillId="0" borderId="11" pivotButton="0" quotePrefix="0" xfId="0"/>
    <xf numFmtId="0" fontId="19" fillId="0" borderId="12" pivotButton="0" quotePrefix="0" xfId="0"/>
    <xf numFmtId="0" fontId="18" fillId="7" borderId="10" applyAlignment="1" pivotButton="0" quotePrefix="0" xfId="0">
      <alignment horizontal="center"/>
    </xf>
    <xf numFmtId="0" fontId="18" fillId="6" borderId="12" applyAlignment="1" pivotButton="0" quotePrefix="0" xfId="0">
      <alignment horizontal="center"/>
    </xf>
    <xf numFmtId="0" fontId="18" fillId="7" borderId="1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9525</colOff>
      <row>1</row>
      <rowOff>114300</rowOff>
    </from>
    <ext cx="2200275" cy="3810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0"/>
  <sheetViews>
    <sheetView showGridLines="0" tabSelected="1" workbookViewId="0">
      <selection activeCell="B8" sqref="B8"/>
    </sheetView>
  </sheetViews>
  <sheetFormatPr baseColWidth="8" defaultColWidth="14.42578125" defaultRowHeight="15" customHeight="1"/>
  <cols>
    <col width="2.5703125" customWidth="1" min="1" max="1"/>
    <col width="8.7109375" customWidth="1" min="2" max="2"/>
    <col width="11.85546875" customWidth="1" min="3" max="3"/>
    <col width="8.7109375" customWidth="1" min="4" max="26"/>
  </cols>
  <sheetData>
    <row r="5" ht="23.25" customHeight="1">
      <c r="B5" s="1" t="inlineStr">
        <is>
          <t>Financial Databook</t>
        </is>
      </c>
    </row>
    <row r="7" ht="18.75" customHeight="1">
      <c r="B7" s="2" t="inlineStr">
        <is>
          <t>Table of Contents:</t>
        </is>
      </c>
    </row>
    <row r="8">
      <c r="B8" s="3" t="inlineStr">
        <is>
          <t>Summary</t>
        </is>
      </c>
    </row>
    <row r="9">
      <c r="B9" s="3" t="inlineStr">
        <is>
          <t>Income Statement</t>
        </is>
      </c>
    </row>
    <row r="10">
      <c r="B10" s="4" t="inlineStr">
        <is>
          <t>Calculations</t>
        </is>
      </c>
    </row>
    <row r="11">
      <c r="B11" s="3" t="inlineStr">
        <is>
          <t>Revenue_Calcs</t>
        </is>
      </c>
    </row>
    <row r="12">
      <c r="B12" s="3" t="inlineStr">
        <is>
          <t>COGS_Calcs</t>
        </is>
      </c>
    </row>
    <row r="13">
      <c r="B13" s="3" t="inlineStr">
        <is>
          <t>Opex_Calcs</t>
        </is>
      </c>
    </row>
    <row r="14">
      <c r="B14" s="3" t="inlineStr">
        <is>
          <t>Bookings to Revenue_Calcs</t>
        </is>
      </c>
    </row>
    <row r="15">
      <c r="B15" s="4" t="inlineStr">
        <is>
          <t>Assumptions</t>
        </is>
      </c>
    </row>
    <row r="16">
      <c r="B16" s="3" t="inlineStr">
        <is>
          <t>Revenue_Assumptions</t>
        </is>
      </c>
    </row>
    <row r="17">
      <c r="B17" s="3" t="inlineStr">
        <is>
          <t>COGS_Assumptions</t>
        </is>
      </c>
    </row>
    <row r="18">
      <c r="B18" s="3" t="inlineStr">
        <is>
          <t>Opex_Assumptions</t>
        </is>
      </c>
    </row>
    <row r="20">
      <c r="B20" s="5" t="inlineStr">
        <is>
          <t>As of:</t>
        </is>
      </c>
      <c r="C20" s="6" t="n">
        <v>44286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8" location="Summary!A1" display="Summary"/>
    <hyperlink ref="B9" location="'Income Statement'!A1" display="Income Statement"/>
    <hyperlink ref="B11" location="Revenue_Calcs!A1" display="Revenue_Calcs"/>
    <hyperlink ref="B12" location="COGS_Calcs!A1" display="COGS_Calcs"/>
    <hyperlink ref="B13" location="Opex_Calcs!A1" display="Opex_Calcs"/>
    <hyperlink ref="B14" location="'Bookings to Revenue_Calcs'!A1" display="Bookings to Revenue_Calcs"/>
    <hyperlink ref="B16" location="Revenue_Assumptions!A1" display="Revenue_Assumptions"/>
    <hyperlink ref="B17" location="COGS_Calcs!A1" display="COGS_Assumptions"/>
    <hyperlink ref="B18" location="Opex_Assumptions!A1" display="Opex_Assumptions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.5703125" customWidth="1" min="1" max="1"/>
    <col width="15.85546875" customWidth="1" min="2" max="2"/>
    <col width="2.5703125" customWidth="1" min="3" max="3"/>
    <col width="11.5703125" customWidth="1" min="4" max="12"/>
    <col width="2.5703125" customWidth="1" min="13" max="13"/>
    <col width="9.140625" customWidth="1" min="14" max="26"/>
  </cols>
  <sheetData>
    <row r="1" ht="14.25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4.25" customHeight="1">
      <c r="A2" s="7" t="n"/>
      <c r="B2" s="8" t="inlineStr">
        <is>
          <t>Summary Income Statement</t>
        </is>
      </c>
      <c r="C2" s="8" t="n"/>
      <c r="D2" s="9" t="n"/>
      <c r="E2" s="9" t="n"/>
      <c r="F2" s="9" t="n"/>
      <c r="G2" s="9" t="n"/>
      <c r="H2" s="10" t="inlineStr">
        <is>
          <t>2022
Run-Rate</t>
        </is>
      </c>
      <c r="I2" s="9" t="n"/>
      <c r="J2" s="9" t="n"/>
      <c r="K2" s="9" t="n"/>
      <c r="L2" s="9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4.25" customHeight="1">
      <c r="A3" s="7" t="n"/>
      <c r="B3" s="11" t="inlineStr">
        <is>
          <t>($ in millions)</t>
        </is>
      </c>
      <c r="C3" s="8" t="n"/>
      <c r="D3" s="12" t="n">
        <v>2019</v>
      </c>
      <c r="E3" s="12">
        <f>+D3+1</f>
        <v/>
      </c>
      <c r="F3" s="12">
        <f>+E3+1</f>
        <v/>
      </c>
      <c r="G3" s="12">
        <f>+F3+1</f>
        <v/>
      </c>
      <c r="H3" s="13" t="inlineStr">
        <is>
          <t>Run-Rate</t>
        </is>
      </c>
      <c r="I3" s="12">
        <f>+G3+1</f>
        <v/>
      </c>
      <c r="J3" s="12">
        <f>+I3+1</f>
        <v/>
      </c>
      <c r="K3" s="12">
        <f>+J3+1</f>
        <v/>
      </c>
      <c r="L3" s="12">
        <f>+K3+1</f>
        <v/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4.5" customHeight="1">
      <c r="A4" s="7" t="n"/>
      <c r="B4" s="14" t="n"/>
      <c r="C4" s="14" t="n"/>
      <c r="D4" s="14" t="n"/>
      <c r="E4" s="14" t="n"/>
      <c r="F4" s="14" t="n"/>
      <c r="G4" s="14" t="n"/>
      <c r="H4" s="15" t="n"/>
      <c r="I4" s="14" t="n"/>
      <c r="J4" s="14" t="n"/>
      <c r="K4" s="14" t="n"/>
      <c r="L4" s="14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9.5" customHeight="1">
      <c r="A5" s="7" t="n"/>
      <c r="B5" s="14">
        <f>+'Income Statement'!B12</f>
        <v/>
      </c>
      <c r="C5" s="14" t="n"/>
      <c r="D5" s="16">
        <f>+'Income Statement'!F12/10^3</f>
        <v/>
      </c>
      <c r="E5" s="16">
        <f>+'Income Statement'!G12/10^3</f>
        <v/>
      </c>
      <c r="F5" s="16">
        <f>+'Income Statement'!H12/10^3</f>
        <v/>
      </c>
      <c r="G5" s="16">
        <f>+'Income Statement'!I12/10^3</f>
        <v/>
      </c>
      <c r="H5" s="17">
        <f>+'Income Statement'!O12/10^3</f>
        <v/>
      </c>
      <c r="I5" s="16">
        <f>+'Income Statement'!J12/10^3</f>
        <v/>
      </c>
      <c r="J5" s="16">
        <f>+'Income Statement'!K12/10^3</f>
        <v/>
      </c>
      <c r="K5" s="16">
        <f>+'Income Statement'!L12/10^3</f>
        <v/>
      </c>
      <c r="L5" s="16">
        <f>+'Income Statement'!M12/10^3</f>
        <v/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9.5" customHeight="1">
      <c r="A6" s="7" t="n"/>
      <c r="B6" s="14">
        <f>+'Income Statement'!B13</f>
        <v/>
      </c>
      <c r="C6" s="14" t="n"/>
      <c r="D6" s="16">
        <f>+'Income Statement'!F13/10^3</f>
        <v/>
      </c>
      <c r="E6" s="16">
        <f>+'Income Statement'!G13/10^3</f>
        <v/>
      </c>
      <c r="F6" s="16">
        <f>+'Income Statement'!H13/10^3</f>
        <v/>
      </c>
      <c r="G6" s="16">
        <f>+'Income Statement'!I13/10^3</f>
        <v/>
      </c>
      <c r="H6" s="17">
        <f>+'Income Statement'!O13/10^3</f>
        <v/>
      </c>
      <c r="I6" s="16">
        <f>+'Income Statement'!J13/10^3</f>
        <v/>
      </c>
      <c r="J6" s="16">
        <f>+'Income Statement'!K13/10^3</f>
        <v/>
      </c>
      <c r="K6" s="16">
        <f>+'Income Statement'!L13/10^3</f>
        <v/>
      </c>
      <c r="L6" s="16">
        <f>+'Income Statement'!M13/10^3</f>
        <v/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9.5" customHeight="1">
      <c r="A7" s="7" t="n"/>
      <c r="B7" s="14">
        <f>+'Income Statement'!B14</f>
        <v/>
      </c>
      <c r="C7" s="14" t="n"/>
      <c r="D7" s="16">
        <f>+'Income Statement'!F14/10^3</f>
        <v/>
      </c>
      <c r="E7" s="16">
        <f>+'Income Statement'!G14/10^3</f>
        <v/>
      </c>
      <c r="F7" s="16">
        <f>+'Income Statement'!H14/10^3</f>
        <v/>
      </c>
      <c r="G7" s="16">
        <f>+'Income Statement'!I14/10^3</f>
        <v/>
      </c>
      <c r="H7" s="17">
        <f>+'Income Statement'!O14/10^3</f>
        <v/>
      </c>
      <c r="I7" s="16">
        <f>+'Income Statement'!J14/10^3</f>
        <v/>
      </c>
      <c r="J7" s="16">
        <f>+'Income Statement'!K14/10^3</f>
        <v/>
      </c>
      <c r="K7" s="16">
        <f>+'Income Statement'!L14/10^3</f>
        <v/>
      </c>
      <c r="L7" s="16">
        <f>+'Income Statement'!M14/10^3</f>
        <v/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9.5" customHeight="1">
      <c r="A8" s="7" t="n"/>
      <c r="B8" s="14">
        <f>+'Income Statement'!B15</f>
        <v/>
      </c>
      <c r="C8" s="14" t="n"/>
      <c r="D8" s="16">
        <f>+'Income Statement'!F15/10^3</f>
        <v/>
      </c>
      <c r="E8" s="16">
        <f>+'Income Statement'!G15/10^3</f>
        <v/>
      </c>
      <c r="F8" s="16">
        <f>+'Income Statement'!H15/10^3</f>
        <v/>
      </c>
      <c r="G8" s="16">
        <f>+'Income Statement'!I15/10^3</f>
        <v/>
      </c>
      <c r="H8" s="17">
        <f>+'Income Statement'!O15/10^3</f>
        <v/>
      </c>
      <c r="I8" s="16">
        <f>+'Income Statement'!J15/10^3</f>
        <v/>
      </c>
      <c r="J8" s="16">
        <f>+'Income Statement'!K15/10^3</f>
        <v/>
      </c>
      <c r="K8" s="16">
        <f>+'Income Statement'!L15/10^3</f>
        <v/>
      </c>
      <c r="L8" s="16">
        <f>+'Income Statement'!M15/10^3</f>
        <v/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9.5" customHeight="1">
      <c r="A9" s="7" t="n"/>
      <c r="B9" s="18">
        <f>+'Income Statement'!B16</f>
        <v/>
      </c>
      <c r="C9" s="19" t="n"/>
      <c r="D9" s="20">
        <f>+'Income Statement'!F16/10^3</f>
        <v/>
      </c>
      <c r="E9" s="20">
        <f>+'Income Statement'!G16/10^3</f>
        <v/>
      </c>
      <c r="F9" s="20">
        <f>+'Income Statement'!H16/10^3</f>
        <v/>
      </c>
      <c r="G9" s="20">
        <f>+'Income Statement'!I16/10^3</f>
        <v/>
      </c>
      <c r="H9" s="21">
        <f>+'Income Statement'!O16/10^3</f>
        <v/>
      </c>
      <c r="I9" s="20">
        <f>+'Income Statement'!J16/10^3</f>
        <v/>
      </c>
      <c r="J9" s="20">
        <f>+'Income Statement'!K16/10^3</f>
        <v/>
      </c>
      <c r="K9" s="20">
        <f>+'Income Statement'!L16/10^3</f>
        <v/>
      </c>
      <c r="L9" s="22">
        <f>+'Income Statement'!M16/10^3</f>
        <v/>
      </c>
      <c r="M9" s="23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9.5" customHeight="1">
      <c r="A10" s="7" t="n"/>
      <c r="B10" s="24" t="inlineStr">
        <is>
          <t>% Growth</t>
        </is>
      </c>
      <c r="C10" s="14" t="n"/>
      <c r="D10" s="25" t="n"/>
      <c r="E10" s="25">
        <f>+E9/D9-1</f>
        <v/>
      </c>
      <c r="F10" s="25">
        <f>+F9/E9-1</f>
        <v/>
      </c>
      <c r="G10" s="25">
        <f>+G9/F9-1</f>
        <v/>
      </c>
      <c r="H10" s="15" t="n"/>
      <c r="I10" s="25">
        <f>+I9/G9-1</f>
        <v/>
      </c>
      <c r="J10" s="25">
        <f>+J9/I9-1</f>
        <v/>
      </c>
      <c r="K10" s="25">
        <f>+K9/J9-1</f>
        <v/>
      </c>
      <c r="L10" s="25">
        <f>+L9/K9-1</f>
        <v/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4.5" customHeight="1">
      <c r="A11" s="7" t="n"/>
      <c r="B11" s="14" t="n"/>
      <c r="C11" s="14" t="n"/>
      <c r="D11" s="14" t="n"/>
      <c r="E11" s="14" t="n"/>
      <c r="F11" s="14" t="n"/>
      <c r="G11" s="14" t="n"/>
      <c r="H11" s="15" t="n"/>
      <c r="I11" s="14" t="n"/>
      <c r="J11" s="14" t="n"/>
      <c r="K11" s="14" t="n"/>
      <c r="L11" s="14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9.5" customHeight="1">
      <c r="A12" s="7" t="n"/>
      <c r="B12" s="14" t="inlineStr">
        <is>
          <t>Cost of Sales</t>
        </is>
      </c>
      <c r="C12" s="14" t="n"/>
      <c r="D12" s="16">
        <f>+'Income Statement'!F22/10^3</f>
        <v/>
      </c>
      <c r="E12" s="16">
        <f>+'Income Statement'!G22/10^3</f>
        <v/>
      </c>
      <c r="F12" s="16">
        <f>+'Income Statement'!H22/10^3</f>
        <v/>
      </c>
      <c r="G12" s="16">
        <f>+'Income Statement'!I22/10^3</f>
        <v/>
      </c>
      <c r="H12" s="26">
        <f>+'Income Statement'!O22/10^3</f>
        <v/>
      </c>
      <c r="I12" s="16">
        <f>+'Income Statement'!J22/10^3</f>
        <v/>
      </c>
      <c r="J12" s="16">
        <f>+'Income Statement'!K22/10^3</f>
        <v/>
      </c>
      <c r="K12" s="16">
        <f>+'Income Statement'!L22/10^3</f>
        <v/>
      </c>
      <c r="L12" s="16">
        <f>+'Income Statement'!M22/10^3</f>
        <v/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9.5" customHeight="1">
      <c r="A13" s="7" t="n"/>
      <c r="B13" s="18" t="inlineStr">
        <is>
          <t>Gross Profit</t>
        </is>
      </c>
      <c r="C13" s="19" t="n"/>
      <c r="D13" s="20">
        <f>+D9-D12</f>
        <v/>
      </c>
      <c r="E13" s="20">
        <f>+E9-E12</f>
        <v/>
      </c>
      <c r="F13" s="20">
        <f>+F9-F12</f>
        <v/>
      </c>
      <c r="G13" s="20">
        <f>+G9-G12</f>
        <v/>
      </c>
      <c r="H13" s="21">
        <f>+H9-H12</f>
        <v/>
      </c>
      <c r="I13" s="20">
        <f>+I9-I12</f>
        <v/>
      </c>
      <c r="J13" s="20">
        <f>+J9-J12</f>
        <v/>
      </c>
      <c r="K13" s="20">
        <f>+K9-K12</f>
        <v/>
      </c>
      <c r="L13" s="22">
        <f>+L9-L12</f>
        <v/>
      </c>
      <c r="M13" s="23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9.5" customHeight="1">
      <c r="A14" s="7" t="n"/>
      <c r="B14" s="24" t="inlineStr">
        <is>
          <t>% Gross Margin</t>
        </is>
      </c>
      <c r="C14" s="14" t="n"/>
      <c r="D14" s="25">
        <f>+D13/D$9</f>
        <v/>
      </c>
      <c r="E14" s="25">
        <f>+E13/E$9</f>
        <v/>
      </c>
      <c r="F14" s="25">
        <f>+F13/F$9</f>
        <v/>
      </c>
      <c r="G14" s="25">
        <f>+G13/G$9</f>
        <v/>
      </c>
      <c r="H14" s="27">
        <f>+H13/H$9</f>
        <v/>
      </c>
      <c r="I14" s="25">
        <f>+I13/I$9</f>
        <v/>
      </c>
      <c r="J14" s="25">
        <f>+J13/J$9</f>
        <v/>
      </c>
      <c r="K14" s="25">
        <f>+K13/K$9</f>
        <v/>
      </c>
      <c r="L14" s="25">
        <f>+L13/L$9</f>
        <v/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4.5" customHeight="1">
      <c r="A15" s="7" t="n"/>
      <c r="B15" s="14" t="n"/>
      <c r="C15" s="14" t="n"/>
      <c r="D15" s="14" t="n"/>
      <c r="E15" s="14" t="n"/>
      <c r="F15" s="14" t="n"/>
      <c r="G15" s="14" t="n"/>
      <c r="H15" s="15" t="n"/>
      <c r="I15" s="14" t="n"/>
      <c r="J15" s="14" t="n"/>
      <c r="K15" s="14" t="n"/>
      <c r="L15" s="14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9.5" customHeight="1">
      <c r="A16" s="7" t="n"/>
      <c r="B16" s="14">
        <f>+'Income Statement'!B27</f>
        <v/>
      </c>
      <c r="C16" s="14" t="n"/>
      <c r="D16" s="16">
        <f>+'Income Statement'!F27/10^3</f>
        <v/>
      </c>
      <c r="E16" s="16">
        <f>+'Income Statement'!G27/10^3</f>
        <v/>
      </c>
      <c r="F16" s="16">
        <f>+'Income Statement'!H27/10^3</f>
        <v/>
      </c>
      <c r="G16" s="16">
        <f>+'Income Statement'!I27/10^3</f>
        <v/>
      </c>
      <c r="H16" s="26">
        <f>+'Income Statement'!O27/10^3</f>
        <v/>
      </c>
      <c r="I16" s="16">
        <f>+'Income Statement'!J27/10^3</f>
        <v/>
      </c>
      <c r="J16" s="16">
        <f>+'Income Statement'!K27/10^3</f>
        <v/>
      </c>
      <c r="K16" s="16">
        <f>+'Income Statement'!L27/10^3</f>
        <v/>
      </c>
      <c r="L16" s="16">
        <f>+'Income Statement'!M27/10^3</f>
        <v/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9.5" customHeight="1">
      <c r="A17" s="7" t="n"/>
      <c r="B17" s="14" t="inlineStr">
        <is>
          <t>Rent</t>
        </is>
      </c>
      <c r="C17" s="14" t="n"/>
      <c r="D17" s="16">
        <f>+'Income Statement'!F28/10^3</f>
        <v/>
      </c>
      <c r="E17" s="16">
        <f>+'Income Statement'!G28/10^3</f>
        <v/>
      </c>
      <c r="F17" s="16">
        <f>+'Income Statement'!H28/10^3</f>
        <v/>
      </c>
      <c r="G17" s="16">
        <f>+'Income Statement'!I28/10^3</f>
        <v/>
      </c>
      <c r="H17" s="26">
        <f>+'Income Statement'!O28/10^3</f>
        <v/>
      </c>
      <c r="I17" s="16">
        <f>+'Income Statement'!J28/10^3</f>
        <v/>
      </c>
      <c r="J17" s="16">
        <f>+'Income Statement'!K28/10^3</f>
        <v/>
      </c>
      <c r="K17" s="16">
        <f>+'Income Statement'!L28/10^3</f>
        <v/>
      </c>
      <c r="L17" s="16">
        <f>+'Income Statement'!M28/10^3</f>
        <v/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9.5" customHeight="1">
      <c r="A18" s="7" t="n"/>
      <c r="B18" s="14" t="inlineStr">
        <is>
          <t>Sales &amp; Marketing</t>
        </is>
      </c>
      <c r="C18" s="14" t="n"/>
      <c r="D18" s="16">
        <f>+'Income Statement'!F30/10^3</f>
        <v/>
      </c>
      <c r="E18" s="16">
        <f>+'Income Statement'!G30/10^3</f>
        <v/>
      </c>
      <c r="F18" s="16">
        <f>+'Income Statement'!H30/10^3</f>
        <v/>
      </c>
      <c r="G18" s="16">
        <f>+'Income Statement'!I30/10^3</f>
        <v/>
      </c>
      <c r="H18" s="26">
        <f>+'Income Statement'!O30/10^3</f>
        <v/>
      </c>
      <c r="I18" s="16">
        <f>+'Income Statement'!J30/10^3</f>
        <v/>
      </c>
      <c r="J18" s="16">
        <f>+'Income Statement'!K30/10^3</f>
        <v/>
      </c>
      <c r="K18" s="16">
        <f>+'Income Statement'!L30/10^3</f>
        <v/>
      </c>
      <c r="L18" s="16">
        <f>+'Income Statement'!M30/10^3</f>
        <v/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9.5" customHeight="1">
      <c r="A19" s="7" t="n"/>
      <c r="B19" s="14" t="inlineStr">
        <is>
          <t>Other Opex</t>
        </is>
      </c>
      <c r="C19" s="14" t="n"/>
      <c r="D19" s="16">
        <f>+SUM('Income Statement'!F29,'Income Statement'!F31:F33)/10^3</f>
        <v/>
      </c>
      <c r="E19" s="16">
        <f>+SUM('Income Statement'!G29,'Income Statement'!G31:G33)/10^3</f>
        <v/>
      </c>
      <c r="F19" s="16">
        <f>+SUM('Income Statement'!H29,'Income Statement'!H31:H33)/10^3</f>
        <v/>
      </c>
      <c r="G19" s="16">
        <f>+SUM('Income Statement'!I29,'Income Statement'!I31:I33)/10^3</f>
        <v/>
      </c>
      <c r="H19" s="26">
        <f>+SUM('Income Statement'!O29,'Income Statement'!O31:O33)/10^3</f>
        <v/>
      </c>
      <c r="I19" s="16">
        <f>+SUM('Income Statement'!J29,'Income Statement'!J31:J33)/10^3</f>
        <v/>
      </c>
      <c r="J19" s="16">
        <f>+SUM('Income Statement'!K29,'Income Statement'!K31:K33)/10^3</f>
        <v/>
      </c>
      <c r="K19" s="16">
        <f>+SUM('Income Statement'!L29,'Income Statement'!L31:L33)/10^3</f>
        <v/>
      </c>
      <c r="L19" s="16">
        <f>+SUM('Income Statement'!M29,'Income Statement'!M31:M33)/10^3</f>
        <v/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>
      <c r="A20" s="7" t="n"/>
      <c r="B20" s="14" t="inlineStr">
        <is>
          <t>Other I/E</t>
        </is>
      </c>
      <c r="C20" s="14" t="n"/>
      <c r="D20" s="16">
        <f>+'Income Statement'!F35/10^3</f>
        <v/>
      </c>
      <c r="E20" s="16">
        <f>+'Income Statement'!G35/10^3</f>
        <v/>
      </c>
      <c r="F20" s="16">
        <f>+'Income Statement'!H35/10^3</f>
        <v/>
      </c>
      <c r="G20" s="16">
        <f>+'Income Statement'!I35/10^3</f>
        <v/>
      </c>
      <c r="H20" s="26">
        <f>+'Income Statement'!O35/10^3</f>
        <v/>
      </c>
      <c r="I20" s="16">
        <f>+'Income Statement'!J35/10^3</f>
        <v/>
      </c>
      <c r="J20" s="16">
        <f>+'Income Statement'!K35/10^3</f>
        <v/>
      </c>
      <c r="K20" s="16">
        <f>+'Income Statement'!L35/10^3</f>
        <v/>
      </c>
      <c r="L20" s="16">
        <f>+'Income Statement'!M35/10^3</f>
        <v/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>
      <c r="A21" s="7" t="n"/>
      <c r="B21" s="18" t="inlineStr">
        <is>
          <t>Reported EBITDA</t>
        </is>
      </c>
      <c r="C21" s="19" t="n"/>
      <c r="D21" s="20">
        <f>+D13-SUM(D16:D20)</f>
        <v/>
      </c>
      <c r="E21" s="20">
        <f>+E13-SUM(E16:E20)</f>
        <v/>
      </c>
      <c r="F21" s="20">
        <f>+F13-SUM(F16:F20)</f>
        <v/>
      </c>
      <c r="G21" s="20">
        <f>+G13-SUM(G16:G20)</f>
        <v/>
      </c>
      <c r="H21" s="21">
        <f>+H13-SUM(H16:H20)</f>
        <v/>
      </c>
      <c r="I21" s="20">
        <f>+I13-SUM(I16:I20)</f>
        <v/>
      </c>
      <c r="J21" s="20">
        <f>+J13-SUM(J16:J20)</f>
        <v/>
      </c>
      <c r="K21" s="20">
        <f>+K13-SUM(K16:K20)</f>
        <v/>
      </c>
      <c r="L21" s="22">
        <f>+L13-SUM(L16:L20)</f>
        <v/>
      </c>
      <c r="M21" s="23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>
      <c r="A22" s="7" t="n"/>
      <c r="B22" s="24" t="inlineStr">
        <is>
          <t>% Margin</t>
        </is>
      </c>
      <c r="C22" s="14" t="n"/>
      <c r="D22" s="25">
        <f>+D21/D$9</f>
        <v/>
      </c>
      <c r="E22" s="25">
        <f>+E21/E$9</f>
        <v/>
      </c>
      <c r="F22" s="25">
        <f>+F21/F$9</f>
        <v/>
      </c>
      <c r="G22" s="25">
        <f>+G21/G$9</f>
        <v/>
      </c>
      <c r="H22" s="27">
        <f>+H21/H$9</f>
        <v/>
      </c>
      <c r="I22" s="25">
        <f>+I21/I$9</f>
        <v/>
      </c>
      <c r="J22" s="25">
        <f>+J21/J$9</f>
        <v/>
      </c>
      <c r="K22" s="25">
        <f>+K21/K$9</f>
        <v/>
      </c>
      <c r="L22" s="25">
        <f>+L21/L$9</f>
        <v/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4.5" customHeight="1">
      <c r="A23" s="7" t="n"/>
      <c r="B23" s="14" t="n"/>
      <c r="C23" s="14" t="n"/>
      <c r="D23" s="14" t="n"/>
      <c r="E23" s="14" t="n"/>
      <c r="F23" s="14" t="n"/>
      <c r="G23" s="14" t="n"/>
      <c r="H23" s="15" t="n"/>
      <c r="I23" s="14" t="n"/>
      <c r="J23" s="14" t="n"/>
      <c r="K23" s="14" t="n"/>
      <c r="L23" s="14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>
      <c r="A24" s="7" t="n"/>
      <c r="B24" s="14" t="inlineStr">
        <is>
          <t>Adjustments</t>
        </is>
      </c>
      <c r="C24" s="14" t="n"/>
      <c r="D24" s="16">
        <f>+'Income Statement'!F48/10^3</f>
        <v/>
      </c>
      <c r="E24" s="16">
        <f>+'Income Statement'!G48/10^3</f>
        <v/>
      </c>
      <c r="F24" s="16">
        <f>+'Income Statement'!H48/10^3</f>
        <v/>
      </c>
      <c r="G24" s="16">
        <f>+'Income Statement'!I48/10^3</f>
        <v/>
      </c>
      <c r="H24" s="26">
        <f>+'Income Statement'!O48/10^3</f>
        <v/>
      </c>
      <c r="I24" s="16">
        <f>+'Income Statement'!J48/10^3</f>
        <v/>
      </c>
      <c r="J24" s="16">
        <f>+'Income Statement'!K48/10^3</f>
        <v/>
      </c>
      <c r="K24" s="16">
        <f>+'Income Statement'!L48/10^3</f>
        <v/>
      </c>
      <c r="L24" s="16">
        <f>+'Income Statement'!M48/10^3</f>
        <v/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>
      <c r="A25" s="7" t="n"/>
      <c r="B25" s="18" t="inlineStr">
        <is>
          <t>Adjusted EBITDA</t>
        </is>
      </c>
      <c r="C25" s="19" t="n"/>
      <c r="D25" s="20">
        <f>+D21+D24</f>
        <v/>
      </c>
      <c r="E25" s="20">
        <f>+E21+E24</f>
        <v/>
      </c>
      <c r="F25" s="20">
        <f>+F21+F24</f>
        <v/>
      </c>
      <c r="G25" s="20">
        <f>+G21+G24</f>
        <v/>
      </c>
      <c r="H25" s="21">
        <f>+H21+H24</f>
        <v/>
      </c>
      <c r="I25" s="20">
        <f>+I21+I24</f>
        <v/>
      </c>
      <c r="J25" s="20">
        <f>+J21+J24</f>
        <v/>
      </c>
      <c r="K25" s="20">
        <f>+K21+K24</f>
        <v/>
      </c>
      <c r="L25" s="22">
        <f>+L21+L24</f>
        <v/>
      </c>
      <c r="M25" s="23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9.5" customHeight="1">
      <c r="A26" s="7" t="n"/>
      <c r="B26" s="24" t="inlineStr">
        <is>
          <t>% Margin</t>
        </is>
      </c>
      <c r="C26" s="14" t="n"/>
      <c r="D26" s="25">
        <f>+D25/D$9</f>
        <v/>
      </c>
      <c r="E26" s="25">
        <f>+E25/E$9</f>
        <v/>
      </c>
      <c r="F26" s="25">
        <f>+F25/F$9</f>
        <v/>
      </c>
      <c r="G26" s="25">
        <f>+G25/G$9</f>
        <v/>
      </c>
      <c r="H26" s="28">
        <f>+H25/H$9</f>
        <v/>
      </c>
      <c r="I26" s="25">
        <f>+I25/I$9</f>
        <v/>
      </c>
      <c r="J26" s="25">
        <f>+J25/J$9</f>
        <v/>
      </c>
      <c r="K26" s="25">
        <f>+K25/K$9</f>
        <v/>
      </c>
      <c r="L26" s="25">
        <f>+L25/L$9</f>
        <v/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9.5" customHeight="1">
      <c r="A27" s="29" t="n"/>
      <c r="B27" s="29" t="inlineStr">
        <is>
          <t>Check</t>
        </is>
      </c>
      <c r="C27" s="29" t="n"/>
      <c r="D27" s="30">
        <f>+D25-'Income Statement'!F50/10^3</f>
        <v/>
      </c>
      <c r="E27" s="30">
        <f>+E25-'Income Statement'!G50/10^3</f>
        <v/>
      </c>
      <c r="F27" s="30">
        <f>+F25-'Income Statement'!H50/10^3</f>
        <v/>
      </c>
      <c r="G27" s="30">
        <f>+G25-'Income Statement'!I50/10^3</f>
        <v/>
      </c>
      <c r="H27" s="30">
        <f>+H25-'Income Statement'!O50/10^3</f>
        <v/>
      </c>
      <c r="I27" s="30">
        <f>+I25-'Income Statement'!J50/10^3</f>
        <v/>
      </c>
      <c r="J27" s="30">
        <f>+J25-'Income Statement'!K50/10^3</f>
        <v/>
      </c>
      <c r="K27" s="30">
        <f>+K25-'Income Statement'!L50/10^3</f>
        <v/>
      </c>
      <c r="L27" s="30">
        <f>+L25-'Income Statement'!M50/10^3</f>
        <v/>
      </c>
      <c r="M27" s="30">
        <f>+M25-'Income Statement'!N50/10^3</f>
        <v/>
      </c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 ht="14.25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25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25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25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25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25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25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25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25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25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25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25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2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25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25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25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25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25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25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25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25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25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25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25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25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25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25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25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25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25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25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25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25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25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25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25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25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25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25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25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25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25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25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25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25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25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25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25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25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25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25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25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25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25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25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25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25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25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25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25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25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25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25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25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25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25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25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25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25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25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25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25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25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25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25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25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25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25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25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25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25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25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25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25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25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25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25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25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25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25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25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25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25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25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25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25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25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25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25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25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25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25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25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25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25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25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25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25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25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25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25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25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25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25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25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25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25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25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25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25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25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25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25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25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25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25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25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25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25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25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25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25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25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25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25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25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25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25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25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25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25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25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25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25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25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25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25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25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25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25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25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25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25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25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25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25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25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25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25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25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25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25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25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25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25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25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25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25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25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25" customHeight="1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25" customHeight="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25" customHeight="1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25" customHeight="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25" customHeight="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25" customHeight="1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25" customHeight="1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25" customHeight="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25" customHeight="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25" customHeight="1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25" customHeight="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25" customHeight="1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25" customHeight="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25" customHeight="1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25" customHeight="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25" customHeight="1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25" customHeight="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25" customHeight="1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25" customHeight="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25" customHeight="1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25" customHeight="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25" customHeight="1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25" customHeight="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25" customHeight="1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25" customHeight="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25" customHeight="1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25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25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25" customHeight="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25" customHeight="1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25" customHeight="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25" customHeight="1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4.25" customHeight="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4.25" customHeight="1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4.25" customHeight="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4.25" customHeight="1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4.25" customHeight="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4.25" customHeight="1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4.25" customHeight="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4.25" customHeight="1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4.25" customHeight="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4.25" customHeight="1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4.25" customHeight="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4.25" customHeight="1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4.25" customHeight="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4.25" customHeight="1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4.25" customHeight="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4.25" customHeight="1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4.25" customHeight="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4.25" customHeight="1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4.25" customHeight="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4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4.25" customHeight="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4.25" customHeight="1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4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4.25" customHeight="1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4.25" customHeight="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4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4.25" customHeight="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4.25" customHeight="1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4.25" customHeight="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4.25" customHeight="1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4.25" customHeight="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4.25" customHeight="1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4.25" customHeight="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4.25" customHeight="1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4.25" customHeight="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4.25" customHeight="1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4.25" customHeight="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4.25" customHeight="1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4.25" customHeight="1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4.25" customHeight="1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4.25" customHeight="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4.25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4.25" customHeight="1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4.25" customHeight="1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4.25" customHeight="1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4.25" customHeight="1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4.25" customHeight="1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4.25" customHeight="1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4.25" customHeight="1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4.25" customHeight="1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4.25" customHeight="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4.25" customHeight="1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4.25" customHeight="1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4.25" customHeight="1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4.25" customHeight="1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4.25" customHeight="1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4.25" customHeight="1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4.25" customHeight="1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4.25" customHeight="1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4.25" customHeight="1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4.25" customHeight="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4.25" customHeight="1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4.25" customHeight="1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4.25" customHeight="1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4.25" customHeight="1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4.25" customHeight="1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4.25" customHeight="1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4.25" customHeight="1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4.25" customHeight="1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4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4.25" customHeight="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4.25" customHeight="1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4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4.25" customHeight="1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4.25" customHeight="1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4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4.25" customHeight="1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4.25" customHeight="1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4.25" customHeight="1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4.25" customHeight="1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4.25" customHeight="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4.25" customHeight="1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4.25" customHeight="1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4.25" customHeight="1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4.25" customHeight="1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4.25" customHeight="1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4.25" customHeight="1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4.25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4.25" customHeight="1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4.25" customHeight="1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4.25" customHeight="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4.25" customHeight="1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4.25" customHeight="1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4.25" customHeight="1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4.25" customHeight="1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4.25" customHeight="1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4.25" customHeight="1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4.25" customHeight="1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4.25" customHeight="1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4.25" customHeight="1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4.25" customHeight="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4.25" customHeight="1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4.25" customHeight="1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4.25" customHeight="1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4.25" customHeight="1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4.25" customHeight="1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4.25" customHeight="1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4.25" customHeight="1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4.25" customHeight="1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4.25" customHeight="1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4.25" customHeight="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4.25" customHeight="1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4.25" customHeight="1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4.25" customHeight="1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4.25" customHeight="1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4.25" customHeight="1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4.25" customHeight="1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4.25" customHeight="1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4.25" customHeight="1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4.25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4.25" customHeight="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4.25" customHeight="1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4.25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4.25" customHeight="1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4.25" customHeight="1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4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4.25" customHeight="1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4.25" customHeight="1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4.25" customHeight="1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4.25" customHeight="1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4.25" customHeight="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4.25" customHeight="1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4.25" customHeight="1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4.25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4.25" customHeight="1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4.25" customHeight="1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4.25" customHeight="1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4.25" customHeight="1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4.25" customHeight="1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4.25" customHeight="1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4.25" customHeight="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4.25" customHeight="1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4.25" customHeight="1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4.25" customHeight="1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4.25" customHeight="1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4.25" customHeight="1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4.25" customHeight="1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4.25" customHeight="1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4.25" customHeight="1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4.25" customHeight="1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4.25" customHeight="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4.25" customHeight="1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4.25" customHeight="1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4.25" customHeight="1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4.25" customHeight="1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4.25" customHeight="1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4.25" customHeight="1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4.25" customHeight="1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4.25" customHeight="1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4.25" customHeight="1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4.25" customHeight="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4.25" customHeight="1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4.25" customHeight="1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4.25" customHeight="1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4.25" customHeight="1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4.25" customHeight="1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4.25" customHeight="1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4.25" customHeight="1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4.25" customHeight="1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4.25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4.25" customHeight="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4.25" customHeight="1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4.25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4.25" customHeight="1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4.25" customHeight="1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4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4.25" customHeight="1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4.25" customHeight="1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4.25" customHeight="1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4.25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4.25" customHeight="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4.25" customHeight="1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4.25" customHeight="1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4.25" customHeight="1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4.25" customHeight="1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4.25" customHeight="1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4.25" customHeight="1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4.25" customHeight="1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4.25" customHeight="1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4.25" customHeight="1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4.25" customHeight="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4.25" customHeight="1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4.25" customHeight="1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4.25" customHeight="1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4.25" customHeight="1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4.25" customHeight="1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4.25" customHeight="1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4.25" customHeight="1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4.25" customHeight="1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4.25" customHeight="1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4.25" customHeight="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4.25" customHeight="1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4.25" customHeight="1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4.25" customHeight="1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4.25" customHeight="1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4.25" customHeight="1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4.25" customHeight="1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4.25" customHeight="1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4.25" customHeight="1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4.25" customHeight="1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4.25" customHeight="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4.25" customHeight="1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4.25" customHeight="1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4.25" customHeight="1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4.25" customHeight="1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4.25" customHeight="1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4.25" customHeight="1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4.25" customHeight="1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4.25" customHeight="1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4.25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4.25" customHeight="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4.25" customHeight="1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4.25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4.25" customHeight="1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4.25" customHeight="1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4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4.25" customHeight="1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4.25" customHeight="1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4.25" customHeight="1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4.25" customHeight="1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4.25" customHeight="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4.25" customHeight="1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4.25" customHeight="1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4.25" customHeight="1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4.25" customHeight="1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4.25" customHeight="1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4.25" customHeight="1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4.25" customHeight="1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4.25" customHeight="1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4.25" customHeight="1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4.25" customHeight="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4.25" customHeight="1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4.25" customHeight="1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4.25" customHeight="1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4.25" customHeight="1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4.25" customHeight="1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4.25" customHeight="1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4.25" customHeight="1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4.25" customHeight="1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4.25" customHeight="1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4.25" customHeight="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4.25" customHeight="1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4.25" customHeight="1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4.25" customHeight="1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4.25" customHeight="1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4.25" customHeight="1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4.25" customHeight="1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4.25" customHeight="1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4.25" customHeight="1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4.25" customHeight="1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4.25" customHeight="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4.25" customHeight="1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4.25" customHeight="1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4.25" customHeight="1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4.25" customHeight="1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4.25" customHeight="1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4.25" customHeight="1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4.25" customHeight="1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4.25" customHeight="1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4.25" customHeight="1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4.25" customHeight="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4.25" customHeight="1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4.25" customHeight="1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4.25" customHeight="1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4.25" customHeight="1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4.25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4.25" customHeight="1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4.25" customHeight="1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4.25" customHeight="1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4.25" customHeight="1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4.25" customHeight="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4.25" customHeight="1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4.25" customHeight="1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4.25" customHeight="1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4.25" customHeight="1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4.25" customHeight="1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4.25" customHeight="1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4.25" customHeight="1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4.25" customHeight="1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4.25" customHeight="1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4.25" customHeight="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4.25" customHeight="1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4.25" customHeight="1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4.25" customHeight="1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4.25" customHeight="1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4.25" customHeight="1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4.25" customHeight="1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4.25" customHeight="1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4.25" customHeight="1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4.25" customHeight="1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4.25" customHeight="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4.25" customHeight="1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4.25" customHeight="1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4.25" customHeight="1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4.25" customHeight="1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4.25" customHeight="1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4.25" customHeight="1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4.25" customHeight="1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4.25" customHeight="1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4.25" customHeight="1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4.25" customHeight="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4.25" customHeight="1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4.25" customHeight="1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4.25" customHeight="1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4.25" customHeight="1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4.25" customHeight="1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4.25" customHeight="1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4.25" customHeight="1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4.25" customHeight="1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4.25" customHeight="1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4.25" customHeight="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4.25" customHeight="1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4.25" customHeight="1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4.25" customHeight="1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4.25" customHeight="1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4.25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4.25" customHeight="1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4.25" customHeight="1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4.25" customHeight="1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4.25" customHeight="1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4.25" customHeight="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4.25" customHeight="1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4.25" customHeight="1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4.25" customHeight="1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4.25" customHeight="1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4.25" customHeight="1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4.25" customHeight="1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4.25" customHeight="1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4.25" customHeight="1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4.25" customHeight="1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4.25" customHeight="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4.25" customHeight="1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4.25" customHeight="1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4.25" customHeight="1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4.25" customHeight="1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4.25" customHeight="1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4.25" customHeight="1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4.25" customHeight="1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4.25" customHeight="1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4.25" customHeight="1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4.25" customHeight="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4.25" customHeight="1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4.25" customHeight="1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4.25" customHeight="1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4.25" customHeight="1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4.25" customHeight="1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4.25" customHeight="1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4.25" customHeight="1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4.25" customHeight="1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4.25" customHeight="1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4.25" customHeight="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4.25" customHeight="1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4.25" customHeight="1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4.25" customHeight="1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4.25" customHeight="1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4.25" customHeight="1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4.25" customHeight="1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4.25" customHeight="1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4.25" customHeight="1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4.25" customHeight="1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4.25" customHeight="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4.25" customHeight="1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4.25" customHeight="1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4.25" customHeight="1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4.25" customHeight="1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4.25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4.25" customHeight="1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4.25" customHeight="1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4.25" customHeight="1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4.25" customHeight="1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4.25" customHeight="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4.25" customHeight="1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4.25" customHeight="1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4.25" customHeight="1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4.25" customHeight="1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4.25" customHeight="1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4.25" customHeight="1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4.25" customHeight="1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4.25" customHeight="1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4.25" customHeight="1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4.25" customHeight="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4.25" customHeight="1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4.25" customHeight="1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4.25" customHeight="1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4.25" customHeight="1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4.25" customHeight="1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4.25" customHeight="1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4.25" customHeight="1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4.25" customHeight="1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4.25" customHeight="1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4.25" customHeight="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4.25" customHeight="1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4.25" customHeight="1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4.25" customHeight="1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4.25" customHeight="1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4.25" customHeight="1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4.25" customHeight="1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4.25" customHeight="1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4.25" customHeight="1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4.25" customHeight="1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4.25" customHeight="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4.25" customHeight="1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4.25" customHeight="1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4.25" customHeight="1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4.25" customHeight="1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4.25" customHeight="1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4.25" customHeight="1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4.25" customHeight="1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4.25" customHeight="1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4.25" customHeight="1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4.25" customHeight="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4.25" customHeight="1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4.25" customHeight="1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4.25" customHeight="1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4.25" customHeight="1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4.25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4.25" customHeight="1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4.25" customHeight="1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4.25" customHeight="1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4.25" customHeight="1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4.25" customHeight="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4.25" customHeight="1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4.25" customHeight="1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4.25" customHeight="1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4.25" customHeight="1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4.25" customHeight="1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4.25" customHeight="1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4.25" customHeight="1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4.25" customHeight="1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4.25" customHeight="1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4.25" customHeight="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4.25" customHeight="1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4.25" customHeight="1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4.25" customHeight="1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4.25" customHeight="1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4.25" customHeight="1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4.25" customHeight="1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4.25" customHeight="1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4.25" customHeight="1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4.25" customHeight="1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4.25" customHeight="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4.25" customHeight="1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4.25" customHeight="1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4.25" customHeight="1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4.25" customHeight="1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4.25" customHeight="1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4.25" customHeight="1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4.25" customHeight="1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4.25" customHeight="1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4.25" customHeight="1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4.25" customHeight="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4.25" customHeight="1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4.25" customHeight="1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4.25" customHeight="1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4.25" customHeight="1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4.25" customHeight="1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4.25" customHeight="1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4.25" customHeight="1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4.25" customHeight="1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4.25" customHeight="1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4.25" customHeight="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4.25" customHeight="1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4.25" customHeight="1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4.25" customHeight="1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4.25" customHeight="1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4.25" customHeight="1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4.25" customHeight="1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4.25" customHeight="1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4.25" customHeight="1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4.25" customHeight="1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4.25" customHeight="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4.25" customHeight="1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4.25" customHeight="1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4.25" customHeight="1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4.25" customHeight="1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4.25" customHeight="1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4.25" customHeight="1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4.25" customHeight="1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4.25" customHeight="1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4.25" customHeight="1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4.25" customHeight="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4.25" customHeight="1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4.25" customHeight="1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4.25" customHeight="1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4.25" customHeight="1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4.25" customHeight="1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4.25" customHeight="1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4.25" customHeight="1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4.25" customHeight="1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4.25" customHeight="1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4.25" customHeight="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4.25" customHeight="1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4.25" customHeight="1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4.25" customHeight="1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4.25" customHeight="1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4.25" customHeight="1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4.25" customHeight="1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4.25" customHeight="1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4.25" customHeight="1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4.25" customHeight="1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4.25" customHeight="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4.25" customHeight="1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4.25" customHeight="1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4.25" customHeight="1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4.25" customHeight="1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4.25" customHeight="1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4.25" customHeight="1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4.25" customHeight="1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4.25" customHeight="1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4.25" customHeight="1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4.25" customHeight="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4.25" customHeight="1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4.25" customHeight="1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4.25" customHeight="1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4.25" customHeight="1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4.25" customHeight="1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4.25" customHeight="1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4.25" customHeight="1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4.25" customHeight="1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4.25" customHeight="1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4.25" customHeight="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4.25" customHeight="1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4.25" customHeight="1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4.25" customHeight="1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4.25" customHeight="1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4.25" customHeight="1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4.25" customHeight="1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4.25" customHeight="1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4.25" customHeight="1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4.25" customHeight="1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4.25" customHeight="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4.25" customHeight="1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4.25" customHeight="1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4.25" customHeight="1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4.25" customHeight="1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4.25" customHeight="1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4.25" customHeight="1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4.25" customHeight="1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4.25" customHeight="1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4.25" customHeight="1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4.25" customHeight="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4.25" customHeight="1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4.25" customHeight="1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4.25" customHeight="1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4.25" customHeight="1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4.25" customHeight="1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4.25" customHeight="1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4.25" customHeight="1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4.25" customHeight="1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4.25" customHeight="1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4.25" customHeight="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4.25" customHeight="1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4.25" customHeight="1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4.25" customHeight="1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4.25" customHeight="1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4.25" customHeight="1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4.25" customHeight="1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4.25" customHeight="1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4.25" customHeight="1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4.25" customHeight="1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4.25" customHeight="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4.25" customHeight="1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4.25" customHeight="1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4.25" customHeight="1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4.25" customHeight="1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4.25" customHeight="1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4.25" customHeight="1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4.25" customHeight="1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4.25" customHeight="1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4.25" customHeight="1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4.25" customHeight="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4.25" customHeight="1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4.25" customHeight="1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4.25" customHeight="1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4.25" customHeight="1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4.25" customHeight="1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4.25" customHeight="1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4.25" customHeight="1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4.25" customHeight="1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4.25" customHeight="1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4.25" customHeight="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4.25" customHeight="1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4.25" customHeight="1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4.25" customHeight="1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4.25" customHeight="1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4.25" customHeight="1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4.25" customHeight="1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4.25" customHeight="1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4.25" customHeight="1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4.25" customHeight="1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4.25" customHeight="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4.25" customHeight="1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4.25" customHeight="1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4.25" customHeight="1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4.25" customHeight="1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4.25" customHeight="1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4.25" customHeight="1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4.25" customHeight="1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4.25" customHeight="1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4.25" customHeight="1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4.25" customHeight="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4.25" customHeight="1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4.25" customHeight="1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4.25" customHeight="1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4.25" customHeight="1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4.25" customHeight="1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4.25" customHeight="1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4.25" customHeight="1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4.25" customHeight="1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4.25" customHeight="1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4.25" customHeight="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4.25" customHeight="1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4.25" customHeight="1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4.25" customHeight="1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4.25" customHeight="1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4.25" customHeight="1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4.25" customHeight="1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4.25" customHeight="1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4.25" customHeight="1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4.25" customHeight="1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4.25" customHeight="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4.25" customHeight="1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4.25" customHeight="1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4.25" customHeight="1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4.25" customHeight="1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4.25" customHeight="1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4.25" customHeight="1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4.25" customHeight="1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4.25" customHeight="1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4.25" customHeight="1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4.25" customHeight="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4.25" customHeight="1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4.25" customHeight="1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4.25" customHeight="1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4.25" customHeight="1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4.25" customHeight="1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4.25" customHeight="1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4.25" customHeight="1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4.25" customHeight="1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4.25" customHeight="1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4.25" customHeight="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4.25" customHeight="1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4.25" customHeight="1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4.25" customHeight="1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4.25" customHeight="1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4.25" customHeight="1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4.25" customHeight="1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4.25" customHeight="1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4.25" customHeight="1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4.25" customHeight="1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4.25" customHeight="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4.25" customHeight="1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4.25" customHeight="1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4.25" customHeight="1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4.25" customHeight="1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4.25" customHeight="1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4.25" customHeight="1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4.25" customHeight="1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4.25" customHeight="1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4.25" customHeight="1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4.25" customHeight="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4.25" customHeight="1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4.25" customHeight="1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4.25" customHeight="1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4.25" customHeight="1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4.25" customHeight="1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4.25" customHeight="1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4.25" customHeight="1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4.25" customHeight="1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4.25" customHeight="1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4.25" customHeight="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4.25" customHeight="1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4.25" customHeight="1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4.25" customHeight="1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4.25" customHeight="1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4.25" customHeight="1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4.25" customHeight="1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4.25" customHeight="1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4.25" customHeight="1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4.25" customHeight="1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4.25" customHeight="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4.25" customHeight="1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4.25" customHeight="1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4.25" customHeight="1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4.25" customHeight="1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4.25" customHeight="1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4.25" customHeight="1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4.25" customHeight="1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4.25" customHeight="1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4.25" customHeight="1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4.25" customHeight="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4.25" customHeight="1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4.25" customHeight="1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4.25" customHeight="1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4.25" customHeight="1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4.25" customHeight="1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4.25" customHeight="1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4.25" customHeight="1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4.25" customHeight="1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4.25" customHeight="1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4.25" customHeight="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4.25" customHeight="1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4.25" customHeight="1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4.25" customHeight="1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4.25" customHeight="1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4.25" customHeight="1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4.25" customHeight="1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4.25" customHeight="1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4.25" customHeight="1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4.25" customHeight="1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4.25" customHeight="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4.25" customHeight="1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4.25" customHeight="1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4.25" customHeight="1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4.25" customHeight="1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4.25" customHeight="1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4.25" customHeight="1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4.25" customHeight="1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4.25" customHeight="1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4.25" customHeight="1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4.25" customHeight="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4.25" customHeight="1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4.25" customHeight="1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4.25" customHeight="1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4.25" customHeight="1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4.25" customHeight="1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4.25" customHeight="1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4.25" customHeight="1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4.25" customHeight="1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4.25" customHeight="1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4.25" customHeight="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4.25" customHeight="1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4.25" customHeight="1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4.25" customHeight="1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4.25" customHeight="1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4.25" customHeight="1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4.25" customHeight="1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4.25" customHeight="1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4.25" customHeight="1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4.25" customHeight="1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4.25" customHeight="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4.25" customHeight="1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4.25" customHeight="1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4.25" customHeight="1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4.25" customHeight="1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4.25" customHeight="1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4.25" customHeight="1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4.25" customHeight="1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4.25" customHeight="1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4.25" customHeight="1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tabColor rgb="FF7F7F7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S53"/>
  <sheetViews>
    <sheetView showGridLines="0" zoomScale="85" zoomScaleNormal="85" workbookViewId="0">
      <pane xSplit="2" ySplit="9" topLeftCell="CO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8" defaultColWidth="14.42578125" defaultRowHeight="15" customHeight="1"/>
  <cols>
    <col width="2.5703125" customWidth="1" min="1" max="1"/>
    <col width="25.5703125" customWidth="1" min="2" max="2"/>
    <col width="3.7109375" customWidth="1" min="3" max="3"/>
    <col width="2.5703125" customWidth="1" min="4" max="5"/>
    <col width="12.5703125" customWidth="1" min="6" max="13"/>
    <col width="2.5703125" customWidth="1" min="14" max="14"/>
    <col width="12.5703125" customWidth="1" min="15" max="15"/>
    <col outlineLevel="1" width="2.5703125" customWidth="1" min="16" max="16"/>
    <col outlineLevel="1" width="12.5703125" customWidth="1" min="17" max="112"/>
    <col width="2.5703125" customWidth="1" min="113" max="113"/>
    <col width="13.85546875" customWidth="1" min="114" max="121"/>
    <col width="12.5703125" customWidth="1" min="122" max="123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  <c r="DS2" s="32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  <c r="DS3" s="32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32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  <c r="DS5" s="32" t="n"/>
    </row>
    <row r="6" ht="4.5" customHeight="1"/>
    <row r="7">
      <c r="B7" s="34" t="n"/>
      <c r="C7" s="34" t="n"/>
      <c r="D7" s="34" t="n"/>
      <c r="E7" s="35" t="n"/>
      <c r="F7" s="36" t="n">
        <v>2019</v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  <c r="N7" s="35" t="n"/>
      <c r="O7" s="37">
        <f>+I7</f>
        <v/>
      </c>
      <c r="Q7" s="36">
        <f>+YEAR(Q8)</f>
        <v/>
      </c>
      <c r="R7" s="36">
        <f>+YEAR(R8)</f>
        <v/>
      </c>
      <c r="S7" s="36">
        <f>+YEAR(S8)</f>
        <v/>
      </c>
      <c r="T7" s="36">
        <f>+YEAR(T8)</f>
        <v/>
      </c>
      <c r="U7" s="36">
        <f>+YEAR(U8)</f>
        <v/>
      </c>
      <c r="V7" s="36">
        <f>+YEAR(V8)</f>
        <v/>
      </c>
      <c r="W7" s="36">
        <f>+YEAR(W8)</f>
        <v/>
      </c>
      <c r="X7" s="36">
        <f>+YEAR(X8)</f>
        <v/>
      </c>
      <c r="Y7" s="36">
        <f>+YEAR(Y8)</f>
        <v/>
      </c>
      <c r="Z7" s="36">
        <f>+YEAR(Z8)</f>
        <v/>
      </c>
      <c r="AA7" s="36">
        <f>+YEAR(AA8)</f>
        <v/>
      </c>
      <c r="AB7" s="36">
        <f>+YEAR(AB8)</f>
        <v/>
      </c>
      <c r="AC7" s="36">
        <f>+YEAR(AC8)</f>
        <v/>
      </c>
      <c r="AD7" s="36">
        <f>+YEAR(AD8)</f>
        <v/>
      </c>
      <c r="AE7" s="36">
        <f>+YEAR(AE8)</f>
        <v/>
      </c>
      <c r="AF7" s="36">
        <f>+YEAR(AF8)</f>
        <v/>
      </c>
      <c r="AG7" s="36">
        <f>+YEAR(AG8)</f>
        <v/>
      </c>
      <c r="AH7" s="36">
        <f>+YEAR(AH8)</f>
        <v/>
      </c>
      <c r="AI7" s="36">
        <f>+YEAR(AI8)</f>
        <v/>
      </c>
      <c r="AJ7" s="36">
        <f>+YEAR(AJ8)</f>
        <v/>
      </c>
      <c r="AK7" s="36">
        <f>+YEAR(AK8)</f>
        <v/>
      </c>
      <c r="AL7" s="36">
        <f>+YEAR(AL8)</f>
        <v/>
      </c>
      <c r="AM7" s="36">
        <f>+YEAR(AM8)</f>
        <v/>
      </c>
      <c r="AN7" s="36">
        <f>+YEAR(AN8)</f>
        <v/>
      </c>
      <c r="AO7" s="36">
        <f>+YEAR(AO8)</f>
        <v/>
      </c>
      <c r="AP7" s="36">
        <f>+YEAR(AP8)</f>
        <v/>
      </c>
      <c r="AQ7" s="36">
        <f>+YEAR(AQ8)</f>
        <v/>
      </c>
      <c r="AR7" s="36">
        <f>+YEAR(AR8)</f>
        <v/>
      </c>
      <c r="AS7" s="36">
        <f>+YEAR(AS8)</f>
        <v/>
      </c>
      <c r="AT7" s="36">
        <f>+YEAR(AT8)</f>
        <v/>
      </c>
      <c r="AU7" s="36">
        <f>+YEAR(AU8)</f>
        <v/>
      </c>
      <c r="AV7" s="36">
        <f>+YEAR(AV8)</f>
        <v/>
      </c>
      <c r="AW7" s="36">
        <f>+YEAR(AW8)</f>
        <v/>
      </c>
      <c r="AX7" s="36">
        <f>+YEAR(AX8)</f>
        <v/>
      </c>
      <c r="AY7" s="36">
        <f>+YEAR(AY8)</f>
        <v/>
      </c>
      <c r="AZ7" s="36">
        <f>+YEAR(AZ8)</f>
        <v/>
      </c>
      <c r="BA7" s="36">
        <f>+YEAR(BA8)</f>
        <v/>
      </c>
      <c r="BB7" s="36">
        <f>+YEAR(BB8)</f>
        <v/>
      </c>
      <c r="BC7" s="36">
        <f>+YEAR(BC8)</f>
        <v/>
      </c>
      <c r="BD7" s="36">
        <f>+YEAR(BD8)</f>
        <v/>
      </c>
      <c r="BE7" s="36">
        <f>+YEAR(BE8)</f>
        <v/>
      </c>
      <c r="BF7" s="36">
        <f>+YEAR(BF8)</f>
        <v/>
      </c>
      <c r="BG7" s="36">
        <f>+YEAR(BG8)</f>
        <v/>
      </c>
      <c r="BH7" s="36">
        <f>+YEAR(BH8)</f>
        <v/>
      </c>
      <c r="BI7" s="36">
        <f>+YEAR(BI8)</f>
        <v/>
      </c>
      <c r="BJ7" s="36">
        <f>+YEAR(BJ8)</f>
        <v/>
      </c>
      <c r="BK7" s="36">
        <f>+YEAR(BK8)</f>
        <v/>
      </c>
      <c r="BL7" s="36">
        <f>+YEAR(BL8)</f>
        <v/>
      </c>
      <c r="BM7" s="36">
        <f>+YEAR(BM8)</f>
        <v/>
      </c>
      <c r="BN7" s="36">
        <f>+YEAR(BN8)</f>
        <v/>
      </c>
      <c r="BO7" s="36">
        <f>+YEAR(BO8)</f>
        <v/>
      </c>
      <c r="BP7" s="36">
        <f>+YEAR(BP8)</f>
        <v/>
      </c>
      <c r="BQ7" s="36">
        <f>+YEAR(BQ8)</f>
        <v/>
      </c>
      <c r="BR7" s="36">
        <f>+YEAR(BR8)</f>
        <v/>
      </c>
      <c r="BS7" s="36">
        <f>+YEAR(BS8)</f>
        <v/>
      </c>
      <c r="BT7" s="36">
        <f>+YEAR(BT8)</f>
        <v/>
      </c>
      <c r="BU7" s="36">
        <f>+YEAR(BU8)</f>
        <v/>
      </c>
      <c r="BV7" s="36">
        <f>+YEAR(BV8)</f>
        <v/>
      </c>
      <c r="BW7" s="36">
        <f>+YEAR(BW8)</f>
        <v/>
      </c>
      <c r="BX7" s="36">
        <f>+YEAR(BX8)</f>
        <v/>
      </c>
      <c r="BY7" s="36">
        <f>+YEAR(BY8)</f>
        <v/>
      </c>
      <c r="BZ7" s="36">
        <f>+YEAR(BZ8)</f>
        <v/>
      </c>
      <c r="CA7" s="36">
        <f>+YEAR(CA8)</f>
        <v/>
      </c>
      <c r="CB7" s="36">
        <f>+YEAR(CB8)</f>
        <v/>
      </c>
      <c r="CC7" s="36">
        <f>+YEAR(CC8)</f>
        <v/>
      </c>
      <c r="CD7" s="36">
        <f>+YEAR(CD8)</f>
        <v/>
      </c>
      <c r="CE7" s="36">
        <f>+YEAR(CE8)</f>
        <v/>
      </c>
      <c r="CF7" s="36">
        <f>+YEAR(CF8)</f>
        <v/>
      </c>
      <c r="CG7" s="36">
        <f>+YEAR(CG8)</f>
        <v/>
      </c>
      <c r="CH7" s="36">
        <f>+YEAR(CH8)</f>
        <v/>
      </c>
      <c r="CI7" s="36">
        <f>+YEAR(CI8)</f>
        <v/>
      </c>
      <c r="CJ7" s="36">
        <f>+YEAR(CJ8)</f>
        <v/>
      </c>
      <c r="CK7" s="36">
        <f>+YEAR(CK8)</f>
        <v/>
      </c>
      <c r="CL7" s="36">
        <f>+YEAR(CL8)</f>
        <v/>
      </c>
      <c r="CM7" s="36">
        <f>+YEAR(CM8)</f>
        <v/>
      </c>
      <c r="CN7" s="36">
        <f>+YEAR(CN8)</f>
        <v/>
      </c>
      <c r="CO7" s="36">
        <f>+YEAR(CO8)</f>
        <v/>
      </c>
      <c r="CP7" s="36">
        <f>+YEAR(CP8)</f>
        <v/>
      </c>
      <c r="CQ7" s="36">
        <f>+YEAR(CQ8)</f>
        <v/>
      </c>
      <c r="CR7" s="36">
        <f>+YEAR(CR8)</f>
        <v/>
      </c>
      <c r="CS7" s="36">
        <f>+YEAR(CS8)</f>
        <v/>
      </c>
      <c r="CT7" s="36">
        <f>+YEAR(CT8)</f>
        <v/>
      </c>
      <c r="CU7" s="36">
        <f>+YEAR(CU8)</f>
        <v/>
      </c>
      <c r="CV7" s="36">
        <f>+YEAR(CV8)</f>
        <v/>
      </c>
      <c r="CW7" s="36">
        <f>+YEAR(CW8)</f>
        <v/>
      </c>
      <c r="CX7" s="36">
        <f>+YEAR(CX8)</f>
        <v/>
      </c>
      <c r="CY7" s="36">
        <f>+YEAR(CY8)</f>
        <v/>
      </c>
      <c r="CZ7" s="36">
        <f>+YEAR(CZ8)</f>
        <v/>
      </c>
      <c r="DA7" s="36">
        <f>+YEAR(DA8)</f>
        <v/>
      </c>
      <c r="DB7" s="36">
        <f>+YEAR(DB8)</f>
        <v/>
      </c>
      <c r="DC7" s="36">
        <f>+YEAR(DC8)</f>
        <v/>
      </c>
      <c r="DD7" s="36">
        <f>+YEAR(DD8)</f>
        <v/>
      </c>
      <c r="DE7" s="36">
        <f>+YEAR(DE8)</f>
        <v/>
      </c>
      <c r="DF7" s="36">
        <f>+YEAR(DF8)</f>
        <v/>
      </c>
      <c r="DG7" s="36">
        <f>+YEAR(DG8)</f>
        <v/>
      </c>
      <c r="DH7" s="36">
        <f>+YEAR(DH8)</f>
        <v/>
      </c>
      <c r="DJ7" s="151" t="inlineStr">
        <is>
          <t>Growth / Margin Analysis</t>
        </is>
      </c>
    </row>
    <row r="8">
      <c r="B8" s="34" t="n"/>
      <c r="C8" s="34" t="n"/>
      <c r="D8" s="34" t="n"/>
      <c r="E8" s="38" t="n"/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  <c r="N8" s="38" t="n"/>
      <c r="O8" s="40">
        <f>+I8</f>
        <v/>
      </c>
      <c r="Q8" s="39" t="n">
        <v>43496</v>
      </c>
      <c r="R8" s="39">
        <f>+EOMONTH(Q8,1)</f>
        <v/>
      </c>
      <c r="S8" s="39">
        <f>+EOMONTH(R8,1)</f>
        <v/>
      </c>
      <c r="T8" s="39">
        <f>+EOMONTH(S8,1)</f>
        <v/>
      </c>
      <c r="U8" s="39">
        <f>+EOMONTH(T8,1)</f>
        <v/>
      </c>
      <c r="V8" s="39">
        <f>+EOMONTH(U8,1)</f>
        <v/>
      </c>
      <c r="W8" s="39">
        <f>+EOMONTH(V8,1)</f>
        <v/>
      </c>
      <c r="X8" s="39">
        <f>+EOMONTH(W8,1)</f>
        <v/>
      </c>
      <c r="Y8" s="39">
        <f>+EOMONTH(X8,1)</f>
        <v/>
      </c>
      <c r="Z8" s="39">
        <f>+EOMONTH(Y8,1)</f>
        <v/>
      </c>
      <c r="AA8" s="39">
        <f>+EOMONTH(Z8,1)</f>
        <v/>
      </c>
      <c r="AB8" s="39">
        <f>+EOMONTH(AA8,1)</f>
        <v/>
      </c>
      <c r="AC8" s="39">
        <f>+EOMONTH(AB8,1)</f>
        <v/>
      </c>
      <c r="AD8" s="39">
        <f>+EOMONTH(AC8,1)</f>
        <v/>
      </c>
      <c r="AE8" s="39">
        <f>+EOMONTH(AD8,1)</f>
        <v/>
      </c>
      <c r="AF8" s="39">
        <f>+EOMONTH(AE8,1)</f>
        <v/>
      </c>
      <c r="AG8" s="39">
        <f>+EOMONTH(AF8,1)</f>
        <v/>
      </c>
      <c r="AH8" s="39">
        <f>+EOMONTH(AG8,1)</f>
        <v/>
      </c>
      <c r="AI8" s="39">
        <f>+EOMONTH(AH8,1)</f>
        <v/>
      </c>
      <c r="AJ8" s="39">
        <f>+EOMONTH(AI8,1)</f>
        <v/>
      </c>
      <c r="AK8" s="39">
        <f>+EOMONTH(AJ8,1)</f>
        <v/>
      </c>
      <c r="AL8" s="39">
        <f>+EOMONTH(AK8,1)</f>
        <v/>
      </c>
      <c r="AM8" s="39">
        <f>+EOMONTH(AL8,1)</f>
        <v/>
      </c>
      <c r="AN8" s="39">
        <f>+EOMONTH(AM8,1)</f>
        <v/>
      </c>
      <c r="AO8" s="39">
        <f>+EOMONTH(AN8,1)</f>
        <v/>
      </c>
      <c r="AP8" s="39">
        <f>+EOMONTH(AO8,1)</f>
        <v/>
      </c>
      <c r="AQ8" s="39">
        <f>+EOMONTH(AP8,1)</f>
        <v/>
      </c>
      <c r="AR8" s="39">
        <f>+EOMONTH(AQ8,1)</f>
        <v/>
      </c>
      <c r="AS8" s="39">
        <f>+EOMONTH(AR8,1)</f>
        <v/>
      </c>
      <c r="AT8" s="39">
        <f>+EOMONTH(AS8,1)</f>
        <v/>
      </c>
      <c r="AU8" s="39">
        <f>+EOMONTH(AT8,1)</f>
        <v/>
      </c>
      <c r="AV8" s="39">
        <f>+EOMONTH(AU8,1)</f>
        <v/>
      </c>
      <c r="AW8" s="39">
        <f>+EOMONTH(AV8,1)</f>
        <v/>
      </c>
      <c r="AX8" s="39">
        <f>+EOMONTH(AW8,1)</f>
        <v/>
      </c>
      <c r="AY8" s="39">
        <f>+EOMONTH(AX8,1)</f>
        <v/>
      </c>
      <c r="AZ8" s="39">
        <f>+EOMONTH(AY8,1)</f>
        <v/>
      </c>
      <c r="BA8" s="39">
        <f>+EOMONTH(AZ8,1)</f>
        <v/>
      </c>
      <c r="BB8" s="39">
        <f>+EOMONTH(BA8,1)</f>
        <v/>
      </c>
      <c r="BC8" s="39">
        <f>+EOMONTH(BB8,1)</f>
        <v/>
      </c>
      <c r="BD8" s="39">
        <f>+EOMONTH(BC8,1)</f>
        <v/>
      </c>
      <c r="BE8" s="39">
        <f>+EOMONTH(BD8,1)</f>
        <v/>
      </c>
      <c r="BF8" s="39">
        <f>+EOMONTH(BE8,1)</f>
        <v/>
      </c>
      <c r="BG8" s="39">
        <f>+EOMONTH(BF8,1)</f>
        <v/>
      </c>
      <c r="BH8" s="39">
        <f>+EOMONTH(BG8,1)</f>
        <v/>
      </c>
      <c r="BI8" s="39">
        <f>+EOMONTH(BH8,1)</f>
        <v/>
      </c>
      <c r="BJ8" s="39">
        <f>+EOMONTH(BI8,1)</f>
        <v/>
      </c>
      <c r="BK8" s="39">
        <f>+EOMONTH(BJ8,1)</f>
        <v/>
      </c>
      <c r="BL8" s="39">
        <f>+EOMONTH(BK8,1)</f>
        <v/>
      </c>
      <c r="BM8" s="39">
        <f>+EOMONTH(BL8,1)</f>
        <v/>
      </c>
      <c r="BN8" s="39">
        <f>+EOMONTH(BM8,1)</f>
        <v/>
      </c>
      <c r="BO8" s="39">
        <f>+EOMONTH(BN8,1)</f>
        <v/>
      </c>
      <c r="BP8" s="39">
        <f>+EOMONTH(BO8,1)</f>
        <v/>
      </c>
      <c r="BQ8" s="39">
        <f>+EOMONTH(BP8,1)</f>
        <v/>
      </c>
      <c r="BR8" s="39">
        <f>+EOMONTH(BQ8,1)</f>
        <v/>
      </c>
      <c r="BS8" s="39">
        <f>+EOMONTH(BR8,1)</f>
        <v/>
      </c>
      <c r="BT8" s="39">
        <f>+EOMONTH(BS8,1)</f>
        <v/>
      </c>
      <c r="BU8" s="39">
        <f>+EOMONTH(BT8,1)</f>
        <v/>
      </c>
      <c r="BV8" s="39">
        <f>+EOMONTH(BU8,1)</f>
        <v/>
      </c>
      <c r="BW8" s="39">
        <f>+EOMONTH(BV8,1)</f>
        <v/>
      </c>
      <c r="BX8" s="39">
        <f>+EOMONTH(BW8,1)</f>
        <v/>
      </c>
      <c r="BY8" s="39">
        <f>+EOMONTH(BX8,1)</f>
        <v/>
      </c>
      <c r="BZ8" s="39">
        <f>+EOMONTH(BY8,1)</f>
        <v/>
      </c>
      <c r="CA8" s="39">
        <f>+EOMONTH(BZ8,1)</f>
        <v/>
      </c>
      <c r="CB8" s="39">
        <f>+EOMONTH(CA8,1)</f>
        <v/>
      </c>
      <c r="CC8" s="39">
        <f>+EOMONTH(CB8,1)</f>
        <v/>
      </c>
      <c r="CD8" s="39">
        <f>+EOMONTH(CC8,1)</f>
        <v/>
      </c>
      <c r="CE8" s="39">
        <f>+EOMONTH(CD8,1)</f>
        <v/>
      </c>
      <c r="CF8" s="39">
        <f>+EOMONTH(CE8,1)</f>
        <v/>
      </c>
      <c r="CG8" s="39">
        <f>+EOMONTH(CF8,1)</f>
        <v/>
      </c>
      <c r="CH8" s="39">
        <f>+EOMONTH(CG8,1)</f>
        <v/>
      </c>
      <c r="CI8" s="39">
        <f>+EOMONTH(CH8,1)</f>
        <v/>
      </c>
      <c r="CJ8" s="39">
        <f>+EOMONTH(CI8,1)</f>
        <v/>
      </c>
      <c r="CK8" s="39">
        <f>+EOMONTH(CJ8,1)</f>
        <v/>
      </c>
      <c r="CL8" s="39">
        <f>+EOMONTH(CK8,1)</f>
        <v/>
      </c>
      <c r="CM8" s="39">
        <f>+EOMONTH(CL8,1)</f>
        <v/>
      </c>
      <c r="CN8" s="39">
        <f>+EOMONTH(CM8,1)</f>
        <v/>
      </c>
      <c r="CO8" s="39">
        <f>+EOMONTH(CN8,1)</f>
        <v/>
      </c>
      <c r="CP8" s="39">
        <f>+EOMONTH(CO8,1)</f>
        <v/>
      </c>
      <c r="CQ8" s="39">
        <f>+EOMONTH(CP8,1)</f>
        <v/>
      </c>
      <c r="CR8" s="39">
        <f>+EOMONTH(CQ8,1)</f>
        <v/>
      </c>
      <c r="CS8" s="39">
        <f>+EOMONTH(CR8,1)</f>
        <v/>
      </c>
      <c r="CT8" s="39">
        <f>+EOMONTH(CS8,1)</f>
        <v/>
      </c>
      <c r="CU8" s="39">
        <f>+EOMONTH(CT8,1)</f>
        <v/>
      </c>
      <c r="CV8" s="39">
        <f>+EOMONTH(CU8,1)</f>
        <v/>
      </c>
      <c r="CW8" s="39">
        <f>+EOMONTH(CV8,1)</f>
        <v/>
      </c>
      <c r="CX8" s="39">
        <f>+EOMONTH(CW8,1)</f>
        <v/>
      </c>
      <c r="CY8" s="39">
        <f>+EOMONTH(CX8,1)</f>
        <v/>
      </c>
      <c r="CZ8" s="39">
        <f>+EOMONTH(CY8,1)</f>
        <v/>
      </c>
      <c r="DA8" s="39">
        <f>+EOMONTH(CZ8,1)</f>
        <v/>
      </c>
      <c r="DB8" s="39">
        <f>+EOMONTH(DA8,1)</f>
        <v/>
      </c>
      <c r="DC8" s="39">
        <f>+EOMONTH(DB8,1)</f>
        <v/>
      </c>
      <c r="DD8" s="39">
        <f>+EOMONTH(DC8,1)</f>
        <v/>
      </c>
      <c r="DE8" s="39">
        <f>+EOMONTH(DD8,1)</f>
        <v/>
      </c>
      <c r="DF8" s="39">
        <f>+EOMONTH(DE8,1)</f>
        <v/>
      </c>
      <c r="DG8" s="39">
        <f>+EOMONTH(DF8,1)</f>
        <v/>
      </c>
      <c r="DH8" s="39">
        <f>+EOMONTH(DG8,1)</f>
        <v/>
      </c>
      <c r="DJ8" s="36" t="n">
        <v>2019</v>
      </c>
      <c r="DK8" s="36">
        <f>+DJ8+1</f>
        <v/>
      </c>
      <c r="DL8" s="36">
        <f>+DK8+1</f>
        <v/>
      </c>
      <c r="DM8" s="36">
        <f>+DL8+1</f>
        <v/>
      </c>
      <c r="DN8" s="36">
        <f>+DM8+1</f>
        <v/>
      </c>
      <c r="DO8" s="36">
        <f>+DN8+1</f>
        <v/>
      </c>
      <c r="DP8" s="36">
        <f>+DO8+1</f>
        <v/>
      </c>
      <c r="DQ8" s="36">
        <f>+DP8+1</f>
        <v/>
      </c>
    </row>
    <row r="9">
      <c r="B9" s="34" t="inlineStr">
        <is>
          <t>$ in thousands</t>
        </is>
      </c>
      <c r="C9" s="34" t="n"/>
      <c r="D9" s="34" t="n"/>
      <c r="E9" s="41" t="n"/>
      <c r="F9" s="42" t="inlineStr">
        <is>
          <t>Actual</t>
        </is>
      </c>
      <c r="G9" s="42" t="inlineStr">
        <is>
          <t>Actual</t>
        </is>
      </c>
      <c r="H9" s="42" t="inlineStr">
        <is>
          <t>Actual</t>
        </is>
      </c>
      <c r="I9" s="42" t="inlineStr">
        <is>
          <t>Budget</t>
        </is>
      </c>
      <c r="J9" s="42" t="inlineStr">
        <is>
          <t>Projection</t>
        </is>
      </c>
      <c r="K9" s="42" t="inlineStr">
        <is>
          <t>Projection</t>
        </is>
      </c>
      <c r="L9" s="42" t="inlineStr">
        <is>
          <t>Projection</t>
        </is>
      </c>
      <c r="M9" s="42" t="inlineStr">
        <is>
          <t>Projection</t>
        </is>
      </c>
      <c r="N9" s="41" t="n"/>
      <c r="O9" s="43" t="inlineStr">
        <is>
          <t>Run Rate</t>
        </is>
      </c>
      <c r="Q9" s="42" t="inlineStr">
        <is>
          <t>Actual</t>
        </is>
      </c>
      <c r="R9" s="42" t="inlineStr">
        <is>
          <t>Actual</t>
        </is>
      </c>
      <c r="S9" s="42" t="inlineStr">
        <is>
          <t>Actual</t>
        </is>
      </c>
      <c r="T9" s="42" t="inlineStr">
        <is>
          <t>Actual</t>
        </is>
      </c>
      <c r="U9" s="42" t="inlineStr">
        <is>
          <t>Actual</t>
        </is>
      </c>
      <c r="V9" s="42" t="inlineStr">
        <is>
          <t>Actual</t>
        </is>
      </c>
      <c r="W9" s="42" t="inlineStr">
        <is>
          <t>Actual</t>
        </is>
      </c>
      <c r="X9" s="42" t="inlineStr">
        <is>
          <t>Actual</t>
        </is>
      </c>
      <c r="Y9" s="42" t="inlineStr">
        <is>
          <t>Actual</t>
        </is>
      </c>
      <c r="Z9" s="42" t="inlineStr">
        <is>
          <t>Actual</t>
        </is>
      </c>
      <c r="AA9" s="42" t="inlineStr">
        <is>
          <t>Actual</t>
        </is>
      </c>
      <c r="AB9" s="42" t="inlineStr">
        <is>
          <t>Actual</t>
        </is>
      </c>
      <c r="AC9" s="42" t="inlineStr">
        <is>
          <t>Actual</t>
        </is>
      </c>
      <c r="AD9" s="42" t="inlineStr">
        <is>
          <t>Actual</t>
        </is>
      </c>
      <c r="AE9" s="42" t="inlineStr">
        <is>
          <t>Actual</t>
        </is>
      </c>
      <c r="AF9" s="42" t="inlineStr">
        <is>
          <t>Actual</t>
        </is>
      </c>
      <c r="AG9" s="42" t="inlineStr">
        <is>
          <t>Actual</t>
        </is>
      </c>
      <c r="AH9" s="42" t="inlineStr">
        <is>
          <t>Actual</t>
        </is>
      </c>
      <c r="AI9" s="42" t="inlineStr">
        <is>
          <t>Actual</t>
        </is>
      </c>
      <c r="AJ9" s="42" t="inlineStr">
        <is>
          <t>Actual</t>
        </is>
      </c>
      <c r="AK9" s="42" t="inlineStr">
        <is>
          <t>Actual</t>
        </is>
      </c>
      <c r="AL9" s="42" t="inlineStr">
        <is>
          <t>Actual</t>
        </is>
      </c>
      <c r="AM9" s="42" t="inlineStr">
        <is>
          <t>Actual</t>
        </is>
      </c>
      <c r="AN9" s="42" t="inlineStr">
        <is>
          <t>Actual</t>
        </is>
      </c>
      <c r="AO9" s="42" t="inlineStr">
        <is>
          <t>Actual</t>
        </is>
      </c>
      <c r="AP9" s="42" t="inlineStr">
        <is>
          <t>Actual</t>
        </is>
      </c>
      <c r="AQ9" s="42" t="inlineStr">
        <is>
          <t>Actual</t>
        </is>
      </c>
      <c r="AR9" s="42" t="inlineStr">
        <is>
          <t>Actual</t>
        </is>
      </c>
      <c r="AS9" s="42" t="inlineStr">
        <is>
          <t>Actual</t>
        </is>
      </c>
      <c r="AT9" s="42" t="inlineStr">
        <is>
          <t>Actual</t>
        </is>
      </c>
      <c r="AU9" s="42" t="inlineStr">
        <is>
          <t>Actual</t>
        </is>
      </c>
      <c r="AV9" s="42" t="inlineStr">
        <is>
          <t>Actual</t>
        </is>
      </c>
      <c r="AW9" s="42" t="inlineStr">
        <is>
          <t>Actual</t>
        </is>
      </c>
      <c r="AX9" s="42" t="inlineStr">
        <is>
          <t>Actual</t>
        </is>
      </c>
      <c r="AY9" s="42" t="inlineStr">
        <is>
          <t>Actual</t>
        </is>
      </c>
      <c r="AZ9" s="42" t="inlineStr">
        <is>
          <t>Actual</t>
        </is>
      </c>
      <c r="BA9" s="42" t="inlineStr">
        <is>
          <t>Actual</t>
        </is>
      </c>
      <c r="BB9" s="42" t="inlineStr">
        <is>
          <t>Actual</t>
        </is>
      </c>
      <c r="BC9" s="42" t="inlineStr">
        <is>
          <t>Actual</t>
        </is>
      </c>
      <c r="BD9" s="42" t="inlineStr">
        <is>
          <t>Budget</t>
        </is>
      </c>
      <c r="BE9" s="42" t="inlineStr">
        <is>
          <t>Budget</t>
        </is>
      </c>
      <c r="BF9" s="42" t="inlineStr">
        <is>
          <t>Budget</t>
        </is>
      </c>
      <c r="BG9" s="42" t="inlineStr">
        <is>
          <t>Budget</t>
        </is>
      </c>
      <c r="BH9" s="42" t="inlineStr">
        <is>
          <t>Budget</t>
        </is>
      </c>
      <c r="BI9" s="42" t="inlineStr">
        <is>
          <t>Budget</t>
        </is>
      </c>
      <c r="BJ9" s="42" t="inlineStr">
        <is>
          <t>Budget</t>
        </is>
      </c>
      <c r="BK9" s="42" t="inlineStr">
        <is>
          <t>Budget</t>
        </is>
      </c>
      <c r="BL9" s="42" t="inlineStr">
        <is>
          <t>Budget</t>
        </is>
      </c>
      <c r="BM9" s="42" t="inlineStr">
        <is>
          <t>Projection</t>
        </is>
      </c>
      <c r="BN9" s="42" t="inlineStr">
        <is>
          <t>Projection</t>
        </is>
      </c>
      <c r="BO9" s="42" t="inlineStr">
        <is>
          <t>Projection</t>
        </is>
      </c>
      <c r="BP9" s="42" t="inlineStr">
        <is>
          <t>Projection</t>
        </is>
      </c>
      <c r="BQ9" s="42" t="inlineStr">
        <is>
          <t>Projection</t>
        </is>
      </c>
      <c r="BR9" s="42" t="inlineStr">
        <is>
          <t>Projection</t>
        </is>
      </c>
      <c r="BS9" s="42" t="inlineStr">
        <is>
          <t>Projection</t>
        </is>
      </c>
      <c r="BT9" s="42" t="inlineStr">
        <is>
          <t>Projection</t>
        </is>
      </c>
      <c r="BU9" s="42" t="inlineStr">
        <is>
          <t>Projection</t>
        </is>
      </c>
      <c r="BV9" s="42" t="inlineStr">
        <is>
          <t>Projection</t>
        </is>
      </c>
      <c r="BW9" s="42" t="inlineStr">
        <is>
          <t>Projection</t>
        </is>
      </c>
      <c r="BX9" s="42" t="inlineStr">
        <is>
          <t>Projection</t>
        </is>
      </c>
      <c r="BY9" s="42" t="inlineStr">
        <is>
          <t>Projection</t>
        </is>
      </c>
      <c r="BZ9" s="42" t="inlineStr">
        <is>
          <t>Projection</t>
        </is>
      </c>
      <c r="CA9" s="42" t="inlineStr">
        <is>
          <t>Projection</t>
        </is>
      </c>
      <c r="CB9" s="42" t="inlineStr">
        <is>
          <t>Projection</t>
        </is>
      </c>
      <c r="CC9" s="42" t="inlineStr">
        <is>
          <t>Projection</t>
        </is>
      </c>
      <c r="CD9" s="42" t="inlineStr">
        <is>
          <t>Projection</t>
        </is>
      </c>
      <c r="CE9" s="42" t="inlineStr">
        <is>
          <t>Projection</t>
        </is>
      </c>
      <c r="CF9" s="42" t="inlineStr">
        <is>
          <t>Projection</t>
        </is>
      </c>
      <c r="CG9" s="42" t="inlineStr">
        <is>
          <t>Projection</t>
        </is>
      </c>
      <c r="CH9" s="42" t="inlineStr">
        <is>
          <t>Projection</t>
        </is>
      </c>
      <c r="CI9" s="42" t="inlineStr">
        <is>
          <t>Projection</t>
        </is>
      </c>
      <c r="CJ9" s="42" t="inlineStr">
        <is>
          <t>Projection</t>
        </is>
      </c>
      <c r="CK9" s="42" t="inlineStr">
        <is>
          <t>Projection</t>
        </is>
      </c>
      <c r="CL9" s="42" t="inlineStr">
        <is>
          <t>Projection</t>
        </is>
      </c>
      <c r="CM9" s="42" t="inlineStr">
        <is>
          <t>Projection</t>
        </is>
      </c>
      <c r="CN9" s="42" t="inlineStr">
        <is>
          <t>Projection</t>
        </is>
      </c>
      <c r="CO9" s="42" t="inlineStr">
        <is>
          <t>Projection</t>
        </is>
      </c>
      <c r="CP9" s="42" t="inlineStr">
        <is>
          <t>Projection</t>
        </is>
      </c>
      <c r="CQ9" s="42" t="inlineStr">
        <is>
          <t>Projection</t>
        </is>
      </c>
      <c r="CR9" s="42" t="inlineStr">
        <is>
          <t>Projection</t>
        </is>
      </c>
      <c r="CS9" s="42" t="inlineStr">
        <is>
          <t>Projection</t>
        </is>
      </c>
      <c r="CT9" s="42" t="inlineStr">
        <is>
          <t>Projection</t>
        </is>
      </c>
      <c r="CU9" s="42" t="inlineStr">
        <is>
          <t>Projection</t>
        </is>
      </c>
      <c r="CV9" s="42" t="inlineStr">
        <is>
          <t>Projection</t>
        </is>
      </c>
      <c r="CW9" s="42" t="inlineStr">
        <is>
          <t>Projection</t>
        </is>
      </c>
      <c r="CX9" s="42" t="inlineStr">
        <is>
          <t>Projection</t>
        </is>
      </c>
      <c r="CY9" s="42" t="inlineStr">
        <is>
          <t>Projection</t>
        </is>
      </c>
      <c r="CZ9" s="42" t="inlineStr">
        <is>
          <t>Projection</t>
        </is>
      </c>
      <c r="DA9" s="42" t="inlineStr">
        <is>
          <t>Projection</t>
        </is>
      </c>
      <c r="DB9" s="42" t="inlineStr">
        <is>
          <t>Projection</t>
        </is>
      </c>
      <c r="DC9" s="42" t="inlineStr">
        <is>
          <t>Projection</t>
        </is>
      </c>
      <c r="DD9" s="42" t="inlineStr">
        <is>
          <t>Projection</t>
        </is>
      </c>
      <c r="DE9" s="42" t="inlineStr">
        <is>
          <t>Projection</t>
        </is>
      </c>
      <c r="DF9" s="42" t="inlineStr">
        <is>
          <t>Projection</t>
        </is>
      </c>
      <c r="DG9" s="42" t="inlineStr">
        <is>
          <t>Projection</t>
        </is>
      </c>
      <c r="DH9" s="42" t="inlineStr">
        <is>
          <t>Projection</t>
        </is>
      </c>
      <c r="DJ9" s="42" t="inlineStr">
        <is>
          <t>Actual</t>
        </is>
      </c>
      <c r="DK9" s="42" t="inlineStr">
        <is>
          <t>Actual</t>
        </is>
      </c>
      <c r="DL9" s="42" t="inlineStr">
        <is>
          <t>Actual</t>
        </is>
      </c>
      <c r="DM9" s="42" t="inlineStr">
        <is>
          <t>Budget</t>
        </is>
      </c>
      <c r="DN9" s="42" t="inlineStr">
        <is>
          <t>Projection</t>
        </is>
      </c>
      <c r="DO9" s="42" t="inlineStr">
        <is>
          <t>Projection</t>
        </is>
      </c>
      <c r="DP9" s="42" t="inlineStr">
        <is>
          <t>Projection</t>
        </is>
      </c>
      <c r="DQ9" s="42" t="inlineStr">
        <is>
          <t>Projection</t>
        </is>
      </c>
    </row>
    <row r="10" ht="4.5" customHeight="1"/>
    <row r="11">
      <c r="B11" s="44" t="inlineStr">
        <is>
          <t>Revenue</t>
        </is>
      </c>
      <c r="DJ11" s="152" t="inlineStr">
        <is>
          <t>Growth Analysis</t>
        </is>
      </c>
    </row>
    <row r="12">
      <c r="B12" s="5" t="inlineStr">
        <is>
          <t>Licensing</t>
        </is>
      </c>
      <c r="C12" s="45" t="n"/>
      <c r="E12" s="46" t="n"/>
      <c r="F12" s="46">
        <f>+'Revenue_Calcs'!F122</f>
        <v/>
      </c>
      <c r="G12" s="46">
        <f>+'Revenue_Calcs'!G122</f>
        <v/>
      </c>
      <c r="H12" s="46">
        <f>+'Revenue_Calcs'!H122</f>
        <v/>
      </c>
      <c r="I12" s="46">
        <f>+'Revenue_Calcs'!I122</f>
        <v/>
      </c>
      <c r="J12" s="46">
        <f>+'Revenue_Calcs'!J122</f>
        <v/>
      </c>
      <c r="K12" s="46">
        <f>+'Revenue_Calcs'!K122</f>
        <v/>
      </c>
      <c r="L12" s="46">
        <f>+'Revenue_Calcs'!L122</f>
        <v/>
      </c>
      <c r="M12" s="46">
        <f>+'Revenue_Calcs'!M122</f>
        <v/>
      </c>
      <c r="N12" s="46" t="n"/>
      <c r="O12" s="47">
        <f>I12+992.899</f>
        <v/>
      </c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8" t="n"/>
      <c r="AL12" s="48" t="n"/>
      <c r="AM12" s="48" t="n"/>
      <c r="AN12" s="48" t="n"/>
      <c r="AO12" s="48" t="n"/>
      <c r="AP12" s="48" t="n"/>
      <c r="AQ12" s="48" t="n"/>
      <c r="AR12" s="48" t="n"/>
      <c r="AS12" s="48" t="n"/>
      <c r="AT12" s="48" t="n"/>
      <c r="AU12" s="48" t="n"/>
      <c r="AV12" s="48" t="n"/>
      <c r="AW12" s="48" t="n"/>
      <c r="AX12" s="48" t="n"/>
      <c r="AY12" s="48" t="n"/>
      <c r="AZ12" s="48" t="n"/>
      <c r="BA12" s="48" t="n"/>
      <c r="BB12" s="48" t="n"/>
      <c r="BC12" s="48" t="n"/>
      <c r="BD12" s="48" t="n"/>
      <c r="BE12" s="48" t="n"/>
      <c r="BF12" s="48" t="n"/>
      <c r="BG12" s="48" t="n"/>
      <c r="BH12" s="48" t="n"/>
      <c r="BI12" s="48" t="n"/>
      <c r="BJ12" s="48" t="n"/>
      <c r="BK12" s="48" t="n"/>
      <c r="BL12" s="48" t="n"/>
      <c r="BM12" s="48" t="n"/>
      <c r="BN12" s="48" t="n"/>
      <c r="BO12" s="48" t="n"/>
      <c r="BP12" s="48" t="n"/>
      <c r="BQ12" s="48" t="n"/>
      <c r="BR12" s="48" t="n"/>
      <c r="BS12" s="48" t="n"/>
      <c r="BT12" s="48" t="n"/>
      <c r="BU12" s="48" t="n"/>
      <c r="BV12" s="48" t="n"/>
      <c r="BW12" s="48" t="n"/>
      <c r="BX12" s="48" t="n"/>
      <c r="BY12" s="48" t="n"/>
      <c r="BZ12" s="48" t="n"/>
      <c r="CA12" s="48" t="n"/>
      <c r="CB12" s="48" t="n"/>
      <c r="CC12" s="48" t="n"/>
      <c r="CD12" s="48" t="n"/>
      <c r="CE12" s="48" t="n"/>
      <c r="CF12" s="48" t="n"/>
      <c r="CG12" s="48" t="n"/>
      <c r="CH12" s="48" t="n"/>
      <c r="CI12" s="48" t="n"/>
      <c r="CJ12" s="48" t="n"/>
      <c r="CK12" s="48" t="n"/>
      <c r="CL12" s="48" t="n"/>
      <c r="CM12" s="48" t="n"/>
      <c r="CN12" s="48" t="n"/>
      <c r="CO12" s="48" t="n"/>
      <c r="CP12" s="48" t="n"/>
      <c r="CQ12" s="48" t="n"/>
      <c r="CR12" s="48" t="n"/>
      <c r="CS12" s="48" t="n"/>
      <c r="CT12" s="48" t="n"/>
      <c r="CU12" s="48" t="n"/>
      <c r="CV12" s="48" t="n"/>
      <c r="CW12" s="48" t="n"/>
      <c r="CX12" s="48" t="n"/>
      <c r="CY12" s="48" t="n"/>
      <c r="CZ12" s="48" t="n"/>
      <c r="DA12" s="48" t="n"/>
      <c r="DB12" s="48" t="n"/>
      <c r="DC12" s="48" t="n"/>
      <c r="DD12" s="48" t="n"/>
      <c r="DE12" s="48" t="n"/>
      <c r="DF12" s="48" t="n"/>
      <c r="DG12" s="48" t="n"/>
      <c r="DH12" s="48" t="n"/>
      <c r="DJ12" s="49" t="n"/>
      <c r="DK12" s="45">
        <f>+IFERROR(G12/F12-1,0)</f>
        <v/>
      </c>
      <c r="DL12" s="45">
        <f>+IFERROR(H12/G12-1,0)</f>
        <v/>
      </c>
      <c r="DM12" s="45">
        <f>+IFERROR(I12/H12-1,0)</f>
        <v/>
      </c>
      <c r="DN12" s="45">
        <f>+IFERROR(J12/I12-1,0)</f>
        <v/>
      </c>
      <c r="DO12" s="45" t="n"/>
      <c r="DP12" s="45">
        <f>+IFERROR(L12/K12-1,0)</f>
        <v/>
      </c>
      <c r="DQ12" s="45">
        <f>+IFERROR(M12/L12-1,0)</f>
        <v/>
      </c>
    </row>
    <row r="13">
      <c r="B13" s="5" t="inlineStr">
        <is>
          <t>Managed Services</t>
        </is>
      </c>
      <c r="C13" s="45" t="n"/>
      <c r="E13" s="46" t="n"/>
      <c r="F13" s="46">
        <f>+'Revenue_Calcs'!F209</f>
        <v/>
      </c>
      <c r="G13" s="46">
        <f>+'Revenue_Calcs'!G209</f>
        <v/>
      </c>
      <c r="H13" s="46">
        <f>+'Revenue_Calcs'!H209</f>
        <v/>
      </c>
      <c r="I13" s="46">
        <f>+'Revenue_Calcs'!I209</f>
        <v/>
      </c>
      <c r="J13" s="46">
        <f>+'Revenue_Calcs'!J209</f>
        <v/>
      </c>
      <c r="K13" s="46">
        <f>+'Revenue_Calcs'!K209</f>
        <v/>
      </c>
      <c r="L13" s="46">
        <f>+'Revenue_Calcs'!L209</f>
        <v/>
      </c>
      <c r="M13" s="46">
        <f>+'Revenue_Calcs'!M209</f>
        <v/>
      </c>
      <c r="N13" s="46" t="n"/>
      <c r="O13" s="46">
        <f>+I13</f>
        <v/>
      </c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  <c r="AL13" s="48" t="n"/>
      <c r="AM13" s="48" t="n"/>
      <c r="AN13" s="48" t="n"/>
      <c r="AO13" s="48" t="n"/>
      <c r="AP13" s="48" t="n"/>
      <c r="AQ13" s="48" t="n"/>
      <c r="AR13" s="48" t="n"/>
      <c r="AS13" s="48" t="n"/>
      <c r="AT13" s="48" t="n"/>
      <c r="AU13" s="48" t="n"/>
      <c r="AV13" s="48" t="n"/>
      <c r="AW13" s="48" t="n"/>
      <c r="AX13" s="48" t="n"/>
      <c r="AY13" s="48" t="n"/>
      <c r="AZ13" s="48" t="n"/>
      <c r="BA13" s="48" t="n"/>
      <c r="BB13" s="48" t="n"/>
      <c r="BC13" s="48" t="n"/>
      <c r="BD13" s="48" t="n"/>
      <c r="BE13" s="48" t="n"/>
      <c r="BF13" s="48" t="n"/>
      <c r="BG13" s="48" t="n"/>
      <c r="BH13" s="48" t="n"/>
      <c r="BI13" s="48" t="n"/>
      <c r="BJ13" s="48" t="n"/>
      <c r="BK13" s="48" t="n"/>
      <c r="BL13" s="48" t="n"/>
      <c r="BM13" s="48" t="n"/>
      <c r="BN13" s="48" t="n"/>
      <c r="BO13" s="48" t="n"/>
      <c r="BP13" s="48" t="n"/>
      <c r="BQ13" s="48" t="n"/>
      <c r="BR13" s="48" t="n"/>
      <c r="BS13" s="48" t="n"/>
      <c r="BT13" s="48" t="n"/>
      <c r="BU13" s="48" t="n"/>
      <c r="BV13" s="48" t="n"/>
      <c r="BW13" s="48" t="n"/>
      <c r="BX13" s="48" t="n"/>
      <c r="BY13" s="48" t="n"/>
      <c r="BZ13" s="48" t="n"/>
      <c r="CA13" s="48" t="n"/>
      <c r="CB13" s="48" t="n"/>
      <c r="CC13" s="48" t="n"/>
      <c r="CD13" s="48" t="n"/>
      <c r="CE13" s="48" t="n"/>
      <c r="CF13" s="48" t="n"/>
      <c r="CG13" s="48" t="n"/>
      <c r="CH13" s="48" t="n"/>
      <c r="CI13" s="48" t="n"/>
      <c r="CJ13" s="48" t="n"/>
      <c r="CK13" s="48" t="n"/>
      <c r="CL13" s="48" t="n"/>
      <c r="CM13" s="48" t="n"/>
      <c r="CN13" s="48" t="n"/>
      <c r="CO13" s="48" t="n"/>
      <c r="CP13" s="48" t="n"/>
      <c r="CQ13" s="48" t="n"/>
      <c r="CR13" s="48" t="n"/>
      <c r="CS13" s="48" t="n"/>
      <c r="CT13" s="48" t="n"/>
      <c r="CU13" s="48" t="n"/>
      <c r="CV13" s="48" t="n"/>
      <c r="CW13" s="48" t="n"/>
      <c r="CX13" s="48" t="n"/>
      <c r="CY13" s="48" t="n"/>
      <c r="CZ13" s="48" t="n"/>
      <c r="DA13" s="48" t="n"/>
      <c r="DB13" s="48" t="n"/>
      <c r="DC13" s="48" t="n"/>
      <c r="DD13" s="48" t="n"/>
      <c r="DE13" s="48" t="n"/>
      <c r="DF13" s="48" t="n"/>
      <c r="DG13" s="48" t="n"/>
      <c r="DH13" s="48" t="n"/>
      <c r="DJ13" s="49" t="n"/>
      <c r="DK13" s="45">
        <f>+IFERROR(G13/F13-1,0)</f>
        <v/>
      </c>
      <c r="DL13" s="45">
        <f>+IFERROR(H13/G13-1,0)</f>
        <v/>
      </c>
      <c r="DM13" s="45">
        <f>+IFERROR(I13/H13-1,0)</f>
        <v/>
      </c>
      <c r="DN13" s="45">
        <f>+IFERROR(J13/I13-1,0)</f>
        <v/>
      </c>
      <c r="DO13" s="45" t="n"/>
      <c r="DP13" s="45">
        <f>+IFERROR(L13/K13-1,0)</f>
        <v/>
      </c>
      <c r="DQ13" s="45">
        <f>+IFERROR(M13/L13-1,0)</f>
        <v/>
      </c>
    </row>
    <row r="14">
      <c r="B14" s="5" t="inlineStr">
        <is>
          <t>Implementation</t>
        </is>
      </c>
      <c r="C14" s="45" t="n"/>
      <c r="E14" s="46" t="n"/>
      <c r="F14" s="46">
        <f>+'Revenue_Calcs'!F283</f>
        <v/>
      </c>
      <c r="G14" s="46">
        <f>+'Revenue_Calcs'!G283</f>
        <v/>
      </c>
      <c r="H14" s="46">
        <f>+'Revenue_Calcs'!H283</f>
        <v/>
      </c>
      <c r="I14" s="46">
        <f>+'Revenue_Calcs'!I283</f>
        <v/>
      </c>
      <c r="J14" s="46">
        <f>+'Revenue_Calcs'!J283</f>
        <v/>
      </c>
      <c r="K14" s="46">
        <f>+'Revenue_Calcs'!K283</f>
        <v/>
      </c>
      <c r="L14" s="46">
        <f>+'Revenue_Calcs'!L283</f>
        <v/>
      </c>
      <c r="M14" s="46">
        <f>+'Revenue_Calcs'!M283</f>
        <v/>
      </c>
      <c r="N14" s="46" t="n"/>
      <c r="O14" s="46">
        <f>+I14</f>
        <v/>
      </c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  <c r="AO14" s="48" t="n"/>
      <c r="AP14" s="48" t="n"/>
      <c r="AQ14" s="48" t="n"/>
      <c r="AR14" s="48" t="n"/>
      <c r="AS14" s="48" t="n"/>
      <c r="AT14" s="48" t="n"/>
      <c r="AU14" s="48" t="n"/>
      <c r="AV14" s="48" t="n"/>
      <c r="AW14" s="48" t="n"/>
      <c r="AX14" s="48" t="n"/>
      <c r="AY14" s="48" t="n"/>
      <c r="AZ14" s="48" t="n"/>
      <c r="BA14" s="48" t="n"/>
      <c r="BB14" s="48" t="n"/>
      <c r="BC14" s="48" t="n"/>
      <c r="BD14" s="48" t="n"/>
      <c r="BE14" s="48" t="n"/>
      <c r="BF14" s="48" t="n"/>
      <c r="BG14" s="48" t="n"/>
      <c r="BH14" s="48" t="n"/>
      <c r="BI14" s="48" t="n"/>
      <c r="BJ14" s="48" t="n"/>
      <c r="BK14" s="48" t="n"/>
      <c r="BL14" s="48" t="n"/>
      <c r="BM14" s="48" t="n"/>
      <c r="BN14" s="48" t="n"/>
      <c r="BO14" s="48" t="n"/>
      <c r="BP14" s="48" t="n"/>
      <c r="BQ14" s="48" t="n"/>
      <c r="BR14" s="48" t="n"/>
      <c r="BS14" s="48" t="n"/>
      <c r="BT14" s="48" t="n"/>
      <c r="BU14" s="48" t="n"/>
      <c r="BV14" s="48" t="n"/>
      <c r="BW14" s="48" t="n"/>
      <c r="BX14" s="48" t="n"/>
      <c r="BY14" s="48" t="n"/>
      <c r="BZ14" s="48" t="n"/>
      <c r="CA14" s="48" t="n"/>
      <c r="CB14" s="48" t="n"/>
      <c r="CC14" s="48" t="n"/>
      <c r="CD14" s="48" t="n"/>
      <c r="CE14" s="48" t="n"/>
      <c r="CF14" s="48" t="n"/>
      <c r="CG14" s="48" t="n"/>
      <c r="CH14" s="48" t="n"/>
      <c r="CI14" s="48" t="n"/>
      <c r="CJ14" s="48" t="n"/>
      <c r="CK14" s="48" t="n"/>
      <c r="CL14" s="48" t="n"/>
      <c r="CM14" s="48" t="n"/>
      <c r="CN14" s="48" t="n"/>
      <c r="CO14" s="48" t="n"/>
      <c r="CP14" s="48" t="n"/>
      <c r="CQ14" s="48" t="n"/>
      <c r="CR14" s="48" t="n"/>
      <c r="CS14" s="48" t="n"/>
      <c r="CT14" s="48" t="n"/>
      <c r="CU14" s="48" t="n"/>
      <c r="CV14" s="48" t="n"/>
      <c r="CW14" s="48" t="n"/>
      <c r="CX14" s="48" t="n"/>
      <c r="CY14" s="48" t="n"/>
      <c r="CZ14" s="48" t="n"/>
      <c r="DA14" s="48" t="n"/>
      <c r="DB14" s="48" t="n"/>
      <c r="DC14" s="48" t="n"/>
      <c r="DD14" s="48" t="n"/>
      <c r="DE14" s="48" t="n"/>
      <c r="DF14" s="48" t="n"/>
      <c r="DG14" s="48" t="n"/>
      <c r="DH14" s="48" t="n"/>
      <c r="DJ14" s="49" t="n"/>
      <c r="DK14" s="45">
        <f>+IFERROR(G14/F14-1,0)</f>
        <v/>
      </c>
      <c r="DL14" s="45">
        <f>+IFERROR(H14/G14-1,0)</f>
        <v/>
      </c>
      <c r="DM14" s="45">
        <f>+IFERROR(I14/H14-1,0)</f>
        <v/>
      </c>
      <c r="DN14" s="45">
        <f>+IFERROR(J14/I14-1,0)</f>
        <v/>
      </c>
      <c r="DO14" s="45" t="n"/>
      <c r="DP14" s="45">
        <f>+IFERROR(L14/K14-1,0)</f>
        <v/>
      </c>
      <c r="DQ14" s="45">
        <f>+IFERROR(M14/L14-1,0)</f>
        <v/>
      </c>
    </row>
    <row r="15">
      <c r="B15" s="5" t="inlineStr">
        <is>
          <t>Other Revenue</t>
        </is>
      </c>
      <c r="E15" s="46" t="n"/>
      <c r="F15" s="46">
        <f>+'Revenue_Calcs'!F287</f>
        <v/>
      </c>
      <c r="G15" s="46">
        <f>+'Revenue_Calcs'!G287</f>
        <v/>
      </c>
      <c r="H15" s="46">
        <f>+'Revenue_Calcs'!H287</f>
        <v/>
      </c>
      <c r="I15" s="46">
        <f>+'Revenue_Calcs'!I287</f>
        <v/>
      </c>
      <c r="J15" s="46">
        <f>+'Revenue_Calcs'!J287</f>
        <v/>
      </c>
      <c r="K15" s="46">
        <f>+'Revenue_Calcs'!K287</f>
        <v/>
      </c>
      <c r="L15" s="46">
        <f>+'Revenue_Calcs'!L287</f>
        <v/>
      </c>
      <c r="M15" s="46">
        <f>+'Revenue_Calcs'!M287</f>
        <v/>
      </c>
      <c r="N15" s="46" t="n"/>
      <c r="O15" s="46">
        <f>+I15</f>
        <v/>
      </c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  <c r="AY15" s="48" t="n"/>
      <c r="AZ15" s="48" t="n"/>
      <c r="BA15" s="48" t="n"/>
      <c r="BB15" s="48" t="n"/>
      <c r="BC15" s="48" t="n"/>
      <c r="BD15" s="48" t="n"/>
      <c r="BE15" s="48" t="n"/>
      <c r="BF15" s="48" t="n"/>
      <c r="BG15" s="48" t="n"/>
      <c r="BH15" s="48" t="n"/>
      <c r="BI15" s="48" t="n"/>
      <c r="BJ15" s="48" t="n"/>
      <c r="BK15" s="48" t="n"/>
      <c r="BL15" s="48" t="n"/>
      <c r="BM15" s="48" t="n"/>
      <c r="BN15" s="48" t="n"/>
      <c r="BO15" s="48" t="n"/>
      <c r="BP15" s="48" t="n"/>
      <c r="BQ15" s="48" t="n"/>
      <c r="BR15" s="48" t="n"/>
      <c r="BS15" s="48" t="n"/>
      <c r="BT15" s="48" t="n"/>
      <c r="BU15" s="48" t="n"/>
      <c r="BV15" s="48" t="n"/>
      <c r="BW15" s="48" t="n"/>
      <c r="BX15" s="48" t="n"/>
      <c r="BY15" s="48" t="n"/>
      <c r="BZ15" s="48" t="n"/>
      <c r="CA15" s="48" t="n"/>
      <c r="CB15" s="48" t="n"/>
      <c r="CC15" s="48" t="n"/>
      <c r="CD15" s="48" t="n"/>
      <c r="CE15" s="48" t="n"/>
      <c r="CF15" s="48" t="n"/>
      <c r="CG15" s="48" t="n"/>
      <c r="CH15" s="48" t="n"/>
      <c r="CI15" s="48" t="n"/>
      <c r="CJ15" s="48" t="n"/>
      <c r="CK15" s="48" t="n"/>
      <c r="CL15" s="48" t="n"/>
      <c r="CM15" s="48" t="n"/>
      <c r="CN15" s="48" t="n"/>
      <c r="CO15" s="48" t="n"/>
      <c r="CP15" s="48" t="n"/>
      <c r="CQ15" s="48" t="n"/>
      <c r="CR15" s="48" t="n"/>
      <c r="CS15" s="48" t="n"/>
      <c r="CT15" s="48" t="n"/>
      <c r="CU15" s="48" t="n"/>
      <c r="CV15" s="48" t="n"/>
      <c r="CW15" s="48" t="n"/>
      <c r="CX15" s="48" t="n"/>
      <c r="CY15" s="48" t="n"/>
      <c r="CZ15" s="48" t="n"/>
      <c r="DA15" s="48" t="n"/>
      <c r="DB15" s="48" t="n"/>
      <c r="DC15" s="48" t="n"/>
      <c r="DD15" s="48" t="n"/>
      <c r="DE15" s="48" t="n"/>
      <c r="DF15" s="48" t="n"/>
      <c r="DG15" s="48" t="n"/>
      <c r="DH15" s="48" t="n"/>
      <c r="DJ15" s="49" t="n"/>
      <c r="DK15" s="45">
        <f>+IFERROR(G15/F15-1,0)</f>
        <v/>
      </c>
      <c r="DL15" s="45">
        <f>+IFERROR(H15/G15-1,0)</f>
        <v/>
      </c>
      <c r="DM15" s="45">
        <f>+IFERROR(I15/H15-1,0)</f>
        <v/>
      </c>
      <c r="DN15" s="45">
        <f>+IFERROR(J15/I15-1,0)</f>
        <v/>
      </c>
      <c r="DO15" s="45" t="n"/>
      <c r="DP15" s="45">
        <f>+IFERROR(L15/K15-1,0)</f>
        <v/>
      </c>
      <c r="DQ15" s="45">
        <f>+IFERROR(M15/L15-1,0)</f>
        <v/>
      </c>
    </row>
    <row r="16">
      <c r="B16" s="50" t="inlineStr">
        <is>
          <t>Total Revenue</t>
        </is>
      </c>
      <c r="C16" s="50" t="n"/>
      <c r="D16" s="50" t="n"/>
      <c r="E16" s="46" t="n"/>
      <c r="F16" s="51">
        <f>SUM(F12:F15)</f>
        <v/>
      </c>
      <c r="G16" s="51">
        <f>SUM(G12:G15)</f>
        <v/>
      </c>
      <c r="H16" s="51">
        <f>SUM(H12:H15)</f>
        <v/>
      </c>
      <c r="I16" s="51">
        <f>SUM(I12:I15)</f>
        <v/>
      </c>
      <c r="J16" s="51">
        <f>SUM(J12:J15)</f>
        <v/>
      </c>
      <c r="K16" s="51">
        <f>SUM(K12:K15)</f>
        <v/>
      </c>
      <c r="L16" s="51">
        <f>SUM(L12:L15)</f>
        <v/>
      </c>
      <c r="M16" s="51">
        <f>SUM(M12:M15)</f>
        <v/>
      </c>
      <c r="N16" s="46" t="n"/>
      <c r="O16" s="51">
        <f>SUM(O12:O15)</f>
        <v/>
      </c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  <c r="AD16" s="51" t="n"/>
      <c r="AE16" s="51" t="n"/>
      <c r="AF16" s="51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J16" s="52" t="n"/>
      <c r="DK16" s="53">
        <f>+G16/F16-1</f>
        <v/>
      </c>
      <c r="DL16" s="53">
        <f>+H16/G16-1</f>
        <v/>
      </c>
      <c r="DM16" s="53">
        <f>+I16/H16-1</f>
        <v/>
      </c>
      <c r="DN16" s="53">
        <f>+J16/I16-1</f>
        <v/>
      </c>
      <c r="DO16" s="53" t="n"/>
      <c r="DP16" s="53">
        <f>+L16/K16-1</f>
        <v/>
      </c>
      <c r="DQ16" s="53">
        <f>+M16/L16-1</f>
        <v/>
      </c>
    </row>
    <row r="17" ht="4.5" customHeight="1"/>
    <row r="18">
      <c r="B18" s="44" t="inlineStr">
        <is>
          <t>Cost of Sales</t>
        </is>
      </c>
      <c r="I18" s="54" t="n"/>
      <c r="J18" s="55" t="n"/>
      <c r="K18" s="55" t="n"/>
      <c r="L18" s="55" t="n"/>
      <c r="M18" s="55" t="n"/>
      <c r="O18" s="55" t="n"/>
      <c r="DJ18" s="152" t="inlineStr">
        <is>
          <t>Margin Analysis</t>
        </is>
      </c>
      <c r="DS18" s="44" t="n"/>
    </row>
    <row r="19">
      <c r="B19" s="5" t="inlineStr">
        <is>
          <t>Licensing</t>
        </is>
      </c>
      <c r="E19" s="46" t="n"/>
      <c r="F19" s="46">
        <f>+'COGS_Calcs'!F107</f>
        <v/>
      </c>
      <c r="G19" s="46">
        <f>+'COGS_Calcs'!G107</f>
        <v/>
      </c>
      <c r="H19" s="46">
        <f>+'COGS_Calcs'!H107</f>
        <v/>
      </c>
      <c r="I19" s="46">
        <f>+'COGS_Calcs'!I107</f>
        <v/>
      </c>
      <c r="J19" s="46">
        <f>+'COGS_Calcs'!J107</f>
        <v/>
      </c>
      <c r="K19" s="46">
        <f>+'COGS_Calcs'!K107</f>
        <v/>
      </c>
      <c r="L19" s="46">
        <f>+'COGS_Calcs'!L107</f>
        <v/>
      </c>
      <c r="M19" s="46">
        <f>+'COGS_Calcs'!M107</f>
        <v/>
      </c>
      <c r="N19" s="46" t="n"/>
      <c r="O19" s="47">
        <f>+I19+((O12-I12)*0.11)</f>
        <v/>
      </c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  <c r="AY19" s="48" t="n"/>
      <c r="AZ19" s="48" t="n"/>
      <c r="BA19" s="48" t="n"/>
      <c r="BB19" s="48" t="n"/>
      <c r="BC19" s="48" t="n"/>
      <c r="BD19" s="48" t="n"/>
      <c r="BE19" s="48" t="n"/>
      <c r="BF19" s="48" t="n"/>
      <c r="BG19" s="48" t="n"/>
      <c r="BH19" s="48" t="n"/>
      <c r="BI19" s="48" t="n"/>
      <c r="BJ19" s="48" t="n"/>
      <c r="BK19" s="48" t="n"/>
      <c r="BL19" s="48" t="n"/>
      <c r="BM19" s="48" t="n"/>
      <c r="BN19" s="48" t="n"/>
      <c r="BO19" s="48" t="n"/>
      <c r="BP19" s="48" t="n"/>
      <c r="BQ19" s="48" t="n"/>
      <c r="BR19" s="48" t="n"/>
      <c r="BS19" s="48" t="n"/>
      <c r="BT19" s="48" t="n"/>
      <c r="BU19" s="48" t="n"/>
      <c r="BV19" s="48" t="n"/>
      <c r="BW19" s="48" t="n"/>
      <c r="BX19" s="48" t="n"/>
      <c r="BY19" s="48" t="n"/>
      <c r="BZ19" s="48" t="n"/>
      <c r="CA19" s="48" t="n"/>
      <c r="CB19" s="48" t="n"/>
      <c r="CC19" s="48" t="n"/>
      <c r="CD19" s="48" t="n"/>
      <c r="CE19" s="48" t="n"/>
      <c r="CF19" s="48" t="n"/>
      <c r="CG19" s="48" t="n"/>
      <c r="CH19" s="48" t="n"/>
      <c r="CI19" s="48" t="n"/>
      <c r="CJ19" s="48" t="n"/>
      <c r="CK19" s="48" t="n"/>
      <c r="CL19" s="48" t="n"/>
      <c r="CM19" s="48" t="n"/>
      <c r="CN19" s="48" t="n"/>
      <c r="CO19" s="48" t="n"/>
      <c r="CP19" s="48" t="n"/>
      <c r="CQ19" s="48" t="n"/>
      <c r="CR19" s="48" t="n"/>
      <c r="CS19" s="48" t="n"/>
      <c r="CT19" s="48" t="n"/>
      <c r="CU19" s="48" t="n"/>
      <c r="CV19" s="48" t="n"/>
      <c r="CW19" s="48" t="n"/>
      <c r="CX19" s="48" t="n"/>
      <c r="CY19" s="48" t="n"/>
      <c r="CZ19" s="48" t="n"/>
      <c r="DA19" s="48" t="n"/>
      <c r="DB19" s="48" t="n"/>
      <c r="DC19" s="48" t="n"/>
      <c r="DD19" s="48" t="n"/>
      <c r="DE19" s="48" t="n"/>
      <c r="DF19" s="48" t="n"/>
      <c r="DG19" s="48" t="n"/>
      <c r="DH19" s="48" t="n"/>
      <c r="DJ19" s="45">
        <f>+F19/F$16</f>
        <v/>
      </c>
      <c r="DK19" s="45">
        <f>+G19/G$16</f>
        <v/>
      </c>
      <c r="DL19" s="45">
        <f>+H19/H$16</f>
        <v/>
      </c>
      <c r="DM19" s="45">
        <f>+I19/I$16</f>
        <v/>
      </c>
      <c r="DN19" s="45">
        <f>+J19/J$16</f>
        <v/>
      </c>
      <c r="DO19" s="45" t="n"/>
      <c r="DP19" s="45">
        <f>+L19/L$16</f>
        <v/>
      </c>
      <c r="DQ19" s="45">
        <f>+M19/M$16</f>
        <v/>
      </c>
    </row>
    <row r="20">
      <c r="B20" s="5" t="inlineStr">
        <is>
          <t>Managed Services</t>
        </is>
      </c>
      <c r="E20" s="46" t="n"/>
      <c r="F20" s="46">
        <f>+'COGS_Calcs'!F159</f>
        <v/>
      </c>
      <c r="G20" s="46">
        <f>+'COGS_Calcs'!G159</f>
        <v/>
      </c>
      <c r="H20" s="46">
        <f>+'COGS_Calcs'!H159</f>
        <v/>
      </c>
      <c r="I20" s="46">
        <f>+'COGS_Calcs'!I159</f>
        <v/>
      </c>
      <c r="J20" s="46">
        <f>+'COGS_Calcs'!J159</f>
        <v/>
      </c>
      <c r="K20" s="46">
        <f>+'COGS_Calcs'!K159</f>
        <v/>
      </c>
      <c r="L20" s="46">
        <f>+'COGS_Calcs'!L159</f>
        <v/>
      </c>
      <c r="M20" s="46">
        <f>+'COGS_Calcs'!M159</f>
        <v/>
      </c>
      <c r="N20" s="46" t="n"/>
      <c r="O20" s="46">
        <f>+I20</f>
        <v/>
      </c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  <c r="AY20" s="48" t="n"/>
      <c r="AZ20" s="48" t="n"/>
      <c r="BA20" s="48" t="n"/>
      <c r="BB20" s="48" t="n"/>
      <c r="BC20" s="48" t="n"/>
      <c r="BD20" s="48" t="n"/>
      <c r="BE20" s="48" t="n"/>
      <c r="BF20" s="48" t="n"/>
      <c r="BG20" s="48" t="n"/>
      <c r="BH20" s="48" t="n"/>
      <c r="BI20" s="48" t="n"/>
      <c r="BJ20" s="48" t="n"/>
      <c r="BK20" s="48" t="n"/>
      <c r="BL20" s="48" t="n"/>
      <c r="BM20" s="48" t="n"/>
      <c r="BN20" s="48" t="n"/>
      <c r="BO20" s="48" t="n"/>
      <c r="BP20" s="48" t="n"/>
      <c r="BQ20" s="48" t="n"/>
      <c r="BR20" s="48" t="n"/>
      <c r="BS20" s="48" t="n"/>
      <c r="BT20" s="48" t="n"/>
      <c r="BU20" s="48" t="n"/>
      <c r="BV20" s="48" t="n"/>
      <c r="BW20" s="48" t="n"/>
      <c r="BX20" s="48" t="n"/>
      <c r="BY20" s="48" t="n"/>
      <c r="BZ20" s="48" t="n"/>
      <c r="CA20" s="48" t="n"/>
      <c r="CB20" s="48" t="n"/>
      <c r="CC20" s="48" t="n"/>
      <c r="CD20" s="48" t="n"/>
      <c r="CE20" s="48" t="n"/>
      <c r="CF20" s="48" t="n"/>
      <c r="CG20" s="48" t="n"/>
      <c r="CH20" s="48" t="n"/>
      <c r="CI20" s="48" t="n"/>
      <c r="CJ20" s="48" t="n"/>
      <c r="CK20" s="48" t="n"/>
      <c r="CL20" s="48" t="n"/>
      <c r="CM20" s="48" t="n"/>
      <c r="CN20" s="48" t="n"/>
      <c r="CO20" s="48" t="n"/>
      <c r="CP20" s="48" t="n"/>
      <c r="CQ20" s="48" t="n"/>
      <c r="CR20" s="48" t="n"/>
      <c r="CS20" s="48" t="n"/>
      <c r="CT20" s="48" t="n"/>
      <c r="CU20" s="48" t="n"/>
      <c r="CV20" s="48" t="n"/>
      <c r="CW20" s="48" t="n"/>
      <c r="CX20" s="48" t="n"/>
      <c r="CY20" s="48" t="n"/>
      <c r="CZ20" s="48" t="n"/>
      <c r="DA20" s="48" t="n"/>
      <c r="DB20" s="48" t="n"/>
      <c r="DC20" s="48" t="n"/>
      <c r="DD20" s="48" t="n"/>
      <c r="DE20" s="48" t="n"/>
      <c r="DF20" s="48" t="n"/>
      <c r="DG20" s="48" t="n"/>
      <c r="DH20" s="48" t="n"/>
      <c r="DJ20" s="45">
        <f>+F20/F$16</f>
        <v/>
      </c>
      <c r="DK20" s="45">
        <f>+G20/G$16</f>
        <v/>
      </c>
      <c r="DL20" s="45">
        <f>+H20/H$16</f>
        <v/>
      </c>
      <c r="DM20" s="45">
        <f>+I20/I$16</f>
        <v/>
      </c>
      <c r="DN20" s="45">
        <f>+J20/J$16</f>
        <v/>
      </c>
      <c r="DO20" s="45" t="n"/>
      <c r="DP20" s="45">
        <f>+L20/L$16</f>
        <v/>
      </c>
      <c r="DQ20" s="45">
        <f>+M20/M$16</f>
        <v/>
      </c>
    </row>
    <row r="21" ht="15.75" customHeight="1">
      <c r="B21" s="5" t="inlineStr">
        <is>
          <t>Implementation</t>
        </is>
      </c>
      <c r="E21" s="46" t="n"/>
      <c r="F21" s="46">
        <f>+'COGS_Calcs'!F173</f>
        <v/>
      </c>
      <c r="G21" s="46">
        <f>+'COGS_Calcs'!G173</f>
        <v/>
      </c>
      <c r="H21" s="46">
        <f>+'COGS_Calcs'!H173</f>
        <v/>
      </c>
      <c r="I21" s="46">
        <f>+'COGS_Calcs'!I173</f>
        <v/>
      </c>
      <c r="J21" s="46">
        <f>+'COGS_Calcs'!J173</f>
        <v/>
      </c>
      <c r="K21" s="46">
        <f>+'COGS_Calcs'!K173</f>
        <v/>
      </c>
      <c r="L21" s="46">
        <f>+'COGS_Calcs'!L173</f>
        <v/>
      </c>
      <c r="M21" s="46">
        <f>+'COGS_Calcs'!M173</f>
        <v/>
      </c>
      <c r="N21" s="46" t="n"/>
      <c r="O21" s="46">
        <f>+I21</f>
        <v/>
      </c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8" t="n"/>
      <c r="BH21" s="48" t="n"/>
      <c r="BI21" s="48" t="n"/>
      <c r="BJ21" s="48" t="n"/>
      <c r="BK21" s="48" t="n"/>
      <c r="BL21" s="48" t="n"/>
      <c r="BM21" s="48" t="n"/>
      <c r="BN21" s="48" t="n"/>
      <c r="BO21" s="48" t="n"/>
      <c r="BP21" s="48" t="n"/>
      <c r="BQ21" s="48" t="n"/>
      <c r="BR21" s="48" t="n"/>
      <c r="BS21" s="48" t="n"/>
      <c r="BT21" s="48" t="n"/>
      <c r="BU21" s="48" t="n"/>
      <c r="BV21" s="48" t="n"/>
      <c r="BW21" s="48" t="n"/>
      <c r="BX21" s="48" t="n"/>
      <c r="BY21" s="48" t="n"/>
      <c r="BZ21" s="48" t="n"/>
      <c r="CA21" s="48" t="n"/>
      <c r="CB21" s="48" t="n"/>
      <c r="CC21" s="48" t="n"/>
      <c r="CD21" s="48" t="n"/>
      <c r="CE21" s="48" t="n"/>
      <c r="CF21" s="48" t="n"/>
      <c r="CG21" s="48" t="n"/>
      <c r="CH21" s="48" t="n"/>
      <c r="CI21" s="48" t="n"/>
      <c r="CJ21" s="48" t="n"/>
      <c r="CK21" s="48" t="n"/>
      <c r="CL21" s="48" t="n"/>
      <c r="CM21" s="48" t="n"/>
      <c r="CN21" s="48" t="n"/>
      <c r="CO21" s="48" t="n"/>
      <c r="CP21" s="48" t="n"/>
      <c r="CQ21" s="48" t="n"/>
      <c r="CR21" s="48" t="n"/>
      <c r="CS21" s="48" t="n"/>
      <c r="CT21" s="48" t="n"/>
      <c r="CU21" s="48" t="n"/>
      <c r="CV21" s="48" t="n"/>
      <c r="CW21" s="48" t="n"/>
      <c r="CX21" s="48" t="n"/>
      <c r="CY21" s="48" t="n"/>
      <c r="CZ21" s="48" t="n"/>
      <c r="DA21" s="48" t="n"/>
      <c r="DB21" s="48" t="n"/>
      <c r="DC21" s="48" t="n"/>
      <c r="DD21" s="48" t="n"/>
      <c r="DE21" s="48" t="n"/>
      <c r="DF21" s="48" t="n"/>
      <c r="DG21" s="48" t="n"/>
      <c r="DH21" s="48" t="n"/>
      <c r="DJ21" s="45">
        <f>+F21/F$16</f>
        <v/>
      </c>
      <c r="DK21" s="45">
        <f>+G21/G$16</f>
        <v/>
      </c>
      <c r="DL21" s="45">
        <f>+H21/H$16</f>
        <v/>
      </c>
      <c r="DM21" s="45">
        <f>+I21/I$16</f>
        <v/>
      </c>
      <c r="DN21" s="45">
        <f>+J21/J$16</f>
        <v/>
      </c>
      <c r="DO21" s="45" t="n"/>
      <c r="DP21" s="45">
        <f>+L21/L$16</f>
        <v/>
      </c>
      <c r="DQ21" s="45">
        <f>+M21/M$16</f>
        <v/>
      </c>
    </row>
    <row r="22" ht="15.75" customHeight="1">
      <c r="B22" s="50" t="inlineStr">
        <is>
          <t>Total Cost of Sales</t>
        </is>
      </c>
      <c r="C22" s="50" t="n"/>
      <c r="D22" s="50" t="n"/>
      <c r="E22" s="46" t="n"/>
      <c r="F22" s="51">
        <f>SUM(F19:F21)</f>
        <v/>
      </c>
      <c r="G22" s="51">
        <f>SUM(G19:G21)</f>
        <v/>
      </c>
      <c r="H22" s="51">
        <f>SUM(H19:H21)</f>
        <v/>
      </c>
      <c r="I22" s="51">
        <f>SUM(I19:I21)</f>
        <v/>
      </c>
      <c r="J22" s="51">
        <f>SUM(J19:J21)</f>
        <v/>
      </c>
      <c r="K22" s="51">
        <f>SUM(K19:K21)</f>
        <v/>
      </c>
      <c r="L22" s="51">
        <f>SUM(L19:L21)</f>
        <v/>
      </c>
      <c r="M22" s="51">
        <f>SUM(M19:M21)</f>
        <v/>
      </c>
      <c r="N22" s="46" t="n"/>
      <c r="O22" s="51">
        <f>SUM(O19:O21)</f>
        <v/>
      </c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J22" s="53">
        <f>+F22/F$16</f>
        <v/>
      </c>
      <c r="DK22" s="53">
        <f>+G22/G$16</f>
        <v/>
      </c>
      <c r="DL22" s="53">
        <f>+H22/H$16</f>
        <v/>
      </c>
      <c r="DM22" s="53">
        <f>+I22/I$16</f>
        <v/>
      </c>
      <c r="DN22" s="53">
        <f>+J22/J$16</f>
        <v/>
      </c>
      <c r="DO22" s="53" t="n"/>
      <c r="DP22" s="53">
        <f>+L22/L$16</f>
        <v/>
      </c>
      <c r="DQ22" s="53">
        <f>+M22/M$16</f>
        <v/>
      </c>
    </row>
    <row r="23" ht="4.5" customHeight="1">
      <c r="DJ23" s="45" t="n"/>
      <c r="DK23" s="45" t="n"/>
      <c r="DL23" s="45" t="n"/>
      <c r="DM23" s="45" t="n"/>
      <c r="DN23" s="45" t="n"/>
      <c r="DO23" s="45" t="n"/>
      <c r="DP23" s="45" t="n"/>
      <c r="DQ23" s="45" t="n"/>
    </row>
    <row r="24" ht="15.75" customHeight="1">
      <c r="B24" s="56" t="inlineStr">
        <is>
          <t>Gross Profit</t>
        </is>
      </c>
      <c r="C24" s="56" t="n"/>
      <c r="D24" s="56" t="n"/>
      <c r="F24" s="57">
        <f>+SUM(F16,-F22)</f>
        <v/>
      </c>
      <c r="G24" s="57">
        <f>+SUM(G16,-G22)</f>
        <v/>
      </c>
      <c r="H24" s="57">
        <f>+SUM(H16,-H22)</f>
        <v/>
      </c>
      <c r="I24" s="57">
        <f>+SUM(I16,-I22)</f>
        <v/>
      </c>
      <c r="J24" s="57">
        <f>+SUM(J16,-J22)</f>
        <v/>
      </c>
      <c r="K24" s="57">
        <f>+SUM(K16,-K22)</f>
        <v/>
      </c>
      <c r="L24" s="57">
        <f>+SUM(L16,-L22)</f>
        <v/>
      </c>
      <c r="M24" s="57">
        <f>+SUM(M16,-M22)</f>
        <v/>
      </c>
      <c r="N24" s="46" t="n"/>
      <c r="O24" s="57">
        <f>+SUM(O16,-O22)</f>
        <v/>
      </c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  <c r="AF24" s="57" t="n"/>
      <c r="AG24" s="57" t="n"/>
      <c r="AH24" s="57" t="n"/>
      <c r="AI24" s="57" t="n"/>
      <c r="AJ24" s="57" t="n"/>
      <c r="AK24" s="57" t="n"/>
      <c r="AL24" s="57" t="n"/>
      <c r="AM24" s="57" t="n"/>
      <c r="AN24" s="57" t="n"/>
      <c r="AO24" s="57" t="n"/>
      <c r="AP24" s="57" t="n"/>
      <c r="AQ24" s="57" t="n"/>
      <c r="AR24" s="57" t="n"/>
      <c r="AS24" s="57" t="n"/>
      <c r="AT24" s="57" t="n"/>
      <c r="AU24" s="57" t="n"/>
      <c r="AV24" s="57" t="n"/>
      <c r="AW24" s="57" t="n"/>
      <c r="AX24" s="57" t="n"/>
      <c r="AY24" s="57" t="n"/>
      <c r="AZ24" s="57" t="n"/>
      <c r="BA24" s="57" t="n"/>
      <c r="BB24" s="57" t="n"/>
      <c r="BC24" s="57" t="n"/>
      <c r="BD24" s="57" t="n"/>
      <c r="BE24" s="57" t="n"/>
      <c r="BF24" s="57" t="n"/>
      <c r="BG24" s="57" t="n"/>
      <c r="BH24" s="57" t="n"/>
      <c r="BI24" s="57" t="n"/>
      <c r="BJ24" s="57" t="n"/>
      <c r="BK24" s="57" t="n"/>
      <c r="BL24" s="57" t="n"/>
      <c r="BM24" s="57" t="n"/>
      <c r="BN24" s="57" t="n"/>
      <c r="BO24" s="57" t="n"/>
      <c r="BP24" s="57" t="n"/>
      <c r="BQ24" s="57" t="n"/>
      <c r="BR24" s="57" t="n"/>
      <c r="BS24" s="57" t="n"/>
      <c r="BT24" s="57" t="n"/>
      <c r="BU24" s="57" t="n"/>
      <c r="BV24" s="57" t="n"/>
      <c r="BW24" s="57" t="n"/>
      <c r="BX24" s="57" t="n"/>
      <c r="BY24" s="57" t="n"/>
      <c r="BZ24" s="57" t="n"/>
      <c r="CA24" s="57" t="n"/>
      <c r="CB24" s="57" t="n"/>
      <c r="CC24" s="57" t="n"/>
      <c r="CD24" s="57" t="n"/>
      <c r="CE24" s="57" t="n"/>
      <c r="CF24" s="57" t="n"/>
      <c r="CG24" s="57" t="n"/>
      <c r="CH24" s="57" t="n"/>
      <c r="CI24" s="57" t="n"/>
      <c r="CJ24" s="57" t="n"/>
      <c r="CK24" s="57" t="n"/>
      <c r="CL24" s="57" t="n"/>
      <c r="CM24" s="57" t="n"/>
      <c r="CN24" s="57" t="n"/>
      <c r="CO24" s="57" t="n"/>
      <c r="CP24" s="57" t="n"/>
      <c r="CQ24" s="57" t="n"/>
      <c r="CR24" s="57" t="n"/>
      <c r="CS24" s="57" t="n"/>
      <c r="CT24" s="57" t="n"/>
      <c r="CU24" s="57" t="n"/>
      <c r="CV24" s="57" t="n"/>
      <c r="CW24" s="57" t="n"/>
      <c r="CX24" s="57" t="n"/>
      <c r="CY24" s="57" t="n"/>
      <c r="CZ24" s="57" t="n"/>
      <c r="DA24" s="57" t="n"/>
      <c r="DB24" s="57" t="n"/>
      <c r="DC24" s="57" t="n"/>
      <c r="DD24" s="57" t="n"/>
      <c r="DE24" s="57" t="n"/>
      <c r="DF24" s="57" t="n"/>
      <c r="DG24" s="57" t="n"/>
      <c r="DH24" s="57" t="n"/>
      <c r="DJ24" s="58">
        <f>+F24/F$16</f>
        <v/>
      </c>
      <c r="DK24" s="58">
        <f>+G24/G$16</f>
        <v/>
      </c>
      <c r="DL24" s="58">
        <f>+H24/H$16</f>
        <v/>
      </c>
      <c r="DM24" s="58">
        <f>+I24/I$16</f>
        <v/>
      </c>
      <c r="DN24" s="58">
        <f>+J24/J$16</f>
        <v/>
      </c>
      <c r="DO24" s="58" t="n"/>
      <c r="DP24" s="58">
        <f>+L24/L$16</f>
        <v/>
      </c>
      <c r="DQ24" s="58">
        <f>+M24/M$16</f>
        <v/>
      </c>
    </row>
    <row r="25" ht="4.5" customHeight="1">
      <c r="DJ25" s="45" t="n"/>
      <c r="DK25" s="45" t="n"/>
      <c r="DL25" s="45" t="n"/>
      <c r="DM25" s="45" t="n"/>
      <c r="DN25" s="45" t="n"/>
      <c r="DO25" s="45" t="n"/>
      <c r="DP25" s="45" t="n"/>
      <c r="DQ25" s="45" t="n"/>
    </row>
    <row r="26" ht="15.75" customHeight="1">
      <c r="B26" s="44" t="inlineStr">
        <is>
          <t>Operating Expenses</t>
        </is>
      </c>
      <c r="I26" s="46" t="n"/>
      <c r="DJ26" s="45" t="n"/>
      <c r="DK26" s="45" t="n"/>
      <c r="DL26" s="59" t="n"/>
      <c r="DM26" s="45" t="n"/>
      <c r="DN26" s="45" t="n"/>
      <c r="DO26" s="45" t="n"/>
      <c r="DP26" s="45" t="n"/>
      <c r="DQ26" s="45" t="n"/>
    </row>
    <row r="27" ht="15.75" customHeight="1">
      <c r="B27" s="5" t="inlineStr">
        <is>
          <t>Payroll &amp; Benefits</t>
        </is>
      </c>
      <c r="E27" s="46" t="n"/>
      <c r="F27" s="46">
        <f>+'Opex_Calcs'!F44</f>
        <v/>
      </c>
      <c r="G27" s="46">
        <f>+'Opex_Calcs'!G44</f>
        <v/>
      </c>
      <c r="H27" s="46">
        <f>+'Opex_Calcs'!H44</f>
        <v/>
      </c>
      <c r="I27" s="46">
        <f>+'Opex_Calcs'!I44</f>
        <v/>
      </c>
      <c r="J27" s="46">
        <f>+'Opex_Calcs'!J44</f>
        <v/>
      </c>
      <c r="K27" s="46">
        <f>+'Opex_Calcs'!K44</f>
        <v/>
      </c>
      <c r="L27" s="46">
        <f>+'Opex_Calcs'!L44</f>
        <v/>
      </c>
      <c r="M27" s="46">
        <f>+'Opex_Calcs'!M44</f>
        <v/>
      </c>
      <c r="N27" s="46" t="n"/>
      <c r="O27" s="46">
        <f>+I27</f>
        <v/>
      </c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8" t="n"/>
      <c r="AT27" s="48" t="n"/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8" t="n"/>
      <c r="BD27" s="48" t="n"/>
      <c r="BE27" s="48" t="n"/>
      <c r="BF27" s="48" t="n"/>
      <c r="BG27" s="48" t="n"/>
      <c r="BH27" s="48" t="n"/>
      <c r="BI27" s="48" t="n"/>
      <c r="BJ27" s="48" t="n"/>
      <c r="BK27" s="48" t="n"/>
      <c r="BL27" s="48" t="n"/>
      <c r="BM27" s="48" t="n"/>
      <c r="BN27" s="48" t="n"/>
      <c r="BO27" s="48" t="n"/>
      <c r="BP27" s="48" t="n"/>
      <c r="BQ27" s="48" t="n"/>
      <c r="BR27" s="48" t="n"/>
      <c r="BS27" s="48" t="n"/>
      <c r="BT27" s="48" t="n"/>
      <c r="BU27" s="48" t="n"/>
      <c r="BV27" s="48" t="n"/>
      <c r="BW27" s="48" t="n"/>
      <c r="BX27" s="48" t="n"/>
      <c r="BY27" s="48" t="n"/>
      <c r="BZ27" s="48" t="n"/>
      <c r="CA27" s="48" t="n"/>
      <c r="CB27" s="48" t="n"/>
      <c r="CC27" s="48" t="n"/>
      <c r="CD27" s="48" t="n"/>
      <c r="CE27" s="48" t="n"/>
      <c r="CF27" s="48" t="n"/>
      <c r="CG27" s="48" t="n"/>
      <c r="CH27" s="48" t="n"/>
      <c r="CI27" s="48" t="n"/>
      <c r="CJ27" s="48" t="n"/>
      <c r="CK27" s="48" t="n"/>
      <c r="CL27" s="48" t="n"/>
      <c r="CM27" s="48" t="n"/>
      <c r="CN27" s="48" t="n"/>
      <c r="CO27" s="48" t="n"/>
      <c r="CP27" s="48" t="n"/>
      <c r="CQ27" s="48" t="n"/>
      <c r="CR27" s="48" t="n"/>
      <c r="CS27" s="48" t="n"/>
      <c r="CT27" s="48" t="n"/>
      <c r="CU27" s="48" t="n"/>
      <c r="CV27" s="48" t="n"/>
      <c r="CW27" s="48" t="n"/>
      <c r="CX27" s="48" t="n"/>
      <c r="CY27" s="48" t="n"/>
      <c r="CZ27" s="48" t="n"/>
      <c r="DA27" s="48" t="n"/>
      <c r="DB27" s="48" t="n"/>
      <c r="DC27" s="48" t="n"/>
      <c r="DD27" s="48" t="n"/>
      <c r="DE27" s="48" t="n"/>
      <c r="DF27" s="48" t="n"/>
      <c r="DG27" s="48" t="n"/>
      <c r="DH27" s="48" t="n"/>
      <c r="DJ27" s="45">
        <f>+F27/F$16</f>
        <v/>
      </c>
      <c r="DK27" s="45">
        <f>+G27/G$16</f>
        <v/>
      </c>
      <c r="DL27" s="45">
        <f>+H27/H$16</f>
        <v/>
      </c>
      <c r="DM27" s="45">
        <f>+I27/I$16</f>
        <v/>
      </c>
      <c r="DN27" s="45">
        <f>+J27/J$16</f>
        <v/>
      </c>
      <c r="DO27" s="45" t="n"/>
      <c r="DP27" s="45">
        <f>+L27/L$16</f>
        <v/>
      </c>
      <c r="DQ27" s="45">
        <f>+M27/M$16</f>
        <v/>
      </c>
    </row>
    <row r="28" ht="15.75" customHeight="1">
      <c r="B28" s="5" t="inlineStr">
        <is>
          <t>Office and Occupancy</t>
        </is>
      </c>
      <c r="E28" s="46" t="n"/>
      <c r="F28" s="46">
        <f>+'Opex_Calcs'!F46</f>
        <v/>
      </c>
      <c r="G28" s="46">
        <f>+'Opex_Calcs'!G46</f>
        <v/>
      </c>
      <c r="H28" s="46">
        <f>+'Opex_Calcs'!H46</f>
        <v/>
      </c>
      <c r="I28" s="46">
        <f>+'Opex_Calcs'!I46</f>
        <v/>
      </c>
      <c r="J28" s="46">
        <f>+'Opex_Calcs'!J46</f>
        <v/>
      </c>
      <c r="K28" s="46">
        <f>+'Opex_Calcs'!K46</f>
        <v/>
      </c>
      <c r="L28" s="46">
        <f>+'Opex_Calcs'!L46</f>
        <v/>
      </c>
      <c r="M28" s="46">
        <f>+'Opex_Calcs'!M46</f>
        <v/>
      </c>
      <c r="N28" s="46" t="n"/>
      <c r="O28" s="46">
        <f>+I28</f>
        <v/>
      </c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8" t="n"/>
      <c r="AL28" s="48" t="n"/>
      <c r="AM28" s="48" t="n"/>
      <c r="AN28" s="48" t="n"/>
      <c r="AO28" s="48" t="n"/>
      <c r="AP28" s="48" t="n"/>
      <c r="AQ28" s="48" t="n"/>
      <c r="AR28" s="48" t="n"/>
      <c r="AS28" s="48" t="n"/>
      <c r="AT28" s="48" t="n"/>
      <c r="AU28" s="48" t="n"/>
      <c r="AV28" s="48" t="n"/>
      <c r="AW28" s="48" t="n"/>
      <c r="AX28" s="48" t="n"/>
      <c r="AY28" s="48" t="n"/>
      <c r="AZ28" s="48" t="n"/>
      <c r="BA28" s="48" t="n"/>
      <c r="BB28" s="48" t="n"/>
      <c r="BC28" s="48" t="n"/>
      <c r="BD28" s="48" t="n"/>
      <c r="BE28" s="48" t="n"/>
      <c r="BF28" s="48" t="n"/>
      <c r="BG28" s="48" t="n"/>
      <c r="BH28" s="48" t="n"/>
      <c r="BI28" s="48" t="n"/>
      <c r="BJ28" s="48" t="n"/>
      <c r="BK28" s="48" t="n"/>
      <c r="BL28" s="48" t="n"/>
      <c r="BM28" s="48" t="n"/>
      <c r="BN28" s="48" t="n"/>
      <c r="BO28" s="48" t="n"/>
      <c r="BP28" s="48" t="n"/>
      <c r="BQ28" s="48" t="n"/>
      <c r="BR28" s="48" t="n"/>
      <c r="BS28" s="48" t="n"/>
      <c r="BT28" s="48" t="n"/>
      <c r="BU28" s="48" t="n"/>
      <c r="BV28" s="48" t="n"/>
      <c r="BW28" s="48" t="n"/>
      <c r="BX28" s="48" t="n"/>
      <c r="BY28" s="48" t="n"/>
      <c r="BZ28" s="48" t="n"/>
      <c r="CA28" s="48" t="n"/>
      <c r="CB28" s="48" t="n"/>
      <c r="CC28" s="48" t="n"/>
      <c r="CD28" s="48" t="n"/>
      <c r="CE28" s="48" t="n"/>
      <c r="CF28" s="48" t="n"/>
      <c r="CG28" s="48" t="n"/>
      <c r="CH28" s="48" t="n"/>
      <c r="CI28" s="48" t="n"/>
      <c r="CJ28" s="48" t="n"/>
      <c r="CK28" s="48" t="n"/>
      <c r="CL28" s="48" t="n"/>
      <c r="CM28" s="48" t="n"/>
      <c r="CN28" s="48" t="n"/>
      <c r="CO28" s="48" t="n"/>
      <c r="CP28" s="48" t="n"/>
      <c r="CQ28" s="48" t="n"/>
      <c r="CR28" s="48" t="n"/>
      <c r="CS28" s="48" t="n"/>
      <c r="CT28" s="48" t="n"/>
      <c r="CU28" s="48" t="n"/>
      <c r="CV28" s="48" t="n"/>
      <c r="CW28" s="48" t="n"/>
      <c r="CX28" s="48" t="n"/>
      <c r="CY28" s="48" t="n"/>
      <c r="CZ28" s="48" t="n"/>
      <c r="DA28" s="48" t="n"/>
      <c r="DB28" s="48" t="n"/>
      <c r="DC28" s="48" t="n"/>
      <c r="DD28" s="48" t="n"/>
      <c r="DE28" s="48" t="n"/>
      <c r="DF28" s="48" t="n"/>
      <c r="DG28" s="48" t="n"/>
      <c r="DH28" s="48" t="n"/>
      <c r="DJ28" s="45">
        <f>+F28/F$16</f>
        <v/>
      </c>
      <c r="DK28" s="45">
        <f>+G28/G$16</f>
        <v/>
      </c>
      <c r="DL28" s="45">
        <f>+H28/H$16</f>
        <v/>
      </c>
      <c r="DM28" s="45">
        <f>+I28/I$16</f>
        <v/>
      </c>
      <c r="DN28" s="45">
        <f>+J28/J$16</f>
        <v/>
      </c>
      <c r="DO28" s="45" t="n"/>
      <c r="DP28" s="45">
        <f>+L28/L$16</f>
        <v/>
      </c>
      <c r="DQ28" s="45">
        <f>+M28/M$16</f>
        <v/>
      </c>
    </row>
    <row r="29" ht="15.75" customHeight="1">
      <c r="B29" s="5" t="inlineStr">
        <is>
          <t>HR Other</t>
        </is>
      </c>
      <c r="F29" s="46">
        <f>+'Opex_Calcs'!F47</f>
        <v/>
      </c>
      <c r="G29" s="46">
        <f>+'Opex_Calcs'!G47</f>
        <v/>
      </c>
      <c r="H29" s="46">
        <f>+'Opex_Calcs'!H47</f>
        <v/>
      </c>
      <c r="I29" s="46">
        <f>+'Opex_Calcs'!I47</f>
        <v/>
      </c>
      <c r="J29" s="46">
        <f>+'Opex_Calcs'!J47</f>
        <v/>
      </c>
      <c r="K29" s="46">
        <f>+'Opex_Calcs'!K47</f>
        <v/>
      </c>
      <c r="L29" s="46">
        <f>+'Opex_Calcs'!L47</f>
        <v/>
      </c>
      <c r="M29" s="46">
        <f>+'Opex_Calcs'!M47</f>
        <v/>
      </c>
      <c r="N29" s="46" t="n"/>
      <c r="O29" s="46">
        <f>+I29</f>
        <v/>
      </c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  <c r="AY29" s="48" t="n"/>
      <c r="AZ29" s="48" t="n"/>
      <c r="BA29" s="48" t="n"/>
      <c r="BB29" s="48" t="n"/>
      <c r="BC29" s="48" t="n"/>
      <c r="BD29" s="48" t="n"/>
      <c r="BE29" s="48" t="n"/>
      <c r="BF29" s="48" t="n"/>
      <c r="BG29" s="48" t="n"/>
      <c r="BH29" s="48" t="n"/>
      <c r="BI29" s="48" t="n"/>
      <c r="BJ29" s="48" t="n"/>
      <c r="BK29" s="48" t="n"/>
      <c r="BL29" s="48" t="n"/>
      <c r="BM29" s="48" t="n"/>
      <c r="BN29" s="48" t="n"/>
      <c r="BO29" s="48" t="n"/>
      <c r="BP29" s="48" t="n"/>
      <c r="BQ29" s="48" t="n"/>
      <c r="BR29" s="48" t="n"/>
      <c r="BS29" s="48" t="n"/>
      <c r="BT29" s="48" t="n"/>
      <c r="BU29" s="48" t="n"/>
      <c r="BV29" s="48" t="n"/>
      <c r="BW29" s="48" t="n"/>
      <c r="BX29" s="48" t="n"/>
      <c r="BY29" s="48" t="n"/>
      <c r="BZ29" s="48" t="n"/>
      <c r="CA29" s="48" t="n"/>
      <c r="CB29" s="48" t="n"/>
      <c r="CC29" s="48" t="n"/>
      <c r="CD29" s="48" t="n"/>
      <c r="CE29" s="48" t="n"/>
      <c r="CF29" s="48" t="n"/>
      <c r="CG29" s="48" t="n"/>
      <c r="CH29" s="48" t="n"/>
      <c r="CI29" s="48" t="n"/>
      <c r="CJ29" s="48" t="n"/>
      <c r="CK29" s="48" t="n"/>
      <c r="CL29" s="48" t="n"/>
      <c r="CM29" s="48" t="n"/>
      <c r="CN29" s="48" t="n"/>
      <c r="CO29" s="48" t="n"/>
      <c r="CP29" s="48" t="n"/>
      <c r="CQ29" s="48" t="n"/>
      <c r="CR29" s="48" t="n"/>
      <c r="CS29" s="48" t="n"/>
      <c r="CT29" s="48" t="n"/>
      <c r="CU29" s="48" t="n"/>
      <c r="CV29" s="48" t="n"/>
      <c r="CW29" s="48" t="n"/>
      <c r="CX29" s="48" t="n"/>
      <c r="CY29" s="48" t="n"/>
      <c r="CZ29" s="48" t="n"/>
      <c r="DA29" s="48" t="n"/>
      <c r="DB29" s="48" t="n"/>
      <c r="DC29" s="48" t="n"/>
      <c r="DD29" s="48" t="n"/>
      <c r="DE29" s="48" t="n"/>
      <c r="DF29" s="48" t="n"/>
      <c r="DG29" s="48" t="n"/>
      <c r="DH29" s="48" t="n"/>
      <c r="DJ29" s="45">
        <f>+F29/F$16</f>
        <v/>
      </c>
      <c r="DK29" s="45">
        <f>+G29/G$16</f>
        <v/>
      </c>
      <c r="DL29" s="45">
        <f>+H29/H$16</f>
        <v/>
      </c>
      <c r="DM29" s="45">
        <f>+I29/I$16</f>
        <v/>
      </c>
      <c r="DN29" s="45">
        <f>+J29/J$16</f>
        <v/>
      </c>
      <c r="DO29" s="45" t="n"/>
      <c r="DP29" s="45">
        <f>+L29/L$16</f>
        <v/>
      </c>
      <c r="DQ29" s="45">
        <f>+M29/M$16</f>
        <v/>
      </c>
    </row>
    <row r="30" ht="15.75" customHeight="1">
      <c r="B30" s="5" t="inlineStr">
        <is>
          <t>Sales and Marketing</t>
        </is>
      </c>
      <c r="F30" s="46">
        <f>+'Opex_Calcs'!F48</f>
        <v/>
      </c>
      <c r="G30" s="46">
        <f>+'Opex_Calcs'!G48</f>
        <v/>
      </c>
      <c r="H30" s="46">
        <f>+'Opex_Calcs'!H48</f>
        <v/>
      </c>
      <c r="I30" s="46">
        <f>+'Opex_Calcs'!I48</f>
        <v/>
      </c>
      <c r="J30" s="46">
        <f>+'Opex_Calcs'!J48</f>
        <v/>
      </c>
      <c r="K30" s="46">
        <f>+'Opex_Calcs'!K48</f>
        <v/>
      </c>
      <c r="L30" s="46">
        <f>+'Opex_Calcs'!L48</f>
        <v/>
      </c>
      <c r="M30" s="46">
        <f>+'Opex_Calcs'!M48</f>
        <v/>
      </c>
      <c r="N30" s="46" t="n"/>
      <c r="O30" s="46">
        <f>+I30</f>
        <v/>
      </c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8" t="n"/>
      <c r="AZ30" s="48" t="n"/>
      <c r="BA30" s="48" t="n"/>
      <c r="BB30" s="48" t="n"/>
      <c r="BC30" s="48" t="n"/>
      <c r="BD30" s="48" t="n"/>
      <c r="BE30" s="48" t="n"/>
      <c r="BF30" s="48" t="n"/>
      <c r="BG30" s="48" t="n"/>
      <c r="BH30" s="48" t="n"/>
      <c r="BI30" s="48" t="n"/>
      <c r="BJ30" s="48" t="n"/>
      <c r="BK30" s="48" t="n"/>
      <c r="BL30" s="48" t="n"/>
      <c r="BM30" s="48" t="n"/>
      <c r="BN30" s="48" t="n"/>
      <c r="BO30" s="48" t="n"/>
      <c r="BP30" s="48" t="n"/>
      <c r="BQ30" s="48" t="n"/>
      <c r="BR30" s="48" t="n"/>
      <c r="BS30" s="48" t="n"/>
      <c r="BT30" s="48" t="n"/>
      <c r="BU30" s="48" t="n"/>
      <c r="BV30" s="48" t="n"/>
      <c r="BW30" s="48" t="n"/>
      <c r="BX30" s="48" t="n"/>
      <c r="BY30" s="48" t="n"/>
      <c r="BZ30" s="48" t="n"/>
      <c r="CA30" s="48" t="n"/>
      <c r="CB30" s="48" t="n"/>
      <c r="CC30" s="48" t="n"/>
      <c r="CD30" s="48" t="n"/>
      <c r="CE30" s="48" t="n"/>
      <c r="CF30" s="48" t="n"/>
      <c r="CG30" s="48" t="n"/>
      <c r="CH30" s="48" t="n"/>
      <c r="CI30" s="48" t="n"/>
      <c r="CJ30" s="48" t="n"/>
      <c r="CK30" s="48" t="n"/>
      <c r="CL30" s="48" t="n"/>
      <c r="CM30" s="48" t="n"/>
      <c r="CN30" s="48" t="n"/>
      <c r="CO30" s="48" t="n"/>
      <c r="CP30" s="48" t="n"/>
      <c r="CQ30" s="48" t="n"/>
      <c r="CR30" s="48" t="n"/>
      <c r="CS30" s="48" t="n"/>
      <c r="CT30" s="48" t="n"/>
      <c r="CU30" s="48" t="n"/>
      <c r="CV30" s="48" t="n"/>
      <c r="CW30" s="48" t="n"/>
      <c r="CX30" s="48" t="n"/>
      <c r="CY30" s="48" t="n"/>
      <c r="CZ30" s="48" t="n"/>
      <c r="DA30" s="48" t="n"/>
      <c r="DB30" s="48" t="n"/>
      <c r="DC30" s="48" t="n"/>
      <c r="DD30" s="48" t="n"/>
      <c r="DE30" s="48" t="n"/>
      <c r="DF30" s="48" t="n"/>
      <c r="DG30" s="48" t="n"/>
      <c r="DH30" s="48" t="n"/>
      <c r="DJ30" s="45">
        <f>+F30/F$16</f>
        <v/>
      </c>
      <c r="DK30" s="45">
        <f>+G30/G$16</f>
        <v/>
      </c>
      <c r="DL30" s="45">
        <f>+H30/H$16</f>
        <v/>
      </c>
      <c r="DM30" s="45">
        <f>+I30/I$16</f>
        <v/>
      </c>
      <c r="DN30" s="45">
        <f>+J30/J$16</f>
        <v/>
      </c>
      <c r="DO30" s="45" t="n"/>
      <c r="DP30" s="45">
        <f>+L30/L$16</f>
        <v/>
      </c>
      <c r="DQ30" s="45">
        <f>+M30/M$16</f>
        <v/>
      </c>
    </row>
    <row r="31" ht="15.75" customHeight="1">
      <c r="B31" s="5" t="inlineStr">
        <is>
          <t>Other G&amp;A</t>
        </is>
      </c>
      <c r="F31" s="46">
        <f>+'Opex_Calcs'!F49</f>
        <v/>
      </c>
      <c r="G31" s="46">
        <f>+'Opex_Calcs'!G49</f>
        <v/>
      </c>
      <c r="H31" s="46">
        <f>+'Opex_Calcs'!H49</f>
        <v/>
      </c>
      <c r="I31" s="46">
        <f>+'Opex_Calcs'!I49</f>
        <v/>
      </c>
      <c r="J31" s="46">
        <f>+'Opex_Calcs'!J49</f>
        <v/>
      </c>
      <c r="K31" s="46">
        <f>+'Opex_Calcs'!K49</f>
        <v/>
      </c>
      <c r="L31" s="46">
        <f>+'Opex_Calcs'!L49</f>
        <v/>
      </c>
      <c r="M31" s="46">
        <f>+'Opex_Calcs'!M49</f>
        <v/>
      </c>
      <c r="N31" s="46" t="n"/>
      <c r="O31" s="46">
        <f>+I31</f>
        <v/>
      </c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  <c r="AJ31" s="48" t="n"/>
      <c r="AK31" s="48" t="n"/>
      <c r="AL31" s="48" t="n"/>
      <c r="AM31" s="48" t="n"/>
      <c r="AN31" s="48" t="n"/>
      <c r="AO31" s="48" t="n"/>
      <c r="AP31" s="48" t="n"/>
      <c r="AQ31" s="48" t="n"/>
      <c r="AR31" s="48" t="n"/>
      <c r="AS31" s="48" t="n"/>
      <c r="AT31" s="48" t="n"/>
      <c r="AU31" s="48" t="n"/>
      <c r="AV31" s="48" t="n"/>
      <c r="AW31" s="48" t="n"/>
      <c r="AX31" s="48" t="n"/>
      <c r="AY31" s="48" t="n"/>
      <c r="AZ31" s="48" t="n"/>
      <c r="BA31" s="48" t="n"/>
      <c r="BB31" s="48" t="n"/>
      <c r="BC31" s="48" t="n"/>
      <c r="BD31" s="48" t="n"/>
      <c r="BE31" s="48" t="n"/>
      <c r="BF31" s="48" t="n"/>
      <c r="BG31" s="48" t="n"/>
      <c r="BH31" s="48" t="n"/>
      <c r="BI31" s="48" t="n"/>
      <c r="BJ31" s="48" t="n"/>
      <c r="BK31" s="48" t="n"/>
      <c r="BL31" s="48" t="n"/>
      <c r="BM31" s="48" t="n"/>
      <c r="BN31" s="48" t="n"/>
      <c r="BO31" s="48" t="n"/>
      <c r="BP31" s="48" t="n"/>
      <c r="BQ31" s="48" t="n"/>
      <c r="BR31" s="48" t="n"/>
      <c r="BS31" s="48" t="n"/>
      <c r="BT31" s="48" t="n"/>
      <c r="BU31" s="48" t="n"/>
      <c r="BV31" s="48" t="n"/>
      <c r="BW31" s="48" t="n"/>
      <c r="BX31" s="48" t="n"/>
      <c r="BY31" s="48" t="n"/>
      <c r="BZ31" s="48" t="n"/>
      <c r="CA31" s="48" t="n"/>
      <c r="CB31" s="48" t="n"/>
      <c r="CC31" s="48" t="n"/>
      <c r="CD31" s="48" t="n"/>
      <c r="CE31" s="48" t="n"/>
      <c r="CF31" s="48" t="n"/>
      <c r="CG31" s="48" t="n"/>
      <c r="CH31" s="48" t="n"/>
      <c r="CI31" s="48" t="n"/>
      <c r="CJ31" s="48" t="n"/>
      <c r="CK31" s="48" t="n"/>
      <c r="CL31" s="48" t="n"/>
      <c r="CM31" s="48" t="n"/>
      <c r="CN31" s="48" t="n"/>
      <c r="CO31" s="48" t="n"/>
      <c r="CP31" s="48" t="n"/>
      <c r="CQ31" s="48" t="n"/>
      <c r="CR31" s="48" t="n"/>
      <c r="CS31" s="48" t="n"/>
      <c r="CT31" s="48" t="n"/>
      <c r="CU31" s="48" t="n"/>
      <c r="CV31" s="48" t="n"/>
      <c r="CW31" s="48" t="n"/>
      <c r="CX31" s="48" t="n"/>
      <c r="CY31" s="48" t="n"/>
      <c r="CZ31" s="48" t="n"/>
      <c r="DA31" s="48" t="n"/>
      <c r="DB31" s="48" t="n"/>
      <c r="DC31" s="48" t="n"/>
      <c r="DD31" s="48" t="n"/>
      <c r="DE31" s="48" t="n"/>
      <c r="DF31" s="48" t="n"/>
      <c r="DG31" s="48" t="n"/>
      <c r="DH31" s="48" t="n"/>
      <c r="DJ31" s="45">
        <f>+F31/F$16</f>
        <v/>
      </c>
      <c r="DK31" s="45">
        <f>+G31/G$16</f>
        <v/>
      </c>
      <c r="DL31" s="45">
        <f>+H31/H$16</f>
        <v/>
      </c>
      <c r="DM31" s="45">
        <f>+I31/I$16</f>
        <v/>
      </c>
      <c r="DN31" s="45">
        <f>+J31/J$16</f>
        <v/>
      </c>
      <c r="DO31" s="45" t="n"/>
      <c r="DP31" s="45">
        <f>+L31/L$16</f>
        <v/>
      </c>
      <c r="DQ31" s="45">
        <f>+M31/M$16</f>
        <v/>
      </c>
    </row>
    <row r="32" ht="15.75" customHeight="1">
      <c r="B32" s="5" t="inlineStr">
        <is>
          <t>Professional Fees</t>
        </is>
      </c>
      <c r="F32" s="46">
        <f>+'Opex_Calcs'!F50</f>
        <v/>
      </c>
      <c r="G32" s="46">
        <f>+'Opex_Calcs'!G50</f>
        <v/>
      </c>
      <c r="H32" s="46">
        <f>+'Opex_Calcs'!H50</f>
        <v/>
      </c>
      <c r="I32" s="46">
        <f>+'Opex_Calcs'!I50</f>
        <v/>
      </c>
      <c r="J32" s="46">
        <f>+'Opex_Calcs'!J50</f>
        <v/>
      </c>
      <c r="K32" s="46">
        <f>+'Opex_Calcs'!K50</f>
        <v/>
      </c>
      <c r="L32" s="46">
        <f>+'Opex_Calcs'!L50</f>
        <v/>
      </c>
      <c r="M32" s="46">
        <f>+'Opex_Calcs'!M50</f>
        <v/>
      </c>
      <c r="N32" s="46" t="n"/>
      <c r="O32" s="46">
        <f>+I32</f>
        <v/>
      </c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  <c r="AG32" s="48" t="n"/>
      <c r="AH32" s="48" t="n"/>
      <c r="AI32" s="48" t="n"/>
      <c r="AJ32" s="48" t="n"/>
      <c r="AK32" s="48" t="n"/>
      <c r="AL32" s="48" t="n"/>
      <c r="AM32" s="48" t="n"/>
      <c r="AN32" s="48" t="n"/>
      <c r="AO32" s="48" t="n"/>
      <c r="AP32" s="48" t="n"/>
      <c r="AQ32" s="48" t="n"/>
      <c r="AR32" s="48" t="n"/>
      <c r="AS32" s="48" t="n"/>
      <c r="AT32" s="48" t="n"/>
      <c r="AU32" s="48" t="n"/>
      <c r="AV32" s="48" t="n"/>
      <c r="AW32" s="48" t="n"/>
      <c r="AX32" s="48" t="n"/>
      <c r="AY32" s="48" t="n"/>
      <c r="AZ32" s="48" t="n"/>
      <c r="BA32" s="48" t="n"/>
      <c r="BB32" s="48" t="n"/>
      <c r="BC32" s="48" t="n"/>
      <c r="BD32" s="48" t="n"/>
      <c r="BE32" s="48" t="n"/>
      <c r="BF32" s="48" t="n"/>
      <c r="BG32" s="48" t="n"/>
      <c r="BH32" s="48" t="n"/>
      <c r="BI32" s="48" t="n"/>
      <c r="BJ32" s="48" t="n"/>
      <c r="BK32" s="48" t="n"/>
      <c r="BL32" s="48" t="n"/>
      <c r="BM32" s="48" t="n"/>
      <c r="BN32" s="48" t="n"/>
      <c r="BO32" s="48" t="n"/>
      <c r="BP32" s="48" t="n"/>
      <c r="BQ32" s="48" t="n"/>
      <c r="BR32" s="48" t="n"/>
      <c r="BS32" s="48" t="n"/>
      <c r="BT32" s="48" t="n"/>
      <c r="BU32" s="48" t="n"/>
      <c r="BV32" s="48" t="n"/>
      <c r="BW32" s="48" t="n"/>
      <c r="BX32" s="48" t="n"/>
      <c r="BY32" s="48" t="n"/>
      <c r="BZ32" s="48" t="n"/>
      <c r="CA32" s="48" t="n"/>
      <c r="CB32" s="48" t="n"/>
      <c r="CC32" s="48" t="n"/>
      <c r="CD32" s="48" t="n"/>
      <c r="CE32" s="48" t="n"/>
      <c r="CF32" s="48" t="n"/>
      <c r="CG32" s="48" t="n"/>
      <c r="CH32" s="48" t="n"/>
      <c r="CI32" s="48" t="n"/>
      <c r="CJ32" s="48" t="n"/>
      <c r="CK32" s="48" t="n"/>
      <c r="CL32" s="48" t="n"/>
      <c r="CM32" s="48" t="n"/>
      <c r="CN32" s="48" t="n"/>
      <c r="CO32" s="48" t="n"/>
      <c r="CP32" s="48" t="n"/>
      <c r="CQ32" s="48" t="n"/>
      <c r="CR32" s="48" t="n"/>
      <c r="CS32" s="48" t="n"/>
      <c r="CT32" s="48" t="n"/>
      <c r="CU32" s="48" t="n"/>
      <c r="CV32" s="48" t="n"/>
      <c r="CW32" s="48" t="n"/>
      <c r="CX32" s="48" t="n"/>
      <c r="CY32" s="48" t="n"/>
      <c r="CZ32" s="48" t="n"/>
      <c r="DA32" s="48" t="n"/>
      <c r="DB32" s="48" t="n"/>
      <c r="DC32" s="48" t="n"/>
      <c r="DD32" s="48" t="n"/>
      <c r="DE32" s="48" t="n"/>
      <c r="DF32" s="48" t="n"/>
      <c r="DG32" s="48" t="n"/>
      <c r="DH32" s="48" t="n"/>
      <c r="DJ32" s="45">
        <f>+F32/F$16</f>
        <v/>
      </c>
      <c r="DK32" s="45">
        <f>+G32/G$16</f>
        <v/>
      </c>
      <c r="DL32" s="45">
        <f>+H32/H$16</f>
        <v/>
      </c>
      <c r="DM32" s="45">
        <f>+I32/I$16</f>
        <v/>
      </c>
      <c r="DN32" s="45">
        <f>+J32/J$16</f>
        <v/>
      </c>
      <c r="DO32" s="45" t="n"/>
      <c r="DP32" s="45">
        <f>+L32/L$16</f>
        <v/>
      </c>
      <c r="DQ32" s="45">
        <f>+M32/M$16</f>
        <v/>
      </c>
    </row>
    <row r="33" ht="15.75" customHeight="1">
      <c r="B33" s="5" t="inlineStr">
        <is>
          <t>Service Costs</t>
        </is>
      </c>
      <c r="F33" s="46">
        <f>+'Opex_Calcs'!F51</f>
        <v/>
      </c>
      <c r="G33" s="46">
        <f>+'Opex_Calcs'!G51</f>
        <v/>
      </c>
      <c r="H33" s="46">
        <f>+'Opex_Calcs'!H51</f>
        <v/>
      </c>
      <c r="I33" s="46">
        <f>+'Opex_Calcs'!I51</f>
        <v/>
      </c>
      <c r="J33" s="46">
        <f>+'Opex_Calcs'!J51</f>
        <v/>
      </c>
      <c r="K33" s="46">
        <f>+'Opex_Calcs'!K51</f>
        <v/>
      </c>
      <c r="L33" s="46">
        <f>+'Opex_Calcs'!L51</f>
        <v/>
      </c>
      <c r="M33" s="46">
        <f>+'Opex_Calcs'!M51</f>
        <v/>
      </c>
      <c r="N33" s="46" t="n"/>
      <c r="O33" s="46">
        <f>+I33</f>
        <v/>
      </c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  <c r="AI33" s="48" t="n"/>
      <c r="AJ33" s="48" t="n"/>
      <c r="AK33" s="48" t="n"/>
      <c r="AL33" s="48" t="n"/>
      <c r="AM33" s="48" t="n"/>
      <c r="AN33" s="48" t="n"/>
      <c r="AO33" s="48" t="n"/>
      <c r="AP33" s="48" t="n"/>
      <c r="AQ33" s="48" t="n"/>
      <c r="AR33" s="48" t="n"/>
      <c r="AS33" s="48" t="n"/>
      <c r="AT33" s="48" t="n"/>
      <c r="AU33" s="48" t="n"/>
      <c r="AV33" s="48" t="n"/>
      <c r="AW33" s="48" t="n"/>
      <c r="AX33" s="48" t="n"/>
      <c r="AY33" s="48" t="n"/>
      <c r="AZ33" s="48" t="n"/>
      <c r="BA33" s="48" t="n"/>
      <c r="BB33" s="48" t="n"/>
      <c r="BC33" s="48" t="n"/>
      <c r="BD33" s="48" t="n"/>
      <c r="BE33" s="48" t="n"/>
      <c r="BF33" s="48" t="n"/>
      <c r="BG33" s="48" t="n"/>
      <c r="BH33" s="48" t="n"/>
      <c r="BI33" s="48" t="n"/>
      <c r="BJ33" s="48" t="n"/>
      <c r="BK33" s="48" t="n"/>
      <c r="BL33" s="48" t="n"/>
      <c r="BM33" s="48" t="n"/>
      <c r="BN33" s="48" t="n"/>
      <c r="BO33" s="48" t="n"/>
      <c r="BP33" s="48" t="n"/>
      <c r="BQ33" s="48" t="n"/>
      <c r="BR33" s="48" t="n"/>
      <c r="BS33" s="48" t="n"/>
      <c r="BT33" s="48" t="n"/>
      <c r="BU33" s="48" t="n"/>
      <c r="BV33" s="48" t="n"/>
      <c r="BW33" s="48" t="n"/>
      <c r="BX33" s="48" t="n"/>
      <c r="BY33" s="48" t="n"/>
      <c r="BZ33" s="48" t="n"/>
      <c r="CA33" s="48" t="n"/>
      <c r="CB33" s="48" t="n"/>
      <c r="CC33" s="48" t="n"/>
      <c r="CD33" s="48" t="n"/>
      <c r="CE33" s="48" t="n"/>
      <c r="CF33" s="48" t="n"/>
      <c r="CG33" s="48" t="n"/>
      <c r="CH33" s="48" t="n"/>
      <c r="CI33" s="48" t="n"/>
      <c r="CJ33" s="48" t="n"/>
      <c r="CK33" s="48" t="n"/>
      <c r="CL33" s="48" t="n"/>
      <c r="CM33" s="48" t="n"/>
      <c r="CN33" s="48" t="n"/>
      <c r="CO33" s="48" t="n"/>
      <c r="CP33" s="48" t="n"/>
      <c r="CQ33" s="48" t="n"/>
      <c r="CR33" s="48" t="n"/>
      <c r="CS33" s="48" t="n"/>
      <c r="CT33" s="48" t="n"/>
      <c r="CU33" s="48" t="n"/>
      <c r="CV33" s="48" t="n"/>
      <c r="CW33" s="48" t="n"/>
      <c r="CX33" s="48" t="n"/>
      <c r="CY33" s="48" t="n"/>
      <c r="CZ33" s="48" t="n"/>
      <c r="DA33" s="48" t="n"/>
      <c r="DB33" s="48" t="n"/>
      <c r="DC33" s="48" t="n"/>
      <c r="DD33" s="48" t="n"/>
      <c r="DE33" s="48" t="n"/>
      <c r="DF33" s="48" t="n"/>
      <c r="DG33" s="48" t="n"/>
      <c r="DH33" s="48" t="n"/>
      <c r="DJ33" s="45">
        <f>+F33/F$16</f>
        <v/>
      </c>
      <c r="DK33" s="45">
        <f>+G33/G$16</f>
        <v/>
      </c>
      <c r="DL33" s="45">
        <f>+H33/H$16</f>
        <v/>
      </c>
      <c r="DM33" s="45">
        <f>+I33/I$16</f>
        <v/>
      </c>
      <c r="DN33" s="45">
        <f>+J33/J$16</f>
        <v/>
      </c>
      <c r="DO33" s="45" t="n"/>
      <c r="DP33" s="45">
        <f>+L33/L$16</f>
        <v/>
      </c>
      <c r="DQ33" s="45">
        <f>+M33/M$16</f>
        <v/>
      </c>
    </row>
    <row r="34" ht="15.75" customHeight="1">
      <c r="B34" s="50" t="inlineStr">
        <is>
          <t>Total Operating Expenses</t>
        </is>
      </c>
      <c r="C34" s="50" t="n"/>
      <c r="D34" s="50" t="n"/>
      <c r="F34" s="51">
        <f>+'Opex_Calcs'!F52</f>
        <v/>
      </c>
      <c r="G34" s="51">
        <f>+'Opex_Calcs'!G52</f>
        <v/>
      </c>
      <c r="H34" s="51">
        <f>+'Opex_Calcs'!H52</f>
        <v/>
      </c>
      <c r="I34" s="51">
        <f>+'Opex_Calcs'!I52</f>
        <v/>
      </c>
      <c r="J34" s="51">
        <f>+'Opex_Calcs'!J52</f>
        <v/>
      </c>
      <c r="K34" s="51">
        <f>+'Opex_Calcs'!K52</f>
        <v/>
      </c>
      <c r="L34" s="51">
        <f>+'Opex_Calcs'!L52</f>
        <v/>
      </c>
      <c r="M34" s="51">
        <f>+'Opex_Calcs'!M52</f>
        <v/>
      </c>
      <c r="N34" s="46" t="n"/>
      <c r="O34" s="51">
        <f>+I34</f>
        <v/>
      </c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  <c r="AD34" s="51" t="n"/>
      <c r="AE34" s="51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1" t="n"/>
      <c r="CN34" s="51" t="n"/>
      <c r="CO34" s="51" t="n"/>
      <c r="CP34" s="51" t="n"/>
      <c r="CQ34" s="51" t="n"/>
      <c r="CR34" s="51" t="n"/>
      <c r="CS34" s="51" t="n"/>
      <c r="CT34" s="51" t="n"/>
      <c r="CU34" s="51" t="n"/>
      <c r="CV34" s="51" t="n"/>
      <c r="CW34" s="51" t="n"/>
      <c r="CX34" s="51" t="n"/>
      <c r="CY34" s="51" t="n"/>
      <c r="CZ34" s="51" t="n"/>
      <c r="DA34" s="51" t="n"/>
      <c r="DB34" s="51" t="n"/>
      <c r="DC34" s="51" t="n"/>
      <c r="DD34" s="51" t="n"/>
      <c r="DE34" s="51" t="n"/>
      <c r="DF34" s="51" t="n"/>
      <c r="DG34" s="51" t="n"/>
      <c r="DH34" s="51" t="n"/>
      <c r="DJ34" s="53">
        <f>+F34/F$16</f>
        <v/>
      </c>
      <c r="DK34" s="53">
        <f>+G34/G$16</f>
        <v/>
      </c>
      <c r="DL34" s="53">
        <f>+H34/H$16</f>
        <v/>
      </c>
      <c r="DM34" s="53">
        <f>+I34/I$16</f>
        <v/>
      </c>
      <c r="DN34" s="53">
        <f>+J34/J$16</f>
        <v/>
      </c>
      <c r="DO34" s="53" t="n"/>
      <c r="DP34" s="53">
        <f>+L34/L$16</f>
        <v/>
      </c>
      <c r="DQ34" s="53">
        <f>+M34/M$16</f>
        <v/>
      </c>
    </row>
    <row r="35" ht="15.75" customHeight="1">
      <c r="B35" s="5" t="inlineStr">
        <is>
          <t>Other Income / Expenses</t>
        </is>
      </c>
      <c r="F35" s="46">
        <f>+'Opex_Calcs'!F55</f>
        <v/>
      </c>
      <c r="G35" s="46">
        <f>+'Opex_Calcs'!G55</f>
        <v/>
      </c>
      <c r="H35" s="46">
        <f>+'Opex_Calcs'!H55</f>
        <v/>
      </c>
      <c r="I35" s="46">
        <f>+'Opex_Calcs'!I55</f>
        <v/>
      </c>
      <c r="J35" s="46">
        <f>+'Opex_Calcs'!J55</f>
        <v/>
      </c>
      <c r="K35" s="46">
        <f>+'Opex_Calcs'!K55</f>
        <v/>
      </c>
      <c r="L35" s="46">
        <f>+'Opex_Calcs'!L55</f>
        <v/>
      </c>
      <c r="M35" s="46">
        <f>+'Opex_Calcs'!M55</f>
        <v/>
      </c>
      <c r="N35" s="46" t="n"/>
      <c r="O35" s="46">
        <f>+I35</f>
        <v/>
      </c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  <c r="AJ35" s="48" t="n"/>
      <c r="AK35" s="48" t="n"/>
      <c r="AL35" s="48" t="n"/>
      <c r="AM35" s="48" t="n"/>
      <c r="AN35" s="48" t="n"/>
      <c r="AO35" s="48" t="n"/>
      <c r="AP35" s="48" t="n"/>
      <c r="AQ35" s="48" t="n"/>
      <c r="AR35" s="48" t="n"/>
      <c r="AS35" s="48" t="n"/>
      <c r="AT35" s="48" t="n"/>
      <c r="AU35" s="48" t="n"/>
      <c r="AV35" s="48" t="n"/>
      <c r="AW35" s="48" t="n"/>
      <c r="AX35" s="48" t="n"/>
      <c r="AY35" s="48" t="n"/>
      <c r="AZ35" s="48" t="n"/>
      <c r="BA35" s="48" t="n"/>
      <c r="BB35" s="48" t="n"/>
      <c r="BC35" s="48" t="n"/>
      <c r="BD35" s="48" t="n"/>
      <c r="BE35" s="48" t="n"/>
      <c r="BF35" s="48" t="n"/>
      <c r="BG35" s="48" t="n"/>
      <c r="BH35" s="48" t="n"/>
      <c r="BI35" s="48" t="n"/>
      <c r="BJ35" s="48" t="n"/>
      <c r="BK35" s="48" t="n"/>
      <c r="BL35" s="48" t="n"/>
      <c r="BM35" s="48" t="n"/>
      <c r="BN35" s="48" t="n"/>
      <c r="BO35" s="48" t="n"/>
      <c r="BP35" s="48" t="n"/>
      <c r="BQ35" s="48" t="n"/>
      <c r="BR35" s="48" t="n"/>
      <c r="BS35" s="48" t="n"/>
      <c r="BT35" s="48" t="n"/>
      <c r="BU35" s="48" t="n"/>
      <c r="BV35" s="48" t="n"/>
      <c r="BW35" s="48" t="n"/>
      <c r="BX35" s="48" t="n"/>
      <c r="BY35" s="48" t="n"/>
      <c r="BZ35" s="48" t="n"/>
      <c r="CA35" s="48" t="n"/>
      <c r="CB35" s="48" t="n"/>
      <c r="CC35" s="48" t="n"/>
      <c r="CD35" s="48" t="n"/>
      <c r="CE35" s="48" t="n"/>
      <c r="CF35" s="48" t="n"/>
      <c r="CG35" s="48" t="n"/>
      <c r="CH35" s="48" t="n"/>
      <c r="CI35" s="48" t="n"/>
      <c r="CJ35" s="48" t="n"/>
      <c r="CK35" s="48" t="n"/>
      <c r="CL35" s="48" t="n"/>
      <c r="CM35" s="48" t="n"/>
      <c r="CN35" s="48" t="n"/>
      <c r="CO35" s="48" t="n"/>
      <c r="CP35" s="48" t="n"/>
      <c r="CQ35" s="48" t="n"/>
      <c r="CR35" s="48" t="n"/>
      <c r="CS35" s="48" t="n"/>
      <c r="CT35" s="48" t="n"/>
      <c r="CU35" s="48" t="n"/>
      <c r="CV35" s="48" t="n"/>
      <c r="CW35" s="48" t="n"/>
      <c r="CX35" s="48" t="n"/>
      <c r="CY35" s="48" t="n"/>
      <c r="CZ35" s="48" t="n"/>
      <c r="DA35" s="48" t="n"/>
      <c r="DB35" s="48" t="n"/>
      <c r="DC35" s="48" t="n"/>
      <c r="DD35" s="48" t="n"/>
      <c r="DE35" s="48" t="n"/>
      <c r="DF35" s="48" t="n"/>
      <c r="DG35" s="48" t="n"/>
      <c r="DH35" s="48" t="n"/>
      <c r="DJ35" s="45">
        <f>+F35/F$16</f>
        <v/>
      </c>
      <c r="DK35" s="45">
        <f>+G35/G$16</f>
        <v/>
      </c>
      <c r="DL35" s="45">
        <f>+H35/H$16</f>
        <v/>
      </c>
      <c r="DM35" s="45">
        <f>+I35/I$16</f>
        <v/>
      </c>
      <c r="DN35" s="45">
        <f>+J35/J$16</f>
        <v/>
      </c>
      <c r="DO35" s="45" t="n"/>
      <c r="DP35" s="45">
        <f>+L35/L$16</f>
        <v/>
      </c>
      <c r="DQ35" s="45">
        <f>+M35/M$16</f>
        <v/>
      </c>
    </row>
    <row r="36" ht="4.5" customHeight="1">
      <c r="DJ36" s="45" t="n"/>
      <c r="DK36" s="45" t="n"/>
      <c r="DL36" s="45" t="n"/>
      <c r="DM36" s="45" t="n"/>
      <c r="DN36" s="45" t="n"/>
      <c r="DO36" s="45" t="n"/>
      <c r="DP36" s="45" t="n"/>
      <c r="DQ36" s="45" t="n"/>
    </row>
    <row r="37" ht="15.75" customHeight="1">
      <c r="B37" s="56" t="inlineStr">
        <is>
          <t>Reported EBITDA</t>
        </is>
      </c>
      <c r="C37" s="56" t="n"/>
      <c r="D37" s="56" t="n"/>
      <c r="F37" s="57">
        <f>+SUM(F24,-F34,-F35)</f>
        <v/>
      </c>
      <c r="G37" s="57">
        <f>+SUM(G24,-G34,-G35)</f>
        <v/>
      </c>
      <c r="H37" s="57">
        <f>+SUM(H24,-H34,-H35)</f>
        <v/>
      </c>
      <c r="I37" s="57">
        <f>+SUM(I24,-I34,-I35)</f>
        <v/>
      </c>
      <c r="J37" s="57">
        <f>+SUM(J24,-J34,-J35)</f>
        <v/>
      </c>
      <c r="K37" s="57">
        <f>+SUM(K24,-K34,-K35)</f>
        <v/>
      </c>
      <c r="L37" s="57">
        <f>+SUM(L24,-L34,-L35)</f>
        <v/>
      </c>
      <c r="M37" s="57">
        <f>+SUM(M24,-M34,-M35)</f>
        <v/>
      </c>
      <c r="N37" s="46" t="n"/>
      <c r="O37" s="57">
        <f>+SUM(O24,-O34,-O35)</f>
        <v/>
      </c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  <c r="AG37" s="57" t="n"/>
      <c r="AH37" s="57" t="n"/>
      <c r="AI37" s="57" t="n"/>
      <c r="AJ37" s="57" t="n"/>
      <c r="AK37" s="57" t="n"/>
      <c r="AL37" s="57" t="n"/>
      <c r="AM37" s="57" t="n"/>
      <c r="AN37" s="57" t="n"/>
      <c r="AO37" s="57" t="n"/>
      <c r="AP37" s="57" t="n"/>
      <c r="AQ37" s="57" t="n"/>
      <c r="AR37" s="57" t="n"/>
      <c r="AS37" s="57" t="n"/>
      <c r="AT37" s="57" t="n"/>
      <c r="AU37" s="57" t="n"/>
      <c r="AV37" s="57" t="n"/>
      <c r="AW37" s="57" t="n"/>
      <c r="AX37" s="57" t="n"/>
      <c r="AY37" s="57" t="n"/>
      <c r="AZ37" s="57" t="n"/>
      <c r="BA37" s="57" t="n"/>
      <c r="BB37" s="57" t="n"/>
      <c r="BC37" s="57" t="n"/>
      <c r="BD37" s="57" t="n"/>
      <c r="BE37" s="57" t="n"/>
      <c r="BF37" s="57" t="n"/>
      <c r="BG37" s="57" t="n"/>
      <c r="BH37" s="57" t="n"/>
      <c r="BI37" s="57" t="n"/>
      <c r="BJ37" s="57" t="n"/>
      <c r="BK37" s="57" t="n"/>
      <c r="BL37" s="57" t="n"/>
      <c r="BM37" s="57" t="n"/>
      <c r="BN37" s="57" t="n"/>
      <c r="BO37" s="57" t="n"/>
      <c r="BP37" s="57" t="n"/>
      <c r="BQ37" s="57" t="n"/>
      <c r="BR37" s="57" t="n"/>
      <c r="BS37" s="57" t="n"/>
      <c r="BT37" s="57" t="n"/>
      <c r="BU37" s="57" t="n"/>
      <c r="BV37" s="57" t="n"/>
      <c r="BW37" s="57" t="n"/>
      <c r="BX37" s="57" t="n"/>
      <c r="BY37" s="57" t="n"/>
      <c r="BZ37" s="57" t="n"/>
      <c r="CA37" s="57" t="n"/>
      <c r="CB37" s="57" t="n"/>
      <c r="CC37" s="57" t="n"/>
      <c r="CD37" s="57" t="n"/>
      <c r="CE37" s="57" t="n"/>
      <c r="CF37" s="57" t="n"/>
      <c r="CG37" s="57" t="n"/>
      <c r="CH37" s="57" t="n"/>
      <c r="CI37" s="57" t="n"/>
      <c r="CJ37" s="57" t="n"/>
      <c r="CK37" s="57" t="n"/>
      <c r="CL37" s="57" t="n"/>
      <c r="CM37" s="57" t="n"/>
      <c r="CN37" s="57" t="n"/>
      <c r="CO37" s="57" t="n"/>
      <c r="CP37" s="57" t="n"/>
      <c r="CQ37" s="57" t="n"/>
      <c r="CR37" s="57" t="n"/>
      <c r="CS37" s="57" t="n"/>
      <c r="CT37" s="57" t="n"/>
      <c r="CU37" s="57" t="n"/>
      <c r="CV37" s="57" t="n"/>
      <c r="CW37" s="57" t="n"/>
      <c r="CX37" s="57" t="n"/>
      <c r="CY37" s="57" t="n"/>
      <c r="CZ37" s="57" t="n"/>
      <c r="DA37" s="57" t="n"/>
      <c r="DB37" s="57" t="n"/>
      <c r="DC37" s="57" t="n"/>
      <c r="DD37" s="57" t="n"/>
      <c r="DE37" s="57" t="n"/>
      <c r="DF37" s="57" t="n"/>
      <c r="DG37" s="57" t="n"/>
      <c r="DH37" s="57" t="n"/>
      <c r="DJ37" s="58">
        <f>+F37/F$16</f>
        <v/>
      </c>
      <c r="DK37" s="58">
        <f>+G37/G$16</f>
        <v/>
      </c>
      <c r="DL37" s="58">
        <f>+H37/H$16</f>
        <v/>
      </c>
      <c r="DM37" s="58">
        <f>+I37/I$16</f>
        <v/>
      </c>
      <c r="DN37" s="58">
        <f>+J37/J$16</f>
        <v/>
      </c>
      <c r="DO37" s="58" t="n"/>
      <c r="DP37" s="58">
        <f>+L37/L$16</f>
        <v/>
      </c>
      <c r="DQ37" s="58">
        <f>+M37/M$16</f>
        <v/>
      </c>
    </row>
    <row r="38" ht="4.5" customHeight="1">
      <c r="B38" s="60" t="n"/>
      <c r="DJ38" s="45" t="n"/>
      <c r="DK38" s="45" t="n"/>
      <c r="DL38" s="45" t="n"/>
      <c r="DM38" s="45" t="n"/>
      <c r="DN38" s="45" t="n"/>
      <c r="DO38" s="45" t="n"/>
      <c r="DP38" s="45" t="n"/>
      <c r="DQ38" s="45" t="n"/>
    </row>
    <row r="39" ht="15.75" customHeight="1">
      <c r="B39" s="44" t="inlineStr">
        <is>
          <t>Adjustments</t>
        </is>
      </c>
      <c r="DJ39" s="45" t="n"/>
      <c r="DK39" s="45" t="n"/>
      <c r="DL39" s="45" t="n"/>
      <c r="DM39" s="45" t="n"/>
      <c r="DN39" s="45" t="n"/>
      <c r="DO39" s="45" t="n"/>
      <c r="DP39" s="45" t="n"/>
      <c r="DQ39" s="45" t="n"/>
    </row>
    <row r="40" ht="15.75" customHeight="1">
      <c r="B40" s="5" t="inlineStr">
        <is>
          <t>Non-cash Stock-based Compensation</t>
        </is>
      </c>
      <c r="F40" s="46">
        <f>SUMIFS($Q40:$DI40,$Q$7:$DI$7,F$7)</f>
        <v/>
      </c>
      <c r="G40" s="46">
        <f>SUMIFS($Q40:$DI40,$Q$7:$DI$7,G$7)</f>
        <v/>
      </c>
      <c r="H40" s="46">
        <f>SUMIFS($Q40:$DI40,$Q$7:$DI$7,H$7)</f>
        <v/>
      </c>
      <c r="I40" s="46">
        <f>SUMIFS($Q40:$DI40,$Q$7:$DI$7,I$7)</f>
        <v/>
      </c>
      <c r="J40" s="46">
        <f>SUMIFS($Q40:$DI40,$Q$7:$DI$7,J$7)</f>
        <v/>
      </c>
      <c r="K40" s="46">
        <f>SUMIFS($Q40:$DI40,$Q$7:$DI$7,K$7)</f>
        <v/>
      </c>
      <c r="L40" s="46">
        <f>SUMIFS($Q40:$DI40,$Q$7:$DI$7,L$7)</f>
        <v/>
      </c>
      <c r="M40" s="46">
        <f>SUMIFS($Q40:$DI40,$Q$7:$DI$7,M$7)</f>
        <v/>
      </c>
      <c r="N40" s="46" t="n"/>
      <c r="O40" s="46">
        <f>+I40</f>
        <v/>
      </c>
      <c r="Q40" s="47" t="n">
        <v>20.833</v>
      </c>
      <c r="R40" s="47" t="n">
        <v>20.833</v>
      </c>
      <c r="S40" s="47" t="n">
        <v>20.833</v>
      </c>
      <c r="T40" s="47" t="n">
        <v>20.833</v>
      </c>
      <c r="U40" s="47" t="n">
        <v>20.833</v>
      </c>
      <c r="V40" s="47" t="n">
        <v>20.833</v>
      </c>
      <c r="W40" s="47" t="n">
        <v>20.833</v>
      </c>
      <c r="X40" s="47" t="n">
        <v>20.833</v>
      </c>
      <c r="Y40" s="47" t="n">
        <v>20.833</v>
      </c>
      <c r="Z40" s="47" t="n">
        <v>20.833</v>
      </c>
      <c r="AA40" s="47" t="n">
        <v>20.833</v>
      </c>
      <c r="AB40" s="47" t="n">
        <v>-204.124</v>
      </c>
      <c r="AC40" s="47" t="n">
        <v>8.33333</v>
      </c>
      <c r="AD40" s="47" t="n">
        <v>8.33333</v>
      </c>
      <c r="AE40" s="47" t="n">
        <v>8.33333</v>
      </c>
      <c r="AF40" s="47" t="n">
        <v>8.33333</v>
      </c>
      <c r="AG40" s="47" t="n">
        <v>8.33333</v>
      </c>
      <c r="AH40" s="47" t="n">
        <v>8.33333</v>
      </c>
      <c r="AI40" s="47" t="n">
        <v>8.33333</v>
      </c>
      <c r="AJ40" s="47" t="n">
        <v>8.33333</v>
      </c>
      <c r="AK40" s="47" t="n">
        <v>8.33333</v>
      </c>
      <c r="AL40" s="47" t="n">
        <v>8.33333</v>
      </c>
      <c r="AM40" s="47" t="n">
        <v>8.33333</v>
      </c>
      <c r="AN40" s="47" t="n">
        <v>-27.88063</v>
      </c>
      <c r="AO40" s="47" t="n">
        <v>2.08333</v>
      </c>
      <c r="AP40" s="47" t="n">
        <v>2.08333</v>
      </c>
      <c r="AQ40" s="47" t="n">
        <v>2.08333</v>
      </c>
      <c r="AR40" s="47" t="n">
        <v>2.08333</v>
      </c>
      <c r="AS40" s="47" t="n">
        <v>2.08333</v>
      </c>
      <c r="AT40" s="47" t="n">
        <v>2.08333</v>
      </c>
      <c r="AU40" s="47" t="n">
        <v>2.08333</v>
      </c>
      <c r="AV40" s="47" t="n">
        <v>2.08333</v>
      </c>
      <c r="AW40" s="47" t="n">
        <v>2.08333</v>
      </c>
      <c r="AX40" s="47" t="n">
        <v>2.08333</v>
      </c>
      <c r="AY40" s="47" t="n">
        <v>2.08333</v>
      </c>
      <c r="AZ40" s="47" t="n">
        <v>237.01437</v>
      </c>
      <c r="BA40" s="47" t="n">
        <v>0</v>
      </c>
      <c r="BB40" s="47" t="n">
        <v>0</v>
      </c>
      <c r="BC40" s="47" t="n">
        <v>0</v>
      </c>
      <c r="BD40" s="47" t="n">
        <v>0</v>
      </c>
      <c r="BE40" s="47" t="n">
        <v>0</v>
      </c>
      <c r="BF40" s="47" t="n">
        <v>0</v>
      </c>
      <c r="BG40" s="47" t="n">
        <v>0</v>
      </c>
      <c r="BH40" s="47" t="n">
        <v>0</v>
      </c>
      <c r="BI40" s="47" t="n">
        <v>0</v>
      </c>
      <c r="BJ40" s="47" t="n">
        <v>0</v>
      </c>
      <c r="BK40" s="47" t="n">
        <v>0</v>
      </c>
      <c r="BL40" s="47" t="n">
        <v>0</v>
      </c>
      <c r="BM40" s="47" t="n">
        <v>0</v>
      </c>
      <c r="BN40" s="47" t="n">
        <v>0</v>
      </c>
      <c r="BO40" s="47" t="n">
        <v>0</v>
      </c>
      <c r="BP40" s="47" t="n">
        <v>0</v>
      </c>
      <c r="BQ40" s="47" t="n">
        <v>0</v>
      </c>
      <c r="BR40" s="47" t="n">
        <v>0</v>
      </c>
      <c r="BS40" s="47" t="n">
        <v>0</v>
      </c>
      <c r="BT40" s="47" t="n">
        <v>0</v>
      </c>
      <c r="BU40" s="47" t="n">
        <v>0</v>
      </c>
      <c r="BV40" s="47" t="n">
        <v>0</v>
      </c>
      <c r="BW40" s="47" t="n">
        <v>0</v>
      </c>
      <c r="BX40" s="47" t="n">
        <v>0</v>
      </c>
      <c r="BY40" s="47" t="n">
        <v>0</v>
      </c>
      <c r="BZ40" s="47" t="n">
        <v>0</v>
      </c>
      <c r="CA40" s="47" t="n">
        <v>0</v>
      </c>
      <c r="CB40" s="47" t="n">
        <v>0</v>
      </c>
      <c r="CC40" s="47" t="n">
        <v>0</v>
      </c>
      <c r="CD40" s="47" t="n">
        <v>0</v>
      </c>
      <c r="CE40" s="47" t="n">
        <v>0</v>
      </c>
      <c r="CF40" s="47" t="n">
        <v>0</v>
      </c>
      <c r="CG40" s="47" t="n">
        <v>0</v>
      </c>
      <c r="CH40" s="47" t="n">
        <v>0</v>
      </c>
      <c r="CI40" s="47" t="n">
        <v>0</v>
      </c>
      <c r="CJ40" s="47" t="n">
        <v>0</v>
      </c>
      <c r="CK40" s="47" t="n">
        <v>0</v>
      </c>
      <c r="CL40" s="47" t="n">
        <v>0</v>
      </c>
      <c r="CM40" s="47" t="n">
        <v>0</v>
      </c>
      <c r="CN40" s="47" t="n">
        <v>0</v>
      </c>
      <c r="CO40" s="47" t="n">
        <v>0</v>
      </c>
      <c r="CP40" s="47" t="n">
        <v>0</v>
      </c>
      <c r="CQ40" s="47" t="n">
        <v>0</v>
      </c>
      <c r="CR40" s="47" t="n">
        <v>0</v>
      </c>
      <c r="CS40" s="47" t="n">
        <v>0</v>
      </c>
      <c r="CT40" s="47" t="n">
        <v>0</v>
      </c>
      <c r="CU40" s="47" t="n">
        <v>0</v>
      </c>
      <c r="CV40" s="47" t="n">
        <v>0</v>
      </c>
      <c r="CW40" s="47" t="n">
        <v>0</v>
      </c>
      <c r="CX40" s="47" t="n">
        <v>0</v>
      </c>
      <c r="CY40" s="47" t="n">
        <v>0</v>
      </c>
      <c r="CZ40" s="47" t="n">
        <v>0</v>
      </c>
      <c r="DA40" s="47" t="n">
        <v>0</v>
      </c>
      <c r="DB40" s="47" t="n">
        <v>0</v>
      </c>
      <c r="DC40" s="47" t="n">
        <v>0</v>
      </c>
      <c r="DD40" s="47" t="n">
        <v>0</v>
      </c>
      <c r="DE40" s="47" t="n">
        <v>0</v>
      </c>
      <c r="DF40" s="47" t="n">
        <v>0</v>
      </c>
      <c r="DG40" s="47" t="n">
        <v>0</v>
      </c>
      <c r="DH40" s="47" t="n">
        <v>0</v>
      </c>
      <c r="DJ40" s="45">
        <f>+F40/F$16</f>
        <v/>
      </c>
      <c r="DK40" s="45">
        <f>+G40/G$16</f>
        <v/>
      </c>
      <c r="DL40" s="45">
        <f>+H40/H$16</f>
        <v/>
      </c>
      <c r="DM40" s="45">
        <f>+I40/I$16</f>
        <v/>
      </c>
      <c r="DN40" s="45">
        <f>+J40/J$16</f>
        <v/>
      </c>
      <c r="DO40" s="45" t="n"/>
      <c r="DP40" s="45">
        <f>+L40/L$16</f>
        <v/>
      </c>
      <c r="DQ40" s="45">
        <f>+M40/M$16</f>
        <v/>
      </c>
    </row>
    <row r="41" ht="15.75" customHeight="1">
      <c r="B41" s="5" t="inlineStr">
        <is>
          <t>Other Miscellaneous Items</t>
        </is>
      </c>
      <c r="F41" s="46">
        <f>SUMIFS($Q41:$DI41,$Q$7:$DI$7,F$7)</f>
        <v/>
      </c>
      <c r="G41" s="46">
        <f>SUMIFS($Q41:$DI41,$Q$7:$DI$7,G$7)</f>
        <v/>
      </c>
      <c r="H41" s="46">
        <f>SUMIFS($Q41:$DI41,$Q$7:$DI$7,H$7)</f>
        <v/>
      </c>
      <c r="I41" s="46">
        <f>SUMIFS($Q41:$DI41,$Q$7:$DI$7,I$7)</f>
        <v/>
      </c>
      <c r="J41" s="46">
        <f>SUMIFS($Q41:$DI41,$Q$7:$DI$7,J$7)</f>
        <v/>
      </c>
      <c r="K41" s="46">
        <f>SUMIFS($Q41:$DI41,$Q$7:$DI$7,K$7)</f>
        <v/>
      </c>
      <c r="L41" s="46">
        <f>SUMIFS($Q41:$DI41,$Q$7:$DI$7,L$7)</f>
        <v/>
      </c>
      <c r="M41" s="46">
        <f>SUMIFS($Q41:$DI41,$Q$7:$DI$7,M$7)</f>
        <v/>
      </c>
      <c r="N41" s="46" t="n"/>
      <c r="O41" s="46">
        <f>+I41</f>
        <v/>
      </c>
      <c r="Q41" s="47" t="n">
        <v>9.251650000000001</v>
      </c>
      <c r="R41" s="47" t="n">
        <v>3.01295</v>
      </c>
      <c r="S41" s="47" t="n">
        <v>16.41295</v>
      </c>
      <c r="T41" s="47" t="n">
        <v>-4.58705</v>
      </c>
      <c r="U41" s="47" t="n">
        <v>4.78698</v>
      </c>
      <c r="V41" s="47" t="n">
        <v>3.01295</v>
      </c>
      <c r="W41" s="47" t="n">
        <v>13.01295</v>
      </c>
      <c r="X41" s="47" t="n">
        <v>20.44512</v>
      </c>
      <c r="Y41" s="47" t="n">
        <v>17.51013</v>
      </c>
      <c r="Z41" s="47" t="n">
        <v>1.88017</v>
      </c>
      <c r="AA41" s="47" t="n">
        <v>11.52846</v>
      </c>
      <c r="AB41" s="47" t="n">
        <v>14.82482</v>
      </c>
      <c r="AC41" s="47" t="n">
        <v>12.5</v>
      </c>
      <c r="AD41" s="47" t="n">
        <v>13.65994</v>
      </c>
      <c r="AE41" s="47" t="n">
        <v>22.392</v>
      </c>
      <c r="AF41" s="47" t="n">
        <v>19.868</v>
      </c>
      <c r="AG41" s="47" t="n">
        <v>4.9663</v>
      </c>
      <c r="AH41" s="47" t="n">
        <v>18.383</v>
      </c>
      <c r="AI41" s="47" t="n">
        <v>-69.84</v>
      </c>
      <c r="AJ41" s="47" t="n">
        <v>2.502</v>
      </c>
      <c r="AK41" s="47" t="n">
        <v>2.549</v>
      </c>
      <c r="AL41" s="47" t="n">
        <v>3.96917</v>
      </c>
      <c r="AM41" s="47" t="n">
        <v>3.8983</v>
      </c>
      <c r="AN41" s="47" t="n">
        <v>11.64995</v>
      </c>
      <c r="AO41" s="47" t="n">
        <v>0.7696666666666666</v>
      </c>
      <c r="AP41" s="47" t="n">
        <v>0.7696666666666666</v>
      </c>
      <c r="AQ41" s="47" t="n">
        <v>1.524666666666667</v>
      </c>
      <c r="AR41" s="47" t="n">
        <v>0.7546666666666666</v>
      </c>
      <c r="AS41" s="47" t="n">
        <v>2.255446666666667</v>
      </c>
      <c r="AT41" s="47" t="n">
        <v>-5.245333333333333</v>
      </c>
      <c r="AU41" s="47" t="n">
        <v>-0.2932833333333333</v>
      </c>
      <c r="AV41" s="47" t="n">
        <v>3.354666666666667</v>
      </c>
      <c r="AW41" s="47" t="n">
        <v>15.00466666666667</v>
      </c>
      <c r="AX41" s="47" t="n">
        <v>14.5</v>
      </c>
      <c r="AY41" s="47" t="n">
        <v>1.38931</v>
      </c>
      <c r="AZ41" s="47" t="n">
        <v>0</v>
      </c>
      <c r="BA41" s="47" t="n">
        <v>0</v>
      </c>
      <c r="BB41" s="47" t="n">
        <v>0</v>
      </c>
      <c r="BC41" s="47" t="n">
        <v>0</v>
      </c>
      <c r="BD41" s="47" t="n">
        <v>0</v>
      </c>
      <c r="BE41" s="47" t="n">
        <v>0</v>
      </c>
      <c r="BF41" s="47" t="n">
        <v>0</v>
      </c>
      <c r="BG41" s="47" t="n">
        <v>0</v>
      </c>
      <c r="BH41" s="47" t="n">
        <v>0</v>
      </c>
      <c r="BI41" s="47" t="n">
        <v>0</v>
      </c>
      <c r="BJ41" s="47" t="n">
        <v>0</v>
      </c>
      <c r="BK41" s="47" t="n">
        <v>0</v>
      </c>
      <c r="BL41" s="47" t="n">
        <v>0</v>
      </c>
      <c r="BM41" s="47" t="n">
        <v>0</v>
      </c>
      <c r="BN41" s="47" t="n">
        <v>0</v>
      </c>
      <c r="BO41" s="47" t="n">
        <v>0</v>
      </c>
      <c r="BP41" s="47" t="n">
        <v>0</v>
      </c>
      <c r="BQ41" s="47" t="n">
        <v>0</v>
      </c>
      <c r="BR41" s="47" t="n">
        <v>0</v>
      </c>
      <c r="BS41" s="47" t="n">
        <v>0</v>
      </c>
      <c r="BT41" s="47" t="n">
        <v>0</v>
      </c>
      <c r="BU41" s="47" t="n">
        <v>0</v>
      </c>
      <c r="BV41" s="47" t="n">
        <v>0</v>
      </c>
      <c r="BW41" s="47" t="n">
        <v>0</v>
      </c>
      <c r="BX41" s="47" t="n">
        <v>0</v>
      </c>
      <c r="BY41" s="47" t="n">
        <v>0</v>
      </c>
      <c r="BZ41" s="47" t="n">
        <v>0</v>
      </c>
      <c r="CA41" s="47" t="n">
        <v>0</v>
      </c>
      <c r="CB41" s="47" t="n">
        <v>0</v>
      </c>
      <c r="CC41" s="47" t="n">
        <v>0</v>
      </c>
      <c r="CD41" s="47" t="n">
        <v>0</v>
      </c>
      <c r="CE41" s="47" t="n">
        <v>0</v>
      </c>
      <c r="CF41" s="47" t="n">
        <v>0</v>
      </c>
      <c r="CG41" s="47" t="n">
        <v>0</v>
      </c>
      <c r="CH41" s="47" t="n">
        <v>0</v>
      </c>
      <c r="CI41" s="47" t="n">
        <v>0</v>
      </c>
      <c r="CJ41" s="47" t="n">
        <v>0</v>
      </c>
      <c r="CK41" s="47" t="n">
        <v>0</v>
      </c>
      <c r="CL41" s="47" t="n">
        <v>0</v>
      </c>
      <c r="CM41" s="47" t="n">
        <v>0</v>
      </c>
      <c r="CN41" s="47" t="n">
        <v>0</v>
      </c>
      <c r="CO41" s="47" t="n">
        <v>0</v>
      </c>
      <c r="CP41" s="47" t="n">
        <v>0</v>
      </c>
      <c r="CQ41" s="47" t="n">
        <v>0</v>
      </c>
      <c r="CR41" s="47" t="n">
        <v>0</v>
      </c>
      <c r="CS41" s="47" t="n">
        <v>0</v>
      </c>
      <c r="CT41" s="47" t="n">
        <v>0</v>
      </c>
      <c r="CU41" s="47" t="n">
        <v>0</v>
      </c>
      <c r="CV41" s="47" t="n">
        <v>0</v>
      </c>
      <c r="CW41" s="47" t="n">
        <v>0</v>
      </c>
      <c r="CX41" s="47" t="n">
        <v>0</v>
      </c>
      <c r="CY41" s="47" t="n">
        <v>0</v>
      </c>
      <c r="CZ41" s="47" t="n">
        <v>0</v>
      </c>
      <c r="DA41" s="47" t="n">
        <v>0</v>
      </c>
      <c r="DB41" s="47" t="n">
        <v>0</v>
      </c>
      <c r="DC41" s="47" t="n">
        <v>0</v>
      </c>
      <c r="DD41" s="47" t="n">
        <v>0</v>
      </c>
      <c r="DE41" s="47" t="n">
        <v>0</v>
      </c>
      <c r="DF41" s="47" t="n">
        <v>0</v>
      </c>
      <c r="DG41" s="47" t="n">
        <v>0</v>
      </c>
      <c r="DH41" s="47" t="n">
        <v>0</v>
      </c>
      <c r="DJ41" s="45">
        <f>+F41/F$16</f>
        <v/>
      </c>
      <c r="DK41" s="45">
        <f>+G41/G$16</f>
        <v/>
      </c>
      <c r="DL41" s="45">
        <f>+H41/H$16</f>
        <v/>
      </c>
      <c r="DM41" s="45">
        <f>+I41/I$16</f>
        <v/>
      </c>
      <c r="DN41" s="45">
        <f>+J41/J$16</f>
        <v/>
      </c>
      <c r="DO41" s="45" t="n"/>
      <c r="DP41" s="45">
        <f>+L41/L$16</f>
        <v/>
      </c>
      <c r="DQ41" s="45">
        <f>+M41/M$16</f>
        <v/>
      </c>
    </row>
    <row r="42" ht="15.75" customHeight="1">
      <c r="B42" s="5" t="inlineStr">
        <is>
          <t>Employee Related Expenses</t>
        </is>
      </c>
      <c r="F42" s="46">
        <f>SUMIFS($Q42:$DI42,$Q$7:$DI$7,F$7)</f>
        <v/>
      </c>
      <c r="G42" s="46">
        <f>SUMIFS($Q42:$DI42,$Q$7:$DI$7,G$7)</f>
        <v/>
      </c>
      <c r="H42" s="46">
        <f>SUMIFS($Q42:$DI42,$Q$7:$DI$7,H$7)</f>
        <v/>
      </c>
      <c r="I42" s="46">
        <f>SUMIFS($Q42:$DI42,$Q$7:$DI$7,I$7)</f>
        <v/>
      </c>
      <c r="J42" s="46">
        <f>SUMIFS($Q42:$DI42,$Q$7:$DI$7,J$7)</f>
        <v/>
      </c>
      <c r="K42" s="46">
        <f>SUMIFS($Q42:$DI42,$Q$7:$DI$7,K$7)</f>
        <v/>
      </c>
      <c r="L42" s="46">
        <f>SUMIFS($Q42:$DI42,$Q$7:$DI$7,L$7)</f>
        <v/>
      </c>
      <c r="M42" s="46">
        <f>SUMIFS($Q42:$DI42,$Q$7:$DI$7,M$7)</f>
        <v/>
      </c>
      <c r="N42" s="46" t="n"/>
      <c r="O42" s="46">
        <f>+I42</f>
        <v/>
      </c>
      <c r="Q42" s="47" t="n">
        <v>8.486978333333331</v>
      </c>
      <c r="R42" s="47" t="n">
        <v>38.35863833333333</v>
      </c>
      <c r="S42" s="47" t="n">
        <v>8.358638333333332</v>
      </c>
      <c r="T42" s="47" t="n">
        <v>10.35863833333333</v>
      </c>
      <c r="U42" s="47" t="n">
        <v>8.358638333333332</v>
      </c>
      <c r="V42" s="47" t="n">
        <v>8.358638333333332</v>
      </c>
      <c r="W42" s="47" t="n">
        <v>11.35863833333333</v>
      </c>
      <c r="X42" s="47" t="n">
        <v>18.85863833333333</v>
      </c>
      <c r="Y42" s="47" t="n">
        <v>17.35863833333333</v>
      </c>
      <c r="Z42" s="47" t="n">
        <v>13.98363833333333</v>
      </c>
      <c r="AA42" s="47" t="n">
        <v>19.01463833333333</v>
      </c>
      <c r="AB42" s="47" t="n">
        <v>-79.32336166666667</v>
      </c>
      <c r="AC42" s="47" t="n">
        <v>13.51708666666666</v>
      </c>
      <c r="AD42" s="47" t="n">
        <v>13.09587666666667</v>
      </c>
      <c r="AE42" s="47" t="n">
        <v>18.05466666666666</v>
      </c>
      <c r="AF42" s="47" t="n">
        <v>16.14771666666667</v>
      </c>
      <c r="AG42" s="47" t="n">
        <v>3.762086666666666</v>
      </c>
      <c r="AH42" s="47" t="n">
        <v>-1.237913333333334</v>
      </c>
      <c r="AI42" s="47" t="n">
        <v>-1.237913333333334</v>
      </c>
      <c r="AJ42" s="47" t="n">
        <v>-1.237913333333334</v>
      </c>
      <c r="AK42" s="47" t="n">
        <v>-1.237923333333334</v>
      </c>
      <c r="AL42" s="47" t="n">
        <v>-1.237923333333334</v>
      </c>
      <c r="AM42" s="47" t="n">
        <v>55.25707666666666</v>
      </c>
      <c r="AN42" s="47" t="n">
        <v>-9.008923333333334</v>
      </c>
      <c r="AO42" s="47" t="n">
        <v>8.039999999999999</v>
      </c>
      <c r="AP42" s="47" t="n">
        <v>0.5256799999999999</v>
      </c>
      <c r="AQ42" s="47" t="n">
        <v>0</v>
      </c>
      <c r="AR42" s="47" t="n">
        <v>0</v>
      </c>
      <c r="AS42" s="47" t="n">
        <v>0</v>
      </c>
      <c r="AT42" s="47" t="n">
        <v>0.28933</v>
      </c>
      <c r="AU42" s="47" t="n">
        <v>0</v>
      </c>
      <c r="AV42" s="47" t="n">
        <v>5</v>
      </c>
      <c r="AW42" s="47" t="n">
        <v>17.11879</v>
      </c>
      <c r="AX42" s="47" t="n">
        <v>0</v>
      </c>
      <c r="AY42" s="47" t="n">
        <v>0</v>
      </c>
      <c r="AZ42" s="47" t="n">
        <v>0</v>
      </c>
      <c r="BA42" s="47" t="n">
        <v>0</v>
      </c>
      <c r="BB42" s="47" t="n">
        <v>0</v>
      </c>
      <c r="BC42" s="47" t="n">
        <v>0</v>
      </c>
      <c r="BD42" s="47" t="n">
        <v>0</v>
      </c>
      <c r="BE42" s="47" t="n">
        <v>0</v>
      </c>
      <c r="BF42" s="47" t="n">
        <v>0</v>
      </c>
      <c r="BG42" s="47" t="n">
        <v>0</v>
      </c>
      <c r="BH42" s="47" t="n">
        <v>0</v>
      </c>
      <c r="BI42" s="47" t="n">
        <v>0</v>
      </c>
      <c r="BJ42" s="47" t="n">
        <v>0</v>
      </c>
      <c r="BK42" s="47" t="n">
        <v>0</v>
      </c>
      <c r="BL42" s="47" t="n">
        <v>0</v>
      </c>
      <c r="BM42" s="47" t="n">
        <v>0</v>
      </c>
      <c r="BN42" s="47" t="n">
        <v>0</v>
      </c>
      <c r="BO42" s="47" t="n">
        <v>0</v>
      </c>
      <c r="BP42" s="47" t="n">
        <v>0</v>
      </c>
      <c r="BQ42" s="47" t="n">
        <v>0</v>
      </c>
      <c r="BR42" s="47" t="n">
        <v>0</v>
      </c>
      <c r="BS42" s="47" t="n">
        <v>0</v>
      </c>
      <c r="BT42" s="47" t="n">
        <v>0</v>
      </c>
      <c r="BU42" s="47" t="n">
        <v>0</v>
      </c>
      <c r="BV42" s="47" t="n">
        <v>0</v>
      </c>
      <c r="BW42" s="47" t="n">
        <v>0</v>
      </c>
      <c r="BX42" s="47" t="n">
        <v>0</v>
      </c>
      <c r="BY42" s="47" t="n">
        <v>0</v>
      </c>
      <c r="BZ42" s="47" t="n">
        <v>0</v>
      </c>
      <c r="CA42" s="47" t="n">
        <v>0</v>
      </c>
      <c r="CB42" s="47" t="n">
        <v>0</v>
      </c>
      <c r="CC42" s="47" t="n">
        <v>0</v>
      </c>
      <c r="CD42" s="47" t="n">
        <v>0</v>
      </c>
      <c r="CE42" s="47" t="n">
        <v>0</v>
      </c>
      <c r="CF42" s="47" t="n">
        <v>0</v>
      </c>
      <c r="CG42" s="47" t="n">
        <v>0</v>
      </c>
      <c r="CH42" s="47" t="n">
        <v>0</v>
      </c>
      <c r="CI42" s="47" t="n">
        <v>0</v>
      </c>
      <c r="CJ42" s="47" t="n">
        <v>0</v>
      </c>
      <c r="CK42" s="47" t="n">
        <v>0</v>
      </c>
      <c r="CL42" s="47" t="n">
        <v>0</v>
      </c>
      <c r="CM42" s="47" t="n">
        <v>0</v>
      </c>
      <c r="CN42" s="47" t="n">
        <v>0</v>
      </c>
      <c r="CO42" s="47" t="n">
        <v>0</v>
      </c>
      <c r="CP42" s="47" t="n">
        <v>0</v>
      </c>
      <c r="CQ42" s="47" t="n">
        <v>0</v>
      </c>
      <c r="CR42" s="47" t="n">
        <v>0</v>
      </c>
      <c r="CS42" s="47" t="n">
        <v>0</v>
      </c>
      <c r="CT42" s="47" t="n">
        <v>0</v>
      </c>
      <c r="CU42" s="47" t="n">
        <v>0</v>
      </c>
      <c r="CV42" s="47" t="n">
        <v>0</v>
      </c>
      <c r="CW42" s="47" t="n">
        <v>0</v>
      </c>
      <c r="CX42" s="47" t="n">
        <v>0</v>
      </c>
      <c r="CY42" s="47" t="n">
        <v>0</v>
      </c>
      <c r="CZ42" s="47" t="n">
        <v>0</v>
      </c>
      <c r="DA42" s="47" t="n">
        <v>0</v>
      </c>
      <c r="DB42" s="47" t="n">
        <v>0</v>
      </c>
      <c r="DC42" s="47" t="n">
        <v>0</v>
      </c>
      <c r="DD42" s="47" t="n">
        <v>0</v>
      </c>
      <c r="DE42" s="47" t="n">
        <v>0</v>
      </c>
      <c r="DF42" s="47" t="n">
        <v>0</v>
      </c>
      <c r="DG42" s="47" t="n">
        <v>0</v>
      </c>
      <c r="DH42" s="47" t="n">
        <v>0</v>
      </c>
      <c r="DJ42" s="45">
        <f>+F42/F$16</f>
        <v/>
      </c>
      <c r="DK42" s="45">
        <f>+G42/G$16</f>
        <v/>
      </c>
      <c r="DL42" s="45">
        <f>+H42/H$16</f>
        <v/>
      </c>
      <c r="DM42" s="45">
        <f>+I42/I$16</f>
        <v/>
      </c>
      <c r="DN42" s="45">
        <f>+J42/J$16</f>
        <v/>
      </c>
      <c r="DO42" s="45" t="n"/>
      <c r="DP42" s="45">
        <f>+L42/L$16</f>
        <v/>
      </c>
      <c r="DQ42" s="45">
        <f>+M42/M$16</f>
        <v/>
      </c>
    </row>
    <row r="43" ht="15.75" customHeight="1">
      <c r="B43" s="5" t="inlineStr">
        <is>
          <t>Non-recurring Build Subsidies</t>
        </is>
      </c>
      <c r="F43" s="46">
        <f>SUMIFS($Q43:$DI43,$Q$7:$DI$7,F$7)</f>
        <v/>
      </c>
      <c r="G43" s="46">
        <f>SUMIFS($Q43:$DI43,$Q$7:$DI$7,G$7)</f>
        <v/>
      </c>
      <c r="H43" s="46">
        <f>SUMIFS($Q43:$DI43,$Q$7:$DI$7,H$7)</f>
        <v/>
      </c>
      <c r="I43" s="46">
        <f>SUMIFS($Q43:$DI43,$Q$7:$DI$7,I$7)</f>
        <v/>
      </c>
      <c r="J43" s="46">
        <f>SUMIFS($Q43:$DI43,$Q$7:$DI$7,J$7)</f>
        <v/>
      </c>
      <c r="K43" s="46">
        <f>SUMIFS($Q43:$DI43,$Q$7:$DI$7,K$7)</f>
        <v/>
      </c>
      <c r="L43" s="46">
        <f>SUMIFS($Q43:$DI43,$Q$7:$DI$7,L$7)</f>
        <v/>
      </c>
      <c r="M43" s="46">
        <f>SUMIFS($Q43:$DI43,$Q$7:$DI$7,M$7)</f>
        <v/>
      </c>
      <c r="N43" s="46" t="n"/>
      <c r="O43" s="46">
        <f>+I43</f>
        <v/>
      </c>
      <c r="Q43" s="47" t="n">
        <v>135.8491348899999</v>
      </c>
      <c r="R43" s="47" t="n">
        <v>219.7427109699997</v>
      </c>
      <c r="S43" s="47" t="n">
        <v>294.6157823749994</v>
      </c>
      <c r="T43" s="47" t="n">
        <v>237.6196867199999</v>
      </c>
      <c r="U43" s="47" t="n">
        <v>282.9635049999995</v>
      </c>
      <c r="V43" s="47" t="n">
        <v>333.30397553</v>
      </c>
      <c r="W43" s="47" t="n">
        <v>341.1905920549997</v>
      </c>
      <c r="X43" s="47" t="n">
        <v>405.0227117200001</v>
      </c>
      <c r="Y43" s="47" t="n">
        <v>323.66688</v>
      </c>
      <c r="Z43" s="47" t="n">
        <v>428.12455</v>
      </c>
      <c r="AA43" s="47" t="n">
        <v>312.23943</v>
      </c>
      <c r="AB43" s="47" t="n">
        <v>277.35696</v>
      </c>
      <c r="AC43" s="47" t="n">
        <v>290.11101</v>
      </c>
      <c r="AD43" s="47" t="n">
        <v>288.4153799999999</v>
      </c>
      <c r="AE43" s="47" t="n">
        <v>370.12266</v>
      </c>
      <c r="AF43" s="47" t="n">
        <v>315.7085300000001</v>
      </c>
      <c r="AG43" s="47" t="n">
        <v>291.44613</v>
      </c>
      <c r="AH43" s="47" t="n">
        <v>213.13591</v>
      </c>
      <c r="AI43" s="47" t="n">
        <v>169.2722662983333</v>
      </c>
      <c r="AJ43" s="47" t="n">
        <v>137.4388324833334</v>
      </c>
      <c r="AK43" s="47" t="n">
        <v>120.3758329083333</v>
      </c>
      <c r="AL43" s="47" t="n">
        <v>83.63654333333334</v>
      </c>
      <c r="AM43" s="47" t="n">
        <v>-6.838666666666661</v>
      </c>
      <c r="AN43" s="47" t="n">
        <v>-3.917470000000003</v>
      </c>
      <c r="AO43" s="47" t="n">
        <v>61.8405</v>
      </c>
      <c r="AP43" s="47" t="n">
        <v>37.405</v>
      </c>
      <c r="AQ43" s="47" t="n">
        <v>51.271</v>
      </c>
      <c r="AR43" s="47" t="n">
        <v>47.215</v>
      </c>
      <c r="AS43" s="47" t="n">
        <v>48.908</v>
      </c>
      <c r="AT43" s="47" t="n">
        <v>-15.65</v>
      </c>
      <c r="AU43" s="47" t="n">
        <v>-14.851</v>
      </c>
      <c r="AV43" s="47" t="n">
        <v>61.208</v>
      </c>
      <c r="AW43" s="47" t="n">
        <v>-0.1690000000000005</v>
      </c>
      <c r="AX43" s="47" t="n">
        <v>30.794</v>
      </c>
      <c r="AY43" s="47" t="n">
        <v>26.507</v>
      </c>
      <c r="AZ43" s="47" t="n">
        <v>23.922</v>
      </c>
      <c r="BA43" s="47" t="n">
        <v>12.1</v>
      </c>
      <c r="BB43" s="47" t="n">
        <v>13.695</v>
      </c>
      <c r="BC43" s="47" t="n">
        <v>52.25</v>
      </c>
      <c r="BD43" s="47" t="n">
        <v>34.24118181818181</v>
      </c>
      <c r="BE43" s="47" t="n">
        <v>13.52184848484848</v>
      </c>
      <c r="BF43" s="47" t="n">
        <v>24.52184848484848</v>
      </c>
      <c r="BG43" s="47" t="n">
        <v>27.27184848484848</v>
      </c>
      <c r="BH43" s="47" t="n">
        <v>39.74118181818181</v>
      </c>
      <c r="BI43" s="47" t="n">
        <v>36.99118181818181</v>
      </c>
      <c r="BJ43" s="47" t="n">
        <v>23.24118181818181</v>
      </c>
      <c r="BK43" s="47" t="n">
        <v>19.72118181818182</v>
      </c>
      <c r="BL43" s="47" t="n">
        <v>12.24118181818182</v>
      </c>
      <c r="BM43" s="47" t="n">
        <v>13.44118181818182</v>
      </c>
      <c r="BN43" s="47" t="n">
        <v>7.641181818181818</v>
      </c>
      <c r="BO43" s="47" t="n">
        <v>8.699999999999999</v>
      </c>
      <c r="BP43" s="47" t="n">
        <v>5.8</v>
      </c>
      <c r="BQ43" s="47" t="n">
        <v>2.9</v>
      </c>
      <c r="BR43" s="47" t="n">
        <v>0</v>
      </c>
      <c r="BS43" s="47" t="n">
        <v>0</v>
      </c>
      <c r="BT43" s="47" t="n">
        <v>0</v>
      </c>
      <c r="BU43" s="47" t="n">
        <v>0</v>
      </c>
      <c r="BV43" s="47" t="n">
        <v>0</v>
      </c>
      <c r="BW43" s="47" t="n">
        <v>0</v>
      </c>
      <c r="BX43" s="47" t="n">
        <v>0</v>
      </c>
      <c r="BY43" s="47" t="n">
        <v>0</v>
      </c>
      <c r="BZ43" s="47" t="n">
        <v>0</v>
      </c>
      <c r="CA43" s="47" t="n">
        <v>0</v>
      </c>
      <c r="CB43" s="47" t="n">
        <v>0</v>
      </c>
      <c r="CC43" s="47" t="n">
        <v>0</v>
      </c>
      <c r="CD43" s="47" t="n">
        <v>0</v>
      </c>
      <c r="CE43" s="47" t="n">
        <v>0</v>
      </c>
      <c r="CF43" s="47" t="n">
        <v>0</v>
      </c>
      <c r="CG43" s="47" t="n">
        <v>0</v>
      </c>
      <c r="CH43" s="47" t="n">
        <v>0</v>
      </c>
      <c r="CI43" s="47" t="n">
        <v>0</v>
      </c>
      <c r="CJ43" s="47" t="n">
        <v>0</v>
      </c>
      <c r="CK43" s="47" t="n">
        <v>0</v>
      </c>
      <c r="CL43" s="47" t="n">
        <v>0</v>
      </c>
      <c r="CM43" s="47" t="n">
        <v>0</v>
      </c>
      <c r="CN43" s="47" t="n">
        <v>0</v>
      </c>
      <c r="CO43" s="47" t="n">
        <v>0</v>
      </c>
      <c r="CP43" s="47" t="n">
        <v>0</v>
      </c>
      <c r="CQ43" s="47" t="n">
        <v>0</v>
      </c>
      <c r="CR43" s="47" t="n">
        <v>0</v>
      </c>
      <c r="CS43" s="47" t="n">
        <v>0</v>
      </c>
      <c r="CT43" s="47" t="n">
        <v>0</v>
      </c>
      <c r="CU43" s="47" t="n">
        <v>0</v>
      </c>
      <c r="CV43" s="47" t="n">
        <v>0</v>
      </c>
      <c r="CW43" s="47" t="n">
        <v>0</v>
      </c>
      <c r="CX43" s="47" t="n">
        <v>0</v>
      </c>
      <c r="CY43" s="47" t="n">
        <v>0</v>
      </c>
      <c r="CZ43" s="47" t="n">
        <v>0</v>
      </c>
      <c r="DA43" s="47" t="n">
        <v>0</v>
      </c>
      <c r="DB43" s="47" t="n">
        <v>0</v>
      </c>
      <c r="DC43" s="47" t="n">
        <v>0</v>
      </c>
      <c r="DD43" s="47" t="n">
        <v>0</v>
      </c>
      <c r="DE43" s="47" t="n">
        <v>0</v>
      </c>
      <c r="DF43" s="47" t="n">
        <v>0</v>
      </c>
      <c r="DG43" s="47" t="n">
        <v>0</v>
      </c>
      <c r="DH43" s="47" t="n">
        <v>0</v>
      </c>
      <c r="DJ43" s="45">
        <f>+F43/F$16</f>
        <v/>
      </c>
      <c r="DK43" s="45">
        <f>+G43/G$16</f>
        <v/>
      </c>
      <c r="DL43" s="45">
        <f>+H43/H$16</f>
        <v/>
      </c>
      <c r="DM43" s="45">
        <f>+I43/I$16</f>
        <v/>
      </c>
      <c r="DN43" s="45">
        <f>+J43/J$16</f>
        <v/>
      </c>
      <c r="DO43" s="45" t="n"/>
      <c r="DP43" s="45">
        <f>+L43/L$16</f>
        <v/>
      </c>
      <c r="DQ43" s="45">
        <f>+M43/M$16</f>
        <v/>
      </c>
    </row>
    <row r="44" ht="15.75" customHeight="1">
      <c r="B44" s="5" t="inlineStr">
        <is>
          <t>Duplicative Hosting Costs</t>
        </is>
      </c>
      <c r="F44" s="46">
        <f>SUMIFS($Q44:$DI44,$Q$7:$DI$7,F$7)</f>
        <v/>
      </c>
      <c r="G44" s="46">
        <f>SUMIFS($Q44:$DI44,$Q$7:$DI$7,G$7)</f>
        <v/>
      </c>
      <c r="H44" s="46">
        <f>SUMIFS($Q44:$DI44,$Q$7:$DI$7,H$7)</f>
        <v/>
      </c>
      <c r="I44" s="46">
        <f>SUMIFS($Q44:$DI44,$Q$7:$DI$7,I$7)</f>
        <v/>
      </c>
      <c r="J44" s="46">
        <f>SUMIFS($Q44:$DI44,$Q$7:$DI$7,J$7)</f>
        <v/>
      </c>
      <c r="K44" s="46">
        <f>SUMIFS($Q44:$DI44,$Q$7:$DI$7,K$7)</f>
        <v/>
      </c>
      <c r="L44" s="46">
        <f>SUMIFS($Q44:$DI44,$Q$7:$DI$7,L$7)</f>
        <v/>
      </c>
      <c r="M44" s="46">
        <f>SUMIFS($Q44:$DI44,$Q$7:$DI$7,M$7)</f>
        <v/>
      </c>
      <c r="N44" s="46" t="n"/>
      <c r="O44" s="46">
        <f>+I44</f>
        <v/>
      </c>
      <c r="Q44" s="47" t="n">
        <v>0</v>
      </c>
      <c r="R44" s="47" t="n">
        <v>0</v>
      </c>
      <c r="S44" s="47" t="n">
        <v>0</v>
      </c>
      <c r="T44" s="47" t="n">
        <v>0</v>
      </c>
      <c r="U44" s="47" t="n">
        <v>0</v>
      </c>
      <c r="V44" s="47" t="n">
        <v>0</v>
      </c>
      <c r="W44" s="47" t="n">
        <v>0</v>
      </c>
      <c r="X44" s="47" t="n">
        <v>0</v>
      </c>
      <c r="Y44" s="47" t="n">
        <v>0</v>
      </c>
      <c r="Z44" s="47" t="n">
        <v>0</v>
      </c>
      <c r="AA44" s="47" t="n">
        <v>0</v>
      </c>
      <c r="AB44" s="47" t="n">
        <v>0</v>
      </c>
      <c r="AC44" s="47" t="n">
        <v>0</v>
      </c>
      <c r="AD44" s="47" t="n">
        <v>0</v>
      </c>
      <c r="AE44" s="47" t="n">
        <v>3.512249999999999</v>
      </c>
      <c r="AF44" s="47" t="n">
        <v>3.512249999999999</v>
      </c>
      <c r="AG44" s="47" t="n">
        <v>3.512249999999999</v>
      </c>
      <c r="AH44" s="47" t="n">
        <v>29.2315</v>
      </c>
      <c r="AI44" s="47" t="n">
        <v>1.603441348386937</v>
      </c>
      <c r="AJ44" s="47" t="n">
        <v>1.603441348386937</v>
      </c>
      <c r="AK44" s="47" t="n">
        <v>3.913387896628493</v>
      </c>
      <c r="AL44" s="47" t="n">
        <v>5.276167625008545</v>
      </c>
      <c r="AM44" s="47" t="n">
        <v>5.135264510438714</v>
      </c>
      <c r="AN44" s="47" t="n">
        <v>7.451755940580862</v>
      </c>
      <c r="AO44" s="47" t="n">
        <v>14.37471189150505</v>
      </c>
      <c r="AP44" s="47" t="n">
        <v>11.3735869112909</v>
      </c>
      <c r="AQ44" s="47" t="n">
        <v>23.293</v>
      </c>
      <c r="AR44" s="47" t="n">
        <v>22.4</v>
      </c>
      <c r="AS44" s="47" t="n">
        <v>9.028</v>
      </c>
      <c r="AT44" s="47" t="n">
        <v>6.877050000000001</v>
      </c>
      <c r="AU44" s="47" t="n">
        <v>6.44708</v>
      </c>
      <c r="AV44" s="47" t="n">
        <v>6.44708</v>
      </c>
      <c r="AW44" s="47" t="n">
        <v>6.44708</v>
      </c>
      <c r="AX44" s="47" t="n">
        <v>6.44708</v>
      </c>
      <c r="AY44" s="47" t="n">
        <v>6.44708</v>
      </c>
      <c r="AZ44" s="47" t="n">
        <v>6.44708</v>
      </c>
      <c r="BA44" s="47" t="n">
        <v>0</v>
      </c>
      <c r="BB44" s="47" t="n">
        <v>0</v>
      </c>
      <c r="BC44" s="47" t="n">
        <v>0</v>
      </c>
      <c r="BD44" s="47" t="n">
        <v>0</v>
      </c>
      <c r="BE44" s="47" t="n">
        <v>0</v>
      </c>
      <c r="BF44" s="47" t="n">
        <v>0</v>
      </c>
      <c r="BG44" s="47" t="n">
        <v>0</v>
      </c>
      <c r="BH44" s="47" t="n">
        <v>0</v>
      </c>
      <c r="BI44" s="47" t="n">
        <v>0</v>
      </c>
      <c r="BJ44" s="47" t="n">
        <v>0</v>
      </c>
      <c r="BK44" s="47" t="n">
        <v>0</v>
      </c>
      <c r="BL44" s="47" t="n">
        <v>0</v>
      </c>
      <c r="BM44" s="47" t="n">
        <v>0</v>
      </c>
      <c r="BN44" s="47" t="n">
        <v>0</v>
      </c>
      <c r="BO44" s="47" t="n">
        <v>0</v>
      </c>
      <c r="BP44" s="47" t="n">
        <v>0</v>
      </c>
      <c r="BQ44" s="47" t="n">
        <v>0</v>
      </c>
      <c r="BR44" s="47" t="n">
        <v>0</v>
      </c>
      <c r="BS44" s="47" t="n">
        <v>0</v>
      </c>
      <c r="BT44" s="47" t="n">
        <v>0</v>
      </c>
      <c r="BU44" s="47" t="n">
        <v>0</v>
      </c>
      <c r="BV44" s="47" t="n">
        <v>0</v>
      </c>
      <c r="BW44" s="47" t="n">
        <v>0</v>
      </c>
      <c r="BX44" s="47" t="n">
        <v>0</v>
      </c>
      <c r="BY44" s="47" t="n">
        <v>0</v>
      </c>
      <c r="BZ44" s="47" t="n">
        <v>0</v>
      </c>
      <c r="CA44" s="47" t="n">
        <v>0</v>
      </c>
      <c r="CB44" s="47" t="n">
        <v>0</v>
      </c>
      <c r="CC44" s="47" t="n">
        <v>0</v>
      </c>
      <c r="CD44" s="47" t="n">
        <v>0</v>
      </c>
      <c r="CE44" s="47" t="n">
        <v>0</v>
      </c>
      <c r="CF44" s="47" t="n">
        <v>0</v>
      </c>
      <c r="CG44" s="47" t="n">
        <v>0</v>
      </c>
      <c r="CH44" s="47" t="n">
        <v>0</v>
      </c>
      <c r="CI44" s="47" t="n">
        <v>0</v>
      </c>
      <c r="CJ44" s="47" t="n">
        <v>0</v>
      </c>
      <c r="CK44" s="47" t="n">
        <v>0</v>
      </c>
      <c r="CL44" s="47" t="n">
        <v>0</v>
      </c>
      <c r="CM44" s="47" t="n">
        <v>0</v>
      </c>
      <c r="CN44" s="47" t="n">
        <v>0</v>
      </c>
      <c r="CO44" s="47" t="n">
        <v>0</v>
      </c>
      <c r="CP44" s="47" t="n">
        <v>0</v>
      </c>
      <c r="CQ44" s="47" t="n">
        <v>0</v>
      </c>
      <c r="CR44" s="47" t="n">
        <v>0</v>
      </c>
      <c r="CS44" s="47" t="n">
        <v>0</v>
      </c>
      <c r="CT44" s="47" t="n">
        <v>0</v>
      </c>
      <c r="CU44" s="47" t="n">
        <v>0</v>
      </c>
      <c r="CV44" s="47" t="n">
        <v>0</v>
      </c>
      <c r="CW44" s="47" t="n">
        <v>0</v>
      </c>
      <c r="CX44" s="47" t="n">
        <v>0</v>
      </c>
      <c r="CY44" s="47" t="n">
        <v>0</v>
      </c>
      <c r="CZ44" s="47" t="n">
        <v>0</v>
      </c>
      <c r="DA44" s="47" t="n">
        <v>0</v>
      </c>
      <c r="DB44" s="47" t="n">
        <v>0</v>
      </c>
      <c r="DC44" s="47" t="n">
        <v>0</v>
      </c>
      <c r="DD44" s="47" t="n">
        <v>0</v>
      </c>
      <c r="DE44" s="47" t="n">
        <v>0</v>
      </c>
      <c r="DF44" s="47" t="n">
        <v>0</v>
      </c>
      <c r="DG44" s="47" t="n">
        <v>0</v>
      </c>
      <c r="DH44" s="47" t="n">
        <v>0</v>
      </c>
      <c r="DJ44" s="45">
        <f>+F44/F$16</f>
        <v/>
      </c>
      <c r="DK44" s="45">
        <f>+G44/G$16</f>
        <v/>
      </c>
      <c r="DL44" s="45">
        <f>+H44/H$16</f>
        <v/>
      </c>
      <c r="DM44" s="45">
        <f>+I44/I$16</f>
        <v/>
      </c>
      <c r="DN44" s="45">
        <f>+J44/J$16</f>
        <v/>
      </c>
      <c r="DO44" s="45" t="n"/>
      <c r="DP44" s="45">
        <f>+L44/L$16</f>
        <v/>
      </c>
      <c r="DQ44" s="45">
        <f>+M44/M$16</f>
        <v/>
      </c>
    </row>
    <row r="45" ht="15.75" customHeight="1">
      <c r="B45" s="5" t="inlineStr">
        <is>
          <t>COVID-19 Marketing Cost Savings</t>
        </is>
      </c>
      <c r="F45" s="46">
        <f>SUMIFS($Q45:$DI45,$Q$7:$DI$7,F$7)</f>
        <v/>
      </c>
      <c r="G45" s="46">
        <f>SUMIFS($Q45:$DI45,$Q$7:$DI$7,G$7)</f>
        <v/>
      </c>
      <c r="H45" s="46">
        <f>SUMIFS($Q45:$DI45,$Q$7:$DI$7,H$7)</f>
        <v/>
      </c>
      <c r="I45" s="46">
        <f>SUMIFS($Q45:$DI45,$Q$7:$DI$7,I$7)</f>
        <v/>
      </c>
      <c r="J45" s="46">
        <f>SUMIFS($Q45:$DI45,$Q$7:$DI$7,J$7)</f>
        <v/>
      </c>
      <c r="K45" s="46">
        <f>SUMIFS($Q45:$DI45,$Q$7:$DI$7,K$7)</f>
        <v/>
      </c>
      <c r="L45" s="46">
        <f>SUMIFS($Q45:$DI45,$Q$7:$DI$7,L$7)</f>
        <v/>
      </c>
      <c r="M45" s="46">
        <f>SUMIFS($Q45:$DI45,$Q$7:$DI$7,M$7)</f>
        <v/>
      </c>
      <c r="N45" s="46" t="n"/>
      <c r="O45" s="46">
        <f>+I45</f>
        <v/>
      </c>
      <c r="Q45" s="47" t="n">
        <v>0</v>
      </c>
      <c r="R45" s="47" t="n">
        <v>0</v>
      </c>
      <c r="S45" s="47" t="n">
        <v>0</v>
      </c>
      <c r="T45" s="47" t="n">
        <v>0</v>
      </c>
      <c r="U45" s="47" t="n">
        <v>0</v>
      </c>
      <c r="V45" s="47" t="n">
        <v>0</v>
      </c>
      <c r="W45" s="47" t="n">
        <v>0</v>
      </c>
      <c r="X45" s="47" t="n">
        <v>0</v>
      </c>
      <c r="Y45" s="47" t="n">
        <v>147.40685</v>
      </c>
      <c r="Z45" s="47" t="n">
        <v>63.98637</v>
      </c>
      <c r="AA45" s="47" t="n">
        <v>0</v>
      </c>
      <c r="AB45" s="47" t="n">
        <v>0</v>
      </c>
      <c r="AC45" s="47" t="n">
        <v>0</v>
      </c>
      <c r="AD45" s="47" t="n">
        <v>0</v>
      </c>
      <c r="AE45" s="47" t="n">
        <v>0</v>
      </c>
      <c r="AF45" s="47" t="n">
        <v>0</v>
      </c>
      <c r="AG45" s="47" t="n">
        <v>0</v>
      </c>
      <c r="AH45" s="47" t="n">
        <v>0</v>
      </c>
      <c r="AI45" s="47" t="n">
        <v>0</v>
      </c>
      <c r="AJ45" s="47" t="n">
        <v>0</v>
      </c>
      <c r="AK45" s="47" t="n">
        <v>0</v>
      </c>
      <c r="AL45" s="47" t="n">
        <v>0</v>
      </c>
      <c r="AM45" s="47" t="n">
        <v>0</v>
      </c>
      <c r="AN45" s="47" t="n">
        <v>0</v>
      </c>
      <c r="AO45" s="47" t="n">
        <v>0</v>
      </c>
      <c r="AP45" s="47" t="n">
        <v>0</v>
      </c>
      <c r="AQ45" s="47" t="n">
        <v>11.452</v>
      </c>
      <c r="AR45" s="47" t="n">
        <v>0</v>
      </c>
      <c r="AS45" s="47" t="n">
        <v>0</v>
      </c>
      <c r="AT45" s="47" t="n">
        <v>0</v>
      </c>
      <c r="AU45" s="47" t="n">
        <v>0</v>
      </c>
      <c r="AV45" s="47" t="n">
        <v>0</v>
      </c>
      <c r="AW45" s="47" t="n">
        <v>0</v>
      </c>
      <c r="AX45" s="47" t="n">
        <v>0</v>
      </c>
      <c r="AY45" s="47" t="n">
        <v>0</v>
      </c>
      <c r="AZ45" s="47" t="n">
        <v>0</v>
      </c>
      <c r="BA45" s="47" t="n">
        <v>0</v>
      </c>
      <c r="BB45" s="47" t="n">
        <v>0</v>
      </c>
      <c r="BC45" s="47" t="n">
        <v>0</v>
      </c>
      <c r="BD45" s="47" t="n">
        <v>0</v>
      </c>
      <c r="BE45" s="47" t="n">
        <v>0</v>
      </c>
      <c r="BF45" s="47" t="n">
        <v>0</v>
      </c>
      <c r="BG45" s="47" t="n">
        <v>0</v>
      </c>
      <c r="BH45" s="47" t="n">
        <v>0</v>
      </c>
      <c r="BI45" s="47" t="n">
        <v>0</v>
      </c>
      <c r="BJ45" s="47" t="n">
        <v>0</v>
      </c>
      <c r="BK45" s="47" t="n">
        <v>0</v>
      </c>
      <c r="BL45" s="47" t="n">
        <v>0</v>
      </c>
      <c r="BM45" s="47" t="n">
        <v>0</v>
      </c>
      <c r="BN45" s="47" t="n">
        <v>0</v>
      </c>
      <c r="BO45" s="47" t="n">
        <v>0</v>
      </c>
      <c r="BP45" s="47" t="n">
        <v>0</v>
      </c>
      <c r="BQ45" s="47" t="n">
        <v>0</v>
      </c>
      <c r="BR45" s="47" t="n">
        <v>0</v>
      </c>
      <c r="BS45" s="47" t="n">
        <v>0</v>
      </c>
      <c r="BT45" s="47" t="n">
        <v>0</v>
      </c>
      <c r="BU45" s="47" t="n">
        <v>0</v>
      </c>
      <c r="BV45" s="47" t="n">
        <v>0</v>
      </c>
      <c r="BW45" s="47" t="n">
        <v>0</v>
      </c>
      <c r="BX45" s="47" t="n">
        <v>0</v>
      </c>
      <c r="BY45" s="47" t="n">
        <v>0</v>
      </c>
      <c r="BZ45" s="47" t="n">
        <v>0</v>
      </c>
      <c r="CA45" s="47" t="n">
        <v>0</v>
      </c>
      <c r="CB45" s="47" t="n">
        <v>0</v>
      </c>
      <c r="CC45" s="47" t="n">
        <v>0</v>
      </c>
      <c r="CD45" s="47" t="n">
        <v>0</v>
      </c>
      <c r="CE45" s="47" t="n">
        <v>0</v>
      </c>
      <c r="CF45" s="47" t="n">
        <v>0</v>
      </c>
      <c r="CG45" s="47" t="n">
        <v>0</v>
      </c>
      <c r="CH45" s="47" t="n">
        <v>0</v>
      </c>
      <c r="CI45" s="47" t="n">
        <v>0</v>
      </c>
      <c r="CJ45" s="47" t="n">
        <v>0</v>
      </c>
      <c r="CK45" s="47" t="n">
        <v>0</v>
      </c>
      <c r="CL45" s="47" t="n">
        <v>0</v>
      </c>
      <c r="CM45" s="47" t="n">
        <v>0</v>
      </c>
      <c r="CN45" s="47" t="n">
        <v>0</v>
      </c>
      <c r="CO45" s="47" t="n">
        <v>0</v>
      </c>
      <c r="CP45" s="47" t="n">
        <v>0</v>
      </c>
      <c r="CQ45" s="47" t="n">
        <v>0</v>
      </c>
      <c r="CR45" s="47" t="n">
        <v>0</v>
      </c>
      <c r="CS45" s="47" t="n">
        <v>0</v>
      </c>
      <c r="CT45" s="47" t="n">
        <v>0</v>
      </c>
      <c r="CU45" s="47" t="n">
        <v>0</v>
      </c>
      <c r="CV45" s="47" t="n">
        <v>0</v>
      </c>
      <c r="CW45" s="47" t="n">
        <v>0</v>
      </c>
      <c r="CX45" s="47" t="n">
        <v>0</v>
      </c>
      <c r="CY45" s="47" t="n">
        <v>0</v>
      </c>
      <c r="CZ45" s="47" t="n">
        <v>0</v>
      </c>
      <c r="DA45" s="47" t="n">
        <v>0</v>
      </c>
      <c r="DB45" s="47" t="n">
        <v>0</v>
      </c>
      <c r="DC45" s="47" t="n">
        <v>0</v>
      </c>
      <c r="DD45" s="47" t="n">
        <v>0</v>
      </c>
      <c r="DE45" s="47" t="n">
        <v>0</v>
      </c>
      <c r="DF45" s="47" t="n">
        <v>0</v>
      </c>
      <c r="DG45" s="47" t="n">
        <v>0</v>
      </c>
      <c r="DH45" s="47" t="n">
        <v>0</v>
      </c>
      <c r="DJ45" s="45">
        <f>+F45/F$16</f>
        <v/>
      </c>
      <c r="DK45" s="45">
        <f>+G45/G$16</f>
        <v/>
      </c>
      <c r="DL45" s="45">
        <f>+H45/H$16</f>
        <v/>
      </c>
      <c r="DM45" s="45">
        <f>+I45/I$16</f>
        <v/>
      </c>
      <c r="DN45" s="45">
        <f>+J45/J$16</f>
        <v/>
      </c>
      <c r="DO45" s="45" t="n"/>
      <c r="DP45" s="45">
        <f>+L45/L$16</f>
        <v/>
      </c>
      <c r="DQ45" s="45">
        <f>+M45/M$16</f>
        <v/>
      </c>
    </row>
    <row r="46" ht="15.75" customHeight="1">
      <c r="B46" s="5" t="inlineStr">
        <is>
          <t>Normalized Legal Fees</t>
        </is>
      </c>
      <c r="F46" s="46">
        <f>SUMIFS($Q46:$DI46,$Q$7:$DI$7,F$7)</f>
        <v/>
      </c>
      <c r="G46" s="46">
        <f>SUMIFS($Q46:$DI46,$Q$7:$DI$7,G$7)</f>
        <v/>
      </c>
      <c r="H46" s="46">
        <f>SUMIFS($Q46:$DI46,$Q$7:$DI$7,H$7)</f>
        <v/>
      </c>
      <c r="I46" s="46">
        <f>SUMIFS($Q46:$DI46,$Q$7:$DI$7,I$7)</f>
        <v/>
      </c>
      <c r="J46" s="46">
        <f>SUMIFS($Q46:$DI46,$Q$7:$DI$7,J$7)</f>
        <v/>
      </c>
      <c r="K46" s="46">
        <f>SUMIFS($Q46:$DI46,$Q$7:$DI$7,K$7)</f>
        <v/>
      </c>
      <c r="L46" s="46">
        <f>SUMIFS($Q46:$DI46,$Q$7:$DI$7,L$7)</f>
        <v/>
      </c>
      <c r="M46" s="46">
        <f>SUMIFS($Q46:$DI46,$Q$7:$DI$7,M$7)</f>
        <v/>
      </c>
      <c r="N46" s="46" t="n"/>
      <c r="O46" s="46">
        <f>+I46</f>
        <v/>
      </c>
      <c r="Q46" s="47" t="n">
        <v>14.42312666666667</v>
      </c>
      <c r="R46" s="47" t="n">
        <v>14.42312666666667</v>
      </c>
      <c r="S46" s="47" t="n">
        <v>39.42312666666667</v>
      </c>
      <c r="T46" s="47" t="n">
        <v>17.42312666666667</v>
      </c>
      <c r="U46" s="47" t="n">
        <v>17.42312666666667</v>
      </c>
      <c r="V46" s="47" t="n">
        <v>-2.576873333333333</v>
      </c>
      <c r="W46" s="47" t="n">
        <v>-2.576873333333333</v>
      </c>
      <c r="X46" s="47" t="n">
        <v>-40.01237333333333</v>
      </c>
      <c r="Y46" s="47" t="n">
        <v>4.013736666666667</v>
      </c>
      <c r="Z46" s="47" t="n">
        <v>-2.736373333333333</v>
      </c>
      <c r="AA46" s="47" t="n">
        <v>-1.460373333333333</v>
      </c>
      <c r="AB46" s="47" t="n">
        <v>-7.224523333333334</v>
      </c>
      <c r="AC46" s="47" t="n">
        <v>18.25645666666667</v>
      </c>
      <c r="AD46" s="47" t="n">
        <v>18.25645666666667</v>
      </c>
      <c r="AE46" s="47" t="n">
        <v>16.44145666666667</v>
      </c>
      <c r="AF46" s="47" t="n">
        <v>8.292946666666666</v>
      </c>
      <c r="AG46" s="47" t="n">
        <v>16.23057666666667</v>
      </c>
      <c r="AH46" s="47" t="n">
        <v>13.56057666666667</v>
      </c>
      <c r="AI46" s="47" t="n">
        <v>16.23057666666667</v>
      </c>
      <c r="AJ46" s="47" t="n">
        <v>15.22357666666667</v>
      </c>
      <c r="AK46" s="47" t="n">
        <v>11.81858666666667</v>
      </c>
      <c r="AL46" s="47" t="n">
        <v>-128.7714733333333</v>
      </c>
      <c r="AM46" s="47" t="n">
        <v>-2.262873333333333</v>
      </c>
      <c r="AN46" s="47" t="n">
        <v>-2.576873333333333</v>
      </c>
      <c r="AO46" s="47" t="n">
        <v>0</v>
      </c>
      <c r="AP46" s="47" t="n">
        <v>0</v>
      </c>
      <c r="AQ46" s="47" t="n">
        <v>0</v>
      </c>
      <c r="AR46" s="47" t="n">
        <v>0</v>
      </c>
      <c r="AS46" s="47" t="n">
        <v>0</v>
      </c>
      <c r="AT46" s="47" t="n">
        <v>0</v>
      </c>
      <c r="AU46" s="47" t="n">
        <v>0</v>
      </c>
      <c r="AV46" s="47" t="n">
        <v>0</v>
      </c>
      <c r="AW46" s="47" t="n">
        <v>0</v>
      </c>
      <c r="AX46" s="47" t="n">
        <v>0</v>
      </c>
      <c r="AY46" s="47" t="n">
        <v>0</v>
      </c>
      <c r="AZ46" s="47" t="n">
        <v>0</v>
      </c>
      <c r="BA46" s="47" t="n">
        <v>0</v>
      </c>
      <c r="BB46" s="47" t="n">
        <v>0</v>
      </c>
      <c r="BC46" s="47" t="n">
        <v>0</v>
      </c>
      <c r="BD46" s="47" t="n">
        <v>0</v>
      </c>
      <c r="BE46" s="47" t="n">
        <v>0</v>
      </c>
      <c r="BF46" s="47" t="n">
        <v>0</v>
      </c>
      <c r="BG46" s="47" t="n">
        <v>0</v>
      </c>
      <c r="BH46" s="47" t="n">
        <v>0</v>
      </c>
      <c r="BI46" s="47" t="n">
        <v>0</v>
      </c>
      <c r="BJ46" s="47" t="n">
        <v>0</v>
      </c>
      <c r="BK46" s="47" t="n">
        <v>0</v>
      </c>
      <c r="BL46" s="47" t="n">
        <v>0</v>
      </c>
      <c r="BM46" s="47" t="n">
        <v>0</v>
      </c>
      <c r="BN46" s="47" t="n">
        <v>0</v>
      </c>
      <c r="BO46" s="47" t="n">
        <v>0</v>
      </c>
      <c r="BP46" s="47" t="n">
        <v>0</v>
      </c>
      <c r="BQ46" s="47" t="n">
        <v>0</v>
      </c>
      <c r="BR46" s="47" t="n">
        <v>0</v>
      </c>
      <c r="BS46" s="47" t="n">
        <v>0</v>
      </c>
      <c r="BT46" s="47" t="n">
        <v>0</v>
      </c>
      <c r="BU46" s="47" t="n">
        <v>0</v>
      </c>
      <c r="BV46" s="47" t="n">
        <v>0</v>
      </c>
      <c r="BW46" s="47" t="n">
        <v>0</v>
      </c>
      <c r="BX46" s="47" t="n">
        <v>0</v>
      </c>
      <c r="BY46" s="47" t="n">
        <v>0</v>
      </c>
      <c r="BZ46" s="47" t="n">
        <v>0</v>
      </c>
      <c r="CA46" s="47" t="n">
        <v>0</v>
      </c>
      <c r="CB46" s="47" t="n">
        <v>0</v>
      </c>
      <c r="CC46" s="47" t="n">
        <v>0</v>
      </c>
      <c r="CD46" s="47" t="n">
        <v>0</v>
      </c>
      <c r="CE46" s="47" t="n">
        <v>0</v>
      </c>
      <c r="CF46" s="47" t="n">
        <v>0</v>
      </c>
      <c r="CG46" s="47" t="n">
        <v>0</v>
      </c>
      <c r="CH46" s="47" t="n">
        <v>0</v>
      </c>
      <c r="CI46" s="47" t="n">
        <v>0</v>
      </c>
      <c r="CJ46" s="47" t="n">
        <v>0</v>
      </c>
      <c r="CK46" s="47" t="n">
        <v>0</v>
      </c>
      <c r="CL46" s="47" t="n">
        <v>0</v>
      </c>
      <c r="CM46" s="47" t="n">
        <v>0</v>
      </c>
      <c r="CN46" s="47" t="n">
        <v>0</v>
      </c>
      <c r="CO46" s="47" t="n">
        <v>0</v>
      </c>
      <c r="CP46" s="47" t="n">
        <v>0</v>
      </c>
      <c r="CQ46" s="47" t="n">
        <v>0</v>
      </c>
      <c r="CR46" s="47" t="n">
        <v>0</v>
      </c>
      <c r="CS46" s="47" t="n">
        <v>0</v>
      </c>
      <c r="CT46" s="47" t="n">
        <v>0</v>
      </c>
      <c r="CU46" s="47" t="n">
        <v>0</v>
      </c>
      <c r="CV46" s="47" t="n">
        <v>0</v>
      </c>
      <c r="CW46" s="47" t="n">
        <v>0</v>
      </c>
      <c r="CX46" s="47" t="n">
        <v>0</v>
      </c>
      <c r="CY46" s="47" t="n">
        <v>0</v>
      </c>
      <c r="CZ46" s="47" t="n">
        <v>0</v>
      </c>
      <c r="DA46" s="47" t="n">
        <v>0</v>
      </c>
      <c r="DB46" s="47" t="n">
        <v>0</v>
      </c>
      <c r="DC46" s="47" t="n">
        <v>0</v>
      </c>
      <c r="DD46" s="47" t="n">
        <v>0</v>
      </c>
      <c r="DE46" s="47" t="n">
        <v>0</v>
      </c>
      <c r="DF46" s="47" t="n">
        <v>0</v>
      </c>
      <c r="DG46" s="47" t="n">
        <v>0</v>
      </c>
      <c r="DH46" s="47" t="n">
        <v>0</v>
      </c>
      <c r="DJ46" s="45">
        <f>+F46/F$16</f>
        <v/>
      </c>
      <c r="DK46" s="45">
        <f>+G46/G$16</f>
        <v/>
      </c>
      <c r="DL46" s="45">
        <f>+H46/H$16</f>
        <v/>
      </c>
      <c r="DM46" s="45">
        <f>+I46/I$16</f>
        <v/>
      </c>
      <c r="DN46" s="45">
        <f>+J46/J$16</f>
        <v/>
      </c>
      <c r="DO46" s="45" t="n"/>
      <c r="DP46" s="45">
        <f>+L46/L$16</f>
        <v/>
      </c>
      <c r="DQ46" s="45">
        <f>+M46/M$16</f>
        <v/>
      </c>
    </row>
    <row r="47" ht="15.75" customHeight="1">
      <c r="B47" s="5" t="inlineStr">
        <is>
          <t>Eligible Costs for Capitalization</t>
        </is>
      </c>
      <c r="F47" s="46">
        <f>SUMIFS($Q47:$DI47,$Q$7:$DI$7,F$7)</f>
        <v/>
      </c>
      <c r="G47" s="46">
        <f>SUMIFS($Q47:$DI47,$Q$7:$DI$7,G$7)</f>
        <v/>
      </c>
      <c r="H47" s="46">
        <f>SUMIFS($Q47:$DI47,$Q$7:$DI$7,H$7)</f>
        <v/>
      </c>
      <c r="I47" s="46">
        <f>SUMIFS($Q47:$DI47,$Q$7:$DI$7,I$7)</f>
        <v/>
      </c>
      <c r="J47" s="46">
        <f>SUMIFS($Q47:$DI47,$Q$7:$DI$7,J$7)</f>
        <v/>
      </c>
      <c r="K47" s="46">
        <f>SUMIFS($Q47:$DI47,$Q$7:$DI$7,K$7)</f>
        <v/>
      </c>
      <c r="L47" s="46">
        <f>SUMIFS($Q47:$DI47,$Q$7:$DI$7,L$7)</f>
        <v/>
      </c>
      <c r="M47" s="46">
        <f>SUMIFS($Q47:$DI47,$Q$7:$DI$7,M$7)</f>
        <v/>
      </c>
      <c r="N47" s="46" t="n"/>
      <c r="O47" s="46">
        <f>+I47</f>
        <v/>
      </c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  <c r="AL47" s="48" t="n"/>
      <c r="AM47" s="48" t="n"/>
      <c r="AN47" s="48" t="n"/>
      <c r="AO47" s="48" t="n"/>
      <c r="AP47" s="48" t="n"/>
      <c r="AQ47" s="48" t="n"/>
      <c r="AR47" s="48" t="n"/>
      <c r="AS47" s="48" t="n"/>
      <c r="AT47" s="48" t="n"/>
      <c r="AU47" s="48" t="n"/>
      <c r="AV47" s="48" t="n"/>
      <c r="AW47" s="48" t="n"/>
      <c r="AX47" s="48" t="n"/>
      <c r="AY47" s="48" t="n"/>
      <c r="AZ47" s="48" t="n"/>
      <c r="BA47" s="48" t="n"/>
      <c r="BB47" s="48" t="n"/>
      <c r="BC47" s="48" t="n"/>
      <c r="BD47" s="48" t="n"/>
      <c r="BE47" s="48" t="n"/>
      <c r="BF47" s="48" t="n"/>
      <c r="BG47" s="48" t="n"/>
      <c r="BH47" s="48" t="n"/>
      <c r="BI47" s="48" t="n"/>
      <c r="BJ47" s="48" t="n"/>
      <c r="BK47" s="48" t="n"/>
      <c r="BL47" s="48" t="n"/>
      <c r="BM47" s="48" t="n"/>
      <c r="BN47" s="48" t="n"/>
      <c r="BO47" s="48" t="n"/>
      <c r="BP47" s="48" t="n"/>
      <c r="BQ47" s="48" t="n"/>
      <c r="BR47" s="48" t="n"/>
      <c r="BS47" s="48" t="n"/>
      <c r="BT47" s="48" t="n"/>
      <c r="BU47" s="48" t="n"/>
      <c r="BV47" s="48" t="n"/>
      <c r="BW47" s="48" t="n"/>
      <c r="BX47" s="48" t="n"/>
      <c r="BY47" s="48" t="n"/>
      <c r="BZ47" s="48" t="n"/>
      <c r="CA47" s="48" t="n"/>
      <c r="CB47" s="48" t="n"/>
      <c r="CC47" s="48" t="n"/>
      <c r="CD47" s="48" t="n"/>
      <c r="CE47" s="48" t="n"/>
      <c r="CF47" s="48" t="n"/>
      <c r="CG47" s="48" t="n"/>
      <c r="CH47" s="48" t="n"/>
      <c r="CI47" s="48" t="n"/>
      <c r="CJ47" s="48" t="n"/>
      <c r="CK47" s="48" t="n"/>
      <c r="CL47" s="48" t="n"/>
      <c r="CM47" s="48" t="n"/>
      <c r="CN47" s="48" t="n"/>
      <c r="CO47" s="48" t="n"/>
      <c r="CP47" s="48" t="n"/>
      <c r="CQ47" s="48" t="n"/>
      <c r="CR47" s="48" t="n"/>
      <c r="CS47" s="48" t="n"/>
      <c r="CT47" s="48" t="n"/>
      <c r="CU47" s="48" t="n"/>
      <c r="CV47" s="48" t="n"/>
      <c r="CW47" s="48" t="n"/>
      <c r="CX47" s="48" t="n"/>
      <c r="CY47" s="48" t="n"/>
      <c r="CZ47" s="48" t="n"/>
      <c r="DA47" s="48" t="n"/>
      <c r="DB47" s="48" t="n"/>
      <c r="DC47" s="48" t="n"/>
      <c r="DD47" s="48" t="n"/>
      <c r="DE47" s="48" t="n"/>
      <c r="DF47" s="48" t="n"/>
      <c r="DG47" s="48" t="n"/>
      <c r="DH47" s="48" t="n"/>
      <c r="DJ47" s="45">
        <f>+F47/F$16</f>
        <v/>
      </c>
      <c r="DK47" s="45">
        <f>+G47/G$16</f>
        <v/>
      </c>
      <c r="DL47" s="45">
        <f>+H47/H$16</f>
        <v/>
      </c>
      <c r="DM47" s="45">
        <f>+I47/I$16</f>
        <v/>
      </c>
      <c r="DN47" s="45">
        <f>+J47/J$16</f>
        <v/>
      </c>
      <c r="DO47" s="45" t="n"/>
      <c r="DP47" s="45">
        <f>+L47/L$16</f>
        <v/>
      </c>
      <c r="DQ47" s="45">
        <f>+M47/M$16</f>
        <v/>
      </c>
    </row>
    <row r="48" ht="15.75" customHeight="1">
      <c r="B48" s="50" t="inlineStr">
        <is>
          <t>Total Adjustments</t>
        </is>
      </c>
      <c r="C48" s="50" t="n"/>
      <c r="D48" s="50" t="n"/>
      <c r="F48" s="51">
        <f>SUM(F40:F47)</f>
        <v/>
      </c>
      <c r="G48" s="51">
        <f>SUM(G40:G47)</f>
        <v/>
      </c>
      <c r="H48" s="51">
        <f>SUM(H40:H47)</f>
        <v/>
      </c>
      <c r="I48" s="51">
        <f>SUM(I40:I47)</f>
        <v/>
      </c>
      <c r="J48" s="51">
        <f>SUM(J40:J47)</f>
        <v/>
      </c>
      <c r="K48" s="51">
        <f>SUM(K40:K47)</f>
        <v/>
      </c>
      <c r="L48" s="51">
        <f>SUM(L40:L47)</f>
        <v/>
      </c>
      <c r="M48" s="51">
        <f>SUM(M40:M47)</f>
        <v/>
      </c>
      <c r="N48" s="46" t="n"/>
      <c r="O48" s="51">
        <f>+I48</f>
        <v/>
      </c>
      <c r="Q48" s="51">
        <f>SUM(Q40:Q46)</f>
        <v/>
      </c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  <c r="AA48" s="51" t="n"/>
      <c r="AB48" s="51" t="n"/>
      <c r="AC48" s="51" t="n"/>
      <c r="AD48" s="51" t="n"/>
      <c r="AE48" s="51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1" t="n"/>
      <c r="CN48" s="51" t="n"/>
      <c r="CO48" s="51" t="n"/>
      <c r="CP48" s="51" t="n"/>
      <c r="CQ48" s="51" t="n"/>
      <c r="CR48" s="51" t="n"/>
      <c r="CS48" s="51" t="n"/>
      <c r="CT48" s="51" t="n"/>
      <c r="CU48" s="51" t="n"/>
      <c r="CV48" s="51" t="n"/>
      <c r="CW48" s="51" t="n"/>
      <c r="CX48" s="51" t="n"/>
      <c r="CY48" s="51" t="n"/>
      <c r="CZ48" s="51" t="n"/>
      <c r="DA48" s="51" t="n"/>
      <c r="DB48" s="51" t="n"/>
      <c r="DC48" s="51" t="n"/>
      <c r="DD48" s="51" t="n"/>
      <c r="DE48" s="51" t="n"/>
      <c r="DF48" s="51" t="n"/>
      <c r="DG48" s="51" t="n"/>
      <c r="DH48" s="51" t="n"/>
      <c r="DJ48" s="53">
        <f>+F48/F$16</f>
        <v/>
      </c>
      <c r="DK48" s="53">
        <f>+G48/G$16</f>
        <v/>
      </c>
      <c r="DL48" s="53">
        <f>+H48/H$16</f>
        <v/>
      </c>
      <c r="DM48" s="53">
        <f>+I48/I$16</f>
        <v/>
      </c>
      <c r="DN48" s="53">
        <f>+J48/J$16</f>
        <v/>
      </c>
      <c r="DO48" s="53" t="n"/>
      <c r="DP48" s="53">
        <f>+L48/L$16</f>
        <v/>
      </c>
      <c r="DQ48" s="53">
        <f>+M48/M$16</f>
        <v/>
      </c>
    </row>
    <row r="49" ht="4.5" customHeight="1">
      <c r="DJ49" s="45" t="n"/>
      <c r="DK49" s="45" t="n"/>
      <c r="DL49" s="45" t="n"/>
      <c r="DM49" s="45" t="n"/>
      <c r="DN49" s="45" t="n"/>
      <c r="DO49" s="45" t="n"/>
      <c r="DP49" s="45" t="n"/>
      <c r="DQ49" s="45" t="n"/>
    </row>
    <row r="50" ht="15.75" customHeight="1">
      <c r="A50" s="4" t="n"/>
      <c r="B50" s="61" t="inlineStr">
        <is>
          <t>Adjusted EBITDA</t>
        </is>
      </c>
      <c r="C50" s="61" t="n"/>
      <c r="D50" s="61" t="n"/>
      <c r="E50" s="4" t="n"/>
      <c r="F50" s="62">
        <f>+SUM(F37,F48)</f>
        <v/>
      </c>
      <c r="G50" s="62">
        <f>+SUM(G37,G48)</f>
        <v/>
      </c>
      <c r="H50" s="62">
        <f>+SUM(H37,H48)</f>
        <v/>
      </c>
      <c r="I50" s="62">
        <f>+SUM(I37,I48)</f>
        <v/>
      </c>
      <c r="J50" s="62">
        <f>+SUM(J37,J48)</f>
        <v/>
      </c>
      <c r="K50" s="62">
        <f>+SUM(K37,K48)</f>
        <v/>
      </c>
      <c r="L50" s="62">
        <f>+SUM(L37,L48)</f>
        <v/>
      </c>
      <c r="M50" s="62">
        <f>+SUM(M37,M48)</f>
        <v/>
      </c>
      <c r="N50" s="63" t="n"/>
      <c r="O50" s="62">
        <f>+SUM(O37,O48)</f>
        <v/>
      </c>
      <c r="P50" s="4" t="n"/>
      <c r="Q50" s="62">
        <f>+SUM(Q37,Q48)</f>
        <v/>
      </c>
      <c r="R50" s="62">
        <f>+SUM(R37,R48)</f>
        <v/>
      </c>
      <c r="S50" s="62">
        <f>+SUM(S37,S48)</f>
        <v/>
      </c>
      <c r="T50" s="62">
        <f>+SUM(T37,T48)</f>
        <v/>
      </c>
      <c r="U50" s="62">
        <f>+SUM(U37,U48)</f>
        <v/>
      </c>
      <c r="V50" s="62">
        <f>+SUM(V37,V48)</f>
        <v/>
      </c>
      <c r="W50" s="62">
        <f>+SUM(W37,W48)</f>
        <v/>
      </c>
      <c r="X50" s="62">
        <f>+SUM(X37,X48)</f>
        <v/>
      </c>
      <c r="Y50" s="62">
        <f>+SUM(Y37,Y48)</f>
        <v/>
      </c>
      <c r="Z50" s="62">
        <f>+SUM(Z37,Z48)</f>
        <v/>
      </c>
      <c r="AA50" s="62">
        <f>+SUM(AA37,AA48)</f>
        <v/>
      </c>
      <c r="AB50" s="62">
        <f>+SUM(AB37,AB48)</f>
        <v/>
      </c>
      <c r="AC50" s="62">
        <f>+SUM(AC37,AC48)</f>
        <v/>
      </c>
      <c r="AD50" s="62">
        <f>+SUM(AD37,AD48)</f>
        <v/>
      </c>
      <c r="AE50" s="62">
        <f>+SUM(AE37,AE48)</f>
        <v/>
      </c>
      <c r="AF50" s="62">
        <f>+SUM(AF37,AF48)</f>
        <v/>
      </c>
      <c r="AG50" s="62">
        <f>+SUM(AG37,AG48)</f>
        <v/>
      </c>
      <c r="AH50" s="62">
        <f>+SUM(AH37,AH48)</f>
        <v/>
      </c>
      <c r="AI50" s="62">
        <f>+SUM(AI37,AI48)</f>
        <v/>
      </c>
      <c r="AJ50" s="62">
        <f>+SUM(AJ37,AJ48)</f>
        <v/>
      </c>
      <c r="AK50" s="62">
        <f>+SUM(AK37,AK48)</f>
        <v/>
      </c>
      <c r="AL50" s="62">
        <f>+SUM(AL37,AL48)</f>
        <v/>
      </c>
      <c r="AM50" s="62">
        <f>+SUM(AM37,AM48)</f>
        <v/>
      </c>
      <c r="AN50" s="62">
        <f>+SUM(AN37,AN48)</f>
        <v/>
      </c>
      <c r="AO50" s="62">
        <f>+SUM(AO37,AO48)</f>
        <v/>
      </c>
      <c r="AP50" s="62">
        <f>+SUM(AP37,AP48)</f>
        <v/>
      </c>
      <c r="AQ50" s="62">
        <f>+SUM(AQ37,AQ48)</f>
        <v/>
      </c>
      <c r="AR50" s="62">
        <f>+SUM(AR37,AR48)</f>
        <v/>
      </c>
      <c r="AS50" s="62">
        <f>+SUM(AS37,AS48)</f>
        <v/>
      </c>
      <c r="AT50" s="62">
        <f>+SUM(AT37,AT48)</f>
        <v/>
      </c>
      <c r="AU50" s="62">
        <f>+SUM(AU37,AU48)</f>
        <v/>
      </c>
      <c r="AV50" s="62">
        <f>+SUM(AV37,AV48)</f>
        <v/>
      </c>
      <c r="AW50" s="62">
        <f>+SUM(AW37,AW48)</f>
        <v/>
      </c>
      <c r="AX50" s="62">
        <f>+SUM(AX37,AX48)</f>
        <v/>
      </c>
      <c r="AY50" s="62">
        <f>+SUM(AY37,AY48)</f>
        <v/>
      </c>
      <c r="AZ50" s="62">
        <f>+SUM(AZ37,AZ48)</f>
        <v/>
      </c>
      <c r="BA50" s="62">
        <f>+SUM(BA37,BA48)</f>
        <v/>
      </c>
      <c r="BB50" s="62">
        <f>+SUM(BB37,BB48)</f>
        <v/>
      </c>
      <c r="BC50" s="62">
        <f>+SUM(BC37,BC48)</f>
        <v/>
      </c>
      <c r="BD50" s="62">
        <f>+SUM(BD37,BD48)</f>
        <v/>
      </c>
      <c r="BE50" s="62">
        <f>+SUM(BE37,BE48)</f>
        <v/>
      </c>
      <c r="BF50" s="62">
        <f>+SUM(BF37,BF48)</f>
        <v/>
      </c>
      <c r="BG50" s="62">
        <f>+SUM(BG37,BG48)</f>
        <v/>
      </c>
      <c r="BH50" s="62">
        <f>+SUM(BH37,BH48)</f>
        <v/>
      </c>
      <c r="BI50" s="62">
        <f>+SUM(BI37,BI48)</f>
        <v/>
      </c>
      <c r="BJ50" s="62">
        <f>+SUM(BJ37,BJ48)</f>
        <v/>
      </c>
      <c r="BK50" s="62">
        <f>+SUM(BK37,BK48)</f>
        <v/>
      </c>
      <c r="BL50" s="62">
        <f>+SUM(BL37,BL48)</f>
        <v/>
      </c>
      <c r="BM50" s="62">
        <f>+SUM(BM37,BM48)</f>
        <v/>
      </c>
      <c r="BN50" s="62">
        <f>+SUM(BN37,BN48)</f>
        <v/>
      </c>
      <c r="BO50" s="62">
        <f>+SUM(BO37,BO48)</f>
        <v/>
      </c>
      <c r="BP50" s="62">
        <f>+SUM(BP37,BP48)</f>
        <v/>
      </c>
      <c r="BQ50" s="62">
        <f>+SUM(BQ37,BQ48)</f>
        <v/>
      </c>
      <c r="BR50" s="62">
        <f>+SUM(BR37,BR48)</f>
        <v/>
      </c>
      <c r="BS50" s="62">
        <f>+SUM(BS37,BS48)</f>
        <v/>
      </c>
      <c r="BT50" s="62">
        <f>+SUM(BT37,BT48)</f>
        <v/>
      </c>
      <c r="BU50" s="62">
        <f>+SUM(BU37,BU48)</f>
        <v/>
      </c>
      <c r="BV50" s="62">
        <f>+SUM(BV37,BV48)</f>
        <v/>
      </c>
      <c r="BW50" s="62">
        <f>+SUM(BW37,BW48)</f>
        <v/>
      </c>
      <c r="BX50" s="62">
        <f>+SUM(BX37,BX48)</f>
        <v/>
      </c>
      <c r="BY50" s="62">
        <f>+SUM(BY37,BY48)</f>
        <v/>
      </c>
      <c r="BZ50" s="62">
        <f>+SUM(BZ37,BZ48)</f>
        <v/>
      </c>
      <c r="CA50" s="62">
        <f>+SUM(CA37,CA48)</f>
        <v/>
      </c>
      <c r="CB50" s="62">
        <f>+SUM(CB37,CB48)</f>
        <v/>
      </c>
      <c r="CC50" s="62">
        <f>+SUM(CC37,CC48)</f>
        <v/>
      </c>
      <c r="CD50" s="62">
        <f>+SUM(CD37,CD48)</f>
        <v/>
      </c>
      <c r="CE50" s="62">
        <f>+SUM(CE37,CE48)</f>
        <v/>
      </c>
      <c r="CF50" s="62">
        <f>+SUM(CF37,CF48)</f>
        <v/>
      </c>
      <c r="CG50" s="62">
        <f>+SUM(CG37,CG48)</f>
        <v/>
      </c>
      <c r="CH50" s="62">
        <f>+SUM(CH37,CH48)</f>
        <v/>
      </c>
      <c r="CI50" s="62">
        <f>+SUM(CI37,CI48)</f>
        <v/>
      </c>
      <c r="CJ50" s="62">
        <f>+SUM(CJ37,CJ48)</f>
        <v/>
      </c>
      <c r="CK50" s="62">
        <f>+SUM(CK37,CK48)</f>
        <v/>
      </c>
      <c r="CL50" s="62">
        <f>+SUM(CL37,CL48)</f>
        <v/>
      </c>
      <c r="CM50" s="62">
        <f>+SUM(CM37,CM48)</f>
        <v/>
      </c>
      <c r="CN50" s="62">
        <f>+SUM(CN37,CN48)</f>
        <v/>
      </c>
      <c r="CO50" s="62">
        <f>+SUM(CO37,CO48)</f>
        <v/>
      </c>
      <c r="CP50" s="62">
        <f>+SUM(CP37,CP48)</f>
        <v/>
      </c>
      <c r="CQ50" s="62">
        <f>+SUM(CQ37,CQ48)</f>
        <v/>
      </c>
      <c r="CR50" s="62">
        <f>+SUM(CR37,CR48)</f>
        <v/>
      </c>
      <c r="CS50" s="62">
        <f>+SUM(CS37,CS48)</f>
        <v/>
      </c>
      <c r="CT50" s="62">
        <f>+SUM(CT37,CT48)</f>
        <v/>
      </c>
      <c r="CU50" s="62">
        <f>+SUM(CU37,CU48)</f>
        <v/>
      </c>
      <c r="CV50" s="62">
        <f>+SUM(CV37,CV48)</f>
        <v/>
      </c>
      <c r="CW50" s="62">
        <f>+SUM(CW37,CW48)</f>
        <v/>
      </c>
      <c r="CX50" s="62">
        <f>+SUM(CX37,CX48)</f>
        <v/>
      </c>
      <c r="CY50" s="62">
        <f>+SUM(CY37,CY48)</f>
        <v/>
      </c>
      <c r="CZ50" s="62">
        <f>+SUM(CZ37,CZ48)</f>
        <v/>
      </c>
      <c r="DA50" s="62">
        <f>+SUM(DA37,DA48)</f>
        <v/>
      </c>
      <c r="DB50" s="62">
        <f>+SUM(DB37,DB48)</f>
        <v/>
      </c>
      <c r="DC50" s="62">
        <f>+SUM(DC37,DC48)</f>
        <v/>
      </c>
      <c r="DD50" s="62">
        <f>+SUM(DD37,DD48)</f>
        <v/>
      </c>
      <c r="DE50" s="62">
        <f>+SUM(DE37,DE48)</f>
        <v/>
      </c>
      <c r="DF50" s="62">
        <f>+SUM(DF37,DF48)</f>
        <v/>
      </c>
      <c r="DG50" s="62">
        <f>+SUM(DG37,DG48)</f>
        <v/>
      </c>
      <c r="DH50" s="62">
        <f>+SUM(DH37,DH48)</f>
        <v/>
      </c>
      <c r="DI50" s="4" t="n"/>
      <c r="DJ50" s="64">
        <f>+F50/F$16</f>
        <v/>
      </c>
      <c r="DK50" s="64">
        <f>+G50/G$16</f>
        <v/>
      </c>
      <c r="DL50" s="64">
        <f>+H50/H$16</f>
        <v/>
      </c>
      <c r="DM50" s="64">
        <f>+I50/I$16</f>
        <v/>
      </c>
      <c r="DN50" s="64">
        <f>+J50/J$16</f>
        <v/>
      </c>
      <c r="DO50" s="64" t="n"/>
      <c r="DP50" s="64">
        <f>+L50/L$16</f>
        <v/>
      </c>
      <c r="DQ50" s="64">
        <f>+M50/M$16</f>
        <v/>
      </c>
      <c r="DR50" s="4" t="n"/>
      <c r="DS50" s="4" t="n"/>
    </row>
    <row r="51" ht="15.75" customHeight="1">
      <c r="F51" s="65" t="n"/>
      <c r="G51" s="65" t="n"/>
      <c r="H51" s="65" t="n"/>
      <c r="I51" s="46" t="n"/>
      <c r="J51" s="65" t="n"/>
      <c r="K51" s="65" t="n"/>
      <c r="L51" s="65" t="n"/>
      <c r="M51" s="65" t="n"/>
      <c r="N51" s="65" t="n"/>
      <c r="O51" s="65" t="n"/>
    </row>
    <row r="52" ht="15.75" customHeight="1">
      <c r="F52" s="46" t="n"/>
      <c r="G52" s="46" t="n"/>
      <c r="H52" s="46" t="n"/>
      <c r="I52" s="46" t="n"/>
      <c r="J52" s="46" t="n"/>
      <c r="K52" s="46" t="n"/>
      <c r="L52" s="46" t="n"/>
      <c r="M52" s="46" t="n"/>
    </row>
    <row r="53" ht="15.75" customHeight="1">
      <c r="F53" s="46" t="n"/>
      <c r="G53" s="46" t="n"/>
      <c r="H53" s="46" t="n"/>
      <c r="I53" s="46" t="n"/>
      <c r="J53" s="46" t="n"/>
      <c r="K53" s="46" t="n"/>
      <c r="L53" s="46" t="n"/>
      <c r="M53" s="46" t="n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J7:DQ7"/>
    <mergeCell ref="DJ11:DQ11"/>
    <mergeCell ref="DJ18:DQ18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tabColor rgb="FF44546A"/>
    <outlinePr summaryBelow="1" summaryRight="1"/>
    <pageSetUpPr/>
  </sheetPr>
  <dimension ref="A1:A1"/>
  <sheetViews>
    <sheetView zoomScale="115" zoomScaleNormal="115" workbookViewId="0">
      <selection activeCell="A1" sqref="A1"/>
    </sheetView>
  </sheetViews>
  <sheetFormatPr baseColWidth="8" defaultColWidth="14.42578125" defaultRowHeight="15" customHeight="1"/>
  <cols>
    <col width="8.710937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X289"/>
  <sheetViews>
    <sheetView showGridLines="0" zoomScale="70" zoomScaleNormal="70" workbookViewId="0">
      <pane xSplit="2" ySplit="10" topLeftCell="C18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baseColWidth="8" defaultColWidth="14.42578125" defaultRowHeight="15" customHeight="1" outlineLevelRow="1"/>
  <cols>
    <col width="2.5703125" customWidth="1" min="1" max="1"/>
    <col width="25.5703125" customWidth="1" min="2" max="2"/>
    <col width="10.5703125" customWidth="1" min="3" max="3"/>
    <col width="2.5703125" customWidth="1" min="4" max="4"/>
    <col width="12.5703125" customWidth="1" min="5" max="13"/>
    <col width="2.5703125" customWidth="1" min="14" max="14"/>
    <col hidden="1" outlineLevel="1" width="12.5703125" customWidth="1" min="15" max="122"/>
    <col collapsed="1" width="2.5703125" customWidth="1" min="123" max="123"/>
    <col hidden="1" outlineLevel="1" width="12.5703125" customWidth="1" min="124" max="127"/>
    <col collapsed="1" width="2.5703125" customWidth="1" min="128" max="128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  <c r="DS2" s="32" t="n"/>
      <c r="DT2" s="32" t="n"/>
      <c r="DU2" s="32" t="n"/>
      <c r="DV2" s="32" t="n"/>
      <c r="DW2" s="32" t="n"/>
      <c r="DX2" s="32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  <c r="DS3" s="32" t="n"/>
      <c r="DT3" s="32" t="n"/>
      <c r="DU3" s="32" t="n"/>
      <c r="DV3" s="32" t="n"/>
      <c r="DW3" s="32" t="n"/>
      <c r="DX3" s="32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32" t="n"/>
      <c r="DT4" s="32" t="n"/>
      <c r="DU4" s="32" t="n"/>
      <c r="DV4" s="32" t="n"/>
      <c r="DW4" s="32" t="n"/>
      <c r="DX4" s="32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  <c r="DS5" s="32" t="n"/>
      <c r="DT5" s="32" t="n"/>
      <c r="DU5" s="32" t="n"/>
      <c r="DV5" s="32" t="n"/>
      <c r="DW5" s="32" t="n"/>
      <c r="DX5" s="32" t="n"/>
    </row>
    <row r="6" ht="4.5" customHeight="1"/>
    <row r="7">
      <c r="B7" s="34" t="n"/>
      <c r="C7" s="34" t="n"/>
      <c r="D7" s="66" t="n"/>
      <c r="E7" s="36" t="n">
        <v>2018</v>
      </c>
      <c r="F7" s="36">
        <f>+E7+1</f>
        <v/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  <c r="O7" s="36">
        <f>+YEAR(O8)</f>
        <v/>
      </c>
      <c r="P7" s="36">
        <f>+YEAR(P8)</f>
        <v/>
      </c>
      <c r="Q7" s="36">
        <f>+YEAR(Q8)</f>
        <v/>
      </c>
      <c r="R7" s="36">
        <f>+YEAR(R8)</f>
        <v/>
      </c>
      <c r="S7" s="36">
        <f>+YEAR(S8)</f>
        <v/>
      </c>
      <c r="T7" s="36">
        <f>+YEAR(T8)</f>
        <v/>
      </c>
      <c r="U7" s="36">
        <f>+YEAR(U8)</f>
        <v/>
      </c>
      <c r="V7" s="36">
        <f>+YEAR(V8)</f>
        <v/>
      </c>
      <c r="W7" s="36">
        <f>+YEAR(W8)</f>
        <v/>
      </c>
      <c r="X7" s="36">
        <f>+YEAR(X8)</f>
        <v/>
      </c>
      <c r="Y7" s="36">
        <f>+YEAR(Y8)</f>
        <v/>
      </c>
      <c r="Z7" s="36">
        <f>+YEAR(Z8)</f>
        <v/>
      </c>
      <c r="AA7" s="36">
        <f>+YEAR(AA8)</f>
        <v/>
      </c>
      <c r="AB7" s="36">
        <f>+YEAR(AB8)</f>
        <v/>
      </c>
      <c r="AC7" s="36">
        <f>+YEAR(AC8)</f>
        <v/>
      </c>
      <c r="AD7" s="36">
        <f>+YEAR(AD8)</f>
        <v/>
      </c>
      <c r="AE7" s="36">
        <f>+YEAR(AE8)</f>
        <v/>
      </c>
      <c r="AF7" s="36">
        <f>+YEAR(AF8)</f>
        <v/>
      </c>
      <c r="AG7" s="36">
        <f>+YEAR(AG8)</f>
        <v/>
      </c>
      <c r="AH7" s="36">
        <f>+YEAR(AH8)</f>
        <v/>
      </c>
      <c r="AI7" s="36">
        <f>+YEAR(AI8)</f>
        <v/>
      </c>
      <c r="AJ7" s="36">
        <f>+YEAR(AJ8)</f>
        <v/>
      </c>
      <c r="AK7" s="36">
        <f>+YEAR(AK8)</f>
        <v/>
      </c>
      <c r="AL7" s="36">
        <f>+YEAR(AL8)</f>
        <v/>
      </c>
      <c r="AM7" s="36">
        <f>+YEAR(AM8)</f>
        <v/>
      </c>
      <c r="AN7" s="36">
        <f>+YEAR(AN8)</f>
        <v/>
      </c>
      <c r="AO7" s="36">
        <f>+YEAR(AO8)</f>
        <v/>
      </c>
      <c r="AP7" s="36">
        <f>+YEAR(AP8)</f>
        <v/>
      </c>
      <c r="AQ7" s="36">
        <f>+YEAR(AQ8)</f>
        <v/>
      </c>
      <c r="AR7" s="36">
        <f>+YEAR(AR8)</f>
        <v/>
      </c>
      <c r="AS7" s="36">
        <f>+YEAR(AS8)</f>
        <v/>
      </c>
      <c r="AT7" s="36">
        <f>+YEAR(AT8)</f>
        <v/>
      </c>
      <c r="AU7" s="36">
        <f>+YEAR(AU8)</f>
        <v/>
      </c>
      <c r="AV7" s="36">
        <f>+YEAR(AV8)</f>
        <v/>
      </c>
      <c r="AW7" s="36">
        <f>+YEAR(AW8)</f>
        <v/>
      </c>
      <c r="AX7" s="36">
        <f>+YEAR(AX8)</f>
        <v/>
      </c>
      <c r="AY7" s="36">
        <f>+YEAR(AY8)</f>
        <v/>
      </c>
      <c r="AZ7" s="36">
        <f>+YEAR(AZ8)</f>
        <v/>
      </c>
      <c r="BA7" s="36">
        <f>+YEAR(BA8)</f>
        <v/>
      </c>
      <c r="BB7" s="36">
        <f>+YEAR(BB8)</f>
        <v/>
      </c>
      <c r="BC7" s="36">
        <f>+YEAR(BC8)</f>
        <v/>
      </c>
      <c r="BD7" s="36">
        <f>+YEAR(BD8)</f>
        <v/>
      </c>
      <c r="BE7" s="36">
        <f>+YEAR(BE8)</f>
        <v/>
      </c>
      <c r="BF7" s="36">
        <f>+YEAR(BF8)</f>
        <v/>
      </c>
      <c r="BG7" s="36">
        <f>+YEAR(BG8)</f>
        <v/>
      </c>
      <c r="BH7" s="36">
        <f>+YEAR(BH8)</f>
        <v/>
      </c>
      <c r="BI7" s="36">
        <f>+YEAR(BI8)</f>
        <v/>
      </c>
      <c r="BJ7" s="36">
        <f>+YEAR(BJ8)</f>
        <v/>
      </c>
      <c r="BK7" s="36">
        <f>+YEAR(BK8)</f>
        <v/>
      </c>
      <c r="BL7" s="36">
        <f>+YEAR(BL8)</f>
        <v/>
      </c>
      <c r="BM7" s="36">
        <f>+YEAR(BM8)</f>
        <v/>
      </c>
      <c r="BN7" s="36">
        <f>+YEAR(BN8)</f>
        <v/>
      </c>
      <c r="BO7" s="36">
        <f>+YEAR(BO8)</f>
        <v/>
      </c>
      <c r="BP7" s="36">
        <f>+YEAR(BP8)</f>
        <v/>
      </c>
      <c r="BQ7" s="36">
        <f>+YEAR(BQ8)</f>
        <v/>
      </c>
      <c r="BR7" s="36">
        <f>+YEAR(BR8)</f>
        <v/>
      </c>
      <c r="BS7" s="36">
        <f>+YEAR(BS8)</f>
        <v/>
      </c>
      <c r="BT7" s="36">
        <f>+YEAR(BT8)</f>
        <v/>
      </c>
      <c r="BU7" s="36">
        <f>+YEAR(BU8)</f>
        <v/>
      </c>
      <c r="BV7" s="36">
        <f>+YEAR(BV8)</f>
        <v/>
      </c>
      <c r="BW7" s="36">
        <f>+YEAR(BW8)</f>
        <v/>
      </c>
      <c r="BX7" s="36">
        <f>+YEAR(BX8)</f>
        <v/>
      </c>
      <c r="BY7" s="36">
        <f>+YEAR(BY8)</f>
        <v/>
      </c>
      <c r="BZ7" s="36">
        <f>+YEAR(BZ8)</f>
        <v/>
      </c>
      <c r="CA7" s="36">
        <f>+YEAR(CA8)</f>
        <v/>
      </c>
      <c r="CB7" s="36">
        <f>+YEAR(CB8)</f>
        <v/>
      </c>
      <c r="CC7" s="36">
        <f>+YEAR(CC8)</f>
        <v/>
      </c>
      <c r="CD7" s="36">
        <f>+YEAR(CD8)</f>
        <v/>
      </c>
      <c r="CE7" s="36">
        <f>+YEAR(CE8)</f>
        <v/>
      </c>
      <c r="CF7" s="36">
        <f>+YEAR(CF8)</f>
        <v/>
      </c>
      <c r="CG7" s="36">
        <f>+YEAR(CG8)</f>
        <v/>
      </c>
      <c r="CH7" s="36">
        <f>+YEAR(CH8)</f>
        <v/>
      </c>
      <c r="CI7" s="36">
        <f>+YEAR(CI8)</f>
        <v/>
      </c>
      <c r="CJ7" s="36">
        <f>+YEAR(CJ8)</f>
        <v/>
      </c>
      <c r="CK7" s="36">
        <f>+YEAR(CK8)</f>
        <v/>
      </c>
      <c r="CL7" s="36">
        <f>+YEAR(CL8)</f>
        <v/>
      </c>
      <c r="CM7" s="36">
        <f>+YEAR(CM8)</f>
        <v/>
      </c>
      <c r="CN7" s="36">
        <f>+YEAR(CN8)</f>
        <v/>
      </c>
      <c r="CO7" s="36">
        <f>+YEAR(CO8)</f>
        <v/>
      </c>
      <c r="CP7" s="36">
        <f>+YEAR(CP8)</f>
        <v/>
      </c>
      <c r="CQ7" s="36">
        <f>+YEAR(CQ8)</f>
        <v/>
      </c>
      <c r="CR7" s="36">
        <f>+YEAR(CR8)</f>
        <v/>
      </c>
      <c r="CS7" s="36">
        <f>+YEAR(CS8)</f>
        <v/>
      </c>
      <c r="CT7" s="36">
        <f>+YEAR(CT8)</f>
        <v/>
      </c>
      <c r="CU7" s="36">
        <f>+YEAR(CU8)</f>
        <v/>
      </c>
      <c r="CV7" s="36">
        <f>+YEAR(CV8)</f>
        <v/>
      </c>
      <c r="CW7" s="36">
        <f>+YEAR(CW8)</f>
        <v/>
      </c>
      <c r="CX7" s="36">
        <f>+YEAR(CX8)</f>
        <v/>
      </c>
      <c r="CY7" s="36">
        <f>+YEAR(CY8)</f>
        <v/>
      </c>
      <c r="CZ7" s="36">
        <f>+YEAR(CZ8)</f>
        <v/>
      </c>
      <c r="DA7" s="36">
        <f>+YEAR(DA8)</f>
        <v/>
      </c>
      <c r="DB7" s="36">
        <f>+YEAR(DB8)</f>
        <v/>
      </c>
      <c r="DC7" s="36">
        <f>+YEAR(DC8)</f>
        <v/>
      </c>
      <c r="DD7" s="36">
        <f>+YEAR(DD8)</f>
        <v/>
      </c>
      <c r="DE7" s="36">
        <f>+YEAR(DE8)</f>
        <v/>
      </c>
      <c r="DF7" s="36">
        <f>+YEAR(DF8)</f>
        <v/>
      </c>
      <c r="DG7" s="36">
        <f>+YEAR(DG8)</f>
        <v/>
      </c>
      <c r="DH7" s="36">
        <f>+YEAR(DH8)</f>
        <v/>
      </c>
      <c r="DI7" s="36">
        <f>+YEAR(DI8)</f>
        <v/>
      </c>
      <c r="DJ7" s="36">
        <f>+YEAR(DJ8)</f>
        <v/>
      </c>
      <c r="DK7" s="36">
        <f>+YEAR(DK8)</f>
        <v/>
      </c>
      <c r="DL7" s="36">
        <f>+YEAR(DL8)</f>
        <v/>
      </c>
      <c r="DM7" s="36">
        <f>+YEAR(DM8)</f>
        <v/>
      </c>
      <c r="DN7" s="36">
        <f>+YEAR(DN8)</f>
        <v/>
      </c>
      <c r="DO7" s="36">
        <f>+YEAR(DO8)</f>
        <v/>
      </c>
      <c r="DP7" s="36">
        <f>+YEAR(DP8)</f>
        <v/>
      </c>
      <c r="DQ7" s="36">
        <f>+YEAR(DQ8)</f>
        <v/>
      </c>
      <c r="DR7" s="36">
        <f>+YEAR(DR8)</f>
        <v/>
      </c>
    </row>
    <row r="8">
      <c r="B8" s="34" t="n"/>
      <c r="C8" s="34" t="n"/>
      <c r="D8" s="66" t="n"/>
      <c r="E8" s="39">
        <f>+DATE(E7,12,31)</f>
        <v/>
      </c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  <c r="O8" s="39" t="n">
        <v>43131</v>
      </c>
      <c r="P8" s="39">
        <f>+EOMONTH(O8,1)</f>
        <v/>
      </c>
      <c r="Q8" s="39">
        <f>+EOMONTH(P8,1)</f>
        <v/>
      </c>
      <c r="R8" s="39">
        <f>+EOMONTH(Q8,1)</f>
        <v/>
      </c>
      <c r="S8" s="39">
        <f>+EOMONTH(R8,1)</f>
        <v/>
      </c>
      <c r="T8" s="39">
        <f>+EOMONTH(S8,1)</f>
        <v/>
      </c>
      <c r="U8" s="39">
        <f>+EOMONTH(T8,1)</f>
        <v/>
      </c>
      <c r="V8" s="39">
        <f>+EOMONTH(U8,1)</f>
        <v/>
      </c>
      <c r="W8" s="39">
        <f>+EOMONTH(V8,1)</f>
        <v/>
      </c>
      <c r="X8" s="39">
        <f>+EOMONTH(W8,1)</f>
        <v/>
      </c>
      <c r="Y8" s="39">
        <f>+EOMONTH(X8,1)</f>
        <v/>
      </c>
      <c r="Z8" s="39">
        <f>+EOMONTH(Y8,1)</f>
        <v/>
      </c>
      <c r="AA8" s="39">
        <f>+EOMONTH(Z8,1)</f>
        <v/>
      </c>
      <c r="AB8" s="39">
        <f>+EOMONTH(AA8,1)</f>
        <v/>
      </c>
      <c r="AC8" s="39">
        <f>+EOMONTH(AB8,1)</f>
        <v/>
      </c>
      <c r="AD8" s="39">
        <f>+EOMONTH(AC8,1)</f>
        <v/>
      </c>
      <c r="AE8" s="39">
        <f>+EOMONTH(AD8,1)</f>
        <v/>
      </c>
      <c r="AF8" s="39">
        <f>+EOMONTH(AE8,1)</f>
        <v/>
      </c>
      <c r="AG8" s="39">
        <f>+EOMONTH(AF8,1)</f>
        <v/>
      </c>
      <c r="AH8" s="39">
        <f>+EOMONTH(AG8,1)</f>
        <v/>
      </c>
      <c r="AI8" s="39">
        <f>+EOMONTH(AH8,1)</f>
        <v/>
      </c>
      <c r="AJ8" s="39">
        <f>+EOMONTH(AI8,1)</f>
        <v/>
      </c>
      <c r="AK8" s="39">
        <f>+EOMONTH(AJ8,1)</f>
        <v/>
      </c>
      <c r="AL8" s="39">
        <f>+EOMONTH(AK8,1)</f>
        <v/>
      </c>
      <c r="AM8" s="39">
        <f>+EOMONTH(AL8,1)</f>
        <v/>
      </c>
      <c r="AN8" s="39">
        <f>+EOMONTH(AM8,1)</f>
        <v/>
      </c>
      <c r="AO8" s="39">
        <f>+EOMONTH(AN8,1)</f>
        <v/>
      </c>
      <c r="AP8" s="39">
        <f>+EOMONTH(AO8,1)</f>
        <v/>
      </c>
      <c r="AQ8" s="39">
        <f>+EOMONTH(AP8,1)</f>
        <v/>
      </c>
      <c r="AR8" s="39">
        <f>+EOMONTH(AQ8,1)</f>
        <v/>
      </c>
      <c r="AS8" s="39">
        <f>+EOMONTH(AR8,1)</f>
        <v/>
      </c>
      <c r="AT8" s="39">
        <f>+EOMONTH(AS8,1)</f>
        <v/>
      </c>
      <c r="AU8" s="39">
        <f>+EOMONTH(AT8,1)</f>
        <v/>
      </c>
      <c r="AV8" s="39">
        <f>+EOMONTH(AU8,1)</f>
        <v/>
      </c>
      <c r="AW8" s="39">
        <f>+EOMONTH(AV8,1)</f>
        <v/>
      </c>
      <c r="AX8" s="39">
        <f>+EOMONTH(AW8,1)</f>
        <v/>
      </c>
      <c r="AY8" s="39">
        <f>+EOMONTH(AX8,1)</f>
        <v/>
      </c>
      <c r="AZ8" s="39">
        <f>+EOMONTH(AY8,1)</f>
        <v/>
      </c>
      <c r="BA8" s="39">
        <f>+EOMONTH(AZ8,1)</f>
        <v/>
      </c>
      <c r="BB8" s="39">
        <f>+EOMONTH(BA8,1)</f>
        <v/>
      </c>
      <c r="BC8" s="39">
        <f>+EOMONTH(BB8,1)</f>
        <v/>
      </c>
      <c r="BD8" s="39">
        <f>+EOMONTH(BC8,1)</f>
        <v/>
      </c>
      <c r="BE8" s="39">
        <f>+EOMONTH(BD8,1)</f>
        <v/>
      </c>
      <c r="BF8" s="39">
        <f>+EOMONTH(BE8,1)</f>
        <v/>
      </c>
      <c r="BG8" s="39">
        <f>+EOMONTH(BF8,1)</f>
        <v/>
      </c>
      <c r="BH8" s="39">
        <f>+EOMONTH(BG8,1)</f>
        <v/>
      </c>
      <c r="BI8" s="39">
        <f>+EOMONTH(BH8,1)</f>
        <v/>
      </c>
      <c r="BJ8" s="39">
        <f>+EOMONTH(BI8,1)</f>
        <v/>
      </c>
      <c r="BK8" s="39">
        <f>+EOMONTH(BJ8,1)</f>
        <v/>
      </c>
      <c r="BL8" s="39">
        <f>+EOMONTH(BK8,1)</f>
        <v/>
      </c>
      <c r="BM8" s="39">
        <f>+EOMONTH(BL8,1)</f>
        <v/>
      </c>
      <c r="BN8" s="39">
        <f>+EOMONTH(BM8,1)</f>
        <v/>
      </c>
      <c r="BO8" s="39">
        <f>+EOMONTH(BN8,1)</f>
        <v/>
      </c>
      <c r="BP8" s="39">
        <f>+EOMONTH(BO8,1)</f>
        <v/>
      </c>
      <c r="BQ8" s="39">
        <f>+EOMONTH(BP8,1)</f>
        <v/>
      </c>
      <c r="BR8" s="39">
        <f>+EOMONTH(BQ8,1)</f>
        <v/>
      </c>
      <c r="BS8" s="39">
        <f>+EOMONTH(BR8,1)</f>
        <v/>
      </c>
      <c r="BT8" s="39">
        <f>+EOMONTH(BS8,1)</f>
        <v/>
      </c>
      <c r="BU8" s="39">
        <f>+EOMONTH(BT8,1)</f>
        <v/>
      </c>
      <c r="BV8" s="39">
        <f>+EOMONTH(BU8,1)</f>
        <v/>
      </c>
      <c r="BW8" s="39">
        <f>+EOMONTH(BV8,1)</f>
        <v/>
      </c>
      <c r="BX8" s="39">
        <f>+EOMONTH(BW8,1)</f>
        <v/>
      </c>
      <c r="BY8" s="39">
        <f>+EOMONTH(BX8,1)</f>
        <v/>
      </c>
      <c r="BZ8" s="39">
        <f>+EOMONTH(BY8,1)</f>
        <v/>
      </c>
      <c r="CA8" s="39">
        <f>+EOMONTH(BZ8,1)</f>
        <v/>
      </c>
      <c r="CB8" s="39">
        <f>+EOMONTH(CA8,1)</f>
        <v/>
      </c>
      <c r="CC8" s="39">
        <f>+EOMONTH(CB8,1)</f>
        <v/>
      </c>
      <c r="CD8" s="39">
        <f>+EOMONTH(CC8,1)</f>
        <v/>
      </c>
      <c r="CE8" s="39">
        <f>+EOMONTH(CD8,1)</f>
        <v/>
      </c>
      <c r="CF8" s="39">
        <f>+EOMONTH(CE8,1)</f>
        <v/>
      </c>
      <c r="CG8" s="39">
        <f>+EOMONTH(CF8,1)</f>
        <v/>
      </c>
      <c r="CH8" s="39">
        <f>+EOMONTH(CG8,1)</f>
        <v/>
      </c>
      <c r="CI8" s="39">
        <f>+EOMONTH(CH8,1)</f>
        <v/>
      </c>
      <c r="CJ8" s="39">
        <f>+EOMONTH(CI8,1)</f>
        <v/>
      </c>
      <c r="CK8" s="39">
        <f>+EOMONTH(CJ8,1)</f>
        <v/>
      </c>
      <c r="CL8" s="39">
        <f>+EOMONTH(CK8,1)</f>
        <v/>
      </c>
      <c r="CM8" s="39">
        <f>+EOMONTH(CL8,1)</f>
        <v/>
      </c>
      <c r="CN8" s="39">
        <f>+EOMONTH(CM8,1)</f>
        <v/>
      </c>
      <c r="CO8" s="39">
        <f>+EOMONTH(CN8,1)</f>
        <v/>
      </c>
      <c r="CP8" s="39">
        <f>+EOMONTH(CO8,1)</f>
        <v/>
      </c>
      <c r="CQ8" s="39">
        <f>+EOMONTH(CP8,1)</f>
        <v/>
      </c>
      <c r="CR8" s="39">
        <f>+EOMONTH(CQ8,1)</f>
        <v/>
      </c>
      <c r="CS8" s="39">
        <f>+EOMONTH(CR8,1)</f>
        <v/>
      </c>
      <c r="CT8" s="39">
        <f>+EOMONTH(CS8,1)</f>
        <v/>
      </c>
      <c r="CU8" s="39">
        <f>+EOMONTH(CT8,1)</f>
        <v/>
      </c>
      <c r="CV8" s="39">
        <f>+EOMONTH(CU8,1)</f>
        <v/>
      </c>
      <c r="CW8" s="39">
        <f>+EOMONTH(CV8,1)</f>
        <v/>
      </c>
      <c r="CX8" s="39">
        <f>+EOMONTH(CW8,1)</f>
        <v/>
      </c>
      <c r="CY8" s="39">
        <f>+EOMONTH(CX8,1)</f>
        <v/>
      </c>
      <c r="CZ8" s="39">
        <f>+EOMONTH(CY8,1)</f>
        <v/>
      </c>
      <c r="DA8" s="39">
        <f>+EOMONTH(CZ8,1)</f>
        <v/>
      </c>
      <c r="DB8" s="39">
        <f>+EOMONTH(DA8,1)</f>
        <v/>
      </c>
      <c r="DC8" s="39">
        <f>+EOMONTH(DB8,1)</f>
        <v/>
      </c>
      <c r="DD8" s="39">
        <f>+EOMONTH(DC8,1)</f>
        <v/>
      </c>
      <c r="DE8" s="39">
        <f>+EOMONTH(DD8,1)</f>
        <v/>
      </c>
      <c r="DF8" s="39">
        <f>+EOMONTH(DE8,1)</f>
        <v/>
      </c>
      <c r="DG8" s="39">
        <f>+EOMONTH(DF8,1)</f>
        <v/>
      </c>
      <c r="DH8" s="39">
        <f>+EOMONTH(DG8,1)</f>
        <v/>
      </c>
      <c r="DI8" s="39">
        <f>+EOMONTH(DH8,1)</f>
        <v/>
      </c>
      <c r="DJ8" s="39">
        <f>+EOMONTH(DI8,1)</f>
        <v/>
      </c>
      <c r="DK8" s="39">
        <f>+EOMONTH(DJ8,1)</f>
        <v/>
      </c>
      <c r="DL8" s="39">
        <f>+EOMONTH(DK8,1)</f>
        <v/>
      </c>
      <c r="DM8" s="39">
        <f>+EOMONTH(DL8,1)</f>
        <v/>
      </c>
      <c r="DN8" s="39">
        <f>+EOMONTH(DM8,1)</f>
        <v/>
      </c>
      <c r="DO8" s="39">
        <f>+EOMONTH(DN8,1)</f>
        <v/>
      </c>
      <c r="DP8" s="39">
        <f>+EOMONTH(DO8,1)</f>
        <v/>
      </c>
      <c r="DQ8" s="39">
        <f>+EOMONTH(DP8,1)</f>
        <v/>
      </c>
      <c r="DR8" s="39">
        <f>+EOMONTH(DQ8,1)</f>
        <v/>
      </c>
      <c r="DT8" s="151" t="inlineStr">
        <is>
          <t>Upsell / Downsell</t>
        </is>
      </c>
    </row>
    <row r="9">
      <c r="B9" s="34" t="inlineStr">
        <is>
          <t>$ in thousands</t>
        </is>
      </c>
      <c r="C9" s="34" t="n"/>
      <c r="D9" s="66" t="n"/>
      <c r="E9" s="42" t="inlineStr">
        <is>
          <t>Actual</t>
        </is>
      </c>
      <c r="F9" s="42" t="inlineStr">
        <is>
          <t>Actual</t>
        </is>
      </c>
      <c r="G9" s="42" t="inlineStr">
        <is>
          <t>Actual</t>
        </is>
      </c>
      <c r="H9" s="42" t="inlineStr">
        <is>
          <t>Actual</t>
        </is>
      </c>
      <c r="I9" s="42" t="inlineStr">
        <is>
          <t>Budget</t>
        </is>
      </c>
      <c r="J9" s="42" t="inlineStr">
        <is>
          <t>Projection</t>
        </is>
      </c>
      <c r="K9" s="42" t="inlineStr">
        <is>
          <t>Projection</t>
        </is>
      </c>
      <c r="L9" s="42" t="inlineStr">
        <is>
          <t>Projection</t>
        </is>
      </c>
      <c r="M9" s="42" t="inlineStr">
        <is>
          <t>Projection</t>
        </is>
      </c>
      <c r="O9" s="42" t="inlineStr">
        <is>
          <t>Actual</t>
        </is>
      </c>
      <c r="P9" s="42" t="inlineStr">
        <is>
          <t>Actual</t>
        </is>
      </c>
      <c r="Q9" s="42" t="inlineStr">
        <is>
          <t>Actual</t>
        </is>
      </c>
      <c r="R9" s="42" t="inlineStr">
        <is>
          <t>Actual</t>
        </is>
      </c>
      <c r="S9" s="42" t="inlineStr">
        <is>
          <t>Actual</t>
        </is>
      </c>
      <c r="T9" s="42" t="inlineStr">
        <is>
          <t>Actual</t>
        </is>
      </c>
      <c r="U9" s="42" t="inlineStr">
        <is>
          <t>Actual</t>
        </is>
      </c>
      <c r="V9" s="42" t="inlineStr">
        <is>
          <t>Actual</t>
        </is>
      </c>
      <c r="W9" s="42" t="inlineStr">
        <is>
          <t>Actual</t>
        </is>
      </c>
      <c r="X9" s="42" t="inlineStr">
        <is>
          <t>Actual</t>
        </is>
      </c>
      <c r="Y9" s="42" t="inlineStr">
        <is>
          <t>Actual</t>
        </is>
      </c>
      <c r="Z9" s="42" t="inlineStr">
        <is>
          <t>Actual</t>
        </is>
      </c>
      <c r="AA9" s="42" t="inlineStr">
        <is>
          <t>Actual</t>
        </is>
      </c>
      <c r="AB9" s="42" t="inlineStr">
        <is>
          <t>Actual</t>
        </is>
      </c>
      <c r="AC9" s="42" t="inlineStr">
        <is>
          <t>Actual</t>
        </is>
      </c>
      <c r="AD9" s="42" t="inlineStr">
        <is>
          <t>Actual</t>
        </is>
      </c>
      <c r="AE9" s="42" t="inlineStr">
        <is>
          <t>Actual</t>
        </is>
      </c>
      <c r="AF9" s="42" t="inlineStr">
        <is>
          <t>Actual</t>
        </is>
      </c>
      <c r="AG9" s="42" t="inlineStr">
        <is>
          <t>Actual</t>
        </is>
      </c>
      <c r="AH9" s="42" t="inlineStr">
        <is>
          <t>Actual</t>
        </is>
      </c>
      <c r="AI9" s="42" t="inlineStr">
        <is>
          <t>Actual</t>
        </is>
      </c>
      <c r="AJ9" s="42" t="inlineStr">
        <is>
          <t>Actual</t>
        </is>
      </c>
      <c r="AK9" s="42" t="inlineStr">
        <is>
          <t>Actual</t>
        </is>
      </c>
      <c r="AL9" s="42" t="inlineStr">
        <is>
          <t>Actual</t>
        </is>
      </c>
      <c r="AM9" s="42" t="inlineStr">
        <is>
          <t>Actual</t>
        </is>
      </c>
      <c r="AN9" s="42" t="inlineStr">
        <is>
          <t>Actual</t>
        </is>
      </c>
      <c r="AO9" s="42" t="inlineStr">
        <is>
          <t>Actual</t>
        </is>
      </c>
      <c r="AP9" s="42" t="inlineStr">
        <is>
          <t>Actual</t>
        </is>
      </c>
      <c r="AQ9" s="42" t="inlineStr">
        <is>
          <t>Actual</t>
        </is>
      </c>
      <c r="AR9" s="42" t="inlineStr">
        <is>
          <t>Actual</t>
        </is>
      </c>
      <c r="AS9" s="42" t="inlineStr">
        <is>
          <t>Actual</t>
        </is>
      </c>
      <c r="AT9" s="42" t="inlineStr">
        <is>
          <t>Actual</t>
        </is>
      </c>
      <c r="AU9" s="42" t="inlineStr">
        <is>
          <t>Actual</t>
        </is>
      </c>
      <c r="AV9" s="42" t="inlineStr">
        <is>
          <t>Actual</t>
        </is>
      </c>
      <c r="AW9" s="42" t="inlineStr">
        <is>
          <t>Actual</t>
        </is>
      </c>
      <c r="AX9" s="42" t="inlineStr">
        <is>
          <t>Actual</t>
        </is>
      </c>
      <c r="AY9" s="42" t="inlineStr">
        <is>
          <t>Actual</t>
        </is>
      </c>
      <c r="AZ9" s="42" t="inlineStr">
        <is>
          <t>Actual</t>
        </is>
      </c>
      <c r="BA9" s="42" t="inlineStr">
        <is>
          <t>Actual</t>
        </is>
      </c>
      <c r="BB9" s="42" t="inlineStr">
        <is>
          <t>Actual</t>
        </is>
      </c>
      <c r="BC9" s="42" t="inlineStr">
        <is>
          <t>Actual</t>
        </is>
      </c>
      <c r="BD9" s="42" t="inlineStr">
        <is>
          <t>Actual</t>
        </is>
      </c>
      <c r="BE9" s="42" t="inlineStr">
        <is>
          <t>Actual</t>
        </is>
      </c>
      <c r="BF9" s="42" t="inlineStr">
        <is>
          <t>Actual</t>
        </is>
      </c>
      <c r="BG9" s="42" t="inlineStr">
        <is>
          <t>Actual</t>
        </is>
      </c>
      <c r="BH9" s="42" t="inlineStr">
        <is>
          <t>Actual</t>
        </is>
      </c>
      <c r="BI9" s="42" t="inlineStr">
        <is>
          <t>Actual</t>
        </is>
      </c>
      <c r="BJ9" s="42" t="inlineStr">
        <is>
          <t>Actual</t>
        </is>
      </c>
      <c r="BK9" s="42" t="inlineStr">
        <is>
          <t>Actual</t>
        </is>
      </c>
      <c r="BL9" s="42" t="inlineStr">
        <is>
          <t>Actual</t>
        </is>
      </c>
      <c r="BM9" s="42" t="inlineStr">
        <is>
          <t>Actual</t>
        </is>
      </c>
      <c r="BN9" s="42" t="inlineStr">
        <is>
          <t>Projection</t>
        </is>
      </c>
      <c r="BO9" s="42" t="inlineStr">
        <is>
          <t>Projection</t>
        </is>
      </c>
      <c r="BP9" s="42" t="inlineStr">
        <is>
          <t>Projection</t>
        </is>
      </c>
      <c r="BQ9" s="42" t="inlineStr">
        <is>
          <t>Projection</t>
        </is>
      </c>
      <c r="BR9" s="42" t="inlineStr">
        <is>
          <t>Projection</t>
        </is>
      </c>
      <c r="BS9" s="42" t="inlineStr">
        <is>
          <t>Projection</t>
        </is>
      </c>
      <c r="BT9" s="42" t="inlineStr">
        <is>
          <t>Projection</t>
        </is>
      </c>
      <c r="BU9" s="42" t="inlineStr">
        <is>
          <t>Projection</t>
        </is>
      </c>
      <c r="BV9" s="42" t="inlineStr">
        <is>
          <t>Projection</t>
        </is>
      </c>
      <c r="BW9" s="42" t="inlineStr">
        <is>
          <t>Projection</t>
        </is>
      </c>
      <c r="BX9" s="42" t="inlineStr">
        <is>
          <t>Projection</t>
        </is>
      </c>
      <c r="BY9" s="42" t="inlineStr">
        <is>
          <t>Projection</t>
        </is>
      </c>
      <c r="BZ9" s="42" t="inlineStr">
        <is>
          <t>Projection</t>
        </is>
      </c>
      <c r="CA9" s="42" t="inlineStr">
        <is>
          <t>Projection</t>
        </is>
      </c>
      <c r="CB9" s="42" t="inlineStr">
        <is>
          <t>Projection</t>
        </is>
      </c>
      <c r="CC9" s="42" t="inlineStr">
        <is>
          <t>Projection</t>
        </is>
      </c>
      <c r="CD9" s="42" t="inlineStr">
        <is>
          <t>Projection</t>
        </is>
      </c>
      <c r="CE9" s="42" t="inlineStr">
        <is>
          <t>Projection</t>
        </is>
      </c>
      <c r="CF9" s="42" t="inlineStr">
        <is>
          <t>Projection</t>
        </is>
      </c>
      <c r="CG9" s="42" t="inlineStr">
        <is>
          <t>Projection</t>
        </is>
      </c>
      <c r="CH9" s="42" t="inlineStr">
        <is>
          <t>Projection</t>
        </is>
      </c>
      <c r="CI9" s="42" t="inlineStr">
        <is>
          <t>Projection</t>
        </is>
      </c>
      <c r="CJ9" s="42" t="inlineStr">
        <is>
          <t>Projection</t>
        </is>
      </c>
      <c r="CK9" s="42" t="inlineStr">
        <is>
          <t>Projection</t>
        </is>
      </c>
      <c r="CL9" s="42" t="inlineStr">
        <is>
          <t>Projection</t>
        </is>
      </c>
      <c r="CM9" s="42" t="inlineStr">
        <is>
          <t>Projection</t>
        </is>
      </c>
      <c r="CN9" s="42" t="inlineStr">
        <is>
          <t>Projection</t>
        </is>
      </c>
      <c r="CO9" s="42" t="inlineStr">
        <is>
          <t>Projection</t>
        </is>
      </c>
      <c r="CP9" s="42" t="inlineStr">
        <is>
          <t>Projection</t>
        </is>
      </c>
      <c r="CQ9" s="42" t="inlineStr">
        <is>
          <t>Projection</t>
        </is>
      </c>
      <c r="CR9" s="42" t="inlineStr">
        <is>
          <t>Projection</t>
        </is>
      </c>
      <c r="CS9" s="42" t="inlineStr">
        <is>
          <t>Projection</t>
        </is>
      </c>
      <c r="CT9" s="42" t="inlineStr">
        <is>
          <t>Projection</t>
        </is>
      </c>
      <c r="CU9" s="42" t="inlineStr">
        <is>
          <t>Projection</t>
        </is>
      </c>
      <c r="CV9" s="42" t="inlineStr">
        <is>
          <t>Projection</t>
        </is>
      </c>
      <c r="CW9" s="42" t="inlineStr">
        <is>
          <t>Projection</t>
        </is>
      </c>
      <c r="CX9" s="42" t="inlineStr">
        <is>
          <t>Projection</t>
        </is>
      </c>
      <c r="CY9" s="42" t="inlineStr">
        <is>
          <t>Projection</t>
        </is>
      </c>
      <c r="CZ9" s="42" t="inlineStr">
        <is>
          <t>Projection</t>
        </is>
      </c>
      <c r="DA9" s="42" t="inlineStr">
        <is>
          <t>Projection</t>
        </is>
      </c>
      <c r="DB9" s="42" t="inlineStr">
        <is>
          <t>Projection</t>
        </is>
      </c>
      <c r="DC9" s="42" t="inlineStr">
        <is>
          <t>Projection</t>
        </is>
      </c>
      <c r="DD9" s="42" t="inlineStr">
        <is>
          <t>Projection</t>
        </is>
      </c>
      <c r="DE9" s="42" t="inlineStr">
        <is>
          <t>Projection</t>
        </is>
      </c>
      <c r="DF9" s="42" t="inlineStr">
        <is>
          <t>Projection</t>
        </is>
      </c>
      <c r="DG9" s="42" t="inlineStr">
        <is>
          <t>Projection</t>
        </is>
      </c>
      <c r="DH9" s="42" t="inlineStr">
        <is>
          <t>Projection</t>
        </is>
      </c>
      <c r="DI9" s="42" t="inlineStr">
        <is>
          <t>Projection</t>
        </is>
      </c>
      <c r="DJ9" s="42" t="inlineStr">
        <is>
          <t>Projection</t>
        </is>
      </c>
      <c r="DK9" s="42" t="inlineStr">
        <is>
          <t>Projection</t>
        </is>
      </c>
      <c r="DL9" s="42" t="inlineStr">
        <is>
          <t>Projection</t>
        </is>
      </c>
      <c r="DM9" s="42" t="inlineStr">
        <is>
          <t>Projection</t>
        </is>
      </c>
      <c r="DN9" s="42" t="inlineStr">
        <is>
          <t>Projection</t>
        </is>
      </c>
      <c r="DO9" s="42" t="inlineStr">
        <is>
          <t>Projection</t>
        </is>
      </c>
      <c r="DP9" s="42" t="inlineStr">
        <is>
          <t>Projection</t>
        </is>
      </c>
      <c r="DQ9" s="42" t="inlineStr">
        <is>
          <t>Projection</t>
        </is>
      </c>
      <c r="DR9" s="42" t="inlineStr">
        <is>
          <t>Projection</t>
        </is>
      </c>
      <c r="DT9" s="36" t="n">
        <v>2019</v>
      </c>
      <c r="DU9" s="36" t="n">
        <v>2020</v>
      </c>
      <c r="DV9" s="36" t="n">
        <v>2021</v>
      </c>
      <c r="DW9" s="36" t="n">
        <v>2022</v>
      </c>
    </row>
    <row r="10" ht="4.5" customHeight="1"/>
    <row r="11">
      <c r="B11" s="67" t="inlineStr">
        <is>
          <t>Licensing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  <c r="AH11" s="67" t="n"/>
      <c r="AI11" s="67" t="n"/>
      <c r="AJ11" s="67" t="n"/>
      <c r="AK11" s="67" t="n"/>
      <c r="AL11" s="67" t="n"/>
      <c r="AM11" s="67" t="n"/>
      <c r="AN11" s="67" t="n"/>
      <c r="AO11" s="67" t="n"/>
      <c r="AP11" s="67" t="n"/>
      <c r="AQ11" s="67" t="n"/>
      <c r="AR11" s="67" t="n"/>
      <c r="AS11" s="67" t="n"/>
      <c r="AT11" s="67" t="n"/>
      <c r="AU11" s="67" t="n"/>
      <c r="AV11" s="67" t="n"/>
      <c r="AW11" s="67" t="n"/>
      <c r="AX11" s="67" t="n"/>
      <c r="AY11" s="67" t="n"/>
      <c r="AZ11" s="67" t="n"/>
      <c r="BA11" s="67" t="n"/>
      <c r="BB11" s="67" t="n"/>
      <c r="BC11" s="67" t="n"/>
      <c r="BD11" s="67" t="n"/>
      <c r="BE11" s="67" t="n"/>
      <c r="BF11" s="67" t="n"/>
      <c r="BG11" s="67" t="n"/>
      <c r="BH11" s="67" t="n"/>
      <c r="BI11" s="67" t="n"/>
      <c r="BJ11" s="67" t="n"/>
      <c r="BK11" s="67" t="n"/>
      <c r="BL11" s="67" t="n"/>
      <c r="BM11" s="67" t="n"/>
      <c r="BN11" s="67" t="n"/>
      <c r="BO11" s="67" t="n"/>
      <c r="BP11" s="67" t="n"/>
      <c r="BQ11" s="67" t="n"/>
      <c r="BR11" s="67" t="n"/>
      <c r="BS11" s="67" t="n"/>
      <c r="BT11" s="67" t="n"/>
      <c r="BU11" s="67" t="n"/>
      <c r="BV11" s="67" t="n"/>
      <c r="BW11" s="67" t="n"/>
      <c r="BX11" s="67" t="n"/>
      <c r="BY11" s="67" t="n"/>
      <c r="BZ11" s="67" t="n"/>
      <c r="CA11" s="67" t="n"/>
      <c r="CB11" s="67" t="n"/>
      <c r="CC11" s="67" t="n"/>
      <c r="CD11" s="67" t="n"/>
      <c r="CE11" s="67" t="n"/>
      <c r="CF11" s="67" t="n"/>
      <c r="CG11" s="67" t="n"/>
      <c r="CH11" s="67" t="n"/>
      <c r="CI11" s="67" t="n"/>
      <c r="CJ11" s="67" t="n"/>
      <c r="CK11" s="67" t="n"/>
      <c r="CL11" s="67" t="n"/>
      <c r="CM11" s="67" t="n"/>
      <c r="CN11" s="67" t="n"/>
      <c r="CO11" s="67" t="n"/>
      <c r="CP11" s="67" t="n"/>
      <c r="CQ11" s="67" t="n"/>
      <c r="CR11" s="67" t="n"/>
      <c r="CS11" s="67" t="n"/>
      <c r="CT11" s="67" t="n"/>
      <c r="CU11" s="67" t="n"/>
      <c r="CV11" s="67" t="n"/>
      <c r="CW11" s="67" t="n"/>
      <c r="CX11" s="67" t="n"/>
      <c r="CY11" s="67" t="n"/>
      <c r="CZ11" s="67" t="n"/>
      <c r="DA11" s="67" t="n"/>
      <c r="DB11" s="67" t="n"/>
      <c r="DC11" s="67" t="n"/>
      <c r="DD11" s="67" t="n"/>
      <c r="DE11" s="67" t="n"/>
      <c r="DF11" s="67" t="n"/>
      <c r="DG11" s="67" t="n"/>
      <c r="DH11" s="67" t="n"/>
      <c r="DI11" s="67" t="n"/>
      <c r="DJ11" s="67" t="n"/>
      <c r="DK11" s="67" t="n"/>
      <c r="DL11" s="67" t="n"/>
      <c r="DM11" s="67" t="n"/>
      <c r="DN11" s="67" t="n"/>
      <c r="DO11" s="67" t="n"/>
      <c r="DP11" s="67" t="n"/>
      <c r="DQ11" s="67" t="n"/>
      <c r="DR11" s="67" t="n"/>
      <c r="DS11" s="67" t="n"/>
      <c r="DT11" s="67" t="n"/>
      <c r="DU11" s="67" t="n"/>
      <c r="DV11" s="67" t="n"/>
      <c r="DW11" s="67" t="n"/>
      <c r="DX11" s="67" t="n"/>
    </row>
    <row r="12" ht="4.5" customHeight="1"/>
    <row r="13" hidden="1" outlineLevel="1">
      <c r="B13" s="5" t="inlineStr">
        <is>
          <t>AACN</t>
        </is>
      </c>
      <c r="C13" s="68" t="inlineStr">
        <is>
          <t>Lower Middle Market</t>
        </is>
      </c>
      <c r="E13" s="46">
        <f>+SUMIFS($O13:$DR13,$O$7:$DR$7,E$7)</f>
        <v/>
      </c>
      <c r="F13" s="46">
        <f>+SUMIFS($O13:$DR13,$O$7:$DR$7,F$7)</f>
        <v/>
      </c>
      <c r="G13" s="46">
        <f>+SUMIFS($O13:$DR13,$O$7:$DR$7,G$7)</f>
        <v/>
      </c>
      <c r="H13" s="46">
        <f>+SUMIFS($O13:$DR13,$O$7:$DR$7,H$7)</f>
        <v/>
      </c>
      <c r="I13" s="46">
        <f>+SUMIFS($O13:$DR13,$O$7:$DR$7,I$7)</f>
        <v/>
      </c>
      <c r="J13" s="46">
        <f>+SUMIFS($O13:$DR13,$O$7:$DR$7,J$7)</f>
        <v/>
      </c>
      <c r="K13" s="46">
        <f>+SUMIFS($O13:$DR13,$O$7:$DR$7,K$7)</f>
        <v/>
      </c>
      <c r="L13" s="46">
        <f>+SUMIFS($O13:$DR13,$O$7:$DR$7,L$7)</f>
        <v/>
      </c>
      <c r="M13" s="46">
        <f>+SUMIFS($O13:$DR13,$O$7:$DR$7,M$7)</f>
        <v/>
      </c>
      <c r="O13" s="47" t="n">
        <v>0</v>
      </c>
      <c r="P13" s="47" t="n">
        <v>0</v>
      </c>
      <c r="Q13" s="47" t="n">
        <v>0</v>
      </c>
      <c r="R13" s="47" t="n">
        <v>0</v>
      </c>
      <c r="S13" s="47" t="n">
        <v>0</v>
      </c>
      <c r="T13" s="47" t="n">
        <v>0</v>
      </c>
      <c r="U13" s="47" t="n">
        <v>0</v>
      </c>
      <c r="V13" s="47" t="n">
        <v>0</v>
      </c>
      <c r="W13" s="47" t="n">
        <v>0</v>
      </c>
      <c r="X13" s="47" t="n">
        <v>0</v>
      </c>
      <c r="Y13" s="47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47" t="n">
        <v>0</v>
      </c>
      <c r="AI13" s="47" t="n">
        <v>0</v>
      </c>
      <c r="AJ13" s="47" t="n">
        <v>0</v>
      </c>
      <c r="AK13" s="47" t="n">
        <v>0</v>
      </c>
      <c r="AL13" s="47" t="n">
        <v>13.416</v>
      </c>
      <c r="AM13" s="47" t="n">
        <v>9.584</v>
      </c>
      <c r="AN13" s="47" t="n">
        <v>9.583</v>
      </c>
      <c r="AO13" s="47" t="n">
        <v>9.583</v>
      </c>
      <c r="AP13" s="47" t="n">
        <v>9.583</v>
      </c>
      <c r="AQ13" s="47" t="n">
        <v>9.583</v>
      </c>
      <c r="AR13" s="47" t="n">
        <v>9.584</v>
      </c>
      <c r="AS13" s="47" t="n">
        <v>9.584</v>
      </c>
      <c r="AT13" s="47" t="n">
        <v>9.584</v>
      </c>
      <c r="AU13" s="47" t="n">
        <v>8.23</v>
      </c>
      <c r="AV13" s="47" t="n">
        <v>9.583</v>
      </c>
      <c r="AW13" s="47" t="n">
        <v>9.584</v>
      </c>
      <c r="AX13" s="47" t="n">
        <v>9.871</v>
      </c>
      <c r="AY13" s="47" t="n">
        <v>9.870833333333334</v>
      </c>
      <c r="AZ13" s="47" t="n">
        <v>9.870833333333334</v>
      </c>
      <c r="BA13" s="47" t="n">
        <v>9.870833333333334</v>
      </c>
      <c r="BB13" s="47" t="n">
        <v>9.870833333333334</v>
      </c>
      <c r="BC13" s="47" t="n">
        <v>9.870833333333334</v>
      </c>
      <c r="BD13" s="47" t="n">
        <v>9.870833333333334</v>
      </c>
      <c r="BE13" s="47" t="n">
        <v>9.870833333333334</v>
      </c>
      <c r="BF13" s="47" t="n">
        <v>9.870833333333334</v>
      </c>
      <c r="BG13" s="47" t="n">
        <v>9.870833333333334</v>
      </c>
      <c r="BH13" s="47" t="n">
        <v>9.870833333333334</v>
      </c>
      <c r="BI13" s="47" t="n">
        <v>9.870833333333334</v>
      </c>
      <c r="BJ13" s="47" t="n">
        <v>10.16695833333333</v>
      </c>
      <c r="BK13" s="47" t="n">
        <v>10.16695833333333</v>
      </c>
      <c r="BL13" s="47" t="n">
        <v>10.16695833333333</v>
      </c>
      <c r="BM13" s="47" t="n">
        <v>10.16695833333333</v>
      </c>
      <c r="BN13" s="47" t="n">
        <v>10.16695833333333</v>
      </c>
      <c r="BO13" s="47" t="n">
        <v>10.16695833333333</v>
      </c>
      <c r="BP13" s="47" t="n">
        <v>10.16695833333333</v>
      </c>
      <c r="BQ13" s="47" t="n">
        <v>10.16695833333333</v>
      </c>
      <c r="BR13" s="47" t="n">
        <v>10.16695833333333</v>
      </c>
      <c r="BS13" s="47" t="n">
        <v>10.16695833333333</v>
      </c>
      <c r="BT13" s="47" t="n">
        <v>10.16695833333333</v>
      </c>
      <c r="BU13" s="47" t="n">
        <v>10.16695833333333</v>
      </c>
      <c r="BV13" s="47" t="n">
        <v>10.47196708333333</v>
      </c>
      <c r="BW13" s="47" t="n">
        <v>10.47196708333333</v>
      </c>
      <c r="BX13" s="47" t="n">
        <v>10.47196708333333</v>
      </c>
      <c r="BY13" s="47" t="n">
        <v>10.47196708333333</v>
      </c>
      <c r="BZ13" s="47" t="n">
        <v>10.47196708333333</v>
      </c>
      <c r="CA13" s="47" t="n">
        <v>10.47196708333333</v>
      </c>
      <c r="CB13" s="47" t="n">
        <v>10.47196708333333</v>
      </c>
      <c r="CC13" s="47" t="n">
        <v>10.47196708333333</v>
      </c>
      <c r="CD13" s="47" t="n">
        <v>10.47196708333333</v>
      </c>
      <c r="CE13" s="47" t="n">
        <v>10.47196708333333</v>
      </c>
      <c r="CF13" s="47" t="n">
        <v>10.47196708333333</v>
      </c>
      <c r="CG13" s="47" t="n">
        <v>10.47196708333333</v>
      </c>
      <c r="CH13" s="47" t="n">
        <v>10.78612609583334</v>
      </c>
      <c r="CI13" s="47" t="n">
        <v>10.78612609583334</v>
      </c>
      <c r="CJ13" s="47" t="n">
        <v>10.78612609583334</v>
      </c>
      <c r="CK13" s="47" t="n">
        <v>10.78612609583334</v>
      </c>
      <c r="CL13" s="47" t="n">
        <v>10.78612609583334</v>
      </c>
      <c r="CM13" s="47" t="n">
        <v>10.78612609583334</v>
      </c>
      <c r="CN13" s="47" t="n">
        <v>10.78612609583334</v>
      </c>
      <c r="CO13" s="47" t="n">
        <v>10.78612609583334</v>
      </c>
      <c r="CP13" s="47" t="n">
        <v>10.78612609583334</v>
      </c>
      <c r="CQ13" s="47" t="n">
        <v>10.78612609583334</v>
      </c>
      <c r="CR13" s="47" t="n">
        <v>10.78612609583334</v>
      </c>
      <c r="CS13" s="47" t="n">
        <v>10.78612609583334</v>
      </c>
      <c r="CT13" s="47" t="n">
        <v>0</v>
      </c>
      <c r="CU13" s="47" t="n">
        <v>0</v>
      </c>
      <c r="CV13" s="47" t="n">
        <v>0</v>
      </c>
      <c r="CW13" s="47" t="n">
        <v>0</v>
      </c>
      <c r="CX13" s="47" t="n">
        <v>0</v>
      </c>
      <c r="CY13" s="47" t="n">
        <v>0</v>
      </c>
      <c r="CZ13" s="47" t="n">
        <v>0</v>
      </c>
      <c r="DA13" s="47" t="n">
        <v>0</v>
      </c>
      <c r="DB13" s="47" t="n">
        <v>0</v>
      </c>
      <c r="DC13" s="47" t="n">
        <v>0</v>
      </c>
      <c r="DD13" s="47" t="n">
        <v>0</v>
      </c>
      <c r="DE13" s="47" t="n">
        <v>0</v>
      </c>
      <c r="DF13" s="47" t="n">
        <v>0</v>
      </c>
      <c r="DG13" s="47" t="n">
        <v>0</v>
      </c>
      <c r="DH13" s="47" t="n">
        <v>0</v>
      </c>
      <c r="DI13" s="47" t="n">
        <v>0</v>
      </c>
      <c r="DJ13" s="47" t="n">
        <v>0</v>
      </c>
      <c r="DK13" s="47" t="n">
        <v>0</v>
      </c>
      <c r="DL13" s="47" t="n">
        <v>0</v>
      </c>
      <c r="DM13" s="47" t="n">
        <v>0</v>
      </c>
      <c r="DN13" s="47" t="n">
        <v>0</v>
      </c>
      <c r="DO13" s="47" t="n">
        <v>0</v>
      </c>
      <c r="DP13" s="47" t="n">
        <v>0</v>
      </c>
      <c r="DQ13" s="47" t="n">
        <v>0</v>
      </c>
      <c r="DR13" s="47" t="n">
        <v>0</v>
      </c>
      <c r="DT13" s="46">
        <f>+F13-E13</f>
        <v/>
      </c>
      <c r="DU13" s="46">
        <f>+G13-F13</f>
        <v/>
      </c>
      <c r="DV13" s="46">
        <f>+H13-G13</f>
        <v/>
      </c>
      <c r="DW13" s="46">
        <f>+I13-H13</f>
        <v/>
      </c>
    </row>
    <row r="14" hidden="1" outlineLevel="1">
      <c r="B14" s="5" t="inlineStr">
        <is>
          <t>AACR</t>
        </is>
      </c>
      <c r="C14" s="68" t="inlineStr">
        <is>
          <t>Lower Middle Market</t>
        </is>
      </c>
      <c r="E14" s="46">
        <f>+SUMIFS($O14:$DR14,$O$7:$DR$7,E$7)</f>
        <v/>
      </c>
      <c r="F14" s="46">
        <f>+SUMIFS($O14:$DR14,$O$7:$DR$7,F$7)</f>
        <v/>
      </c>
      <c r="G14" s="46">
        <f>+SUMIFS($O14:$DR14,$O$7:$DR$7,G$7)</f>
        <v/>
      </c>
      <c r="H14" s="46">
        <f>+SUMIFS($O14:$DR14,$O$7:$DR$7,H$7)</f>
        <v/>
      </c>
      <c r="I14" s="46">
        <f>+SUMIFS($O14:$DR14,$O$7:$DR$7,I$7)</f>
        <v/>
      </c>
      <c r="J14" s="46">
        <f>+SUMIFS($O14:$DR14,$O$7:$DR$7,J$7)</f>
        <v/>
      </c>
      <c r="K14" s="46">
        <f>+SUMIFS($O14:$DR14,$O$7:$DR$7,K$7)</f>
        <v/>
      </c>
      <c r="L14" s="46">
        <f>+SUMIFS($O14:$DR14,$O$7:$DR$7,L$7)</f>
        <v/>
      </c>
      <c r="M14" s="46">
        <f>+SUMIFS($O14:$DR14,$O$7:$DR$7,M$7)</f>
        <v/>
      </c>
      <c r="O14" s="47" t="n">
        <v>0</v>
      </c>
      <c r="P14" s="47" t="n">
        <v>0</v>
      </c>
      <c r="Q14" s="47" t="n">
        <v>0</v>
      </c>
      <c r="R14" s="47" t="n">
        <v>0</v>
      </c>
      <c r="S14" s="47" t="n">
        <v>0</v>
      </c>
      <c r="T14" s="47" t="n">
        <v>0</v>
      </c>
      <c r="U14" s="47" t="n">
        <v>0</v>
      </c>
      <c r="V14" s="47" t="n">
        <v>0</v>
      </c>
      <c r="W14" s="47" t="n">
        <v>0</v>
      </c>
      <c r="X14" s="47" t="n">
        <v>0</v>
      </c>
      <c r="Y14" s="47" t="n">
        <v>0</v>
      </c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47" t="n">
        <v>0</v>
      </c>
      <c r="AI14" s="47" t="n">
        <v>0</v>
      </c>
      <c r="AJ14" s="47" t="n">
        <v>0</v>
      </c>
      <c r="AK14" s="47" t="n">
        <v>0</v>
      </c>
      <c r="AL14" s="47" t="n">
        <v>0</v>
      </c>
      <c r="AM14" s="47" t="n">
        <v>0</v>
      </c>
      <c r="AN14" s="47" t="n">
        <v>0</v>
      </c>
      <c r="AO14" s="47" t="n">
        <v>0</v>
      </c>
      <c r="AP14" s="47" t="n">
        <v>0</v>
      </c>
      <c r="AQ14" s="47" t="n">
        <v>0</v>
      </c>
      <c r="AR14" s="47" t="n">
        <v>0</v>
      </c>
      <c r="AS14" s="47" t="n">
        <v>0</v>
      </c>
      <c r="AT14" s="47" t="n">
        <v>0</v>
      </c>
      <c r="AU14" s="47" t="n">
        <v>0</v>
      </c>
      <c r="AV14" s="47" t="n">
        <v>0</v>
      </c>
      <c r="AW14" s="47" t="n">
        <v>0</v>
      </c>
      <c r="AX14" s="47" t="n">
        <v>0</v>
      </c>
      <c r="AY14" s="47" t="n">
        <v>0</v>
      </c>
      <c r="AZ14" s="47" t="n">
        <v>0</v>
      </c>
      <c r="BA14" s="47" t="n">
        <v>0</v>
      </c>
      <c r="BB14" s="47" t="n">
        <v>0</v>
      </c>
      <c r="BC14" s="47" t="n">
        <v>0</v>
      </c>
      <c r="BD14" s="47" t="n">
        <v>0</v>
      </c>
      <c r="BE14" s="47" t="n">
        <v>0</v>
      </c>
      <c r="BF14" s="47" t="n">
        <v>0</v>
      </c>
      <c r="BG14" s="47" t="n">
        <v>0</v>
      </c>
      <c r="BH14" s="47" t="n">
        <v>2.916</v>
      </c>
      <c r="BI14" s="47" t="n">
        <v>2.916</v>
      </c>
      <c r="BJ14" s="47" t="n">
        <v>14.583</v>
      </c>
      <c r="BK14" s="47" t="n">
        <v>14.58333333333333</v>
      </c>
      <c r="BL14" s="47" t="n">
        <v>14.58333333333333</v>
      </c>
      <c r="BM14" s="47" t="n">
        <v>14.58333333333333</v>
      </c>
      <c r="BN14" s="47" t="n">
        <v>14.58333333333333</v>
      </c>
      <c r="BO14" s="47" t="n">
        <v>14.58333333333333</v>
      </c>
      <c r="BP14" s="47" t="n">
        <v>14.58333333333333</v>
      </c>
      <c r="BQ14" s="47" t="n">
        <v>14.58333333333333</v>
      </c>
      <c r="BR14" s="47" t="n">
        <v>14.58333333333333</v>
      </c>
      <c r="BS14" s="47" t="n">
        <v>14.58333333333333</v>
      </c>
      <c r="BT14" s="47" t="n">
        <v>14.58333333333333</v>
      </c>
      <c r="BU14" s="47" t="n">
        <v>14.58333333333333</v>
      </c>
      <c r="BV14" s="47" t="n">
        <v>15.3125</v>
      </c>
      <c r="BW14" s="47" t="n">
        <v>15.3125</v>
      </c>
      <c r="BX14" s="47" t="n">
        <v>15.3125</v>
      </c>
      <c r="BY14" s="47" t="n">
        <v>15.3125</v>
      </c>
      <c r="BZ14" s="47" t="n">
        <v>15.3125</v>
      </c>
      <c r="CA14" s="47" t="n">
        <v>15.3125</v>
      </c>
      <c r="CB14" s="47" t="n">
        <v>15.3125</v>
      </c>
      <c r="CC14" s="47" t="n">
        <v>15.3125</v>
      </c>
      <c r="CD14" s="47" t="n">
        <v>15.3125</v>
      </c>
      <c r="CE14" s="47" t="n">
        <v>15.3125</v>
      </c>
      <c r="CF14" s="47" t="n">
        <v>15.3125</v>
      </c>
      <c r="CG14" s="47" t="n">
        <v>15.3125</v>
      </c>
      <c r="CH14" s="47" t="n">
        <v>16.078</v>
      </c>
      <c r="CI14" s="47" t="n">
        <v>16.078</v>
      </c>
      <c r="CJ14" s="47" t="n">
        <v>16.078</v>
      </c>
      <c r="CK14" s="47" t="n">
        <v>16.078</v>
      </c>
      <c r="CL14" s="47" t="n">
        <v>16.078</v>
      </c>
      <c r="CM14" s="47" t="n">
        <v>16.078</v>
      </c>
      <c r="CN14" s="47" t="n">
        <v>16.078</v>
      </c>
      <c r="CO14" s="47" t="n">
        <v>16.078</v>
      </c>
      <c r="CP14" s="47" t="n">
        <v>16.078</v>
      </c>
      <c r="CQ14" s="47" t="n">
        <v>16.078</v>
      </c>
      <c r="CR14" s="47" t="n">
        <v>16.078</v>
      </c>
      <c r="CS14" s="47" t="n">
        <v>16.078</v>
      </c>
      <c r="CT14" s="47" t="n">
        <v>16.882</v>
      </c>
      <c r="CU14" s="47" t="n">
        <v>16.882</v>
      </c>
      <c r="CV14" s="47" t="n">
        <v>16.882</v>
      </c>
      <c r="CW14" s="47" t="n">
        <v>16.882</v>
      </c>
      <c r="CX14" s="47" t="n">
        <v>16.882</v>
      </c>
      <c r="CY14" s="47" t="n">
        <v>16.882</v>
      </c>
      <c r="CZ14" s="47" t="n">
        <v>16.882</v>
      </c>
      <c r="DA14" s="47" t="n">
        <v>16.882</v>
      </c>
      <c r="DB14" s="47" t="n">
        <v>16.882</v>
      </c>
      <c r="DC14" s="47" t="n">
        <v>16.882</v>
      </c>
      <c r="DD14" s="47" t="n">
        <v>16.882</v>
      </c>
      <c r="DE14" s="47" t="n">
        <v>16.882</v>
      </c>
      <c r="DF14" s="47" t="n">
        <v>17.7261</v>
      </c>
      <c r="DG14" s="47" t="n">
        <v>17.7261</v>
      </c>
      <c r="DH14" s="47" t="n">
        <v>17.7261</v>
      </c>
      <c r="DI14" s="47" t="n">
        <v>17.7261</v>
      </c>
      <c r="DJ14" s="47" t="n">
        <v>17.7261</v>
      </c>
      <c r="DK14" s="47" t="n">
        <v>17.7261</v>
      </c>
      <c r="DL14" s="47" t="n">
        <v>17.7261</v>
      </c>
      <c r="DM14" s="47" t="n">
        <v>17.7261</v>
      </c>
      <c r="DN14" s="47" t="n">
        <v>17.7261</v>
      </c>
      <c r="DO14" s="47" t="n">
        <v>17.7261</v>
      </c>
      <c r="DP14" s="47" t="n">
        <v>17.7261</v>
      </c>
      <c r="DQ14" s="47" t="n">
        <v>17.7261</v>
      </c>
      <c r="DR14" s="47" t="n">
        <v>0</v>
      </c>
      <c r="DT14" s="46">
        <f>+F14-E14</f>
        <v/>
      </c>
      <c r="DU14" s="46">
        <f>+G14-F14</f>
        <v/>
      </c>
      <c r="DV14" s="46">
        <f>+H14-G14</f>
        <v/>
      </c>
      <c r="DW14" s="46">
        <f>+I14-H14</f>
        <v/>
      </c>
    </row>
    <row r="15" hidden="1" outlineLevel="1">
      <c r="B15" s="5" t="inlineStr">
        <is>
          <t>AAI</t>
        </is>
      </c>
      <c r="C15" s="68" t="inlineStr">
        <is>
          <t>Lower Middle Market</t>
        </is>
      </c>
      <c r="E15" s="46">
        <f>+SUMIFS($O15:$DR15,$O$7:$DR$7,E$7)</f>
        <v/>
      </c>
      <c r="F15" s="46">
        <f>+SUMIFS($O15:$DR15,$O$7:$DR$7,F$7)</f>
        <v/>
      </c>
      <c r="G15" s="46">
        <f>+SUMIFS($O15:$DR15,$O$7:$DR$7,G$7)</f>
        <v/>
      </c>
      <c r="H15" s="46">
        <f>+SUMIFS($O15:$DR15,$O$7:$DR$7,H$7)</f>
        <v/>
      </c>
      <c r="I15" s="46">
        <f>+SUMIFS($O15:$DR15,$O$7:$DR$7,I$7)</f>
        <v/>
      </c>
      <c r="J15" s="46">
        <f>+SUMIFS($O15:$DR15,$O$7:$DR$7,J$7)</f>
        <v/>
      </c>
      <c r="K15" s="46">
        <f>+SUMIFS($O15:$DR15,$O$7:$DR$7,K$7)</f>
        <v/>
      </c>
      <c r="L15" s="46">
        <f>+SUMIFS($O15:$DR15,$O$7:$DR$7,L$7)</f>
        <v/>
      </c>
      <c r="M15" s="46">
        <f>+SUMIFS($O15:$DR15,$O$7:$DR$7,M$7)</f>
        <v/>
      </c>
      <c r="O15" s="47" t="n">
        <v>0</v>
      </c>
      <c r="P15" s="47" t="n">
        <v>0</v>
      </c>
      <c r="Q15" s="47" t="n">
        <v>0</v>
      </c>
      <c r="R15" s="47" t="n">
        <v>0</v>
      </c>
      <c r="S15" s="47" t="n">
        <v>0</v>
      </c>
      <c r="T15" s="47" t="n">
        <v>0</v>
      </c>
      <c r="U15" s="47" t="n">
        <v>0</v>
      </c>
      <c r="V15" s="47" t="n">
        <v>0</v>
      </c>
      <c r="W15" s="47" t="n">
        <v>0</v>
      </c>
      <c r="X15" s="47" t="n">
        <v>0</v>
      </c>
      <c r="Y15" s="47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47" t="n">
        <v>0</v>
      </c>
      <c r="AI15" s="47" t="n">
        <v>0</v>
      </c>
      <c r="AJ15" s="47" t="n">
        <v>0</v>
      </c>
      <c r="AK15" s="47" t="n">
        <v>0</v>
      </c>
      <c r="AL15" s="47" t="n">
        <v>0</v>
      </c>
      <c r="AM15" s="47" t="n">
        <v>0</v>
      </c>
      <c r="AN15" s="47" t="n">
        <v>0</v>
      </c>
      <c r="AO15" s="47" t="n">
        <v>0</v>
      </c>
      <c r="AP15" s="47" t="n">
        <v>0</v>
      </c>
      <c r="AQ15" s="47" t="n">
        <v>0</v>
      </c>
      <c r="AR15" s="47" t="n">
        <v>0</v>
      </c>
      <c r="AS15" s="47" t="n">
        <v>0</v>
      </c>
      <c r="AT15" s="47" t="n">
        <v>0</v>
      </c>
      <c r="AU15" s="47" t="n">
        <v>0</v>
      </c>
      <c r="AV15" s="47" t="n">
        <v>0</v>
      </c>
      <c r="AW15" s="47" t="n">
        <v>0</v>
      </c>
      <c r="AX15" s="47" t="n">
        <v>0</v>
      </c>
      <c r="AY15" s="47" t="n">
        <v>0</v>
      </c>
      <c r="AZ15" s="47" t="n">
        <v>0</v>
      </c>
      <c r="BA15" s="47" t="n">
        <v>0</v>
      </c>
      <c r="BB15" s="47" t="n">
        <v>0</v>
      </c>
      <c r="BC15" s="47" t="n">
        <v>0</v>
      </c>
      <c r="BD15" s="47" t="n">
        <v>0</v>
      </c>
      <c r="BE15" s="47" t="n">
        <v>0</v>
      </c>
      <c r="BF15" s="47" t="n">
        <v>0</v>
      </c>
      <c r="BG15" s="47" t="n">
        <v>0</v>
      </c>
      <c r="BH15" s="47" t="n">
        <v>0</v>
      </c>
      <c r="BI15" s="47" t="n">
        <v>0</v>
      </c>
      <c r="BJ15" s="47" t="n">
        <v>0</v>
      </c>
      <c r="BK15" s="47" t="n">
        <v>0</v>
      </c>
      <c r="BL15" s="47" t="n">
        <v>0</v>
      </c>
      <c r="BM15" s="47" t="n">
        <v>2</v>
      </c>
      <c r="BN15" s="47" t="n">
        <v>2</v>
      </c>
      <c r="BO15" s="47" t="n">
        <v>2</v>
      </c>
      <c r="BP15" s="47" t="n">
        <v>2</v>
      </c>
      <c r="BQ15" s="47" t="n">
        <v>2</v>
      </c>
      <c r="BR15" s="47" t="n">
        <v>2</v>
      </c>
      <c r="BS15" s="47" t="n">
        <v>2</v>
      </c>
      <c r="BT15" s="47" t="n">
        <v>2</v>
      </c>
      <c r="BU15" s="47" t="n">
        <v>12.45833333333333</v>
      </c>
      <c r="BV15" s="47" t="n">
        <v>12.45833333333333</v>
      </c>
      <c r="BW15" s="47" t="n">
        <v>12.45833333333333</v>
      </c>
      <c r="BX15" s="47" t="n">
        <v>12.45833333333333</v>
      </c>
      <c r="BY15" s="47" t="n">
        <v>12.45833333333333</v>
      </c>
      <c r="BZ15" s="47" t="n">
        <v>12.45833333333333</v>
      </c>
      <c r="CA15" s="47" t="n">
        <v>12.45833333333333</v>
      </c>
      <c r="CB15" s="47" t="n">
        <v>12.45833333333333</v>
      </c>
      <c r="CC15" s="47" t="n">
        <v>12.45833333333333</v>
      </c>
      <c r="CD15" s="47" t="n">
        <v>12.45833333333333</v>
      </c>
      <c r="CE15" s="47" t="n">
        <v>12.45833333333333</v>
      </c>
      <c r="CF15" s="47" t="n">
        <v>12.45833333333333</v>
      </c>
      <c r="CG15" s="47" t="n">
        <v>12.83208333333333</v>
      </c>
      <c r="CH15" s="47" t="n">
        <v>12.83208333333333</v>
      </c>
      <c r="CI15" s="47" t="n">
        <v>12.83208333333333</v>
      </c>
      <c r="CJ15" s="47" t="n">
        <v>12.83208333333333</v>
      </c>
      <c r="CK15" s="47" t="n">
        <v>12.83208333333333</v>
      </c>
      <c r="CL15" s="47" t="n">
        <v>12.83208333333333</v>
      </c>
      <c r="CM15" s="47" t="n">
        <v>12.83208333333333</v>
      </c>
      <c r="CN15" s="47" t="n">
        <v>12.83208333333333</v>
      </c>
      <c r="CO15" s="47" t="n">
        <v>12.83208333333333</v>
      </c>
      <c r="CP15" s="47" t="n">
        <v>12.83208333333333</v>
      </c>
      <c r="CQ15" s="47" t="n">
        <v>12.83208333333333</v>
      </c>
      <c r="CR15" s="47" t="n">
        <v>12.83208333333333</v>
      </c>
      <c r="CS15" s="47" t="n">
        <v>13.21704583333333</v>
      </c>
      <c r="CT15" s="47" t="n">
        <v>13.21704583333333</v>
      </c>
      <c r="CU15" s="47" t="n">
        <v>13.21704583333333</v>
      </c>
      <c r="CV15" s="47" t="n">
        <v>13.21704583333333</v>
      </c>
      <c r="CW15" s="47" t="n">
        <v>13.21704583333333</v>
      </c>
      <c r="CX15" s="47" t="n">
        <v>13.21704583333333</v>
      </c>
      <c r="CY15" s="47" t="n">
        <v>13.21704583333333</v>
      </c>
      <c r="CZ15" s="47" t="n">
        <v>13.21704583333333</v>
      </c>
      <c r="DA15" s="47" t="n">
        <v>13.21704583333333</v>
      </c>
      <c r="DB15" s="47" t="n">
        <v>13.21704583333333</v>
      </c>
      <c r="DC15" s="47" t="n">
        <v>13.21704583333333</v>
      </c>
      <c r="DD15" s="47" t="n">
        <v>13.21704583333333</v>
      </c>
      <c r="DE15" s="47" t="n">
        <v>13.61355720833333</v>
      </c>
      <c r="DF15" s="47" t="n">
        <v>13.61355720833333</v>
      </c>
      <c r="DG15" s="47" t="n">
        <v>13.61355720833333</v>
      </c>
      <c r="DH15" s="47" t="n">
        <v>13.61355720833333</v>
      </c>
      <c r="DI15" s="47" t="n">
        <v>13.61355720833333</v>
      </c>
      <c r="DJ15" s="47" t="n">
        <v>13.61355720833333</v>
      </c>
      <c r="DK15" s="47" t="n">
        <v>13.61355720833333</v>
      </c>
      <c r="DL15" s="47" t="n">
        <v>13.61355720833333</v>
      </c>
      <c r="DM15" s="47" t="n">
        <v>13.61355720833333</v>
      </c>
      <c r="DN15" s="47" t="n">
        <v>13.61355720833333</v>
      </c>
      <c r="DO15" s="47" t="n">
        <v>13.61355720833333</v>
      </c>
      <c r="DP15" s="47" t="n">
        <v>13.61355720833333</v>
      </c>
      <c r="DQ15" s="47" t="n">
        <v>14.02196392458333</v>
      </c>
      <c r="DR15" s="47" t="n">
        <v>14.02196392458333</v>
      </c>
      <c r="DT15" s="46">
        <f>+F15-E15</f>
        <v/>
      </c>
      <c r="DU15" s="46">
        <f>+G15-F15</f>
        <v/>
      </c>
      <c r="DV15" s="46">
        <f>+H15-G15</f>
        <v/>
      </c>
      <c r="DW15" s="46">
        <f>+I15-H15</f>
        <v/>
      </c>
    </row>
    <row r="16" hidden="1" outlineLevel="1">
      <c r="B16" s="5" t="inlineStr">
        <is>
          <t>AAOS</t>
        </is>
      </c>
      <c r="C16" s="68" t="inlineStr">
        <is>
          <t>Upper Middle Market</t>
        </is>
      </c>
      <c r="E16" s="46">
        <f>+SUMIFS($O16:$DR16,$O$7:$DR$7,E$7)</f>
        <v/>
      </c>
      <c r="F16" s="46">
        <f>+SUMIFS($O16:$DR16,$O$7:$DR$7,F$7)</f>
        <v/>
      </c>
      <c r="G16" s="46">
        <f>+SUMIFS($O16:$DR16,$O$7:$DR$7,G$7)</f>
        <v/>
      </c>
      <c r="H16" s="46">
        <f>+SUMIFS($O16:$DR16,$O$7:$DR$7,H$7)</f>
        <v/>
      </c>
      <c r="I16" s="46">
        <f>+SUMIFS($O16:$DR16,$O$7:$DR$7,I$7)</f>
        <v/>
      </c>
      <c r="J16" s="46">
        <f>+SUMIFS($O16:$DR16,$O$7:$DR$7,J$7)</f>
        <v/>
      </c>
      <c r="K16" s="46">
        <f>+SUMIFS($O16:$DR16,$O$7:$DR$7,K$7)</f>
        <v/>
      </c>
      <c r="L16" s="46">
        <f>+SUMIFS($O16:$DR16,$O$7:$DR$7,L$7)</f>
        <v/>
      </c>
      <c r="M16" s="46">
        <f>+SUMIFS($O16:$DR16,$O$7:$DR$7,M$7)</f>
        <v/>
      </c>
      <c r="O16" s="47" t="n">
        <v>0</v>
      </c>
      <c r="P16" s="47" t="n">
        <v>0</v>
      </c>
      <c r="Q16" s="47" t="n">
        <v>0</v>
      </c>
      <c r="R16" s="47" t="n">
        <v>0</v>
      </c>
      <c r="S16" s="47" t="n">
        <v>0</v>
      </c>
      <c r="T16" s="47" t="n">
        <v>0</v>
      </c>
      <c r="U16" s="47" t="n">
        <v>0</v>
      </c>
      <c r="V16" s="47" t="n">
        <v>0</v>
      </c>
      <c r="W16" s="47" t="n">
        <v>0</v>
      </c>
      <c r="X16" s="47" t="n">
        <v>0</v>
      </c>
      <c r="Y16" s="47" t="n">
        <v>0</v>
      </c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47" t="n">
        <v>0</v>
      </c>
      <c r="AI16" s="47" t="n">
        <v>0</v>
      </c>
      <c r="AJ16" s="47" t="n">
        <v>0</v>
      </c>
      <c r="AK16" s="47" t="n">
        <v>0</v>
      </c>
      <c r="AL16" s="47" t="n">
        <v>0</v>
      </c>
      <c r="AM16" s="47" t="n">
        <v>0</v>
      </c>
      <c r="AN16" s="47" t="n">
        <v>0</v>
      </c>
      <c r="AO16" s="47" t="n">
        <v>0</v>
      </c>
      <c r="AP16" s="47" t="n">
        <v>0</v>
      </c>
      <c r="AQ16" s="47" t="n">
        <v>0</v>
      </c>
      <c r="AR16" s="47" t="n">
        <v>2.5</v>
      </c>
      <c r="AS16" s="47" t="n">
        <v>2.5</v>
      </c>
      <c r="AT16" s="47" t="n">
        <v>2.5</v>
      </c>
      <c r="AU16" s="47" t="n">
        <v>2.5</v>
      </c>
      <c r="AV16" s="47" t="n">
        <v>2.5</v>
      </c>
      <c r="AW16" s="47" t="n">
        <v>2.5</v>
      </c>
      <c r="AX16" s="47" t="n">
        <v>2.5</v>
      </c>
      <c r="AY16" s="47" t="n">
        <v>2.5</v>
      </c>
      <c r="AZ16" s="47" t="n">
        <v>2.5</v>
      </c>
      <c r="BA16" s="47" t="n">
        <v>5.9</v>
      </c>
      <c r="BB16" s="47" t="n">
        <v>10.542</v>
      </c>
      <c r="BC16" s="47" t="n">
        <v>10.542</v>
      </c>
      <c r="BD16" s="47" t="n">
        <v>10.542</v>
      </c>
      <c r="BE16" s="47" t="n">
        <v>10.542</v>
      </c>
      <c r="BF16" s="47" t="n">
        <v>10.542</v>
      </c>
      <c r="BG16" s="47" t="n">
        <v>10.542</v>
      </c>
      <c r="BH16" s="47" t="n">
        <v>10.542</v>
      </c>
      <c r="BI16" s="47" t="n">
        <v>10.542</v>
      </c>
      <c r="BJ16" s="47" t="n">
        <v>11.0691</v>
      </c>
      <c r="BK16" s="47" t="n">
        <v>11.0691</v>
      </c>
      <c r="BL16" s="47" t="n">
        <v>11.0691</v>
      </c>
      <c r="BM16" s="47" t="n">
        <v>11.0691</v>
      </c>
      <c r="BN16" s="47" t="n">
        <v>11.0691</v>
      </c>
      <c r="BO16" s="47" t="n">
        <v>11.0691</v>
      </c>
      <c r="BP16" s="47" t="n">
        <v>11.0691</v>
      </c>
      <c r="BQ16" s="47" t="n">
        <v>11.0691</v>
      </c>
      <c r="BR16" s="47" t="n">
        <v>11.0691</v>
      </c>
      <c r="BS16" s="47" t="n">
        <v>11.0691</v>
      </c>
      <c r="BT16" s="47" t="n">
        <v>11.0691</v>
      </c>
      <c r="BU16" s="47" t="n">
        <v>11.0691</v>
      </c>
      <c r="BV16" s="47" t="n">
        <v>11.622555</v>
      </c>
      <c r="BW16" s="47" t="n">
        <v>11.622555</v>
      </c>
      <c r="BX16" s="47" t="n">
        <v>11.622555</v>
      </c>
      <c r="BY16" s="47" t="n">
        <v>11.622555</v>
      </c>
      <c r="BZ16" s="47" t="n">
        <v>11.622555</v>
      </c>
      <c r="CA16" s="47" t="n">
        <v>11.622555</v>
      </c>
      <c r="CB16" s="47" t="n">
        <v>11.622555</v>
      </c>
      <c r="CC16" s="47" t="n">
        <v>11.622555</v>
      </c>
      <c r="CD16" s="47" t="n">
        <v>11.622555</v>
      </c>
      <c r="CE16" s="47" t="n">
        <v>11.622555</v>
      </c>
      <c r="CF16" s="47" t="n">
        <v>11.622555</v>
      </c>
      <c r="CG16" s="47" t="n">
        <v>11.622555</v>
      </c>
      <c r="CH16" s="47" t="n">
        <v>12.20368275</v>
      </c>
      <c r="CI16" s="47" t="n">
        <v>12.20368275</v>
      </c>
      <c r="CJ16" s="47" t="n">
        <v>12.20368275</v>
      </c>
      <c r="CK16" s="47" t="n">
        <v>12.20368275</v>
      </c>
      <c r="CL16" s="47" t="n">
        <v>12.20368275</v>
      </c>
      <c r="CM16" s="47" t="n">
        <v>12.20368275</v>
      </c>
      <c r="CN16" s="47" t="n">
        <v>12.20368275</v>
      </c>
      <c r="CO16" s="47" t="n">
        <v>12.20368275</v>
      </c>
      <c r="CP16" s="47" t="n">
        <v>12.20368275</v>
      </c>
      <c r="CQ16" s="47" t="n">
        <v>12.20368275</v>
      </c>
      <c r="CR16" s="47" t="n">
        <v>12.20368275</v>
      </c>
      <c r="CS16" s="47" t="n">
        <v>12.20368275</v>
      </c>
      <c r="CT16" s="47" t="n">
        <v>12.8138668875</v>
      </c>
      <c r="CU16" s="47" t="n">
        <v>12.8138668875</v>
      </c>
      <c r="CV16" s="47" t="n">
        <v>12.8138668875</v>
      </c>
      <c r="CW16" s="47" t="n">
        <v>12.8138668875</v>
      </c>
      <c r="CX16" s="47" t="n">
        <v>12.8138668875</v>
      </c>
      <c r="CY16" s="47" t="n">
        <v>12.8138668875</v>
      </c>
      <c r="CZ16" s="47" t="n">
        <v>12.8138668875</v>
      </c>
      <c r="DA16" s="47" t="n">
        <v>12.8138668875</v>
      </c>
      <c r="DB16" s="47" t="n">
        <v>12.8138668875</v>
      </c>
      <c r="DC16" s="47" t="n">
        <v>12.8138668875</v>
      </c>
      <c r="DD16" s="47" t="n">
        <v>12.8138668875</v>
      </c>
      <c r="DE16" s="47" t="n">
        <v>12.8138668875</v>
      </c>
      <c r="DF16" s="47" t="n">
        <v>0</v>
      </c>
      <c r="DG16" s="47" t="n">
        <v>0</v>
      </c>
      <c r="DH16" s="47" t="n">
        <v>0</v>
      </c>
      <c r="DI16" s="47" t="n">
        <v>0</v>
      </c>
      <c r="DJ16" s="47" t="n">
        <v>0</v>
      </c>
      <c r="DK16" s="47" t="n">
        <v>0</v>
      </c>
      <c r="DL16" s="47" t="n">
        <v>0</v>
      </c>
      <c r="DM16" s="47" t="n">
        <v>0</v>
      </c>
      <c r="DN16" s="47" t="n">
        <v>0</v>
      </c>
      <c r="DO16" s="47" t="n">
        <v>0</v>
      </c>
      <c r="DP16" s="47" t="n">
        <v>0</v>
      </c>
      <c r="DQ16" s="47" t="n">
        <v>0</v>
      </c>
      <c r="DR16" s="47" t="n">
        <v>0</v>
      </c>
      <c r="DT16" s="46">
        <f>+F16-E16</f>
        <v/>
      </c>
      <c r="DU16" s="46">
        <f>+G16-F16</f>
        <v/>
      </c>
      <c r="DV16" s="46">
        <f>+H16-G16</f>
        <v/>
      </c>
      <c r="DW16" s="46">
        <f>+I16-H16</f>
        <v/>
      </c>
    </row>
    <row r="17" hidden="1" outlineLevel="1">
      <c r="B17" s="5" t="inlineStr">
        <is>
          <t>AAP</t>
        </is>
      </c>
      <c r="C17" s="68" t="inlineStr">
        <is>
          <t>Major</t>
        </is>
      </c>
      <c r="E17" s="46">
        <f>+SUMIFS($O17:$DR17,$O$7:$DR$7,E$7)</f>
        <v/>
      </c>
      <c r="F17" s="46">
        <f>+SUMIFS($O17:$DR17,$O$7:$DR$7,F$7)</f>
        <v/>
      </c>
      <c r="G17" s="46">
        <f>+SUMIFS($O17:$DR17,$O$7:$DR$7,G$7)</f>
        <v/>
      </c>
      <c r="H17" s="46">
        <f>+SUMIFS($O17:$DR17,$O$7:$DR$7,H$7)</f>
        <v/>
      </c>
      <c r="I17" s="46">
        <f>+SUMIFS($O17:$DR17,$O$7:$DR$7,I$7)</f>
        <v/>
      </c>
      <c r="J17" s="46">
        <f>+SUMIFS($O17:$DR17,$O$7:$DR$7,J$7)</f>
        <v/>
      </c>
      <c r="K17" s="46">
        <f>+SUMIFS($O17:$DR17,$O$7:$DR$7,K$7)</f>
        <v/>
      </c>
      <c r="L17" s="46">
        <f>+SUMIFS($O17:$DR17,$O$7:$DR$7,L$7)</f>
        <v/>
      </c>
      <c r="M17" s="46">
        <f>+SUMIFS($O17:$DR17,$O$7:$DR$7,M$7)</f>
        <v/>
      </c>
      <c r="O17" s="47" t="n">
        <v>18.212</v>
      </c>
      <c r="P17" s="47" t="n">
        <v>18.212</v>
      </c>
      <c r="Q17" s="47" t="n">
        <v>18.212</v>
      </c>
      <c r="R17" s="47" t="n">
        <v>18.212</v>
      </c>
      <c r="S17" s="47" t="n">
        <v>18.212</v>
      </c>
      <c r="T17" s="47" t="n">
        <v>18.212</v>
      </c>
      <c r="U17" s="47" t="n">
        <v>18.212</v>
      </c>
      <c r="V17" s="47" t="n">
        <v>18.212</v>
      </c>
      <c r="W17" s="47" t="n">
        <v>18.212</v>
      </c>
      <c r="X17" s="47" t="n">
        <v>18.917</v>
      </c>
      <c r="Y17" s="47" t="n">
        <v>21.337</v>
      </c>
      <c r="Z17" s="47" t="n">
        <v>21.337</v>
      </c>
      <c r="AA17" s="47" t="n">
        <v>21.883</v>
      </c>
      <c r="AB17" s="47" t="n">
        <v>21.883</v>
      </c>
      <c r="AC17" s="47" t="n">
        <v>21.883</v>
      </c>
      <c r="AD17" s="47" t="n">
        <v>21.883</v>
      </c>
      <c r="AE17" s="47" t="n">
        <v>21.883</v>
      </c>
      <c r="AF17" s="47" t="n">
        <v>21.883</v>
      </c>
      <c r="AG17" s="47" t="n">
        <v>21.883</v>
      </c>
      <c r="AH17" s="47" t="n">
        <v>21.883</v>
      </c>
      <c r="AI17" s="47" t="n">
        <v>21.883</v>
      </c>
      <c r="AJ17" s="47" t="n">
        <v>21.883</v>
      </c>
      <c r="AK17" s="47" t="n">
        <v>23.072</v>
      </c>
      <c r="AL17" s="47" t="n">
        <v>22.508</v>
      </c>
      <c r="AM17" s="47" t="n">
        <v>23.071</v>
      </c>
      <c r="AN17" s="47" t="n">
        <v>23.071</v>
      </c>
      <c r="AO17" s="47" t="n">
        <v>23.071</v>
      </c>
      <c r="AP17" s="47" t="n">
        <v>23.071</v>
      </c>
      <c r="AQ17" s="47" t="n">
        <v>23.071</v>
      </c>
      <c r="AR17" s="47" t="n">
        <v>23.071</v>
      </c>
      <c r="AS17" s="47" t="n">
        <v>23.071</v>
      </c>
      <c r="AT17" s="47" t="n">
        <v>22.629</v>
      </c>
      <c r="AU17" s="47" t="n">
        <v>23.071</v>
      </c>
      <c r="AV17" s="47" t="n">
        <v>23.071</v>
      </c>
      <c r="AW17" s="47" t="n">
        <v>23.071</v>
      </c>
      <c r="AX17" s="47" t="n">
        <v>23.071</v>
      </c>
      <c r="AY17" s="47" t="n">
        <v>23.763</v>
      </c>
      <c r="AZ17" s="47" t="n">
        <v>23.763</v>
      </c>
      <c r="BA17" s="47" t="n">
        <v>23.763</v>
      </c>
      <c r="BB17" s="47" t="n">
        <v>23.763</v>
      </c>
      <c r="BC17" s="47" t="n">
        <v>23.763</v>
      </c>
      <c r="BD17" s="47" t="n">
        <v>23.763</v>
      </c>
      <c r="BE17" s="47" t="n">
        <v>23.763</v>
      </c>
      <c r="BF17" s="47" t="n">
        <v>23.763</v>
      </c>
      <c r="BG17" s="47" t="n">
        <v>23.763</v>
      </c>
      <c r="BH17" s="47" t="n">
        <v>23.763</v>
      </c>
      <c r="BI17" s="47" t="n">
        <v>23.763</v>
      </c>
      <c r="BJ17" s="47" t="n">
        <v>23.763</v>
      </c>
      <c r="BK17" s="47" t="n">
        <v>33.25</v>
      </c>
      <c r="BL17" s="47" t="n">
        <v>33.25</v>
      </c>
      <c r="BM17" s="47" t="n">
        <v>33.25</v>
      </c>
      <c r="BN17" s="47" t="n">
        <v>33.25</v>
      </c>
      <c r="BO17" s="47" t="n">
        <v>33.25</v>
      </c>
      <c r="BP17" s="47" t="n">
        <v>33.25</v>
      </c>
      <c r="BQ17" s="47" t="n">
        <v>33.25</v>
      </c>
      <c r="BR17" s="47" t="n">
        <v>33.25</v>
      </c>
      <c r="BS17" s="47" t="n">
        <v>33.25</v>
      </c>
      <c r="BT17" s="47" t="n">
        <v>33.25</v>
      </c>
      <c r="BU17" s="47" t="n">
        <v>33.25</v>
      </c>
      <c r="BV17" s="47" t="n">
        <v>33.25</v>
      </c>
      <c r="BW17" s="47" t="n">
        <v>34.2475</v>
      </c>
      <c r="BX17" s="47" t="n">
        <v>34.2475</v>
      </c>
      <c r="BY17" s="47" t="n">
        <v>34.2475</v>
      </c>
      <c r="BZ17" s="47" t="n">
        <v>34.2475</v>
      </c>
      <c r="CA17" s="47" t="n">
        <v>34.2475</v>
      </c>
      <c r="CB17" s="47" t="n">
        <v>34.2475</v>
      </c>
      <c r="CC17" s="47" t="n">
        <v>34.2475</v>
      </c>
      <c r="CD17" s="47" t="n">
        <v>34.2475</v>
      </c>
      <c r="CE17" s="47" t="n">
        <v>34.2475</v>
      </c>
      <c r="CF17" s="47" t="n">
        <v>34.2475</v>
      </c>
      <c r="CG17" s="47" t="n">
        <v>34.2475</v>
      </c>
      <c r="CH17" s="47" t="n">
        <v>34.2475</v>
      </c>
      <c r="CI17" s="47" t="n">
        <v>35.274925</v>
      </c>
      <c r="CJ17" s="47" t="n">
        <v>35.274925</v>
      </c>
      <c r="CK17" s="47" t="n">
        <v>35.274925</v>
      </c>
      <c r="CL17" s="47" t="n">
        <v>35.274925</v>
      </c>
      <c r="CM17" s="47" t="n">
        <v>35.274925</v>
      </c>
      <c r="CN17" s="47" t="n">
        <v>35.274925</v>
      </c>
      <c r="CO17" s="47" t="n">
        <v>35.274925</v>
      </c>
      <c r="CP17" s="47" t="n">
        <v>35.274925</v>
      </c>
      <c r="CQ17" s="47" t="n">
        <v>35.274925</v>
      </c>
      <c r="CR17" s="47" t="n">
        <v>35.274925</v>
      </c>
      <c r="CS17" s="47" t="n">
        <v>35.274925</v>
      </c>
      <c r="CT17" s="47" t="n">
        <v>35.274925</v>
      </c>
      <c r="CU17" s="47" t="n">
        <v>36.33317275</v>
      </c>
      <c r="CV17" s="47" t="n">
        <v>36.33317275</v>
      </c>
      <c r="CW17" s="47" t="n">
        <v>36.33317275</v>
      </c>
      <c r="CX17" s="47" t="n">
        <v>36.33317275</v>
      </c>
      <c r="CY17" s="47" t="n">
        <v>36.33317275</v>
      </c>
      <c r="CZ17" s="47" t="n">
        <v>36.33317275</v>
      </c>
      <c r="DA17" s="47" t="n">
        <v>36.33317275</v>
      </c>
      <c r="DB17" s="47" t="n">
        <v>36.33317275</v>
      </c>
      <c r="DC17" s="47" t="n">
        <v>36.33317275</v>
      </c>
      <c r="DD17" s="47" t="n">
        <v>36.33317275</v>
      </c>
      <c r="DE17" s="47" t="n">
        <v>36.33317275</v>
      </c>
      <c r="DF17" s="47" t="n">
        <v>36.33317275</v>
      </c>
      <c r="DG17" s="47" t="n">
        <v>37.42316793250001</v>
      </c>
      <c r="DH17" s="47" t="n">
        <v>37.42316793250001</v>
      </c>
      <c r="DI17" s="47" t="n">
        <v>37.42316793250001</v>
      </c>
      <c r="DJ17" s="47" t="n">
        <v>37.42316793250001</v>
      </c>
      <c r="DK17" s="47" t="n">
        <v>37.42316793250001</v>
      </c>
      <c r="DL17" s="47" t="n">
        <v>37.42316793250001</v>
      </c>
      <c r="DM17" s="47" t="n">
        <v>37.42316793250001</v>
      </c>
      <c r="DN17" s="47" t="n">
        <v>37.42316793250001</v>
      </c>
      <c r="DO17" s="47" t="n">
        <v>37.42316793250001</v>
      </c>
      <c r="DP17" s="47" t="n">
        <v>37.42316793250001</v>
      </c>
      <c r="DQ17" s="47" t="n">
        <v>37.42316793250001</v>
      </c>
      <c r="DR17" s="47" t="n">
        <v>37.42316793250001</v>
      </c>
      <c r="DT17" s="46">
        <f>+F17-E17</f>
        <v/>
      </c>
      <c r="DU17" s="46">
        <f>+G17-F17</f>
        <v/>
      </c>
      <c r="DV17" s="46">
        <f>+H17-G17</f>
        <v/>
      </c>
      <c r="DW17" s="46">
        <f>+I17-H17</f>
        <v/>
      </c>
    </row>
    <row r="18" hidden="1" outlineLevel="1">
      <c r="B18" s="5" t="inlineStr">
        <is>
          <t>ADA</t>
        </is>
      </c>
      <c r="C18" s="68" t="inlineStr">
        <is>
          <t>Lower Middle Market</t>
        </is>
      </c>
      <c r="E18" s="46">
        <f>+SUMIFS($O18:$DR18,$O$7:$DR$7,E$7)</f>
        <v/>
      </c>
      <c r="F18" s="46">
        <f>+SUMIFS($O18:$DR18,$O$7:$DR$7,F$7)</f>
        <v/>
      </c>
      <c r="G18" s="46">
        <f>+SUMIFS($O18:$DR18,$O$7:$DR$7,G$7)</f>
        <v/>
      </c>
      <c r="H18" s="46">
        <f>+SUMIFS($O18:$DR18,$O$7:$DR$7,H$7)</f>
        <v/>
      </c>
      <c r="I18" s="46">
        <f>+SUMIFS($O18:$DR18,$O$7:$DR$7,I$7)</f>
        <v/>
      </c>
      <c r="J18" s="46">
        <f>+SUMIFS($O18:$DR18,$O$7:$DR$7,J$7)</f>
        <v/>
      </c>
      <c r="K18" s="46">
        <f>+SUMIFS($O18:$DR18,$O$7:$DR$7,K$7)</f>
        <v/>
      </c>
      <c r="L18" s="46">
        <f>+SUMIFS($O18:$DR18,$O$7:$DR$7,L$7)</f>
        <v/>
      </c>
      <c r="M18" s="46">
        <f>+SUMIFS($O18:$DR18,$O$7:$DR$7,M$7)</f>
        <v/>
      </c>
      <c r="O18" s="47" t="n">
        <v>0</v>
      </c>
      <c r="P18" s="47" t="n">
        <v>0</v>
      </c>
      <c r="Q18" s="47" t="n">
        <v>0</v>
      </c>
      <c r="R18" s="47" t="n">
        <v>0</v>
      </c>
      <c r="S18" s="47" t="n">
        <v>0</v>
      </c>
      <c r="T18" s="47" t="n">
        <v>0</v>
      </c>
      <c r="U18" s="47" t="n">
        <v>0</v>
      </c>
      <c r="V18" s="47" t="n">
        <v>0</v>
      </c>
      <c r="W18" s="47" t="n">
        <v>0</v>
      </c>
      <c r="X18" s="47" t="n">
        <v>0</v>
      </c>
      <c r="Y18" s="47" t="n">
        <v>0</v>
      </c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47" t="n">
        <v>0</v>
      </c>
      <c r="AI18" s="47" t="n">
        <v>0</v>
      </c>
      <c r="AJ18" s="47" t="n">
        <v>0</v>
      </c>
      <c r="AK18" s="47" t="n">
        <v>0</v>
      </c>
      <c r="AL18" s="47" t="n">
        <v>0</v>
      </c>
      <c r="AM18" s="47" t="n">
        <v>0</v>
      </c>
      <c r="AN18" s="47" t="n">
        <v>0</v>
      </c>
      <c r="AO18" s="47" t="n">
        <v>0</v>
      </c>
      <c r="AP18" s="47" t="n">
        <v>0</v>
      </c>
      <c r="AQ18" s="47" t="n">
        <v>0</v>
      </c>
      <c r="AR18" s="47" t="n">
        <v>0</v>
      </c>
      <c r="AS18" s="47" t="n">
        <v>0</v>
      </c>
      <c r="AT18" s="47" t="n">
        <v>0</v>
      </c>
      <c r="AU18" s="47" t="n">
        <v>0</v>
      </c>
      <c r="AV18" s="47" t="n">
        <v>0</v>
      </c>
      <c r="AW18" s="47" t="n">
        <v>0</v>
      </c>
      <c r="AX18" s="47" t="n">
        <v>0</v>
      </c>
      <c r="AY18" s="47" t="n">
        <v>0</v>
      </c>
      <c r="AZ18" s="47" t="n">
        <v>0</v>
      </c>
      <c r="BA18" s="47" t="n">
        <v>0</v>
      </c>
      <c r="BB18" s="47" t="n">
        <v>0</v>
      </c>
      <c r="BC18" s="47" t="n">
        <v>4.805</v>
      </c>
      <c r="BD18" s="47" t="n">
        <v>4.805</v>
      </c>
      <c r="BE18" s="47" t="n">
        <v>4.805</v>
      </c>
      <c r="BF18" s="47" t="n">
        <v>4.805</v>
      </c>
      <c r="BG18" s="47" t="n">
        <v>4.805</v>
      </c>
      <c r="BH18" s="47" t="n">
        <v>4.805</v>
      </c>
      <c r="BI18" s="47" t="n">
        <v>4.805</v>
      </c>
      <c r="BJ18" s="47" t="n">
        <v>4.805</v>
      </c>
      <c r="BK18" s="47" t="n">
        <v>14.875</v>
      </c>
      <c r="BL18" s="47" t="n">
        <v>14.875</v>
      </c>
      <c r="BM18" s="47" t="n">
        <v>14.875</v>
      </c>
      <c r="BN18" s="47" t="n">
        <v>14.875</v>
      </c>
      <c r="BO18" s="47" t="n">
        <v>14.875</v>
      </c>
      <c r="BP18" s="47" t="n">
        <v>14.875</v>
      </c>
      <c r="BQ18" s="47" t="n">
        <v>14.875</v>
      </c>
      <c r="BR18" s="47" t="n">
        <v>14.875</v>
      </c>
      <c r="BS18" s="47" t="n">
        <v>14.875</v>
      </c>
      <c r="BT18" s="47" t="n">
        <v>14.875</v>
      </c>
      <c r="BU18" s="47" t="n">
        <v>14.875</v>
      </c>
      <c r="BV18" s="47" t="n">
        <v>14.875</v>
      </c>
      <c r="BW18" s="47" t="n">
        <v>15.32125</v>
      </c>
      <c r="BX18" s="47" t="n">
        <v>15.32125</v>
      </c>
      <c r="BY18" s="47" t="n">
        <v>15.32125</v>
      </c>
      <c r="BZ18" s="47" t="n">
        <v>15.32125</v>
      </c>
      <c r="CA18" s="47" t="n">
        <v>15.32125</v>
      </c>
      <c r="CB18" s="47" t="n">
        <v>15.32125</v>
      </c>
      <c r="CC18" s="47" t="n">
        <v>15.32125</v>
      </c>
      <c r="CD18" s="47" t="n">
        <v>15.32125</v>
      </c>
      <c r="CE18" s="47" t="n">
        <v>15.32125</v>
      </c>
      <c r="CF18" s="47" t="n">
        <v>15.32125</v>
      </c>
      <c r="CG18" s="47" t="n">
        <v>15.32125</v>
      </c>
      <c r="CH18" s="47" t="n">
        <v>15.32125</v>
      </c>
      <c r="CI18" s="47" t="n">
        <v>15.7808875</v>
      </c>
      <c r="CJ18" s="47" t="n">
        <v>15.7808875</v>
      </c>
      <c r="CK18" s="47" t="n">
        <v>15.7808875</v>
      </c>
      <c r="CL18" s="47" t="n">
        <v>15.7808875</v>
      </c>
      <c r="CM18" s="47" t="n">
        <v>15.7808875</v>
      </c>
      <c r="CN18" s="47" t="n">
        <v>15.7808875</v>
      </c>
      <c r="CO18" s="47" t="n">
        <v>15.7808875</v>
      </c>
      <c r="CP18" s="47" t="n">
        <v>15.7808875</v>
      </c>
      <c r="CQ18" s="47" t="n">
        <v>15.7808875</v>
      </c>
      <c r="CR18" s="47" t="n">
        <v>15.7808875</v>
      </c>
      <c r="CS18" s="47" t="n">
        <v>15.7808875</v>
      </c>
      <c r="CT18" s="47" t="n">
        <v>15.7808875</v>
      </c>
      <c r="CU18" s="47" t="n">
        <v>16.254314125</v>
      </c>
      <c r="CV18" s="47" t="n">
        <v>16.254314125</v>
      </c>
      <c r="CW18" s="47" t="n">
        <v>16.254314125</v>
      </c>
      <c r="CX18" s="47" t="n">
        <v>16.254314125</v>
      </c>
      <c r="CY18" s="47" t="n">
        <v>16.254314125</v>
      </c>
      <c r="CZ18" s="47" t="n">
        <v>16.254314125</v>
      </c>
      <c r="DA18" s="47" t="n">
        <v>16.254314125</v>
      </c>
      <c r="DB18" s="47" t="n">
        <v>16.254314125</v>
      </c>
      <c r="DC18" s="47" t="n">
        <v>16.254314125</v>
      </c>
      <c r="DD18" s="47" t="n">
        <v>16.254314125</v>
      </c>
      <c r="DE18" s="47" t="n">
        <v>16.254314125</v>
      </c>
      <c r="DF18" s="47" t="n">
        <v>16.254314125</v>
      </c>
      <c r="DG18" s="47" t="n">
        <v>16.74194354875</v>
      </c>
      <c r="DH18" s="47" t="n">
        <v>16.74194354875</v>
      </c>
      <c r="DI18" s="47" t="n">
        <v>16.74194354875</v>
      </c>
      <c r="DJ18" s="47" t="n">
        <v>16.74194354875</v>
      </c>
      <c r="DK18" s="47" t="n">
        <v>16.74194354875</v>
      </c>
      <c r="DL18" s="47" t="n">
        <v>16.74194354875</v>
      </c>
      <c r="DM18" s="47" t="n">
        <v>16.74194354875</v>
      </c>
      <c r="DN18" s="47" t="n">
        <v>16.74194354875</v>
      </c>
      <c r="DO18" s="47" t="n">
        <v>16.74194354875</v>
      </c>
      <c r="DP18" s="47" t="n">
        <v>16.74194354875</v>
      </c>
      <c r="DQ18" s="47" t="n">
        <v>16.74194354875</v>
      </c>
      <c r="DR18" s="47" t="n">
        <v>16.74194354875</v>
      </c>
      <c r="DT18" s="46">
        <f>+F18-E18</f>
        <v/>
      </c>
      <c r="DU18" s="46">
        <f>+G18-F18</f>
        <v/>
      </c>
      <c r="DV18" s="46">
        <f>+H18-G18</f>
        <v/>
      </c>
      <c r="DW18" s="46">
        <f>+I18-H18</f>
        <v/>
      </c>
    </row>
    <row r="19" hidden="1" outlineLevel="1">
      <c r="B19" s="5" t="inlineStr">
        <is>
          <t>AHRQ</t>
        </is>
      </c>
      <c r="C19" s="68" t="inlineStr">
        <is>
          <t>Lower Middle Market</t>
        </is>
      </c>
      <c r="E19" s="46">
        <f>+SUMIFS($O19:$DR19,$O$7:$DR$7,E$7)</f>
        <v/>
      </c>
      <c r="F19" s="46">
        <f>+SUMIFS($O19:$DR19,$O$7:$DR$7,F$7)</f>
        <v/>
      </c>
      <c r="G19" s="46">
        <f>+SUMIFS($O19:$DR19,$O$7:$DR$7,G$7)</f>
        <v/>
      </c>
      <c r="H19" s="46">
        <f>+SUMIFS($O19:$DR19,$O$7:$DR$7,H$7)</f>
        <v/>
      </c>
      <c r="I19" s="46">
        <f>+SUMIFS($O19:$DR19,$O$7:$DR$7,I$7)</f>
        <v/>
      </c>
      <c r="J19" s="46">
        <f>+SUMIFS($O19:$DR19,$O$7:$DR$7,J$7)</f>
        <v/>
      </c>
      <c r="K19" s="46">
        <f>+SUMIFS($O19:$DR19,$O$7:$DR$7,K$7)</f>
        <v/>
      </c>
      <c r="L19" s="46">
        <f>+SUMIFS($O19:$DR19,$O$7:$DR$7,L$7)</f>
        <v/>
      </c>
      <c r="M19" s="46">
        <f>+SUMIFS($O19:$DR19,$O$7:$DR$7,M$7)</f>
        <v/>
      </c>
      <c r="O19" s="47" t="n">
        <v>0</v>
      </c>
      <c r="P19" s="47" t="n">
        <v>0</v>
      </c>
      <c r="Q19" s="47" t="n">
        <v>0</v>
      </c>
      <c r="R19" s="47" t="n">
        <v>0</v>
      </c>
      <c r="S19" s="47" t="n">
        <v>0</v>
      </c>
      <c r="T19" s="47" t="n">
        <v>0</v>
      </c>
      <c r="U19" s="47" t="n">
        <v>0</v>
      </c>
      <c r="V19" s="47" t="n">
        <v>0</v>
      </c>
      <c r="W19" s="47" t="n">
        <v>0</v>
      </c>
      <c r="X19" s="47" t="n">
        <v>0</v>
      </c>
      <c r="Y19" s="47" t="n">
        <v>0</v>
      </c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47" t="n">
        <v>0</v>
      </c>
      <c r="AI19" s="47" t="n">
        <v>0</v>
      </c>
      <c r="AJ19" s="47" t="n">
        <v>0</v>
      </c>
      <c r="AK19" s="47" t="n">
        <v>0</v>
      </c>
      <c r="AL19" s="47" t="n">
        <v>0</v>
      </c>
      <c r="AM19" s="47" t="n">
        <v>0</v>
      </c>
      <c r="AN19" s="47" t="n">
        <v>0</v>
      </c>
      <c r="AO19" s="47" t="n">
        <v>0</v>
      </c>
      <c r="AP19" s="47" t="n">
        <v>0</v>
      </c>
      <c r="AQ19" s="47" t="n">
        <v>0</v>
      </c>
      <c r="AR19" s="47" t="n">
        <v>0</v>
      </c>
      <c r="AS19" s="47" t="n">
        <v>0</v>
      </c>
      <c r="AT19" s="47" t="n">
        <v>0</v>
      </c>
      <c r="AU19" s="47" t="n">
        <v>0</v>
      </c>
      <c r="AV19" s="47" t="n">
        <v>0</v>
      </c>
      <c r="AW19" s="47" t="n">
        <v>0</v>
      </c>
      <c r="AX19" s="47" t="n">
        <v>0</v>
      </c>
      <c r="AY19" s="47" t="n">
        <v>0</v>
      </c>
      <c r="AZ19" s="47" t="n">
        <v>0</v>
      </c>
      <c r="BA19" s="47" t="n">
        <v>0</v>
      </c>
      <c r="BB19" s="47" t="n">
        <v>0</v>
      </c>
      <c r="BC19" s="47" t="n">
        <v>0</v>
      </c>
      <c r="BD19" s="47" t="n">
        <v>0</v>
      </c>
      <c r="BE19" s="47" t="n">
        <v>0</v>
      </c>
      <c r="BF19" s="47" t="n">
        <v>0</v>
      </c>
      <c r="BG19" s="47" t="n">
        <v>0</v>
      </c>
      <c r="BH19" s="47" t="n">
        <v>0</v>
      </c>
      <c r="BI19" s="47" t="n">
        <v>0</v>
      </c>
      <c r="BJ19" s="47" t="n">
        <v>0</v>
      </c>
      <c r="BK19" s="47" t="n">
        <v>0</v>
      </c>
      <c r="BL19" s="47" t="n">
        <v>0</v>
      </c>
      <c r="BM19" s="47" t="n">
        <v>0</v>
      </c>
      <c r="BN19" s="47" t="n">
        <v>4.166666666666667</v>
      </c>
      <c r="BO19" s="47" t="n">
        <v>4.166666666666667</v>
      </c>
      <c r="BP19" s="47" t="n">
        <v>4.166666666666667</v>
      </c>
      <c r="BQ19" s="47" t="n">
        <v>4.166666666666667</v>
      </c>
      <c r="BR19" s="47" t="n">
        <v>4.166666666666667</v>
      </c>
      <c r="BS19" s="47" t="n">
        <v>4.166666666666667</v>
      </c>
      <c r="BT19" s="47" t="n">
        <v>4.166666666666667</v>
      </c>
      <c r="BU19" s="47" t="n">
        <v>4.166666666666667</v>
      </c>
      <c r="BV19" s="47" t="n">
        <v>4.166666666666667</v>
      </c>
      <c r="BW19" s="47" t="n">
        <v>4.166666666666667</v>
      </c>
      <c r="BX19" s="47" t="n">
        <v>4.166666666666667</v>
      </c>
      <c r="BY19" s="47" t="n">
        <v>4.166666666666667</v>
      </c>
      <c r="BZ19" s="47" t="n">
        <v>4.166666666666667</v>
      </c>
      <c r="CA19" s="47" t="n">
        <v>4.166666666666667</v>
      </c>
      <c r="CB19" s="47" t="n">
        <v>4.166666666666667</v>
      </c>
      <c r="CC19" s="47" t="n">
        <v>4.166666666666667</v>
      </c>
      <c r="CD19" s="47" t="n">
        <v>4.166666666666667</v>
      </c>
      <c r="CE19" s="47" t="n">
        <v>4.166666666666667</v>
      </c>
      <c r="CF19" s="47" t="n">
        <v>4.166666666666667</v>
      </c>
      <c r="CG19" s="47" t="n">
        <v>4.166666666666667</v>
      </c>
      <c r="CH19" s="47" t="n">
        <v>4.166666666666667</v>
      </c>
      <c r="CI19" s="47" t="n">
        <v>4.166666666666667</v>
      </c>
      <c r="CJ19" s="47" t="n">
        <v>4.166666666666667</v>
      </c>
      <c r="CK19" s="47" t="n">
        <v>4.166666666666667</v>
      </c>
      <c r="CL19" s="47" t="n">
        <v>0</v>
      </c>
      <c r="CM19" s="47" t="n">
        <v>0</v>
      </c>
      <c r="CN19" s="47" t="n">
        <v>0</v>
      </c>
      <c r="CO19" s="47" t="n">
        <v>0</v>
      </c>
      <c r="CP19" s="47" t="n">
        <v>0</v>
      </c>
      <c r="CQ19" s="47" t="n">
        <v>0</v>
      </c>
      <c r="CR19" s="47" t="n">
        <v>0</v>
      </c>
      <c r="CS19" s="47" t="n">
        <v>0</v>
      </c>
      <c r="CT19" s="47" t="n">
        <v>0</v>
      </c>
      <c r="CU19" s="47" t="n">
        <v>0</v>
      </c>
      <c r="CV19" s="47" t="n">
        <v>0</v>
      </c>
      <c r="CW19" s="47" t="n">
        <v>0</v>
      </c>
      <c r="CX19" s="47" t="n">
        <v>0</v>
      </c>
      <c r="CY19" s="47" t="n">
        <v>0</v>
      </c>
      <c r="CZ19" s="47" t="n">
        <v>0</v>
      </c>
      <c r="DA19" s="47" t="n">
        <v>0</v>
      </c>
      <c r="DB19" s="47" t="n">
        <v>0</v>
      </c>
      <c r="DC19" s="47" t="n">
        <v>0</v>
      </c>
      <c r="DD19" s="47" t="n">
        <v>0</v>
      </c>
      <c r="DE19" s="47" t="n">
        <v>0</v>
      </c>
      <c r="DF19" s="47" t="n">
        <v>0</v>
      </c>
      <c r="DG19" s="47" t="n">
        <v>0</v>
      </c>
      <c r="DH19" s="47" t="n">
        <v>0</v>
      </c>
      <c r="DI19" s="47" t="n">
        <v>0</v>
      </c>
      <c r="DJ19" s="47" t="n">
        <v>0</v>
      </c>
      <c r="DK19" s="47" t="n">
        <v>0</v>
      </c>
      <c r="DL19" s="47" t="n">
        <v>0</v>
      </c>
      <c r="DM19" s="47" t="n">
        <v>0</v>
      </c>
      <c r="DN19" s="47" t="n">
        <v>0</v>
      </c>
      <c r="DO19" s="47" t="n">
        <v>0</v>
      </c>
      <c r="DP19" s="47" t="n">
        <v>0</v>
      </c>
      <c r="DQ19" s="47" t="n">
        <v>0</v>
      </c>
      <c r="DR19" s="47" t="n">
        <v>0</v>
      </c>
      <c r="DT19" s="46">
        <f>+F19-E19</f>
        <v/>
      </c>
      <c r="DU19" s="46">
        <f>+G19-F19</f>
        <v/>
      </c>
      <c r="DV19" s="46">
        <f>+H19-G19</f>
        <v/>
      </c>
      <c r="DW19" s="46">
        <f>+I19-H19</f>
        <v/>
      </c>
    </row>
    <row r="20" hidden="1" outlineLevel="1">
      <c r="B20" s="5" t="inlineStr">
        <is>
          <t>AIPP</t>
        </is>
      </c>
      <c r="C20" s="68" t="inlineStr">
        <is>
          <t>Major</t>
        </is>
      </c>
      <c r="E20" s="46">
        <f>+SUMIFS($O20:$DR20,$O$7:$DR$7,E$7)</f>
        <v/>
      </c>
      <c r="F20" s="46">
        <f>+SUMIFS($O20:$DR20,$O$7:$DR$7,F$7)</f>
        <v/>
      </c>
      <c r="G20" s="46">
        <f>+SUMIFS($O20:$DR20,$O$7:$DR$7,G$7)</f>
        <v/>
      </c>
      <c r="H20" s="46">
        <f>+SUMIFS($O20:$DR20,$O$7:$DR$7,H$7)</f>
        <v/>
      </c>
      <c r="I20" s="46">
        <f>+SUMIFS($O20:$DR20,$O$7:$DR$7,I$7)</f>
        <v/>
      </c>
      <c r="J20" s="46">
        <f>+SUMIFS($O20:$DR20,$O$7:$DR$7,J$7)</f>
        <v/>
      </c>
      <c r="K20" s="46">
        <f>+SUMIFS($O20:$DR20,$O$7:$DR$7,K$7)</f>
        <v/>
      </c>
      <c r="L20" s="46">
        <f>+SUMIFS($O20:$DR20,$O$7:$DR$7,L$7)</f>
        <v/>
      </c>
      <c r="M20" s="46">
        <f>+SUMIFS($O20:$DR20,$O$7:$DR$7,M$7)</f>
        <v/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47" t="n">
        <v>0</v>
      </c>
      <c r="AI20" s="47" t="n">
        <v>0</v>
      </c>
      <c r="AJ20" s="47" t="n">
        <v>0</v>
      </c>
      <c r="AK20" s="47" t="n">
        <v>0</v>
      </c>
      <c r="AL20" s="47" t="n">
        <v>0</v>
      </c>
      <c r="AM20" s="47" t="n">
        <v>0</v>
      </c>
      <c r="AN20" s="47" t="n">
        <v>0</v>
      </c>
      <c r="AO20" s="47" t="n">
        <v>0</v>
      </c>
      <c r="AP20" s="47" t="n">
        <v>0</v>
      </c>
      <c r="AQ20" s="47" t="n">
        <v>0</v>
      </c>
      <c r="AR20" s="47" t="n">
        <v>0</v>
      </c>
      <c r="AS20" s="47" t="n">
        <v>0</v>
      </c>
      <c r="AT20" s="47" t="n">
        <v>0</v>
      </c>
      <c r="AU20" s="47" t="n">
        <v>0</v>
      </c>
      <c r="AV20" s="47" t="n">
        <v>0</v>
      </c>
      <c r="AW20" s="47" t="n">
        <v>0</v>
      </c>
      <c r="AX20" s="47" t="n">
        <v>0</v>
      </c>
      <c r="AY20" s="47" t="n">
        <v>0</v>
      </c>
      <c r="AZ20" s="47" t="n">
        <v>0</v>
      </c>
      <c r="BA20" s="47" t="n">
        <v>0</v>
      </c>
      <c r="BB20" s="47" t="n">
        <v>0</v>
      </c>
      <c r="BC20" s="47" t="n">
        <v>0</v>
      </c>
      <c r="BD20" s="47" t="n">
        <v>0</v>
      </c>
      <c r="BE20" s="47" t="n">
        <v>0</v>
      </c>
      <c r="BF20" s="47" t="n">
        <v>0</v>
      </c>
      <c r="BG20" s="47" t="n">
        <v>0</v>
      </c>
      <c r="BH20" s="47" t="n">
        <v>0</v>
      </c>
      <c r="BI20" s="47" t="n">
        <v>0</v>
      </c>
      <c r="BJ20" s="47" t="n">
        <v>0</v>
      </c>
      <c r="BK20" s="47" t="n">
        <v>0</v>
      </c>
      <c r="BL20" s="47" t="n">
        <v>0</v>
      </c>
      <c r="BM20" s="47" t="n">
        <v>5.805</v>
      </c>
      <c r="BN20" s="47" t="n">
        <v>5.805</v>
      </c>
      <c r="BO20" s="47" t="n">
        <v>5.805</v>
      </c>
      <c r="BP20" s="47" t="n">
        <v>5.805</v>
      </c>
      <c r="BQ20" s="47" t="n">
        <v>5.805</v>
      </c>
      <c r="BR20" s="47" t="n">
        <v>5.805</v>
      </c>
      <c r="BS20" s="47" t="n">
        <v>5.805</v>
      </c>
      <c r="BT20" s="47" t="n">
        <v>5.805</v>
      </c>
      <c r="BU20" s="47" t="n">
        <v>5.805</v>
      </c>
      <c r="BV20" s="47" t="n">
        <v>5.805</v>
      </c>
      <c r="BW20" s="47" t="n">
        <v>5.805</v>
      </c>
      <c r="BX20" s="47" t="n">
        <v>5.805</v>
      </c>
      <c r="BY20" s="47" t="n">
        <v>47.975</v>
      </c>
      <c r="BZ20" s="47" t="n">
        <v>47.975</v>
      </c>
      <c r="CA20" s="47" t="n">
        <v>47.975</v>
      </c>
      <c r="CB20" s="47" t="n">
        <v>47.975</v>
      </c>
      <c r="CC20" s="47" t="n">
        <v>47.975</v>
      </c>
      <c r="CD20" s="47" t="n">
        <v>47.975</v>
      </c>
      <c r="CE20" s="47" t="n">
        <v>47.975</v>
      </c>
      <c r="CF20" s="47" t="n">
        <v>47.975</v>
      </c>
      <c r="CG20" s="47" t="n">
        <v>47.975</v>
      </c>
      <c r="CH20" s="47" t="n">
        <v>47.975</v>
      </c>
      <c r="CI20" s="47" t="n">
        <v>47.975</v>
      </c>
      <c r="CJ20" s="47" t="n">
        <v>47.975</v>
      </c>
      <c r="CK20" s="47" t="n">
        <v>49.41425</v>
      </c>
      <c r="CL20" s="47" t="n">
        <v>49.41425</v>
      </c>
      <c r="CM20" s="47" t="n">
        <v>49.41425</v>
      </c>
      <c r="CN20" s="47" t="n">
        <v>49.41425</v>
      </c>
      <c r="CO20" s="47" t="n">
        <v>49.41425</v>
      </c>
      <c r="CP20" s="47" t="n">
        <v>49.41425</v>
      </c>
      <c r="CQ20" s="47" t="n">
        <v>49.41425</v>
      </c>
      <c r="CR20" s="47" t="n">
        <v>49.41425</v>
      </c>
      <c r="CS20" s="47" t="n">
        <v>49.41425</v>
      </c>
      <c r="CT20" s="47" t="n">
        <v>49.41425</v>
      </c>
      <c r="CU20" s="47" t="n">
        <v>49.41425</v>
      </c>
      <c r="CV20" s="47" t="n">
        <v>49.41425</v>
      </c>
      <c r="CW20" s="47" t="n">
        <v>50.8966775</v>
      </c>
      <c r="CX20" s="47" t="n">
        <v>50.8966775</v>
      </c>
      <c r="CY20" s="47" t="n">
        <v>50.8966775</v>
      </c>
      <c r="CZ20" s="47" t="n">
        <v>50.8966775</v>
      </c>
      <c r="DA20" s="47" t="n">
        <v>50.8966775</v>
      </c>
      <c r="DB20" s="47" t="n">
        <v>50.8966775</v>
      </c>
      <c r="DC20" s="47" t="n">
        <v>50.8966775</v>
      </c>
      <c r="DD20" s="47" t="n">
        <v>50.8966775</v>
      </c>
      <c r="DE20" s="47" t="n">
        <v>50.8966775</v>
      </c>
      <c r="DF20" s="47" t="n">
        <v>50.8966775</v>
      </c>
      <c r="DG20" s="47" t="n">
        <v>50.8966775</v>
      </c>
      <c r="DH20" s="47" t="n">
        <v>50.8966775</v>
      </c>
      <c r="DI20" s="47" t="n">
        <v>52.423577825</v>
      </c>
      <c r="DJ20" s="47" t="n">
        <v>52.423577825</v>
      </c>
      <c r="DK20" s="47" t="n">
        <v>52.423577825</v>
      </c>
      <c r="DL20" s="47" t="n">
        <v>52.423577825</v>
      </c>
      <c r="DM20" s="47" t="n">
        <v>52.423577825</v>
      </c>
      <c r="DN20" s="47" t="n">
        <v>52.423577825</v>
      </c>
      <c r="DO20" s="47" t="n">
        <v>52.423577825</v>
      </c>
      <c r="DP20" s="47" t="n">
        <v>52.423577825</v>
      </c>
      <c r="DQ20" s="47" t="n">
        <v>52.423577825</v>
      </c>
      <c r="DR20" s="47" t="n">
        <v>52.423577825</v>
      </c>
      <c r="DT20" s="46">
        <f>+F20-E20</f>
        <v/>
      </c>
      <c r="DU20" s="46">
        <f>+G20-F20</f>
        <v/>
      </c>
      <c r="DV20" s="46">
        <f>+H20-G20</f>
        <v/>
      </c>
      <c r="DW20" s="46">
        <f>+I20-H20</f>
        <v/>
      </c>
    </row>
    <row r="21" hidden="1" outlineLevel="1" ht="15.75" customHeight="1">
      <c r="B21" s="5" t="inlineStr">
        <is>
          <t>ALLEN</t>
        </is>
      </c>
      <c r="C21" s="68" t="inlineStr">
        <is>
          <t>Upper Middle Market</t>
        </is>
      </c>
      <c r="E21" s="46">
        <f>+SUMIFS($O21:$DR21,$O$7:$DR$7,E$7)</f>
        <v/>
      </c>
      <c r="F21" s="46">
        <f>+SUMIFS($O21:$DR21,$O$7:$DR$7,F$7)</f>
        <v/>
      </c>
      <c r="G21" s="46">
        <f>+SUMIFS($O21:$DR21,$O$7:$DR$7,G$7)</f>
        <v/>
      </c>
      <c r="H21" s="46">
        <f>+SUMIFS($O21:$DR21,$O$7:$DR$7,H$7)</f>
        <v/>
      </c>
      <c r="I21" s="46">
        <f>+SUMIFS($O21:$DR21,$O$7:$DR$7,I$7)</f>
        <v/>
      </c>
      <c r="J21" s="46">
        <f>+SUMIFS($O21:$DR21,$O$7:$DR$7,J$7)</f>
        <v/>
      </c>
      <c r="K21" s="46">
        <f>+SUMIFS($O21:$DR21,$O$7:$DR$7,K$7)</f>
        <v/>
      </c>
      <c r="L21" s="46">
        <f>+SUMIFS($O21:$DR21,$O$7:$DR$7,L$7)</f>
        <v/>
      </c>
      <c r="M21" s="46">
        <f>+SUMIFS($O21:$DR21,$O$7:$DR$7,M$7)</f>
        <v/>
      </c>
      <c r="O21" s="47" t="n">
        <v>0</v>
      </c>
      <c r="P21" s="47" t="n">
        <v>0</v>
      </c>
      <c r="Q21" s="47" t="n">
        <v>0</v>
      </c>
      <c r="R21" s="47" t="n">
        <v>0</v>
      </c>
      <c r="S21" s="47" t="n">
        <v>0</v>
      </c>
      <c r="T21" s="47" t="n">
        <v>0</v>
      </c>
      <c r="U21" s="47" t="n">
        <v>0</v>
      </c>
      <c r="V21" s="47" t="n">
        <v>0</v>
      </c>
      <c r="W21" s="47" t="n">
        <v>0</v>
      </c>
      <c r="X21" s="47" t="n">
        <v>0</v>
      </c>
      <c r="Y21" s="47" t="n">
        <v>0</v>
      </c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47" t="n">
        <v>0</v>
      </c>
      <c r="AI21" s="47" t="n">
        <v>0</v>
      </c>
      <c r="AJ21" s="47" t="n">
        <v>0</v>
      </c>
      <c r="AK21" s="47" t="n">
        <v>0</v>
      </c>
      <c r="AL21" s="47" t="n">
        <v>0</v>
      </c>
      <c r="AM21" s="47" t="n">
        <v>0</v>
      </c>
      <c r="AN21" s="47" t="n">
        <v>8.334</v>
      </c>
      <c r="AO21" s="47" t="n">
        <v>10.417</v>
      </c>
      <c r="AP21" s="47" t="n">
        <v>12.5</v>
      </c>
      <c r="AQ21" s="47" t="n">
        <v>14.584</v>
      </c>
      <c r="AR21" s="47" t="n">
        <v>16.666</v>
      </c>
      <c r="AS21" s="47" t="n">
        <v>16.666</v>
      </c>
      <c r="AT21" s="47" t="n">
        <v>16.666</v>
      </c>
      <c r="AU21" s="47" t="n">
        <v>13.963</v>
      </c>
      <c r="AV21" s="47" t="n">
        <v>16.667</v>
      </c>
      <c r="AW21" s="47" t="n">
        <v>16.666</v>
      </c>
      <c r="AX21" s="47" t="n">
        <v>113.912</v>
      </c>
      <c r="AY21" s="47" t="n">
        <v>16.66667</v>
      </c>
      <c r="AZ21" s="47" t="n">
        <v>16.66667</v>
      </c>
      <c r="BA21" s="47" t="n">
        <v>25.95967</v>
      </c>
      <c r="BB21" s="47" t="n">
        <v>16.66667</v>
      </c>
      <c r="BC21" s="47" t="n">
        <v>16.66667</v>
      </c>
      <c r="BD21" s="47" t="n">
        <v>33.82867</v>
      </c>
      <c r="BE21" s="47" t="n">
        <v>16.66667</v>
      </c>
      <c r="BF21" s="47" t="n">
        <v>16.66667</v>
      </c>
      <c r="BG21" s="47" t="n">
        <v>23.81767</v>
      </c>
      <c r="BH21" s="47" t="n">
        <v>16.66667</v>
      </c>
      <c r="BI21" s="47" t="n">
        <v>16.66667</v>
      </c>
      <c r="BJ21" s="47" t="n">
        <v>40.36067</v>
      </c>
      <c r="BK21" s="47" t="n">
        <v>16.66667</v>
      </c>
      <c r="BL21" s="47" t="n">
        <v>16.66667</v>
      </c>
      <c r="BM21" s="47" t="n">
        <v>30.69167</v>
      </c>
      <c r="BN21" s="47" t="n">
        <v>16.66667</v>
      </c>
      <c r="BO21" s="47" t="n">
        <v>16.66667</v>
      </c>
      <c r="BP21" s="47" t="n">
        <v>31.66667</v>
      </c>
      <c r="BQ21" s="47" t="n">
        <v>16.66667</v>
      </c>
      <c r="BR21" s="47" t="n">
        <v>16.66667</v>
      </c>
      <c r="BS21" s="47" t="n">
        <v>31.66667</v>
      </c>
      <c r="BT21" s="47" t="n">
        <v>16.66667</v>
      </c>
      <c r="BU21" s="47" t="n">
        <v>16.66667</v>
      </c>
      <c r="BV21" s="47" t="n">
        <v>31.66667</v>
      </c>
      <c r="BW21" s="47" t="n">
        <v>16.66667</v>
      </c>
      <c r="BX21" s="47" t="n">
        <v>16.66667</v>
      </c>
      <c r="BY21" s="47" t="n">
        <v>31.11242</v>
      </c>
      <c r="BZ21" s="47" t="n">
        <v>16.66667</v>
      </c>
      <c r="CA21" s="47" t="n">
        <v>16.66667</v>
      </c>
      <c r="CB21" s="47" t="n">
        <v>32.11667</v>
      </c>
      <c r="CC21" s="47" t="n">
        <v>16.66667</v>
      </c>
      <c r="CD21" s="47" t="n">
        <v>16.66667</v>
      </c>
      <c r="CE21" s="47" t="n">
        <v>32.11667</v>
      </c>
      <c r="CF21" s="47" t="n">
        <v>16.66667</v>
      </c>
      <c r="CG21" s="47" t="n">
        <v>16.66667</v>
      </c>
      <c r="CH21" s="47" t="n">
        <v>32.11667</v>
      </c>
      <c r="CI21" s="47" t="n">
        <v>16.66667</v>
      </c>
      <c r="CJ21" s="47" t="n">
        <v>16.66667</v>
      </c>
      <c r="CK21" s="47" t="n">
        <v>31.5457925</v>
      </c>
      <c r="CL21" s="47" t="n">
        <v>16.66667</v>
      </c>
      <c r="CM21" s="47" t="n">
        <v>16.66667</v>
      </c>
      <c r="CN21" s="47" t="n">
        <v>32.58017</v>
      </c>
      <c r="CO21" s="47" t="n">
        <v>16.66667</v>
      </c>
      <c r="CP21" s="47" t="n">
        <v>16.66667</v>
      </c>
      <c r="CQ21" s="47" t="n">
        <v>32.58017</v>
      </c>
      <c r="CR21" s="47" t="n">
        <v>16.66667</v>
      </c>
      <c r="CS21" s="47" t="n">
        <v>16.66667</v>
      </c>
      <c r="CT21" s="47" t="n">
        <v>32.58017</v>
      </c>
      <c r="CU21" s="47" t="n">
        <v>16.66667</v>
      </c>
      <c r="CV21" s="47" t="n">
        <v>16.66667</v>
      </c>
      <c r="CW21" s="47" t="n">
        <v>31.992166175</v>
      </c>
      <c r="CX21" s="47" t="n">
        <v>16.66667</v>
      </c>
      <c r="CY21" s="47" t="n">
        <v>16.66667</v>
      </c>
      <c r="CZ21" s="47" t="n">
        <v>33.057575</v>
      </c>
      <c r="DA21" s="47" t="n">
        <v>16.66667</v>
      </c>
      <c r="DB21" s="47" t="n">
        <v>16.66667</v>
      </c>
      <c r="DC21" s="47" t="n">
        <v>33.057575</v>
      </c>
      <c r="DD21" s="47" t="n">
        <v>16.66667</v>
      </c>
      <c r="DE21" s="47" t="n">
        <v>16.66667</v>
      </c>
      <c r="DF21" s="47" t="n">
        <v>33.057575</v>
      </c>
      <c r="DG21" s="47" t="n">
        <v>16.66667</v>
      </c>
      <c r="DH21" s="47" t="n">
        <v>16.66667</v>
      </c>
      <c r="DI21" s="47" t="n">
        <v>32.45193106025</v>
      </c>
      <c r="DJ21" s="47" t="n">
        <v>16.66667</v>
      </c>
      <c r="DK21" s="47" t="n">
        <v>16.66667</v>
      </c>
      <c r="DL21" s="47" t="n">
        <v>33.54930215</v>
      </c>
      <c r="DM21" s="47" t="n">
        <v>16.66667</v>
      </c>
      <c r="DN21" s="47" t="n">
        <v>16.66667</v>
      </c>
      <c r="DO21" s="47" t="n">
        <v>33.54930215</v>
      </c>
      <c r="DP21" s="47" t="n">
        <v>16.66667</v>
      </c>
      <c r="DQ21" s="47" t="n">
        <v>16.66667</v>
      </c>
      <c r="DR21" s="47" t="n">
        <v>33.54930215</v>
      </c>
      <c r="DT21" s="46">
        <f>+F21-E21</f>
        <v/>
      </c>
      <c r="DU21" s="46">
        <f>+G21-F21</f>
        <v/>
      </c>
      <c r="DV21" s="46">
        <f>+H21-G21</f>
        <v/>
      </c>
      <c r="DW21" s="46">
        <f>+I21-H21</f>
        <v/>
      </c>
    </row>
    <row r="22" hidden="1" outlineLevel="1" ht="15.75" customHeight="1">
      <c r="B22" s="5" t="inlineStr">
        <is>
          <t>AMA</t>
        </is>
      </c>
      <c r="C22" s="68" t="inlineStr">
        <is>
          <t>Mega</t>
        </is>
      </c>
      <c r="E22" s="46">
        <f>+SUMIFS($O22:$DR22,$O$7:$DR$7,E$7)</f>
        <v/>
      </c>
      <c r="F22" s="46">
        <f>+SUMIFS($O22:$DR22,$O$7:$DR$7,F$7)</f>
        <v/>
      </c>
      <c r="G22" s="46">
        <f>+SUMIFS($O22:$DR22,$O$7:$DR$7,G$7)</f>
        <v/>
      </c>
      <c r="H22" s="46">
        <f>+SUMIFS($O22:$DR22,$O$7:$DR$7,H$7)</f>
        <v/>
      </c>
      <c r="I22" s="46">
        <f>+SUMIFS($O22:$DR22,$O$7:$DR$7,I$7)</f>
        <v/>
      </c>
      <c r="J22" s="46">
        <f>+SUMIFS($O22:$DR22,$O$7:$DR$7,J$7)</f>
        <v/>
      </c>
      <c r="K22" s="46">
        <f>+SUMIFS($O22:$DR22,$O$7:$DR$7,K$7)</f>
        <v/>
      </c>
      <c r="L22" s="46">
        <f>+SUMIFS($O22:$DR22,$O$7:$DR$7,L$7)</f>
        <v/>
      </c>
      <c r="M22" s="46">
        <f>+SUMIFS($O22:$DR22,$O$7:$DR$7,M$7)</f>
        <v/>
      </c>
      <c r="O22" s="47" t="n">
        <v>104.247</v>
      </c>
      <c r="P22" s="47" t="n">
        <v>104.247</v>
      </c>
      <c r="Q22" s="47" t="n">
        <v>104.247</v>
      </c>
      <c r="R22" s="47" t="n">
        <v>104.247</v>
      </c>
      <c r="S22" s="47" t="n">
        <v>107.22</v>
      </c>
      <c r="T22" s="47" t="n">
        <v>110.647</v>
      </c>
      <c r="U22" s="47" t="n">
        <v>110.647</v>
      </c>
      <c r="V22" s="47" t="n">
        <v>100.647</v>
      </c>
      <c r="W22" s="47" t="n">
        <v>110.647</v>
      </c>
      <c r="X22" s="47" t="n">
        <v>110.646</v>
      </c>
      <c r="Y22" s="47" t="n">
        <v>110.647</v>
      </c>
      <c r="Z22" s="47" t="n">
        <v>156.48</v>
      </c>
      <c r="AA22" s="47" t="n">
        <v>137.27</v>
      </c>
      <c r="AB22" s="47" t="n">
        <v>137.27</v>
      </c>
      <c r="AC22" s="47" t="n">
        <v>133.104</v>
      </c>
      <c r="AD22" s="47" t="n">
        <v>133.103</v>
      </c>
      <c r="AE22" s="47" t="n">
        <v>133.104</v>
      </c>
      <c r="AF22" s="47" t="n">
        <v>133.103</v>
      </c>
      <c r="AG22" s="47" t="n">
        <v>133.103</v>
      </c>
      <c r="AH22" s="47" t="n">
        <v>133.103</v>
      </c>
      <c r="AI22" s="47" t="n">
        <v>133.104</v>
      </c>
      <c r="AJ22" s="47" t="n">
        <v>134.104</v>
      </c>
      <c r="AK22" s="47" t="n">
        <v>133.104</v>
      </c>
      <c r="AL22" s="47" t="n">
        <v>133.104</v>
      </c>
      <c r="AM22" s="47" t="n">
        <v>137.208</v>
      </c>
      <c r="AN22" s="47" t="n">
        <v>137.208</v>
      </c>
      <c r="AO22" s="47" t="n">
        <v>137.208</v>
      </c>
      <c r="AP22" s="47" t="n">
        <v>137.208</v>
      </c>
      <c r="AQ22" s="47" t="n">
        <v>137.208</v>
      </c>
      <c r="AR22" s="47" t="n">
        <v>137.208</v>
      </c>
      <c r="AS22" s="47" t="n">
        <v>138.208</v>
      </c>
      <c r="AT22" s="47" t="n">
        <v>131.394</v>
      </c>
      <c r="AU22" s="47" t="n">
        <v>138.208</v>
      </c>
      <c r="AV22" s="47" t="n">
        <v>138.208</v>
      </c>
      <c r="AW22" s="47" t="n">
        <v>143.575</v>
      </c>
      <c r="AX22" s="47" t="n">
        <v>149.708</v>
      </c>
      <c r="AY22" s="47" t="n">
        <v>154.255625</v>
      </c>
      <c r="AZ22" s="47" t="n">
        <v>154.255625</v>
      </c>
      <c r="BA22" s="47" t="n">
        <v>154.255625</v>
      </c>
      <c r="BB22" s="47" t="n">
        <v>154.255625</v>
      </c>
      <c r="BC22" s="47" t="n">
        <v>154.255625</v>
      </c>
      <c r="BD22" s="47" t="n">
        <v>154.255625</v>
      </c>
      <c r="BE22" s="47" t="n">
        <v>154.255625</v>
      </c>
      <c r="BF22" s="47" t="n">
        <v>154.255625</v>
      </c>
      <c r="BG22" s="47" t="n">
        <v>154.255625</v>
      </c>
      <c r="BH22" s="47" t="n">
        <v>150.922295</v>
      </c>
      <c r="BI22" s="47" t="n">
        <v>151.297295</v>
      </c>
      <c r="BJ22" s="47" t="n">
        <v>151.297295</v>
      </c>
      <c r="BK22" s="47" t="n">
        <v>156.8306733333334</v>
      </c>
      <c r="BL22" s="47" t="n">
        <v>156.8306733333334</v>
      </c>
      <c r="BM22" s="47" t="n">
        <v>156.8306733333334</v>
      </c>
      <c r="BN22" s="47" t="n">
        <v>156.8306733333334</v>
      </c>
      <c r="BO22" s="47" t="n">
        <v>156.8306733333334</v>
      </c>
      <c r="BP22" s="47" t="n">
        <v>156.8306733333334</v>
      </c>
      <c r="BQ22" s="47" t="n">
        <v>156.8306733333334</v>
      </c>
      <c r="BR22" s="47" t="n">
        <v>156.8306733333334</v>
      </c>
      <c r="BS22" s="47" t="n">
        <v>156.8306733333334</v>
      </c>
      <c r="BT22" s="47" t="n">
        <v>156.8306733333334</v>
      </c>
      <c r="BU22" s="47" t="n">
        <v>157.2169233333333</v>
      </c>
      <c r="BV22" s="47" t="n">
        <v>157.2169233333333</v>
      </c>
      <c r="BW22" s="47" t="n">
        <v>161.19313</v>
      </c>
      <c r="BX22" s="47" t="n">
        <v>161.19313</v>
      </c>
      <c r="BY22" s="47" t="n">
        <v>161.19313</v>
      </c>
      <c r="BZ22" s="47" t="n">
        <v>161.19313</v>
      </c>
      <c r="CA22" s="47" t="n">
        <v>161.19313</v>
      </c>
      <c r="CB22" s="47" t="n">
        <v>161.19313</v>
      </c>
      <c r="CC22" s="47" t="n">
        <v>161.19313</v>
      </c>
      <c r="CD22" s="47" t="n">
        <v>161.19313</v>
      </c>
      <c r="CE22" s="47" t="n">
        <v>161.19313</v>
      </c>
      <c r="CF22" s="47" t="n">
        <v>161.19313</v>
      </c>
      <c r="CG22" s="47" t="n">
        <v>161.5909675</v>
      </c>
      <c r="CH22" s="47" t="n">
        <v>161.5909675</v>
      </c>
      <c r="CI22" s="47" t="n">
        <v>13.6590875</v>
      </c>
      <c r="CJ22" s="47" t="n">
        <v>13.6590875</v>
      </c>
      <c r="CK22" s="47" t="n">
        <v>13.6590875</v>
      </c>
      <c r="CL22" s="47" t="n">
        <v>13.6590875</v>
      </c>
      <c r="CM22" s="47" t="n">
        <v>13.6590875</v>
      </c>
      <c r="CN22" s="47" t="n">
        <v>13.6590875</v>
      </c>
      <c r="CO22" s="47" t="n">
        <v>13.6590875</v>
      </c>
      <c r="CP22" s="47" t="n">
        <v>13.6590875</v>
      </c>
      <c r="CQ22" s="47" t="n">
        <v>13.6590875</v>
      </c>
      <c r="CR22" s="47" t="n">
        <v>13.6590875</v>
      </c>
      <c r="CS22" s="47" t="n">
        <v>14.068860125</v>
      </c>
      <c r="CT22" s="47" t="n">
        <v>14.068860125</v>
      </c>
      <c r="CU22" s="47" t="n">
        <v>14.068860125</v>
      </c>
      <c r="CV22" s="47" t="n">
        <v>14.068860125</v>
      </c>
      <c r="CW22" s="47" t="n">
        <v>14.068860125</v>
      </c>
      <c r="CX22" s="47" t="n">
        <v>14.068860125</v>
      </c>
      <c r="CY22" s="47" t="n">
        <v>14.068860125</v>
      </c>
      <c r="CZ22" s="47" t="n">
        <v>14.068860125</v>
      </c>
      <c r="DA22" s="47" t="n">
        <v>14.068860125</v>
      </c>
      <c r="DB22" s="47" t="n">
        <v>14.068860125</v>
      </c>
      <c r="DC22" s="47" t="n">
        <v>14.068860125</v>
      </c>
      <c r="DD22" s="47" t="n">
        <v>14.068860125</v>
      </c>
      <c r="DE22" s="47" t="n">
        <v>14.49092592875</v>
      </c>
      <c r="DF22" s="47" t="n">
        <v>14.49092592875</v>
      </c>
      <c r="DG22" s="47" t="n">
        <v>0</v>
      </c>
      <c r="DH22" s="47" t="n">
        <v>0</v>
      </c>
      <c r="DI22" s="47" t="n">
        <v>0</v>
      </c>
      <c r="DJ22" s="47" t="n">
        <v>0</v>
      </c>
      <c r="DK22" s="47" t="n">
        <v>0</v>
      </c>
      <c r="DL22" s="47" t="n">
        <v>0</v>
      </c>
      <c r="DM22" s="47" t="n">
        <v>0</v>
      </c>
      <c r="DN22" s="47" t="n">
        <v>0</v>
      </c>
      <c r="DO22" s="47" t="n">
        <v>0</v>
      </c>
      <c r="DP22" s="47" t="n">
        <v>0</v>
      </c>
      <c r="DQ22" s="47" t="n">
        <v>0</v>
      </c>
      <c r="DR22" s="47" t="n">
        <v>0</v>
      </c>
      <c r="DT22" s="46">
        <f>+F22-E22</f>
        <v/>
      </c>
      <c r="DU22" s="46">
        <f>+G22-F22</f>
        <v/>
      </c>
      <c r="DV22" s="46">
        <f>+H22-G22</f>
        <v/>
      </c>
      <c r="DW22" s="46">
        <f>+I22-H22</f>
        <v/>
      </c>
    </row>
    <row r="23" hidden="1" outlineLevel="1" ht="15.75" customHeight="1">
      <c r="B23" s="5" t="inlineStr">
        <is>
          <t>AORN</t>
        </is>
      </c>
      <c r="C23" s="68" t="inlineStr">
        <is>
          <t>Lower Middle Market</t>
        </is>
      </c>
      <c r="E23" s="46">
        <f>+SUMIFS($O23:$DR23,$O$7:$DR$7,E$7)</f>
        <v/>
      </c>
      <c r="F23" s="46">
        <f>+SUMIFS($O23:$DR23,$O$7:$DR$7,F$7)</f>
        <v/>
      </c>
      <c r="G23" s="46">
        <f>+SUMIFS($O23:$DR23,$O$7:$DR$7,G$7)</f>
        <v/>
      </c>
      <c r="H23" s="46">
        <f>+SUMIFS($O23:$DR23,$O$7:$DR$7,H$7)</f>
        <v/>
      </c>
      <c r="I23" s="46">
        <f>+SUMIFS($O23:$DR23,$O$7:$DR$7,I$7)</f>
        <v/>
      </c>
      <c r="J23" s="46">
        <f>+SUMIFS($O23:$DR23,$O$7:$DR$7,J$7)</f>
        <v/>
      </c>
      <c r="K23" s="46">
        <f>+SUMIFS($O23:$DR23,$O$7:$DR$7,K$7)</f>
        <v/>
      </c>
      <c r="L23" s="46">
        <f>+SUMIFS($O23:$DR23,$O$7:$DR$7,L$7)</f>
        <v/>
      </c>
      <c r="M23" s="46">
        <f>+SUMIFS($O23:$DR23,$O$7:$DR$7,M$7)</f>
        <v/>
      </c>
      <c r="O23" s="47" t="n">
        <v>0</v>
      </c>
      <c r="P23" s="47" t="n">
        <v>0</v>
      </c>
      <c r="Q23" s="47" t="n">
        <v>0</v>
      </c>
      <c r="R23" s="47" t="n">
        <v>10.417</v>
      </c>
      <c r="S23" s="47" t="n">
        <v>10.417</v>
      </c>
      <c r="T23" s="47" t="n">
        <v>10.417</v>
      </c>
      <c r="U23" s="47" t="n">
        <v>10.417</v>
      </c>
      <c r="V23" s="47" t="n">
        <v>10.417</v>
      </c>
      <c r="W23" s="47" t="n">
        <v>10.417</v>
      </c>
      <c r="X23" s="47" t="n">
        <v>10.417</v>
      </c>
      <c r="Y23" s="47" t="n">
        <v>10.417</v>
      </c>
      <c r="Z23" s="47" t="n">
        <v>10.416</v>
      </c>
      <c r="AA23" s="47" t="n">
        <v>10.417</v>
      </c>
      <c r="AB23" s="47" t="n">
        <v>10.417</v>
      </c>
      <c r="AC23" s="47" t="n">
        <v>10.417</v>
      </c>
      <c r="AD23" s="47" t="n">
        <v>10.782</v>
      </c>
      <c r="AE23" s="47" t="n">
        <v>10.781</v>
      </c>
      <c r="AF23" s="47" t="n">
        <v>10.782</v>
      </c>
      <c r="AG23" s="47" t="n">
        <v>10.782</v>
      </c>
      <c r="AH23" s="47" t="n">
        <v>10.782</v>
      </c>
      <c r="AI23" s="47" t="n">
        <v>10.782</v>
      </c>
      <c r="AJ23" s="47" t="n">
        <v>10.782</v>
      </c>
      <c r="AK23" s="47" t="n">
        <v>10.782</v>
      </c>
      <c r="AL23" s="47" t="n">
        <v>10.781</v>
      </c>
      <c r="AM23" s="47" t="n">
        <v>10.782</v>
      </c>
      <c r="AN23" s="47" t="n">
        <v>10.782</v>
      </c>
      <c r="AO23" s="47" t="n">
        <v>10.782</v>
      </c>
      <c r="AP23" s="47" t="n">
        <v>11.159</v>
      </c>
      <c r="AQ23" s="47" t="n">
        <v>11.158</v>
      </c>
      <c r="AR23" s="47" t="n">
        <v>11.159</v>
      </c>
      <c r="AS23" s="47" t="n">
        <v>11.159</v>
      </c>
      <c r="AT23" s="47" t="n">
        <v>10.874</v>
      </c>
      <c r="AU23" s="47" t="n">
        <v>11.159</v>
      </c>
      <c r="AV23" s="47" t="n">
        <v>11.158</v>
      </c>
      <c r="AW23" s="47" t="n">
        <v>11.159</v>
      </c>
      <c r="AX23" s="47" t="n">
        <v>11.158</v>
      </c>
      <c r="AY23" s="47" t="n">
        <v>11.15859375</v>
      </c>
      <c r="AZ23" s="47" t="n">
        <v>11.15859375</v>
      </c>
      <c r="BA23" s="47" t="n">
        <v>11.15859375</v>
      </c>
      <c r="BB23" s="47" t="n">
        <v>11.54914453125</v>
      </c>
      <c r="BC23" s="47" t="n">
        <v>11.54914453125</v>
      </c>
      <c r="BD23" s="47" t="n">
        <v>11.54914453125</v>
      </c>
      <c r="BE23" s="47" t="n">
        <v>11.54914453125</v>
      </c>
      <c r="BF23" s="47" t="n">
        <v>11.54914453125</v>
      </c>
      <c r="BG23" s="47" t="n">
        <v>11.54914453125</v>
      </c>
      <c r="BH23" s="47" t="n">
        <v>11.54914453125</v>
      </c>
      <c r="BI23" s="47" t="n">
        <v>11.54914453125</v>
      </c>
      <c r="BJ23" s="47" t="n">
        <v>11.54914453125</v>
      </c>
      <c r="BK23" s="47" t="n">
        <v>11.54914453125</v>
      </c>
      <c r="BL23" s="47" t="n">
        <v>11.54914453125</v>
      </c>
      <c r="BM23" s="47" t="n">
        <v>11.54914453125</v>
      </c>
      <c r="BN23" s="47" t="n">
        <v>11.95336458984375</v>
      </c>
      <c r="BO23" s="47" t="n">
        <v>11.95336458984375</v>
      </c>
      <c r="BP23" s="47" t="n">
        <v>11.95336458984375</v>
      </c>
      <c r="BQ23" s="47" t="n">
        <v>11.95336458984375</v>
      </c>
      <c r="BR23" s="47" t="n">
        <v>11.95336458984375</v>
      </c>
      <c r="BS23" s="47" t="n">
        <v>11.95336458984375</v>
      </c>
      <c r="BT23" s="47" t="n">
        <v>11.95336458984375</v>
      </c>
      <c r="BU23" s="47" t="n">
        <v>11.95336458984375</v>
      </c>
      <c r="BV23" s="47" t="n">
        <v>11.95336458984375</v>
      </c>
      <c r="BW23" s="47" t="n">
        <v>11.95336458984375</v>
      </c>
      <c r="BX23" s="47" t="n">
        <v>11.95336458984375</v>
      </c>
      <c r="BY23" s="47" t="n">
        <v>11.95336458984375</v>
      </c>
      <c r="BZ23" s="47" t="n">
        <v>0</v>
      </c>
      <c r="CA23" s="47" t="n">
        <v>0</v>
      </c>
      <c r="CB23" s="47" t="n">
        <v>0</v>
      </c>
      <c r="CC23" s="47" t="n">
        <v>0</v>
      </c>
      <c r="CD23" s="47" t="n">
        <v>0</v>
      </c>
      <c r="CE23" s="47" t="n">
        <v>0</v>
      </c>
      <c r="CF23" s="47" t="n">
        <v>0</v>
      </c>
      <c r="CG23" s="47" t="n">
        <v>0</v>
      </c>
      <c r="CH23" s="47" t="n">
        <v>0</v>
      </c>
      <c r="CI23" s="47" t="n">
        <v>0</v>
      </c>
      <c r="CJ23" s="47" t="n">
        <v>0</v>
      </c>
      <c r="CK23" s="47" t="n">
        <v>0</v>
      </c>
      <c r="CL23" s="47" t="n">
        <v>0</v>
      </c>
      <c r="CM23" s="47" t="n">
        <v>0</v>
      </c>
      <c r="CN23" s="47" t="n">
        <v>0</v>
      </c>
      <c r="CO23" s="47" t="n">
        <v>0</v>
      </c>
      <c r="CP23" s="47" t="n">
        <v>0</v>
      </c>
      <c r="CQ23" s="47" t="n">
        <v>0</v>
      </c>
      <c r="CR23" s="47" t="n">
        <v>0</v>
      </c>
      <c r="CS23" s="47" t="n">
        <v>0</v>
      </c>
      <c r="CT23" s="47" t="n">
        <v>0</v>
      </c>
      <c r="CU23" s="47" t="n">
        <v>0</v>
      </c>
      <c r="CV23" s="47" t="n">
        <v>0</v>
      </c>
      <c r="CW23" s="47" t="n">
        <v>0</v>
      </c>
      <c r="CX23" s="47" t="n">
        <v>0</v>
      </c>
      <c r="CY23" s="47" t="n">
        <v>0</v>
      </c>
      <c r="CZ23" s="47" t="n">
        <v>0</v>
      </c>
      <c r="DA23" s="47" t="n">
        <v>0</v>
      </c>
      <c r="DB23" s="47" t="n">
        <v>0</v>
      </c>
      <c r="DC23" s="47" t="n">
        <v>0</v>
      </c>
      <c r="DD23" s="47" t="n">
        <v>0</v>
      </c>
      <c r="DE23" s="47" t="n">
        <v>0</v>
      </c>
      <c r="DF23" s="47" t="n">
        <v>0</v>
      </c>
      <c r="DG23" s="47" t="n">
        <v>0</v>
      </c>
      <c r="DH23" s="47" t="n">
        <v>0</v>
      </c>
      <c r="DI23" s="47" t="n">
        <v>0</v>
      </c>
      <c r="DJ23" s="47" t="n">
        <v>0</v>
      </c>
      <c r="DK23" s="47" t="n">
        <v>0</v>
      </c>
      <c r="DL23" s="47" t="n">
        <v>0</v>
      </c>
      <c r="DM23" s="47" t="n">
        <v>0</v>
      </c>
      <c r="DN23" s="47" t="n">
        <v>0</v>
      </c>
      <c r="DO23" s="47" t="n">
        <v>0</v>
      </c>
      <c r="DP23" s="47" t="n">
        <v>0</v>
      </c>
      <c r="DQ23" s="47" t="n">
        <v>0</v>
      </c>
      <c r="DR23" s="47" t="n">
        <v>0</v>
      </c>
      <c r="DT23" s="46">
        <f>+F23-E23</f>
        <v/>
      </c>
      <c r="DU23" s="46">
        <f>+G23-F23</f>
        <v/>
      </c>
      <c r="DV23" s="46">
        <f>+H23-G23</f>
        <v/>
      </c>
      <c r="DW23" s="46">
        <f>+I23-H23</f>
        <v/>
      </c>
    </row>
    <row r="24" hidden="1" outlineLevel="1" ht="15.75" customHeight="1">
      <c r="B24" s="5" t="inlineStr">
        <is>
          <t>AOTA</t>
        </is>
      </c>
      <c r="C24" s="68" t="inlineStr">
        <is>
          <t>Lower Middle Market</t>
        </is>
      </c>
      <c r="E24" s="46">
        <f>+SUMIFS($O24:$DR24,$O$7:$DR$7,E$7)</f>
        <v/>
      </c>
      <c r="F24" s="46">
        <f>+SUMIFS($O24:$DR24,$O$7:$DR$7,F$7)</f>
        <v/>
      </c>
      <c r="G24" s="46">
        <f>+SUMIFS($O24:$DR24,$O$7:$DR$7,G$7)</f>
        <v/>
      </c>
      <c r="H24" s="46">
        <f>+SUMIFS($O24:$DR24,$O$7:$DR$7,H$7)</f>
        <v/>
      </c>
      <c r="I24" s="46">
        <f>+SUMIFS($O24:$DR24,$O$7:$DR$7,I$7)</f>
        <v/>
      </c>
      <c r="J24" s="46">
        <f>+SUMIFS($O24:$DR24,$O$7:$DR$7,J$7)</f>
        <v/>
      </c>
      <c r="K24" s="46">
        <f>+SUMIFS($O24:$DR24,$O$7:$DR$7,K$7)</f>
        <v/>
      </c>
      <c r="L24" s="46">
        <f>+SUMIFS($O24:$DR24,$O$7:$DR$7,L$7)</f>
        <v/>
      </c>
      <c r="M24" s="46">
        <f>+SUMIFS($O24:$DR24,$O$7:$DR$7,M$7)</f>
        <v/>
      </c>
      <c r="O24" s="47" t="n">
        <v>7.5</v>
      </c>
      <c r="P24" s="47" t="n">
        <v>7.5</v>
      </c>
      <c r="Q24" s="47" t="n">
        <v>7.5</v>
      </c>
      <c r="R24" s="47" t="n">
        <v>7.5</v>
      </c>
      <c r="S24" s="47" t="n">
        <v>7.5</v>
      </c>
      <c r="T24" s="47" t="n">
        <v>7.5</v>
      </c>
      <c r="U24" s="47" t="n">
        <v>7.875</v>
      </c>
      <c r="V24" s="47" t="n">
        <v>7.875</v>
      </c>
      <c r="W24" s="47" t="n">
        <v>7.875</v>
      </c>
      <c r="X24" s="47" t="n">
        <v>7.875</v>
      </c>
      <c r="Y24" s="47" t="n">
        <v>7.875</v>
      </c>
      <c r="Z24" s="47" t="n">
        <v>7.875</v>
      </c>
      <c r="AA24" s="47" t="n">
        <v>7.875</v>
      </c>
      <c r="AB24" s="47" t="n">
        <v>7.875</v>
      </c>
      <c r="AC24" s="47" t="n">
        <v>7.875</v>
      </c>
      <c r="AD24" s="47" t="n">
        <v>7.875</v>
      </c>
      <c r="AE24" s="47" t="n">
        <v>7.875</v>
      </c>
      <c r="AF24" s="47" t="n">
        <v>7.875</v>
      </c>
      <c r="AG24" s="47" t="n">
        <v>7.98</v>
      </c>
      <c r="AH24" s="47" t="n">
        <v>7.98</v>
      </c>
      <c r="AI24" s="47" t="n">
        <v>7.98</v>
      </c>
      <c r="AJ24" s="47" t="n">
        <v>7.98</v>
      </c>
      <c r="AK24" s="47" t="n">
        <v>7.98</v>
      </c>
      <c r="AL24" s="47" t="n">
        <v>7.98</v>
      </c>
      <c r="AM24" s="47" t="n">
        <v>8.111000000000001</v>
      </c>
      <c r="AN24" s="47" t="n">
        <v>8.111000000000001</v>
      </c>
      <c r="AO24" s="47" t="n">
        <v>8.111000000000001</v>
      </c>
      <c r="AP24" s="47" t="n">
        <v>8.111000000000001</v>
      </c>
      <c r="AQ24" s="47" t="n">
        <v>8.111000000000001</v>
      </c>
      <c r="AR24" s="47" t="n">
        <v>8.220000000000001</v>
      </c>
      <c r="AS24" s="47" t="n">
        <v>8.220000000000001</v>
      </c>
      <c r="AT24" s="47" t="n">
        <v>7.549</v>
      </c>
      <c r="AU24" s="47" t="n">
        <v>8.220000000000001</v>
      </c>
      <c r="AV24" s="47" t="n">
        <v>8.220000000000001</v>
      </c>
      <c r="AW24" s="47" t="n">
        <v>3.713</v>
      </c>
      <c r="AX24" s="47" t="n">
        <v>3.713</v>
      </c>
      <c r="AY24" s="47" t="n">
        <v>3.713</v>
      </c>
      <c r="AZ24" s="47" t="n">
        <v>3.713</v>
      </c>
      <c r="BA24" s="47" t="n">
        <v>3.713</v>
      </c>
      <c r="BB24" s="47" t="n">
        <v>3.713</v>
      </c>
      <c r="BC24" s="47" t="n">
        <v>3.713</v>
      </c>
      <c r="BD24" s="47" t="n">
        <v>3.713</v>
      </c>
      <c r="BE24" s="47" t="n">
        <v>3.713</v>
      </c>
      <c r="BF24" s="47" t="n">
        <v>4.583333333333333</v>
      </c>
      <c r="BG24" s="47" t="n">
        <v>4.583333333333333</v>
      </c>
      <c r="BH24" s="47" t="n">
        <v>4.583333333333333</v>
      </c>
      <c r="BI24" s="47" t="n">
        <v>4.583333333333333</v>
      </c>
      <c r="BJ24" s="47" t="n">
        <v>4.583333333333333</v>
      </c>
      <c r="BK24" s="47" t="n">
        <v>4.583333333333333</v>
      </c>
      <c r="BL24" s="47" t="n">
        <v>4.583333333333333</v>
      </c>
      <c r="BM24" s="47" t="n">
        <v>4.583333333333333</v>
      </c>
      <c r="BN24" s="47" t="n">
        <v>4.583333333333333</v>
      </c>
      <c r="BO24" s="47" t="n">
        <v>4.583333333333333</v>
      </c>
      <c r="BP24" s="47" t="n">
        <v>4.583333333333333</v>
      </c>
      <c r="BQ24" s="47" t="n">
        <v>3.82439</v>
      </c>
      <c r="BR24" s="47" t="n">
        <v>4.720833333333333</v>
      </c>
      <c r="BS24" s="47" t="n">
        <v>4.720833333333333</v>
      </c>
      <c r="BT24" s="47" t="n">
        <v>4.720833333333333</v>
      </c>
      <c r="BU24" s="47" t="n">
        <v>4.720833333333333</v>
      </c>
      <c r="BV24" s="47" t="n">
        <v>4.720833333333333</v>
      </c>
      <c r="BW24" s="47" t="n">
        <v>4.720833333333333</v>
      </c>
      <c r="BX24" s="47" t="n">
        <v>4.720833333333333</v>
      </c>
      <c r="BY24" s="47" t="n">
        <v>4.720833333333333</v>
      </c>
      <c r="BZ24" s="47" t="n">
        <v>4.720833333333333</v>
      </c>
      <c r="CA24" s="47" t="n">
        <v>4.720833333333333</v>
      </c>
      <c r="CB24" s="47" t="n">
        <v>4.720833333333333</v>
      </c>
      <c r="CC24" s="47" t="n">
        <v>3.9391217</v>
      </c>
      <c r="CD24" s="47" t="n">
        <v>4.862458333333333</v>
      </c>
      <c r="CE24" s="47" t="n">
        <v>4.862458333333333</v>
      </c>
      <c r="CF24" s="47" t="n">
        <v>4.862458333333333</v>
      </c>
      <c r="CG24" s="47" t="n">
        <v>4.862458333333333</v>
      </c>
      <c r="CH24" s="47" t="n">
        <v>4.862458333333333</v>
      </c>
      <c r="CI24" s="47" t="n">
        <v>4.862458333333333</v>
      </c>
      <c r="CJ24" s="47" t="n">
        <v>4.862458333333333</v>
      </c>
      <c r="CK24" s="47" t="n">
        <v>4.862458333333333</v>
      </c>
      <c r="CL24" s="47" t="n">
        <v>4.862458333333333</v>
      </c>
      <c r="CM24" s="47" t="n">
        <v>4.862458333333333</v>
      </c>
      <c r="CN24" s="47" t="n">
        <v>4.862458333333333</v>
      </c>
      <c r="CO24" s="47" t="n">
        <v>4.057295351</v>
      </c>
      <c r="CP24" s="47" t="n">
        <v>5.008332083333332</v>
      </c>
      <c r="CQ24" s="47" t="n">
        <v>5.008332083333332</v>
      </c>
      <c r="CR24" s="47" t="n">
        <v>5.008332083333332</v>
      </c>
      <c r="CS24" s="47" t="n">
        <v>5.008332083333332</v>
      </c>
      <c r="CT24" s="47" t="n">
        <v>5.008332083333332</v>
      </c>
      <c r="CU24" s="47" t="n">
        <v>5.008332083333332</v>
      </c>
      <c r="CV24" s="47" t="n">
        <v>5.008332083333332</v>
      </c>
      <c r="CW24" s="47" t="n">
        <v>5.008332083333332</v>
      </c>
      <c r="CX24" s="47" t="n">
        <v>5.008332083333332</v>
      </c>
      <c r="CY24" s="47" t="n">
        <v>5.008332083333332</v>
      </c>
      <c r="CZ24" s="47" t="n">
        <v>5.008332083333332</v>
      </c>
      <c r="DA24" s="47" t="n">
        <v>4.17901421153</v>
      </c>
      <c r="DB24" s="47" t="n">
        <v>5.158582045833333</v>
      </c>
      <c r="DC24" s="47" t="n">
        <v>5.158582045833333</v>
      </c>
      <c r="DD24" s="47" t="n">
        <v>5.158582045833333</v>
      </c>
      <c r="DE24" s="47" t="n">
        <v>5.158582045833333</v>
      </c>
      <c r="DF24" s="47" t="n">
        <v>5.158582045833333</v>
      </c>
      <c r="DG24" s="47" t="n">
        <v>5.158582045833333</v>
      </c>
      <c r="DH24" s="47" t="n">
        <v>5.158582045833333</v>
      </c>
      <c r="DI24" s="47" t="n">
        <v>5.158582045833333</v>
      </c>
      <c r="DJ24" s="47" t="n">
        <v>5.158582045833333</v>
      </c>
      <c r="DK24" s="47" t="n">
        <v>5.158582045833333</v>
      </c>
      <c r="DL24" s="47" t="n">
        <v>5.158582045833333</v>
      </c>
      <c r="DM24" s="47" t="n">
        <v>0</v>
      </c>
      <c r="DN24" s="47" t="n">
        <v>0</v>
      </c>
      <c r="DO24" s="47" t="n">
        <v>0</v>
      </c>
      <c r="DP24" s="47" t="n">
        <v>0</v>
      </c>
      <c r="DQ24" s="47" t="n">
        <v>0</v>
      </c>
      <c r="DR24" s="47" t="n">
        <v>0</v>
      </c>
      <c r="DT24" s="46">
        <f>+F24-E24</f>
        <v/>
      </c>
      <c r="DU24" s="46">
        <f>+G24-F24</f>
        <v/>
      </c>
      <c r="DV24" s="46">
        <f>+H24-G24</f>
        <v/>
      </c>
      <c r="DW24" s="46">
        <f>+I24-H24</f>
        <v/>
      </c>
    </row>
    <row r="25" hidden="1" outlineLevel="1" ht="15.75" customHeight="1">
      <c r="B25" s="5" t="inlineStr">
        <is>
          <t>ARP</t>
        </is>
      </c>
      <c r="C25" s="68" t="inlineStr">
        <is>
          <t>Lower Middle Market</t>
        </is>
      </c>
      <c r="E25" s="46">
        <f>+SUMIFS($O25:$DR25,$O$7:$DR$7,E$7)</f>
        <v/>
      </c>
      <c r="F25" s="46">
        <f>+SUMIFS($O25:$DR25,$O$7:$DR$7,F$7)</f>
        <v/>
      </c>
      <c r="G25" s="46">
        <f>+SUMIFS($O25:$DR25,$O$7:$DR$7,G$7)</f>
        <v/>
      </c>
      <c r="H25" s="46">
        <f>+SUMIFS($O25:$DR25,$O$7:$DR$7,H$7)</f>
        <v/>
      </c>
      <c r="I25" s="46">
        <f>+SUMIFS($O25:$DR25,$O$7:$DR$7,I$7)</f>
        <v/>
      </c>
      <c r="J25" s="46">
        <f>+SUMIFS($O25:$DR25,$O$7:$DR$7,J$7)</f>
        <v/>
      </c>
      <c r="K25" s="46">
        <f>+SUMIFS($O25:$DR25,$O$7:$DR$7,K$7)</f>
        <v/>
      </c>
      <c r="L25" s="46">
        <f>+SUMIFS($O25:$DR25,$O$7:$DR$7,L$7)</f>
        <v/>
      </c>
      <c r="M25" s="46">
        <f>+SUMIFS($O25:$DR25,$O$7:$DR$7,M$7)</f>
        <v/>
      </c>
      <c r="O25" s="47" t="n">
        <v>0</v>
      </c>
      <c r="P25" s="47" t="n">
        <v>0</v>
      </c>
      <c r="Q25" s="47" t="n">
        <v>0</v>
      </c>
      <c r="R25" s="47" t="n">
        <v>0</v>
      </c>
      <c r="S25" s="47" t="n">
        <v>0</v>
      </c>
      <c r="T25" s="47" t="n">
        <v>0</v>
      </c>
      <c r="U25" s="47" t="n">
        <v>0</v>
      </c>
      <c r="V25" s="47" t="n">
        <v>0</v>
      </c>
      <c r="W25" s="47" t="n">
        <v>0</v>
      </c>
      <c r="X25" s="47" t="n">
        <v>0</v>
      </c>
      <c r="Y25" s="47" t="n">
        <v>0</v>
      </c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47" t="n">
        <v>0</v>
      </c>
      <c r="AI25" s="47" t="n">
        <v>0</v>
      </c>
      <c r="AJ25" s="47" t="n">
        <v>0</v>
      </c>
      <c r="AK25" s="47" t="n">
        <v>0</v>
      </c>
      <c r="AL25" s="47" t="n">
        <v>0</v>
      </c>
      <c r="AM25" s="47" t="n">
        <v>0</v>
      </c>
      <c r="AN25" s="47" t="n">
        <v>0</v>
      </c>
      <c r="AO25" s="47" t="n">
        <v>0</v>
      </c>
      <c r="AP25" s="47" t="n">
        <v>0</v>
      </c>
      <c r="AQ25" s="47" t="n">
        <v>0</v>
      </c>
      <c r="AR25" s="47" t="n">
        <v>0</v>
      </c>
      <c r="AS25" s="47" t="n">
        <v>0</v>
      </c>
      <c r="AT25" s="47" t="n">
        <v>0</v>
      </c>
      <c r="AU25" s="47" t="n">
        <v>0</v>
      </c>
      <c r="AV25" s="47" t="n">
        <v>0</v>
      </c>
      <c r="AW25" s="47" t="n">
        <v>0</v>
      </c>
      <c r="AX25" s="47" t="n">
        <v>0</v>
      </c>
      <c r="AY25" s="47" t="n">
        <v>0</v>
      </c>
      <c r="AZ25" s="47" t="n">
        <v>0</v>
      </c>
      <c r="BA25" s="47" t="n">
        <v>0</v>
      </c>
      <c r="BB25" s="47" t="n">
        <v>0</v>
      </c>
      <c r="BC25" s="47" t="n">
        <v>0</v>
      </c>
      <c r="BD25" s="47" t="n">
        <v>0</v>
      </c>
      <c r="BE25" s="47" t="n">
        <v>0</v>
      </c>
      <c r="BF25" s="47" t="n">
        <v>0</v>
      </c>
      <c r="BG25" s="47" t="n">
        <v>0</v>
      </c>
      <c r="BH25" s="47" t="n">
        <v>0</v>
      </c>
      <c r="BI25" s="47" t="n">
        <v>2.805</v>
      </c>
      <c r="BJ25" s="47" t="n">
        <v>2.805</v>
      </c>
      <c r="BK25" s="47" t="n">
        <v>2.805</v>
      </c>
      <c r="BL25" s="47" t="n">
        <v>2.805</v>
      </c>
      <c r="BM25" s="47" t="n">
        <v>2.805</v>
      </c>
      <c r="BN25" s="47" t="n">
        <v>2.805</v>
      </c>
      <c r="BO25" s="47" t="n">
        <v>6</v>
      </c>
      <c r="BP25" s="47" t="n">
        <v>6</v>
      </c>
      <c r="BQ25" s="47" t="n">
        <v>6</v>
      </c>
      <c r="BR25" s="47" t="n">
        <v>6</v>
      </c>
      <c r="BS25" s="47" t="n">
        <v>6</v>
      </c>
      <c r="BT25" s="47" t="n">
        <v>6</v>
      </c>
      <c r="BU25" s="47" t="n">
        <v>6</v>
      </c>
      <c r="BV25" s="47" t="n">
        <v>6</v>
      </c>
      <c r="BW25" s="47" t="n">
        <v>6</v>
      </c>
      <c r="BX25" s="47" t="n">
        <v>6</v>
      </c>
      <c r="BY25" s="47" t="n">
        <v>6</v>
      </c>
      <c r="BZ25" s="47" t="n">
        <v>6</v>
      </c>
      <c r="CA25" s="47" t="n">
        <v>6.3</v>
      </c>
      <c r="CB25" s="47" t="n">
        <v>6.3</v>
      </c>
      <c r="CC25" s="47" t="n">
        <v>6.3</v>
      </c>
      <c r="CD25" s="47" t="n">
        <v>6.3</v>
      </c>
      <c r="CE25" s="47" t="n">
        <v>6.3</v>
      </c>
      <c r="CF25" s="47" t="n">
        <v>6.3</v>
      </c>
      <c r="CG25" s="47" t="n">
        <v>6.3</v>
      </c>
      <c r="CH25" s="47" t="n">
        <v>6.3</v>
      </c>
      <c r="CI25" s="47" t="n">
        <v>6.3</v>
      </c>
      <c r="CJ25" s="47" t="n">
        <v>6.3</v>
      </c>
      <c r="CK25" s="47" t="n">
        <v>6.3</v>
      </c>
      <c r="CL25" s="47" t="n">
        <v>6.3</v>
      </c>
      <c r="CM25" s="47" t="n">
        <v>6.615</v>
      </c>
      <c r="CN25" s="47" t="n">
        <v>6.615</v>
      </c>
      <c r="CO25" s="47" t="n">
        <v>6.615</v>
      </c>
      <c r="CP25" s="47" t="n">
        <v>6.615</v>
      </c>
      <c r="CQ25" s="47" t="n">
        <v>6.615</v>
      </c>
      <c r="CR25" s="47" t="n">
        <v>6.615</v>
      </c>
      <c r="CS25" s="47" t="n">
        <v>6.615</v>
      </c>
      <c r="CT25" s="47" t="n">
        <v>6.615</v>
      </c>
      <c r="CU25" s="47" t="n">
        <v>6.615</v>
      </c>
      <c r="CV25" s="47" t="n">
        <v>6.615</v>
      </c>
      <c r="CW25" s="47" t="n">
        <v>6.615</v>
      </c>
      <c r="CX25" s="47" t="n">
        <v>6.615</v>
      </c>
      <c r="CY25" s="47" t="n">
        <v>6.94575</v>
      </c>
      <c r="CZ25" s="47" t="n">
        <v>6.94575</v>
      </c>
      <c r="DA25" s="47" t="n">
        <v>6.94575</v>
      </c>
      <c r="DB25" s="47" t="n">
        <v>6.94575</v>
      </c>
      <c r="DC25" s="47" t="n">
        <v>6.94575</v>
      </c>
      <c r="DD25" s="47" t="n">
        <v>6.94575</v>
      </c>
      <c r="DE25" s="47" t="n">
        <v>6.94575</v>
      </c>
      <c r="DF25" s="47" t="n">
        <v>6.94575</v>
      </c>
      <c r="DG25" s="47" t="n">
        <v>6.94575</v>
      </c>
      <c r="DH25" s="47" t="n">
        <v>6.94575</v>
      </c>
      <c r="DI25" s="47" t="n">
        <v>6.94575</v>
      </c>
      <c r="DJ25" s="47" t="n">
        <v>6.94575</v>
      </c>
      <c r="DK25" s="47" t="n">
        <v>7.293037500000001</v>
      </c>
      <c r="DL25" s="47" t="n">
        <v>7.293037500000001</v>
      </c>
      <c r="DM25" s="47" t="n">
        <v>7.293037500000001</v>
      </c>
      <c r="DN25" s="47" t="n">
        <v>7.293037500000001</v>
      </c>
      <c r="DO25" s="47" t="n">
        <v>7.293037500000001</v>
      </c>
      <c r="DP25" s="47" t="n">
        <v>7.293037500000001</v>
      </c>
      <c r="DQ25" s="47" t="n">
        <v>7.293037500000001</v>
      </c>
      <c r="DR25" s="47" t="n">
        <v>7.293037500000001</v>
      </c>
      <c r="DT25" s="46">
        <f>+F25-E25</f>
        <v/>
      </c>
      <c r="DU25" s="46">
        <f>+G25-F25</f>
        <v/>
      </c>
      <c r="DV25" s="46">
        <f>+H25-G25</f>
        <v/>
      </c>
      <c r="DW25" s="46">
        <f>+I25-H25</f>
        <v/>
      </c>
    </row>
    <row r="26" hidden="1" outlineLevel="1" ht="15.75" customHeight="1">
      <c r="B26" s="5" t="inlineStr">
        <is>
          <t>ARVO</t>
        </is>
      </c>
      <c r="C26" s="68" t="inlineStr">
        <is>
          <t>Lower Middle Market</t>
        </is>
      </c>
      <c r="E26" s="46">
        <f>+SUMIFS($O26:$DR26,$O$7:$DR$7,E$7)</f>
        <v/>
      </c>
      <c r="F26" s="46">
        <f>+SUMIFS($O26:$DR26,$O$7:$DR$7,F$7)</f>
        <v/>
      </c>
      <c r="G26" s="46">
        <f>+SUMIFS($O26:$DR26,$O$7:$DR$7,G$7)</f>
        <v/>
      </c>
      <c r="H26" s="46">
        <f>+SUMIFS($O26:$DR26,$O$7:$DR$7,H$7)</f>
        <v/>
      </c>
      <c r="I26" s="46">
        <f>+SUMIFS($O26:$DR26,$O$7:$DR$7,I$7)</f>
        <v/>
      </c>
      <c r="J26" s="46">
        <f>+SUMIFS($O26:$DR26,$O$7:$DR$7,J$7)</f>
        <v/>
      </c>
      <c r="K26" s="46">
        <f>+SUMIFS($O26:$DR26,$O$7:$DR$7,K$7)</f>
        <v/>
      </c>
      <c r="L26" s="46">
        <f>+SUMIFS($O26:$DR26,$O$7:$DR$7,L$7)</f>
        <v/>
      </c>
      <c r="M26" s="46">
        <f>+SUMIFS($O26:$DR26,$O$7:$DR$7,M$7)</f>
        <v/>
      </c>
      <c r="O26" s="47" t="n">
        <v>15.936</v>
      </c>
      <c r="P26" s="47" t="n">
        <v>15.936</v>
      </c>
      <c r="Q26" s="47" t="n">
        <v>15.936</v>
      </c>
      <c r="R26" s="47" t="n">
        <v>15.936</v>
      </c>
      <c r="S26" s="47" t="n">
        <v>15.936</v>
      </c>
      <c r="T26" s="47" t="n">
        <v>15.936</v>
      </c>
      <c r="U26" s="47" t="n">
        <v>15.936</v>
      </c>
      <c r="V26" s="47" t="n">
        <v>15.936</v>
      </c>
      <c r="W26" s="47" t="n">
        <v>15.936</v>
      </c>
      <c r="X26" s="47" t="n">
        <v>15.936</v>
      </c>
      <c r="Y26" s="47" t="n">
        <v>15.936</v>
      </c>
      <c r="Z26" s="47" t="n">
        <v>15.936</v>
      </c>
      <c r="AA26" s="47" t="n">
        <v>16.414</v>
      </c>
      <c r="AB26" s="47" t="n">
        <v>16.414</v>
      </c>
      <c r="AC26" s="47" t="n">
        <v>16.414</v>
      </c>
      <c r="AD26" s="47" t="n">
        <v>16.414</v>
      </c>
      <c r="AE26" s="47" t="n">
        <v>16.414</v>
      </c>
      <c r="AF26" s="47" t="n">
        <v>16.414</v>
      </c>
      <c r="AG26" s="47" t="n">
        <v>16.414</v>
      </c>
      <c r="AH26" s="47" t="n">
        <v>16.414</v>
      </c>
      <c r="AI26" s="47" t="n">
        <v>16.414</v>
      </c>
      <c r="AJ26" s="47" t="n">
        <v>16.414</v>
      </c>
      <c r="AK26" s="47" t="n">
        <v>16.414</v>
      </c>
      <c r="AL26" s="47" t="n">
        <v>16.414</v>
      </c>
      <c r="AM26" s="47" t="n">
        <v>16.906</v>
      </c>
      <c r="AN26" s="47" t="n">
        <v>16.906</v>
      </c>
      <c r="AO26" s="47" t="n">
        <v>16.906</v>
      </c>
      <c r="AP26" s="47" t="n">
        <v>16.906</v>
      </c>
      <c r="AQ26" s="47" t="n">
        <v>16.906</v>
      </c>
      <c r="AR26" s="47" t="n">
        <v>16.906</v>
      </c>
      <c r="AS26" s="47" t="n">
        <v>16.906</v>
      </c>
      <c r="AT26" s="47" t="n">
        <v>16.906</v>
      </c>
      <c r="AU26" s="47" t="n">
        <v>16.906</v>
      </c>
      <c r="AV26" s="47" t="n">
        <v>16.906</v>
      </c>
      <c r="AW26" s="47" t="n">
        <v>16.906</v>
      </c>
      <c r="AX26" s="47" t="n">
        <v>16.907</v>
      </c>
      <c r="AY26" s="47" t="n">
        <v>17.413347375</v>
      </c>
      <c r="AZ26" s="47" t="n">
        <v>17.413347375</v>
      </c>
      <c r="BA26" s="47" t="n">
        <v>17.413347375</v>
      </c>
      <c r="BB26" s="47" t="n">
        <v>17.413347375</v>
      </c>
      <c r="BC26" s="47" t="n">
        <v>17.413347375</v>
      </c>
      <c r="BD26" s="47" t="n">
        <v>17.413347375</v>
      </c>
      <c r="BE26" s="47" t="n">
        <v>17.413347375</v>
      </c>
      <c r="BF26" s="47" t="n">
        <v>17.413347375</v>
      </c>
      <c r="BG26" s="47" t="n">
        <v>17.413347375</v>
      </c>
      <c r="BH26" s="47" t="n">
        <v>17.413347375</v>
      </c>
      <c r="BI26" s="47" t="n">
        <v>17.413347375</v>
      </c>
      <c r="BJ26" s="47" t="n">
        <v>17.413347375</v>
      </c>
      <c r="BK26" s="47" t="n">
        <v>17.93574779625</v>
      </c>
      <c r="BL26" s="47" t="n">
        <v>17.93574779625</v>
      </c>
      <c r="BM26" s="47" t="n">
        <v>17.93574779625</v>
      </c>
      <c r="BN26" s="47" t="n">
        <v>17.93574779625</v>
      </c>
      <c r="BO26" s="47" t="n">
        <v>17.93574779625</v>
      </c>
      <c r="BP26" s="47" t="n">
        <v>17.93574779625</v>
      </c>
      <c r="BQ26" s="47" t="n">
        <v>17.93574779625</v>
      </c>
      <c r="BR26" s="47" t="n">
        <v>17.93574779625</v>
      </c>
      <c r="BS26" s="47" t="n">
        <v>17.93574779625</v>
      </c>
      <c r="BT26" s="47" t="n">
        <v>17.93574779625</v>
      </c>
      <c r="BU26" s="47" t="n">
        <v>17.93574779625</v>
      </c>
      <c r="BV26" s="47" t="n">
        <v>17.93574779625</v>
      </c>
      <c r="BW26" s="47" t="n">
        <v>18.4738202301375</v>
      </c>
      <c r="BX26" s="47" t="n">
        <v>18.4738202301375</v>
      </c>
      <c r="BY26" s="47" t="n">
        <v>18.4738202301375</v>
      </c>
      <c r="BZ26" s="47" t="n">
        <v>18.4738202301375</v>
      </c>
      <c r="CA26" s="47" t="n">
        <v>18.4738202301375</v>
      </c>
      <c r="CB26" s="47" t="n">
        <v>18.4738202301375</v>
      </c>
      <c r="CC26" s="47" t="n">
        <v>18.4738202301375</v>
      </c>
      <c r="CD26" s="47" t="n">
        <v>18.4738202301375</v>
      </c>
      <c r="CE26" s="47" t="n">
        <v>18.4738202301375</v>
      </c>
      <c r="CF26" s="47" t="n">
        <v>18.4738202301375</v>
      </c>
      <c r="CG26" s="47" t="n">
        <v>18.4738202301375</v>
      </c>
      <c r="CH26" s="47" t="n">
        <v>18.4738202301375</v>
      </c>
      <c r="CI26" s="47" t="n">
        <v>0</v>
      </c>
      <c r="CJ26" s="47" t="n">
        <v>0</v>
      </c>
      <c r="CK26" s="47" t="n">
        <v>0</v>
      </c>
      <c r="CL26" s="47" t="n">
        <v>0</v>
      </c>
      <c r="CM26" s="47" t="n">
        <v>0</v>
      </c>
      <c r="CN26" s="47" t="n">
        <v>0</v>
      </c>
      <c r="CO26" s="47" t="n">
        <v>0</v>
      </c>
      <c r="CP26" s="47" t="n">
        <v>0</v>
      </c>
      <c r="CQ26" s="47" t="n">
        <v>0</v>
      </c>
      <c r="CR26" s="47" t="n">
        <v>0</v>
      </c>
      <c r="CS26" s="47" t="n">
        <v>0</v>
      </c>
      <c r="CT26" s="47" t="n">
        <v>0</v>
      </c>
      <c r="CU26" s="47" t="n">
        <v>0</v>
      </c>
      <c r="CV26" s="47" t="n">
        <v>0</v>
      </c>
      <c r="CW26" s="47" t="n">
        <v>0</v>
      </c>
      <c r="CX26" s="47" t="n">
        <v>0</v>
      </c>
      <c r="CY26" s="47" t="n">
        <v>0</v>
      </c>
      <c r="CZ26" s="47" t="n">
        <v>0</v>
      </c>
      <c r="DA26" s="47" t="n">
        <v>0</v>
      </c>
      <c r="DB26" s="47" t="n">
        <v>0</v>
      </c>
      <c r="DC26" s="47" t="n">
        <v>0</v>
      </c>
      <c r="DD26" s="47" t="n">
        <v>0</v>
      </c>
      <c r="DE26" s="47" t="n">
        <v>0</v>
      </c>
      <c r="DF26" s="47" t="n">
        <v>0</v>
      </c>
      <c r="DG26" s="47" t="n">
        <v>0</v>
      </c>
      <c r="DH26" s="47" t="n">
        <v>0</v>
      </c>
      <c r="DI26" s="47" t="n">
        <v>0</v>
      </c>
      <c r="DJ26" s="47" t="n">
        <v>0</v>
      </c>
      <c r="DK26" s="47" t="n">
        <v>0</v>
      </c>
      <c r="DL26" s="47" t="n">
        <v>0</v>
      </c>
      <c r="DM26" s="47" t="n">
        <v>0</v>
      </c>
      <c r="DN26" s="47" t="n">
        <v>0</v>
      </c>
      <c r="DO26" s="47" t="n">
        <v>0</v>
      </c>
      <c r="DP26" s="47" t="n">
        <v>0</v>
      </c>
      <c r="DQ26" s="47" t="n">
        <v>0</v>
      </c>
      <c r="DR26" s="47" t="n">
        <v>0</v>
      </c>
      <c r="DT26" s="46">
        <f>+F26-E26</f>
        <v/>
      </c>
      <c r="DU26" s="46">
        <f>+G26-F26</f>
        <v/>
      </c>
      <c r="DV26" s="46">
        <f>+H26-G26</f>
        <v/>
      </c>
      <c r="DW26" s="46">
        <f>+I26-H26</f>
        <v/>
      </c>
    </row>
    <row r="27" hidden="1" outlineLevel="1" ht="15.75" customHeight="1">
      <c r="B27" s="5" t="inlineStr">
        <is>
          <t>ASA</t>
        </is>
      </c>
      <c r="C27" s="68" t="inlineStr">
        <is>
          <t>Upper Middle Market</t>
        </is>
      </c>
      <c r="E27" s="46">
        <f>+SUMIFS($O27:$DR27,$O$7:$DR$7,E$7)</f>
        <v/>
      </c>
      <c r="F27" s="46">
        <f>+SUMIFS($O27:$DR27,$O$7:$DR$7,F$7)</f>
        <v/>
      </c>
      <c r="G27" s="46">
        <f>+SUMIFS($O27:$DR27,$O$7:$DR$7,G$7)</f>
        <v/>
      </c>
      <c r="H27" s="46">
        <f>+SUMIFS($O27:$DR27,$O$7:$DR$7,H$7)</f>
        <v/>
      </c>
      <c r="I27" s="46">
        <f>+SUMIFS($O27:$DR27,$O$7:$DR$7,I$7)</f>
        <v/>
      </c>
      <c r="J27" s="46">
        <f>+SUMIFS($O27:$DR27,$O$7:$DR$7,J$7)</f>
        <v/>
      </c>
      <c r="K27" s="46">
        <f>+SUMIFS($O27:$DR27,$O$7:$DR$7,K$7)</f>
        <v/>
      </c>
      <c r="L27" s="46">
        <f>+SUMIFS($O27:$DR27,$O$7:$DR$7,L$7)</f>
        <v/>
      </c>
      <c r="M27" s="46">
        <f>+SUMIFS($O27:$DR27,$O$7:$DR$7,M$7)</f>
        <v/>
      </c>
      <c r="O27" s="47" t="n">
        <v>18.75</v>
      </c>
      <c r="P27" s="47" t="n">
        <v>18.75</v>
      </c>
      <c r="Q27" s="47" t="n">
        <v>18.75</v>
      </c>
      <c r="R27" s="47" t="n">
        <v>18.75</v>
      </c>
      <c r="S27" s="47" t="n">
        <v>18.75</v>
      </c>
      <c r="T27" s="47" t="n">
        <v>18.75</v>
      </c>
      <c r="U27" s="47" t="n">
        <v>18.75</v>
      </c>
      <c r="V27" s="47" t="n">
        <v>18.75</v>
      </c>
      <c r="W27" s="47" t="n">
        <v>18.75</v>
      </c>
      <c r="X27" s="47" t="n">
        <v>18.75</v>
      </c>
      <c r="Y27" s="47" t="n">
        <v>18.75</v>
      </c>
      <c r="Z27" s="47" t="n">
        <v>18.75</v>
      </c>
      <c r="AA27" s="47" t="n">
        <v>18.75</v>
      </c>
      <c r="AB27" s="47" t="n">
        <v>18.75</v>
      </c>
      <c r="AC27" s="47" t="n">
        <v>18.75</v>
      </c>
      <c r="AD27" s="47" t="n">
        <v>18.75</v>
      </c>
      <c r="AE27" s="47" t="n">
        <v>18.75</v>
      </c>
      <c r="AF27" s="47" t="n">
        <v>18.75</v>
      </c>
      <c r="AG27" s="47" t="n">
        <v>18.75</v>
      </c>
      <c r="AH27" s="47" t="n">
        <v>18.75</v>
      </c>
      <c r="AI27" s="47" t="n">
        <v>18.75</v>
      </c>
      <c r="AJ27" s="47" t="n">
        <v>18.75</v>
      </c>
      <c r="AK27" s="47" t="n">
        <v>18.75</v>
      </c>
      <c r="AL27" s="47" t="n">
        <v>18.75</v>
      </c>
      <c r="AM27" s="47" t="n">
        <v>16.25</v>
      </c>
      <c r="AN27" s="47" t="n">
        <v>16.25</v>
      </c>
      <c r="AO27" s="47" t="n">
        <v>16.25</v>
      </c>
      <c r="AP27" s="47" t="n">
        <v>16.25</v>
      </c>
      <c r="AQ27" s="47" t="n">
        <v>16.25</v>
      </c>
      <c r="AR27" s="47" t="n">
        <v>16.25</v>
      </c>
      <c r="AS27" s="47" t="n">
        <v>16.25</v>
      </c>
      <c r="AT27" s="47" t="n">
        <v>14.224</v>
      </c>
      <c r="AU27" s="47" t="n">
        <v>16.25</v>
      </c>
      <c r="AV27" s="47" t="n">
        <v>16.25</v>
      </c>
      <c r="AW27" s="47" t="n">
        <v>16.25</v>
      </c>
      <c r="AX27" s="47" t="n">
        <v>16.25</v>
      </c>
      <c r="AY27" s="47" t="n">
        <v>16.7375</v>
      </c>
      <c r="AZ27" s="47" t="n">
        <v>16.7375</v>
      </c>
      <c r="BA27" s="47" t="n">
        <v>16.7375</v>
      </c>
      <c r="BB27" s="47" t="n">
        <v>16.7375</v>
      </c>
      <c r="BC27" s="47" t="n">
        <v>16.7375</v>
      </c>
      <c r="BD27" s="47" t="n">
        <v>16.7375</v>
      </c>
      <c r="BE27" s="47" t="n">
        <v>16.7375</v>
      </c>
      <c r="BF27" s="47" t="n">
        <v>16.7375</v>
      </c>
      <c r="BG27" s="47" t="n">
        <v>16.7375</v>
      </c>
      <c r="BH27" s="47" t="n">
        <v>16.7375</v>
      </c>
      <c r="BI27" s="47" t="n">
        <v>16.7375</v>
      </c>
      <c r="BJ27" s="47" t="n">
        <v>16.7375</v>
      </c>
      <c r="BK27" s="47" t="n">
        <v>17.239625</v>
      </c>
      <c r="BL27" s="47" t="n">
        <v>17.239625</v>
      </c>
      <c r="BM27" s="47" t="n">
        <v>17.239625</v>
      </c>
      <c r="BN27" s="47" t="n">
        <v>17.239625</v>
      </c>
      <c r="BO27" s="47" t="n">
        <v>17.239625</v>
      </c>
      <c r="BP27" s="47" t="n">
        <v>17.239625</v>
      </c>
      <c r="BQ27" s="47" t="n">
        <v>17.239625</v>
      </c>
      <c r="BR27" s="47" t="n">
        <v>17.239625</v>
      </c>
      <c r="BS27" s="47" t="n">
        <v>17.239625</v>
      </c>
      <c r="BT27" s="47" t="n">
        <v>17.239625</v>
      </c>
      <c r="BU27" s="47" t="n">
        <v>17.239625</v>
      </c>
      <c r="BV27" s="47" t="n">
        <v>17.239625</v>
      </c>
      <c r="BW27" s="47" t="n">
        <v>17.75681375</v>
      </c>
      <c r="BX27" s="47" t="n">
        <v>17.75681375</v>
      </c>
      <c r="BY27" s="47" t="n">
        <v>17.75681375</v>
      </c>
      <c r="BZ27" s="47" t="n">
        <v>17.75681375</v>
      </c>
      <c r="CA27" s="47" t="n">
        <v>17.75681375</v>
      </c>
      <c r="CB27" s="47" t="n">
        <v>17.75681375</v>
      </c>
      <c r="CC27" s="47" t="n">
        <v>17.75681375</v>
      </c>
      <c r="CD27" s="47" t="n">
        <v>17.75681375</v>
      </c>
      <c r="CE27" s="47" t="n">
        <v>17.75681375</v>
      </c>
      <c r="CF27" s="47" t="n">
        <v>17.75681375</v>
      </c>
      <c r="CG27" s="47" t="n">
        <v>17.75681375</v>
      </c>
      <c r="CH27" s="47" t="n">
        <v>17.75681375</v>
      </c>
      <c r="CI27" s="47" t="n">
        <v>18.2895181625</v>
      </c>
      <c r="CJ27" s="47" t="n">
        <v>18.2895181625</v>
      </c>
      <c r="CK27" s="47" t="n">
        <v>18.2895181625</v>
      </c>
      <c r="CL27" s="47" t="n">
        <v>18.2895181625</v>
      </c>
      <c r="CM27" s="47" t="n">
        <v>18.2895181625</v>
      </c>
      <c r="CN27" s="47" t="n">
        <v>18.2895181625</v>
      </c>
      <c r="CO27" s="47" t="n">
        <v>18.2895181625</v>
      </c>
      <c r="CP27" s="47" t="n">
        <v>18.2895181625</v>
      </c>
      <c r="CQ27" s="47" t="n">
        <v>18.2895181625</v>
      </c>
      <c r="CR27" s="47" t="n">
        <v>18.2895181625</v>
      </c>
      <c r="CS27" s="47" t="n">
        <v>18.2895181625</v>
      </c>
      <c r="CT27" s="47" t="n">
        <v>18.2895181625</v>
      </c>
      <c r="CU27" s="47" t="n">
        <v>0</v>
      </c>
      <c r="CV27" s="47" t="n">
        <v>0</v>
      </c>
      <c r="CW27" s="47" t="n">
        <v>0</v>
      </c>
      <c r="CX27" s="47" t="n">
        <v>0</v>
      </c>
      <c r="CY27" s="47" t="n">
        <v>0</v>
      </c>
      <c r="CZ27" s="47" t="n">
        <v>0</v>
      </c>
      <c r="DA27" s="47" t="n">
        <v>0</v>
      </c>
      <c r="DB27" s="47" t="n">
        <v>0</v>
      </c>
      <c r="DC27" s="47" t="n">
        <v>0</v>
      </c>
      <c r="DD27" s="47" t="n">
        <v>0</v>
      </c>
      <c r="DE27" s="47" t="n">
        <v>0</v>
      </c>
      <c r="DF27" s="47" t="n">
        <v>0</v>
      </c>
      <c r="DG27" s="47" t="n">
        <v>0</v>
      </c>
      <c r="DH27" s="47" t="n">
        <v>0</v>
      </c>
      <c r="DI27" s="47" t="n">
        <v>0</v>
      </c>
      <c r="DJ27" s="47" t="n">
        <v>0</v>
      </c>
      <c r="DK27" s="47" t="n">
        <v>0</v>
      </c>
      <c r="DL27" s="47" t="n">
        <v>0</v>
      </c>
      <c r="DM27" s="47" t="n">
        <v>0</v>
      </c>
      <c r="DN27" s="47" t="n">
        <v>0</v>
      </c>
      <c r="DO27" s="47" t="n">
        <v>0</v>
      </c>
      <c r="DP27" s="47" t="n">
        <v>0</v>
      </c>
      <c r="DQ27" s="47" t="n">
        <v>0</v>
      </c>
      <c r="DR27" s="47" t="n">
        <v>0</v>
      </c>
      <c r="DT27" s="46">
        <f>+F27-E27</f>
        <v/>
      </c>
      <c r="DU27" s="46">
        <f>+G27-F27</f>
        <v/>
      </c>
      <c r="DV27" s="46">
        <f>+H27-G27</f>
        <v/>
      </c>
      <c r="DW27" s="46">
        <f>+I27-H27</f>
        <v/>
      </c>
    </row>
    <row r="28" hidden="1" outlineLevel="1" ht="15.75" customHeight="1">
      <c r="B28" s="5" t="inlineStr">
        <is>
          <t>ASM</t>
        </is>
      </c>
      <c r="C28" s="68" t="inlineStr">
        <is>
          <t>Upper Middle Market</t>
        </is>
      </c>
      <c r="E28" s="46">
        <f>+SUMIFS($O28:$DR28,$O$7:$DR$7,E$7)</f>
        <v/>
      </c>
      <c r="F28" s="46">
        <f>+SUMIFS($O28:$DR28,$O$7:$DR$7,F$7)</f>
        <v/>
      </c>
      <c r="G28" s="46">
        <f>+SUMIFS($O28:$DR28,$O$7:$DR$7,G$7)</f>
        <v/>
      </c>
      <c r="H28" s="46">
        <f>+SUMIFS($O28:$DR28,$O$7:$DR$7,H$7)</f>
        <v/>
      </c>
      <c r="I28" s="46">
        <f>+SUMIFS($O28:$DR28,$O$7:$DR$7,I$7)</f>
        <v/>
      </c>
      <c r="J28" s="46">
        <f>+SUMIFS($O28:$DR28,$O$7:$DR$7,J$7)</f>
        <v/>
      </c>
      <c r="K28" s="46">
        <f>+SUMIFS($O28:$DR28,$O$7:$DR$7,K$7)</f>
        <v/>
      </c>
      <c r="L28" s="46">
        <f>+SUMIFS($O28:$DR28,$O$7:$DR$7,L$7)</f>
        <v/>
      </c>
      <c r="M28" s="46">
        <f>+SUMIFS($O28:$DR28,$O$7:$DR$7,M$7)</f>
        <v/>
      </c>
      <c r="O28" s="47" t="n">
        <v>0</v>
      </c>
      <c r="P28" s="47" t="n">
        <v>0</v>
      </c>
      <c r="Q28" s="47" t="n">
        <v>0</v>
      </c>
      <c r="R28" s="47" t="n">
        <v>0</v>
      </c>
      <c r="S28" s="47" t="n">
        <v>0</v>
      </c>
      <c r="T28" s="47" t="n">
        <v>0</v>
      </c>
      <c r="U28" s="47" t="n">
        <v>0</v>
      </c>
      <c r="V28" s="47" t="n">
        <v>0</v>
      </c>
      <c r="W28" s="47" t="n">
        <v>0</v>
      </c>
      <c r="X28" s="47" t="n">
        <v>0</v>
      </c>
      <c r="Y28" s="47" t="n">
        <v>0</v>
      </c>
      <c r="Z28" s="47" t="n">
        <v>0</v>
      </c>
      <c r="AA28" s="47" t="n">
        <v>11.667</v>
      </c>
      <c r="AB28" s="47" t="n">
        <v>11.667</v>
      </c>
      <c r="AC28" s="47" t="n">
        <v>11.666</v>
      </c>
      <c r="AD28" s="47" t="n">
        <v>11.667</v>
      </c>
      <c r="AE28" s="47" t="n">
        <v>11.667</v>
      </c>
      <c r="AF28" s="47" t="n">
        <v>4.048999999999999</v>
      </c>
      <c r="AG28" s="47" t="n">
        <v>11.667</v>
      </c>
      <c r="AH28" s="47" t="n">
        <v>11.667</v>
      </c>
      <c r="AI28" s="47" t="n">
        <v>11.667</v>
      </c>
      <c r="AJ28" s="47" t="n">
        <v>11.667</v>
      </c>
      <c r="AK28" s="47" t="n">
        <v>11.667</v>
      </c>
      <c r="AL28" s="47" t="n">
        <v>11.666</v>
      </c>
      <c r="AM28" s="47" t="n">
        <v>18.684</v>
      </c>
      <c r="AN28" s="47" t="n">
        <v>18.684</v>
      </c>
      <c r="AO28" s="47" t="n">
        <v>18.684</v>
      </c>
      <c r="AP28" s="47" t="n">
        <v>18.683</v>
      </c>
      <c r="AQ28" s="47" t="n">
        <v>18.683</v>
      </c>
      <c r="AR28" s="47" t="n">
        <v>18.684</v>
      </c>
      <c r="AS28" s="47" t="n">
        <v>18.684</v>
      </c>
      <c r="AT28" s="47" t="n">
        <v>18.684</v>
      </c>
      <c r="AU28" s="47" t="n">
        <v>15.592</v>
      </c>
      <c r="AV28" s="47" t="n">
        <v>18.683</v>
      </c>
      <c r="AW28" s="47" t="n">
        <v>18.684</v>
      </c>
      <c r="AX28" s="47" t="n">
        <v>18.683</v>
      </c>
      <c r="AY28" s="47" t="n">
        <v>19.24383333333333</v>
      </c>
      <c r="AZ28" s="47" t="n">
        <v>19.24383333333333</v>
      </c>
      <c r="BA28" s="47" t="n">
        <v>19.24383333333333</v>
      </c>
      <c r="BB28" s="47" t="n">
        <v>19.24383333333333</v>
      </c>
      <c r="BC28" s="47" t="n">
        <v>19.24383333333333</v>
      </c>
      <c r="BD28" s="47" t="n">
        <v>19.24383333333333</v>
      </c>
      <c r="BE28" s="47" t="n">
        <v>19.24383333333333</v>
      </c>
      <c r="BF28" s="47" t="n">
        <v>19.24383333333333</v>
      </c>
      <c r="BG28" s="47" t="n">
        <v>19.24383333333333</v>
      </c>
      <c r="BH28" s="47" t="n">
        <v>19.24383333333333</v>
      </c>
      <c r="BI28" s="47" t="n">
        <v>19.24383333333333</v>
      </c>
      <c r="BJ28" s="47" t="n">
        <v>19.24383333333333</v>
      </c>
      <c r="BK28" s="47" t="n">
        <v>19.82116666666667</v>
      </c>
      <c r="BL28" s="47" t="n">
        <v>19.82116666666667</v>
      </c>
      <c r="BM28" s="47" t="n">
        <v>19.82116666666667</v>
      </c>
      <c r="BN28" s="47" t="n">
        <v>19.82116666666667</v>
      </c>
      <c r="BO28" s="47" t="n">
        <v>19.82116666666667</v>
      </c>
      <c r="BP28" s="47" t="n">
        <v>19.82116666666667</v>
      </c>
      <c r="BQ28" s="47" t="n">
        <v>19.82116666666667</v>
      </c>
      <c r="BR28" s="47" t="n">
        <v>19.82116666666667</v>
      </c>
      <c r="BS28" s="47" t="n">
        <v>19.82116666666667</v>
      </c>
      <c r="BT28" s="47" t="n">
        <v>19.82116666666667</v>
      </c>
      <c r="BU28" s="47" t="n">
        <v>19.82116666666667</v>
      </c>
      <c r="BV28" s="47" t="n">
        <v>19.82116666666667</v>
      </c>
      <c r="BW28" s="47" t="n">
        <v>20.41575</v>
      </c>
      <c r="BX28" s="47" t="n">
        <v>20.41575</v>
      </c>
      <c r="BY28" s="47" t="n">
        <v>20.41575</v>
      </c>
      <c r="BZ28" s="47" t="n">
        <v>20.41575</v>
      </c>
      <c r="CA28" s="47" t="n">
        <v>20.41575</v>
      </c>
      <c r="CB28" s="47" t="n">
        <v>20.41575</v>
      </c>
      <c r="CC28" s="47" t="n">
        <v>20.41575</v>
      </c>
      <c r="CD28" s="47" t="n">
        <v>20.41575</v>
      </c>
      <c r="CE28" s="47" t="n">
        <v>20.41575</v>
      </c>
      <c r="CF28" s="47" t="n">
        <v>20.41575</v>
      </c>
      <c r="CG28" s="47" t="n">
        <v>20.41575</v>
      </c>
      <c r="CH28" s="47" t="n">
        <v>20.41575</v>
      </c>
      <c r="CI28" s="47" t="n">
        <v>21.02825</v>
      </c>
      <c r="CJ28" s="47" t="n">
        <v>21.02825</v>
      </c>
      <c r="CK28" s="47" t="n">
        <v>21.02825</v>
      </c>
      <c r="CL28" s="47" t="n">
        <v>21.02825</v>
      </c>
      <c r="CM28" s="47" t="n">
        <v>21.02825</v>
      </c>
      <c r="CN28" s="47" t="n">
        <v>21.02825</v>
      </c>
      <c r="CO28" s="47" t="n">
        <v>21.02825</v>
      </c>
      <c r="CP28" s="47" t="n">
        <v>21.02825</v>
      </c>
      <c r="CQ28" s="47" t="n">
        <v>21.02825</v>
      </c>
      <c r="CR28" s="47" t="n">
        <v>21.02825</v>
      </c>
      <c r="CS28" s="47" t="n">
        <v>21.02825</v>
      </c>
      <c r="CT28" s="47" t="n">
        <v>21.02825</v>
      </c>
      <c r="CU28" s="47" t="n">
        <v>21.6590975</v>
      </c>
      <c r="CV28" s="47" t="n">
        <v>21.6590975</v>
      </c>
      <c r="CW28" s="47" t="n">
        <v>21.6590975</v>
      </c>
      <c r="CX28" s="47" t="n">
        <v>21.6590975</v>
      </c>
      <c r="CY28" s="47" t="n">
        <v>21.6590975</v>
      </c>
      <c r="CZ28" s="47" t="n">
        <v>21.6590975</v>
      </c>
      <c r="DA28" s="47" t="n">
        <v>21.6590975</v>
      </c>
      <c r="DB28" s="47" t="n">
        <v>21.6590975</v>
      </c>
      <c r="DC28" s="47" t="n">
        <v>21.6590975</v>
      </c>
      <c r="DD28" s="47" t="n">
        <v>21.6590975</v>
      </c>
      <c r="DE28" s="47" t="n">
        <v>21.6590975</v>
      </c>
      <c r="DF28" s="47" t="n">
        <v>21.6590975</v>
      </c>
      <c r="DG28" s="47" t="n">
        <v>0</v>
      </c>
      <c r="DH28" s="47" t="n">
        <v>0</v>
      </c>
      <c r="DI28" s="47" t="n">
        <v>0</v>
      </c>
      <c r="DJ28" s="47" t="n">
        <v>0</v>
      </c>
      <c r="DK28" s="47" t="n">
        <v>0</v>
      </c>
      <c r="DL28" s="47" t="n">
        <v>0</v>
      </c>
      <c r="DM28" s="47" t="n">
        <v>0</v>
      </c>
      <c r="DN28" s="47" t="n">
        <v>0</v>
      </c>
      <c r="DO28" s="47" t="n">
        <v>0</v>
      </c>
      <c r="DP28" s="47" t="n">
        <v>0</v>
      </c>
      <c r="DQ28" s="47" t="n">
        <v>0</v>
      </c>
      <c r="DR28" s="47" t="n">
        <v>0</v>
      </c>
      <c r="DT28" s="46">
        <f>+F28-E28</f>
        <v/>
      </c>
      <c r="DU28" s="46">
        <f>+G28-F28</f>
        <v/>
      </c>
      <c r="DV28" s="46">
        <f>+H28-G28</f>
        <v/>
      </c>
      <c r="DW28" s="46">
        <f>+I28-H28</f>
        <v/>
      </c>
    </row>
    <row r="29" hidden="1" outlineLevel="1" ht="15.75" customHeight="1">
      <c r="B29" s="5" t="inlineStr">
        <is>
          <t>ASME</t>
        </is>
      </c>
      <c r="C29" s="68" t="inlineStr">
        <is>
          <t>Major</t>
        </is>
      </c>
      <c r="E29" s="46">
        <f>+SUMIFS($O29:$DR29,$O$7:$DR$7,E$7)</f>
        <v/>
      </c>
      <c r="F29" s="46">
        <f>+SUMIFS($O29:$DR29,$O$7:$DR$7,F$7)</f>
        <v/>
      </c>
      <c r="G29" s="46">
        <f>+SUMIFS($O29:$DR29,$O$7:$DR$7,G$7)</f>
        <v/>
      </c>
      <c r="H29" s="46">
        <f>+SUMIFS($O29:$DR29,$O$7:$DR$7,H$7)</f>
        <v/>
      </c>
      <c r="I29" s="46">
        <f>+SUMIFS($O29:$DR29,$O$7:$DR$7,I$7)</f>
        <v/>
      </c>
      <c r="J29" s="46">
        <f>+SUMIFS($O29:$DR29,$O$7:$DR$7,J$7)</f>
        <v/>
      </c>
      <c r="K29" s="46">
        <f>+SUMIFS($O29:$DR29,$O$7:$DR$7,K$7)</f>
        <v/>
      </c>
      <c r="L29" s="46">
        <f>+SUMIFS($O29:$DR29,$O$7:$DR$7,L$7)</f>
        <v/>
      </c>
      <c r="M29" s="46">
        <f>+SUMIFS($O29:$DR29,$O$7:$DR$7,M$7)</f>
        <v/>
      </c>
      <c r="O29" s="47" t="n">
        <v>64.23399999999999</v>
      </c>
      <c r="P29" s="47" t="n">
        <v>66.31699999999999</v>
      </c>
      <c r="Q29" s="47" t="n">
        <v>66.31699999999999</v>
      </c>
      <c r="R29" s="47" t="n">
        <v>66.31699999999999</v>
      </c>
      <c r="S29" s="47" t="n">
        <v>66.31699999999999</v>
      </c>
      <c r="T29" s="47" t="n">
        <v>66.31699999999999</v>
      </c>
      <c r="U29" s="47" t="n">
        <v>66.31699999999999</v>
      </c>
      <c r="V29" s="47" t="n">
        <v>66.31699999999999</v>
      </c>
      <c r="W29" s="47" t="n">
        <v>66.316</v>
      </c>
      <c r="X29" s="47" t="n">
        <v>66.31699999999999</v>
      </c>
      <c r="Y29" s="47" t="n">
        <v>66.31699999999999</v>
      </c>
      <c r="Z29" s="47" t="n">
        <v>66.31699999999999</v>
      </c>
      <c r="AA29" s="47" t="n">
        <v>68.306</v>
      </c>
      <c r="AB29" s="47" t="n">
        <v>68.306</v>
      </c>
      <c r="AC29" s="47" t="n">
        <v>68.307</v>
      </c>
      <c r="AD29" s="47" t="n">
        <v>68.307</v>
      </c>
      <c r="AE29" s="47" t="n">
        <v>68.307</v>
      </c>
      <c r="AF29" s="47" t="n">
        <v>68.306</v>
      </c>
      <c r="AG29" s="47" t="n">
        <v>68.306</v>
      </c>
      <c r="AH29" s="47" t="n">
        <v>68.306</v>
      </c>
      <c r="AI29" s="47" t="n">
        <v>68.306</v>
      </c>
      <c r="AJ29" s="47" t="n">
        <v>68.306</v>
      </c>
      <c r="AK29" s="47" t="n">
        <v>68.306</v>
      </c>
      <c r="AL29" s="47" t="n">
        <v>68.306</v>
      </c>
      <c r="AM29" s="47" t="n">
        <v>70.355</v>
      </c>
      <c r="AN29" s="47" t="n">
        <v>70.355</v>
      </c>
      <c r="AO29" s="47" t="n">
        <v>70.355</v>
      </c>
      <c r="AP29" s="47" t="n">
        <v>70.355</v>
      </c>
      <c r="AQ29" s="47" t="n">
        <v>70.35599999999999</v>
      </c>
      <c r="AR29" s="47" t="n">
        <v>70.355</v>
      </c>
      <c r="AS29" s="47" t="n">
        <v>70.355</v>
      </c>
      <c r="AT29" s="47" t="n">
        <v>70.355</v>
      </c>
      <c r="AU29" s="47" t="n">
        <v>70.355</v>
      </c>
      <c r="AV29" s="47" t="n">
        <v>70.355</v>
      </c>
      <c r="AW29" s="47" t="n">
        <v>70.35599999999999</v>
      </c>
      <c r="AX29" s="47" t="n">
        <v>70.35599999999999</v>
      </c>
      <c r="AY29" s="47" t="n">
        <v>72.47499999999999</v>
      </c>
      <c r="AZ29" s="47" t="n">
        <v>72.47499999999999</v>
      </c>
      <c r="BA29" s="47" t="n">
        <v>72.47499999999999</v>
      </c>
      <c r="BB29" s="47" t="n">
        <v>72.47499999999999</v>
      </c>
      <c r="BC29" s="47" t="n">
        <v>72.47499999999999</v>
      </c>
      <c r="BD29" s="47" t="n">
        <v>72.47499999999999</v>
      </c>
      <c r="BE29" s="47" t="n">
        <v>72.47499999999999</v>
      </c>
      <c r="BF29" s="47" t="n">
        <v>72.474</v>
      </c>
      <c r="BG29" s="47" t="n">
        <v>72.47499999999999</v>
      </c>
      <c r="BH29" s="47" t="n">
        <v>72.47499999999999</v>
      </c>
      <c r="BI29" s="47" t="n">
        <v>72.47499999999999</v>
      </c>
      <c r="BJ29" s="47" t="n">
        <v>72.47499999999999</v>
      </c>
      <c r="BK29" s="47" t="n">
        <v>74.64</v>
      </c>
      <c r="BL29" s="47" t="n">
        <v>74.64</v>
      </c>
      <c r="BM29" s="47" t="n">
        <v>74.64</v>
      </c>
      <c r="BN29" s="47" t="n">
        <v>61.504</v>
      </c>
      <c r="BO29" s="47" t="n">
        <v>61.504</v>
      </c>
      <c r="BP29" s="47" t="n">
        <v>61.504</v>
      </c>
      <c r="BQ29" s="47" t="n">
        <v>61.504</v>
      </c>
      <c r="BR29" s="47" t="n">
        <v>61.504</v>
      </c>
      <c r="BS29" s="47" t="n">
        <v>61.504</v>
      </c>
      <c r="BT29" s="47" t="n">
        <v>61.504</v>
      </c>
      <c r="BU29" s="47" t="n">
        <v>61.504</v>
      </c>
      <c r="BV29" s="47" t="n">
        <v>61.504</v>
      </c>
      <c r="BW29" s="47" t="n">
        <v>61.504</v>
      </c>
      <c r="BX29" s="47" t="n">
        <v>61.504</v>
      </c>
      <c r="BY29" s="47" t="n">
        <v>61.504</v>
      </c>
      <c r="BZ29" s="47" t="n">
        <v>0</v>
      </c>
      <c r="CA29" s="47" t="n">
        <v>0</v>
      </c>
      <c r="CB29" s="47" t="n">
        <v>0</v>
      </c>
      <c r="CC29" s="47" t="n">
        <v>0</v>
      </c>
      <c r="CD29" s="47" t="n">
        <v>0</v>
      </c>
      <c r="CE29" s="47" t="n">
        <v>0</v>
      </c>
      <c r="CF29" s="47" t="n">
        <v>0</v>
      </c>
      <c r="CG29" s="47" t="n">
        <v>0</v>
      </c>
      <c r="CH29" s="47" t="n">
        <v>0</v>
      </c>
      <c r="CI29" s="47" t="n">
        <v>0</v>
      </c>
      <c r="CJ29" s="47" t="n">
        <v>0</v>
      </c>
      <c r="CK29" s="47" t="n">
        <v>0</v>
      </c>
      <c r="CL29" s="47" t="n">
        <v>0</v>
      </c>
      <c r="CM29" s="47" t="n">
        <v>0</v>
      </c>
      <c r="CN29" s="47" t="n">
        <v>0</v>
      </c>
      <c r="CO29" s="47" t="n">
        <v>0</v>
      </c>
      <c r="CP29" s="47" t="n">
        <v>0</v>
      </c>
      <c r="CQ29" s="47" t="n">
        <v>0</v>
      </c>
      <c r="CR29" s="47" t="n">
        <v>0</v>
      </c>
      <c r="CS29" s="47" t="n">
        <v>0</v>
      </c>
      <c r="CT29" s="47" t="n">
        <v>0</v>
      </c>
      <c r="CU29" s="47" t="n">
        <v>0</v>
      </c>
      <c r="CV29" s="47" t="n">
        <v>0</v>
      </c>
      <c r="CW29" s="47" t="n">
        <v>0</v>
      </c>
      <c r="CX29" s="47" t="n">
        <v>0</v>
      </c>
      <c r="CY29" s="47" t="n">
        <v>0</v>
      </c>
      <c r="CZ29" s="47" t="n">
        <v>0</v>
      </c>
      <c r="DA29" s="47" t="n">
        <v>0</v>
      </c>
      <c r="DB29" s="47" t="n">
        <v>0</v>
      </c>
      <c r="DC29" s="47" t="n">
        <v>0</v>
      </c>
      <c r="DD29" s="47" t="n">
        <v>0</v>
      </c>
      <c r="DE29" s="47" t="n">
        <v>0</v>
      </c>
      <c r="DF29" s="47" t="n">
        <v>0</v>
      </c>
      <c r="DG29" s="47" t="n">
        <v>0</v>
      </c>
      <c r="DH29" s="47" t="n">
        <v>0</v>
      </c>
      <c r="DI29" s="47" t="n">
        <v>0</v>
      </c>
      <c r="DJ29" s="47" t="n">
        <v>0</v>
      </c>
      <c r="DK29" s="47" t="n">
        <v>0</v>
      </c>
      <c r="DL29" s="47" t="n">
        <v>0</v>
      </c>
      <c r="DM29" s="47" t="n">
        <v>0</v>
      </c>
      <c r="DN29" s="47" t="n">
        <v>0</v>
      </c>
      <c r="DO29" s="47" t="n">
        <v>0</v>
      </c>
      <c r="DP29" s="47" t="n">
        <v>0</v>
      </c>
      <c r="DQ29" s="47" t="n">
        <v>0</v>
      </c>
      <c r="DR29" s="47" t="n">
        <v>0</v>
      </c>
      <c r="DT29" s="46">
        <f>+F29-E29</f>
        <v/>
      </c>
      <c r="DU29" s="46">
        <f>+G29-F29</f>
        <v/>
      </c>
      <c r="DV29" s="46">
        <f>+H29-G29</f>
        <v/>
      </c>
      <c r="DW29" s="46">
        <f>+I29-H29</f>
        <v/>
      </c>
    </row>
    <row r="30" hidden="1" outlineLevel="1" ht="15.75" customHeight="1">
      <c r="B30" s="5" t="inlineStr">
        <is>
          <t>COB</t>
        </is>
      </c>
      <c r="C30" s="68" t="inlineStr">
        <is>
          <t>Upper Middle Market</t>
        </is>
      </c>
      <c r="E30" s="46">
        <f>+SUMIFS($O30:$DR30,$O$7:$DR$7,E$7)</f>
        <v/>
      </c>
      <c r="F30" s="46">
        <f>+SUMIFS($O30:$DR30,$O$7:$DR$7,F$7)</f>
        <v/>
      </c>
      <c r="G30" s="46">
        <f>+SUMIFS($O30:$DR30,$O$7:$DR$7,G$7)</f>
        <v/>
      </c>
      <c r="H30" s="46">
        <f>+SUMIFS($O30:$DR30,$O$7:$DR$7,H$7)</f>
        <v/>
      </c>
      <c r="I30" s="46">
        <f>+SUMIFS($O30:$DR30,$O$7:$DR$7,I$7)</f>
        <v/>
      </c>
      <c r="J30" s="46">
        <f>+SUMIFS($O30:$DR30,$O$7:$DR$7,J$7)</f>
        <v/>
      </c>
      <c r="K30" s="46">
        <f>+SUMIFS($O30:$DR30,$O$7:$DR$7,K$7)</f>
        <v/>
      </c>
      <c r="L30" s="46">
        <f>+SUMIFS($O30:$DR30,$O$7:$DR$7,L$7)</f>
        <v/>
      </c>
      <c r="M30" s="46">
        <f>+SUMIFS($O30:$DR30,$O$7:$DR$7,M$7)</f>
        <v/>
      </c>
      <c r="O30" s="47" t="n">
        <v>0</v>
      </c>
      <c r="P30" s="47" t="n">
        <v>0</v>
      </c>
      <c r="Q30" s="47" t="n">
        <v>0</v>
      </c>
      <c r="R30" s="47" t="n">
        <v>0</v>
      </c>
      <c r="S30" s="47" t="n">
        <v>0</v>
      </c>
      <c r="T30" s="47" t="n">
        <v>0</v>
      </c>
      <c r="U30" s="47" t="n">
        <v>0</v>
      </c>
      <c r="V30" s="47" t="n">
        <v>0</v>
      </c>
      <c r="W30" s="47" t="n">
        <v>0</v>
      </c>
      <c r="X30" s="47" t="n">
        <v>0</v>
      </c>
      <c r="Y30" s="47" t="n">
        <v>0</v>
      </c>
      <c r="Z30" s="47" t="n">
        <v>0</v>
      </c>
      <c r="AA30" s="47" t="n">
        <v>0</v>
      </c>
      <c r="AB30" s="47" t="n">
        <v>0</v>
      </c>
      <c r="AC30" s="47" t="n">
        <v>0</v>
      </c>
      <c r="AD30" s="47" t="n">
        <v>0</v>
      </c>
      <c r="AE30" s="47" t="n">
        <v>0</v>
      </c>
      <c r="AF30" s="47" t="n">
        <v>0</v>
      </c>
      <c r="AG30" s="47" t="n">
        <v>0</v>
      </c>
      <c r="AH30" s="47" t="n">
        <v>0</v>
      </c>
      <c r="AI30" s="47" t="n">
        <v>0</v>
      </c>
      <c r="AJ30" s="47" t="n">
        <v>0</v>
      </c>
      <c r="AK30" s="47" t="n">
        <v>0</v>
      </c>
      <c r="AL30" s="47" t="n">
        <v>0</v>
      </c>
      <c r="AM30" s="47" t="n">
        <v>0</v>
      </c>
      <c r="AN30" s="47" t="n">
        <v>0</v>
      </c>
      <c r="AO30" s="47" t="n">
        <v>0</v>
      </c>
      <c r="AP30" s="47" t="n">
        <v>0</v>
      </c>
      <c r="AQ30" s="47" t="n">
        <v>0</v>
      </c>
      <c r="AR30" s="47" t="n">
        <v>0</v>
      </c>
      <c r="AS30" s="47" t="n">
        <v>0</v>
      </c>
      <c r="AT30" s="47" t="n">
        <v>0</v>
      </c>
      <c r="AU30" s="47" t="n">
        <v>0</v>
      </c>
      <c r="AV30" s="47" t="n">
        <v>0</v>
      </c>
      <c r="AW30" s="47" t="n">
        <v>0</v>
      </c>
      <c r="AX30" s="47" t="n">
        <v>0</v>
      </c>
      <c r="AY30" s="47" t="n">
        <v>0</v>
      </c>
      <c r="AZ30" s="47" t="n">
        <v>0</v>
      </c>
      <c r="BA30" s="47" t="n">
        <v>5.443548387096775</v>
      </c>
      <c r="BB30" s="47" t="n">
        <v>18.75</v>
      </c>
      <c r="BC30" s="47" t="n">
        <v>18.75</v>
      </c>
      <c r="BD30" s="47" t="n">
        <v>18.75</v>
      </c>
      <c r="BE30" s="47" t="n">
        <v>18.75</v>
      </c>
      <c r="BF30" s="47" t="n">
        <v>18.75</v>
      </c>
      <c r="BG30" s="47" t="n">
        <v>18.75</v>
      </c>
      <c r="BH30" s="47" t="n">
        <v>18.75</v>
      </c>
      <c r="BI30" s="47" t="n">
        <v>18.75</v>
      </c>
      <c r="BJ30" s="47" t="n">
        <v>18.75</v>
      </c>
      <c r="BK30" s="47" t="n">
        <v>18.75</v>
      </c>
      <c r="BL30" s="47" t="n">
        <v>18.75</v>
      </c>
      <c r="BM30" s="47" t="n">
        <v>19.312</v>
      </c>
      <c r="BN30" s="47" t="n">
        <v>19.312</v>
      </c>
      <c r="BO30" s="47" t="n">
        <v>19.312</v>
      </c>
      <c r="BP30" s="47" t="n">
        <v>19.312</v>
      </c>
      <c r="BQ30" s="47" t="n">
        <v>19.312</v>
      </c>
      <c r="BR30" s="47" t="n">
        <v>19.312</v>
      </c>
      <c r="BS30" s="47" t="n">
        <v>19.312</v>
      </c>
      <c r="BT30" s="47" t="n">
        <v>19.312</v>
      </c>
      <c r="BU30" s="47" t="n">
        <v>19.312</v>
      </c>
      <c r="BV30" s="47" t="n">
        <v>19.312</v>
      </c>
      <c r="BW30" s="47" t="n">
        <v>19.312</v>
      </c>
      <c r="BX30" s="47" t="n">
        <v>19.312</v>
      </c>
      <c r="BY30" s="47" t="n">
        <v>19.892</v>
      </c>
      <c r="BZ30" s="47" t="n">
        <v>19.892</v>
      </c>
      <c r="CA30" s="47" t="n">
        <v>19.892</v>
      </c>
      <c r="CB30" s="47" t="n">
        <v>19.892</v>
      </c>
      <c r="CC30" s="47" t="n">
        <v>19.892</v>
      </c>
      <c r="CD30" s="47" t="n">
        <v>19.892</v>
      </c>
      <c r="CE30" s="47" t="n">
        <v>19.892</v>
      </c>
      <c r="CF30" s="47" t="n">
        <v>19.892</v>
      </c>
      <c r="CG30" s="47" t="n">
        <v>19.892</v>
      </c>
      <c r="CH30" s="47" t="n">
        <v>19.892</v>
      </c>
      <c r="CI30" s="47" t="n">
        <v>19.892</v>
      </c>
      <c r="CJ30" s="47" t="n">
        <v>19.892</v>
      </c>
      <c r="CK30" s="47" t="n">
        <v>20.489</v>
      </c>
      <c r="CL30" s="47" t="n">
        <v>20.489</v>
      </c>
      <c r="CM30" s="47" t="n">
        <v>20.489</v>
      </c>
      <c r="CN30" s="47" t="n">
        <v>20.489</v>
      </c>
      <c r="CO30" s="47" t="n">
        <v>20.489</v>
      </c>
      <c r="CP30" s="47" t="n">
        <v>20.489</v>
      </c>
      <c r="CQ30" s="47" t="n">
        <v>20.489</v>
      </c>
      <c r="CR30" s="47" t="n">
        <v>20.489</v>
      </c>
      <c r="CS30" s="47" t="n">
        <v>20.489</v>
      </c>
      <c r="CT30" s="47" t="n">
        <v>20.489</v>
      </c>
      <c r="CU30" s="47" t="n">
        <v>20.489</v>
      </c>
      <c r="CV30" s="47" t="n">
        <v>20.489</v>
      </c>
      <c r="CW30" s="47" t="n">
        <v>21.103</v>
      </c>
      <c r="CX30" s="47" t="n">
        <v>21.103</v>
      </c>
      <c r="CY30" s="47" t="n">
        <v>21.103</v>
      </c>
      <c r="CZ30" s="47" t="n">
        <v>21.103</v>
      </c>
      <c r="DA30" s="47" t="n">
        <v>21.103</v>
      </c>
      <c r="DB30" s="47" t="n">
        <v>21.103</v>
      </c>
      <c r="DC30" s="47" t="n">
        <v>21.103</v>
      </c>
      <c r="DD30" s="47" t="n">
        <v>21.103</v>
      </c>
      <c r="DE30" s="47" t="n">
        <v>21.103</v>
      </c>
      <c r="DF30" s="47" t="n">
        <v>21.103</v>
      </c>
      <c r="DG30" s="47" t="n">
        <v>21.103</v>
      </c>
      <c r="DH30" s="47" t="n">
        <v>21.103</v>
      </c>
      <c r="DI30" s="47" t="n">
        <v>0</v>
      </c>
      <c r="DJ30" s="47" t="n">
        <v>0</v>
      </c>
      <c r="DK30" s="47" t="n">
        <v>0</v>
      </c>
      <c r="DL30" s="47" t="n">
        <v>0</v>
      </c>
      <c r="DM30" s="47" t="n">
        <v>0</v>
      </c>
      <c r="DN30" s="47" t="n">
        <v>0</v>
      </c>
      <c r="DO30" s="47" t="n">
        <v>0</v>
      </c>
      <c r="DP30" s="47" t="n">
        <v>0</v>
      </c>
      <c r="DQ30" s="47" t="n">
        <v>0</v>
      </c>
      <c r="DR30" s="47" t="n">
        <v>0</v>
      </c>
      <c r="DT30" s="46">
        <f>+F30-E30</f>
        <v/>
      </c>
      <c r="DU30" s="46">
        <f>+G30-F30</f>
        <v/>
      </c>
      <c r="DV30" s="46">
        <f>+H30-G30</f>
        <v/>
      </c>
      <c r="DW30" s="46">
        <f>+I30-H30</f>
        <v/>
      </c>
    </row>
    <row r="31" hidden="1" outlineLevel="1" ht="15.75" customHeight="1">
      <c r="B31" s="5" t="inlineStr">
        <is>
          <t>DUP</t>
        </is>
      </c>
      <c r="C31" s="68" t="inlineStr">
        <is>
          <t>Upper Middle Market</t>
        </is>
      </c>
      <c r="E31" s="46">
        <f>+SUMIFS($O31:$DR31,$O$7:$DR$7,E$7)</f>
        <v/>
      </c>
      <c r="F31" s="46">
        <f>+SUMIFS($O31:$DR31,$O$7:$DR$7,F$7)</f>
        <v/>
      </c>
      <c r="G31" s="46">
        <f>+SUMIFS($O31:$DR31,$O$7:$DR$7,G$7)</f>
        <v/>
      </c>
      <c r="H31" s="46">
        <f>+SUMIFS($O31:$DR31,$O$7:$DR$7,H$7)</f>
        <v/>
      </c>
      <c r="I31" s="46">
        <f>+SUMIFS($O31:$DR31,$O$7:$DR$7,I$7)</f>
        <v/>
      </c>
      <c r="J31" s="46">
        <f>+SUMIFS($O31:$DR31,$O$7:$DR$7,J$7)</f>
        <v/>
      </c>
      <c r="K31" s="46">
        <f>+SUMIFS($O31:$DR31,$O$7:$DR$7,K$7)</f>
        <v/>
      </c>
      <c r="L31" s="46">
        <f>+SUMIFS($O31:$DR31,$O$7:$DR$7,L$7)</f>
        <v/>
      </c>
      <c r="M31" s="46">
        <f>+SUMIFS($O31:$DR31,$O$7:$DR$7,M$7)</f>
        <v/>
      </c>
      <c r="O31" s="47" t="n">
        <v>24.722</v>
      </c>
      <c r="P31" s="47" t="n">
        <v>24.721</v>
      </c>
      <c r="Q31" s="47" t="n">
        <v>24.721</v>
      </c>
      <c r="R31" s="47" t="n">
        <v>24.721</v>
      </c>
      <c r="S31" s="47" t="n">
        <v>24.721</v>
      </c>
      <c r="T31" s="47" t="n">
        <v>24.722</v>
      </c>
      <c r="U31" s="47" t="n">
        <v>24.722</v>
      </c>
      <c r="V31" s="47" t="n">
        <v>24.722</v>
      </c>
      <c r="W31" s="47" t="n">
        <v>24.722</v>
      </c>
      <c r="X31" s="47" t="n">
        <v>24.721</v>
      </c>
      <c r="Y31" s="47" t="n">
        <v>24.721</v>
      </c>
      <c r="Z31" s="47" t="n">
        <v>24.722</v>
      </c>
      <c r="AA31" s="47" t="n">
        <v>25.464</v>
      </c>
      <c r="AB31" s="47" t="n">
        <v>25.464</v>
      </c>
      <c r="AC31" s="47" t="n">
        <v>25.463</v>
      </c>
      <c r="AD31" s="47" t="n">
        <v>25.463</v>
      </c>
      <c r="AE31" s="47" t="n">
        <v>25.463</v>
      </c>
      <c r="AF31" s="47" t="n">
        <v>25.463</v>
      </c>
      <c r="AG31" s="47" t="n">
        <v>25.463</v>
      </c>
      <c r="AH31" s="47" t="n">
        <v>25.463</v>
      </c>
      <c r="AI31" s="47" t="n">
        <v>25.463</v>
      </c>
      <c r="AJ31" s="47" t="n">
        <v>25.463</v>
      </c>
      <c r="AK31" s="47" t="n">
        <v>25.463</v>
      </c>
      <c r="AL31" s="47" t="n">
        <v>25.464</v>
      </c>
      <c r="AM31" s="47" t="n">
        <v>26.227</v>
      </c>
      <c r="AN31" s="47" t="n">
        <v>26.227</v>
      </c>
      <c r="AO31" s="47" t="n">
        <v>26.227</v>
      </c>
      <c r="AP31" s="47" t="n">
        <v>26.227</v>
      </c>
      <c r="AQ31" s="47" t="n">
        <v>26.227</v>
      </c>
      <c r="AR31" s="47" t="n">
        <v>26.227</v>
      </c>
      <c r="AS31" s="47" t="n">
        <v>26.227</v>
      </c>
      <c r="AT31" s="47" t="n">
        <v>26.227</v>
      </c>
      <c r="AU31" s="47" t="n">
        <v>21.843</v>
      </c>
      <c r="AV31" s="47" t="n">
        <v>26.228</v>
      </c>
      <c r="AW31" s="47" t="n">
        <v>26.227</v>
      </c>
      <c r="AX31" s="47" t="n">
        <v>26.227</v>
      </c>
      <c r="AY31" s="47" t="n">
        <v>27.014</v>
      </c>
      <c r="AZ31" s="47" t="n">
        <v>27.014</v>
      </c>
      <c r="BA31" s="47" t="n">
        <v>27.014</v>
      </c>
      <c r="BB31" s="47" t="n">
        <v>27.014</v>
      </c>
      <c r="BC31" s="47" t="n">
        <v>27.014</v>
      </c>
      <c r="BD31" s="47" t="n">
        <v>27.014</v>
      </c>
      <c r="BE31" s="47" t="n">
        <v>27.014</v>
      </c>
      <c r="BF31" s="47" t="n">
        <v>27.014</v>
      </c>
      <c r="BG31" s="47" t="n">
        <v>27.014</v>
      </c>
      <c r="BH31" s="47" t="n">
        <v>27.014</v>
      </c>
      <c r="BI31" s="47" t="n">
        <v>27.014</v>
      </c>
      <c r="BJ31" s="47" t="n">
        <v>27.014</v>
      </c>
      <c r="BK31" s="47" t="n">
        <v>27.82441666666667</v>
      </c>
      <c r="BL31" s="47" t="n">
        <v>27.82441666666667</v>
      </c>
      <c r="BM31" s="47" t="n">
        <v>27.82441666666667</v>
      </c>
      <c r="BN31" s="47" t="n">
        <v>27.82441666666667</v>
      </c>
      <c r="BO31" s="47" t="n">
        <v>27.82441666666667</v>
      </c>
      <c r="BP31" s="47" t="n">
        <v>27.82441666666667</v>
      </c>
      <c r="BQ31" s="47" t="n">
        <v>27.82441666666667</v>
      </c>
      <c r="BR31" s="47" t="n">
        <v>27.82441666666667</v>
      </c>
      <c r="BS31" s="47" t="n">
        <v>27.82441666666667</v>
      </c>
      <c r="BT31" s="47" t="n">
        <v>27.82441666666667</v>
      </c>
      <c r="BU31" s="47" t="n">
        <v>27.82441666666667</v>
      </c>
      <c r="BV31" s="47" t="n">
        <v>27.82441666666667</v>
      </c>
      <c r="BW31" s="47" t="n">
        <v>28.65914916666667</v>
      </c>
      <c r="BX31" s="47" t="n">
        <v>28.65914916666667</v>
      </c>
      <c r="BY31" s="47" t="n">
        <v>28.65914916666667</v>
      </c>
      <c r="BZ31" s="47" t="n">
        <v>28.65914916666667</v>
      </c>
      <c r="CA31" s="47" t="n">
        <v>28.65914916666667</v>
      </c>
      <c r="CB31" s="47" t="n">
        <v>28.65914916666667</v>
      </c>
      <c r="CC31" s="47" t="n">
        <v>28.65914916666667</v>
      </c>
      <c r="CD31" s="47" t="n">
        <v>28.65914916666667</v>
      </c>
      <c r="CE31" s="47" t="n">
        <v>28.65914916666667</v>
      </c>
      <c r="CF31" s="47" t="n">
        <v>28.65914916666667</v>
      </c>
      <c r="CG31" s="47" t="n">
        <v>28.65914916666667</v>
      </c>
      <c r="CH31" s="47" t="n">
        <v>28.65914916666667</v>
      </c>
      <c r="CI31" s="47" t="n">
        <v>29.51894166666667</v>
      </c>
      <c r="CJ31" s="47" t="n">
        <v>29.51894166666667</v>
      </c>
      <c r="CK31" s="47" t="n">
        <v>29.51894166666667</v>
      </c>
      <c r="CL31" s="47" t="n">
        <v>29.51894166666667</v>
      </c>
      <c r="CM31" s="47" t="n">
        <v>29.51894166666667</v>
      </c>
      <c r="CN31" s="47" t="n">
        <v>29.51894166666667</v>
      </c>
      <c r="CO31" s="47" t="n">
        <v>29.51894166666667</v>
      </c>
      <c r="CP31" s="47" t="n">
        <v>29.51894166666667</v>
      </c>
      <c r="CQ31" s="47" t="n">
        <v>29.51894166666667</v>
      </c>
      <c r="CR31" s="47" t="n">
        <v>29.51894166666667</v>
      </c>
      <c r="CS31" s="47" t="n">
        <v>29.51894166666667</v>
      </c>
      <c r="CT31" s="47" t="n">
        <v>29.51894166666667</v>
      </c>
      <c r="CU31" s="47" t="n">
        <v>30.40450991666667</v>
      </c>
      <c r="CV31" s="47" t="n">
        <v>30.40450991666667</v>
      </c>
      <c r="CW31" s="47" t="n">
        <v>30.40450991666667</v>
      </c>
      <c r="CX31" s="47" t="n">
        <v>30.40450991666667</v>
      </c>
      <c r="CY31" s="47" t="n">
        <v>30.40450991666667</v>
      </c>
      <c r="CZ31" s="47" t="n">
        <v>30.40450991666667</v>
      </c>
      <c r="DA31" s="47" t="n">
        <v>30.40450991666667</v>
      </c>
      <c r="DB31" s="47" t="n">
        <v>30.40450991666667</v>
      </c>
      <c r="DC31" s="47" t="n">
        <v>30.40450991666667</v>
      </c>
      <c r="DD31" s="47" t="n">
        <v>30.40450991666667</v>
      </c>
      <c r="DE31" s="47" t="n">
        <v>30.40450991666667</v>
      </c>
      <c r="DF31" s="47" t="n">
        <v>30.40450991666667</v>
      </c>
      <c r="DG31" s="47" t="n">
        <v>0</v>
      </c>
      <c r="DH31" s="47" t="n">
        <v>0</v>
      </c>
      <c r="DI31" s="47" t="n">
        <v>0</v>
      </c>
      <c r="DJ31" s="47" t="n">
        <v>0</v>
      </c>
      <c r="DK31" s="47" t="n">
        <v>0</v>
      </c>
      <c r="DL31" s="47" t="n">
        <v>0</v>
      </c>
      <c r="DM31" s="47" t="n">
        <v>0</v>
      </c>
      <c r="DN31" s="47" t="n">
        <v>0</v>
      </c>
      <c r="DO31" s="47" t="n">
        <v>0</v>
      </c>
      <c r="DP31" s="47" t="n">
        <v>0</v>
      </c>
      <c r="DQ31" s="47" t="n">
        <v>0</v>
      </c>
      <c r="DR31" s="47" t="n">
        <v>0</v>
      </c>
      <c r="DT31" s="46">
        <f>+F31-E31</f>
        <v/>
      </c>
      <c r="DU31" s="46">
        <f>+G31-F31</f>
        <v/>
      </c>
      <c r="DV31" s="46">
        <f>+H31-G31</f>
        <v/>
      </c>
      <c r="DW31" s="46">
        <f>+I31-H31</f>
        <v/>
      </c>
    </row>
    <row r="32" hidden="1" outlineLevel="1" ht="15.75" customHeight="1">
      <c r="B32" s="5" t="inlineStr">
        <is>
          <t>GSW</t>
        </is>
      </c>
      <c r="C32" s="68" t="inlineStr">
        <is>
          <t>Major</t>
        </is>
      </c>
      <c r="E32" s="46">
        <f>+SUMIFS($O32:$DR32,$O$7:$DR$7,E$7)</f>
        <v/>
      </c>
      <c r="F32" s="46">
        <f>+SUMIFS($O32:$DR32,$O$7:$DR$7,F$7)</f>
        <v/>
      </c>
      <c r="G32" s="46">
        <f>+SUMIFS($O32:$DR32,$O$7:$DR$7,G$7)</f>
        <v/>
      </c>
      <c r="H32" s="46">
        <f>+SUMIFS($O32:$DR32,$O$7:$DR$7,H$7)</f>
        <v/>
      </c>
      <c r="I32" s="46">
        <f>+SUMIFS($O32:$DR32,$O$7:$DR$7,I$7)</f>
        <v/>
      </c>
      <c r="J32" s="46">
        <f>+SUMIFS($O32:$DR32,$O$7:$DR$7,J$7)</f>
        <v/>
      </c>
      <c r="K32" s="46">
        <f>+SUMIFS($O32:$DR32,$O$7:$DR$7,K$7)</f>
        <v/>
      </c>
      <c r="L32" s="46">
        <f>+SUMIFS($O32:$DR32,$O$7:$DR$7,L$7)</f>
        <v/>
      </c>
      <c r="M32" s="46">
        <f>+SUMIFS($O32:$DR32,$O$7:$DR$7,M$7)</f>
        <v/>
      </c>
      <c r="O32" s="47" t="n">
        <v>40.402</v>
      </c>
      <c r="P32" s="47" t="n">
        <v>40.312</v>
      </c>
      <c r="Q32" s="47" t="n">
        <v>40.413</v>
      </c>
      <c r="R32" s="47" t="n">
        <v>40.413</v>
      </c>
      <c r="S32" s="47" t="n">
        <v>40.413</v>
      </c>
      <c r="T32" s="47" t="n">
        <v>40.411</v>
      </c>
      <c r="U32" s="47" t="n">
        <v>34.78700000000001</v>
      </c>
      <c r="V32" s="47" t="n">
        <v>34.78700000000001</v>
      </c>
      <c r="W32" s="47" t="n">
        <v>34.788</v>
      </c>
      <c r="X32" s="47" t="n">
        <v>34.788</v>
      </c>
      <c r="Y32" s="47" t="n">
        <v>34.788</v>
      </c>
      <c r="Z32" s="47" t="n">
        <v>34.788</v>
      </c>
      <c r="AA32" s="47" t="n">
        <v>34.988</v>
      </c>
      <c r="AB32" s="47" t="n">
        <v>34.988</v>
      </c>
      <c r="AC32" s="47" t="n">
        <v>34.987</v>
      </c>
      <c r="AD32" s="47" t="n">
        <v>34.988</v>
      </c>
      <c r="AE32" s="47" t="n">
        <v>32.691</v>
      </c>
      <c r="AF32" s="47" t="n">
        <v>32.691</v>
      </c>
      <c r="AG32" s="47" t="n">
        <v>32.691</v>
      </c>
      <c r="AH32" s="47" t="n">
        <v>32.691</v>
      </c>
      <c r="AI32" s="47" t="n">
        <v>32.691</v>
      </c>
      <c r="AJ32" s="47" t="n">
        <v>32.691</v>
      </c>
      <c r="AK32" s="47" t="n">
        <v>32.691</v>
      </c>
      <c r="AL32" s="47" t="n">
        <v>32.691</v>
      </c>
      <c r="AM32" s="47" t="n">
        <v>36.276</v>
      </c>
      <c r="AN32" s="47" t="n">
        <v>36.276</v>
      </c>
      <c r="AO32" s="47" t="n">
        <v>36.276</v>
      </c>
      <c r="AP32" s="47" t="n">
        <v>36.276</v>
      </c>
      <c r="AQ32" s="47" t="n">
        <v>36.275</v>
      </c>
      <c r="AR32" s="47" t="n">
        <v>36.275</v>
      </c>
      <c r="AS32" s="47" t="n">
        <v>36.275</v>
      </c>
      <c r="AT32" s="47" t="n">
        <v>30.06</v>
      </c>
      <c r="AU32" s="47" t="n">
        <v>36.275</v>
      </c>
      <c r="AV32" s="47" t="n">
        <v>36.275</v>
      </c>
      <c r="AW32" s="47" t="n">
        <v>36.275</v>
      </c>
      <c r="AX32" s="47" t="n">
        <v>36.275</v>
      </c>
      <c r="AY32" s="47" t="n">
        <v>37.50858333333333</v>
      </c>
      <c r="AZ32" s="47" t="n">
        <v>37.50858333333333</v>
      </c>
      <c r="BA32" s="47" t="n">
        <v>37.50858333333333</v>
      </c>
      <c r="BB32" s="47" t="n">
        <v>37.50858333333333</v>
      </c>
      <c r="BC32" s="47" t="n">
        <v>37.50858333333333</v>
      </c>
      <c r="BD32" s="47" t="n">
        <v>37.50858333333333</v>
      </c>
      <c r="BE32" s="47" t="n">
        <v>37.50858333333333</v>
      </c>
      <c r="BF32" s="47" t="n">
        <v>37.50858333333333</v>
      </c>
      <c r="BG32" s="47" t="n">
        <v>37.50858333333333</v>
      </c>
      <c r="BH32" s="47" t="n">
        <v>37.50858333333333</v>
      </c>
      <c r="BI32" s="47" t="n">
        <v>37.50858333333333</v>
      </c>
      <c r="BJ32" s="47" t="n">
        <v>37.50858333333333</v>
      </c>
      <c r="BK32" s="47" t="n">
        <v>43.787</v>
      </c>
      <c r="BL32" s="47" t="n">
        <v>43.787</v>
      </c>
      <c r="BM32" s="47" t="n">
        <v>43.787</v>
      </c>
      <c r="BN32" s="47" t="n">
        <v>43.787</v>
      </c>
      <c r="BO32" s="47" t="n">
        <v>43.787</v>
      </c>
      <c r="BP32" s="47" t="n">
        <v>43.787</v>
      </c>
      <c r="BQ32" s="47" t="n">
        <v>43.787</v>
      </c>
      <c r="BR32" s="47" t="n">
        <v>43.787</v>
      </c>
      <c r="BS32" s="47" t="n">
        <v>43.787</v>
      </c>
      <c r="BT32" s="47" t="n">
        <v>43.787</v>
      </c>
      <c r="BU32" s="47" t="n">
        <v>43.787</v>
      </c>
      <c r="BV32" s="47" t="n">
        <v>43.787</v>
      </c>
      <c r="BW32" s="47" t="n">
        <v>45.275</v>
      </c>
      <c r="BX32" s="47" t="n">
        <v>45.275</v>
      </c>
      <c r="BY32" s="47" t="n">
        <v>45.275</v>
      </c>
      <c r="BZ32" s="47" t="n">
        <v>45.275</v>
      </c>
      <c r="CA32" s="47" t="n">
        <v>45.275</v>
      </c>
      <c r="CB32" s="47" t="n">
        <v>45.275</v>
      </c>
      <c r="CC32" s="47" t="n">
        <v>45.275</v>
      </c>
      <c r="CD32" s="47" t="n">
        <v>45.275</v>
      </c>
      <c r="CE32" s="47" t="n">
        <v>45.275</v>
      </c>
      <c r="CF32" s="47" t="n">
        <v>45.275</v>
      </c>
      <c r="CG32" s="47" t="n">
        <v>45.275</v>
      </c>
      <c r="CH32" s="47" t="n">
        <v>45.275</v>
      </c>
      <c r="CI32" s="47" t="n">
        <v>46.815</v>
      </c>
      <c r="CJ32" s="47" t="n">
        <v>46.815</v>
      </c>
      <c r="CK32" s="47" t="n">
        <v>46.815</v>
      </c>
      <c r="CL32" s="47" t="n">
        <v>46.815</v>
      </c>
      <c r="CM32" s="47" t="n">
        <v>46.815</v>
      </c>
      <c r="CN32" s="47" t="n">
        <v>46.815</v>
      </c>
      <c r="CO32" s="47" t="n">
        <v>46.815</v>
      </c>
      <c r="CP32" s="47" t="n">
        <v>46.815</v>
      </c>
      <c r="CQ32" s="47" t="n">
        <v>46.815</v>
      </c>
      <c r="CR32" s="47" t="n">
        <v>46.815</v>
      </c>
      <c r="CS32" s="47" t="n">
        <v>46.815</v>
      </c>
      <c r="CT32" s="47" t="n">
        <v>46.815</v>
      </c>
      <c r="CU32" s="47" t="n">
        <v>48.406</v>
      </c>
      <c r="CV32" s="47" t="n">
        <v>48.406</v>
      </c>
      <c r="CW32" s="47" t="n">
        <v>48.406</v>
      </c>
      <c r="CX32" s="47" t="n">
        <v>48.406</v>
      </c>
      <c r="CY32" s="47" t="n">
        <v>48.406</v>
      </c>
      <c r="CZ32" s="47" t="n">
        <v>48.406</v>
      </c>
      <c r="DA32" s="47" t="n">
        <v>48.406</v>
      </c>
      <c r="DB32" s="47" t="n">
        <v>48.406</v>
      </c>
      <c r="DC32" s="47" t="n">
        <v>48.406</v>
      </c>
      <c r="DD32" s="47" t="n">
        <v>48.406</v>
      </c>
      <c r="DE32" s="47" t="n">
        <v>48.406</v>
      </c>
      <c r="DF32" s="47" t="n">
        <v>48.406</v>
      </c>
      <c r="DG32" s="47" t="n">
        <v>50.052</v>
      </c>
      <c r="DH32" s="47" t="n">
        <v>50.052</v>
      </c>
      <c r="DI32" s="47" t="n">
        <v>50.052</v>
      </c>
      <c r="DJ32" s="47" t="n">
        <v>50.052</v>
      </c>
      <c r="DK32" s="47" t="n">
        <v>50.052</v>
      </c>
      <c r="DL32" s="47" t="n">
        <v>50.052</v>
      </c>
      <c r="DM32" s="47" t="n">
        <v>50.052</v>
      </c>
      <c r="DN32" s="47" t="n">
        <v>50.052</v>
      </c>
      <c r="DO32" s="47" t="n">
        <v>50.052</v>
      </c>
      <c r="DP32" s="47" t="n">
        <v>50.052</v>
      </c>
      <c r="DQ32" s="47" t="n">
        <v>50.052</v>
      </c>
      <c r="DR32" s="47" t="n">
        <v>50.052</v>
      </c>
      <c r="DT32" s="46">
        <f>+F32-E32</f>
        <v/>
      </c>
      <c r="DU32" s="46">
        <f>+G32-F32</f>
        <v/>
      </c>
      <c r="DV32" s="46">
        <f>+H32-G32</f>
        <v/>
      </c>
      <c r="DW32" s="46">
        <f>+I32-H32</f>
        <v/>
      </c>
    </row>
    <row r="33" hidden="1" outlineLevel="1" ht="15.75" customHeight="1">
      <c r="B33" s="5" t="inlineStr">
        <is>
          <t>HEM</t>
        </is>
      </c>
      <c r="C33" s="68" t="inlineStr">
        <is>
          <t>Upper Middle Market</t>
        </is>
      </c>
      <c r="E33" s="46">
        <f>+SUMIFS($O33:$DR33,$O$7:$DR$7,E$7)</f>
        <v/>
      </c>
      <c r="F33" s="46">
        <f>+SUMIFS($O33:$DR33,$O$7:$DR$7,F$7)</f>
        <v/>
      </c>
      <c r="G33" s="46">
        <f>+SUMIFS($O33:$DR33,$O$7:$DR$7,G$7)</f>
        <v/>
      </c>
      <c r="H33" s="46">
        <f>+SUMIFS($O33:$DR33,$O$7:$DR$7,H$7)</f>
        <v/>
      </c>
      <c r="I33" s="46">
        <f>+SUMIFS($O33:$DR33,$O$7:$DR$7,I$7)</f>
        <v/>
      </c>
      <c r="J33" s="46">
        <f>+SUMIFS($O33:$DR33,$O$7:$DR$7,J$7)</f>
        <v/>
      </c>
      <c r="K33" s="46">
        <f>+SUMIFS($O33:$DR33,$O$7:$DR$7,K$7)</f>
        <v/>
      </c>
      <c r="L33" s="46">
        <f>+SUMIFS($O33:$DR33,$O$7:$DR$7,L$7)</f>
        <v/>
      </c>
      <c r="M33" s="46">
        <f>+SUMIFS($O33:$DR33,$O$7:$DR$7,M$7)</f>
        <v/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0</v>
      </c>
      <c r="T33" s="47" t="n">
        <v>0</v>
      </c>
      <c r="U33" s="47" t="n">
        <v>0</v>
      </c>
      <c r="V33" s="47" t="n">
        <v>0</v>
      </c>
      <c r="W33" s="47" t="n">
        <v>0</v>
      </c>
      <c r="X33" s="47" t="n">
        <v>0</v>
      </c>
      <c r="Y33" s="47" t="n">
        <v>0</v>
      </c>
      <c r="Z33" s="47" t="n">
        <v>0</v>
      </c>
      <c r="AA33" s="47" t="n">
        <v>0</v>
      </c>
      <c r="AB33" s="47" t="n">
        <v>0</v>
      </c>
      <c r="AC33" s="47" t="n">
        <v>0</v>
      </c>
      <c r="AD33" s="47" t="n">
        <v>0</v>
      </c>
      <c r="AE33" s="47" t="n">
        <v>0</v>
      </c>
      <c r="AF33" s="47" t="n">
        <v>0</v>
      </c>
      <c r="AG33" s="47" t="n">
        <v>0</v>
      </c>
      <c r="AH33" s="47" t="n">
        <v>0</v>
      </c>
      <c r="AI33" s="47" t="n">
        <v>0</v>
      </c>
      <c r="AJ33" s="47" t="n">
        <v>13.911</v>
      </c>
      <c r="AK33" s="47" t="n">
        <v>18.75</v>
      </c>
      <c r="AL33" s="47" t="n">
        <v>18.75</v>
      </c>
      <c r="AM33" s="47" t="n">
        <v>18.75</v>
      </c>
      <c r="AN33" s="47" t="n">
        <v>18.75</v>
      </c>
      <c r="AO33" s="47" t="n">
        <v>18.75</v>
      </c>
      <c r="AP33" s="47" t="n">
        <v>18.75</v>
      </c>
      <c r="AQ33" s="47" t="n">
        <v>18.75</v>
      </c>
      <c r="AR33" s="47" t="n">
        <v>18.75</v>
      </c>
      <c r="AS33" s="47" t="n">
        <v>18.75</v>
      </c>
      <c r="AT33" s="47" t="n">
        <v>18.553</v>
      </c>
      <c r="AU33" s="47" t="n">
        <v>18.75</v>
      </c>
      <c r="AV33" s="47" t="n">
        <v>18.75</v>
      </c>
      <c r="AW33" s="47" t="n">
        <v>19.313</v>
      </c>
      <c r="AX33" s="47" t="n">
        <v>19.313</v>
      </c>
      <c r="AY33" s="47" t="n">
        <v>19.3125</v>
      </c>
      <c r="AZ33" s="47" t="n">
        <v>19.3125</v>
      </c>
      <c r="BA33" s="47" t="n">
        <v>19.3125</v>
      </c>
      <c r="BB33" s="47" t="n">
        <v>19.3125</v>
      </c>
      <c r="BC33" s="47" t="n">
        <v>19.3125</v>
      </c>
      <c r="BD33" s="47" t="n">
        <v>19.3125</v>
      </c>
      <c r="BE33" s="47" t="n">
        <v>19.3125</v>
      </c>
      <c r="BF33" s="47" t="n">
        <v>19.3125</v>
      </c>
      <c r="BG33" s="47" t="n">
        <v>19.3125</v>
      </c>
      <c r="BH33" s="47" t="n">
        <v>19.3125</v>
      </c>
      <c r="BI33" s="47" t="n">
        <v>19.891875</v>
      </c>
      <c r="BJ33" s="47" t="n">
        <v>22.085</v>
      </c>
      <c r="BK33" s="47" t="n">
        <v>20.392</v>
      </c>
      <c r="BL33" s="47" t="n">
        <v>20.392</v>
      </c>
      <c r="BM33" s="47" t="n">
        <v>20.392</v>
      </c>
      <c r="BN33" s="47" t="n">
        <v>20.392</v>
      </c>
      <c r="BO33" s="47" t="n">
        <v>20.392</v>
      </c>
      <c r="BP33" s="47" t="n">
        <v>20.392</v>
      </c>
      <c r="BQ33" s="47" t="n">
        <v>20.392</v>
      </c>
      <c r="BR33" s="47" t="n">
        <v>20.392</v>
      </c>
      <c r="BS33" s="47" t="n">
        <v>20.407</v>
      </c>
      <c r="BT33" s="47" t="n">
        <v>20.407</v>
      </c>
      <c r="BU33" s="47" t="n">
        <v>21.004</v>
      </c>
      <c r="BV33" s="47" t="n">
        <v>21.004</v>
      </c>
      <c r="BW33" s="47" t="n">
        <v>21.004</v>
      </c>
      <c r="BX33" s="47" t="n">
        <v>21.004</v>
      </c>
      <c r="BY33" s="47" t="n">
        <v>21.004</v>
      </c>
      <c r="BZ33" s="47" t="n">
        <v>21.004</v>
      </c>
      <c r="CA33" s="47" t="n">
        <v>21.004</v>
      </c>
      <c r="CB33" s="47" t="n">
        <v>21.004</v>
      </c>
      <c r="CC33" s="47" t="n">
        <v>21.004</v>
      </c>
      <c r="CD33" s="47" t="n">
        <v>21.004</v>
      </c>
      <c r="CE33" s="47" t="n">
        <v>21.019</v>
      </c>
      <c r="CF33" s="47" t="n">
        <v>21.019</v>
      </c>
      <c r="CG33" s="47" t="n">
        <v>21.634</v>
      </c>
      <c r="CH33" s="47" t="n">
        <v>21.634</v>
      </c>
      <c r="CI33" s="47" t="n">
        <v>21.634</v>
      </c>
      <c r="CJ33" s="47" t="n">
        <v>21.634</v>
      </c>
      <c r="CK33" s="47" t="n">
        <v>21.634</v>
      </c>
      <c r="CL33" s="47" t="n">
        <v>21.634</v>
      </c>
      <c r="CM33" s="47" t="n">
        <v>21.634</v>
      </c>
      <c r="CN33" s="47" t="n">
        <v>21.634</v>
      </c>
      <c r="CO33" s="47" t="n">
        <v>21.634</v>
      </c>
      <c r="CP33" s="47" t="n">
        <v>21.634</v>
      </c>
      <c r="CQ33" s="47" t="n">
        <v>21.65</v>
      </c>
      <c r="CR33" s="47" t="n">
        <v>21.65</v>
      </c>
      <c r="CS33" s="47" t="n">
        <v>22.283</v>
      </c>
      <c r="CT33" s="47" t="n">
        <v>22.283</v>
      </c>
      <c r="CU33" s="47" t="n">
        <v>22.283</v>
      </c>
      <c r="CV33" s="47" t="n">
        <v>22.283</v>
      </c>
      <c r="CW33" s="47" t="n">
        <v>22.283</v>
      </c>
      <c r="CX33" s="47" t="n">
        <v>22.283</v>
      </c>
      <c r="CY33" s="47" t="n">
        <v>22.283</v>
      </c>
      <c r="CZ33" s="47" t="n">
        <v>22.283</v>
      </c>
      <c r="DA33" s="47" t="n">
        <v>22.283</v>
      </c>
      <c r="DB33" s="47" t="n">
        <v>22.283</v>
      </c>
      <c r="DC33" s="47" t="n">
        <v>22.299</v>
      </c>
      <c r="DD33" s="47" t="n">
        <v>22.299</v>
      </c>
      <c r="DE33" s="47" t="n">
        <v>0</v>
      </c>
      <c r="DF33" s="47" t="n">
        <v>0</v>
      </c>
      <c r="DG33" s="47" t="n">
        <v>0</v>
      </c>
      <c r="DH33" s="47" t="n">
        <v>0</v>
      </c>
      <c r="DI33" s="47" t="n">
        <v>0</v>
      </c>
      <c r="DJ33" s="47" t="n">
        <v>0</v>
      </c>
      <c r="DK33" s="47" t="n">
        <v>0</v>
      </c>
      <c r="DL33" s="47" t="n">
        <v>0</v>
      </c>
      <c r="DM33" s="47" t="n">
        <v>0</v>
      </c>
      <c r="DN33" s="47" t="n">
        <v>0</v>
      </c>
      <c r="DO33" s="47" t="n">
        <v>0</v>
      </c>
      <c r="DP33" s="47" t="n">
        <v>0</v>
      </c>
      <c r="DQ33" s="47" t="n">
        <v>0</v>
      </c>
      <c r="DR33" s="47" t="n">
        <v>0</v>
      </c>
      <c r="DT33" s="46">
        <f>+F33-E33</f>
        <v/>
      </c>
      <c r="DU33" s="46">
        <f>+G33-F33</f>
        <v/>
      </c>
      <c r="DV33" s="46">
        <f>+H33-G33</f>
        <v/>
      </c>
      <c r="DW33" s="46">
        <f>+I33-H33</f>
        <v/>
      </c>
    </row>
    <row r="34" hidden="1" outlineLevel="1" ht="15.75" customHeight="1">
      <c r="B34" s="5" t="inlineStr">
        <is>
          <t>IFIS</t>
        </is>
      </c>
      <c r="C34" s="68" t="inlineStr">
        <is>
          <t>Lower Middle Market</t>
        </is>
      </c>
      <c r="E34" s="46">
        <f>+SUMIFS($O34:$DR34,$O$7:$DR$7,E$7)</f>
        <v/>
      </c>
      <c r="F34" s="46">
        <f>+SUMIFS($O34:$DR34,$O$7:$DR$7,F$7)</f>
        <v/>
      </c>
      <c r="G34" s="46">
        <f>+SUMIFS($O34:$DR34,$O$7:$DR$7,G$7)</f>
        <v/>
      </c>
      <c r="H34" s="46">
        <f>+SUMIFS($O34:$DR34,$O$7:$DR$7,H$7)</f>
        <v/>
      </c>
      <c r="I34" s="46">
        <f>+SUMIFS($O34:$DR34,$O$7:$DR$7,I$7)</f>
        <v/>
      </c>
      <c r="J34" s="46">
        <f>+SUMIFS($O34:$DR34,$O$7:$DR$7,J$7)</f>
        <v/>
      </c>
      <c r="K34" s="46">
        <f>+SUMIFS($O34:$DR34,$O$7:$DR$7,K$7)</f>
        <v/>
      </c>
      <c r="L34" s="46">
        <f>+SUMIFS($O34:$DR34,$O$7:$DR$7,L$7)</f>
        <v/>
      </c>
      <c r="M34" s="46">
        <f>+SUMIFS($O34:$DR34,$O$7:$DR$7,M$7)</f>
        <v/>
      </c>
      <c r="O34" s="47" t="n">
        <v>0</v>
      </c>
      <c r="P34" s="47" t="n">
        <v>0</v>
      </c>
      <c r="Q34" s="47" t="n">
        <v>0</v>
      </c>
      <c r="R34" s="47" t="n">
        <v>0</v>
      </c>
      <c r="S34" s="47" t="n">
        <v>0</v>
      </c>
      <c r="T34" s="47" t="n">
        <v>0</v>
      </c>
      <c r="U34" s="47" t="n">
        <v>0</v>
      </c>
      <c r="V34" s="47" t="n">
        <v>0</v>
      </c>
      <c r="W34" s="47" t="n">
        <v>0</v>
      </c>
      <c r="X34" s="47" t="n">
        <v>0</v>
      </c>
      <c r="Y34" s="47" t="n">
        <v>0</v>
      </c>
      <c r="Z34" s="47" t="n">
        <v>0</v>
      </c>
      <c r="AA34" s="47" t="n">
        <v>0</v>
      </c>
      <c r="AB34" s="47" t="n">
        <v>0</v>
      </c>
      <c r="AC34" s="47" t="n">
        <v>0</v>
      </c>
      <c r="AD34" s="47" t="n">
        <v>0</v>
      </c>
      <c r="AE34" s="47" t="n">
        <v>0</v>
      </c>
      <c r="AF34" s="47" t="n">
        <v>0</v>
      </c>
      <c r="AG34" s="47" t="n">
        <v>0</v>
      </c>
      <c r="AH34" s="47" t="n">
        <v>0</v>
      </c>
      <c r="AI34" s="47" t="n">
        <v>0</v>
      </c>
      <c r="AJ34" s="47" t="n">
        <v>0</v>
      </c>
      <c r="AK34" s="47" t="n">
        <v>0</v>
      </c>
      <c r="AL34" s="47" t="n">
        <v>0</v>
      </c>
      <c r="AM34" s="47" t="n">
        <v>0</v>
      </c>
      <c r="AN34" s="47" t="n">
        <v>0</v>
      </c>
      <c r="AO34" s="47" t="n">
        <v>0</v>
      </c>
      <c r="AP34" s="47" t="n">
        <v>0</v>
      </c>
      <c r="AQ34" s="47" t="n">
        <v>0</v>
      </c>
      <c r="AR34" s="47" t="n">
        <v>0</v>
      </c>
      <c r="AS34" s="47" t="n">
        <v>0</v>
      </c>
      <c r="AT34" s="47" t="n">
        <v>0</v>
      </c>
      <c r="AU34" s="47" t="n">
        <v>0</v>
      </c>
      <c r="AV34" s="47" t="n">
        <v>6</v>
      </c>
      <c r="AW34" s="47" t="n">
        <v>6</v>
      </c>
      <c r="AX34" s="47" t="n">
        <v>6</v>
      </c>
      <c r="AY34" s="47" t="n">
        <v>6</v>
      </c>
      <c r="AZ34" s="47" t="n">
        <v>6</v>
      </c>
      <c r="BA34" s="47" t="n">
        <v>6</v>
      </c>
      <c r="BB34" s="47" t="n">
        <v>6</v>
      </c>
      <c r="BC34" s="47" t="n">
        <v>6</v>
      </c>
      <c r="BD34" s="47" t="n">
        <v>6</v>
      </c>
      <c r="BE34" s="47" t="n">
        <v>6</v>
      </c>
      <c r="BF34" s="47" t="n">
        <v>6</v>
      </c>
      <c r="BG34" s="47" t="n">
        <v>6</v>
      </c>
      <c r="BH34" s="47" t="n">
        <v>6.3</v>
      </c>
      <c r="BI34" s="47" t="n">
        <v>6.3</v>
      </c>
      <c r="BJ34" s="47" t="n">
        <v>6.3</v>
      </c>
      <c r="BK34" s="47" t="n">
        <v>6.3</v>
      </c>
      <c r="BL34" s="47" t="n">
        <v>6.3</v>
      </c>
      <c r="BM34" s="47" t="n">
        <v>6.3</v>
      </c>
      <c r="BN34" s="47" t="n">
        <v>6.3</v>
      </c>
      <c r="BO34" s="47" t="n">
        <v>6.3</v>
      </c>
      <c r="BP34" s="47" t="n">
        <v>6.3</v>
      </c>
      <c r="BQ34" s="47" t="n">
        <v>6.3</v>
      </c>
      <c r="BR34" s="47" t="n">
        <v>6.3</v>
      </c>
      <c r="BS34" s="47" t="n">
        <v>6.3</v>
      </c>
      <c r="BT34" s="47" t="n">
        <v>6.615</v>
      </c>
      <c r="BU34" s="47" t="n">
        <v>6.615</v>
      </c>
      <c r="BV34" s="47" t="n">
        <v>6.615</v>
      </c>
      <c r="BW34" s="47" t="n">
        <v>6.615</v>
      </c>
      <c r="BX34" s="47" t="n">
        <v>6.615</v>
      </c>
      <c r="BY34" s="47" t="n">
        <v>6.615</v>
      </c>
      <c r="BZ34" s="47" t="n">
        <v>6.615</v>
      </c>
      <c r="CA34" s="47" t="n">
        <v>6.615</v>
      </c>
      <c r="CB34" s="47" t="n">
        <v>6.615</v>
      </c>
      <c r="CC34" s="47" t="n">
        <v>6.615</v>
      </c>
      <c r="CD34" s="47" t="n">
        <v>6.615</v>
      </c>
      <c r="CE34" s="47" t="n">
        <v>6.615</v>
      </c>
      <c r="CF34" s="47" t="n">
        <v>6.94575</v>
      </c>
      <c r="CG34" s="47" t="n">
        <v>6.94575</v>
      </c>
      <c r="CH34" s="47" t="n">
        <v>6.94575</v>
      </c>
      <c r="CI34" s="47" t="n">
        <v>6.94575</v>
      </c>
      <c r="CJ34" s="47" t="n">
        <v>6.94575</v>
      </c>
      <c r="CK34" s="47" t="n">
        <v>6.94575</v>
      </c>
      <c r="CL34" s="47" t="n">
        <v>6.94575</v>
      </c>
      <c r="CM34" s="47" t="n">
        <v>6.94575</v>
      </c>
      <c r="CN34" s="47" t="n">
        <v>6.94575</v>
      </c>
      <c r="CO34" s="47" t="n">
        <v>6.94575</v>
      </c>
      <c r="CP34" s="47" t="n">
        <v>6.94575</v>
      </c>
      <c r="CQ34" s="47" t="n">
        <v>6.94575</v>
      </c>
      <c r="CR34" s="47" t="n">
        <v>7.293037500000001</v>
      </c>
      <c r="CS34" s="47" t="n">
        <v>7.293037500000001</v>
      </c>
      <c r="CT34" s="47" t="n">
        <v>7.293037500000001</v>
      </c>
      <c r="CU34" s="47" t="n">
        <v>7.293037500000001</v>
      </c>
      <c r="CV34" s="47" t="n">
        <v>7.293037500000001</v>
      </c>
      <c r="CW34" s="47" t="n">
        <v>7.293037500000001</v>
      </c>
      <c r="CX34" s="47" t="n">
        <v>7.293037500000001</v>
      </c>
      <c r="CY34" s="47" t="n">
        <v>7.293037500000001</v>
      </c>
      <c r="CZ34" s="47" t="n">
        <v>7.293037500000001</v>
      </c>
      <c r="DA34" s="47" t="n">
        <v>7.293037500000001</v>
      </c>
      <c r="DB34" s="47" t="n">
        <v>7.293037500000001</v>
      </c>
      <c r="DC34" s="47" t="n">
        <v>7.293037500000001</v>
      </c>
      <c r="DD34" s="47" t="n">
        <v>0</v>
      </c>
      <c r="DE34" s="47" t="n">
        <v>0</v>
      </c>
      <c r="DF34" s="47" t="n">
        <v>0</v>
      </c>
      <c r="DG34" s="47" t="n">
        <v>0</v>
      </c>
      <c r="DH34" s="47" t="n">
        <v>0</v>
      </c>
      <c r="DI34" s="47" t="n">
        <v>0</v>
      </c>
      <c r="DJ34" s="47" t="n">
        <v>0</v>
      </c>
      <c r="DK34" s="47" t="n">
        <v>0</v>
      </c>
      <c r="DL34" s="47" t="n">
        <v>0</v>
      </c>
      <c r="DM34" s="47" t="n">
        <v>0</v>
      </c>
      <c r="DN34" s="47" t="n">
        <v>0</v>
      </c>
      <c r="DO34" s="47" t="n">
        <v>0</v>
      </c>
      <c r="DP34" s="47" t="n">
        <v>0</v>
      </c>
      <c r="DQ34" s="47" t="n">
        <v>0</v>
      </c>
      <c r="DR34" s="47" t="n">
        <v>0</v>
      </c>
      <c r="DT34" s="46">
        <f>+F34-E34</f>
        <v/>
      </c>
      <c r="DU34" s="46">
        <f>+G34-F34</f>
        <v/>
      </c>
      <c r="DV34" s="46">
        <f>+H34-G34</f>
        <v/>
      </c>
      <c r="DW34" s="46">
        <f>+I34-H34</f>
        <v/>
      </c>
    </row>
    <row r="35" hidden="1" outlineLevel="1" ht="15.75" customHeight="1">
      <c r="B35" s="5" t="inlineStr">
        <is>
          <t>IWA</t>
        </is>
      </c>
      <c r="C35" s="68" t="inlineStr">
        <is>
          <t>Lower Middle Market</t>
        </is>
      </c>
      <c r="E35" s="46">
        <f>+SUMIFS($O35:$DR35,$O$7:$DR$7,E$7)</f>
        <v/>
      </c>
      <c r="F35" s="46">
        <f>+SUMIFS($O35:$DR35,$O$7:$DR$7,F$7)</f>
        <v/>
      </c>
      <c r="G35" s="46">
        <f>+SUMIFS($O35:$DR35,$O$7:$DR$7,G$7)</f>
        <v/>
      </c>
      <c r="H35" s="46">
        <f>+SUMIFS($O35:$DR35,$O$7:$DR$7,H$7)</f>
        <v/>
      </c>
      <c r="I35" s="46">
        <f>+SUMIFS($O35:$DR35,$O$7:$DR$7,I$7)</f>
        <v/>
      </c>
      <c r="J35" s="46">
        <f>+SUMIFS($O35:$DR35,$O$7:$DR$7,J$7)</f>
        <v/>
      </c>
      <c r="K35" s="46">
        <f>+SUMIFS($O35:$DR35,$O$7:$DR$7,K$7)</f>
        <v/>
      </c>
      <c r="L35" s="46">
        <f>+SUMIFS($O35:$DR35,$O$7:$DR$7,L$7)</f>
        <v/>
      </c>
      <c r="M35" s="46">
        <f>+SUMIFS($O35:$DR35,$O$7:$DR$7,M$7)</f>
        <v/>
      </c>
      <c r="O35" s="47" t="n">
        <v>0</v>
      </c>
      <c r="P35" s="47" t="n">
        <v>0</v>
      </c>
      <c r="Q35" s="47" t="n">
        <v>0</v>
      </c>
      <c r="R35" s="47" t="n">
        <v>0</v>
      </c>
      <c r="S35" s="47" t="n">
        <v>0</v>
      </c>
      <c r="T35" s="47" t="n">
        <v>0</v>
      </c>
      <c r="U35" s="47" t="n">
        <v>7.59</v>
      </c>
      <c r="V35" s="47" t="n">
        <v>10.695</v>
      </c>
      <c r="W35" s="47" t="n">
        <v>10.695</v>
      </c>
      <c r="X35" s="47" t="n">
        <v>10.696</v>
      </c>
      <c r="Y35" s="47" t="n">
        <v>10.695</v>
      </c>
      <c r="Z35" s="47" t="n">
        <v>10.696</v>
      </c>
      <c r="AA35" s="47" t="n">
        <v>10.695</v>
      </c>
      <c r="AB35" s="47" t="n">
        <v>10.695</v>
      </c>
      <c r="AC35" s="47" t="n">
        <v>10.696</v>
      </c>
      <c r="AD35" s="47" t="n">
        <v>10.695</v>
      </c>
      <c r="AE35" s="47" t="n">
        <v>10.696</v>
      </c>
      <c r="AF35" s="47" t="n">
        <v>10.695</v>
      </c>
      <c r="AG35" s="47" t="n">
        <v>10.695</v>
      </c>
      <c r="AH35" s="47" t="n">
        <v>10.695</v>
      </c>
      <c r="AI35" s="47" t="n">
        <v>10.695</v>
      </c>
      <c r="AJ35" s="47" t="n">
        <v>10.695</v>
      </c>
      <c r="AK35" s="47" t="n">
        <v>10.695</v>
      </c>
      <c r="AL35" s="47" t="n">
        <v>10.696</v>
      </c>
      <c r="AM35" s="47" t="n">
        <v>10.695</v>
      </c>
      <c r="AN35" s="47" t="n">
        <v>10.695</v>
      </c>
      <c r="AO35" s="47" t="n">
        <v>10.695</v>
      </c>
      <c r="AP35" s="47" t="n">
        <v>10.696</v>
      </c>
      <c r="AQ35" s="47" t="n">
        <v>10.696</v>
      </c>
      <c r="AR35" s="47" t="n">
        <v>10.695</v>
      </c>
      <c r="AS35" s="47" t="n">
        <v>10.695</v>
      </c>
      <c r="AT35" s="47" t="n">
        <v>9.433</v>
      </c>
      <c r="AU35" s="47" t="n">
        <v>10.695</v>
      </c>
      <c r="AV35" s="47" t="n">
        <v>10.696</v>
      </c>
      <c r="AW35" s="47" t="n">
        <v>10.695</v>
      </c>
      <c r="AX35" s="47" t="n">
        <v>10.696</v>
      </c>
      <c r="AY35" s="47" t="n">
        <v>10.69558333333333</v>
      </c>
      <c r="AZ35" s="47" t="n">
        <v>10.69558333333333</v>
      </c>
      <c r="BA35" s="47" t="n">
        <v>10.69558333333333</v>
      </c>
      <c r="BB35" s="47" t="n">
        <v>10.69558333333333</v>
      </c>
      <c r="BC35" s="47" t="n">
        <v>10.69558333333333</v>
      </c>
      <c r="BD35" s="47" t="n">
        <v>10.69558333333333</v>
      </c>
      <c r="BE35" s="47" t="n">
        <v>10.69558333333333</v>
      </c>
      <c r="BF35" s="47" t="n">
        <v>10.69558333333333</v>
      </c>
      <c r="BG35" s="47" t="n">
        <v>10.69558333333333</v>
      </c>
      <c r="BH35" s="47" t="n">
        <v>10.69558333333333</v>
      </c>
      <c r="BI35" s="47" t="n">
        <v>10.69558333333333</v>
      </c>
      <c r="BJ35" s="47" t="n">
        <v>10.69558333333333</v>
      </c>
      <c r="BK35" s="47" t="n">
        <v>10.69558333333333</v>
      </c>
      <c r="BL35" s="47" t="n">
        <v>10.69558333333333</v>
      </c>
      <c r="BM35" s="47" t="n">
        <v>10.69558333333333</v>
      </c>
      <c r="BN35" s="47" t="n">
        <v>10.69558333333333</v>
      </c>
      <c r="BO35" s="47" t="n">
        <v>10.69558333333333</v>
      </c>
      <c r="BP35" s="47" t="n">
        <v>10.69558333333333</v>
      </c>
      <c r="BQ35" s="47" t="n">
        <v>10.69558333333333</v>
      </c>
      <c r="BR35" s="47" t="n">
        <v>10.69558333333333</v>
      </c>
      <c r="BS35" s="47" t="n">
        <v>10.69558333333333</v>
      </c>
      <c r="BT35" s="47" t="n">
        <v>10.69558333333333</v>
      </c>
      <c r="BU35" s="47" t="n">
        <v>10.69558333333333</v>
      </c>
      <c r="BV35" s="47" t="n">
        <v>10.69558333333333</v>
      </c>
      <c r="BW35" s="47" t="n">
        <v>10.69558333333333</v>
      </c>
      <c r="BX35" s="47" t="n">
        <v>10.69558333333333</v>
      </c>
      <c r="BY35" s="47" t="n">
        <v>10.69558333333333</v>
      </c>
      <c r="BZ35" s="47" t="n">
        <v>10.69558333333333</v>
      </c>
      <c r="CA35" s="47" t="n">
        <v>10.69558333333333</v>
      </c>
      <c r="CB35" s="47" t="n">
        <v>10.69558333333333</v>
      </c>
      <c r="CC35" s="47" t="n">
        <v>10.69558333333333</v>
      </c>
      <c r="CD35" s="47" t="n">
        <v>0</v>
      </c>
      <c r="CE35" s="47" t="n">
        <v>0</v>
      </c>
      <c r="CF35" s="47" t="n">
        <v>0</v>
      </c>
      <c r="CG35" s="47" t="n">
        <v>0</v>
      </c>
      <c r="CH35" s="47" t="n">
        <v>0</v>
      </c>
      <c r="CI35" s="47" t="n">
        <v>0</v>
      </c>
      <c r="CJ35" s="47" t="n">
        <v>0</v>
      </c>
      <c r="CK35" s="47" t="n">
        <v>0</v>
      </c>
      <c r="CL35" s="47" t="n">
        <v>0</v>
      </c>
      <c r="CM35" s="47" t="n">
        <v>0</v>
      </c>
      <c r="CN35" s="47" t="n">
        <v>0</v>
      </c>
      <c r="CO35" s="47" t="n">
        <v>0</v>
      </c>
      <c r="CP35" s="47" t="n">
        <v>0</v>
      </c>
      <c r="CQ35" s="47" t="n">
        <v>0</v>
      </c>
      <c r="CR35" s="47" t="n">
        <v>0</v>
      </c>
      <c r="CS35" s="47" t="n">
        <v>0</v>
      </c>
      <c r="CT35" s="47" t="n">
        <v>0</v>
      </c>
      <c r="CU35" s="47" t="n">
        <v>0</v>
      </c>
      <c r="CV35" s="47" t="n">
        <v>0</v>
      </c>
      <c r="CW35" s="47" t="n">
        <v>0</v>
      </c>
      <c r="CX35" s="47" t="n">
        <v>0</v>
      </c>
      <c r="CY35" s="47" t="n">
        <v>0</v>
      </c>
      <c r="CZ35" s="47" t="n">
        <v>0</v>
      </c>
      <c r="DA35" s="47" t="n">
        <v>0</v>
      </c>
      <c r="DB35" s="47" t="n">
        <v>0</v>
      </c>
      <c r="DC35" s="47" t="n">
        <v>0</v>
      </c>
      <c r="DD35" s="47" t="n">
        <v>0</v>
      </c>
      <c r="DE35" s="47" t="n">
        <v>0</v>
      </c>
      <c r="DF35" s="47" t="n">
        <v>0</v>
      </c>
      <c r="DG35" s="47" t="n">
        <v>0</v>
      </c>
      <c r="DH35" s="47" t="n">
        <v>0</v>
      </c>
      <c r="DI35" s="47" t="n">
        <v>0</v>
      </c>
      <c r="DJ35" s="47" t="n">
        <v>0</v>
      </c>
      <c r="DK35" s="47" t="n">
        <v>0</v>
      </c>
      <c r="DL35" s="47" t="n">
        <v>0</v>
      </c>
      <c r="DM35" s="47" t="n">
        <v>0</v>
      </c>
      <c r="DN35" s="47" t="n">
        <v>0</v>
      </c>
      <c r="DO35" s="47" t="n">
        <v>0</v>
      </c>
      <c r="DP35" s="47" t="n">
        <v>0</v>
      </c>
      <c r="DQ35" s="47" t="n">
        <v>0</v>
      </c>
      <c r="DR35" s="47" t="n">
        <v>0</v>
      </c>
      <c r="DT35" s="46">
        <f>+F35-E35</f>
        <v/>
      </c>
      <c r="DU35" s="46">
        <f>+G35-F35</f>
        <v/>
      </c>
      <c r="DV35" s="46">
        <f>+H35-G35</f>
        <v/>
      </c>
      <c r="DW35" s="46">
        <f>+I35-H35</f>
        <v/>
      </c>
    </row>
    <row r="36" hidden="1" outlineLevel="1" ht="15.75" customHeight="1">
      <c r="B36" s="5" t="inlineStr">
        <is>
          <t>KARGER</t>
        </is>
      </c>
      <c r="C36" s="68" t="inlineStr">
        <is>
          <t>Upper Middle Market</t>
        </is>
      </c>
      <c r="E36" s="46">
        <f>+SUMIFS($O36:$DR36,$O$7:$DR$7,E$7)</f>
        <v/>
      </c>
      <c r="F36" s="46">
        <f>+SUMIFS($O36:$DR36,$O$7:$DR$7,F$7)</f>
        <v/>
      </c>
      <c r="G36" s="46">
        <f>+SUMIFS($O36:$DR36,$O$7:$DR$7,G$7)</f>
        <v/>
      </c>
      <c r="H36" s="46">
        <f>+SUMIFS($O36:$DR36,$O$7:$DR$7,H$7)</f>
        <v/>
      </c>
      <c r="I36" s="46">
        <f>+SUMIFS($O36:$DR36,$O$7:$DR$7,I$7)</f>
        <v/>
      </c>
      <c r="J36" s="46">
        <f>+SUMIFS($O36:$DR36,$O$7:$DR$7,J$7)</f>
        <v/>
      </c>
      <c r="K36" s="46">
        <f>+SUMIFS($O36:$DR36,$O$7:$DR$7,K$7)</f>
        <v/>
      </c>
      <c r="L36" s="46">
        <f>+SUMIFS($O36:$DR36,$O$7:$DR$7,L$7)</f>
        <v/>
      </c>
      <c r="M36" s="46">
        <f>+SUMIFS($O36:$DR36,$O$7:$DR$7,M$7)</f>
        <v/>
      </c>
      <c r="O36" s="47" t="n">
        <v>0</v>
      </c>
      <c r="P36" s="47" t="n">
        <v>0</v>
      </c>
      <c r="Q36" s="47" t="n">
        <v>0</v>
      </c>
      <c r="R36" s="47" t="n">
        <v>0</v>
      </c>
      <c r="S36" s="47" t="n">
        <v>0</v>
      </c>
      <c r="T36" s="47" t="n">
        <v>0</v>
      </c>
      <c r="U36" s="47" t="n">
        <v>0</v>
      </c>
      <c r="V36" s="47" t="n">
        <v>0</v>
      </c>
      <c r="W36" s="47" t="n">
        <v>0</v>
      </c>
      <c r="X36" s="47" t="n">
        <v>0</v>
      </c>
      <c r="Y36" s="47" t="n">
        <v>0</v>
      </c>
      <c r="Z36" s="47" t="n">
        <v>0</v>
      </c>
      <c r="AA36" s="47" t="n">
        <v>0</v>
      </c>
      <c r="AB36" s="47" t="n">
        <v>0</v>
      </c>
      <c r="AC36" s="47" t="n">
        <v>0</v>
      </c>
      <c r="AD36" s="47" t="n">
        <v>0</v>
      </c>
      <c r="AE36" s="47" t="n">
        <v>0</v>
      </c>
      <c r="AF36" s="47" t="n">
        <v>0</v>
      </c>
      <c r="AG36" s="47" t="n">
        <v>0</v>
      </c>
      <c r="AH36" s="47" t="n">
        <v>0</v>
      </c>
      <c r="AI36" s="47" t="n">
        <v>0</v>
      </c>
      <c r="AJ36" s="47" t="n">
        <v>0</v>
      </c>
      <c r="AK36" s="47" t="n">
        <v>0</v>
      </c>
      <c r="AL36" s="47" t="n">
        <v>0</v>
      </c>
      <c r="AM36" s="47" t="n">
        <v>0</v>
      </c>
      <c r="AN36" s="47" t="n">
        <v>0</v>
      </c>
      <c r="AO36" s="47" t="n">
        <v>0</v>
      </c>
      <c r="AP36" s="47" t="n">
        <v>0</v>
      </c>
      <c r="AQ36" s="47" t="n">
        <v>0</v>
      </c>
      <c r="AR36" s="47" t="n">
        <v>0</v>
      </c>
      <c r="AS36" s="47" t="n">
        <v>0</v>
      </c>
      <c r="AT36" s="47" t="n">
        <v>0</v>
      </c>
      <c r="AU36" s="47" t="n">
        <v>0</v>
      </c>
      <c r="AV36" s="47" t="n">
        <v>0</v>
      </c>
      <c r="AW36" s="47" t="n">
        <v>0</v>
      </c>
      <c r="AX36" s="47" t="n">
        <v>0</v>
      </c>
      <c r="AY36" s="47" t="n">
        <v>0</v>
      </c>
      <c r="AZ36" s="47" t="n">
        <v>0</v>
      </c>
      <c r="BA36" s="47" t="n">
        <v>0</v>
      </c>
      <c r="BB36" s="47" t="n">
        <v>0</v>
      </c>
      <c r="BC36" s="47" t="n">
        <v>0</v>
      </c>
      <c r="BD36" s="47" t="n">
        <v>0</v>
      </c>
      <c r="BE36" s="47" t="n">
        <v>2</v>
      </c>
      <c r="BF36" s="47" t="n">
        <v>2</v>
      </c>
      <c r="BG36" s="47" t="n">
        <v>2</v>
      </c>
      <c r="BH36" s="47" t="n">
        <v>2</v>
      </c>
      <c r="BI36" s="47" t="n">
        <v>2</v>
      </c>
      <c r="BJ36" s="47" t="n">
        <v>2</v>
      </c>
      <c r="BK36" s="47" t="n">
        <v>2</v>
      </c>
      <c r="BL36" s="47" t="n">
        <v>2</v>
      </c>
      <c r="BM36" s="47" t="n">
        <v>2</v>
      </c>
      <c r="BN36" s="47" t="n">
        <v>2</v>
      </c>
      <c r="BO36" s="47" t="n">
        <v>2</v>
      </c>
      <c r="BP36" s="47" t="n">
        <v>2</v>
      </c>
      <c r="BQ36" s="47" t="n">
        <v>2</v>
      </c>
      <c r="BR36" s="47" t="n">
        <v>2</v>
      </c>
      <c r="BS36" s="47" t="n">
        <v>2</v>
      </c>
      <c r="BT36" s="47" t="n">
        <v>2</v>
      </c>
      <c r="BU36" s="47" t="n">
        <v>2</v>
      </c>
      <c r="BV36" s="47" t="n">
        <v>2</v>
      </c>
      <c r="BW36" s="47" t="n">
        <v>21.008</v>
      </c>
      <c r="BX36" s="47" t="n">
        <v>21.008</v>
      </c>
      <c r="BY36" s="47" t="n">
        <v>21.008</v>
      </c>
      <c r="BZ36" s="47" t="n">
        <v>21.008</v>
      </c>
      <c r="CA36" s="47" t="n">
        <v>21.008</v>
      </c>
      <c r="CB36" s="47" t="n">
        <v>21.008</v>
      </c>
      <c r="CC36" s="47" t="n">
        <v>21.008</v>
      </c>
      <c r="CD36" s="47" t="n">
        <v>21.008</v>
      </c>
      <c r="CE36" s="47" t="n">
        <v>21.008</v>
      </c>
      <c r="CF36" s="47" t="n">
        <v>21.008</v>
      </c>
      <c r="CG36" s="47" t="n">
        <v>21.008</v>
      </c>
      <c r="CH36" s="47" t="n">
        <v>21.008</v>
      </c>
      <c r="CI36" s="47" t="n">
        <v>21.63824</v>
      </c>
      <c r="CJ36" s="47" t="n">
        <v>21.63824</v>
      </c>
      <c r="CK36" s="47" t="n">
        <v>21.63824</v>
      </c>
      <c r="CL36" s="47" t="n">
        <v>21.63824</v>
      </c>
      <c r="CM36" s="47" t="n">
        <v>21.63824</v>
      </c>
      <c r="CN36" s="47" t="n">
        <v>21.63824</v>
      </c>
      <c r="CO36" s="47" t="n">
        <v>21.63824</v>
      </c>
      <c r="CP36" s="47" t="n">
        <v>21.63824</v>
      </c>
      <c r="CQ36" s="47" t="n">
        <v>21.63824</v>
      </c>
      <c r="CR36" s="47" t="n">
        <v>21.63824</v>
      </c>
      <c r="CS36" s="47" t="n">
        <v>21.63824</v>
      </c>
      <c r="CT36" s="47" t="n">
        <v>21.63824</v>
      </c>
      <c r="CU36" s="47" t="n">
        <v>22.2873872</v>
      </c>
      <c r="CV36" s="47" t="n">
        <v>22.2873872</v>
      </c>
      <c r="CW36" s="47" t="n">
        <v>22.2873872</v>
      </c>
      <c r="CX36" s="47" t="n">
        <v>22.2873872</v>
      </c>
      <c r="CY36" s="47" t="n">
        <v>22.2873872</v>
      </c>
      <c r="CZ36" s="47" t="n">
        <v>22.2873872</v>
      </c>
      <c r="DA36" s="47" t="n">
        <v>22.2873872</v>
      </c>
      <c r="DB36" s="47" t="n">
        <v>22.2873872</v>
      </c>
      <c r="DC36" s="47" t="n">
        <v>22.2873872</v>
      </c>
      <c r="DD36" s="47" t="n">
        <v>22.2873872</v>
      </c>
      <c r="DE36" s="47" t="n">
        <v>22.2873872</v>
      </c>
      <c r="DF36" s="47" t="n">
        <v>22.2873872</v>
      </c>
      <c r="DG36" s="47" t="n">
        <v>22.956008816</v>
      </c>
      <c r="DH36" s="47" t="n">
        <v>22.956008816</v>
      </c>
      <c r="DI36" s="47" t="n">
        <v>22.956008816</v>
      </c>
      <c r="DJ36" s="47" t="n">
        <v>22.956008816</v>
      </c>
      <c r="DK36" s="47" t="n">
        <v>22.956008816</v>
      </c>
      <c r="DL36" s="47" t="n">
        <v>22.956008816</v>
      </c>
      <c r="DM36" s="47" t="n">
        <v>22.956008816</v>
      </c>
      <c r="DN36" s="47" t="n">
        <v>22.956008816</v>
      </c>
      <c r="DO36" s="47" t="n">
        <v>22.956008816</v>
      </c>
      <c r="DP36" s="47" t="n">
        <v>22.956008816</v>
      </c>
      <c r="DQ36" s="47" t="n">
        <v>22.956008816</v>
      </c>
      <c r="DR36" s="47" t="n">
        <v>22.956008816</v>
      </c>
      <c r="DT36" s="46">
        <f>+F36-E36</f>
        <v/>
      </c>
      <c r="DU36" s="46">
        <f>+G36-F36</f>
        <v/>
      </c>
      <c r="DV36" s="46">
        <f>+H36-G36</f>
        <v/>
      </c>
      <c r="DW36" s="46">
        <f>+I36-H36</f>
        <v/>
      </c>
    </row>
    <row r="37" hidden="1" outlineLevel="1" ht="15.75" customHeight="1">
      <c r="B37" s="5" t="inlineStr">
        <is>
          <t>MGH</t>
        </is>
      </c>
      <c r="C37" s="68" t="inlineStr">
        <is>
          <t>Mega</t>
        </is>
      </c>
      <c r="E37" s="46">
        <f>+SUMIFS($O37:$DR37,$O$7:$DR$7,E$7)</f>
        <v/>
      </c>
      <c r="F37" s="46">
        <f>+SUMIFS($O37:$DR37,$O$7:$DR$7,F$7)</f>
        <v/>
      </c>
      <c r="G37" s="46">
        <f>+SUMIFS($O37:$DR37,$O$7:$DR$7,G$7)</f>
        <v/>
      </c>
      <c r="H37" s="46">
        <f>+SUMIFS($O37:$DR37,$O$7:$DR$7,H$7)</f>
        <v/>
      </c>
      <c r="I37" s="46">
        <f>+SUMIFS($O37:$DR37,$O$7:$DR$7,I$7)</f>
        <v/>
      </c>
      <c r="J37" s="46">
        <f>+SUMIFS($O37:$DR37,$O$7:$DR$7,J$7)</f>
        <v/>
      </c>
      <c r="K37" s="46">
        <f>+SUMIFS($O37:$DR37,$O$7:$DR$7,K$7)</f>
        <v/>
      </c>
      <c r="L37" s="46">
        <f>+SUMIFS($O37:$DR37,$O$7:$DR$7,L$7)</f>
        <v/>
      </c>
      <c r="M37" s="46">
        <f>+SUMIFS($O37:$DR37,$O$7:$DR$7,M$7)</f>
        <v/>
      </c>
      <c r="O37" s="47" t="n">
        <v>141.809</v>
      </c>
      <c r="P37" s="47" t="n">
        <v>141.809</v>
      </c>
      <c r="Q37" s="47" t="n">
        <v>141.809</v>
      </c>
      <c r="R37" s="47" t="n">
        <v>141.809</v>
      </c>
      <c r="S37" s="47" t="n">
        <v>141.809</v>
      </c>
      <c r="T37" s="47" t="n">
        <v>141.809</v>
      </c>
      <c r="U37" s="47" t="n">
        <v>141.809</v>
      </c>
      <c r="V37" s="47" t="n">
        <v>141.809</v>
      </c>
      <c r="W37" s="47" t="n">
        <v>141.809</v>
      </c>
      <c r="X37" s="47" t="n">
        <v>141.809</v>
      </c>
      <c r="Y37" s="47" t="n">
        <v>141.809</v>
      </c>
      <c r="Z37" s="47" t="n">
        <v>141.809</v>
      </c>
      <c r="AA37" s="47" t="n">
        <v>152.606</v>
      </c>
      <c r="AB37" s="47" t="n">
        <v>152.606</v>
      </c>
      <c r="AC37" s="47" t="n">
        <v>152.606</v>
      </c>
      <c r="AD37" s="47" t="n">
        <v>152.606</v>
      </c>
      <c r="AE37" s="47" t="n">
        <v>152.606</v>
      </c>
      <c r="AF37" s="47" t="n">
        <v>152.606</v>
      </c>
      <c r="AG37" s="47" t="n">
        <v>152.606</v>
      </c>
      <c r="AH37" s="47" t="n">
        <v>152.606</v>
      </c>
      <c r="AI37" s="47" t="n">
        <v>152.606</v>
      </c>
      <c r="AJ37" s="47" t="n">
        <v>152.606</v>
      </c>
      <c r="AK37" s="47" t="n">
        <v>152.606</v>
      </c>
      <c r="AL37" s="47" t="n">
        <v>152.606</v>
      </c>
      <c r="AM37" s="47" t="n">
        <v>157.947</v>
      </c>
      <c r="AN37" s="47" t="n">
        <v>157.947</v>
      </c>
      <c r="AO37" s="47" t="n">
        <v>157.947</v>
      </c>
      <c r="AP37" s="47" t="n">
        <v>157.947</v>
      </c>
      <c r="AQ37" s="47" t="n">
        <v>157.947</v>
      </c>
      <c r="AR37" s="47" t="n">
        <v>157.947</v>
      </c>
      <c r="AS37" s="47" t="n">
        <v>157.947</v>
      </c>
      <c r="AT37" s="47" t="n">
        <v>144.174</v>
      </c>
      <c r="AU37" s="47" t="n">
        <v>157.947</v>
      </c>
      <c r="AV37" s="47" t="n">
        <v>157.947</v>
      </c>
      <c r="AW37" s="47" t="n">
        <v>157.947</v>
      </c>
      <c r="AX37" s="47" t="n">
        <v>157.947</v>
      </c>
      <c r="AY37" s="47" t="n">
        <v>157.22625</v>
      </c>
      <c r="AZ37" s="47" t="n">
        <v>157.22625</v>
      </c>
      <c r="BA37" s="47" t="n">
        <v>157.22625</v>
      </c>
      <c r="BB37" s="47" t="n">
        <v>157.22625</v>
      </c>
      <c r="BC37" s="47" t="n">
        <v>157.22625</v>
      </c>
      <c r="BD37" s="47" t="n">
        <v>157.22625</v>
      </c>
      <c r="BE37" s="47" t="n">
        <v>157.22625</v>
      </c>
      <c r="BF37" s="47" t="n">
        <v>157.22625</v>
      </c>
      <c r="BG37" s="47" t="n">
        <v>157.22625</v>
      </c>
      <c r="BH37" s="47" t="n">
        <v>157.22625</v>
      </c>
      <c r="BI37" s="47" t="n">
        <v>157.22625</v>
      </c>
      <c r="BJ37" s="47" t="n">
        <v>157.22625</v>
      </c>
      <c r="BK37" s="47" t="n">
        <v>162.7291666666667</v>
      </c>
      <c r="BL37" s="47" t="n">
        <v>162.7291666666667</v>
      </c>
      <c r="BM37" s="47" t="n">
        <v>162.7291666666667</v>
      </c>
      <c r="BN37" s="47" t="n">
        <v>162.7291666666667</v>
      </c>
      <c r="BO37" s="47" t="n">
        <v>162.7291666666667</v>
      </c>
      <c r="BP37" s="47" t="n">
        <v>162.7291666666667</v>
      </c>
      <c r="BQ37" s="47" t="n">
        <v>162.7291666666667</v>
      </c>
      <c r="BR37" s="47" t="n">
        <v>162.7291666666667</v>
      </c>
      <c r="BS37" s="47" t="n">
        <v>162.7291666666667</v>
      </c>
      <c r="BT37" s="47" t="n">
        <v>162.7291666666667</v>
      </c>
      <c r="BU37" s="47" t="n">
        <v>162.7291666666667</v>
      </c>
      <c r="BV37" s="47" t="n">
        <v>162.7291666666667</v>
      </c>
      <c r="BW37" s="47" t="n">
        <v>168.4246666666667</v>
      </c>
      <c r="BX37" s="47" t="n">
        <v>168.4246666666667</v>
      </c>
      <c r="BY37" s="47" t="n">
        <v>168.4246666666667</v>
      </c>
      <c r="BZ37" s="47" t="n">
        <v>168.4246666666667</v>
      </c>
      <c r="CA37" s="47" t="n">
        <v>168.4246666666667</v>
      </c>
      <c r="CB37" s="47" t="n">
        <v>168.4246666666667</v>
      </c>
      <c r="CC37" s="47" t="n">
        <v>168.4246666666667</v>
      </c>
      <c r="CD37" s="47" t="n">
        <v>168.4246666666667</v>
      </c>
      <c r="CE37" s="47" t="n">
        <v>168.4246666666667</v>
      </c>
      <c r="CF37" s="47" t="n">
        <v>168.4246666666667</v>
      </c>
      <c r="CG37" s="47" t="n">
        <v>168.4246666666667</v>
      </c>
      <c r="CH37" s="47" t="n">
        <v>168.4246666666667</v>
      </c>
      <c r="CI37" s="47" t="n">
        <v>0</v>
      </c>
      <c r="CJ37" s="47" t="n">
        <v>0</v>
      </c>
      <c r="CK37" s="47" t="n">
        <v>0</v>
      </c>
      <c r="CL37" s="47" t="n">
        <v>0</v>
      </c>
      <c r="CM37" s="47" t="n">
        <v>0</v>
      </c>
      <c r="CN37" s="47" t="n">
        <v>0</v>
      </c>
      <c r="CO37" s="47" t="n">
        <v>0</v>
      </c>
      <c r="CP37" s="47" t="n">
        <v>0</v>
      </c>
      <c r="CQ37" s="47" t="n">
        <v>0</v>
      </c>
      <c r="CR37" s="47" t="n">
        <v>0</v>
      </c>
      <c r="CS37" s="47" t="n">
        <v>0</v>
      </c>
      <c r="CT37" s="47" t="n">
        <v>0</v>
      </c>
      <c r="CU37" s="47" t="n">
        <v>0</v>
      </c>
      <c r="CV37" s="47" t="n">
        <v>0</v>
      </c>
      <c r="CW37" s="47" t="n">
        <v>0</v>
      </c>
      <c r="CX37" s="47" t="n">
        <v>0</v>
      </c>
      <c r="CY37" s="47" t="n">
        <v>0</v>
      </c>
      <c r="CZ37" s="47" t="n">
        <v>0</v>
      </c>
      <c r="DA37" s="47" t="n">
        <v>0</v>
      </c>
      <c r="DB37" s="47" t="n">
        <v>0</v>
      </c>
      <c r="DC37" s="47" t="n">
        <v>0</v>
      </c>
      <c r="DD37" s="47" t="n">
        <v>0</v>
      </c>
      <c r="DE37" s="47" t="n">
        <v>0</v>
      </c>
      <c r="DF37" s="47" t="n">
        <v>0</v>
      </c>
      <c r="DG37" s="47" t="n">
        <v>0</v>
      </c>
      <c r="DH37" s="47" t="n">
        <v>0</v>
      </c>
      <c r="DI37" s="47" t="n">
        <v>0</v>
      </c>
      <c r="DJ37" s="47" t="n">
        <v>0</v>
      </c>
      <c r="DK37" s="47" t="n">
        <v>0</v>
      </c>
      <c r="DL37" s="47" t="n">
        <v>0</v>
      </c>
      <c r="DM37" s="47" t="n">
        <v>0</v>
      </c>
      <c r="DN37" s="47" t="n">
        <v>0</v>
      </c>
      <c r="DO37" s="47" t="n">
        <v>0</v>
      </c>
      <c r="DP37" s="47" t="n">
        <v>0</v>
      </c>
      <c r="DQ37" s="47" t="n">
        <v>0</v>
      </c>
      <c r="DR37" s="47" t="n">
        <v>0</v>
      </c>
      <c r="DT37" s="46">
        <f>+F37-E37</f>
        <v/>
      </c>
      <c r="DU37" s="46">
        <f>+G37-F37</f>
        <v/>
      </c>
      <c r="DV37" s="46">
        <f>+H37-G37</f>
        <v/>
      </c>
      <c r="DW37" s="46">
        <f>+I37-H37</f>
        <v/>
      </c>
    </row>
    <row r="38" hidden="1" outlineLevel="1" ht="15.75" customHeight="1">
      <c r="B38" s="5" t="inlineStr">
        <is>
          <t>MIT</t>
        </is>
      </c>
      <c r="C38" s="68" t="inlineStr">
        <is>
          <t>Upper Middle Market</t>
        </is>
      </c>
      <c r="E38" s="46">
        <f>+SUMIFS($O38:$DR38,$O$7:$DR$7,E$7)</f>
        <v/>
      </c>
      <c r="F38" s="46">
        <f>+SUMIFS($O38:$DR38,$O$7:$DR$7,F$7)</f>
        <v/>
      </c>
      <c r="G38" s="46">
        <f>+SUMIFS($O38:$DR38,$O$7:$DR$7,G$7)</f>
        <v/>
      </c>
      <c r="H38" s="46">
        <f>+SUMIFS($O38:$DR38,$O$7:$DR$7,H$7)</f>
        <v/>
      </c>
      <c r="I38" s="46">
        <f>+SUMIFS($O38:$DR38,$O$7:$DR$7,I$7)</f>
        <v/>
      </c>
      <c r="J38" s="46">
        <f>+SUMIFS($O38:$DR38,$O$7:$DR$7,J$7)</f>
        <v/>
      </c>
      <c r="K38" s="46">
        <f>+SUMIFS($O38:$DR38,$O$7:$DR$7,K$7)</f>
        <v/>
      </c>
      <c r="L38" s="46">
        <f>+SUMIFS($O38:$DR38,$O$7:$DR$7,L$7)</f>
        <v/>
      </c>
      <c r="M38" s="46">
        <f>+SUMIFS($O38:$DR38,$O$7:$DR$7,M$7)</f>
        <v/>
      </c>
      <c r="O38" s="47" t="n">
        <v>0</v>
      </c>
      <c r="P38" s="47" t="n">
        <v>0</v>
      </c>
      <c r="Q38" s="47" t="n">
        <v>0</v>
      </c>
      <c r="R38" s="47" t="n">
        <v>0</v>
      </c>
      <c r="S38" s="47" t="n">
        <v>0</v>
      </c>
      <c r="T38" s="47" t="n">
        <v>0</v>
      </c>
      <c r="U38" s="47" t="n">
        <v>0</v>
      </c>
      <c r="V38" s="47" t="n">
        <v>0</v>
      </c>
      <c r="W38" s="47" t="n">
        <v>0</v>
      </c>
      <c r="X38" s="47" t="n">
        <v>0</v>
      </c>
      <c r="Y38" s="47" t="n">
        <v>0</v>
      </c>
      <c r="Z38" s="47" t="n">
        <v>0</v>
      </c>
      <c r="AA38" s="47" t="n">
        <v>8.167</v>
      </c>
      <c r="AB38" s="47" t="n">
        <v>8.167</v>
      </c>
      <c r="AC38" s="47" t="n">
        <v>8.167</v>
      </c>
      <c r="AD38" s="47" t="n">
        <v>8.167</v>
      </c>
      <c r="AE38" s="47" t="n">
        <v>8.166</v>
      </c>
      <c r="AF38" s="47" t="n">
        <v>8.167</v>
      </c>
      <c r="AG38" s="47" t="n">
        <v>8.167</v>
      </c>
      <c r="AH38" s="47" t="n">
        <v>8.167</v>
      </c>
      <c r="AI38" s="47" t="n">
        <v>8.166</v>
      </c>
      <c r="AJ38" s="47" t="n">
        <v>8.166</v>
      </c>
      <c r="AK38" s="47" t="n">
        <v>8.166</v>
      </c>
      <c r="AL38" s="47" t="n">
        <v>8.167</v>
      </c>
      <c r="AM38" s="47" t="n">
        <v>8.411</v>
      </c>
      <c r="AN38" s="47" t="n">
        <v>8.411</v>
      </c>
      <c r="AO38" s="47" t="n">
        <v>8.411</v>
      </c>
      <c r="AP38" s="47" t="n">
        <v>11.745</v>
      </c>
      <c r="AQ38" s="47" t="n">
        <v>11.745</v>
      </c>
      <c r="AR38" s="47" t="n">
        <v>11.745</v>
      </c>
      <c r="AS38" s="47" t="n">
        <v>11.745</v>
      </c>
      <c r="AT38" s="47" t="n">
        <v>11.745</v>
      </c>
      <c r="AU38" s="47" t="n">
        <v>9.869999999999999</v>
      </c>
      <c r="AV38" s="47" t="n">
        <v>11.745</v>
      </c>
      <c r="AW38" s="47" t="n">
        <v>11.745</v>
      </c>
      <c r="AX38" s="47" t="n">
        <v>11.745</v>
      </c>
      <c r="AY38" s="47" t="n">
        <v>11.99733</v>
      </c>
      <c r="AZ38" s="47" t="n">
        <v>20.74733</v>
      </c>
      <c r="BA38" s="47" t="n">
        <v>20.74733</v>
      </c>
      <c r="BB38" s="47" t="n">
        <v>20.74733</v>
      </c>
      <c r="BC38" s="47" t="n">
        <v>20.74733</v>
      </c>
      <c r="BD38" s="47" t="n">
        <v>20.74733</v>
      </c>
      <c r="BE38" s="47" t="n">
        <v>20.74733</v>
      </c>
      <c r="BF38" s="47" t="n">
        <v>20.74733</v>
      </c>
      <c r="BG38" s="47" t="n">
        <v>20.74733</v>
      </c>
      <c r="BH38" s="47" t="n">
        <v>20.74733</v>
      </c>
      <c r="BI38" s="47" t="n">
        <v>20.74733</v>
      </c>
      <c r="BJ38" s="47" t="n">
        <v>20.74733</v>
      </c>
      <c r="BK38" s="47" t="n">
        <v>21.00725</v>
      </c>
      <c r="BL38" s="47" t="n">
        <v>21.00725</v>
      </c>
      <c r="BM38" s="47" t="n">
        <v>21.00725</v>
      </c>
      <c r="BN38" s="47" t="n">
        <v>21.00725</v>
      </c>
      <c r="BO38" s="47" t="n">
        <v>21.00725</v>
      </c>
      <c r="BP38" s="47" t="n">
        <v>21.00725</v>
      </c>
      <c r="BQ38" s="47" t="n">
        <v>21.10725</v>
      </c>
      <c r="BR38" s="47" t="n">
        <v>21.10725</v>
      </c>
      <c r="BS38" s="47" t="n">
        <v>21.10725</v>
      </c>
      <c r="BT38" s="47" t="n">
        <v>21.10725</v>
      </c>
      <c r="BU38" s="47" t="n">
        <v>21.10725</v>
      </c>
      <c r="BV38" s="47" t="n">
        <v>21.10725</v>
      </c>
      <c r="BW38" s="47" t="n">
        <v>21.375</v>
      </c>
      <c r="BX38" s="47" t="n">
        <v>21.375</v>
      </c>
      <c r="BY38" s="47" t="n">
        <v>21.375</v>
      </c>
      <c r="BZ38" s="47" t="n">
        <v>21.375</v>
      </c>
      <c r="CA38" s="47" t="n">
        <v>21.375</v>
      </c>
      <c r="CB38" s="47" t="n">
        <v>21.375</v>
      </c>
      <c r="CC38" s="47" t="n">
        <v>21.478</v>
      </c>
      <c r="CD38" s="47" t="n">
        <v>21.478</v>
      </c>
      <c r="CE38" s="47" t="n">
        <v>21.478</v>
      </c>
      <c r="CF38" s="47" t="n">
        <v>21.478</v>
      </c>
      <c r="CG38" s="47" t="n">
        <v>21.478</v>
      </c>
      <c r="CH38" s="47" t="n">
        <v>21.478</v>
      </c>
      <c r="CI38" s="47" t="n">
        <v>21.75375</v>
      </c>
      <c r="CJ38" s="47" t="n">
        <v>21.75375</v>
      </c>
      <c r="CK38" s="47" t="n">
        <v>22.01625</v>
      </c>
      <c r="CL38" s="47" t="n">
        <v>22.01625</v>
      </c>
      <c r="CM38" s="47" t="n">
        <v>22.01625</v>
      </c>
      <c r="CN38" s="47" t="n">
        <v>22.01625</v>
      </c>
      <c r="CO38" s="47" t="n">
        <v>22.12234</v>
      </c>
      <c r="CP38" s="47" t="n">
        <v>22.12234</v>
      </c>
      <c r="CQ38" s="47" t="n">
        <v>22.12234</v>
      </c>
      <c r="CR38" s="47" t="n">
        <v>22.12234</v>
      </c>
      <c r="CS38" s="47" t="n">
        <v>22.12234</v>
      </c>
      <c r="CT38" s="47" t="n">
        <v>22.12234</v>
      </c>
      <c r="CU38" s="47" t="n">
        <v>22.40634</v>
      </c>
      <c r="CV38" s="47" t="n">
        <v>22.40634</v>
      </c>
      <c r="CW38" s="47" t="n">
        <v>22.676715</v>
      </c>
      <c r="CX38" s="47" t="n">
        <v>22.676715</v>
      </c>
      <c r="CY38" s="47" t="n">
        <v>22.676715</v>
      </c>
      <c r="CZ38" s="47" t="n">
        <v>22.676715</v>
      </c>
      <c r="DA38" s="47" t="n">
        <v>22.7859877</v>
      </c>
      <c r="DB38" s="47" t="n">
        <v>22.7859877</v>
      </c>
      <c r="DC38" s="47" t="n">
        <v>22.7859877</v>
      </c>
      <c r="DD38" s="47" t="n">
        <v>22.7859877</v>
      </c>
      <c r="DE38" s="47" t="n">
        <v>22.7859877</v>
      </c>
      <c r="DF38" s="47" t="n">
        <v>22.7859877</v>
      </c>
      <c r="DG38" s="47" t="n">
        <v>0</v>
      </c>
      <c r="DH38" s="47" t="n">
        <v>0</v>
      </c>
      <c r="DI38" s="47" t="n">
        <v>0</v>
      </c>
      <c r="DJ38" s="47" t="n">
        <v>0</v>
      </c>
      <c r="DK38" s="47" t="n">
        <v>0</v>
      </c>
      <c r="DL38" s="47" t="n">
        <v>0</v>
      </c>
      <c r="DM38" s="47" t="n">
        <v>0</v>
      </c>
      <c r="DN38" s="47" t="n">
        <v>0</v>
      </c>
      <c r="DO38" s="47" t="n">
        <v>0</v>
      </c>
      <c r="DP38" s="47" t="n">
        <v>0</v>
      </c>
      <c r="DQ38" s="47" t="n">
        <v>0</v>
      </c>
      <c r="DR38" s="47" t="n">
        <v>0</v>
      </c>
      <c r="DT38" s="46">
        <f>+F38-E38</f>
        <v/>
      </c>
      <c r="DU38" s="46">
        <f>+G38-F38</f>
        <v/>
      </c>
      <c r="DV38" s="46">
        <f>+H38-G38</f>
        <v/>
      </c>
      <c r="DW38" s="46">
        <f>+I38-H38</f>
        <v/>
      </c>
    </row>
    <row r="39" hidden="1" outlineLevel="1" ht="15.75" customHeight="1">
      <c r="B39" s="5" t="inlineStr">
        <is>
          <t>MLA</t>
        </is>
      </c>
      <c r="C39" s="68" t="inlineStr">
        <is>
          <t>Lower Middle Market</t>
        </is>
      </c>
      <c r="E39" s="46">
        <f>+SUMIFS($O39:$DR39,$O$7:$DR$7,E$7)</f>
        <v/>
      </c>
      <c r="F39" s="46">
        <f>+SUMIFS($O39:$DR39,$O$7:$DR$7,F$7)</f>
        <v/>
      </c>
      <c r="G39" s="46">
        <f>+SUMIFS($O39:$DR39,$O$7:$DR$7,G$7)</f>
        <v/>
      </c>
      <c r="H39" s="46">
        <f>+SUMIFS($O39:$DR39,$O$7:$DR$7,H$7)</f>
        <v/>
      </c>
      <c r="I39" s="46">
        <f>+SUMIFS($O39:$DR39,$O$7:$DR$7,I$7)</f>
        <v/>
      </c>
      <c r="J39" s="46">
        <f>+SUMIFS($O39:$DR39,$O$7:$DR$7,J$7)</f>
        <v/>
      </c>
      <c r="K39" s="46">
        <f>+SUMIFS($O39:$DR39,$O$7:$DR$7,K$7)</f>
        <v/>
      </c>
      <c r="L39" s="46">
        <f>+SUMIFS($O39:$DR39,$O$7:$DR$7,L$7)</f>
        <v/>
      </c>
      <c r="M39" s="46">
        <f>+SUMIFS($O39:$DR39,$O$7:$DR$7,M$7)</f>
        <v/>
      </c>
      <c r="O39" s="47" t="n">
        <v>0</v>
      </c>
      <c r="P39" s="47" t="n">
        <v>0</v>
      </c>
      <c r="Q39" s="47" t="n">
        <v>0</v>
      </c>
      <c r="R39" s="47" t="n">
        <v>0</v>
      </c>
      <c r="S39" s="47" t="n">
        <v>0</v>
      </c>
      <c r="T39" s="47" t="n">
        <v>0</v>
      </c>
      <c r="U39" s="47" t="n">
        <v>0</v>
      </c>
      <c r="V39" s="47" t="n">
        <v>0</v>
      </c>
      <c r="W39" s="47" t="n">
        <v>0</v>
      </c>
      <c r="X39" s="47" t="n">
        <v>0</v>
      </c>
      <c r="Y39" s="47" t="n">
        <v>0</v>
      </c>
      <c r="Z39" s="47" t="n">
        <v>0</v>
      </c>
      <c r="AA39" s="47" t="n">
        <v>0</v>
      </c>
      <c r="AB39" s="47" t="n">
        <v>0</v>
      </c>
      <c r="AC39" s="47" t="n">
        <v>0</v>
      </c>
      <c r="AD39" s="47" t="n">
        <v>0</v>
      </c>
      <c r="AE39" s="47" t="n">
        <v>0</v>
      </c>
      <c r="AF39" s="47" t="n">
        <v>0</v>
      </c>
      <c r="AG39" s="47" t="n">
        <v>0</v>
      </c>
      <c r="AH39" s="47" t="n">
        <v>0</v>
      </c>
      <c r="AI39" s="47" t="n">
        <v>0</v>
      </c>
      <c r="AJ39" s="47" t="n">
        <v>0</v>
      </c>
      <c r="AK39" s="47" t="n">
        <v>0</v>
      </c>
      <c r="AL39" s="47" t="n">
        <v>0</v>
      </c>
      <c r="AM39" s="47" t="n">
        <v>0</v>
      </c>
      <c r="AN39" s="47" t="n">
        <v>0</v>
      </c>
      <c r="AO39" s="47" t="n">
        <v>0</v>
      </c>
      <c r="AP39" s="47" t="n">
        <v>0</v>
      </c>
      <c r="AQ39" s="47" t="n">
        <v>0</v>
      </c>
      <c r="AR39" s="47" t="n">
        <v>0</v>
      </c>
      <c r="AS39" s="47" t="n">
        <v>0</v>
      </c>
      <c r="AT39" s="47" t="n">
        <v>0</v>
      </c>
      <c r="AU39" s="47" t="n">
        <v>0</v>
      </c>
      <c r="AV39" s="47" t="n">
        <v>0</v>
      </c>
      <c r="AW39" s="47" t="n">
        <v>0</v>
      </c>
      <c r="AX39" s="47" t="n">
        <v>0</v>
      </c>
      <c r="AY39" s="47" t="n">
        <v>0</v>
      </c>
      <c r="AZ39" s="47" t="n">
        <v>0</v>
      </c>
      <c r="BA39" s="47" t="n">
        <v>0</v>
      </c>
      <c r="BB39" s="47" t="n">
        <v>0</v>
      </c>
      <c r="BC39" s="47" t="n">
        <v>0</v>
      </c>
      <c r="BD39" s="47" t="n">
        <v>0</v>
      </c>
      <c r="BE39" s="47" t="n">
        <v>0</v>
      </c>
      <c r="BF39" s="47" t="n">
        <v>0</v>
      </c>
      <c r="BG39" s="47" t="n">
        <v>4</v>
      </c>
      <c r="BH39" s="47" t="n">
        <v>6.666666666666667</v>
      </c>
      <c r="BI39" s="47" t="n">
        <v>6.666666666666667</v>
      </c>
      <c r="BJ39" s="47" t="n">
        <v>6.666666666666667</v>
      </c>
      <c r="BK39" s="47" t="n">
        <v>6.666666666666667</v>
      </c>
      <c r="BL39" s="47" t="n">
        <v>6.666666666666667</v>
      </c>
      <c r="BM39" s="47" t="n">
        <v>6.666666666666667</v>
      </c>
      <c r="BN39" s="47" t="n">
        <v>6.666666666666667</v>
      </c>
      <c r="BO39" s="47" t="n">
        <v>6.666666666666667</v>
      </c>
      <c r="BP39" s="47" t="n">
        <v>6.666666666666667</v>
      </c>
      <c r="BQ39" s="47" t="n">
        <v>6.666666666666667</v>
      </c>
      <c r="BR39" s="47" t="n">
        <v>6.666666666666667</v>
      </c>
      <c r="BS39" s="47" t="n">
        <v>7</v>
      </c>
      <c r="BT39" s="47" t="n">
        <v>7</v>
      </c>
      <c r="BU39" s="47" t="n">
        <v>7</v>
      </c>
      <c r="BV39" s="47" t="n">
        <v>7</v>
      </c>
      <c r="BW39" s="47" t="n">
        <v>7</v>
      </c>
      <c r="BX39" s="47" t="n">
        <v>7</v>
      </c>
      <c r="BY39" s="47" t="n">
        <v>7</v>
      </c>
      <c r="BZ39" s="47" t="n">
        <v>7</v>
      </c>
      <c r="CA39" s="47" t="n">
        <v>7</v>
      </c>
      <c r="CB39" s="47" t="n">
        <v>7</v>
      </c>
      <c r="CC39" s="47" t="n">
        <v>7</v>
      </c>
      <c r="CD39" s="47" t="n">
        <v>7</v>
      </c>
      <c r="CE39" s="47" t="n">
        <v>7.35</v>
      </c>
      <c r="CF39" s="47" t="n">
        <v>7.35</v>
      </c>
      <c r="CG39" s="47" t="n">
        <v>7.35</v>
      </c>
      <c r="CH39" s="47" t="n">
        <v>7.35</v>
      </c>
      <c r="CI39" s="47" t="n">
        <v>7.35</v>
      </c>
      <c r="CJ39" s="47" t="n">
        <v>7.35</v>
      </c>
      <c r="CK39" s="47" t="n">
        <v>7.35</v>
      </c>
      <c r="CL39" s="47" t="n">
        <v>7.35</v>
      </c>
      <c r="CM39" s="47" t="n">
        <v>7.35</v>
      </c>
      <c r="CN39" s="47" t="n">
        <v>7.35</v>
      </c>
      <c r="CO39" s="47" t="n">
        <v>7.35</v>
      </c>
      <c r="CP39" s="47" t="n">
        <v>7.35</v>
      </c>
      <c r="CQ39" s="47" t="n">
        <v>7.718</v>
      </c>
      <c r="CR39" s="47" t="n">
        <v>7.718</v>
      </c>
      <c r="CS39" s="47" t="n">
        <v>7.718</v>
      </c>
      <c r="CT39" s="47" t="n">
        <v>7.718</v>
      </c>
      <c r="CU39" s="47" t="n">
        <v>7.718</v>
      </c>
      <c r="CV39" s="47" t="n">
        <v>7.718</v>
      </c>
      <c r="CW39" s="47" t="n">
        <v>7.718</v>
      </c>
      <c r="CX39" s="47" t="n">
        <v>7.718</v>
      </c>
      <c r="CY39" s="47" t="n">
        <v>7.718</v>
      </c>
      <c r="CZ39" s="47" t="n">
        <v>7.718</v>
      </c>
      <c r="DA39" s="47" t="n">
        <v>7.718</v>
      </c>
      <c r="DB39" s="47" t="n">
        <v>7.718</v>
      </c>
      <c r="DC39" s="47" t="n">
        <v>8.103</v>
      </c>
      <c r="DD39" s="47" t="n">
        <v>8.103</v>
      </c>
      <c r="DE39" s="47" t="n">
        <v>8.103</v>
      </c>
      <c r="DF39" s="47" t="n">
        <v>8.103</v>
      </c>
      <c r="DG39" s="47" t="n">
        <v>8.103</v>
      </c>
      <c r="DH39" s="47" t="n">
        <v>8.103</v>
      </c>
      <c r="DI39" s="47" t="n">
        <v>8.103</v>
      </c>
      <c r="DJ39" s="47" t="n">
        <v>8.103</v>
      </c>
      <c r="DK39" s="47" t="n">
        <v>8.103</v>
      </c>
      <c r="DL39" s="47" t="n">
        <v>8.103</v>
      </c>
      <c r="DM39" s="47" t="n">
        <v>8.103</v>
      </c>
      <c r="DN39" s="47" t="n">
        <v>8.103</v>
      </c>
      <c r="DO39" s="47" t="n">
        <v>0</v>
      </c>
      <c r="DP39" s="47" t="n">
        <v>0</v>
      </c>
      <c r="DQ39" s="47" t="n">
        <v>0</v>
      </c>
      <c r="DR39" s="47" t="n">
        <v>0</v>
      </c>
      <c r="DT39" s="46">
        <f>+F39-E39</f>
        <v/>
      </c>
      <c r="DU39" s="46">
        <f>+G39-F39</f>
        <v/>
      </c>
      <c r="DV39" s="46">
        <f>+H39-G39</f>
        <v/>
      </c>
      <c r="DW39" s="46">
        <f>+I39-H39</f>
        <v/>
      </c>
    </row>
    <row r="40" hidden="1" outlineLevel="1" ht="15.75" customHeight="1">
      <c r="B40" s="5" t="inlineStr">
        <is>
          <t>OUP</t>
        </is>
      </c>
      <c r="C40" s="68" t="inlineStr">
        <is>
          <t>Mega</t>
        </is>
      </c>
      <c r="E40" s="46">
        <f>+SUMIFS($O40:$DR40,$O$7:$DR$7,E$7)</f>
        <v/>
      </c>
      <c r="F40" s="46">
        <f>+SUMIFS($O40:$DR40,$O$7:$DR$7,F$7)</f>
        <v/>
      </c>
      <c r="G40" s="46">
        <f>+SUMIFS($O40:$DR40,$O$7:$DR$7,G$7)</f>
        <v/>
      </c>
      <c r="H40" s="46">
        <f>+SUMIFS($O40:$DR40,$O$7:$DR$7,H$7)</f>
        <v/>
      </c>
      <c r="I40" s="46">
        <f>+SUMIFS($O40:$DR40,$O$7:$DR$7,I$7)</f>
        <v/>
      </c>
      <c r="J40" s="46">
        <f>+SUMIFS($O40:$DR40,$O$7:$DR$7,J$7)</f>
        <v/>
      </c>
      <c r="K40" s="46">
        <f>+SUMIFS($O40:$DR40,$O$7:$DR$7,K$7)</f>
        <v/>
      </c>
      <c r="L40" s="46">
        <f>+SUMIFS($O40:$DR40,$O$7:$DR$7,L$7)</f>
        <v/>
      </c>
      <c r="M40" s="46">
        <f>+SUMIFS($O40:$DR40,$O$7:$DR$7,M$7)</f>
        <v/>
      </c>
      <c r="O40" s="47" t="n">
        <v>243.407</v>
      </c>
      <c r="P40" s="47" t="n">
        <v>243.407</v>
      </c>
      <c r="Q40" s="47" t="n">
        <v>243.407</v>
      </c>
      <c r="R40" s="47" t="n">
        <v>243.407</v>
      </c>
      <c r="S40" s="47" t="n">
        <v>243.407</v>
      </c>
      <c r="T40" s="47" t="n">
        <v>243.407</v>
      </c>
      <c r="U40" s="47" t="n">
        <v>231.237</v>
      </c>
      <c r="V40" s="47" t="n">
        <v>243.407</v>
      </c>
      <c r="W40" s="47" t="n">
        <v>243.407</v>
      </c>
      <c r="X40" s="47" t="n">
        <v>243.407</v>
      </c>
      <c r="Y40" s="47" t="n">
        <v>243.407</v>
      </c>
      <c r="Z40" s="47" t="n">
        <v>251.489</v>
      </c>
      <c r="AA40" s="47" t="n">
        <v>251.489</v>
      </c>
      <c r="AB40" s="47" t="n">
        <v>251.489</v>
      </c>
      <c r="AC40" s="47" t="n">
        <v>251.489</v>
      </c>
      <c r="AD40" s="47" t="n">
        <v>251.49</v>
      </c>
      <c r="AE40" s="47" t="n">
        <v>251.489</v>
      </c>
      <c r="AF40" s="47" t="n">
        <v>249.1</v>
      </c>
      <c r="AG40" s="47" t="n">
        <v>251.49</v>
      </c>
      <c r="AH40" s="47" t="n">
        <v>251.49</v>
      </c>
      <c r="AI40" s="47" t="n">
        <v>251.49</v>
      </c>
      <c r="AJ40" s="47" t="n">
        <v>246.71</v>
      </c>
      <c r="AK40" s="47" t="n">
        <v>251.49</v>
      </c>
      <c r="AL40" s="47" t="n">
        <v>259.855</v>
      </c>
      <c r="AM40" s="47" t="n">
        <v>259.855</v>
      </c>
      <c r="AN40" s="47" t="n">
        <v>257.381</v>
      </c>
      <c r="AO40" s="47" t="n">
        <v>259.855</v>
      </c>
      <c r="AP40" s="47" t="n">
        <v>259.855</v>
      </c>
      <c r="AQ40" s="47" t="n">
        <v>259.856</v>
      </c>
      <c r="AR40" s="47" t="n">
        <v>259.855</v>
      </c>
      <c r="AS40" s="47" t="n">
        <v>259.855</v>
      </c>
      <c r="AT40" s="47" t="n">
        <v>237.879</v>
      </c>
      <c r="AU40" s="47" t="n">
        <v>259.855</v>
      </c>
      <c r="AV40" s="47" t="n">
        <v>280.482</v>
      </c>
      <c r="AW40" s="47" t="n">
        <v>268.114</v>
      </c>
      <c r="AX40" s="47" t="n">
        <v>289.141</v>
      </c>
      <c r="AY40" s="47" t="n">
        <v>276.338991</v>
      </c>
      <c r="AZ40" s="47" t="n">
        <v>289.140991</v>
      </c>
      <c r="BA40" s="47" t="n">
        <v>278.899991</v>
      </c>
      <c r="BB40" s="47" t="n">
        <v>289.140991</v>
      </c>
      <c r="BC40" s="47" t="n">
        <v>289.140991</v>
      </c>
      <c r="BD40" s="47" t="n">
        <v>289.140991</v>
      </c>
      <c r="BE40" s="47" t="n">
        <v>289.140991</v>
      </c>
      <c r="BF40" s="47" t="n">
        <v>289.140991</v>
      </c>
      <c r="BG40" s="47" t="n">
        <v>289.140991</v>
      </c>
      <c r="BH40" s="47" t="n">
        <v>289.140991</v>
      </c>
      <c r="BI40" s="47" t="n">
        <v>290.299491</v>
      </c>
      <c r="BJ40" s="47" t="n">
        <v>296.610905685</v>
      </c>
      <c r="BK40" s="47" t="n">
        <v>299.260925685</v>
      </c>
      <c r="BL40" s="47" t="n">
        <v>299.260925685</v>
      </c>
      <c r="BM40" s="47" t="n">
        <v>299.260925685</v>
      </c>
      <c r="BN40" s="47" t="n">
        <v>299.260925685</v>
      </c>
      <c r="BO40" s="47" t="n">
        <v>299.260925685</v>
      </c>
      <c r="BP40" s="47" t="n">
        <v>299.260925685</v>
      </c>
      <c r="BQ40" s="47" t="n">
        <v>299.260925685</v>
      </c>
      <c r="BR40" s="47" t="n">
        <v>299.260925685</v>
      </c>
      <c r="BS40" s="47" t="n">
        <v>299.260925685</v>
      </c>
      <c r="BT40" s="47" t="n">
        <v>299.260925685</v>
      </c>
      <c r="BU40" s="47" t="n">
        <v>300.459973185</v>
      </c>
      <c r="BV40" s="47" t="n">
        <v>309.7350580839749</v>
      </c>
      <c r="BW40" s="47" t="n">
        <v>309.7350580839749</v>
      </c>
      <c r="BX40" s="47" t="n">
        <v>309.7350580839749</v>
      </c>
      <c r="BY40" s="47" t="n">
        <v>309.7350580839749</v>
      </c>
      <c r="BZ40" s="47" t="n">
        <v>309.7350580839749</v>
      </c>
      <c r="CA40" s="47" t="n">
        <v>309.7350580839749</v>
      </c>
      <c r="CB40" s="47" t="n">
        <v>309.7350580839749</v>
      </c>
      <c r="CC40" s="47" t="n">
        <v>309.7350580839749</v>
      </c>
      <c r="CD40" s="47" t="n">
        <v>309.7350580839749</v>
      </c>
      <c r="CE40" s="47" t="n">
        <v>309.7350580839749</v>
      </c>
      <c r="CF40" s="47" t="n">
        <v>309.7350580839749</v>
      </c>
      <c r="CG40" s="47" t="n">
        <v>310.9760722464749</v>
      </c>
      <c r="CH40" s="47" t="n">
        <v>320.5757851169141</v>
      </c>
      <c r="CI40" s="47" t="n">
        <v>320.5757851169141</v>
      </c>
      <c r="CJ40" s="47" t="n">
        <v>320.5757851169141</v>
      </c>
      <c r="CK40" s="47" t="n">
        <v>320.5757851169141</v>
      </c>
      <c r="CL40" s="47" t="n">
        <v>320.5757851169141</v>
      </c>
      <c r="CM40" s="47" t="n">
        <v>320.5757851169141</v>
      </c>
      <c r="CN40" s="47" t="n">
        <v>320.5757851169141</v>
      </c>
      <c r="CO40" s="47" t="n">
        <v>320.5757851169141</v>
      </c>
      <c r="CP40" s="47" t="n">
        <v>320.5757851169141</v>
      </c>
      <c r="CQ40" s="47" t="n">
        <v>320.5757851169141</v>
      </c>
      <c r="CR40" s="47" t="n">
        <v>320.5757851169141</v>
      </c>
      <c r="CS40" s="47" t="n">
        <v>321.8602347751016</v>
      </c>
      <c r="CT40" s="47" t="n">
        <v>331.795937596006</v>
      </c>
      <c r="CU40" s="47" t="n">
        <v>331.795937596006</v>
      </c>
      <c r="CV40" s="47" t="n">
        <v>331.795937596006</v>
      </c>
      <c r="CW40" s="47" t="n">
        <v>331.795937596006</v>
      </c>
      <c r="CX40" s="47" t="n">
        <v>331.795937596006</v>
      </c>
      <c r="CY40" s="47" t="n">
        <v>331.795937596006</v>
      </c>
      <c r="CZ40" s="47" t="n">
        <v>331.795937596006</v>
      </c>
      <c r="DA40" s="47" t="n">
        <v>331.795937596006</v>
      </c>
      <c r="DB40" s="47" t="n">
        <v>331.795937596006</v>
      </c>
      <c r="DC40" s="47" t="n">
        <v>331.795937596006</v>
      </c>
      <c r="DD40" s="47" t="n">
        <v>331.795937596006</v>
      </c>
      <c r="DE40" s="47" t="n">
        <v>333.1253429922301</v>
      </c>
      <c r="DF40" s="47" t="n">
        <v>343.4087954118662</v>
      </c>
      <c r="DG40" s="47" t="n">
        <v>343.4087954118662</v>
      </c>
      <c r="DH40" s="47" t="n">
        <v>343.4087954118662</v>
      </c>
      <c r="DI40" s="47" t="n">
        <v>343.4087954118662</v>
      </c>
      <c r="DJ40" s="47" t="n">
        <v>343.4087954118662</v>
      </c>
      <c r="DK40" s="47" t="n">
        <v>343.4087954118662</v>
      </c>
      <c r="DL40" s="47" t="n">
        <v>343.4087954118662</v>
      </c>
      <c r="DM40" s="47" t="n">
        <v>343.4087954118662</v>
      </c>
      <c r="DN40" s="47" t="n">
        <v>343.4087954118662</v>
      </c>
      <c r="DO40" s="47" t="n">
        <v>343.4087954118662</v>
      </c>
      <c r="DP40" s="47" t="n">
        <v>343.4087954118662</v>
      </c>
      <c r="DQ40" s="47" t="n">
        <v>344.7847299969581</v>
      </c>
      <c r="DR40" s="47" t="n">
        <v>355.4281032512815</v>
      </c>
      <c r="DT40" s="46">
        <f>+F40-E40</f>
        <v/>
      </c>
      <c r="DU40" s="46">
        <f>+G40-F40</f>
        <v/>
      </c>
      <c r="DV40" s="46">
        <f>+H40-G40</f>
        <v/>
      </c>
      <c r="DW40" s="46">
        <f>+I40-H40</f>
        <v/>
      </c>
    </row>
    <row r="41" hidden="1" outlineLevel="1" ht="15.75" customHeight="1">
      <c r="B41" s="5" t="inlineStr">
        <is>
          <t>PORT</t>
        </is>
      </c>
      <c r="C41" s="68" t="inlineStr">
        <is>
          <t>Lower Middle Market</t>
        </is>
      </c>
      <c r="E41" s="46">
        <f>+SUMIFS($O41:$DR41,$O$7:$DR$7,E$7)</f>
        <v/>
      </c>
      <c r="F41" s="46">
        <f>+SUMIFS($O41:$DR41,$O$7:$DR$7,F$7)</f>
        <v/>
      </c>
      <c r="G41" s="46">
        <f>+SUMIFS($O41:$DR41,$O$7:$DR$7,G$7)</f>
        <v/>
      </c>
      <c r="H41" s="46">
        <f>+SUMIFS($O41:$DR41,$O$7:$DR$7,H$7)</f>
        <v/>
      </c>
      <c r="I41" s="46">
        <f>+SUMIFS($O41:$DR41,$O$7:$DR$7,I$7)</f>
        <v/>
      </c>
      <c r="J41" s="46">
        <f>+SUMIFS($O41:$DR41,$O$7:$DR$7,J$7)</f>
        <v/>
      </c>
      <c r="K41" s="46">
        <f>+SUMIFS($O41:$DR41,$O$7:$DR$7,K$7)</f>
        <v/>
      </c>
      <c r="L41" s="46">
        <f>+SUMIFS($O41:$DR41,$O$7:$DR$7,L$7)</f>
        <v/>
      </c>
      <c r="M41" s="46">
        <f>+SUMIFS($O41:$DR41,$O$7:$DR$7,M$7)</f>
        <v/>
      </c>
      <c r="O41" s="47" t="n">
        <v>0</v>
      </c>
      <c r="P41" s="47" t="n">
        <v>0</v>
      </c>
      <c r="Q41" s="47" t="n">
        <v>0</v>
      </c>
      <c r="R41" s="47" t="n">
        <v>0</v>
      </c>
      <c r="S41" s="47" t="n">
        <v>0</v>
      </c>
      <c r="T41" s="47" t="n">
        <v>0</v>
      </c>
      <c r="U41" s="47" t="n">
        <v>0</v>
      </c>
      <c r="V41" s="47" t="n">
        <v>0</v>
      </c>
      <c r="W41" s="47" t="n">
        <v>0</v>
      </c>
      <c r="X41" s="47" t="n">
        <v>0</v>
      </c>
      <c r="Y41" s="47" t="n">
        <v>0</v>
      </c>
      <c r="Z41" s="47" t="n">
        <v>0</v>
      </c>
      <c r="AA41" s="47" t="n">
        <v>0</v>
      </c>
      <c r="AB41" s="47" t="n">
        <v>0</v>
      </c>
      <c r="AC41" s="47" t="n">
        <v>0</v>
      </c>
      <c r="AD41" s="47" t="n">
        <v>0</v>
      </c>
      <c r="AE41" s="47" t="n">
        <v>0</v>
      </c>
      <c r="AF41" s="47" t="n">
        <v>0</v>
      </c>
      <c r="AG41" s="47" t="n">
        <v>0</v>
      </c>
      <c r="AH41" s="47" t="n">
        <v>0</v>
      </c>
      <c r="AI41" s="47" t="n">
        <v>0</v>
      </c>
      <c r="AJ41" s="47" t="n">
        <v>4.435</v>
      </c>
      <c r="AK41" s="47" t="n">
        <v>5.729</v>
      </c>
      <c r="AL41" s="47" t="n">
        <v>5.729</v>
      </c>
      <c r="AM41" s="47" t="n">
        <v>5.729</v>
      </c>
      <c r="AN41" s="47" t="n">
        <v>5.729</v>
      </c>
      <c r="AO41" s="47" t="n">
        <v>5.729</v>
      </c>
      <c r="AP41" s="47" t="n">
        <v>11.042</v>
      </c>
      <c r="AQ41" s="47" t="n">
        <v>11.042</v>
      </c>
      <c r="AR41" s="47" t="n">
        <v>11.042</v>
      </c>
      <c r="AS41" s="47" t="n">
        <v>11.042</v>
      </c>
      <c r="AT41" s="47" t="n">
        <v>9.241999999999999</v>
      </c>
      <c r="AU41" s="47" t="n">
        <v>11.042</v>
      </c>
      <c r="AV41" s="47" t="n">
        <v>11.042</v>
      </c>
      <c r="AW41" s="47" t="n">
        <v>11.042</v>
      </c>
      <c r="AX41" s="47" t="n">
        <v>11.042</v>
      </c>
      <c r="AY41" s="47" t="n">
        <v>11.042</v>
      </c>
      <c r="AZ41" s="47" t="n">
        <v>11.042</v>
      </c>
      <c r="BA41" s="47" t="n">
        <v>11.042</v>
      </c>
      <c r="BB41" s="47" t="n">
        <v>11.37326</v>
      </c>
      <c r="BC41" s="47" t="n">
        <v>11.37326</v>
      </c>
      <c r="BD41" s="47" t="n">
        <v>11.37326</v>
      </c>
      <c r="BE41" s="47" t="n">
        <v>11.37326</v>
      </c>
      <c r="BF41" s="47" t="n">
        <v>11.355</v>
      </c>
      <c r="BG41" s="47" t="n">
        <v>11.37326</v>
      </c>
      <c r="BH41" s="47" t="n">
        <v>11.37326</v>
      </c>
      <c r="BI41" s="47" t="n">
        <v>11.37326</v>
      </c>
      <c r="BJ41" s="47" t="n">
        <v>11.37326</v>
      </c>
      <c r="BK41" s="47" t="n">
        <v>11.37326</v>
      </c>
      <c r="BL41" s="47" t="n">
        <v>11.37326</v>
      </c>
      <c r="BM41" s="47" t="n">
        <v>11.37326</v>
      </c>
      <c r="BN41" s="47" t="n">
        <v>11.7144578</v>
      </c>
      <c r="BO41" s="47" t="n">
        <v>11.7144578</v>
      </c>
      <c r="BP41" s="47" t="n">
        <v>11.7144578</v>
      </c>
      <c r="BQ41" s="47" t="n">
        <v>11.7144578</v>
      </c>
      <c r="BR41" s="47" t="n">
        <v>11.69565</v>
      </c>
      <c r="BS41" s="47" t="n">
        <v>11.7144578</v>
      </c>
      <c r="BT41" s="47" t="n">
        <v>11.7144578</v>
      </c>
      <c r="BU41" s="47" t="n">
        <v>11.7144578</v>
      </c>
      <c r="BV41" s="47" t="n">
        <v>11.7144578</v>
      </c>
      <c r="BW41" s="47" t="n">
        <v>11.7144578</v>
      </c>
      <c r="BX41" s="47" t="n">
        <v>11.7144578</v>
      </c>
      <c r="BY41" s="47" t="n">
        <v>11.7144578</v>
      </c>
      <c r="BZ41" s="47" t="n">
        <v>12.065891534</v>
      </c>
      <c r="CA41" s="47" t="n">
        <v>12.065891534</v>
      </c>
      <c r="CB41" s="47" t="n">
        <v>12.065891534</v>
      </c>
      <c r="CC41" s="47" t="n">
        <v>12.065891534</v>
      </c>
      <c r="CD41" s="47" t="n">
        <v>12.0465195</v>
      </c>
      <c r="CE41" s="47" t="n">
        <v>12.065891534</v>
      </c>
      <c r="CF41" s="47" t="n">
        <v>12.065891534</v>
      </c>
      <c r="CG41" s="47" t="n">
        <v>12.065891534</v>
      </c>
      <c r="CH41" s="47" t="n">
        <v>12.065891534</v>
      </c>
      <c r="CI41" s="47" t="n">
        <v>12.065891534</v>
      </c>
      <c r="CJ41" s="47" t="n">
        <v>12.065891534</v>
      </c>
      <c r="CK41" s="47" t="n">
        <v>12.065891534</v>
      </c>
      <c r="CL41" s="47" t="n">
        <v>12.42786828002</v>
      </c>
      <c r="CM41" s="47" t="n">
        <v>12.42786828002</v>
      </c>
      <c r="CN41" s="47" t="n">
        <v>12.42786828002</v>
      </c>
      <c r="CO41" s="47" t="n">
        <v>12.42786828002</v>
      </c>
      <c r="CP41" s="47" t="n">
        <v>12.407915085</v>
      </c>
      <c r="CQ41" s="47" t="n">
        <v>12.42786828002</v>
      </c>
      <c r="CR41" s="47" t="n">
        <v>12.42786828002</v>
      </c>
      <c r="CS41" s="47" t="n">
        <v>12.42786828002</v>
      </c>
      <c r="CT41" s="47" t="n">
        <v>12.42786828002</v>
      </c>
      <c r="CU41" s="47" t="n">
        <v>12.42786828002</v>
      </c>
      <c r="CV41" s="47" t="n">
        <v>12.42786828002</v>
      </c>
      <c r="CW41" s="47" t="n">
        <v>12.42786828002</v>
      </c>
      <c r="CX41" s="47" t="n">
        <v>0</v>
      </c>
      <c r="CY41" s="47" t="n">
        <v>0</v>
      </c>
      <c r="CZ41" s="47" t="n">
        <v>0</v>
      </c>
      <c r="DA41" s="47" t="n">
        <v>0</v>
      </c>
      <c r="DB41" s="47" t="n">
        <v>0</v>
      </c>
      <c r="DC41" s="47" t="n">
        <v>0</v>
      </c>
      <c r="DD41" s="47" t="n">
        <v>0</v>
      </c>
      <c r="DE41" s="47" t="n">
        <v>0</v>
      </c>
      <c r="DF41" s="47" t="n">
        <v>0</v>
      </c>
      <c r="DG41" s="47" t="n">
        <v>0</v>
      </c>
      <c r="DH41" s="47" t="n">
        <v>0</v>
      </c>
      <c r="DI41" s="47" t="n">
        <v>0</v>
      </c>
      <c r="DJ41" s="47" t="n">
        <v>0</v>
      </c>
      <c r="DK41" s="47" t="n">
        <v>0</v>
      </c>
      <c r="DL41" s="47" t="n">
        <v>0</v>
      </c>
      <c r="DM41" s="47" t="n">
        <v>0</v>
      </c>
      <c r="DN41" s="47" t="n">
        <v>0</v>
      </c>
      <c r="DO41" s="47" t="n">
        <v>0</v>
      </c>
      <c r="DP41" s="47" t="n">
        <v>0</v>
      </c>
      <c r="DQ41" s="47" t="n">
        <v>0</v>
      </c>
      <c r="DR41" s="47" t="n">
        <v>0</v>
      </c>
      <c r="DT41" s="46">
        <f>+F41-E41</f>
        <v/>
      </c>
      <c r="DU41" s="46">
        <f>+G41-F41</f>
        <v/>
      </c>
      <c r="DV41" s="46">
        <f>+H41-G41</f>
        <v/>
      </c>
      <c r="DW41" s="46">
        <f>+I41-H41</f>
        <v/>
      </c>
    </row>
    <row r="42" hidden="1" outlineLevel="1" ht="15.75" customHeight="1">
      <c r="B42" s="5" t="inlineStr">
        <is>
          <t>RSC</t>
        </is>
      </c>
      <c r="C42" s="68" t="inlineStr">
        <is>
          <t>Lower Middle Market</t>
        </is>
      </c>
      <c r="E42" s="46">
        <f>+SUMIFS($O42:$DR42,$O$7:$DR$7,E$7)</f>
        <v/>
      </c>
      <c r="F42" s="46">
        <f>+SUMIFS($O42:$DR42,$O$7:$DR$7,F$7)</f>
        <v/>
      </c>
      <c r="G42" s="46">
        <f>+SUMIFS($O42:$DR42,$O$7:$DR$7,G$7)</f>
        <v/>
      </c>
      <c r="H42" s="46">
        <f>+SUMIFS($O42:$DR42,$O$7:$DR$7,H$7)</f>
        <v/>
      </c>
      <c r="I42" s="46">
        <f>+SUMIFS($O42:$DR42,$O$7:$DR$7,I$7)</f>
        <v/>
      </c>
      <c r="J42" s="46">
        <f>+SUMIFS($O42:$DR42,$O$7:$DR$7,J$7)</f>
        <v/>
      </c>
      <c r="K42" s="46">
        <f>+SUMIFS($O42:$DR42,$O$7:$DR$7,K$7)</f>
        <v/>
      </c>
      <c r="L42" s="46">
        <f>+SUMIFS($O42:$DR42,$O$7:$DR$7,L$7)</f>
        <v/>
      </c>
      <c r="M42" s="46">
        <f>+SUMIFS($O42:$DR42,$O$7:$DR$7,M$7)</f>
        <v/>
      </c>
      <c r="O42" s="47" t="n">
        <v>0</v>
      </c>
      <c r="P42" s="47" t="n">
        <v>0</v>
      </c>
      <c r="Q42" s="47" t="n">
        <v>0</v>
      </c>
      <c r="R42" s="47" t="n">
        <v>0</v>
      </c>
      <c r="S42" s="47" t="n">
        <v>0</v>
      </c>
      <c r="T42" s="47" t="n">
        <v>0</v>
      </c>
      <c r="U42" s="47" t="n">
        <v>0</v>
      </c>
      <c r="V42" s="47" t="n">
        <v>0</v>
      </c>
      <c r="W42" s="47" t="n">
        <v>0</v>
      </c>
      <c r="X42" s="47" t="n">
        <v>0</v>
      </c>
      <c r="Y42" s="47" t="n">
        <v>0</v>
      </c>
      <c r="Z42" s="47" t="n">
        <v>0</v>
      </c>
      <c r="AA42" s="47" t="n">
        <v>0</v>
      </c>
      <c r="AB42" s="47" t="n">
        <v>0</v>
      </c>
      <c r="AC42" s="47" t="n">
        <v>0</v>
      </c>
      <c r="AD42" s="47" t="n">
        <v>0</v>
      </c>
      <c r="AE42" s="47" t="n">
        <v>0</v>
      </c>
      <c r="AF42" s="47" t="n">
        <v>0</v>
      </c>
      <c r="AG42" s="47" t="n">
        <v>0</v>
      </c>
      <c r="AH42" s="47" t="n">
        <v>0</v>
      </c>
      <c r="AI42" s="47" t="n">
        <v>0</v>
      </c>
      <c r="AJ42" s="47" t="n">
        <v>0</v>
      </c>
      <c r="AK42" s="47" t="n">
        <v>0</v>
      </c>
      <c r="AL42" s="47" t="n">
        <v>0</v>
      </c>
      <c r="AM42" s="47" t="n">
        <v>0</v>
      </c>
      <c r="AN42" s="47" t="n">
        <v>0</v>
      </c>
      <c r="AO42" s="47" t="n">
        <v>0</v>
      </c>
      <c r="AP42" s="47" t="n">
        <v>0</v>
      </c>
      <c r="AQ42" s="47" t="n">
        <v>0</v>
      </c>
      <c r="AR42" s="47" t="n">
        <v>0</v>
      </c>
      <c r="AS42" s="47" t="n">
        <v>0</v>
      </c>
      <c r="AT42" s="47" t="n">
        <v>0</v>
      </c>
      <c r="AU42" s="47" t="n">
        <v>0</v>
      </c>
      <c r="AV42" s="47" t="n">
        <v>0</v>
      </c>
      <c r="AW42" s="47" t="n">
        <v>0</v>
      </c>
      <c r="AX42" s="47" t="n">
        <v>0</v>
      </c>
      <c r="AY42" s="47" t="n">
        <v>0</v>
      </c>
      <c r="AZ42" s="47" t="n">
        <v>0</v>
      </c>
      <c r="BA42" s="47" t="n">
        <v>0</v>
      </c>
      <c r="BB42" s="47" t="n">
        <v>0</v>
      </c>
      <c r="BC42" s="47" t="n">
        <v>0</v>
      </c>
      <c r="BD42" s="47" t="n">
        <v>0</v>
      </c>
      <c r="BE42" s="47" t="n">
        <v>0</v>
      </c>
      <c r="BF42" s="47" t="n">
        <v>0</v>
      </c>
      <c r="BG42" s="47" t="n">
        <v>0</v>
      </c>
      <c r="BH42" s="47" t="n">
        <v>0</v>
      </c>
      <c r="BI42" s="47" t="n">
        <v>0</v>
      </c>
      <c r="BJ42" s="47" t="n">
        <v>0</v>
      </c>
      <c r="BK42" s="47" t="n">
        <v>0</v>
      </c>
      <c r="BL42" s="47" t="n">
        <v>0</v>
      </c>
      <c r="BM42" s="47" t="n">
        <v>0</v>
      </c>
      <c r="BN42" s="47" t="n">
        <v>2</v>
      </c>
      <c r="BO42" s="47" t="n">
        <v>2</v>
      </c>
      <c r="BP42" s="47" t="n">
        <v>2</v>
      </c>
      <c r="BQ42" s="47" t="n">
        <v>2</v>
      </c>
      <c r="BR42" s="47" t="n">
        <v>2</v>
      </c>
      <c r="BS42" s="47" t="n">
        <v>2</v>
      </c>
      <c r="BT42" s="47" t="n">
        <v>2</v>
      </c>
      <c r="BU42" s="47" t="n">
        <v>2</v>
      </c>
      <c r="BV42" s="47" t="n">
        <v>2</v>
      </c>
      <c r="BW42" s="47" t="n">
        <v>14.792</v>
      </c>
      <c r="BX42" s="47" t="n">
        <v>14.792</v>
      </c>
      <c r="BY42" s="47" t="n">
        <v>14.792</v>
      </c>
      <c r="BZ42" s="47" t="n">
        <v>14.792</v>
      </c>
      <c r="CA42" s="47" t="n">
        <v>14.792</v>
      </c>
      <c r="CB42" s="47" t="n">
        <v>14.792</v>
      </c>
      <c r="CC42" s="47" t="n">
        <v>14.792</v>
      </c>
      <c r="CD42" s="47" t="n">
        <v>14.792</v>
      </c>
      <c r="CE42" s="47" t="n">
        <v>14.792</v>
      </c>
      <c r="CF42" s="47" t="n">
        <v>14.792</v>
      </c>
      <c r="CG42" s="47" t="n">
        <v>14.792</v>
      </c>
      <c r="CH42" s="47" t="n">
        <v>14.792</v>
      </c>
      <c r="CI42" s="47" t="n">
        <v>15.5316</v>
      </c>
      <c r="CJ42" s="47" t="n">
        <v>15.5316</v>
      </c>
      <c r="CK42" s="47" t="n">
        <v>15.5316</v>
      </c>
      <c r="CL42" s="47" t="n">
        <v>15.5316</v>
      </c>
      <c r="CM42" s="47" t="n">
        <v>15.5316</v>
      </c>
      <c r="CN42" s="47" t="n">
        <v>15.5316</v>
      </c>
      <c r="CO42" s="47" t="n">
        <v>15.5316</v>
      </c>
      <c r="CP42" s="47" t="n">
        <v>15.5316</v>
      </c>
      <c r="CQ42" s="47" t="n">
        <v>15.5316</v>
      </c>
      <c r="CR42" s="47" t="n">
        <v>15.5316</v>
      </c>
      <c r="CS42" s="47" t="n">
        <v>15.5316</v>
      </c>
      <c r="CT42" s="47" t="n">
        <v>15.5316</v>
      </c>
      <c r="CU42" s="47" t="n">
        <v>16.30818</v>
      </c>
      <c r="CV42" s="47" t="n">
        <v>16.30818</v>
      </c>
      <c r="CW42" s="47" t="n">
        <v>16.30818</v>
      </c>
      <c r="CX42" s="47" t="n">
        <v>16.30818</v>
      </c>
      <c r="CY42" s="47" t="n">
        <v>16.30818</v>
      </c>
      <c r="CZ42" s="47" t="n">
        <v>16.30818</v>
      </c>
      <c r="DA42" s="47" t="n">
        <v>16.30818</v>
      </c>
      <c r="DB42" s="47" t="n">
        <v>16.30818</v>
      </c>
      <c r="DC42" s="47" t="n">
        <v>16.30818</v>
      </c>
      <c r="DD42" s="47" t="n">
        <v>16.30818</v>
      </c>
      <c r="DE42" s="47" t="n">
        <v>16.30818</v>
      </c>
      <c r="DF42" s="47" t="n">
        <v>16.30818</v>
      </c>
      <c r="DG42" s="47" t="n">
        <v>17.123589</v>
      </c>
      <c r="DH42" s="47" t="n">
        <v>17.123589</v>
      </c>
      <c r="DI42" s="47" t="n">
        <v>17.123589</v>
      </c>
      <c r="DJ42" s="47" t="n">
        <v>17.123589</v>
      </c>
      <c r="DK42" s="47" t="n">
        <v>17.123589</v>
      </c>
      <c r="DL42" s="47" t="n">
        <v>17.123589</v>
      </c>
      <c r="DM42" s="47" t="n">
        <v>17.123589</v>
      </c>
      <c r="DN42" s="47" t="n">
        <v>17.123589</v>
      </c>
      <c r="DO42" s="47" t="n">
        <v>17.123589</v>
      </c>
      <c r="DP42" s="47" t="n">
        <v>17.123589</v>
      </c>
      <c r="DQ42" s="47" t="n">
        <v>17.123589</v>
      </c>
      <c r="DR42" s="47" t="n">
        <v>17.123589</v>
      </c>
      <c r="DT42" s="46">
        <f>+F42-E42</f>
        <v/>
      </c>
      <c r="DU42" s="46">
        <f>+G42-F42</f>
        <v/>
      </c>
      <c r="DV42" s="46">
        <f>+H42-G42</f>
        <v/>
      </c>
      <c r="DW42" s="46">
        <f>+I42-H42</f>
        <v/>
      </c>
    </row>
    <row r="43" hidden="1" outlineLevel="1" ht="15.75" customHeight="1">
      <c r="B43" s="5" t="inlineStr">
        <is>
          <t>RUP</t>
        </is>
      </c>
      <c r="C43" s="68" t="inlineStr">
        <is>
          <t>Lower Middle Market</t>
        </is>
      </c>
      <c r="E43" s="46">
        <f>+SUMIFS($O43:$DR43,$O$7:$DR$7,E$7)</f>
        <v/>
      </c>
      <c r="F43" s="46">
        <f>+SUMIFS($O43:$DR43,$O$7:$DR$7,F$7)</f>
        <v/>
      </c>
      <c r="G43" s="46">
        <f>+SUMIFS($O43:$DR43,$O$7:$DR$7,G$7)</f>
        <v/>
      </c>
      <c r="H43" s="46">
        <f>+SUMIFS($O43:$DR43,$O$7:$DR$7,H$7)</f>
        <v/>
      </c>
      <c r="I43" s="46">
        <f>+SUMIFS($O43:$DR43,$O$7:$DR$7,I$7)</f>
        <v/>
      </c>
      <c r="J43" s="46">
        <f>+SUMIFS($O43:$DR43,$O$7:$DR$7,J$7)</f>
        <v/>
      </c>
      <c r="K43" s="46">
        <f>+SUMIFS($O43:$DR43,$O$7:$DR$7,K$7)</f>
        <v/>
      </c>
      <c r="L43" s="46">
        <f>+SUMIFS($O43:$DR43,$O$7:$DR$7,L$7)</f>
        <v/>
      </c>
      <c r="M43" s="46">
        <f>+SUMIFS($O43:$DR43,$O$7:$DR$7,M$7)</f>
        <v/>
      </c>
      <c r="O43" s="47" t="n">
        <v>0</v>
      </c>
      <c r="P43" s="47" t="n">
        <v>0</v>
      </c>
      <c r="Q43" s="47" t="n">
        <v>0</v>
      </c>
      <c r="R43" s="47" t="n">
        <v>0</v>
      </c>
      <c r="S43" s="47" t="n">
        <v>0</v>
      </c>
      <c r="T43" s="47" t="n">
        <v>0</v>
      </c>
      <c r="U43" s="47" t="n">
        <v>0</v>
      </c>
      <c r="V43" s="47" t="n">
        <v>0</v>
      </c>
      <c r="W43" s="47" t="n">
        <v>0</v>
      </c>
      <c r="X43" s="47" t="n">
        <v>0</v>
      </c>
      <c r="Y43" s="47" t="n">
        <v>0</v>
      </c>
      <c r="Z43" s="47" t="n">
        <v>0</v>
      </c>
      <c r="AA43" s="47" t="n">
        <v>0</v>
      </c>
      <c r="AB43" s="47" t="n">
        <v>0</v>
      </c>
      <c r="AC43" s="47" t="n">
        <v>0</v>
      </c>
      <c r="AD43" s="47" t="n">
        <v>0</v>
      </c>
      <c r="AE43" s="47" t="n">
        <v>0</v>
      </c>
      <c r="AF43" s="47" t="n">
        <v>0</v>
      </c>
      <c r="AG43" s="47" t="n">
        <v>0</v>
      </c>
      <c r="AH43" s="47" t="n">
        <v>0</v>
      </c>
      <c r="AI43" s="47" t="n">
        <v>0</v>
      </c>
      <c r="AJ43" s="47" t="n">
        <v>0</v>
      </c>
      <c r="AK43" s="47" t="n">
        <v>0</v>
      </c>
      <c r="AL43" s="47" t="n">
        <v>11.975</v>
      </c>
      <c r="AM43" s="47" t="n">
        <v>13.75</v>
      </c>
      <c r="AN43" s="47" t="n">
        <v>13.75</v>
      </c>
      <c r="AO43" s="47" t="n">
        <v>13.75</v>
      </c>
      <c r="AP43" s="47" t="n">
        <v>13.75</v>
      </c>
      <c r="AQ43" s="47" t="n">
        <v>13.75</v>
      </c>
      <c r="AR43" s="47" t="n">
        <v>13.75</v>
      </c>
      <c r="AS43" s="47" t="n">
        <v>13.75</v>
      </c>
      <c r="AT43" s="47" t="n">
        <v>13.75</v>
      </c>
      <c r="AU43" s="47" t="n">
        <v>11.429</v>
      </c>
      <c r="AV43" s="47" t="n">
        <v>13.75</v>
      </c>
      <c r="AW43" s="47" t="n">
        <v>13.75</v>
      </c>
      <c r="AX43" s="47" t="n">
        <v>13.75</v>
      </c>
      <c r="AY43" s="47" t="n">
        <v>14.1625</v>
      </c>
      <c r="AZ43" s="47" t="n">
        <v>14.1625</v>
      </c>
      <c r="BA43" s="47" t="n">
        <v>14.1625</v>
      </c>
      <c r="BB43" s="47" t="n">
        <v>14.1625</v>
      </c>
      <c r="BC43" s="47" t="n">
        <v>14.1625</v>
      </c>
      <c r="BD43" s="47" t="n">
        <v>14.1625</v>
      </c>
      <c r="BE43" s="47" t="n">
        <v>14.1625</v>
      </c>
      <c r="BF43" s="47" t="n">
        <v>14.1625</v>
      </c>
      <c r="BG43" s="47" t="n">
        <v>14.1625</v>
      </c>
      <c r="BH43" s="47" t="n">
        <v>14.1625</v>
      </c>
      <c r="BI43" s="47" t="n">
        <v>14.1625</v>
      </c>
      <c r="BJ43" s="47" t="n">
        <v>14.1625</v>
      </c>
      <c r="BK43" s="47" t="n">
        <v>14.587375</v>
      </c>
      <c r="BL43" s="47" t="n">
        <v>14.587375</v>
      </c>
      <c r="BM43" s="47" t="n">
        <v>14.587375</v>
      </c>
      <c r="BN43" s="47" t="n">
        <v>14.587375</v>
      </c>
      <c r="BO43" s="47" t="n">
        <v>14.587375</v>
      </c>
      <c r="BP43" s="47" t="n">
        <v>14.587375</v>
      </c>
      <c r="BQ43" s="47" t="n">
        <v>14.587375</v>
      </c>
      <c r="BR43" s="47" t="n">
        <v>14.587375</v>
      </c>
      <c r="BS43" s="47" t="n">
        <v>14.587375</v>
      </c>
      <c r="BT43" s="47" t="n">
        <v>14.587375</v>
      </c>
      <c r="BU43" s="47" t="n">
        <v>14.587375</v>
      </c>
      <c r="BV43" s="47" t="n">
        <v>14.587375</v>
      </c>
      <c r="BW43" s="47" t="n">
        <v>15.02499625</v>
      </c>
      <c r="BX43" s="47" t="n">
        <v>15.02499625</v>
      </c>
      <c r="BY43" s="47" t="n">
        <v>15.02499625</v>
      </c>
      <c r="BZ43" s="47" t="n">
        <v>15.02499625</v>
      </c>
      <c r="CA43" s="47" t="n">
        <v>15.02499625</v>
      </c>
      <c r="CB43" s="47" t="n">
        <v>15.02499625</v>
      </c>
      <c r="CC43" s="47" t="n">
        <v>15.02499625</v>
      </c>
      <c r="CD43" s="47" t="n">
        <v>15.02499625</v>
      </c>
      <c r="CE43" s="47" t="n">
        <v>15.02499625</v>
      </c>
      <c r="CF43" s="47" t="n">
        <v>15.02499625</v>
      </c>
      <c r="CG43" s="47" t="n">
        <v>15.02499625</v>
      </c>
      <c r="CH43" s="47" t="n">
        <v>15.02499625</v>
      </c>
      <c r="CI43" s="47" t="n">
        <v>15.4757461375</v>
      </c>
      <c r="CJ43" s="47" t="n">
        <v>15.4757461375</v>
      </c>
      <c r="CK43" s="47" t="n">
        <v>15.4757461375</v>
      </c>
      <c r="CL43" s="47" t="n">
        <v>15.4757461375</v>
      </c>
      <c r="CM43" s="47" t="n">
        <v>15.4757461375</v>
      </c>
      <c r="CN43" s="47" t="n">
        <v>15.4757461375</v>
      </c>
      <c r="CO43" s="47" t="n">
        <v>15.4757461375</v>
      </c>
      <c r="CP43" s="47" t="n">
        <v>15.4757461375</v>
      </c>
      <c r="CQ43" s="47" t="n">
        <v>15.4757461375</v>
      </c>
      <c r="CR43" s="47" t="n">
        <v>15.4757461375</v>
      </c>
      <c r="CS43" s="47" t="n">
        <v>15.4757461375</v>
      </c>
      <c r="CT43" s="47" t="n">
        <v>15.4757461375</v>
      </c>
      <c r="CU43" s="47" t="n">
        <v>0</v>
      </c>
      <c r="CV43" s="47" t="n">
        <v>0</v>
      </c>
      <c r="CW43" s="47" t="n">
        <v>0</v>
      </c>
      <c r="CX43" s="47" t="n">
        <v>0</v>
      </c>
      <c r="CY43" s="47" t="n">
        <v>0</v>
      </c>
      <c r="CZ43" s="47" t="n">
        <v>0</v>
      </c>
      <c r="DA43" s="47" t="n">
        <v>0</v>
      </c>
      <c r="DB43" s="47" t="n">
        <v>0</v>
      </c>
      <c r="DC43" s="47" t="n">
        <v>0</v>
      </c>
      <c r="DD43" s="47" t="n">
        <v>0</v>
      </c>
      <c r="DE43" s="47" t="n">
        <v>0</v>
      </c>
      <c r="DF43" s="47" t="n">
        <v>0</v>
      </c>
      <c r="DG43" s="47" t="n">
        <v>0</v>
      </c>
      <c r="DH43" s="47" t="n">
        <v>0</v>
      </c>
      <c r="DI43" s="47" t="n">
        <v>0</v>
      </c>
      <c r="DJ43" s="47" t="n">
        <v>0</v>
      </c>
      <c r="DK43" s="47" t="n">
        <v>0</v>
      </c>
      <c r="DL43" s="47" t="n">
        <v>0</v>
      </c>
      <c r="DM43" s="47" t="n">
        <v>0</v>
      </c>
      <c r="DN43" s="47" t="n">
        <v>0</v>
      </c>
      <c r="DO43" s="47" t="n">
        <v>0</v>
      </c>
      <c r="DP43" s="47" t="n">
        <v>0</v>
      </c>
      <c r="DQ43" s="47" t="n">
        <v>0</v>
      </c>
      <c r="DR43" s="47" t="n">
        <v>0</v>
      </c>
      <c r="DT43" s="46">
        <f>+F43-E43</f>
        <v/>
      </c>
      <c r="DU43" s="46">
        <f>+G43-F43</f>
        <v/>
      </c>
      <c r="DV43" s="46">
        <f>+H43-G43</f>
        <v/>
      </c>
      <c r="DW43" s="46">
        <f>+I43-H43</f>
        <v/>
      </c>
    </row>
    <row r="44" hidden="1" outlineLevel="1" ht="15.75" customHeight="1">
      <c r="B44" s="5" t="inlineStr">
        <is>
          <t>SCORE</t>
        </is>
      </c>
      <c r="C44" s="68" t="inlineStr">
        <is>
          <t>Major</t>
        </is>
      </c>
      <c r="E44" s="46">
        <f>+SUMIFS($O44:$DR44,$O$7:$DR$7,E$7)</f>
        <v/>
      </c>
      <c r="F44" s="46">
        <f>+SUMIFS($O44:$DR44,$O$7:$DR$7,F$7)</f>
        <v/>
      </c>
      <c r="G44" s="46">
        <f>+SUMIFS($O44:$DR44,$O$7:$DR$7,G$7)</f>
        <v/>
      </c>
      <c r="H44" s="46">
        <f>+SUMIFS($O44:$DR44,$O$7:$DR$7,H$7)</f>
        <v/>
      </c>
      <c r="I44" s="46">
        <f>+SUMIFS($O44:$DR44,$O$7:$DR$7,I$7)</f>
        <v/>
      </c>
      <c r="J44" s="46">
        <f>+SUMIFS($O44:$DR44,$O$7:$DR$7,J$7)</f>
        <v/>
      </c>
      <c r="K44" s="46">
        <f>+SUMIFS($O44:$DR44,$O$7:$DR$7,K$7)</f>
        <v/>
      </c>
      <c r="L44" s="46">
        <f>+SUMIFS($O44:$DR44,$O$7:$DR$7,L$7)</f>
        <v/>
      </c>
      <c r="M44" s="46">
        <f>+SUMIFS($O44:$DR44,$O$7:$DR$7,M$7)</f>
        <v/>
      </c>
      <c r="O44" s="47" t="n">
        <v>23.339</v>
      </c>
      <c r="P44" s="47" t="n">
        <v>23.339</v>
      </c>
      <c r="Q44" s="47" t="n">
        <v>23.339</v>
      </c>
      <c r="R44" s="47" t="n">
        <v>23.339</v>
      </c>
      <c r="S44" s="47" t="n">
        <v>23.339</v>
      </c>
      <c r="T44" s="47" t="n">
        <v>23.338</v>
      </c>
      <c r="U44" s="47" t="n">
        <v>23.338</v>
      </c>
      <c r="V44" s="47" t="n">
        <v>23.338</v>
      </c>
      <c r="W44" s="47" t="n">
        <v>23.338</v>
      </c>
      <c r="X44" s="47" t="n">
        <v>23.339</v>
      </c>
      <c r="Y44" s="47" t="n">
        <v>23.338</v>
      </c>
      <c r="Z44" s="47" t="n">
        <v>23.338</v>
      </c>
      <c r="AA44" s="47" t="n">
        <v>23.804</v>
      </c>
      <c r="AB44" s="47" t="n">
        <v>23.804</v>
      </c>
      <c r="AC44" s="47" t="n">
        <v>23.804</v>
      </c>
      <c r="AD44" s="47" t="n">
        <v>23.804</v>
      </c>
      <c r="AE44" s="47" t="n">
        <v>23.804</v>
      </c>
      <c r="AF44" s="47" t="n">
        <v>23.804</v>
      </c>
      <c r="AG44" s="47" t="n">
        <v>23.804</v>
      </c>
      <c r="AH44" s="47" t="n">
        <v>23.804</v>
      </c>
      <c r="AI44" s="47" t="n">
        <v>23.804</v>
      </c>
      <c r="AJ44" s="47" t="n">
        <v>23.804</v>
      </c>
      <c r="AK44" s="47" t="n">
        <v>23.804</v>
      </c>
      <c r="AL44" s="47" t="n">
        <v>23.804</v>
      </c>
      <c r="AM44" s="47" t="n">
        <v>24.4</v>
      </c>
      <c r="AN44" s="47" t="n">
        <v>24.4</v>
      </c>
      <c r="AO44" s="47" t="n">
        <v>24.4</v>
      </c>
      <c r="AP44" s="47" t="n">
        <v>24.4</v>
      </c>
      <c r="AQ44" s="47" t="n">
        <v>24.399</v>
      </c>
      <c r="AR44" s="47" t="n">
        <v>24.4</v>
      </c>
      <c r="AS44" s="47" t="n">
        <v>24.4</v>
      </c>
      <c r="AT44" s="47" t="n">
        <v>24.4</v>
      </c>
      <c r="AU44" s="47" t="n">
        <v>24.4</v>
      </c>
      <c r="AV44" s="47" t="n">
        <v>24.4</v>
      </c>
      <c r="AW44" s="47" t="n">
        <v>24.399</v>
      </c>
      <c r="AX44" s="47" t="n">
        <v>24.399</v>
      </c>
      <c r="AY44" s="47" t="n">
        <v>25.008975</v>
      </c>
      <c r="AZ44" s="47" t="n">
        <v>25.008975</v>
      </c>
      <c r="BA44" s="47" t="n">
        <v>25.008975</v>
      </c>
      <c r="BB44" s="47" t="n">
        <v>25.008975</v>
      </c>
      <c r="BC44" s="47" t="n">
        <v>25.008975</v>
      </c>
      <c r="BD44" s="47" t="n">
        <v>25.008975</v>
      </c>
      <c r="BE44" s="47" t="n">
        <v>25.008975</v>
      </c>
      <c r="BF44" s="47" t="n">
        <v>25.008975</v>
      </c>
      <c r="BG44" s="47" t="n">
        <v>25.008975</v>
      </c>
      <c r="BH44" s="47" t="n">
        <v>25.008975</v>
      </c>
      <c r="BI44" s="47" t="n">
        <v>25.008975</v>
      </c>
      <c r="BJ44" s="47" t="n">
        <v>25.008975</v>
      </c>
      <c r="BK44" s="47" t="n">
        <v>25.634199375</v>
      </c>
      <c r="BL44" s="47" t="n">
        <v>25.634199375</v>
      </c>
      <c r="BM44" s="47" t="n">
        <v>25.634199375</v>
      </c>
      <c r="BN44" s="47" t="n">
        <v>25.634199375</v>
      </c>
      <c r="BO44" s="47" t="n">
        <v>25.634199375</v>
      </c>
      <c r="BP44" s="47" t="n">
        <v>25.634199375</v>
      </c>
      <c r="BQ44" s="47" t="n">
        <v>25.634199375</v>
      </c>
      <c r="BR44" s="47" t="n">
        <v>25.634199375</v>
      </c>
      <c r="BS44" s="47" t="n">
        <v>25.634199375</v>
      </c>
      <c r="BT44" s="47" t="n">
        <v>25.634199375</v>
      </c>
      <c r="BU44" s="47" t="n">
        <v>25.634199375</v>
      </c>
      <c r="BV44" s="47" t="n">
        <v>25.634199375</v>
      </c>
      <c r="BW44" s="47" t="n">
        <v>26.27505435937499</v>
      </c>
      <c r="BX44" s="47" t="n">
        <v>26.27505435937499</v>
      </c>
      <c r="BY44" s="47" t="n">
        <v>26.27505435937499</v>
      </c>
      <c r="BZ44" s="47" t="n">
        <v>26.27505435937499</v>
      </c>
      <c r="CA44" s="47" t="n">
        <v>26.27505435937499</v>
      </c>
      <c r="CB44" s="47" t="n">
        <v>26.27505435937499</v>
      </c>
      <c r="CC44" s="47" t="n">
        <v>26.27505435937499</v>
      </c>
      <c r="CD44" s="47" t="n">
        <v>26.27505435937499</v>
      </c>
      <c r="CE44" s="47" t="n">
        <v>26.27505435937499</v>
      </c>
      <c r="CF44" s="47" t="n">
        <v>26.27505435937499</v>
      </c>
      <c r="CG44" s="47" t="n">
        <v>26.27505435937499</v>
      </c>
      <c r="CH44" s="47" t="n">
        <v>26.27505435937499</v>
      </c>
      <c r="CI44" s="47" t="n">
        <v>26.93193071835937</v>
      </c>
      <c r="CJ44" s="47" t="n">
        <v>26.93193071835937</v>
      </c>
      <c r="CK44" s="47" t="n">
        <v>26.93193071835937</v>
      </c>
      <c r="CL44" s="47" t="n">
        <v>26.93193071835937</v>
      </c>
      <c r="CM44" s="47" t="n">
        <v>26.93193071835937</v>
      </c>
      <c r="CN44" s="47" t="n">
        <v>26.93193071835937</v>
      </c>
      <c r="CO44" s="47" t="n">
        <v>26.93193071835937</v>
      </c>
      <c r="CP44" s="47" t="n">
        <v>26.93193071835937</v>
      </c>
      <c r="CQ44" s="47" t="n">
        <v>26.93193071835937</v>
      </c>
      <c r="CR44" s="47" t="n">
        <v>26.93193071835937</v>
      </c>
      <c r="CS44" s="47" t="n">
        <v>26.93193071835937</v>
      </c>
      <c r="CT44" s="47" t="n">
        <v>26.93193071835937</v>
      </c>
      <c r="CU44" s="47" t="n">
        <v>0</v>
      </c>
      <c r="CV44" s="47" t="n">
        <v>0</v>
      </c>
      <c r="CW44" s="47" t="n">
        <v>0</v>
      </c>
      <c r="CX44" s="47" t="n">
        <v>0</v>
      </c>
      <c r="CY44" s="47" t="n">
        <v>0</v>
      </c>
      <c r="CZ44" s="47" t="n">
        <v>0</v>
      </c>
      <c r="DA44" s="47" t="n">
        <v>0</v>
      </c>
      <c r="DB44" s="47" t="n">
        <v>0</v>
      </c>
      <c r="DC44" s="47" t="n">
        <v>0</v>
      </c>
      <c r="DD44" s="47" t="n">
        <v>0</v>
      </c>
      <c r="DE44" s="47" t="n">
        <v>0</v>
      </c>
      <c r="DF44" s="47" t="n">
        <v>0</v>
      </c>
      <c r="DG44" s="47" t="n">
        <v>0</v>
      </c>
      <c r="DH44" s="47" t="n">
        <v>0</v>
      </c>
      <c r="DI44" s="47" t="n">
        <v>0</v>
      </c>
      <c r="DJ44" s="47" t="n">
        <v>0</v>
      </c>
      <c r="DK44" s="47" t="n">
        <v>0</v>
      </c>
      <c r="DL44" s="47" t="n">
        <v>0</v>
      </c>
      <c r="DM44" s="47" t="n">
        <v>0</v>
      </c>
      <c r="DN44" s="47" t="n">
        <v>0</v>
      </c>
      <c r="DO44" s="47" t="n">
        <v>0</v>
      </c>
      <c r="DP44" s="47" t="n">
        <v>0</v>
      </c>
      <c r="DQ44" s="47" t="n">
        <v>0</v>
      </c>
      <c r="DR44" s="47" t="n">
        <v>0</v>
      </c>
      <c r="DT44" s="46">
        <f>+F44-E44</f>
        <v/>
      </c>
      <c r="DU44" s="46">
        <f>+G44-F44</f>
        <v/>
      </c>
      <c r="DV44" s="46">
        <f>+H44-G44</f>
        <v/>
      </c>
      <c r="DW44" s="46">
        <f>+I44-H44</f>
        <v/>
      </c>
    </row>
    <row r="45" hidden="1" outlineLevel="1" ht="15.75" customHeight="1">
      <c r="B45" s="5" t="inlineStr">
        <is>
          <t>SPE</t>
        </is>
      </c>
      <c r="C45" s="68" t="inlineStr">
        <is>
          <t>Upper Middle Market</t>
        </is>
      </c>
      <c r="E45" s="46">
        <f>+SUMIFS($O45:$DR45,$O$7:$DR$7,E$7)</f>
        <v/>
      </c>
      <c r="F45" s="46">
        <f>+SUMIFS($O45:$DR45,$O$7:$DR$7,F$7)</f>
        <v/>
      </c>
      <c r="G45" s="46">
        <f>+SUMIFS($O45:$DR45,$O$7:$DR$7,G$7)</f>
        <v/>
      </c>
      <c r="H45" s="46">
        <f>+SUMIFS($O45:$DR45,$O$7:$DR$7,H$7)</f>
        <v/>
      </c>
      <c r="I45" s="46">
        <f>+SUMIFS($O45:$DR45,$O$7:$DR$7,I$7)</f>
        <v/>
      </c>
      <c r="J45" s="46">
        <f>+SUMIFS($O45:$DR45,$O$7:$DR$7,J$7)</f>
        <v/>
      </c>
      <c r="K45" s="46">
        <f>+SUMIFS($O45:$DR45,$O$7:$DR$7,K$7)</f>
        <v/>
      </c>
      <c r="L45" s="46">
        <f>+SUMIFS($O45:$DR45,$O$7:$DR$7,L$7)</f>
        <v/>
      </c>
      <c r="M45" s="46">
        <f>+SUMIFS($O45:$DR45,$O$7:$DR$7,M$7)</f>
        <v/>
      </c>
      <c r="O45" s="47" t="n">
        <v>0</v>
      </c>
      <c r="P45" s="47" t="n">
        <v>0</v>
      </c>
      <c r="Q45" s="47" t="n">
        <v>0</v>
      </c>
      <c r="R45" s="47" t="n">
        <v>0</v>
      </c>
      <c r="S45" s="47" t="n">
        <v>0</v>
      </c>
      <c r="T45" s="47" t="n">
        <v>0</v>
      </c>
      <c r="U45" s="47" t="n">
        <v>0</v>
      </c>
      <c r="V45" s="47" t="n">
        <v>0</v>
      </c>
      <c r="W45" s="47" t="n">
        <v>0</v>
      </c>
      <c r="X45" s="47" t="n">
        <v>0</v>
      </c>
      <c r="Y45" s="47" t="n">
        <v>0</v>
      </c>
      <c r="Z45" s="47" t="n">
        <v>0</v>
      </c>
      <c r="AA45" s="47" t="n">
        <v>0</v>
      </c>
      <c r="AB45" s="47" t="n">
        <v>0</v>
      </c>
      <c r="AC45" s="47" t="n">
        <v>0</v>
      </c>
      <c r="AD45" s="47" t="n">
        <v>0</v>
      </c>
      <c r="AE45" s="47" t="n">
        <v>0</v>
      </c>
      <c r="AF45" s="47" t="n">
        <v>0</v>
      </c>
      <c r="AG45" s="47" t="n">
        <v>0</v>
      </c>
      <c r="AH45" s="47" t="n">
        <v>0</v>
      </c>
      <c r="AI45" s="47" t="n">
        <v>0</v>
      </c>
      <c r="AJ45" s="47" t="n">
        <v>0</v>
      </c>
      <c r="AK45" s="47" t="n">
        <v>0</v>
      </c>
      <c r="AL45" s="47" t="n">
        <v>0</v>
      </c>
      <c r="AM45" s="47" t="n">
        <v>0</v>
      </c>
      <c r="AN45" s="47" t="n">
        <v>0</v>
      </c>
      <c r="AO45" s="47" t="n">
        <v>0</v>
      </c>
      <c r="AP45" s="47" t="n">
        <v>0</v>
      </c>
      <c r="AQ45" s="47" t="n">
        <v>0</v>
      </c>
      <c r="AR45" s="47" t="n">
        <v>0</v>
      </c>
      <c r="AS45" s="47" t="n">
        <v>0</v>
      </c>
      <c r="AT45" s="47" t="n">
        <v>0</v>
      </c>
      <c r="AU45" s="47" t="n">
        <v>22.083</v>
      </c>
      <c r="AV45" s="47" t="n">
        <v>22.083</v>
      </c>
      <c r="AW45" s="47" t="n">
        <v>22.083</v>
      </c>
      <c r="AX45" s="47" t="n">
        <v>22.083</v>
      </c>
      <c r="AY45" s="47" t="n">
        <v>22.08333333333333</v>
      </c>
      <c r="AZ45" s="47" t="n">
        <v>22.08333333333333</v>
      </c>
      <c r="BA45" s="47" t="n">
        <v>22.08333333333333</v>
      </c>
      <c r="BB45" s="47" t="n">
        <v>22.08333333333333</v>
      </c>
      <c r="BC45" s="47" t="n">
        <v>22.08333333333333</v>
      </c>
      <c r="BD45" s="47" t="n">
        <v>22.08333333333333</v>
      </c>
      <c r="BE45" s="47" t="n">
        <v>22.08333333333333</v>
      </c>
      <c r="BF45" s="47" t="n">
        <v>22.08333333333333</v>
      </c>
      <c r="BG45" s="47" t="n">
        <v>22.74583333333333</v>
      </c>
      <c r="BH45" s="47" t="n">
        <v>22.74583333333333</v>
      </c>
      <c r="BI45" s="47" t="n">
        <v>22.74583333333333</v>
      </c>
      <c r="BJ45" s="47" t="n">
        <v>22.74583333333333</v>
      </c>
      <c r="BK45" s="47" t="n">
        <v>22.74583333333333</v>
      </c>
      <c r="BL45" s="47" t="n">
        <v>22.74583333333333</v>
      </c>
      <c r="BM45" s="47" t="n">
        <v>22.74583333333333</v>
      </c>
      <c r="BN45" s="47" t="n">
        <v>22.74583333333333</v>
      </c>
      <c r="BO45" s="47" t="n">
        <v>22.74583333333333</v>
      </c>
      <c r="BP45" s="47" t="n">
        <v>22.74583333333333</v>
      </c>
      <c r="BQ45" s="47" t="n">
        <v>22.74583333333333</v>
      </c>
      <c r="BR45" s="47" t="n">
        <v>22.74583333333333</v>
      </c>
      <c r="BS45" s="47" t="n">
        <v>23.42820833333333</v>
      </c>
      <c r="BT45" s="47" t="n">
        <v>23.42820833333333</v>
      </c>
      <c r="BU45" s="47" t="n">
        <v>23.42820833333333</v>
      </c>
      <c r="BV45" s="47" t="n">
        <v>23.42820833333333</v>
      </c>
      <c r="BW45" s="47" t="n">
        <v>23.42820833333333</v>
      </c>
      <c r="BX45" s="47" t="n">
        <v>23.42820833333333</v>
      </c>
      <c r="BY45" s="47" t="n">
        <v>23.42820833333333</v>
      </c>
      <c r="BZ45" s="47" t="n">
        <v>23.42820833333333</v>
      </c>
      <c r="CA45" s="47" t="n">
        <v>23.42820833333333</v>
      </c>
      <c r="CB45" s="47" t="n">
        <v>23.42820833333333</v>
      </c>
      <c r="CC45" s="47" t="n">
        <v>23.42820833333333</v>
      </c>
      <c r="CD45" s="47" t="n">
        <v>23.42820833333333</v>
      </c>
      <c r="CE45" s="47" t="n">
        <v>24.13105458333333</v>
      </c>
      <c r="CF45" s="47" t="n">
        <v>24.13105458333333</v>
      </c>
      <c r="CG45" s="47" t="n">
        <v>24.13105458333333</v>
      </c>
      <c r="CH45" s="47" t="n">
        <v>24.13105458333333</v>
      </c>
      <c r="CI45" s="47" t="n">
        <v>24.13105458333333</v>
      </c>
      <c r="CJ45" s="47" t="n">
        <v>24.13105458333333</v>
      </c>
      <c r="CK45" s="47" t="n">
        <v>24.13105458333333</v>
      </c>
      <c r="CL45" s="47" t="n">
        <v>24.13105458333333</v>
      </c>
      <c r="CM45" s="47" t="n">
        <v>24.13105458333333</v>
      </c>
      <c r="CN45" s="47" t="n">
        <v>24.13105458333333</v>
      </c>
      <c r="CO45" s="47" t="n">
        <v>24.13105458333333</v>
      </c>
      <c r="CP45" s="47" t="n">
        <v>24.13105458333333</v>
      </c>
      <c r="CQ45" s="47" t="n">
        <v>24.85498622083334</v>
      </c>
      <c r="CR45" s="47" t="n">
        <v>24.85498622083334</v>
      </c>
      <c r="CS45" s="47" t="n">
        <v>24.85498622083334</v>
      </c>
      <c r="CT45" s="47" t="n">
        <v>24.85498622083334</v>
      </c>
      <c r="CU45" s="47" t="n">
        <v>24.85498622083334</v>
      </c>
      <c r="CV45" s="47" t="n">
        <v>24.85498622083334</v>
      </c>
      <c r="CW45" s="47" t="n">
        <v>24.85498622083334</v>
      </c>
      <c r="CX45" s="47" t="n">
        <v>24.85498622083334</v>
      </c>
      <c r="CY45" s="47" t="n">
        <v>24.85498622083334</v>
      </c>
      <c r="CZ45" s="47" t="n">
        <v>24.85498622083334</v>
      </c>
      <c r="DA45" s="47" t="n">
        <v>24.85498622083334</v>
      </c>
      <c r="DB45" s="47" t="n">
        <v>24.85498622083334</v>
      </c>
      <c r="DC45" s="47" t="n">
        <v>0</v>
      </c>
      <c r="DD45" s="47" t="n">
        <v>0</v>
      </c>
      <c r="DE45" s="47" t="n">
        <v>0</v>
      </c>
      <c r="DF45" s="47" t="n">
        <v>0</v>
      </c>
      <c r="DG45" s="47" t="n">
        <v>0</v>
      </c>
      <c r="DH45" s="47" t="n">
        <v>0</v>
      </c>
      <c r="DI45" s="47" t="n">
        <v>0</v>
      </c>
      <c r="DJ45" s="47" t="n">
        <v>0</v>
      </c>
      <c r="DK45" s="47" t="n">
        <v>0</v>
      </c>
      <c r="DL45" s="47" t="n">
        <v>0</v>
      </c>
      <c r="DM45" s="47" t="n">
        <v>0</v>
      </c>
      <c r="DN45" s="47" t="n">
        <v>0</v>
      </c>
      <c r="DO45" s="47" t="n">
        <v>0</v>
      </c>
      <c r="DP45" s="47" t="n">
        <v>0</v>
      </c>
      <c r="DQ45" s="47" t="n">
        <v>0</v>
      </c>
      <c r="DR45" s="47" t="n">
        <v>0</v>
      </c>
      <c r="DT45" s="46">
        <f>+F45-E45</f>
        <v/>
      </c>
      <c r="DU45" s="46">
        <f>+G45-F45</f>
        <v/>
      </c>
      <c r="DV45" s="46">
        <f>+H45-G45</f>
        <v/>
      </c>
      <c r="DW45" s="46">
        <f>+I45-H45</f>
        <v/>
      </c>
    </row>
    <row r="46" hidden="1" outlineLevel="1" ht="15.75" customHeight="1">
      <c r="B46" s="5" t="inlineStr">
        <is>
          <t>UCP</t>
        </is>
      </c>
      <c r="C46" s="68" t="inlineStr">
        <is>
          <t>Lower Middle Market</t>
        </is>
      </c>
      <c r="E46" s="46">
        <f>+SUMIFS($O46:$DR46,$O$7:$DR$7,E$7)</f>
        <v/>
      </c>
      <c r="F46" s="46">
        <f>+SUMIFS($O46:$DR46,$O$7:$DR$7,F$7)</f>
        <v/>
      </c>
      <c r="G46" s="46">
        <f>+SUMIFS($O46:$DR46,$O$7:$DR$7,G$7)</f>
        <v/>
      </c>
      <c r="H46" s="46">
        <f>+SUMIFS($O46:$DR46,$O$7:$DR$7,H$7)</f>
        <v/>
      </c>
      <c r="I46" s="46">
        <f>+SUMIFS($O46:$DR46,$O$7:$DR$7,I$7)</f>
        <v/>
      </c>
      <c r="J46" s="46">
        <f>+SUMIFS($O46:$DR46,$O$7:$DR$7,J$7)</f>
        <v/>
      </c>
      <c r="K46" s="46">
        <f>+SUMIFS($O46:$DR46,$O$7:$DR$7,K$7)</f>
        <v/>
      </c>
      <c r="L46" s="46">
        <f>+SUMIFS($O46:$DR46,$O$7:$DR$7,L$7)</f>
        <v/>
      </c>
      <c r="M46" s="46">
        <f>+SUMIFS($O46:$DR46,$O$7:$DR$7,M$7)</f>
        <v/>
      </c>
      <c r="O46" s="47" t="n">
        <v>0</v>
      </c>
      <c r="P46" s="47" t="n">
        <v>0</v>
      </c>
      <c r="Q46" s="47" t="n">
        <v>0</v>
      </c>
      <c r="R46" s="47" t="n">
        <v>0</v>
      </c>
      <c r="S46" s="47" t="n">
        <v>0</v>
      </c>
      <c r="T46" s="47" t="n">
        <v>0</v>
      </c>
      <c r="U46" s="47" t="n">
        <v>0</v>
      </c>
      <c r="V46" s="47" t="n">
        <v>0</v>
      </c>
      <c r="W46" s="47" t="n">
        <v>0</v>
      </c>
      <c r="X46" s="47" t="n">
        <v>0</v>
      </c>
      <c r="Y46" s="47" t="n">
        <v>0</v>
      </c>
      <c r="Z46" s="47" t="n">
        <v>0</v>
      </c>
      <c r="AA46" s="47" t="n">
        <v>0</v>
      </c>
      <c r="AB46" s="47" t="n">
        <v>0</v>
      </c>
      <c r="AC46" s="47" t="n">
        <v>0</v>
      </c>
      <c r="AD46" s="47" t="n">
        <v>0</v>
      </c>
      <c r="AE46" s="47" t="n">
        <v>0</v>
      </c>
      <c r="AF46" s="47" t="n">
        <v>0</v>
      </c>
      <c r="AG46" s="47" t="n">
        <v>0</v>
      </c>
      <c r="AH46" s="47" t="n">
        <v>0</v>
      </c>
      <c r="AI46" s="47" t="n">
        <v>0</v>
      </c>
      <c r="AJ46" s="47" t="n">
        <v>0</v>
      </c>
      <c r="AK46" s="47" t="n">
        <v>0</v>
      </c>
      <c r="AL46" s="47" t="n">
        <v>9.462</v>
      </c>
      <c r="AM46" s="47" t="n">
        <v>13.333</v>
      </c>
      <c r="AN46" s="47" t="n">
        <v>13.333</v>
      </c>
      <c r="AO46" s="47" t="n">
        <v>13.334</v>
      </c>
      <c r="AP46" s="47" t="n">
        <v>13.334</v>
      </c>
      <c r="AQ46" s="47" t="n">
        <v>13.333</v>
      </c>
      <c r="AR46" s="47" t="n">
        <v>13.333</v>
      </c>
      <c r="AS46" s="47" t="n">
        <v>13.333</v>
      </c>
      <c r="AT46" s="47" t="n">
        <v>13.333</v>
      </c>
      <c r="AU46" s="47" t="n">
        <v>11.415</v>
      </c>
      <c r="AV46" s="47" t="n">
        <v>13.334</v>
      </c>
      <c r="AW46" s="47" t="n">
        <v>13.333</v>
      </c>
      <c r="AX46" s="47" t="n">
        <v>13.333</v>
      </c>
      <c r="AY46" s="47" t="n">
        <v>14</v>
      </c>
      <c r="AZ46" s="47" t="n">
        <v>14</v>
      </c>
      <c r="BA46" s="47" t="n">
        <v>14</v>
      </c>
      <c r="BB46" s="47" t="n">
        <v>14</v>
      </c>
      <c r="BC46" s="47" t="n">
        <v>14</v>
      </c>
      <c r="BD46" s="47" t="n">
        <v>14</v>
      </c>
      <c r="BE46" s="47" t="n">
        <v>14</v>
      </c>
      <c r="BF46" s="47" t="n">
        <v>14</v>
      </c>
      <c r="BG46" s="47" t="n">
        <v>14</v>
      </c>
      <c r="BH46" s="47" t="n">
        <v>14</v>
      </c>
      <c r="BI46" s="47" t="n">
        <v>14</v>
      </c>
      <c r="BJ46" s="47" t="n">
        <v>14</v>
      </c>
      <c r="BK46" s="47" t="n">
        <v>14.7</v>
      </c>
      <c r="BL46" s="47" t="n">
        <v>14.7</v>
      </c>
      <c r="BM46" s="47" t="n">
        <v>14.7</v>
      </c>
      <c r="BN46" s="47" t="n">
        <v>14.7</v>
      </c>
      <c r="BO46" s="47" t="n">
        <v>14.7</v>
      </c>
      <c r="BP46" s="47" t="n">
        <v>14.7</v>
      </c>
      <c r="BQ46" s="47" t="n">
        <v>14.7</v>
      </c>
      <c r="BR46" s="47" t="n">
        <v>14.7</v>
      </c>
      <c r="BS46" s="47" t="n">
        <v>14.7</v>
      </c>
      <c r="BT46" s="47" t="n">
        <v>14.7</v>
      </c>
      <c r="BU46" s="47" t="n">
        <v>14.7</v>
      </c>
      <c r="BV46" s="47" t="n">
        <v>14.7</v>
      </c>
      <c r="BW46" s="47" t="n">
        <v>15.435</v>
      </c>
      <c r="BX46" s="47" t="n">
        <v>15.435</v>
      </c>
      <c r="BY46" s="47" t="n">
        <v>15.435</v>
      </c>
      <c r="BZ46" s="47" t="n">
        <v>15.435</v>
      </c>
      <c r="CA46" s="47" t="n">
        <v>15.435</v>
      </c>
      <c r="CB46" s="47" t="n">
        <v>15.435</v>
      </c>
      <c r="CC46" s="47" t="n">
        <v>15.435</v>
      </c>
      <c r="CD46" s="47" t="n">
        <v>15.435</v>
      </c>
      <c r="CE46" s="47" t="n">
        <v>15.435</v>
      </c>
      <c r="CF46" s="47" t="n">
        <v>15.435</v>
      </c>
      <c r="CG46" s="47" t="n">
        <v>15.435</v>
      </c>
      <c r="CH46" s="47" t="n">
        <v>15.435</v>
      </c>
      <c r="CI46" s="47" t="n">
        <v>16.20675</v>
      </c>
      <c r="CJ46" s="47" t="n">
        <v>16.20675</v>
      </c>
      <c r="CK46" s="47" t="n">
        <v>16.20675</v>
      </c>
      <c r="CL46" s="47" t="n">
        <v>16.20675</v>
      </c>
      <c r="CM46" s="47" t="n">
        <v>16.20675</v>
      </c>
      <c r="CN46" s="47" t="n">
        <v>16.20675</v>
      </c>
      <c r="CO46" s="47" t="n">
        <v>16.20675</v>
      </c>
      <c r="CP46" s="47" t="n">
        <v>16.20675</v>
      </c>
      <c r="CQ46" s="47" t="n">
        <v>16.20675</v>
      </c>
      <c r="CR46" s="47" t="n">
        <v>16.20675</v>
      </c>
      <c r="CS46" s="47" t="n">
        <v>16.20675</v>
      </c>
      <c r="CT46" s="47" t="n">
        <v>16.20675</v>
      </c>
      <c r="CU46" s="47" t="n">
        <v>0</v>
      </c>
      <c r="CV46" s="47" t="n">
        <v>0</v>
      </c>
      <c r="CW46" s="47" t="n">
        <v>0</v>
      </c>
      <c r="CX46" s="47" t="n">
        <v>0</v>
      </c>
      <c r="CY46" s="47" t="n">
        <v>0</v>
      </c>
      <c r="CZ46" s="47" t="n">
        <v>0</v>
      </c>
      <c r="DA46" s="47" t="n">
        <v>0</v>
      </c>
      <c r="DB46" s="47" t="n">
        <v>0</v>
      </c>
      <c r="DC46" s="47" t="n">
        <v>0</v>
      </c>
      <c r="DD46" s="47" t="n">
        <v>0</v>
      </c>
      <c r="DE46" s="47" t="n">
        <v>0</v>
      </c>
      <c r="DF46" s="47" t="n">
        <v>0</v>
      </c>
      <c r="DG46" s="47" t="n">
        <v>0</v>
      </c>
      <c r="DH46" s="47" t="n">
        <v>0</v>
      </c>
      <c r="DI46" s="47" t="n">
        <v>0</v>
      </c>
      <c r="DJ46" s="47" t="n">
        <v>0</v>
      </c>
      <c r="DK46" s="47" t="n">
        <v>0</v>
      </c>
      <c r="DL46" s="47" t="n">
        <v>0</v>
      </c>
      <c r="DM46" s="47" t="n">
        <v>0</v>
      </c>
      <c r="DN46" s="47" t="n">
        <v>0</v>
      </c>
      <c r="DO46" s="47" t="n">
        <v>0</v>
      </c>
      <c r="DP46" s="47" t="n">
        <v>0</v>
      </c>
      <c r="DQ46" s="47" t="n">
        <v>0</v>
      </c>
      <c r="DR46" s="47" t="n">
        <v>0</v>
      </c>
      <c r="DT46" s="46">
        <f>+F46-E46</f>
        <v/>
      </c>
      <c r="DU46" s="46">
        <f>+G46-F46</f>
        <v/>
      </c>
      <c r="DV46" s="46">
        <f>+H46-G46</f>
        <v/>
      </c>
      <c r="DW46" s="46">
        <f>+I46-H46</f>
        <v/>
      </c>
    </row>
    <row r="47" hidden="1" outlineLevel="1" ht="15.75" customHeight="1">
      <c r="B47" s="5" t="inlineStr">
        <is>
          <t>WK</t>
        </is>
      </c>
      <c r="C47" s="68" t="inlineStr">
        <is>
          <t>Mega</t>
        </is>
      </c>
      <c r="E47" s="46">
        <f>+SUMIFS($O47:$DR47,$O$7:$DR$7,E$7)</f>
        <v/>
      </c>
      <c r="F47" s="46">
        <f>+SUMIFS($O47:$DR47,$O$7:$DR$7,F$7)</f>
        <v/>
      </c>
      <c r="G47" s="46">
        <f>+SUMIFS($O47:$DR47,$O$7:$DR$7,G$7)</f>
        <v/>
      </c>
      <c r="H47" s="46">
        <f>+SUMIFS($O47:$DR47,$O$7:$DR$7,H$7)</f>
        <v/>
      </c>
      <c r="I47" s="46">
        <f>+SUMIFS($O47:$DR47,$O$7:$DR$7,I$7)</f>
        <v/>
      </c>
      <c r="J47" s="46">
        <f>+SUMIFS($O47:$DR47,$O$7:$DR$7,J$7)</f>
        <v/>
      </c>
      <c r="K47" s="46">
        <f>+SUMIFS($O47:$DR47,$O$7:$DR$7,K$7)</f>
        <v/>
      </c>
      <c r="L47" s="46">
        <f>+SUMIFS($O47:$DR47,$O$7:$DR$7,L$7)</f>
        <v/>
      </c>
      <c r="M47" s="46">
        <f>+SUMIFS($O47:$DR47,$O$7:$DR$7,M$7)</f>
        <v/>
      </c>
      <c r="O47" s="47" t="n">
        <v>112.623</v>
      </c>
      <c r="P47" s="47" t="n">
        <v>112.623</v>
      </c>
      <c r="Q47" s="47" t="n">
        <v>112.623</v>
      </c>
      <c r="R47" s="47" t="n">
        <v>112.623</v>
      </c>
      <c r="S47" s="47" t="n">
        <v>112.623</v>
      </c>
      <c r="T47" s="47" t="n">
        <v>112.623</v>
      </c>
      <c r="U47" s="47" t="n">
        <v>112.623</v>
      </c>
      <c r="V47" s="47" t="n">
        <v>112.623</v>
      </c>
      <c r="W47" s="47" t="n">
        <v>112.623</v>
      </c>
      <c r="X47" s="47" t="n">
        <v>112.623</v>
      </c>
      <c r="Y47" s="47" t="n">
        <v>112.623</v>
      </c>
      <c r="Z47" s="47" t="n">
        <v>112.623</v>
      </c>
      <c r="AA47" s="47" t="n">
        <v>121.593</v>
      </c>
      <c r="AB47" s="47" t="n">
        <v>121.593</v>
      </c>
      <c r="AC47" s="47" t="n">
        <v>121.594</v>
      </c>
      <c r="AD47" s="47" t="n">
        <v>121.594</v>
      </c>
      <c r="AE47" s="47" t="n">
        <v>121.594</v>
      </c>
      <c r="AF47" s="47" t="n">
        <v>121.594</v>
      </c>
      <c r="AG47" s="47" t="n">
        <v>121.594</v>
      </c>
      <c r="AH47" s="47" t="n">
        <v>121.594</v>
      </c>
      <c r="AI47" s="47" t="n">
        <v>121.594</v>
      </c>
      <c r="AJ47" s="47" t="n">
        <v>121.594</v>
      </c>
      <c r="AK47" s="47" t="n">
        <v>121.594</v>
      </c>
      <c r="AL47" s="47" t="n">
        <v>121.594</v>
      </c>
      <c r="AM47" s="47" t="n">
        <v>129.86</v>
      </c>
      <c r="AN47" s="47" t="n">
        <v>129.86</v>
      </c>
      <c r="AO47" s="47" t="n">
        <v>129.86</v>
      </c>
      <c r="AP47" s="47" t="n">
        <v>129.86</v>
      </c>
      <c r="AQ47" s="47" t="n">
        <v>129.86</v>
      </c>
      <c r="AR47" s="47" t="n">
        <v>129.86</v>
      </c>
      <c r="AS47" s="47" t="n">
        <v>129.86</v>
      </c>
      <c r="AT47" s="47" t="n">
        <v>120.705</v>
      </c>
      <c r="AU47" s="47" t="n">
        <v>129.86</v>
      </c>
      <c r="AV47" s="47" t="n">
        <v>129.86</v>
      </c>
      <c r="AW47" s="47" t="n">
        <v>129.861</v>
      </c>
      <c r="AX47" s="47" t="n">
        <v>129.861</v>
      </c>
      <c r="AY47" s="47" t="n">
        <v>133.107525</v>
      </c>
      <c r="AZ47" s="47" t="n">
        <v>133.107525</v>
      </c>
      <c r="BA47" s="47" t="n">
        <v>133.107525</v>
      </c>
      <c r="BB47" s="47" t="n">
        <v>133.107525</v>
      </c>
      <c r="BC47" s="47" t="n">
        <v>133.107525</v>
      </c>
      <c r="BD47" s="47" t="n">
        <v>133.107525</v>
      </c>
      <c r="BE47" s="47" t="n">
        <v>133.107525</v>
      </c>
      <c r="BF47" s="47" t="n">
        <v>133.107</v>
      </c>
      <c r="BG47" s="47" t="n">
        <v>133.107525</v>
      </c>
      <c r="BH47" s="47" t="n">
        <v>133.107525</v>
      </c>
      <c r="BI47" s="47" t="n">
        <v>133.107525</v>
      </c>
      <c r="BJ47" s="47" t="n">
        <v>133.107525</v>
      </c>
      <c r="BK47" s="47" t="n">
        <v>136.4357</v>
      </c>
      <c r="BL47" s="47" t="n">
        <v>136.4357</v>
      </c>
      <c r="BM47" s="47" t="n">
        <v>136.4357</v>
      </c>
      <c r="BN47" s="47" t="n">
        <v>136.4357</v>
      </c>
      <c r="BO47" s="47" t="n">
        <v>136.4357</v>
      </c>
      <c r="BP47" s="47" t="n">
        <v>136.4357</v>
      </c>
      <c r="BQ47" s="47" t="n">
        <v>136.4357</v>
      </c>
      <c r="BR47" s="47" t="n">
        <v>136.4357</v>
      </c>
      <c r="BS47" s="47" t="n">
        <v>136.4357</v>
      </c>
      <c r="BT47" s="47" t="n">
        <v>136.4357</v>
      </c>
      <c r="BU47" s="47" t="n">
        <v>136.4357</v>
      </c>
      <c r="BV47" s="47" t="n">
        <v>136.4357</v>
      </c>
      <c r="BW47" s="47" t="n">
        <v>139.8465925</v>
      </c>
      <c r="BX47" s="47" t="n">
        <v>139.8465925</v>
      </c>
      <c r="BY47" s="47" t="n">
        <v>139.8465925</v>
      </c>
      <c r="BZ47" s="47" t="n">
        <v>139.8465925</v>
      </c>
      <c r="CA47" s="47" t="n">
        <v>139.8465925</v>
      </c>
      <c r="CB47" s="47" t="n">
        <v>139.8465925</v>
      </c>
      <c r="CC47" s="47" t="n">
        <v>139.8465925</v>
      </c>
      <c r="CD47" s="47" t="n">
        <v>139.8465925</v>
      </c>
      <c r="CE47" s="47" t="n">
        <v>139.8465925</v>
      </c>
      <c r="CF47" s="47" t="n">
        <v>139.8465925</v>
      </c>
      <c r="CG47" s="47" t="n">
        <v>139.8465925</v>
      </c>
      <c r="CH47" s="47" t="n">
        <v>139.8465925</v>
      </c>
      <c r="CI47" s="47" t="n">
        <v>0</v>
      </c>
      <c r="CJ47" s="47" t="n">
        <v>0</v>
      </c>
      <c r="CK47" s="47" t="n">
        <v>0</v>
      </c>
      <c r="CL47" s="47" t="n">
        <v>0</v>
      </c>
      <c r="CM47" s="47" t="n">
        <v>0</v>
      </c>
      <c r="CN47" s="47" t="n">
        <v>0</v>
      </c>
      <c r="CO47" s="47" t="n">
        <v>0</v>
      </c>
      <c r="CP47" s="47" t="n">
        <v>0</v>
      </c>
      <c r="CQ47" s="47" t="n">
        <v>0</v>
      </c>
      <c r="CR47" s="47" t="n">
        <v>0</v>
      </c>
      <c r="CS47" s="47" t="n">
        <v>0</v>
      </c>
      <c r="CT47" s="47" t="n">
        <v>0</v>
      </c>
      <c r="CU47" s="47" t="n">
        <v>0</v>
      </c>
      <c r="CV47" s="47" t="n">
        <v>0</v>
      </c>
      <c r="CW47" s="47" t="n">
        <v>0</v>
      </c>
      <c r="CX47" s="47" t="n">
        <v>0</v>
      </c>
      <c r="CY47" s="47" t="n">
        <v>0</v>
      </c>
      <c r="CZ47" s="47" t="n">
        <v>0</v>
      </c>
      <c r="DA47" s="47" t="n">
        <v>0</v>
      </c>
      <c r="DB47" s="47" t="n">
        <v>0</v>
      </c>
      <c r="DC47" s="47" t="n">
        <v>0</v>
      </c>
      <c r="DD47" s="47" t="n">
        <v>0</v>
      </c>
      <c r="DE47" s="47" t="n">
        <v>0</v>
      </c>
      <c r="DF47" s="47" t="n">
        <v>0</v>
      </c>
      <c r="DG47" s="47" t="n">
        <v>0</v>
      </c>
      <c r="DH47" s="47" t="n">
        <v>0</v>
      </c>
      <c r="DI47" s="47" t="n">
        <v>0</v>
      </c>
      <c r="DJ47" s="47" t="n">
        <v>0</v>
      </c>
      <c r="DK47" s="47" t="n">
        <v>0</v>
      </c>
      <c r="DL47" s="47" t="n">
        <v>0</v>
      </c>
      <c r="DM47" s="47" t="n">
        <v>0</v>
      </c>
      <c r="DN47" s="47" t="n">
        <v>0</v>
      </c>
      <c r="DO47" s="47" t="n">
        <v>0</v>
      </c>
      <c r="DP47" s="47" t="n">
        <v>0</v>
      </c>
      <c r="DQ47" s="47" t="n">
        <v>0</v>
      </c>
      <c r="DR47" s="47" t="n">
        <v>0</v>
      </c>
      <c r="DT47" s="46">
        <f>+F47-E47</f>
        <v/>
      </c>
      <c r="DU47" s="46">
        <f>+G47-F47</f>
        <v/>
      </c>
      <c r="DV47" s="46">
        <f>+H47-G47</f>
        <v/>
      </c>
      <c r="DW47" s="46">
        <f>+I47-H47</f>
        <v/>
      </c>
    </row>
    <row r="48" hidden="1" outlineLevel="1" ht="15.75" customHeight="1">
      <c r="B48" s="5" t="inlineStr">
        <is>
          <t>AAD</t>
        </is>
      </c>
      <c r="C48" s="68" t="inlineStr">
        <is>
          <t>Lower Middle Market</t>
        </is>
      </c>
      <c r="E48" s="46">
        <f>+SUMIFS($O48:$DR48,$O$7:$DR$7,E$7)</f>
        <v/>
      </c>
      <c r="F48" s="46">
        <f>+SUMIFS($O48:$DR48,$O$7:$DR$7,F$7)</f>
        <v/>
      </c>
      <c r="G48" s="46">
        <f>+SUMIFS($O48:$DR48,$O$7:$DR$7,G$7)</f>
        <v/>
      </c>
      <c r="H48" s="46">
        <f>+SUMIFS($O48:$DR48,$O$7:$DR$7,H$7)</f>
        <v/>
      </c>
      <c r="I48" s="46">
        <f>+SUMIFS($O48:$DR48,$O$7:$DR$7,I$7)</f>
        <v/>
      </c>
      <c r="J48" s="46">
        <f>+SUMIFS($O48:$DR48,$O$7:$DR$7,J$7)</f>
        <v/>
      </c>
      <c r="K48" s="46">
        <f>+SUMIFS($O48:$DR48,$O$7:$DR$7,K$7)</f>
        <v/>
      </c>
      <c r="L48" s="46">
        <f>+SUMIFS($O48:$DR48,$O$7:$DR$7,L$7)</f>
        <v/>
      </c>
      <c r="M48" s="46">
        <f>+SUMIFS($O48:$DR48,$O$7:$DR$7,M$7)</f>
        <v/>
      </c>
      <c r="O48" s="47" t="n">
        <v>6.468</v>
      </c>
      <c r="P48" s="47" t="n">
        <v>6.469</v>
      </c>
      <c r="Q48" s="47" t="n">
        <v>6.469</v>
      </c>
      <c r="R48" s="47" t="n">
        <v>6.469</v>
      </c>
      <c r="S48" s="47" t="n">
        <v>6.469</v>
      </c>
      <c r="T48" s="47" t="n">
        <v>6.468</v>
      </c>
      <c r="U48" s="47" t="n">
        <v>6.468</v>
      </c>
      <c r="V48" s="47" t="n">
        <v>6.468</v>
      </c>
      <c r="W48" s="47" t="n">
        <v>6.468</v>
      </c>
      <c r="X48" s="47" t="n">
        <v>6.469</v>
      </c>
      <c r="Y48" s="47" t="n">
        <v>6.469</v>
      </c>
      <c r="Z48" s="47" t="n">
        <v>6.469</v>
      </c>
      <c r="AA48" s="47" t="n">
        <v>6.695</v>
      </c>
      <c r="AB48" s="47" t="n">
        <v>6.695</v>
      </c>
      <c r="AC48" s="47" t="n">
        <v>6.696</v>
      </c>
      <c r="AD48" s="47" t="n">
        <v>6.695</v>
      </c>
      <c r="AE48" s="47" t="n">
        <v>6.696</v>
      </c>
      <c r="AF48" s="47" t="n">
        <v>6.695</v>
      </c>
      <c r="AG48" s="47" t="n">
        <v>6.695</v>
      </c>
      <c r="AH48" s="47" t="n">
        <v>135.4</v>
      </c>
      <c r="AI48" s="47" t="n">
        <v>0</v>
      </c>
      <c r="AJ48" s="47" t="n">
        <v>0</v>
      </c>
      <c r="AK48" s="47" t="n">
        <v>0</v>
      </c>
      <c r="AL48" s="47" t="n">
        <v>0</v>
      </c>
      <c r="AM48" s="47" t="n">
        <v>0</v>
      </c>
      <c r="AN48" s="47" t="n">
        <v>0</v>
      </c>
      <c r="AO48" s="47" t="n">
        <v>0</v>
      </c>
      <c r="AP48" s="47" t="n">
        <v>0</v>
      </c>
      <c r="AQ48" s="47" t="n">
        <v>0</v>
      </c>
      <c r="AR48" s="47" t="n">
        <v>0</v>
      </c>
      <c r="AS48" s="47" t="n">
        <v>0</v>
      </c>
      <c r="AT48" s="47" t="n">
        <v>0</v>
      </c>
      <c r="AU48" s="47" t="n">
        <v>0</v>
      </c>
      <c r="AV48" s="47" t="n">
        <v>0</v>
      </c>
      <c r="AW48" s="47" t="n">
        <v>0</v>
      </c>
      <c r="AX48" s="47" t="n">
        <v>0</v>
      </c>
      <c r="AY48" s="47" t="n">
        <v>0</v>
      </c>
      <c r="AZ48" s="47" t="n">
        <v>0</v>
      </c>
      <c r="BA48" s="47" t="n">
        <v>0</v>
      </c>
      <c r="BB48" s="47" t="n">
        <v>0</v>
      </c>
      <c r="BC48" s="47" t="n">
        <v>0</v>
      </c>
      <c r="BD48" s="47" t="n">
        <v>0</v>
      </c>
      <c r="BE48" s="47" t="n">
        <v>0</v>
      </c>
      <c r="BF48" s="47" t="n">
        <v>0</v>
      </c>
      <c r="BG48" s="47" t="n">
        <v>0</v>
      </c>
      <c r="BH48" s="47" t="n">
        <v>0</v>
      </c>
      <c r="BI48" s="47" t="n">
        <v>0</v>
      </c>
      <c r="BJ48" s="47" t="n">
        <v>0</v>
      </c>
      <c r="BK48" s="47" t="n">
        <v>0</v>
      </c>
      <c r="BL48" s="47" t="n">
        <v>0</v>
      </c>
      <c r="BM48" s="47" t="n">
        <v>0</v>
      </c>
      <c r="BN48" s="47" t="n">
        <v>0</v>
      </c>
      <c r="BO48" s="47" t="n">
        <v>0</v>
      </c>
      <c r="BP48" s="47" t="n">
        <v>0</v>
      </c>
      <c r="BQ48" s="47" t="n">
        <v>0</v>
      </c>
      <c r="BR48" s="47" t="n">
        <v>0</v>
      </c>
      <c r="BS48" s="47" t="n">
        <v>0</v>
      </c>
      <c r="BT48" s="47" t="n">
        <v>0</v>
      </c>
      <c r="BU48" s="47" t="n">
        <v>0</v>
      </c>
      <c r="BV48" s="47" t="n">
        <v>0</v>
      </c>
      <c r="BW48" s="47" t="n">
        <v>0</v>
      </c>
      <c r="BX48" s="47" t="n">
        <v>0</v>
      </c>
      <c r="BY48" s="47" t="n">
        <v>0</v>
      </c>
      <c r="BZ48" s="47" t="n">
        <v>0</v>
      </c>
      <c r="CA48" s="47" t="n">
        <v>0</v>
      </c>
      <c r="CB48" s="47" t="n">
        <v>0</v>
      </c>
      <c r="CC48" s="47" t="n">
        <v>0</v>
      </c>
      <c r="CD48" s="47" t="n">
        <v>0</v>
      </c>
      <c r="CE48" s="47" t="n">
        <v>0</v>
      </c>
      <c r="CF48" s="47" t="n">
        <v>0</v>
      </c>
      <c r="CG48" s="47" t="n">
        <v>0</v>
      </c>
      <c r="CH48" s="47" t="n">
        <v>0</v>
      </c>
      <c r="CI48" s="47" t="n">
        <v>0</v>
      </c>
      <c r="CJ48" s="47" t="n">
        <v>0</v>
      </c>
      <c r="CK48" s="47" t="n">
        <v>0</v>
      </c>
      <c r="CL48" s="47" t="n">
        <v>0</v>
      </c>
      <c r="CM48" s="47" t="n">
        <v>0</v>
      </c>
      <c r="CN48" s="47" t="n">
        <v>0</v>
      </c>
      <c r="CO48" s="47" t="n">
        <v>0</v>
      </c>
      <c r="CP48" s="47" t="n">
        <v>0</v>
      </c>
      <c r="CQ48" s="47" t="n">
        <v>0</v>
      </c>
      <c r="CR48" s="47" t="n">
        <v>0</v>
      </c>
      <c r="CS48" s="47" t="n">
        <v>0</v>
      </c>
      <c r="CT48" s="47" t="n">
        <v>0</v>
      </c>
      <c r="CU48" s="47" t="n">
        <v>0</v>
      </c>
      <c r="CV48" s="47" t="n">
        <v>0</v>
      </c>
      <c r="CW48" s="47" t="n">
        <v>0</v>
      </c>
      <c r="CX48" s="47" t="n">
        <v>0</v>
      </c>
      <c r="CY48" s="47" t="n">
        <v>0</v>
      </c>
      <c r="CZ48" s="47" t="n">
        <v>0</v>
      </c>
      <c r="DA48" s="47" t="n">
        <v>0</v>
      </c>
      <c r="DB48" s="47" t="n">
        <v>0</v>
      </c>
      <c r="DC48" s="47" t="n">
        <v>0</v>
      </c>
      <c r="DD48" s="47" t="n">
        <v>0</v>
      </c>
      <c r="DE48" s="47" t="n">
        <v>0</v>
      </c>
      <c r="DF48" s="47" t="n">
        <v>0</v>
      </c>
      <c r="DG48" s="47" t="n">
        <v>0</v>
      </c>
      <c r="DH48" s="47" t="n">
        <v>0</v>
      </c>
      <c r="DI48" s="47" t="n">
        <v>0</v>
      </c>
      <c r="DJ48" s="47" t="n">
        <v>0</v>
      </c>
      <c r="DK48" s="47" t="n">
        <v>0</v>
      </c>
      <c r="DL48" s="47" t="n">
        <v>0</v>
      </c>
      <c r="DM48" s="47" t="n">
        <v>0</v>
      </c>
      <c r="DN48" s="47" t="n">
        <v>0</v>
      </c>
      <c r="DO48" s="47" t="n">
        <v>0</v>
      </c>
      <c r="DP48" s="47" t="n">
        <v>0</v>
      </c>
      <c r="DQ48" s="47" t="n">
        <v>0</v>
      </c>
      <c r="DR48" s="47" t="n">
        <v>0</v>
      </c>
      <c r="DT48" s="46">
        <f>+F48-E48</f>
        <v/>
      </c>
      <c r="DU48" s="46">
        <f>+G48-F48</f>
        <v/>
      </c>
      <c r="DV48" s="46">
        <f>+H48-G48</f>
        <v/>
      </c>
      <c r="DW48" s="46">
        <f>+I48-H48</f>
        <v/>
      </c>
    </row>
    <row r="49" hidden="1" outlineLevel="1" ht="15.75" customHeight="1">
      <c r="B49" s="5" t="inlineStr">
        <is>
          <t>ACP</t>
        </is>
      </c>
      <c r="C49" s="68" t="inlineStr">
        <is>
          <t>Lower Middle Market</t>
        </is>
      </c>
      <c r="E49" s="46">
        <f>+SUMIFS($O49:$DR49,$O$7:$DR$7,E$7)</f>
        <v/>
      </c>
      <c r="F49" s="46">
        <f>+SUMIFS($O49:$DR49,$O$7:$DR$7,F$7)</f>
        <v/>
      </c>
      <c r="G49" s="46">
        <f>+SUMIFS($O49:$DR49,$O$7:$DR$7,G$7)</f>
        <v/>
      </c>
      <c r="H49" s="46">
        <f>+SUMIFS($O49:$DR49,$O$7:$DR$7,H$7)</f>
        <v/>
      </c>
      <c r="I49" s="46">
        <f>+SUMIFS($O49:$DR49,$O$7:$DR$7,I$7)</f>
        <v/>
      </c>
      <c r="J49" s="46">
        <f>+SUMIFS($O49:$DR49,$O$7:$DR$7,J$7)</f>
        <v/>
      </c>
      <c r="K49" s="46">
        <f>+SUMIFS($O49:$DR49,$O$7:$DR$7,K$7)</f>
        <v/>
      </c>
      <c r="L49" s="46">
        <f>+SUMIFS($O49:$DR49,$O$7:$DR$7,L$7)</f>
        <v/>
      </c>
      <c r="M49" s="46">
        <f>+SUMIFS($O49:$DR49,$O$7:$DR$7,M$7)</f>
        <v/>
      </c>
      <c r="O49" s="47" t="n">
        <v>17.894</v>
      </c>
      <c r="P49" s="47" t="n">
        <v>17.894</v>
      </c>
      <c r="Q49" s="47" t="n">
        <v>17.894</v>
      </c>
      <c r="R49" s="47" t="n">
        <v>17.894</v>
      </c>
      <c r="S49" s="47" t="n">
        <v>18.098</v>
      </c>
      <c r="T49" s="47" t="n">
        <v>18.302</v>
      </c>
      <c r="U49" s="47" t="n">
        <v>18.302</v>
      </c>
      <c r="V49" s="47" t="n">
        <v>18.302</v>
      </c>
      <c r="W49" s="47" t="n">
        <v>14.969</v>
      </c>
      <c r="X49" s="47" t="n">
        <v>12.052</v>
      </c>
      <c r="Y49" s="47" t="n">
        <v>12.052</v>
      </c>
      <c r="Z49" s="47" t="n">
        <v>12.052</v>
      </c>
      <c r="AA49" s="47" t="n">
        <v>12.052</v>
      </c>
      <c r="AB49" s="47" t="n">
        <v>12.052</v>
      </c>
      <c r="AC49" s="47" t="n">
        <v>12.051</v>
      </c>
      <c r="AD49" s="47" t="n">
        <v>12.051</v>
      </c>
      <c r="AE49" s="47" t="n">
        <v>12.248</v>
      </c>
      <c r="AF49" s="47" t="n">
        <v>12.445</v>
      </c>
      <c r="AG49" s="47" t="n">
        <v>12.445</v>
      </c>
      <c r="AH49" s="47" t="n">
        <v>12.445</v>
      </c>
      <c r="AI49" s="47" t="n">
        <v>12.445</v>
      </c>
      <c r="AJ49" s="47" t="n">
        <v>12.445</v>
      </c>
      <c r="AK49" s="47" t="n">
        <v>12.445</v>
      </c>
      <c r="AL49" s="47" t="n">
        <v>12.445</v>
      </c>
      <c r="AM49" s="47" t="n">
        <v>12.445</v>
      </c>
      <c r="AN49" s="47" t="n">
        <v>12.445</v>
      </c>
      <c r="AO49" s="47" t="n">
        <v>12.445</v>
      </c>
      <c r="AP49" s="47" t="n">
        <v>12.445</v>
      </c>
      <c r="AQ49" s="47" t="n">
        <v>6.223</v>
      </c>
      <c r="AR49" s="47" t="n">
        <v>0</v>
      </c>
      <c r="AS49" s="47" t="n">
        <v>0</v>
      </c>
      <c r="AT49" s="47" t="n">
        <v>0</v>
      </c>
      <c r="AU49" s="47" t="n">
        <v>0</v>
      </c>
      <c r="AV49" s="47" t="n">
        <v>0</v>
      </c>
      <c r="AW49" s="47" t="n">
        <v>0</v>
      </c>
      <c r="AX49" s="47" t="n">
        <v>0</v>
      </c>
      <c r="AY49" s="47" t="n">
        <v>0</v>
      </c>
      <c r="AZ49" s="47" t="n">
        <v>0</v>
      </c>
      <c r="BA49" s="47" t="n">
        <v>0</v>
      </c>
      <c r="BB49" s="47" t="n">
        <v>0</v>
      </c>
      <c r="BC49" s="47" t="n">
        <v>0</v>
      </c>
      <c r="BD49" s="47" t="n">
        <v>0</v>
      </c>
      <c r="BE49" s="47" t="n">
        <v>0</v>
      </c>
      <c r="BF49" s="47" t="n">
        <v>0</v>
      </c>
      <c r="BG49" s="47" t="n">
        <v>0</v>
      </c>
      <c r="BH49" s="47" t="n">
        <v>0</v>
      </c>
      <c r="BI49" s="47" t="n">
        <v>0</v>
      </c>
      <c r="BJ49" s="47" t="n">
        <v>0</v>
      </c>
      <c r="BK49" s="47" t="n">
        <v>0</v>
      </c>
      <c r="BL49" s="47" t="n">
        <v>0</v>
      </c>
      <c r="BM49" s="47" t="n">
        <v>0</v>
      </c>
      <c r="BN49" s="47" t="n">
        <v>0</v>
      </c>
      <c r="BO49" s="47" t="n">
        <v>0</v>
      </c>
      <c r="BP49" s="47" t="n">
        <v>0</v>
      </c>
      <c r="BQ49" s="47" t="n">
        <v>0</v>
      </c>
      <c r="BR49" s="47" t="n">
        <v>0</v>
      </c>
      <c r="BS49" s="47" t="n">
        <v>0</v>
      </c>
      <c r="BT49" s="47" t="n">
        <v>0</v>
      </c>
      <c r="BU49" s="47" t="n">
        <v>0</v>
      </c>
      <c r="BV49" s="47" t="n">
        <v>0</v>
      </c>
      <c r="BW49" s="47" t="n">
        <v>0</v>
      </c>
      <c r="BX49" s="47" t="n">
        <v>0</v>
      </c>
      <c r="BY49" s="47" t="n">
        <v>0</v>
      </c>
      <c r="BZ49" s="47" t="n">
        <v>0</v>
      </c>
      <c r="CA49" s="47" t="n">
        <v>0</v>
      </c>
      <c r="CB49" s="47" t="n">
        <v>0</v>
      </c>
      <c r="CC49" s="47" t="n">
        <v>0</v>
      </c>
      <c r="CD49" s="47" t="n">
        <v>0</v>
      </c>
      <c r="CE49" s="47" t="n">
        <v>0</v>
      </c>
      <c r="CF49" s="47" t="n">
        <v>0</v>
      </c>
      <c r="CG49" s="47" t="n">
        <v>0</v>
      </c>
      <c r="CH49" s="47" t="n">
        <v>0</v>
      </c>
      <c r="CI49" s="47" t="n">
        <v>0</v>
      </c>
      <c r="CJ49" s="47" t="n">
        <v>0</v>
      </c>
      <c r="CK49" s="47" t="n">
        <v>0</v>
      </c>
      <c r="CL49" s="47" t="n">
        <v>0</v>
      </c>
      <c r="CM49" s="47" t="n">
        <v>0</v>
      </c>
      <c r="CN49" s="47" t="n">
        <v>0</v>
      </c>
      <c r="CO49" s="47" t="n">
        <v>0</v>
      </c>
      <c r="CP49" s="47" t="n">
        <v>0</v>
      </c>
      <c r="CQ49" s="47" t="n">
        <v>0</v>
      </c>
      <c r="CR49" s="47" t="n">
        <v>0</v>
      </c>
      <c r="CS49" s="47" t="n">
        <v>0</v>
      </c>
      <c r="CT49" s="47" t="n">
        <v>0</v>
      </c>
      <c r="CU49" s="47" t="n">
        <v>0</v>
      </c>
      <c r="CV49" s="47" t="n">
        <v>0</v>
      </c>
      <c r="CW49" s="47" t="n">
        <v>0</v>
      </c>
      <c r="CX49" s="47" t="n">
        <v>0</v>
      </c>
      <c r="CY49" s="47" t="n">
        <v>0</v>
      </c>
      <c r="CZ49" s="47" t="n">
        <v>0</v>
      </c>
      <c r="DA49" s="47" t="n">
        <v>0</v>
      </c>
      <c r="DB49" s="47" t="n">
        <v>0</v>
      </c>
      <c r="DC49" s="47" t="n">
        <v>0</v>
      </c>
      <c r="DD49" s="47" t="n">
        <v>0</v>
      </c>
      <c r="DE49" s="47" t="n">
        <v>0</v>
      </c>
      <c r="DF49" s="47" t="n">
        <v>0</v>
      </c>
      <c r="DG49" s="47" t="n">
        <v>0</v>
      </c>
      <c r="DH49" s="47" t="n">
        <v>0</v>
      </c>
      <c r="DI49" s="47" t="n">
        <v>0</v>
      </c>
      <c r="DJ49" s="47" t="n">
        <v>0</v>
      </c>
      <c r="DK49" s="47" t="n">
        <v>0</v>
      </c>
      <c r="DL49" s="47" t="n">
        <v>0</v>
      </c>
      <c r="DM49" s="47" t="n">
        <v>0</v>
      </c>
      <c r="DN49" s="47" t="n">
        <v>0</v>
      </c>
      <c r="DO49" s="47" t="n">
        <v>0</v>
      </c>
      <c r="DP49" s="47" t="n">
        <v>0</v>
      </c>
      <c r="DQ49" s="47" t="n">
        <v>0</v>
      </c>
      <c r="DR49" s="47" t="n">
        <v>0</v>
      </c>
      <c r="DT49" s="46">
        <f>+F49-E49</f>
        <v/>
      </c>
      <c r="DU49" s="46">
        <f>+G49-F49</f>
        <v/>
      </c>
      <c r="DV49" s="46">
        <f>+H49-G49</f>
        <v/>
      </c>
      <c r="DW49" s="46">
        <f>+I49-H49</f>
        <v/>
      </c>
    </row>
    <row r="50" hidden="1" outlineLevel="1" ht="15.75" customHeight="1">
      <c r="B50" s="5" t="inlineStr">
        <is>
          <t>AOA</t>
        </is>
      </c>
      <c r="C50" s="68" t="inlineStr">
        <is>
          <t>Lower Middle Market</t>
        </is>
      </c>
      <c r="E50" s="46">
        <f>+SUMIFS($O50:$DR50,$O$7:$DR$7,E$7)</f>
        <v/>
      </c>
      <c r="F50" s="46">
        <f>+SUMIFS($O50:$DR50,$O$7:$DR$7,F$7)</f>
        <v/>
      </c>
      <c r="G50" s="46">
        <f>+SUMIFS($O50:$DR50,$O$7:$DR$7,G$7)</f>
        <v/>
      </c>
      <c r="H50" s="46">
        <f>+SUMIFS($O50:$DR50,$O$7:$DR$7,H$7)</f>
        <v/>
      </c>
      <c r="I50" s="46">
        <f>+SUMIFS($O50:$DR50,$O$7:$DR$7,I$7)</f>
        <v/>
      </c>
      <c r="J50" s="46">
        <f>+SUMIFS($O50:$DR50,$O$7:$DR$7,J$7)</f>
        <v/>
      </c>
      <c r="K50" s="46">
        <f>+SUMIFS($O50:$DR50,$O$7:$DR$7,K$7)</f>
        <v/>
      </c>
      <c r="L50" s="46">
        <f>+SUMIFS($O50:$DR50,$O$7:$DR$7,L$7)</f>
        <v/>
      </c>
      <c r="M50" s="46">
        <f>+SUMIFS($O50:$DR50,$O$7:$DR$7,M$7)</f>
        <v/>
      </c>
      <c r="O50" s="47" t="n">
        <v>5.464</v>
      </c>
      <c r="P50" s="47" t="n">
        <v>5.463</v>
      </c>
      <c r="Q50" s="47" t="n">
        <v>5.463</v>
      </c>
      <c r="R50" s="47" t="n">
        <v>5.463</v>
      </c>
      <c r="S50" s="47" t="n">
        <v>5.463</v>
      </c>
      <c r="T50" s="47" t="n">
        <v>5.464</v>
      </c>
      <c r="U50" s="47" t="n">
        <v>5.464</v>
      </c>
      <c r="V50" s="47" t="n">
        <v>5.464</v>
      </c>
      <c r="W50" s="47" t="n">
        <v>5.464</v>
      </c>
      <c r="X50" s="47" t="n">
        <v>5.463</v>
      </c>
      <c r="Y50" s="47" t="n">
        <v>5.463</v>
      </c>
      <c r="Z50" s="47" t="n">
        <v>5.463</v>
      </c>
      <c r="AA50" s="47" t="n">
        <v>5.628</v>
      </c>
      <c r="AB50" s="47" t="n">
        <v>5.628</v>
      </c>
      <c r="AC50" s="47" t="n">
        <v>5.627</v>
      </c>
      <c r="AD50" s="47" t="n">
        <v>5.627</v>
      </c>
      <c r="AE50" s="47" t="n">
        <v>5.627</v>
      </c>
      <c r="AF50" s="47" t="n">
        <v>5.628</v>
      </c>
      <c r="AG50" s="47" t="n">
        <v>5.628</v>
      </c>
      <c r="AH50" s="47" t="n">
        <v>5.628</v>
      </c>
      <c r="AI50" s="47" t="n">
        <v>5.628</v>
      </c>
      <c r="AJ50" s="47" t="n">
        <v>5.628</v>
      </c>
      <c r="AK50" s="47" t="n">
        <v>5.628</v>
      </c>
      <c r="AL50" s="47" t="n">
        <v>5.628</v>
      </c>
      <c r="AM50" s="47" t="n">
        <v>5.796</v>
      </c>
      <c r="AN50" s="47" t="n">
        <v>5.796</v>
      </c>
      <c r="AO50" s="47" t="n">
        <v>5.796</v>
      </c>
      <c r="AP50" s="47" t="n">
        <v>5.796</v>
      </c>
      <c r="AQ50" s="47" t="n">
        <v>5.796</v>
      </c>
      <c r="AR50" s="47" t="n">
        <v>5.796</v>
      </c>
      <c r="AS50" s="47" t="n">
        <v>5.796</v>
      </c>
      <c r="AT50" s="47" t="n">
        <v>5.796</v>
      </c>
      <c r="AU50" s="47" t="n">
        <v>5.796</v>
      </c>
      <c r="AV50" s="47" t="n">
        <v>5.796</v>
      </c>
      <c r="AW50" s="47" t="n">
        <v>5.796</v>
      </c>
      <c r="AX50" s="47" t="n">
        <v>5.796</v>
      </c>
      <c r="AY50" s="47" t="n">
        <v>5.96988</v>
      </c>
      <c r="AZ50" s="47" t="n">
        <v>5.96988</v>
      </c>
      <c r="BA50" s="47" t="n">
        <v>5.96988</v>
      </c>
      <c r="BB50" s="47" t="n">
        <v>5.97</v>
      </c>
      <c r="BC50" s="47" t="n">
        <v>0</v>
      </c>
      <c r="BD50" s="47" t="n">
        <v>0</v>
      </c>
      <c r="BE50" s="47" t="n">
        <v>0</v>
      </c>
      <c r="BF50" s="47" t="n">
        <v>0</v>
      </c>
      <c r="BG50" s="47" t="n">
        <v>0</v>
      </c>
      <c r="BH50" s="47" t="n">
        <v>0</v>
      </c>
      <c r="BI50" s="47" t="n">
        <v>0</v>
      </c>
      <c r="BJ50" s="47" t="n">
        <v>0</v>
      </c>
      <c r="BK50" s="47" t="n">
        <v>0</v>
      </c>
      <c r="BL50" s="47" t="n">
        <v>0</v>
      </c>
      <c r="BM50" s="47" t="n">
        <v>0</v>
      </c>
      <c r="BN50" s="47" t="n">
        <v>0</v>
      </c>
      <c r="BO50" s="47" t="n">
        <v>0</v>
      </c>
      <c r="BP50" s="47" t="n">
        <v>0</v>
      </c>
      <c r="BQ50" s="47" t="n">
        <v>0</v>
      </c>
      <c r="BR50" s="47" t="n">
        <v>0</v>
      </c>
      <c r="BS50" s="47" t="n">
        <v>0</v>
      </c>
      <c r="BT50" s="47" t="n">
        <v>0</v>
      </c>
      <c r="BU50" s="47" t="n">
        <v>0</v>
      </c>
      <c r="BV50" s="47" t="n">
        <v>0</v>
      </c>
      <c r="BW50" s="47" t="n">
        <v>0</v>
      </c>
      <c r="BX50" s="47" t="n">
        <v>0</v>
      </c>
      <c r="BY50" s="47" t="n">
        <v>0</v>
      </c>
      <c r="BZ50" s="47" t="n">
        <v>0</v>
      </c>
      <c r="CA50" s="47" t="n">
        <v>0</v>
      </c>
      <c r="CB50" s="47" t="n">
        <v>0</v>
      </c>
      <c r="CC50" s="47" t="n">
        <v>0</v>
      </c>
      <c r="CD50" s="47" t="n">
        <v>0</v>
      </c>
      <c r="CE50" s="47" t="n">
        <v>0</v>
      </c>
      <c r="CF50" s="47" t="n">
        <v>0</v>
      </c>
      <c r="CG50" s="47" t="n">
        <v>0</v>
      </c>
      <c r="CH50" s="47" t="n">
        <v>0</v>
      </c>
      <c r="CI50" s="47" t="n">
        <v>0</v>
      </c>
      <c r="CJ50" s="47" t="n">
        <v>0</v>
      </c>
      <c r="CK50" s="47" t="n">
        <v>0</v>
      </c>
      <c r="CL50" s="47" t="n">
        <v>0</v>
      </c>
      <c r="CM50" s="47" t="n">
        <v>0</v>
      </c>
      <c r="CN50" s="47" t="n">
        <v>0</v>
      </c>
      <c r="CO50" s="47" t="n">
        <v>0</v>
      </c>
      <c r="CP50" s="47" t="n">
        <v>0</v>
      </c>
      <c r="CQ50" s="47" t="n">
        <v>0</v>
      </c>
      <c r="CR50" s="47" t="n">
        <v>0</v>
      </c>
      <c r="CS50" s="47" t="n">
        <v>0</v>
      </c>
      <c r="CT50" s="47" t="n">
        <v>0</v>
      </c>
      <c r="CU50" s="47" t="n">
        <v>0</v>
      </c>
      <c r="CV50" s="47" t="n">
        <v>0</v>
      </c>
      <c r="CW50" s="47" t="n">
        <v>0</v>
      </c>
      <c r="CX50" s="47" t="n">
        <v>0</v>
      </c>
      <c r="CY50" s="47" t="n">
        <v>0</v>
      </c>
      <c r="CZ50" s="47" t="n">
        <v>0</v>
      </c>
      <c r="DA50" s="47" t="n">
        <v>0</v>
      </c>
      <c r="DB50" s="47" t="n">
        <v>0</v>
      </c>
      <c r="DC50" s="47" t="n">
        <v>0</v>
      </c>
      <c r="DD50" s="47" t="n">
        <v>0</v>
      </c>
      <c r="DE50" s="47" t="n">
        <v>0</v>
      </c>
      <c r="DF50" s="47" t="n">
        <v>0</v>
      </c>
      <c r="DG50" s="47" t="n">
        <v>0</v>
      </c>
      <c r="DH50" s="47" t="n">
        <v>0</v>
      </c>
      <c r="DI50" s="47" t="n">
        <v>0</v>
      </c>
      <c r="DJ50" s="47" t="n">
        <v>0</v>
      </c>
      <c r="DK50" s="47" t="n">
        <v>0</v>
      </c>
      <c r="DL50" s="47" t="n">
        <v>0</v>
      </c>
      <c r="DM50" s="47" t="n">
        <v>0</v>
      </c>
      <c r="DN50" s="47" t="n">
        <v>0</v>
      </c>
      <c r="DO50" s="47" t="n">
        <v>0</v>
      </c>
      <c r="DP50" s="47" t="n">
        <v>0</v>
      </c>
      <c r="DQ50" s="47" t="n">
        <v>0</v>
      </c>
      <c r="DR50" s="47" t="n">
        <v>0</v>
      </c>
      <c r="DT50" s="46">
        <f>+F50-E50</f>
        <v/>
      </c>
      <c r="DU50" s="46">
        <f>+G50-F50</f>
        <v/>
      </c>
      <c r="DV50" s="46">
        <f>+H50-G50</f>
        <v/>
      </c>
      <c r="DW50" s="46">
        <f>+I50-H50</f>
        <v/>
      </c>
    </row>
    <row r="51" hidden="1" outlineLevel="1" ht="15.75" customHeight="1">
      <c r="B51" s="5" t="inlineStr">
        <is>
          <t>ASHA</t>
        </is>
      </c>
      <c r="C51" s="68" t="inlineStr">
        <is>
          <t>Lower Middle Market</t>
        </is>
      </c>
      <c r="E51" s="46">
        <f>+SUMIFS($O51:$DR51,$O$7:$DR$7,E$7)</f>
        <v/>
      </c>
      <c r="F51" s="46">
        <f>+SUMIFS($O51:$DR51,$O$7:$DR$7,F$7)</f>
        <v/>
      </c>
      <c r="G51" s="46">
        <f>+SUMIFS($O51:$DR51,$O$7:$DR$7,G$7)</f>
        <v/>
      </c>
      <c r="H51" s="46">
        <f>+SUMIFS($O51:$DR51,$O$7:$DR$7,H$7)</f>
        <v/>
      </c>
      <c r="I51" s="46">
        <f>+SUMIFS($O51:$DR51,$O$7:$DR$7,I$7)</f>
        <v/>
      </c>
      <c r="J51" s="46">
        <f>+SUMIFS($O51:$DR51,$O$7:$DR$7,J$7)</f>
        <v/>
      </c>
      <c r="K51" s="46">
        <f>+SUMIFS($O51:$DR51,$O$7:$DR$7,K$7)</f>
        <v/>
      </c>
      <c r="L51" s="46">
        <f>+SUMIFS($O51:$DR51,$O$7:$DR$7,L$7)</f>
        <v/>
      </c>
      <c r="M51" s="46">
        <f>+SUMIFS($O51:$DR51,$O$7:$DR$7,M$7)</f>
        <v/>
      </c>
      <c r="O51" s="47" t="n">
        <v>24.411</v>
      </c>
      <c r="P51" s="47" t="n">
        <v>24.411</v>
      </c>
      <c r="Q51" s="47" t="n">
        <v>24.411</v>
      </c>
      <c r="R51" s="47" t="n">
        <v>24.411</v>
      </c>
      <c r="S51" s="47" t="n">
        <v>24.411</v>
      </c>
      <c r="T51" s="47" t="n">
        <v>24.412</v>
      </c>
      <c r="U51" s="47" t="n">
        <v>24.412</v>
      </c>
      <c r="V51" s="47" t="n">
        <v>24.412</v>
      </c>
      <c r="W51" s="47" t="n">
        <v>24.412</v>
      </c>
      <c r="X51" s="47" t="n">
        <v>24.411</v>
      </c>
      <c r="Y51" s="47" t="n">
        <v>24.412</v>
      </c>
      <c r="Z51" s="47" t="n">
        <v>24.412</v>
      </c>
      <c r="AA51" s="47" t="n">
        <v>0</v>
      </c>
      <c r="AB51" s="47" t="n">
        <v>0</v>
      </c>
      <c r="AC51" s="47" t="n">
        <v>0</v>
      </c>
      <c r="AD51" s="47" t="n">
        <v>0</v>
      </c>
      <c r="AE51" s="47" t="n">
        <v>0</v>
      </c>
      <c r="AF51" s="47" t="n">
        <v>0</v>
      </c>
      <c r="AG51" s="47" t="n">
        <v>0</v>
      </c>
      <c r="AH51" s="47" t="n">
        <v>0</v>
      </c>
      <c r="AI51" s="47" t="n">
        <v>0</v>
      </c>
      <c r="AJ51" s="47" t="n">
        <v>0</v>
      </c>
      <c r="AK51" s="47" t="n">
        <v>0</v>
      </c>
      <c r="AL51" s="47" t="n">
        <v>0</v>
      </c>
      <c r="AM51" s="47" t="n">
        <v>0</v>
      </c>
      <c r="AN51" s="47" t="n">
        <v>0</v>
      </c>
      <c r="AO51" s="47" t="n">
        <v>0</v>
      </c>
      <c r="AP51" s="47" t="n">
        <v>0</v>
      </c>
      <c r="AQ51" s="47" t="n">
        <v>0</v>
      </c>
      <c r="AR51" s="47" t="n">
        <v>0</v>
      </c>
      <c r="AS51" s="47" t="n">
        <v>0</v>
      </c>
      <c r="AT51" s="47" t="n">
        <v>0</v>
      </c>
      <c r="AU51" s="47" t="n">
        <v>0</v>
      </c>
      <c r="AV51" s="47" t="n">
        <v>0</v>
      </c>
      <c r="AW51" s="47" t="n">
        <v>0</v>
      </c>
      <c r="AX51" s="47" t="n">
        <v>0</v>
      </c>
      <c r="AY51" s="47" t="n">
        <v>0</v>
      </c>
      <c r="AZ51" s="47" t="n">
        <v>0</v>
      </c>
      <c r="BA51" s="47" t="n">
        <v>0</v>
      </c>
      <c r="BB51" s="47" t="n">
        <v>0</v>
      </c>
      <c r="BC51" s="47" t="n">
        <v>0</v>
      </c>
      <c r="BD51" s="47" t="n">
        <v>0</v>
      </c>
      <c r="BE51" s="47" t="n">
        <v>0</v>
      </c>
      <c r="BF51" s="47" t="n">
        <v>0</v>
      </c>
      <c r="BG51" s="47" t="n">
        <v>0</v>
      </c>
      <c r="BH51" s="47" t="n">
        <v>0</v>
      </c>
      <c r="BI51" s="47" t="n">
        <v>0</v>
      </c>
      <c r="BJ51" s="47" t="n">
        <v>0</v>
      </c>
      <c r="BK51" s="47" t="n">
        <v>0</v>
      </c>
      <c r="BL51" s="47" t="n">
        <v>0</v>
      </c>
      <c r="BM51" s="47" t="n">
        <v>0</v>
      </c>
      <c r="BN51" s="47" t="n">
        <v>0</v>
      </c>
      <c r="BO51" s="47" t="n">
        <v>0</v>
      </c>
      <c r="BP51" s="47" t="n">
        <v>0</v>
      </c>
      <c r="BQ51" s="47" t="n">
        <v>0</v>
      </c>
      <c r="BR51" s="47" t="n">
        <v>0</v>
      </c>
      <c r="BS51" s="47" t="n">
        <v>0</v>
      </c>
      <c r="BT51" s="47" t="n">
        <v>0</v>
      </c>
      <c r="BU51" s="47" t="n">
        <v>0</v>
      </c>
      <c r="BV51" s="47" t="n">
        <v>0</v>
      </c>
      <c r="BW51" s="47" t="n">
        <v>0</v>
      </c>
      <c r="BX51" s="47" t="n">
        <v>0</v>
      </c>
      <c r="BY51" s="47" t="n">
        <v>0</v>
      </c>
      <c r="BZ51" s="47" t="n">
        <v>0</v>
      </c>
      <c r="CA51" s="47" t="n">
        <v>0</v>
      </c>
      <c r="CB51" s="47" t="n">
        <v>0</v>
      </c>
      <c r="CC51" s="47" t="n">
        <v>0</v>
      </c>
      <c r="CD51" s="47" t="n">
        <v>0</v>
      </c>
      <c r="CE51" s="47" t="n">
        <v>0</v>
      </c>
      <c r="CF51" s="47" t="n">
        <v>0</v>
      </c>
      <c r="CG51" s="47" t="n">
        <v>0</v>
      </c>
      <c r="CH51" s="47" t="n">
        <v>0</v>
      </c>
      <c r="CI51" s="47" t="n">
        <v>0</v>
      </c>
      <c r="CJ51" s="47" t="n">
        <v>0</v>
      </c>
      <c r="CK51" s="47" t="n">
        <v>0</v>
      </c>
      <c r="CL51" s="47" t="n">
        <v>0</v>
      </c>
      <c r="CM51" s="47" t="n">
        <v>0</v>
      </c>
      <c r="CN51" s="47" t="n">
        <v>0</v>
      </c>
      <c r="CO51" s="47" t="n">
        <v>0</v>
      </c>
      <c r="CP51" s="47" t="n">
        <v>0</v>
      </c>
      <c r="CQ51" s="47" t="n">
        <v>0</v>
      </c>
      <c r="CR51" s="47" t="n">
        <v>0</v>
      </c>
      <c r="CS51" s="47" t="n">
        <v>0</v>
      </c>
      <c r="CT51" s="47" t="n">
        <v>0</v>
      </c>
      <c r="CU51" s="47" t="n">
        <v>0</v>
      </c>
      <c r="CV51" s="47" t="n">
        <v>0</v>
      </c>
      <c r="CW51" s="47" t="n">
        <v>0</v>
      </c>
      <c r="CX51" s="47" t="n">
        <v>0</v>
      </c>
      <c r="CY51" s="47" t="n">
        <v>0</v>
      </c>
      <c r="CZ51" s="47" t="n">
        <v>0</v>
      </c>
      <c r="DA51" s="47" t="n">
        <v>0</v>
      </c>
      <c r="DB51" s="47" t="n">
        <v>0</v>
      </c>
      <c r="DC51" s="47" t="n">
        <v>0</v>
      </c>
      <c r="DD51" s="47" t="n">
        <v>0</v>
      </c>
      <c r="DE51" s="47" t="n">
        <v>0</v>
      </c>
      <c r="DF51" s="47" t="n">
        <v>0</v>
      </c>
      <c r="DG51" s="47" t="n">
        <v>0</v>
      </c>
      <c r="DH51" s="47" t="n">
        <v>0</v>
      </c>
      <c r="DI51" s="47" t="n">
        <v>0</v>
      </c>
      <c r="DJ51" s="47" t="n">
        <v>0</v>
      </c>
      <c r="DK51" s="47" t="n">
        <v>0</v>
      </c>
      <c r="DL51" s="47" t="n">
        <v>0</v>
      </c>
      <c r="DM51" s="47" t="n">
        <v>0</v>
      </c>
      <c r="DN51" s="47" t="n">
        <v>0</v>
      </c>
      <c r="DO51" s="47" t="n">
        <v>0</v>
      </c>
      <c r="DP51" s="47" t="n">
        <v>0</v>
      </c>
      <c r="DQ51" s="47" t="n">
        <v>0</v>
      </c>
      <c r="DR51" s="47" t="n">
        <v>0</v>
      </c>
      <c r="DT51" s="46">
        <f>+F51-E51</f>
        <v/>
      </c>
      <c r="DU51" s="46">
        <f>+G51-F51</f>
        <v/>
      </c>
      <c r="DV51" s="46">
        <f>+H51-G51</f>
        <v/>
      </c>
      <c r="DW51" s="46">
        <f>+I51-H51</f>
        <v/>
      </c>
    </row>
    <row r="52" hidden="1" outlineLevel="1" ht="15.75" customHeight="1">
      <c r="B52" s="5" t="inlineStr">
        <is>
          <t>ECRI</t>
        </is>
      </c>
      <c r="C52" s="68" t="inlineStr">
        <is>
          <t>Lower Middle Market</t>
        </is>
      </c>
      <c r="E52" s="46">
        <f>+SUMIFS($O52:$DR52,$O$7:$DR$7,E$7)</f>
        <v/>
      </c>
      <c r="F52" s="46">
        <f>+SUMIFS($O52:$DR52,$O$7:$DR$7,F$7)</f>
        <v/>
      </c>
      <c r="G52" s="46">
        <f>+SUMIFS($O52:$DR52,$O$7:$DR$7,G$7)</f>
        <v/>
      </c>
      <c r="H52" s="46">
        <f>+SUMIFS($O52:$DR52,$O$7:$DR$7,H$7)</f>
        <v/>
      </c>
      <c r="I52" s="46">
        <f>+SUMIFS($O52:$DR52,$O$7:$DR$7,I$7)</f>
        <v/>
      </c>
      <c r="J52" s="46">
        <f>+SUMIFS($O52:$DR52,$O$7:$DR$7,J$7)</f>
        <v/>
      </c>
      <c r="K52" s="46">
        <f>+SUMIFS($O52:$DR52,$O$7:$DR$7,K$7)</f>
        <v/>
      </c>
      <c r="L52" s="46">
        <f>+SUMIFS($O52:$DR52,$O$7:$DR$7,L$7)</f>
        <v/>
      </c>
      <c r="M52" s="46">
        <f>+SUMIFS($O52:$DR52,$O$7:$DR$7,M$7)</f>
        <v/>
      </c>
      <c r="O52" s="47" t="n">
        <v>19.38</v>
      </c>
      <c r="P52" s="47" t="n">
        <v>19.38</v>
      </c>
      <c r="Q52" s="47" t="n">
        <v>19.38</v>
      </c>
      <c r="R52" s="47" t="n">
        <v>19.38</v>
      </c>
      <c r="S52" s="47" t="n">
        <v>19.38</v>
      </c>
      <c r="T52" s="47" t="n">
        <v>19.38</v>
      </c>
      <c r="U52" s="47" t="n">
        <v>16.113</v>
      </c>
      <c r="V52" s="47" t="n">
        <v>0</v>
      </c>
      <c r="W52" s="47" t="n">
        <v>0</v>
      </c>
      <c r="X52" s="47" t="n">
        <v>0</v>
      </c>
      <c r="Y52" s="47" t="n">
        <v>0</v>
      </c>
      <c r="Z52" s="47" t="n">
        <v>0</v>
      </c>
      <c r="AA52" s="47" t="n">
        <v>0</v>
      </c>
      <c r="AB52" s="47" t="n">
        <v>0</v>
      </c>
      <c r="AC52" s="47" t="n">
        <v>0</v>
      </c>
      <c r="AD52" s="47" t="n">
        <v>0</v>
      </c>
      <c r="AE52" s="47" t="n">
        <v>0</v>
      </c>
      <c r="AF52" s="47" t="n">
        <v>0</v>
      </c>
      <c r="AG52" s="47" t="n">
        <v>0</v>
      </c>
      <c r="AH52" s="47" t="n">
        <v>0</v>
      </c>
      <c r="AI52" s="47" t="n">
        <v>0</v>
      </c>
      <c r="AJ52" s="47" t="n">
        <v>0</v>
      </c>
      <c r="AK52" s="47" t="n">
        <v>0</v>
      </c>
      <c r="AL52" s="47" t="n">
        <v>0</v>
      </c>
      <c r="AM52" s="47" t="n">
        <v>0</v>
      </c>
      <c r="AN52" s="47" t="n">
        <v>0</v>
      </c>
      <c r="AO52" s="47" t="n">
        <v>0</v>
      </c>
      <c r="AP52" s="47" t="n">
        <v>0</v>
      </c>
      <c r="AQ52" s="47" t="n">
        <v>0</v>
      </c>
      <c r="AR52" s="47" t="n">
        <v>0</v>
      </c>
      <c r="AS52" s="47" t="n">
        <v>0</v>
      </c>
      <c r="AT52" s="47" t="n">
        <v>0</v>
      </c>
      <c r="AU52" s="47" t="n">
        <v>0</v>
      </c>
      <c r="AV52" s="47" t="n">
        <v>0</v>
      </c>
      <c r="AW52" s="47" t="n">
        <v>0</v>
      </c>
      <c r="AX52" s="47" t="n">
        <v>0</v>
      </c>
      <c r="AY52" s="47" t="n">
        <v>0</v>
      </c>
      <c r="AZ52" s="47" t="n">
        <v>0</v>
      </c>
      <c r="BA52" s="47" t="n">
        <v>0</v>
      </c>
      <c r="BB52" s="47" t="n">
        <v>0</v>
      </c>
      <c r="BC52" s="47" t="n">
        <v>0</v>
      </c>
      <c r="BD52" s="47" t="n">
        <v>0</v>
      </c>
      <c r="BE52" s="47" t="n">
        <v>0</v>
      </c>
      <c r="BF52" s="47" t="n">
        <v>0</v>
      </c>
      <c r="BG52" s="47" t="n">
        <v>0</v>
      </c>
      <c r="BH52" s="47" t="n">
        <v>0</v>
      </c>
      <c r="BI52" s="47" t="n">
        <v>0</v>
      </c>
      <c r="BJ52" s="47" t="n">
        <v>0</v>
      </c>
      <c r="BK52" s="47" t="n">
        <v>0</v>
      </c>
      <c r="BL52" s="47" t="n">
        <v>0</v>
      </c>
      <c r="BM52" s="47" t="n">
        <v>0</v>
      </c>
      <c r="BN52" s="47" t="n">
        <v>0</v>
      </c>
      <c r="BO52" s="47" t="n">
        <v>0</v>
      </c>
      <c r="BP52" s="47" t="n">
        <v>0</v>
      </c>
      <c r="BQ52" s="47" t="n">
        <v>0</v>
      </c>
      <c r="BR52" s="47" t="n">
        <v>0</v>
      </c>
      <c r="BS52" s="47" t="n">
        <v>0</v>
      </c>
      <c r="BT52" s="47" t="n">
        <v>0</v>
      </c>
      <c r="BU52" s="47" t="n">
        <v>0</v>
      </c>
      <c r="BV52" s="47" t="n">
        <v>0</v>
      </c>
      <c r="BW52" s="47" t="n">
        <v>0</v>
      </c>
      <c r="BX52" s="47" t="n">
        <v>0</v>
      </c>
      <c r="BY52" s="47" t="n">
        <v>0</v>
      </c>
      <c r="BZ52" s="47" t="n">
        <v>0</v>
      </c>
      <c r="CA52" s="47" t="n">
        <v>0</v>
      </c>
      <c r="CB52" s="47" t="n">
        <v>0</v>
      </c>
      <c r="CC52" s="47" t="n">
        <v>0</v>
      </c>
      <c r="CD52" s="47" t="n">
        <v>0</v>
      </c>
      <c r="CE52" s="47" t="n">
        <v>0</v>
      </c>
      <c r="CF52" s="47" t="n">
        <v>0</v>
      </c>
      <c r="CG52" s="47" t="n">
        <v>0</v>
      </c>
      <c r="CH52" s="47" t="n">
        <v>0</v>
      </c>
      <c r="CI52" s="47" t="n">
        <v>0</v>
      </c>
      <c r="CJ52" s="47" t="n">
        <v>0</v>
      </c>
      <c r="CK52" s="47" t="n">
        <v>0</v>
      </c>
      <c r="CL52" s="47" t="n">
        <v>0</v>
      </c>
      <c r="CM52" s="47" t="n">
        <v>0</v>
      </c>
      <c r="CN52" s="47" t="n">
        <v>0</v>
      </c>
      <c r="CO52" s="47" t="n">
        <v>0</v>
      </c>
      <c r="CP52" s="47" t="n">
        <v>0</v>
      </c>
      <c r="CQ52" s="47" t="n">
        <v>0</v>
      </c>
      <c r="CR52" s="47" t="n">
        <v>0</v>
      </c>
      <c r="CS52" s="47" t="n">
        <v>0</v>
      </c>
      <c r="CT52" s="47" t="n">
        <v>0</v>
      </c>
      <c r="CU52" s="47" t="n">
        <v>0</v>
      </c>
      <c r="CV52" s="47" t="n">
        <v>0</v>
      </c>
      <c r="CW52" s="47" t="n">
        <v>0</v>
      </c>
      <c r="CX52" s="47" t="n">
        <v>0</v>
      </c>
      <c r="CY52" s="47" t="n">
        <v>0</v>
      </c>
      <c r="CZ52" s="47" t="n">
        <v>0</v>
      </c>
      <c r="DA52" s="47" t="n">
        <v>0</v>
      </c>
      <c r="DB52" s="47" t="n">
        <v>0</v>
      </c>
      <c r="DC52" s="47" t="n">
        <v>0</v>
      </c>
      <c r="DD52" s="47" t="n">
        <v>0</v>
      </c>
      <c r="DE52" s="47" t="n">
        <v>0</v>
      </c>
      <c r="DF52" s="47" t="n">
        <v>0</v>
      </c>
      <c r="DG52" s="47" t="n">
        <v>0</v>
      </c>
      <c r="DH52" s="47" t="n">
        <v>0</v>
      </c>
      <c r="DI52" s="47" t="n">
        <v>0</v>
      </c>
      <c r="DJ52" s="47" t="n">
        <v>0</v>
      </c>
      <c r="DK52" s="47" t="n">
        <v>0</v>
      </c>
      <c r="DL52" s="47" t="n">
        <v>0</v>
      </c>
      <c r="DM52" s="47" t="n">
        <v>0</v>
      </c>
      <c r="DN52" s="47" t="n">
        <v>0</v>
      </c>
      <c r="DO52" s="47" t="n">
        <v>0</v>
      </c>
      <c r="DP52" s="47" t="n">
        <v>0</v>
      </c>
      <c r="DQ52" s="47" t="n">
        <v>0</v>
      </c>
      <c r="DR52" s="47" t="n">
        <v>0</v>
      </c>
      <c r="DT52" s="46">
        <f>+F52-E52</f>
        <v/>
      </c>
      <c r="DU52" s="46">
        <f>+G52-F52</f>
        <v/>
      </c>
      <c r="DV52" s="46">
        <f>+H52-G52</f>
        <v/>
      </c>
      <c r="DW52" s="46">
        <f>+I52-H52</f>
        <v/>
      </c>
    </row>
    <row r="53" hidden="1" outlineLevel="1" ht="15.75" customHeight="1">
      <c r="B53" s="5" t="inlineStr">
        <is>
          <t>PCOUK</t>
        </is>
      </c>
      <c r="C53" s="68" t="inlineStr">
        <is>
          <t>Lower Middle Market</t>
        </is>
      </c>
      <c r="E53" s="46">
        <f>+SUMIFS($O53:$DR53,$O$7:$DR$7,E$7)</f>
        <v/>
      </c>
      <c r="F53" s="46">
        <f>+SUMIFS($O53:$DR53,$O$7:$DR$7,F$7)</f>
        <v/>
      </c>
      <c r="G53" s="46">
        <f>+SUMIFS($O53:$DR53,$O$7:$DR$7,G$7)</f>
        <v/>
      </c>
      <c r="H53" s="46">
        <f>+SUMIFS($O53:$DR53,$O$7:$DR$7,H$7)</f>
        <v/>
      </c>
      <c r="I53" s="46">
        <f>+SUMIFS($O53:$DR53,$O$7:$DR$7,I$7)</f>
        <v/>
      </c>
      <c r="J53" s="46">
        <f>+SUMIFS($O53:$DR53,$O$7:$DR$7,J$7)</f>
        <v/>
      </c>
      <c r="K53" s="46">
        <f>+SUMIFS($O53:$DR53,$O$7:$DR$7,K$7)</f>
        <v/>
      </c>
      <c r="L53" s="46">
        <f>+SUMIFS($O53:$DR53,$O$7:$DR$7,L$7)</f>
        <v/>
      </c>
      <c r="M53" s="46">
        <f>+SUMIFS($O53:$DR53,$O$7:$DR$7,M$7)</f>
        <v/>
      </c>
      <c r="O53" s="47" t="n">
        <v>8.625</v>
      </c>
      <c r="P53" s="47" t="n">
        <v>8.625</v>
      </c>
      <c r="Q53" s="47" t="n">
        <v>8.625</v>
      </c>
      <c r="R53" s="47" t="n">
        <v>8.625</v>
      </c>
      <c r="S53" s="47" t="n">
        <v>8.625</v>
      </c>
      <c r="T53" s="47" t="n">
        <v>8.927</v>
      </c>
      <c r="U53" s="47" t="n">
        <v>8.927</v>
      </c>
      <c r="V53" s="47" t="n">
        <v>8.927</v>
      </c>
      <c r="W53" s="47" t="n">
        <v>8.927</v>
      </c>
      <c r="X53" s="47" t="n">
        <v>8.927</v>
      </c>
      <c r="Y53" s="47" t="n">
        <v>8.927</v>
      </c>
      <c r="Z53" s="47" t="n">
        <v>8.927</v>
      </c>
      <c r="AA53" s="47" t="n">
        <v>8.927</v>
      </c>
      <c r="AB53" s="47" t="n">
        <v>8.927</v>
      </c>
      <c r="AC53" s="47" t="n">
        <v>8.927</v>
      </c>
      <c r="AD53" s="47" t="n">
        <v>8.927</v>
      </c>
      <c r="AE53" s="47" t="n">
        <v>8.927</v>
      </c>
      <c r="AF53" s="47" t="n">
        <v>6.241</v>
      </c>
      <c r="AG53" s="47" t="n">
        <v>6.241</v>
      </c>
      <c r="AH53" s="47" t="n">
        <v>6.241</v>
      </c>
      <c r="AI53" s="47" t="n">
        <v>6.241</v>
      </c>
      <c r="AJ53" s="47" t="n">
        <v>6.241</v>
      </c>
      <c r="AK53" s="47" t="n">
        <v>6.241</v>
      </c>
      <c r="AL53" s="47" t="n">
        <v>6.241</v>
      </c>
      <c r="AM53" s="47" t="n">
        <v>6.249</v>
      </c>
      <c r="AN53" s="47" t="n">
        <v>6.249</v>
      </c>
      <c r="AO53" s="47" t="n">
        <v>6.249</v>
      </c>
      <c r="AP53" s="47" t="n">
        <v>6.249</v>
      </c>
      <c r="AQ53" s="47" t="n">
        <v>6.249</v>
      </c>
      <c r="AR53" s="47" t="n">
        <v>0</v>
      </c>
      <c r="AS53" s="47" t="n">
        <v>0</v>
      </c>
      <c r="AT53" s="47" t="n">
        <v>0</v>
      </c>
      <c r="AU53" s="47" t="n">
        <v>0</v>
      </c>
      <c r="AV53" s="47" t="n">
        <v>0</v>
      </c>
      <c r="AW53" s="47" t="n">
        <v>0</v>
      </c>
      <c r="AX53" s="47" t="n">
        <v>0</v>
      </c>
      <c r="AY53" s="47" t="n">
        <v>0</v>
      </c>
      <c r="AZ53" s="47" t="n">
        <v>0</v>
      </c>
      <c r="BA53" s="47" t="n">
        <v>0</v>
      </c>
      <c r="BB53" s="47" t="n">
        <v>0</v>
      </c>
      <c r="BC53" s="47" t="n">
        <v>0</v>
      </c>
      <c r="BD53" s="47" t="n">
        <v>0</v>
      </c>
      <c r="BE53" s="47" t="n">
        <v>0</v>
      </c>
      <c r="BF53" s="47" t="n">
        <v>0</v>
      </c>
      <c r="BG53" s="47" t="n">
        <v>0</v>
      </c>
      <c r="BH53" s="47" t="n">
        <v>0</v>
      </c>
      <c r="BI53" s="47" t="n">
        <v>0</v>
      </c>
      <c r="BJ53" s="47" t="n">
        <v>0</v>
      </c>
      <c r="BK53" s="47" t="n">
        <v>0</v>
      </c>
      <c r="BL53" s="47" t="n">
        <v>0</v>
      </c>
      <c r="BM53" s="47" t="n">
        <v>0</v>
      </c>
      <c r="BN53" s="47" t="n">
        <v>0</v>
      </c>
      <c r="BO53" s="47" t="n">
        <v>0</v>
      </c>
      <c r="BP53" s="47" t="n">
        <v>0</v>
      </c>
      <c r="BQ53" s="47" t="n">
        <v>0</v>
      </c>
      <c r="BR53" s="47" t="n">
        <v>0</v>
      </c>
      <c r="BS53" s="47" t="n">
        <v>0</v>
      </c>
      <c r="BT53" s="47" t="n">
        <v>0</v>
      </c>
      <c r="BU53" s="47" t="n">
        <v>0</v>
      </c>
      <c r="BV53" s="47" t="n">
        <v>0</v>
      </c>
      <c r="BW53" s="47" t="n">
        <v>0</v>
      </c>
      <c r="BX53" s="47" t="n">
        <v>0</v>
      </c>
      <c r="BY53" s="47" t="n">
        <v>0</v>
      </c>
      <c r="BZ53" s="47" t="n">
        <v>0</v>
      </c>
      <c r="CA53" s="47" t="n">
        <v>0</v>
      </c>
      <c r="CB53" s="47" t="n">
        <v>0</v>
      </c>
      <c r="CC53" s="47" t="n">
        <v>0</v>
      </c>
      <c r="CD53" s="47" t="n">
        <v>0</v>
      </c>
      <c r="CE53" s="47" t="n">
        <v>0</v>
      </c>
      <c r="CF53" s="47" t="n">
        <v>0</v>
      </c>
      <c r="CG53" s="47" t="n">
        <v>0</v>
      </c>
      <c r="CH53" s="47" t="n">
        <v>0</v>
      </c>
      <c r="CI53" s="47" t="n">
        <v>0</v>
      </c>
      <c r="CJ53" s="47" t="n">
        <v>0</v>
      </c>
      <c r="CK53" s="47" t="n">
        <v>0</v>
      </c>
      <c r="CL53" s="47" t="n">
        <v>0</v>
      </c>
      <c r="CM53" s="47" t="n">
        <v>0</v>
      </c>
      <c r="CN53" s="47" t="n">
        <v>0</v>
      </c>
      <c r="CO53" s="47" t="n">
        <v>0</v>
      </c>
      <c r="CP53" s="47" t="n">
        <v>0</v>
      </c>
      <c r="CQ53" s="47" t="n">
        <v>0</v>
      </c>
      <c r="CR53" s="47" t="n">
        <v>0</v>
      </c>
      <c r="CS53" s="47" t="n">
        <v>0</v>
      </c>
      <c r="CT53" s="47" t="n">
        <v>0</v>
      </c>
      <c r="CU53" s="47" t="n">
        <v>0</v>
      </c>
      <c r="CV53" s="47" t="n">
        <v>0</v>
      </c>
      <c r="CW53" s="47" t="n">
        <v>0</v>
      </c>
      <c r="CX53" s="47" t="n">
        <v>0</v>
      </c>
      <c r="CY53" s="47" t="n">
        <v>0</v>
      </c>
      <c r="CZ53" s="47" t="n">
        <v>0</v>
      </c>
      <c r="DA53" s="47" t="n">
        <v>0</v>
      </c>
      <c r="DB53" s="47" t="n">
        <v>0</v>
      </c>
      <c r="DC53" s="47" t="n">
        <v>0</v>
      </c>
      <c r="DD53" s="47" t="n">
        <v>0</v>
      </c>
      <c r="DE53" s="47" t="n">
        <v>0</v>
      </c>
      <c r="DF53" s="47" t="n">
        <v>0</v>
      </c>
      <c r="DG53" s="47" t="n">
        <v>0</v>
      </c>
      <c r="DH53" s="47" t="n">
        <v>0</v>
      </c>
      <c r="DI53" s="47" t="n">
        <v>0</v>
      </c>
      <c r="DJ53" s="47" t="n">
        <v>0</v>
      </c>
      <c r="DK53" s="47" t="n">
        <v>0</v>
      </c>
      <c r="DL53" s="47" t="n">
        <v>0</v>
      </c>
      <c r="DM53" s="47" t="n">
        <v>0</v>
      </c>
      <c r="DN53" s="47" t="n">
        <v>0</v>
      </c>
      <c r="DO53" s="47" t="n">
        <v>0</v>
      </c>
      <c r="DP53" s="47" t="n">
        <v>0</v>
      </c>
      <c r="DQ53" s="47" t="n">
        <v>0</v>
      </c>
      <c r="DR53" s="47" t="n">
        <v>0</v>
      </c>
      <c r="DT53" s="46">
        <f>+F53-E53</f>
        <v/>
      </c>
      <c r="DU53" s="46">
        <f>+G53-F53</f>
        <v/>
      </c>
      <c r="DV53" s="46">
        <f>+H53-G53</f>
        <v/>
      </c>
      <c r="DW53" s="46">
        <f>+I53-H53</f>
        <v/>
      </c>
    </row>
    <row r="54" hidden="1" outlineLevel="1" ht="15.75" customHeight="1">
      <c r="B54" s="5" t="inlineStr">
        <is>
          <t>TISTA</t>
        </is>
      </c>
      <c r="C54" s="68" t="inlineStr">
        <is>
          <t>Lower Middle Market</t>
        </is>
      </c>
      <c r="E54" s="46">
        <f>+SUMIFS($O54:$DR54,$O$7:$DR$7,E$7)</f>
        <v/>
      </c>
      <c r="F54" s="46">
        <f>+SUMIFS($O54:$DR54,$O$7:$DR$7,F$7)</f>
        <v/>
      </c>
      <c r="G54" s="46">
        <f>+SUMIFS($O54:$DR54,$O$7:$DR$7,G$7)</f>
        <v/>
      </c>
      <c r="H54" s="46">
        <f>+SUMIFS($O54:$DR54,$O$7:$DR$7,H$7)</f>
        <v/>
      </c>
      <c r="I54" s="46">
        <f>+SUMIFS($O54:$DR54,$O$7:$DR$7,I$7)</f>
        <v/>
      </c>
      <c r="J54" s="46">
        <f>+SUMIFS($O54:$DR54,$O$7:$DR$7,J$7)</f>
        <v/>
      </c>
      <c r="K54" s="46">
        <f>+SUMIFS($O54:$DR54,$O$7:$DR$7,K$7)</f>
        <v/>
      </c>
      <c r="L54" s="46">
        <f>+SUMIFS($O54:$DR54,$O$7:$DR$7,L$7)</f>
        <v/>
      </c>
      <c r="M54" s="46">
        <f>+SUMIFS($O54:$DR54,$O$7:$DR$7,M$7)</f>
        <v/>
      </c>
      <c r="O54" s="47" t="n">
        <v>0</v>
      </c>
      <c r="P54" s="47" t="n">
        <v>0</v>
      </c>
      <c r="Q54" s="47" t="n">
        <v>0</v>
      </c>
      <c r="R54" s="47" t="n">
        <v>0</v>
      </c>
      <c r="S54" s="47" t="n">
        <v>0</v>
      </c>
      <c r="T54" s="47" t="n">
        <v>0</v>
      </c>
      <c r="U54" s="47" t="n">
        <v>0</v>
      </c>
      <c r="V54" s="47" t="n">
        <v>3.071</v>
      </c>
      <c r="W54" s="47" t="n">
        <v>3.171</v>
      </c>
      <c r="X54" s="47" t="n">
        <v>3.171</v>
      </c>
      <c r="Y54" s="47" t="n">
        <v>3.171</v>
      </c>
      <c r="Z54" s="47" t="n">
        <v>3.171</v>
      </c>
      <c r="AA54" s="47" t="n">
        <v>3.171</v>
      </c>
      <c r="AB54" s="47" t="n">
        <v>3.171</v>
      </c>
      <c r="AC54" s="47" t="n">
        <v>3.171</v>
      </c>
      <c r="AD54" s="47" t="n">
        <v>3.171</v>
      </c>
      <c r="AE54" s="47" t="n">
        <v>3.171</v>
      </c>
      <c r="AF54" s="47" t="n">
        <v>3.171</v>
      </c>
      <c r="AG54" s="47" t="n">
        <v>3.171</v>
      </c>
      <c r="AH54" s="47" t="n">
        <v>3.171</v>
      </c>
      <c r="AI54" s="47" t="n">
        <v>3.171</v>
      </c>
      <c r="AJ54" s="47" t="n">
        <v>3.171</v>
      </c>
      <c r="AK54" s="47" t="n">
        <v>3.171</v>
      </c>
      <c r="AL54" s="47" t="n">
        <v>3.171</v>
      </c>
      <c r="AM54" s="47" t="n">
        <v>3.172</v>
      </c>
      <c r="AN54" s="47" t="n">
        <v>3.172</v>
      </c>
      <c r="AO54" s="47" t="n">
        <v>3.172</v>
      </c>
      <c r="AP54" s="47" t="n">
        <v>3.172</v>
      </c>
      <c r="AQ54" s="47" t="n">
        <v>3.172</v>
      </c>
      <c r="AR54" s="47" t="n">
        <v>3.172</v>
      </c>
      <c r="AS54" s="47" t="n">
        <v>3.172</v>
      </c>
      <c r="AT54" s="47" t="n">
        <v>3.172</v>
      </c>
      <c r="AU54" s="47" t="n">
        <v>3.172</v>
      </c>
      <c r="AV54" s="47" t="n">
        <v>3.172</v>
      </c>
      <c r="AW54" s="47" t="n">
        <v>3.171</v>
      </c>
      <c r="AX54" s="47" t="n">
        <v>3.171</v>
      </c>
      <c r="AY54" s="47" t="n">
        <v>3.172</v>
      </c>
      <c r="AZ54" s="47" t="n">
        <v>3.172</v>
      </c>
      <c r="BA54" s="47" t="n">
        <v>3.172</v>
      </c>
      <c r="BB54" s="47" t="n">
        <v>3.172</v>
      </c>
      <c r="BC54" s="47" t="n">
        <v>3.172</v>
      </c>
      <c r="BD54" s="47" t="n">
        <v>3.172</v>
      </c>
      <c r="BE54" s="47" t="n">
        <v>3.172</v>
      </c>
      <c r="BF54" s="47" t="n">
        <v>3.172</v>
      </c>
      <c r="BG54" s="47" t="n">
        <v>3.171</v>
      </c>
      <c r="BH54" s="47" t="n">
        <v>3.171</v>
      </c>
      <c r="BI54" s="47" t="n">
        <v>0</v>
      </c>
      <c r="BJ54" s="47" t="n">
        <v>0</v>
      </c>
      <c r="BK54" s="47" t="n">
        <v>0</v>
      </c>
      <c r="BL54" s="47" t="n">
        <v>0</v>
      </c>
      <c r="BM54" s="47" t="n">
        <v>0</v>
      </c>
      <c r="BN54" s="47" t="n">
        <v>0</v>
      </c>
      <c r="BO54" s="47" t="n">
        <v>0</v>
      </c>
      <c r="BP54" s="47" t="n">
        <v>0</v>
      </c>
      <c r="BQ54" s="47" t="n">
        <v>0</v>
      </c>
      <c r="BR54" s="47" t="n">
        <v>0</v>
      </c>
      <c r="BS54" s="47" t="n">
        <v>0</v>
      </c>
      <c r="BT54" s="47" t="n">
        <v>0</v>
      </c>
      <c r="BU54" s="47" t="n">
        <v>0</v>
      </c>
      <c r="BV54" s="47" t="n">
        <v>0</v>
      </c>
      <c r="BW54" s="47" t="n">
        <v>0</v>
      </c>
      <c r="BX54" s="47" t="n">
        <v>0</v>
      </c>
      <c r="BY54" s="47" t="n">
        <v>0</v>
      </c>
      <c r="BZ54" s="47" t="n">
        <v>0</v>
      </c>
      <c r="CA54" s="47" t="n">
        <v>0</v>
      </c>
      <c r="CB54" s="47" t="n">
        <v>0</v>
      </c>
      <c r="CC54" s="47" t="n">
        <v>0</v>
      </c>
      <c r="CD54" s="47" t="n">
        <v>0</v>
      </c>
      <c r="CE54" s="47" t="n">
        <v>0</v>
      </c>
      <c r="CF54" s="47" t="n">
        <v>0</v>
      </c>
      <c r="CG54" s="47" t="n">
        <v>0</v>
      </c>
      <c r="CH54" s="47" t="n">
        <v>0</v>
      </c>
      <c r="CI54" s="47" t="n">
        <v>0</v>
      </c>
      <c r="CJ54" s="47" t="n">
        <v>0</v>
      </c>
      <c r="CK54" s="47" t="n">
        <v>0</v>
      </c>
      <c r="CL54" s="47" t="n">
        <v>0</v>
      </c>
      <c r="CM54" s="47" t="n">
        <v>0</v>
      </c>
      <c r="CN54" s="47" t="n">
        <v>0</v>
      </c>
      <c r="CO54" s="47" t="n">
        <v>0</v>
      </c>
      <c r="CP54" s="47" t="n">
        <v>0</v>
      </c>
      <c r="CQ54" s="47" t="n">
        <v>0</v>
      </c>
      <c r="CR54" s="47" t="n">
        <v>0</v>
      </c>
      <c r="CS54" s="47" t="n">
        <v>0</v>
      </c>
      <c r="CT54" s="47" t="n">
        <v>0</v>
      </c>
      <c r="CU54" s="47" t="n">
        <v>0</v>
      </c>
      <c r="CV54" s="47" t="n">
        <v>0</v>
      </c>
      <c r="CW54" s="47" t="n">
        <v>0</v>
      </c>
      <c r="CX54" s="47" t="n">
        <v>0</v>
      </c>
      <c r="CY54" s="47" t="n">
        <v>0</v>
      </c>
      <c r="CZ54" s="47" t="n">
        <v>0</v>
      </c>
      <c r="DA54" s="47" t="n">
        <v>0</v>
      </c>
      <c r="DB54" s="47" t="n">
        <v>0</v>
      </c>
      <c r="DC54" s="47" t="n">
        <v>0</v>
      </c>
      <c r="DD54" s="47" t="n">
        <v>0</v>
      </c>
      <c r="DE54" s="47" t="n">
        <v>0</v>
      </c>
      <c r="DF54" s="47" t="n">
        <v>0</v>
      </c>
      <c r="DG54" s="47" t="n">
        <v>0</v>
      </c>
      <c r="DH54" s="47" t="n">
        <v>0</v>
      </c>
      <c r="DI54" s="47" t="n">
        <v>0</v>
      </c>
      <c r="DJ54" s="47" t="n">
        <v>0</v>
      </c>
      <c r="DK54" s="47" t="n">
        <v>0</v>
      </c>
      <c r="DL54" s="47" t="n">
        <v>0</v>
      </c>
      <c r="DM54" s="47" t="n">
        <v>0</v>
      </c>
      <c r="DN54" s="47" t="n">
        <v>0</v>
      </c>
      <c r="DO54" s="47" t="n">
        <v>0</v>
      </c>
      <c r="DP54" s="47" t="n">
        <v>0</v>
      </c>
      <c r="DQ54" s="47" t="n">
        <v>0</v>
      </c>
      <c r="DR54" s="47" t="n">
        <v>0</v>
      </c>
      <c r="DT54" s="46">
        <f>+F54-E54</f>
        <v/>
      </c>
      <c r="DU54" s="46">
        <f>+G54-F54</f>
        <v/>
      </c>
      <c r="DV54" s="46">
        <f>+H54-G54</f>
        <v/>
      </c>
      <c r="DW54" s="46">
        <f>+I54-H54</f>
        <v/>
      </c>
    </row>
    <row r="55" hidden="1" outlineLevel="1" ht="15.75" customHeight="1">
      <c r="B55" s="5" t="inlineStr">
        <is>
          <t>UCSF</t>
        </is>
      </c>
      <c r="C55" s="68" t="inlineStr">
        <is>
          <t>Upper Middle Market</t>
        </is>
      </c>
      <c r="E55" s="46">
        <f>+SUMIFS($O55:$DR55,$O$7:$DR$7,E$7)</f>
        <v/>
      </c>
      <c r="F55" s="46">
        <f>+SUMIFS($O55:$DR55,$O$7:$DR$7,F$7)</f>
        <v/>
      </c>
      <c r="G55" s="46">
        <f>+SUMIFS($O55:$DR55,$O$7:$DR$7,G$7)</f>
        <v/>
      </c>
      <c r="H55" s="46">
        <f>+SUMIFS($O55:$DR55,$O$7:$DR$7,H$7)</f>
        <v/>
      </c>
      <c r="I55" s="46">
        <f>+SUMIFS($O55:$DR55,$O$7:$DR$7,I$7)</f>
        <v/>
      </c>
      <c r="J55" s="46">
        <f>+SUMIFS($O55:$DR55,$O$7:$DR$7,J$7)</f>
        <v/>
      </c>
      <c r="K55" s="46">
        <f>+SUMIFS($O55:$DR55,$O$7:$DR$7,K$7)</f>
        <v/>
      </c>
      <c r="L55" s="46">
        <f>+SUMIFS($O55:$DR55,$O$7:$DR$7,L$7)</f>
        <v/>
      </c>
      <c r="M55" s="46">
        <f>+SUMIFS($O55:$DR55,$O$7:$DR$7,M$7)</f>
        <v/>
      </c>
      <c r="O55" s="47" t="n">
        <v>21.9</v>
      </c>
      <c r="P55" s="47" t="n">
        <v>21.9</v>
      </c>
      <c r="Q55" s="47" t="n">
        <v>21.9</v>
      </c>
      <c r="R55" s="47" t="n">
        <v>21.9</v>
      </c>
      <c r="S55" s="47" t="n">
        <v>21.9</v>
      </c>
      <c r="T55" s="47" t="n">
        <v>21.9</v>
      </c>
      <c r="U55" s="47" t="n">
        <v>21.9</v>
      </c>
      <c r="V55" s="47" t="n">
        <v>21.9</v>
      </c>
      <c r="W55" s="47" t="n">
        <v>21.9</v>
      </c>
      <c r="X55" s="47" t="n">
        <v>23.268</v>
      </c>
      <c r="Y55" s="47" t="n">
        <v>23.268</v>
      </c>
      <c r="Z55" s="47" t="n">
        <v>23.268</v>
      </c>
      <c r="AA55" s="47" t="n">
        <v>23.268</v>
      </c>
      <c r="AB55" s="47" t="n">
        <v>23.268</v>
      </c>
      <c r="AC55" s="47" t="n">
        <v>23.268</v>
      </c>
      <c r="AD55" s="47" t="n">
        <v>23.268</v>
      </c>
      <c r="AE55" s="47" t="n">
        <v>23.268</v>
      </c>
      <c r="AF55" s="47" t="n">
        <v>23.268</v>
      </c>
      <c r="AG55" s="47" t="n">
        <v>23.268</v>
      </c>
      <c r="AH55" s="47" t="n">
        <v>23.268</v>
      </c>
      <c r="AI55" s="47" t="n">
        <v>23.268</v>
      </c>
      <c r="AJ55" s="47" t="n">
        <v>0</v>
      </c>
      <c r="AK55" s="47" t="n">
        <v>0</v>
      </c>
      <c r="AL55" s="47" t="n">
        <v>0</v>
      </c>
      <c r="AM55" s="47" t="n">
        <v>0</v>
      </c>
      <c r="AN55" s="47" t="n">
        <v>0</v>
      </c>
      <c r="AO55" s="47" t="n">
        <v>0</v>
      </c>
      <c r="AP55" s="47" t="n">
        <v>0</v>
      </c>
      <c r="AQ55" s="47" t="n">
        <v>0</v>
      </c>
      <c r="AR55" s="47" t="n">
        <v>0</v>
      </c>
      <c r="AS55" s="47" t="n">
        <v>0</v>
      </c>
      <c r="AT55" s="47" t="n">
        <v>0</v>
      </c>
      <c r="AU55" s="47" t="n">
        <v>0</v>
      </c>
      <c r="AV55" s="47" t="n">
        <v>0</v>
      </c>
      <c r="AW55" s="47" t="n">
        <v>0</v>
      </c>
      <c r="AX55" s="47" t="n">
        <v>0</v>
      </c>
      <c r="AY55" s="47" t="n">
        <v>0</v>
      </c>
      <c r="AZ55" s="47" t="n">
        <v>0</v>
      </c>
      <c r="BA55" s="47" t="n">
        <v>0</v>
      </c>
      <c r="BB55" s="47" t="n">
        <v>0</v>
      </c>
      <c r="BC55" s="47" t="n">
        <v>0</v>
      </c>
      <c r="BD55" s="47" t="n">
        <v>0</v>
      </c>
      <c r="BE55" s="47" t="n">
        <v>0</v>
      </c>
      <c r="BF55" s="47" t="n">
        <v>0</v>
      </c>
      <c r="BG55" s="47" t="n">
        <v>0</v>
      </c>
      <c r="BH55" s="47" t="n">
        <v>0</v>
      </c>
      <c r="BI55" s="47" t="n">
        <v>0</v>
      </c>
      <c r="BJ55" s="47" t="n">
        <v>0</v>
      </c>
      <c r="BK55" s="47" t="n">
        <v>0</v>
      </c>
      <c r="BL55" s="47" t="n">
        <v>0</v>
      </c>
      <c r="BM55" s="47" t="n">
        <v>0</v>
      </c>
      <c r="BN55" s="47" t="n">
        <v>0</v>
      </c>
      <c r="BO55" s="47" t="n">
        <v>0</v>
      </c>
      <c r="BP55" s="47" t="n">
        <v>0</v>
      </c>
      <c r="BQ55" s="47" t="n">
        <v>0</v>
      </c>
      <c r="BR55" s="47" t="n">
        <v>0</v>
      </c>
      <c r="BS55" s="47" t="n">
        <v>0</v>
      </c>
      <c r="BT55" s="47" t="n">
        <v>0</v>
      </c>
      <c r="BU55" s="47" t="n">
        <v>0</v>
      </c>
      <c r="BV55" s="47" t="n">
        <v>0</v>
      </c>
      <c r="BW55" s="47" t="n">
        <v>0</v>
      </c>
      <c r="BX55" s="47" t="n">
        <v>0</v>
      </c>
      <c r="BY55" s="47" t="n">
        <v>0</v>
      </c>
      <c r="BZ55" s="47" t="n">
        <v>0</v>
      </c>
      <c r="CA55" s="47" t="n">
        <v>0</v>
      </c>
      <c r="CB55" s="47" t="n">
        <v>0</v>
      </c>
      <c r="CC55" s="47" t="n">
        <v>0</v>
      </c>
      <c r="CD55" s="47" t="n">
        <v>0</v>
      </c>
      <c r="CE55" s="47" t="n">
        <v>0</v>
      </c>
      <c r="CF55" s="47" t="n">
        <v>0</v>
      </c>
      <c r="CG55" s="47" t="n">
        <v>0</v>
      </c>
      <c r="CH55" s="47" t="n">
        <v>0</v>
      </c>
      <c r="CI55" s="47" t="n">
        <v>0</v>
      </c>
      <c r="CJ55" s="47" t="n">
        <v>0</v>
      </c>
      <c r="CK55" s="47" t="n">
        <v>0</v>
      </c>
      <c r="CL55" s="47" t="n">
        <v>0</v>
      </c>
      <c r="CM55" s="47" t="n">
        <v>0</v>
      </c>
      <c r="CN55" s="47" t="n">
        <v>0</v>
      </c>
      <c r="CO55" s="47" t="n">
        <v>0</v>
      </c>
      <c r="CP55" s="47" t="n">
        <v>0</v>
      </c>
      <c r="CQ55" s="47" t="n">
        <v>0</v>
      </c>
      <c r="CR55" s="47" t="n">
        <v>0</v>
      </c>
      <c r="CS55" s="47" t="n">
        <v>0</v>
      </c>
      <c r="CT55" s="47" t="n">
        <v>0</v>
      </c>
      <c r="CU55" s="47" t="n">
        <v>0</v>
      </c>
      <c r="CV55" s="47" t="n">
        <v>0</v>
      </c>
      <c r="CW55" s="47" t="n">
        <v>0</v>
      </c>
      <c r="CX55" s="47" t="n">
        <v>0</v>
      </c>
      <c r="CY55" s="47" t="n">
        <v>0</v>
      </c>
      <c r="CZ55" s="47" t="n">
        <v>0</v>
      </c>
      <c r="DA55" s="47" t="n">
        <v>0</v>
      </c>
      <c r="DB55" s="47" t="n">
        <v>0</v>
      </c>
      <c r="DC55" s="47" t="n">
        <v>0</v>
      </c>
      <c r="DD55" s="47" t="n">
        <v>0</v>
      </c>
      <c r="DE55" s="47" t="n">
        <v>0</v>
      </c>
      <c r="DF55" s="47" t="n">
        <v>0</v>
      </c>
      <c r="DG55" s="47" t="n">
        <v>0</v>
      </c>
      <c r="DH55" s="47" t="n">
        <v>0</v>
      </c>
      <c r="DI55" s="47" t="n">
        <v>0</v>
      </c>
      <c r="DJ55" s="47" t="n">
        <v>0</v>
      </c>
      <c r="DK55" s="47" t="n">
        <v>0</v>
      </c>
      <c r="DL55" s="47" t="n">
        <v>0</v>
      </c>
      <c r="DM55" s="47" t="n">
        <v>0</v>
      </c>
      <c r="DN55" s="47" t="n">
        <v>0</v>
      </c>
      <c r="DO55" s="47" t="n">
        <v>0</v>
      </c>
      <c r="DP55" s="47" t="n">
        <v>0</v>
      </c>
      <c r="DQ55" s="47" t="n">
        <v>0</v>
      </c>
      <c r="DR55" s="47" t="n">
        <v>0</v>
      </c>
      <c r="DT55" s="46">
        <f>+F55-E55</f>
        <v/>
      </c>
      <c r="DU55" s="46">
        <f>+G55-F55</f>
        <v/>
      </c>
      <c r="DV55" s="46">
        <f>+H55-G55</f>
        <v/>
      </c>
      <c r="DW55" s="46">
        <f>+I55-H55</f>
        <v/>
      </c>
    </row>
    <row r="56" hidden="1" outlineLevel="1" ht="15.75" customHeight="1">
      <c r="B56" s="5" t="inlineStr">
        <is>
          <t>OTHER</t>
        </is>
      </c>
      <c r="C56" s="68" t="inlineStr">
        <is>
          <t>Lower Middle Market</t>
        </is>
      </c>
      <c r="E56" s="46">
        <f>+SUMIFS($O56:$DR56,$O$7:$DR$7,E$7)</f>
        <v/>
      </c>
      <c r="F56" s="46">
        <f>+SUMIFS($O56:$DR56,$O$7:$DR$7,F$7)</f>
        <v/>
      </c>
      <c r="G56" s="46">
        <f>+SUMIFS($O56:$DR56,$O$7:$DR$7,G$7)</f>
        <v/>
      </c>
      <c r="H56" s="46">
        <f>+SUMIFS($O56:$DR56,$O$7:$DR$7,H$7)</f>
        <v/>
      </c>
      <c r="I56" s="46">
        <f>+SUMIFS($O56:$DR56,$O$7:$DR$7,I$7)</f>
        <v/>
      </c>
      <c r="J56" s="46">
        <f>+SUMIFS($O56:$DR56,$O$7:$DR$7,J$7)</f>
        <v/>
      </c>
      <c r="K56" s="46">
        <f>+SUMIFS($O56:$DR56,$O$7:$DR$7,K$7)</f>
        <v/>
      </c>
      <c r="L56" s="46">
        <f>+SUMIFS($O56:$DR56,$O$7:$DR$7,L$7)</f>
        <v/>
      </c>
      <c r="M56" s="46">
        <f>+SUMIFS($O56:$DR56,$O$7:$DR$7,M$7)</f>
        <v/>
      </c>
      <c r="O56" s="47" t="n">
        <v>0</v>
      </c>
      <c r="P56" s="47" t="n">
        <v>0</v>
      </c>
      <c r="Q56" s="47" t="n">
        <v>0</v>
      </c>
      <c r="R56" s="47" t="n">
        <v>0</v>
      </c>
      <c r="S56" s="47" t="n">
        <v>0</v>
      </c>
      <c r="T56" s="47" t="n">
        <v>0</v>
      </c>
      <c r="U56" s="47" t="n">
        <v>0</v>
      </c>
      <c r="V56" s="47" t="n">
        <v>0</v>
      </c>
      <c r="W56" s="47" t="n">
        <v>0</v>
      </c>
      <c r="X56" s="47" t="n">
        <v>0</v>
      </c>
      <c r="Y56" s="47" t="n">
        <v>0</v>
      </c>
      <c r="Z56" s="47" t="n">
        <v>0</v>
      </c>
      <c r="AA56" s="47" t="n">
        <v>0</v>
      </c>
      <c r="AB56" s="47" t="n">
        <v>0</v>
      </c>
      <c r="AC56" s="47" t="n">
        <v>0</v>
      </c>
      <c r="AD56" s="47" t="n">
        <v>0</v>
      </c>
      <c r="AE56" s="47" t="n">
        <v>0</v>
      </c>
      <c r="AF56" s="47" t="n">
        <v>0</v>
      </c>
      <c r="AG56" s="47" t="n">
        <v>0</v>
      </c>
      <c r="AH56" s="47" t="n">
        <v>0</v>
      </c>
      <c r="AI56" s="47" t="n">
        <v>0</v>
      </c>
      <c r="AJ56" s="47" t="n">
        <v>0</v>
      </c>
      <c r="AK56" s="47" t="n">
        <v>0</v>
      </c>
      <c r="AL56" s="47" t="n">
        <v>0</v>
      </c>
      <c r="AM56" s="47" t="n">
        <v>0</v>
      </c>
      <c r="AN56" s="47" t="n">
        <v>0</v>
      </c>
      <c r="AO56" s="47" t="n">
        <v>0</v>
      </c>
      <c r="AP56" s="47" t="n">
        <v>0</v>
      </c>
      <c r="AQ56" s="47" t="n">
        <v>0</v>
      </c>
      <c r="AR56" s="47" t="n">
        <v>0</v>
      </c>
      <c r="AS56" s="47" t="n">
        <v>0</v>
      </c>
      <c r="AT56" s="47" t="n">
        <v>0</v>
      </c>
      <c r="AU56" s="47" t="n">
        <v>0</v>
      </c>
      <c r="AV56" s="47" t="n">
        <v>0</v>
      </c>
      <c r="AW56" s="47" t="n">
        <v>0</v>
      </c>
      <c r="AX56" s="47" t="n">
        <v>0</v>
      </c>
      <c r="AY56" s="47" t="n">
        <v>0</v>
      </c>
      <c r="AZ56" s="47" t="n">
        <v>0</v>
      </c>
      <c r="BA56" s="47" t="n">
        <v>0</v>
      </c>
      <c r="BB56" s="47" t="n">
        <v>0</v>
      </c>
      <c r="BC56" s="47" t="n">
        <v>0</v>
      </c>
      <c r="BD56" s="47" t="n">
        <v>0</v>
      </c>
      <c r="BE56" s="47" t="n">
        <v>0</v>
      </c>
      <c r="BF56" s="47" t="n">
        <v>0</v>
      </c>
      <c r="BG56" s="47" t="n">
        <v>0</v>
      </c>
      <c r="BH56" s="47" t="n">
        <v>0</v>
      </c>
      <c r="BI56" s="47" t="n">
        <v>0</v>
      </c>
      <c r="BJ56" s="47" t="n">
        <v>0</v>
      </c>
      <c r="BK56" s="47" t="n">
        <v>0</v>
      </c>
      <c r="BL56" s="47" t="n">
        <v>0</v>
      </c>
      <c r="BM56" s="47" t="n">
        <v>0</v>
      </c>
      <c r="BN56" s="47" t="n">
        <v>0</v>
      </c>
      <c r="BO56" s="47" t="n">
        <v>0</v>
      </c>
      <c r="BP56" s="47" t="n">
        <v>0</v>
      </c>
      <c r="BQ56" s="47" t="n">
        <v>0</v>
      </c>
      <c r="BR56" s="47" t="n">
        <v>0</v>
      </c>
      <c r="BS56" s="47" t="n">
        <v>0</v>
      </c>
      <c r="BT56" s="47" t="n">
        <v>0</v>
      </c>
      <c r="BU56" s="47" t="n">
        <v>0</v>
      </c>
      <c r="BV56" s="47" t="n">
        <v>0</v>
      </c>
      <c r="BW56" s="47" t="n">
        <v>0</v>
      </c>
      <c r="BX56" s="47" t="n">
        <v>0</v>
      </c>
      <c r="BY56" s="47" t="n">
        <v>0</v>
      </c>
      <c r="BZ56" s="47" t="n">
        <v>0</v>
      </c>
      <c r="CA56" s="47" t="n">
        <v>0</v>
      </c>
      <c r="CB56" s="47" t="n">
        <v>0</v>
      </c>
      <c r="CC56" s="47" t="n">
        <v>0</v>
      </c>
      <c r="CD56" s="47" t="n">
        <v>0</v>
      </c>
      <c r="CE56" s="47" t="n">
        <v>0</v>
      </c>
      <c r="CF56" s="47" t="n">
        <v>0</v>
      </c>
      <c r="CG56" s="47" t="n">
        <v>0</v>
      </c>
      <c r="CH56" s="47" t="n">
        <v>0</v>
      </c>
      <c r="CI56" s="47" t="n">
        <v>0</v>
      </c>
      <c r="CJ56" s="47" t="n">
        <v>0</v>
      </c>
      <c r="CK56" s="47" t="n">
        <v>0</v>
      </c>
      <c r="CL56" s="47" t="n">
        <v>0</v>
      </c>
      <c r="CM56" s="47" t="n">
        <v>0</v>
      </c>
      <c r="CN56" s="47" t="n">
        <v>0</v>
      </c>
      <c r="CO56" s="47" t="n">
        <v>0</v>
      </c>
      <c r="CP56" s="47" t="n">
        <v>0</v>
      </c>
      <c r="CQ56" s="47" t="n">
        <v>0</v>
      </c>
      <c r="CR56" s="47" t="n">
        <v>0</v>
      </c>
      <c r="CS56" s="47" t="n">
        <v>0</v>
      </c>
      <c r="CT56" s="47" t="n">
        <v>0</v>
      </c>
      <c r="CU56" s="47" t="n">
        <v>0</v>
      </c>
      <c r="CV56" s="47" t="n">
        <v>0</v>
      </c>
      <c r="CW56" s="47" t="n">
        <v>0</v>
      </c>
      <c r="CX56" s="47" t="n">
        <v>0</v>
      </c>
      <c r="CY56" s="47" t="n">
        <v>0</v>
      </c>
      <c r="CZ56" s="47" t="n">
        <v>0</v>
      </c>
      <c r="DA56" s="47" t="n">
        <v>0</v>
      </c>
      <c r="DB56" s="47" t="n">
        <v>0</v>
      </c>
      <c r="DC56" s="47" t="n">
        <v>0</v>
      </c>
      <c r="DD56" s="47" t="n">
        <v>0</v>
      </c>
      <c r="DE56" s="47" t="n">
        <v>0</v>
      </c>
      <c r="DF56" s="47" t="n">
        <v>0</v>
      </c>
      <c r="DG56" s="47" t="n">
        <v>0</v>
      </c>
      <c r="DH56" s="47" t="n">
        <v>0</v>
      </c>
      <c r="DI56" s="47" t="n">
        <v>0</v>
      </c>
      <c r="DJ56" s="47" t="n">
        <v>0</v>
      </c>
      <c r="DK56" s="47" t="n">
        <v>0</v>
      </c>
      <c r="DL56" s="47" t="n">
        <v>0</v>
      </c>
      <c r="DM56" s="47" t="n">
        <v>0</v>
      </c>
      <c r="DN56" s="47" t="n">
        <v>0</v>
      </c>
      <c r="DO56" s="47" t="n">
        <v>0</v>
      </c>
      <c r="DP56" s="47" t="n">
        <v>0</v>
      </c>
      <c r="DQ56" s="47" t="n">
        <v>0</v>
      </c>
      <c r="DR56" s="47" t="n">
        <v>0</v>
      </c>
      <c r="DT56" s="46">
        <f>+F56-E56</f>
        <v/>
      </c>
      <c r="DU56" s="46">
        <f>+G56-F56</f>
        <v/>
      </c>
      <c r="DV56" s="46">
        <f>+H56-G56</f>
        <v/>
      </c>
      <c r="DW56" s="46">
        <f>+I56-H56</f>
        <v/>
      </c>
    </row>
    <row r="57" hidden="1" outlineLevel="1" ht="15.75" customHeight="1">
      <c r="B57" s="5" t="inlineStr">
        <is>
          <t>AAAS</t>
        </is>
      </c>
      <c r="C57" s="68" t="inlineStr">
        <is>
          <t>Lower Middle Market</t>
        </is>
      </c>
      <c r="E57" s="46">
        <f>+SUMIFS($O57:$DR57,$O$7:$DR$7,E$7)</f>
        <v/>
      </c>
      <c r="F57" s="46">
        <f>+SUMIFS($O57:$DR57,$O$7:$DR$7,F$7)</f>
        <v/>
      </c>
      <c r="G57" s="46">
        <f>+SUMIFS($O57:$DR57,$O$7:$DR$7,G$7)</f>
        <v/>
      </c>
      <c r="H57" s="46">
        <f>+SUMIFS($O57:$DR57,$O$7:$DR$7,H$7)</f>
        <v/>
      </c>
      <c r="I57" s="46">
        <f>+SUMIFS($O57:$DR57,$O$7:$DR$7,I$7)</f>
        <v/>
      </c>
      <c r="J57" s="46">
        <f>+SUMIFS($O57:$DR57,$O$7:$DR$7,J$7)</f>
        <v/>
      </c>
      <c r="K57" s="46">
        <f>+SUMIFS($O57:$DR57,$O$7:$DR$7,K$7)</f>
        <v/>
      </c>
      <c r="L57" s="46">
        <f>+SUMIFS($O57:$DR57,$O$7:$DR$7,L$7)</f>
        <v/>
      </c>
      <c r="M57" s="46">
        <f>+SUMIFS($O57:$DR57,$O$7:$DR$7,M$7)</f>
        <v/>
      </c>
      <c r="O57" s="47" t="n">
        <v>0</v>
      </c>
      <c r="P57" s="47" t="n">
        <v>0</v>
      </c>
      <c r="Q57" s="47" t="n">
        <v>0</v>
      </c>
      <c r="R57" s="47" t="n">
        <v>0</v>
      </c>
      <c r="S57" s="47" t="n">
        <v>0</v>
      </c>
      <c r="T57" s="47" t="n">
        <v>0</v>
      </c>
      <c r="U57" s="47" t="n">
        <v>0</v>
      </c>
      <c r="V57" s="47" t="n">
        <v>0</v>
      </c>
      <c r="W57" s="47" t="n">
        <v>0</v>
      </c>
      <c r="X57" s="47" t="n">
        <v>0</v>
      </c>
      <c r="Y57" s="47" t="n">
        <v>0</v>
      </c>
      <c r="Z57" s="47" t="n">
        <v>0</v>
      </c>
      <c r="AA57" s="47" t="n">
        <v>0</v>
      </c>
      <c r="AB57" s="47" t="n">
        <v>0</v>
      </c>
      <c r="AC57" s="47" t="n">
        <v>0</v>
      </c>
      <c r="AD57" s="47" t="n">
        <v>0</v>
      </c>
      <c r="AE57" s="47" t="n">
        <v>0</v>
      </c>
      <c r="AF57" s="47" t="n">
        <v>0</v>
      </c>
      <c r="AG57" s="47" t="n">
        <v>0</v>
      </c>
      <c r="AH57" s="47" t="n">
        <v>0</v>
      </c>
      <c r="AI57" s="47" t="n">
        <v>0</v>
      </c>
      <c r="AJ57" s="47" t="n">
        <v>0</v>
      </c>
      <c r="AK57" s="47" t="n">
        <v>0</v>
      </c>
      <c r="AL57" s="47" t="n">
        <v>0</v>
      </c>
      <c r="AM57" s="47" t="n">
        <v>0</v>
      </c>
      <c r="AN57" s="47" t="n">
        <v>0</v>
      </c>
      <c r="AO57" s="47" t="n">
        <v>0</v>
      </c>
      <c r="AP57" s="47" t="n">
        <v>0</v>
      </c>
      <c r="AQ57" s="47" t="n">
        <v>0</v>
      </c>
      <c r="AR57" s="47" t="n">
        <v>0</v>
      </c>
      <c r="AS57" s="47" t="n">
        <v>0</v>
      </c>
      <c r="AT57" s="47" t="n">
        <v>0</v>
      </c>
      <c r="AU57" s="47" t="n">
        <v>0</v>
      </c>
      <c r="AV57" s="47" t="n">
        <v>0</v>
      </c>
      <c r="AW57" s="47" t="n">
        <v>0</v>
      </c>
      <c r="AX57" s="47" t="n">
        <v>0</v>
      </c>
      <c r="AY57" s="47" t="n">
        <v>0</v>
      </c>
      <c r="AZ57" s="47" t="n">
        <v>0</v>
      </c>
      <c r="BA57" s="47" t="n">
        <v>0</v>
      </c>
      <c r="BB57" s="47" t="n">
        <v>0</v>
      </c>
      <c r="BC57" s="47" t="n">
        <v>0</v>
      </c>
      <c r="BD57" s="47" t="n">
        <v>0</v>
      </c>
      <c r="BE57" s="47" t="n">
        <v>0</v>
      </c>
      <c r="BF57" s="47" t="n">
        <v>0</v>
      </c>
      <c r="BG57" s="47" t="n">
        <v>0</v>
      </c>
      <c r="BH57" s="47" t="n">
        <v>0</v>
      </c>
      <c r="BI57" s="47" t="n">
        <v>0</v>
      </c>
      <c r="BJ57" s="47" t="n">
        <v>0</v>
      </c>
      <c r="BK57" s="47" t="n">
        <v>0</v>
      </c>
      <c r="BL57" s="47" t="n">
        <v>0</v>
      </c>
      <c r="BM57" s="47" t="n">
        <v>0</v>
      </c>
      <c r="BN57" s="47" t="n">
        <v>0</v>
      </c>
      <c r="BO57" s="47" t="n">
        <v>0</v>
      </c>
      <c r="BP57" s="47" t="n">
        <v>0</v>
      </c>
      <c r="BQ57" s="47" t="n">
        <v>0</v>
      </c>
      <c r="BR57" s="47" t="n">
        <v>0</v>
      </c>
      <c r="BS57" s="47" t="n">
        <v>0</v>
      </c>
      <c r="BT57" s="47" t="n">
        <v>0</v>
      </c>
      <c r="BU57" s="47" t="n">
        <v>0</v>
      </c>
      <c r="BV57" s="47" t="n">
        <v>0</v>
      </c>
      <c r="BW57" s="47" t="n">
        <v>0</v>
      </c>
      <c r="BX57" s="47" t="n">
        <v>0</v>
      </c>
      <c r="BY57" s="47" t="n">
        <v>0</v>
      </c>
      <c r="BZ57" s="47" t="n">
        <v>0</v>
      </c>
      <c r="CA57" s="47" t="n">
        <v>0</v>
      </c>
      <c r="CB57" s="47" t="n">
        <v>0</v>
      </c>
      <c r="CC57" s="47" t="n">
        <v>0</v>
      </c>
      <c r="CD57" s="47" t="n">
        <v>0</v>
      </c>
      <c r="CE57" s="47" t="n">
        <v>0</v>
      </c>
      <c r="CF57" s="47" t="n">
        <v>0</v>
      </c>
      <c r="CG57" s="47" t="n">
        <v>0</v>
      </c>
      <c r="CH57" s="47" t="n">
        <v>0</v>
      </c>
      <c r="CI57" s="47" t="n">
        <v>0</v>
      </c>
      <c r="CJ57" s="47" t="n">
        <v>0</v>
      </c>
      <c r="CK57" s="47" t="n">
        <v>0</v>
      </c>
      <c r="CL57" s="47" t="n">
        <v>0</v>
      </c>
      <c r="CM57" s="47" t="n">
        <v>0</v>
      </c>
      <c r="CN57" s="47" t="n">
        <v>0</v>
      </c>
      <c r="CO57" s="47" t="n">
        <v>0</v>
      </c>
      <c r="CP57" s="47" t="n">
        <v>0</v>
      </c>
      <c r="CQ57" s="47" t="n">
        <v>0</v>
      </c>
      <c r="CR57" s="47" t="n">
        <v>0</v>
      </c>
      <c r="CS57" s="47" t="n">
        <v>0</v>
      </c>
      <c r="CT57" s="47" t="n">
        <v>0</v>
      </c>
      <c r="CU57" s="47" t="n">
        <v>0</v>
      </c>
      <c r="CV57" s="47" t="n">
        <v>0</v>
      </c>
      <c r="CW57" s="47" t="n">
        <v>0</v>
      </c>
      <c r="CX57" s="47" t="n">
        <v>0</v>
      </c>
      <c r="CY57" s="47" t="n">
        <v>0</v>
      </c>
      <c r="CZ57" s="47" t="n">
        <v>0</v>
      </c>
      <c r="DA57" s="47" t="n">
        <v>0</v>
      </c>
      <c r="DB57" s="47" t="n">
        <v>0</v>
      </c>
      <c r="DC57" s="47" t="n">
        <v>0</v>
      </c>
      <c r="DD57" s="47" t="n">
        <v>0</v>
      </c>
      <c r="DE57" s="47" t="n">
        <v>0</v>
      </c>
      <c r="DF57" s="47" t="n">
        <v>0</v>
      </c>
      <c r="DG57" s="47" t="n">
        <v>0</v>
      </c>
      <c r="DH57" s="47" t="n">
        <v>0</v>
      </c>
      <c r="DI57" s="47" t="n">
        <v>0</v>
      </c>
      <c r="DJ57" s="47" t="n">
        <v>0</v>
      </c>
      <c r="DK57" s="47" t="n">
        <v>0</v>
      </c>
      <c r="DL57" s="47" t="n">
        <v>0</v>
      </c>
      <c r="DM57" s="47" t="n">
        <v>0</v>
      </c>
      <c r="DN57" s="47" t="n">
        <v>0</v>
      </c>
      <c r="DO57" s="47" t="n">
        <v>0</v>
      </c>
      <c r="DP57" s="47" t="n">
        <v>0</v>
      </c>
      <c r="DQ57" s="47" t="n">
        <v>0</v>
      </c>
      <c r="DR57" s="47" t="n">
        <v>0</v>
      </c>
      <c r="DT57" s="46">
        <f>+F57-E57</f>
        <v/>
      </c>
      <c r="DU57" s="46">
        <f>+G57-F57</f>
        <v/>
      </c>
      <c r="DV57" s="46">
        <f>+H57-G57</f>
        <v/>
      </c>
      <c r="DW57" s="46">
        <f>+I57-H57</f>
        <v/>
      </c>
    </row>
    <row r="58" hidden="1" outlineLevel="1" ht="15.75" customHeight="1">
      <c r="B58" s="5" t="inlineStr">
        <is>
          <t>EL</t>
        </is>
      </c>
      <c r="C58" s="68" t="inlineStr">
        <is>
          <t>Lower Middle Market</t>
        </is>
      </c>
      <c r="E58" s="46">
        <f>+SUMIFS($O58:$DR58,$O$7:$DR$7,E$7)</f>
        <v/>
      </c>
      <c r="F58" s="46">
        <f>+SUMIFS($O58:$DR58,$O$7:$DR$7,F$7)</f>
        <v/>
      </c>
      <c r="G58" s="46">
        <f>+SUMIFS($O58:$DR58,$O$7:$DR$7,G$7)</f>
        <v/>
      </c>
      <c r="H58" s="46">
        <f>+SUMIFS($O58:$DR58,$O$7:$DR$7,H$7)</f>
        <v/>
      </c>
      <c r="I58" s="46">
        <f>+SUMIFS($O58:$DR58,$O$7:$DR$7,I$7)</f>
        <v/>
      </c>
      <c r="J58" s="46">
        <f>+SUMIFS($O58:$DR58,$O$7:$DR$7,J$7)</f>
        <v/>
      </c>
      <c r="K58" s="46">
        <f>+SUMIFS($O58:$DR58,$O$7:$DR$7,K$7)</f>
        <v/>
      </c>
      <c r="L58" s="46">
        <f>+SUMIFS($O58:$DR58,$O$7:$DR$7,L$7)</f>
        <v/>
      </c>
      <c r="M58" s="46">
        <f>+SUMIFS($O58:$DR58,$O$7:$DR$7,M$7)</f>
        <v/>
      </c>
      <c r="O58" s="47" t="n">
        <v>0</v>
      </c>
      <c r="P58" s="47" t="n">
        <v>0</v>
      </c>
      <c r="Q58" s="47" t="n">
        <v>0</v>
      </c>
      <c r="R58" s="47" t="n">
        <v>0</v>
      </c>
      <c r="S58" s="47" t="n">
        <v>0</v>
      </c>
      <c r="T58" s="47" t="n">
        <v>0</v>
      </c>
      <c r="U58" s="47" t="n">
        <v>0</v>
      </c>
      <c r="V58" s="47" t="n">
        <v>0</v>
      </c>
      <c r="W58" s="47" t="n">
        <v>0</v>
      </c>
      <c r="X58" s="47" t="n">
        <v>0</v>
      </c>
      <c r="Y58" s="47" t="n">
        <v>0</v>
      </c>
      <c r="Z58" s="47" t="n">
        <v>0</v>
      </c>
      <c r="AA58" s="47" t="n">
        <v>0</v>
      </c>
      <c r="AB58" s="47" t="n">
        <v>0</v>
      </c>
      <c r="AC58" s="47" t="n">
        <v>0</v>
      </c>
      <c r="AD58" s="47" t="n">
        <v>0</v>
      </c>
      <c r="AE58" s="47" t="n">
        <v>0</v>
      </c>
      <c r="AF58" s="47" t="n">
        <v>0</v>
      </c>
      <c r="AG58" s="47" t="n">
        <v>0</v>
      </c>
      <c r="AH58" s="47" t="n">
        <v>0</v>
      </c>
      <c r="AI58" s="47" t="n">
        <v>0</v>
      </c>
      <c r="AJ58" s="47" t="n">
        <v>0</v>
      </c>
      <c r="AK58" s="47" t="n">
        <v>0</v>
      </c>
      <c r="AL58" s="47" t="n">
        <v>0</v>
      </c>
      <c r="AM58" s="47" t="n">
        <v>0</v>
      </c>
      <c r="AN58" s="47" t="n">
        <v>0</v>
      </c>
      <c r="AO58" s="47" t="n">
        <v>0</v>
      </c>
      <c r="AP58" s="47" t="n">
        <v>0</v>
      </c>
      <c r="AQ58" s="47" t="n">
        <v>0</v>
      </c>
      <c r="AR58" s="47" t="n">
        <v>0</v>
      </c>
      <c r="AS58" s="47" t="n">
        <v>0</v>
      </c>
      <c r="AT58" s="47" t="n">
        <v>0</v>
      </c>
      <c r="AU58" s="47" t="n">
        <v>0</v>
      </c>
      <c r="AV58" s="47" t="n">
        <v>0</v>
      </c>
      <c r="AW58" s="47" t="n">
        <v>0</v>
      </c>
      <c r="AX58" s="47" t="n">
        <v>0</v>
      </c>
      <c r="AY58" s="47" t="n">
        <v>0</v>
      </c>
      <c r="AZ58" s="47" t="n">
        <v>0</v>
      </c>
      <c r="BA58" s="47" t="n">
        <v>0</v>
      </c>
      <c r="BB58" s="47" t="n">
        <v>0</v>
      </c>
      <c r="BC58" s="47" t="n">
        <v>0</v>
      </c>
      <c r="BD58" s="47" t="n">
        <v>0</v>
      </c>
      <c r="BE58" s="47" t="n">
        <v>0</v>
      </c>
      <c r="BF58" s="47" t="n">
        <v>0</v>
      </c>
      <c r="BG58" s="47" t="n">
        <v>0</v>
      </c>
      <c r="BH58" s="47" t="n">
        <v>0</v>
      </c>
      <c r="BI58" s="47" t="n">
        <v>0</v>
      </c>
      <c r="BJ58" s="47" t="n">
        <v>0</v>
      </c>
      <c r="BK58" s="47" t="n">
        <v>0</v>
      </c>
      <c r="BL58" s="47" t="n">
        <v>0</v>
      </c>
      <c r="BM58" s="47" t="n">
        <v>0</v>
      </c>
      <c r="BN58" s="47" t="n">
        <v>0</v>
      </c>
      <c r="BO58" s="47" t="n">
        <v>0</v>
      </c>
      <c r="BP58" s="47" t="n">
        <v>0</v>
      </c>
      <c r="BQ58" s="47" t="n">
        <v>0</v>
      </c>
      <c r="BR58" s="47" t="n">
        <v>0</v>
      </c>
      <c r="BS58" s="47" t="n">
        <v>0</v>
      </c>
      <c r="BT58" s="47" t="n">
        <v>0</v>
      </c>
      <c r="BU58" s="47" t="n">
        <v>0</v>
      </c>
      <c r="BV58" s="47" t="n">
        <v>0</v>
      </c>
      <c r="BW58" s="47" t="n">
        <v>0</v>
      </c>
      <c r="BX58" s="47" t="n">
        <v>0</v>
      </c>
      <c r="BY58" s="47" t="n">
        <v>0</v>
      </c>
      <c r="BZ58" s="47" t="n">
        <v>0</v>
      </c>
      <c r="CA58" s="47" t="n">
        <v>0</v>
      </c>
      <c r="CB58" s="47" t="n">
        <v>0</v>
      </c>
      <c r="CC58" s="47" t="n">
        <v>0</v>
      </c>
      <c r="CD58" s="47" t="n">
        <v>0</v>
      </c>
      <c r="CE58" s="47" t="n">
        <v>0</v>
      </c>
      <c r="CF58" s="47" t="n">
        <v>0</v>
      </c>
      <c r="CG58" s="47" t="n">
        <v>0</v>
      </c>
      <c r="CH58" s="47" t="n">
        <v>0</v>
      </c>
      <c r="CI58" s="47" t="n">
        <v>0</v>
      </c>
      <c r="CJ58" s="47" t="n">
        <v>0</v>
      </c>
      <c r="CK58" s="47" t="n">
        <v>0</v>
      </c>
      <c r="CL58" s="47" t="n">
        <v>0</v>
      </c>
      <c r="CM58" s="47" t="n">
        <v>0</v>
      </c>
      <c r="CN58" s="47" t="n">
        <v>0</v>
      </c>
      <c r="CO58" s="47" t="n">
        <v>0</v>
      </c>
      <c r="CP58" s="47" t="n">
        <v>0</v>
      </c>
      <c r="CQ58" s="47" t="n">
        <v>0</v>
      </c>
      <c r="CR58" s="47" t="n">
        <v>0</v>
      </c>
      <c r="CS58" s="47" t="n">
        <v>0</v>
      </c>
      <c r="CT58" s="47" t="n">
        <v>0</v>
      </c>
      <c r="CU58" s="47" t="n">
        <v>0</v>
      </c>
      <c r="CV58" s="47" t="n">
        <v>0</v>
      </c>
      <c r="CW58" s="47" t="n">
        <v>0</v>
      </c>
      <c r="CX58" s="47" t="n">
        <v>0</v>
      </c>
      <c r="CY58" s="47" t="n">
        <v>0</v>
      </c>
      <c r="CZ58" s="47" t="n">
        <v>0</v>
      </c>
      <c r="DA58" s="47" t="n">
        <v>0</v>
      </c>
      <c r="DB58" s="47" t="n">
        <v>0</v>
      </c>
      <c r="DC58" s="47" t="n">
        <v>0</v>
      </c>
      <c r="DD58" s="47" t="n">
        <v>0</v>
      </c>
      <c r="DE58" s="47" t="n">
        <v>0</v>
      </c>
      <c r="DF58" s="47" t="n">
        <v>0</v>
      </c>
      <c r="DG58" s="47" t="n">
        <v>0</v>
      </c>
      <c r="DH58" s="47" t="n">
        <v>0</v>
      </c>
      <c r="DI58" s="47" t="n">
        <v>0</v>
      </c>
      <c r="DJ58" s="47" t="n">
        <v>0</v>
      </c>
      <c r="DK58" s="47" t="n">
        <v>0</v>
      </c>
      <c r="DL58" s="47" t="n">
        <v>0</v>
      </c>
      <c r="DM58" s="47" t="n">
        <v>0</v>
      </c>
      <c r="DN58" s="47" t="n">
        <v>0</v>
      </c>
      <c r="DO58" s="47" t="n">
        <v>0</v>
      </c>
      <c r="DP58" s="47" t="n">
        <v>0</v>
      </c>
      <c r="DQ58" s="47" t="n">
        <v>0</v>
      </c>
      <c r="DR58" s="47" t="n">
        <v>0</v>
      </c>
      <c r="DT58" s="46">
        <f>+F58-E58</f>
        <v/>
      </c>
      <c r="DU58" s="46">
        <f>+G58-F58</f>
        <v/>
      </c>
      <c r="DV58" s="46">
        <f>+H58-G58</f>
        <v/>
      </c>
      <c r="DW58" s="46">
        <f>+I58-H58</f>
        <v/>
      </c>
    </row>
    <row r="59" hidden="1" outlineLevel="1" ht="4.5" customHeight="1"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  <c r="AQ59" s="47" t="n"/>
      <c r="AR59" s="47" t="n"/>
      <c r="AS59" s="47" t="n"/>
      <c r="AT59" s="47" t="n"/>
      <c r="AU59" s="47" t="n"/>
      <c r="AV59" s="47" t="n"/>
      <c r="AW59" s="47" t="n"/>
      <c r="AX59" s="47" t="n"/>
      <c r="AY59" s="47" t="n"/>
      <c r="AZ59" s="47" t="n"/>
      <c r="BA59" s="47" t="n"/>
      <c r="BB59" s="47" t="n"/>
      <c r="BC59" s="47" t="n"/>
      <c r="BD59" s="47" t="n"/>
      <c r="BE59" s="47" t="n"/>
      <c r="BF59" s="47" t="n"/>
      <c r="BG59" s="47" t="n"/>
      <c r="BH59" s="47" t="n"/>
      <c r="BI59" s="47" t="n"/>
      <c r="BJ59" s="47" t="n"/>
      <c r="BK59" s="47" t="n"/>
      <c r="BL59" s="47" t="n"/>
      <c r="BM59" s="47" t="n"/>
      <c r="BN59" s="47" t="n"/>
      <c r="BO59" s="47" t="n"/>
      <c r="BP59" s="47" t="n"/>
      <c r="BQ59" s="47" t="n"/>
      <c r="BR59" s="47" t="n"/>
      <c r="BS59" s="47" t="n"/>
      <c r="BT59" s="47" t="n"/>
      <c r="BU59" s="47" t="n"/>
      <c r="BV59" s="47" t="n"/>
      <c r="BW59" s="69" t="n"/>
      <c r="BX59" s="69" t="n"/>
      <c r="BY59" s="69" t="n"/>
      <c r="BZ59" s="69" t="n"/>
      <c r="CA59" s="69" t="n"/>
      <c r="CB59" s="69" t="n"/>
      <c r="CC59" s="69" t="n"/>
      <c r="CD59" s="69" t="n"/>
      <c r="CE59" s="69" t="n"/>
      <c r="CF59" s="69" t="n"/>
      <c r="CG59" s="69" t="n"/>
      <c r="CH59" s="69" t="n"/>
      <c r="CI59" s="69" t="n"/>
      <c r="CJ59" s="69" t="n"/>
      <c r="CK59" s="69" t="n"/>
      <c r="CL59" s="69" t="n"/>
      <c r="CM59" s="69" t="n"/>
      <c r="CN59" s="69" t="n"/>
      <c r="CO59" s="69" t="n"/>
      <c r="CP59" s="69" t="n"/>
      <c r="CQ59" s="69" t="n"/>
      <c r="CR59" s="69" t="n"/>
      <c r="CS59" s="69" t="n"/>
      <c r="CT59" s="69" t="n"/>
      <c r="CU59" s="69" t="n"/>
      <c r="CV59" s="69" t="n"/>
      <c r="CW59" s="69" t="n"/>
      <c r="CX59" s="69" t="n"/>
      <c r="CY59" s="69" t="n"/>
      <c r="CZ59" s="69" t="n"/>
      <c r="DA59" s="69" t="n"/>
      <c r="DB59" s="69" t="n"/>
      <c r="DC59" s="69" t="n"/>
      <c r="DD59" s="69" t="n"/>
      <c r="DE59" s="69" t="n"/>
      <c r="DF59" s="69" t="n"/>
      <c r="DG59" s="69" t="n"/>
      <c r="DH59" s="69" t="n"/>
      <c r="DI59" s="69" t="n"/>
      <c r="DJ59" s="69" t="n"/>
      <c r="DK59" s="69" t="n"/>
      <c r="DL59" s="69" t="n"/>
      <c r="DM59" s="69" t="n"/>
      <c r="DN59" s="69" t="n"/>
      <c r="DO59" s="69" t="n"/>
      <c r="DP59" s="69" t="n"/>
      <c r="DQ59" s="69" t="n"/>
      <c r="DR59" s="69" t="n"/>
      <c r="DT59" s="69" t="n"/>
      <c r="DU59" s="69" t="n"/>
      <c r="DV59" s="69" t="n"/>
      <c r="DW59" s="69" t="n"/>
    </row>
    <row r="60" hidden="1" outlineLevel="1" ht="15.75" customHeight="1">
      <c r="A60" s="4" t="n"/>
      <c r="B60" s="70" t="inlineStr">
        <is>
          <t>Total Revenue1</t>
        </is>
      </c>
      <c r="C60" s="70" t="n"/>
      <c r="D60" s="4" t="n"/>
      <c r="E60" s="51">
        <f>+SUMIFS($O60:$DR60,$O$7:$DR$7,E$7)</f>
        <v/>
      </c>
      <c r="F60" s="51">
        <f>+SUMIFS($O60:$DR60,$O$7:$DR$7,F$7)</f>
        <v/>
      </c>
      <c r="G60" s="51">
        <f>+SUMIFS($O60:$DR60,$O$7:$DR$7,G$7)</f>
        <v/>
      </c>
      <c r="H60" s="51">
        <f>+SUMIFS($O60:$DR60,$O$7:$DR$7,H$7)</f>
        <v/>
      </c>
      <c r="I60" s="51">
        <f>+SUMIFS($O60:$DR60,$O$7:$DR$7,I$7)</f>
        <v/>
      </c>
      <c r="J60" s="51">
        <f>+SUMIFS($O60:$DR60,$O$7:$DR$7,J$7)</f>
        <v/>
      </c>
      <c r="K60" s="51">
        <f>+SUMIFS($O60:$DR60,$O$7:$DR$7,K$7)</f>
        <v/>
      </c>
      <c r="L60" s="51">
        <f>+SUMIFS($O60:$DR60,$O$7:$DR$7,L$7)</f>
        <v/>
      </c>
      <c r="M60" s="51">
        <f>+SUMIFS($O60:$DR60,$O$7:$DR$7,M$7)</f>
        <v/>
      </c>
      <c r="N60" s="4" t="n"/>
      <c r="O60" s="71">
        <f>SUM(O13:O59)</f>
        <v/>
      </c>
      <c r="P60" s="71">
        <f>SUM(P13:P59)</f>
        <v/>
      </c>
      <c r="Q60" s="71">
        <f>SUM(Q13:Q59)</f>
        <v/>
      </c>
      <c r="R60" s="71">
        <f>SUM(R13:R59)</f>
        <v/>
      </c>
      <c r="S60" s="71">
        <f>SUM(S13:S59)</f>
        <v/>
      </c>
      <c r="T60" s="71">
        <f>SUM(T13:T59)</f>
        <v/>
      </c>
      <c r="U60" s="71">
        <f>SUM(U13:U59)</f>
        <v/>
      </c>
      <c r="V60" s="71">
        <f>SUM(V13:V59)</f>
        <v/>
      </c>
      <c r="W60" s="71">
        <f>SUM(W13:W59)</f>
        <v/>
      </c>
      <c r="X60" s="71">
        <f>SUM(X13:X59)</f>
        <v/>
      </c>
      <c r="Y60" s="71">
        <f>SUM(Y13:Y59)</f>
        <v/>
      </c>
      <c r="Z60" s="71">
        <f>SUM(Z13:Z59)</f>
        <v/>
      </c>
      <c r="AA60" s="71">
        <f>SUM(AA13:AA59)</f>
        <v/>
      </c>
      <c r="AB60" s="71">
        <f>SUM(AB13:AB59)</f>
        <v/>
      </c>
      <c r="AC60" s="71">
        <f>SUM(AC13:AC59)</f>
        <v/>
      </c>
      <c r="AD60" s="71">
        <f>SUM(AD13:AD59)</f>
        <v/>
      </c>
      <c r="AE60" s="71">
        <f>SUM(AE13:AE59)</f>
        <v/>
      </c>
      <c r="AF60" s="71">
        <f>SUM(AF13:AF59)</f>
        <v/>
      </c>
      <c r="AG60" s="71">
        <f>SUM(AG13:AG59)</f>
        <v/>
      </c>
      <c r="AH60" s="71">
        <f>SUM(AH13:AH59)</f>
        <v/>
      </c>
      <c r="AI60" s="71">
        <f>SUM(AI13:AI59)</f>
        <v/>
      </c>
      <c r="AJ60" s="71">
        <f>SUM(AJ13:AJ59)</f>
        <v/>
      </c>
      <c r="AK60" s="71">
        <f>SUM(AK13:AK59)</f>
        <v/>
      </c>
      <c r="AL60" s="71">
        <f>SUM(AL13:AL59)</f>
        <v/>
      </c>
      <c r="AM60" s="71">
        <f>SUM(AM13:AM59)</f>
        <v/>
      </c>
      <c r="AN60" s="71">
        <f>SUM(AN13:AN59)</f>
        <v/>
      </c>
      <c r="AO60" s="71">
        <f>SUM(AO13:AO59)</f>
        <v/>
      </c>
      <c r="AP60" s="71">
        <f>SUM(AP13:AP59)</f>
        <v/>
      </c>
      <c r="AQ60" s="71">
        <f>SUM(AQ13:AQ59)</f>
        <v/>
      </c>
      <c r="AR60" s="71">
        <f>SUM(AR13:AR59)</f>
        <v/>
      </c>
      <c r="AS60" s="71">
        <f>SUM(AS13:AS59)</f>
        <v/>
      </c>
      <c r="AT60" s="71">
        <f>SUM(AT13:AT59)</f>
        <v/>
      </c>
      <c r="AU60" s="71">
        <f>SUM(AU13:AU59)</f>
        <v/>
      </c>
      <c r="AV60" s="71">
        <f>SUM(AV13:AV59)</f>
        <v/>
      </c>
      <c r="AW60" s="71">
        <f>SUM(AW13:AW59)</f>
        <v/>
      </c>
      <c r="AX60" s="71">
        <f>SUM(AX13:AX59)</f>
        <v/>
      </c>
      <c r="AY60" s="71">
        <f>SUM(AY13:AY59)</f>
        <v/>
      </c>
      <c r="AZ60" s="71">
        <f>SUM(AZ13:AZ59)</f>
        <v/>
      </c>
      <c r="BA60" s="71">
        <f>SUM(BA13:BA59)</f>
        <v/>
      </c>
      <c r="BB60" s="71">
        <f>SUM(BB13:BB59)</f>
        <v/>
      </c>
      <c r="BC60" s="71">
        <f>SUM(BC13:BC59)</f>
        <v/>
      </c>
      <c r="BD60" s="71">
        <f>SUM(BD13:BD59)</f>
        <v/>
      </c>
      <c r="BE60" s="71">
        <f>SUM(BE13:BE59)</f>
        <v/>
      </c>
      <c r="BF60" s="71">
        <f>SUM(BF13:BF59)</f>
        <v/>
      </c>
      <c r="BG60" s="71">
        <f>SUM(BG13:BG59)</f>
        <v/>
      </c>
      <c r="BH60" s="71">
        <f>SUM(BH13:BH59)</f>
        <v/>
      </c>
      <c r="BI60" s="71">
        <f>SUM(BI13:BI59)</f>
        <v/>
      </c>
      <c r="BJ60" s="71">
        <f>SUM(BJ13:BJ59)</f>
        <v/>
      </c>
      <c r="BK60" s="71">
        <f>SUM(BK13:BK59)</f>
        <v/>
      </c>
      <c r="BL60" s="71">
        <f>SUM(BL13:BL59)</f>
        <v/>
      </c>
      <c r="BM60" s="71">
        <f>SUM(BM13:BM59)</f>
        <v/>
      </c>
      <c r="BN60" s="71">
        <f>SUM(BN13:BN59)</f>
        <v/>
      </c>
      <c r="BO60" s="71">
        <f>SUM(BO13:BO59)</f>
        <v/>
      </c>
      <c r="BP60" s="71">
        <f>SUM(BP13:BP59)</f>
        <v/>
      </c>
      <c r="BQ60" s="71">
        <f>SUM(BQ13:BQ59)</f>
        <v/>
      </c>
      <c r="BR60" s="71">
        <f>SUM(BR13:BR59)</f>
        <v/>
      </c>
      <c r="BS60" s="71">
        <f>SUM(BS13:BS59)</f>
        <v/>
      </c>
      <c r="BT60" s="71">
        <f>SUM(BT13:BT59)</f>
        <v/>
      </c>
      <c r="BU60" s="71">
        <f>SUM(BU13:BU59)</f>
        <v/>
      </c>
      <c r="BV60" s="71">
        <f>SUM(BV13:BV59)</f>
        <v/>
      </c>
      <c r="BW60" s="71">
        <f>SUM(BW13:BW59)</f>
        <v/>
      </c>
      <c r="BX60" s="71">
        <f>SUM(BX13:BX59)</f>
        <v/>
      </c>
      <c r="BY60" s="71">
        <f>SUM(BY13:BY59)</f>
        <v/>
      </c>
      <c r="BZ60" s="71">
        <f>SUM(BZ13:BZ59)</f>
        <v/>
      </c>
      <c r="CA60" s="71">
        <f>SUM(CA13:CA59)</f>
        <v/>
      </c>
      <c r="CB60" s="71">
        <f>SUM(CB13:CB59)</f>
        <v/>
      </c>
      <c r="CC60" s="71">
        <f>SUM(CC13:CC59)</f>
        <v/>
      </c>
      <c r="CD60" s="71">
        <f>SUM(CD13:CD59)</f>
        <v/>
      </c>
      <c r="CE60" s="71">
        <f>SUM(CE13:CE59)</f>
        <v/>
      </c>
      <c r="CF60" s="71">
        <f>SUM(CF13:CF59)</f>
        <v/>
      </c>
      <c r="CG60" s="71">
        <f>SUM(CG13:CG59)</f>
        <v/>
      </c>
      <c r="CH60" s="71">
        <f>SUM(CH13:CH59)</f>
        <v/>
      </c>
      <c r="CI60" s="71">
        <f>SUM(CI13:CI59)</f>
        <v/>
      </c>
      <c r="CJ60" s="71">
        <f>SUM(CJ13:CJ59)</f>
        <v/>
      </c>
      <c r="CK60" s="71">
        <f>SUM(CK13:CK59)</f>
        <v/>
      </c>
      <c r="CL60" s="71">
        <f>SUM(CL13:CL59)</f>
        <v/>
      </c>
      <c r="CM60" s="71">
        <f>SUM(CM13:CM59)</f>
        <v/>
      </c>
      <c r="CN60" s="71">
        <f>SUM(CN13:CN59)</f>
        <v/>
      </c>
      <c r="CO60" s="71">
        <f>SUM(CO13:CO59)</f>
        <v/>
      </c>
      <c r="CP60" s="71">
        <f>SUM(CP13:CP59)</f>
        <v/>
      </c>
      <c r="CQ60" s="71">
        <f>SUM(CQ13:CQ59)</f>
        <v/>
      </c>
      <c r="CR60" s="71">
        <f>SUM(CR13:CR59)</f>
        <v/>
      </c>
      <c r="CS60" s="71">
        <f>SUM(CS13:CS59)</f>
        <v/>
      </c>
      <c r="CT60" s="71">
        <f>SUM(CT13:CT59)</f>
        <v/>
      </c>
      <c r="CU60" s="71">
        <f>SUM(CU13:CU59)</f>
        <v/>
      </c>
      <c r="CV60" s="71">
        <f>SUM(CV13:CV59)</f>
        <v/>
      </c>
      <c r="CW60" s="71">
        <f>SUM(CW13:CW59)</f>
        <v/>
      </c>
      <c r="CX60" s="71">
        <f>SUM(CX13:CX59)</f>
        <v/>
      </c>
      <c r="CY60" s="71">
        <f>SUM(CY13:CY59)</f>
        <v/>
      </c>
      <c r="CZ60" s="71">
        <f>SUM(CZ13:CZ59)</f>
        <v/>
      </c>
      <c r="DA60" s="71">
        <f>SUM(DA13:DA59)</f>
        <v/>
      </c>
      <c r="DB60" s="71">
        <f>SUM(DB13:DB59)</f>
        <v/>
      </c>
      <c r="DC60" s="71">
        <f>SUM(DC13:DC59)</f>
        <v/>
      </c>
      <c r="DD60" s="71">
        <f>SUM(DD13:DD59)</f>
        <v/>
      </c>
      <c r="DE60" s="71">
        <f>SUM(DE13:DE59)</f>
        <v/>
      </c>
      <c r="DF60" s="71">
        <f>SUM(DF13:DF59)</f>
        <v/>
      </c>
      <c r="DG60" s="71">
        <f>SUM(DG13:DG59)</f>
        <v/>
      </c>
      <c r="DH60" s="71">
        <f>SUM(DH13:DH59)</f>
        <v/>
      </c>
      <c r="DI60" s="71">
        <f>SUM(DI13:DI59)</f>
        <v/>
      </c>
      <c r="DJ60" s="71">
        <f>SUM(DJ13:DJ59)</f>
        <v/>
      </c>
      <c r="DK60" s="71">
        <f>SUM(DK13:DK59)</f>
        <v/>
      </c>
      <c r="DL60" s="71">
        <f>SUM(DL13:DL59)</f>
        <v/>
      </c>
      <c r="DM60" s="71">
        <f>SUM(DM13:DM59)</f>
        <v/>
      </c>
      <c r="DN60" s="71">
        <f>SUM(DN13:DN59)</f>
        <v/>
      </c>
      <c r="DO60" s="71">
        <f>SUM(DO13:DO59)</f>
        <v/>
      </c>
      <c r="DP60" s="71">
        <f>SUM(DP13:DP59)</f>
        <v/>
      </c>
      <c r="DQ60" s="71">
        <f>SUM(DQ13:DQ59)</f>
        <v/>
      </c>
      <c r="DR60" s="71">
        <f>SUM(DR13:DR59)</f>
        <v/>
      </c>
      <c r="DS60" s="4" t="n"/>
      <c r="DT60" s="63" t="n"/>
      <c r="DU60" s="63" t="n"/>
      <c r="DV60" s="63" t="n"/>
      <c r="DW60" s="63" t="n"/>
      <c r="DX60" s="4" t="n"/>
    </row>
    <row r="61" hidden="1" outlineLevel="1" ht="15.75" customHeight="1">
      <c r="A61" s="72" t="n"/>
      <c r="B61" s="72" t="inlineStr">
        <is>
          <t>Check</t>
        </is>
      </c>
      <c r="C61" s="72" t="n"/>
      <c r="D61" s="72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2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  <c r="AM61" s="73" t="n"/>
      <c r="AN61" s="73" t="n"/>
      <c r="AO61" s="73" t="n"/>
      <c r="AP61" s="73" t="n"/>
      <c r="AQ61" s="73" t="n"/>
      <c r="AR61" s="73" t="n"/>
      <c r="AS61" s="73" t="n"/>
      <c r="AT61" s="73" t="n"/>
      <c r="AU61" s="73" t="n"/>
      <c r="AV61" s="73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3" t="n"/>
      <c r="BH61" s="73" t="n"/>
      <c r="BI61" s="73" t="n"/>
      <c r="BJ61" s="73" t="n"/>
      <c r="BK61" s="73" t="n">
        <v>0</v>
      </c>
      <c r="BL61" s="73" t="n">
        <v>0</v>
      </c>
      <c r="BM61" s="73" t="n">
        <v>0</v>
      </c>
      <c r="BN61" s="73" t="n">
        <v>0</v>
      </c>
      <c r="BO61" s="73" t="n">
        <v>0</v>
      </c>
      <c r="BP61" s="73" t="n">
        <v>0</v>
      </c>
      <c r="BQ61" s="73" t="n">
        <v>0</v>
      </c>
      <c r="BR61" s="73" t="n">
        <v>0</v>
      </c>
      <c r="BS61" s="73" t="n">
        <v>0</v>
      </c>
      <c r="BT61" s="73" t="n">
        <v>0</v>
      </c>
      <c r="BU61" s="73" t="n">
        <v>0</v>
      </c>
      <c r="BV61" s="73" t="n">
        <v>0</v>
      </c>
      <c r="BW61" s="73" t="n"/>
      <c r="BX61" s="73" t="n"/>
      <c r="BY61" s="73" t="n"/>
      <c r="BZ61" s="73" t="n"/>
      <c r="CA61" s="73" t="n"/>
      <c r="CB61" s="73" t="n"/>
      <c r="CC61" s="73" t="n"/>
      <c r="CD61" s="73" t="n"/>
      <c r="CE61" s="73" t="n"/>
      <c r="CF61" s="73" t="n"/>
      <c r="CG61" s="73" t="n"/>
      <c r="CH61" s="73" t="n"/>
      <c r="CI61" s="73" t="n"/>
      <c r="CJ61" s="73" t="n"/>
      <c r="CK61" s="73" t="n"/>
      <c r="CL61" s="73" t="n"/>
      <c r="CM61" s="73" t="n"/>
      <c r="CN61" s="73" t="n"/>
      <c r="CO61" s="73" t="n"/>
      <c r="CP61" s="73" t="n"/>
      <c r="CQ61" s="73" t="n"/>
      <c r="CR61" s="73" t="n"/>
      <c r="CS61" s="73" t="n"/>
      <c r="CT61" s="73" t="n"/>
      <c r="CU61" s="73" t="n"/>
      <c r="CV61" s="73" t="n"/>
      <c r="CW61" s="73" t="n"/>
      <c r="CX61" s="73" t="n"/>
      <c r="CY61" s="73" t="n"/>
      <c r="CZ61" s="73" t="n"/>
      <c r="DA61" s="73" t="n"/>
      <c r="DB61" s="73" t="n"/>
      <c r="DC61" s="73" t="n"/>
      <c r="DD61" s="73" t="n"/>
      <c r="DE61" s="73" t="n"/>
      <c r="DF61" s="73" t="n"/>
      <c r="DG61" s="73" t="n"/>
      <c r="DH61" s="73" t="n"/>
      <c r="DI61" s="73" t="n"/>
      <c r="DJ61" s="73" t="n"/>
      <c r="DK61" s="73" t="n"/>
      <c r="DL61" s="73" t="n"/>
      <c r="DM61" s="73" t="n"/>
      <c r="DN61" s="73" t="n"/>
      <c r="DO61" s="73" t="n"/>
      <c r="DP61" s="73" t="n"/>
      <c r="DQ61" s="73" t="n"/>
      <c r="DR61" s="73" t="n"/>
      <c r="DS61" s="72" t="n"/>
      <c r="DT61" s="73" t="n"/>
      <c r="DU61" s="73" t="n"/>
      <c r="DV61" s="73" t="n"/>
      <c r="DW61" s="73" t="n"/>
      <c r="DX61" s="72" t="n"/>
    </row>
    <row r="62" hidden="1" outlineLevel="1" ht="4.5" customHeight="1"/>
    <row r="63" collapsed="1" ht="15.75" customHeight="1">
      <c r="B63" s="74" t="inlineStr">
        <is>
          <t>Revenue, Beginning</t>
        </is>
      </c>
      <c r="C63" s="75" t="n"/>
      <c r="D63" s="75" t="n"/>
      <c r="E63" s="75" t="n"/>
      <c r="F63" s="76">
        <f>+E69</f>
        <v/>
      </c>
      <c r="G63" s="76">
        <f>+F69</f>
        <v/>
      </c>
      <c r="H63" s="77">
        <f>+G69</f>
        <v/>
      </c>
      <c r="I63" s="46" t="n"/>
      <c r="J63" s="46" t="n"/>
      <c r="K63" s="46" t="n"/>
      <c r="L63" s="46" t="n"/>
      <c r="M63" s="46" t="n"/>
    </row>
    <row r="64" ht="15.75" customHeight="1">
      <c r="B64" s="78" t="inlineStr">
        <is>
          <t>Churn</t>
        </is>
      </c>
      <c r="C64" s="79" t="n"/>
      <c r="D64" s="79" t="n"/>
      <c r="E64" s="79" t="n"/>
      <c r="F64" s="80">
        <f>+SUMIF(DT$13:DT$58,"&lt;0")</f>
        <v/>
      </c>
      <c r="G64" s="80">
        <f>+SUMIF(DU$13:DU$58,"&lt;0")</f>
        <v/>
      </c>
      <c r="H64" s="81">
        <f>+SUMIF(DV$13:DV$58,"&lt;0")</f>
        <v/>
      </c>
      <c r="I64" s="46" t="n"/>
      <c r="J64" s="46" t="n"/>
      <c r="K64" s="46" t="n"/>
    </row>
    <row r="65" ht="15.75" customHeight="1">
      <c r="B65" s="74" t="inlineStr">
        <is>
          <t>Gross Retention</t>
        </is>
      </c>
      <c r="C65" s="75" t="n"/>
      <c r="D65" s="79" t="n"/>
      <c r="E65" s="75" t="n"/>
      <c r="F65" s="76">
        <f>SUM(F63:F64)</f>
        <v/>
      </c>
      <c r="G65" s="76">
        <f>SUM(G63:G64)</f>
        <v/>
      </c>
      <c r="H65" s="77">
        <f>SUM(H63:H64)</f>
        <v/>
      </c>
    </row>
    <row r="66" ht="15.75" customHeight="1">
      <c r="B66" s="78" t="inlineStr">
        <is>
          <t>Upsell</t>
        </is>
      </c>
      <c r="C66" s="79" t="n"/>
      <c r="D66" s="79" t="n"/>
      <c r="E66" s="79" t="n"/>
      <c r="F66" s="80">
        <f>+SUMIF(DT$13:DT$58,"&gt;0")-F68</f>
        <v/>
      </c>
      <c r="G66" s="80">
        <f>+SUMIF(DU$13:DU$58,"&gt;0")-G68</f>
        <v/>
      </c>
      <c r="H66" s="81">
        <f>+SUMIF(DV$13:DV$58,"&gt;0")-H68</f>
        <v/>
      </c>
    </row>
    <row r="67" ht="15.75" customHeight="1">
      <c r="B67" s="74" t="inlineStr">
        <is>
          <t>Net Retention</t>
        </is>
      </c>
      <c r="C67" s="75" t="n"/>
      <c r="D67" s="79" t="n"/>
      <c r="E67" s="75" t="n"/>
      <c r="F67" s="76">
        <f>+SUM(F65:F66)</f>
        <v/>
      </c>
      <c r="G67" s="76">
        <f>+SUM(G65:G66)</f>
        <v/>
      </c>
      <c r="H67" s="77">
        <f>+SUM(H65:H66)</f>
        <v/>
      </c>
    </row>
    <row r="68" ht="15.75" customHeight="1">
      <c r="B68" s="78" t="inlineStr">
        <is>
          <t>New</t>
        </is>
      </c>
      <c r="C68" s="79" t="n"/>
      <c r="D68" s="79" t="n"/>
      <c r="E68" s="79" t="n"/>
      <c r="F68" s="80">
        <f>+SUMIFS(F$13:F$58,E$13:E$58,0)</f>
        <v/>
      </c>
      <c r="G68" s="80">
        <f>+SUMIFS(G$13:G$58,F$13:F$58,0)</f>
        <v/>
      </c>
      <c r="H68" s="81">
        <f>+SUMIFS(H$13:H$58,G$13:G$58,0)</f>
        <v/>
      </c>
    </row>
    <row r="69" ht="15.75" customHeight="1">
      <c r="B69" s="82" t="inlineStr">
        <is>
          <t>Revenue, Ending</t>
        </is>
      </c>
      <c r="C69" s="83" t="n"/>
      <c r="D69" s="84" t="n"/>
      <c r="E69" s="85">
        <f>+E60</f>
        <v/>
      </c>
      <c r="F69" s="85">
        <f>+SUM(F67:F68)</f>
        <v/>
      </c>
      <c r="G69" s="85">
        <f>+SUM(G67:G68)</f>
        <v/>
      </c>
      <c r="H69" s="86">
        <f>+SUM(H67:H68)</f>
        <v/>
      </c>
    </row>
    <row r="70" ht="4.5" customHeight="1"/>
    <row r="71" ht="15.75" customHeight="1">
      <c r="B71" s="87" t="inlineStr">
        <is>
          <t>Gross Retention</t>
        </is>
      </c>
      <c r="C71" s="88" t="n"/>
      <c r="D71" s="88" t="n"/>
      <c r="E71" s="88" t="n"/>
      <c r="F71" s="89">
        <f>+F65/F63</f>
        <v/>
      </c>
      <c r="G71" s="89">
        <f>+G65/G63</f>
        <v/>
      </c>
      <c r="H71" s="90">
        <f>+H65/H63</f>
        <v/>
      </c>
    </row>
    <row r="72" ht="15.75" customHeight="1">
      <c r="B72" s="91" t="inlineStr">
        <is>
          <t>Net Retention</t>
        </is>
      </c>
      <c r="C72" s="92" t="n"/>
      <c r="D72" s="92" t="n"/>
      <c r="E72" s="92" t="n"/>
      <c r="F72" s="93">
        <f>+F67/F63</f>
        <v/>
      </c>
      <c r="G72" s="93">
        <f>+G67/G63</f>
        <v/>
      </c>
      <c r="H72" s="94">
        <f>+H67/H63</f>
        <v/>
      </c>
    </row>
    <row r="73" ht="4.5" customHeight="1"/>
    <row r="74" ht="15.75" customHeight="1">
      <c r="B74" s="95" t="inlineStr">
        <is>
          <t>Mega</t>
        </is>
      </c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  <c r="AA74" s="96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  <c r="AL74" s="96" t="n"/>
      <c r="AM74" s="96" t="n"/>
      <c r="AN74" s="96" t="n"/>
      <c r="AO74" s="96" t="n"/>
      <c r="AP74" s="96" t="n"/>
      <c r="AQ74" s="96" t="n"/>
      <c r="AR74" s="96" t="n"/>
      <c r="AS74" s="96" t="n"/>
      <c r="AT74" s="96" t="n"/>
      <c r="AU74" s="96" t="n"/>
      <c r="AV74" s="96" t="n"/>
      <c r="AW74" s="96" t="n"/>
      <c r="AX74" s="96" t="n"/>
      <c r="AY74" s="96" t="n"/>
      <c r="AZ74" s="96" t="n"/>
      <c r="BA74" s="96" t="n"/>
      <c r="BB74" s="96" t="n"/>
      <c r="BC74" s="96" t="n"/>
      <c r="BD74" s="96" t="n"/>
      <c r="BE74" s="96" t="n"/>
      <c r="BF74" s="96" t="n"/>
      <c r="BG74" s="96" t="n"/>
      <c r="BH74" s="96" t="n"/>
      <c r="BI74" s="96" t="n"/>
      <c r="BJ74" s="96" t="n"/>
      <c r="BK74" s="96" t="n"/>
      <c r="BL74" s="96" t="n"/>
      <c r="BM74" s="96" t="n"/>
      <c r="BN74" s="96" t="n"/>
      <c r="BO74" s="96" t="n"/>
      <c r="BP74" s="96" t="n"/>
      <c r="BQ74" s="96" t="n"/>
      <c r="BR74" s="96" t="n"/>
      <c r="BS74" s="96" t="n"/>
      <c r="BT74" s="96" t="n"/>
      <c r="BU74" s="96" t="n"/>
      <c r="BV74" s="96" t="n"/>
      <c r="BW74" s="96" t="n"/>
      <c r="BX74" s="96" t="n"/>
      <c r="BY74" s="96" t="n"/>
      <c r="BZ74" s="96" t="n"/>
      <c r="CA74" s="96" t="n"/>
      <c r="CB74" s="96" t="n"/>
      <c r="CC74" s="96" t="n"/>
      <c r="CD74" s="96" t="n"/>
      <c r="CE74" s="96" t="n"/>
      <c r="CF74" s="96" t="n"/>
      <c r="CG74" s="96" t="n"/>
      <c r="CH74" s="96" t="n"/>
      <c r="CI74" s="96" t="n"/>
      <c r="CJ74" s="96" t="n"/>
      <c r="CK74" s="96" t="n"/>
      <c r="CL74" s="96" t="n"/>
      <c r="CM74" s="96" t="n"/>
      <c r="CN74" s="96" t="n"/>
      <c r="CO74" s="96" t="n"/>
      <c r="CP74" s="96" t="n"/>
      <c r="CQ74" s="96" t="n"/>
      <c r="CR74" s="96" t="n"/>
      <c r="CS74" s="96" t="n"/>
      <c r="CT74" s="96" t="n"/>
      <c r="CU74" s="96" t="n"/>
      <c r="CV74" s="96" t="n"/>
      <c r="CW74" s="96" t="n"/>
      <c r="CX74" s="96" t="n"/>
      <c r="CY74" s="96" t="n"/>
      <c r="CZ74" s="96" t="n"/>
      <c r="DA74" s="96" t="n"/>
      <c r="DB74" s="96" t="n"/>
      <c r="DC74" s="96" t="n"/>
      <c r="DD74" s="96" t="n"/>
      <c r="DE74" s="96" t="n"/>
      <c r="DF74" s="96" t="n"/>
      <c r="DG74" s="96" t="n"/>
      <c r="DH74" s="96" t="n"/>
      <c r="DI74" s="96" t="n"/>
      <c r="DJ74" s="96" t="n"/>
      <c r="DK74" s="96" t="n"/>
      <c r="DL74" s="96" t="n"/>
      <c r="DM74" s="96" t="n"/>
      <c r="DN74" s="96" t="n"/>
      <c r="DO74" s="96" t="n"/>
      <c r="DP74" s="96" t="n"/>
      <c r="DQ74" s="96" t="n"/>
      <c r="DR74" s="96" t="n"/>
    </row>
    <row r="75" ht="15.75" customHeight="1">
      <c r="B75" s="5" t="inlineStr">
        <is>
          <t>Revenue, Beginning</t>
        </is>
      </c>
      <c r="E75" s="96" t="n"/>
      <c r="F75" s="46">
        <f>+E84</f>
        <v/>
      </c>
      <c r="G75" s="46">
        <f>+F84</f>
        <v/>
      </c>
      <c r="H75" s="46">
        <f>+G84</f>
        <v/>
      </c>
      <c r="I75" s="46">
        <f>+H84</f>
        <v/>
      </c>
      <c r="J75" s="46">
        <f>+I84</f>
        <v/>
      </c>
      <c r="K75" s="46">
        <f>+J84</f>
        <v/>
      </c>
      <c r="L75" s="46">
        <f>+K84</f>
        <v/>
      </c>
      <c r="M75" s="46">
        <f>+L84</f>
        <v/>
      </c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  <c r="AA75" s="96" t="n"/>
      <c r="AB75" s="96" t="n"/>
      <c r="AC75" s="96" t="n"/>
      <c r="AD75" s="96" t="n"/>
      <c r="AE75" s="96" t="n"/>
      <c r="AF75" s="96" t="n"/>
      <c r="AG75" s="96" t="n"/>
      <c r="AH75" s="96" t="n"/>
      <c r="AI75" s="96" t="n"/>
      <c r="AJ75" s="96" t="n"/>
      <c r="AK75" s="96" t="n"/>
      <c r="AL75" s="96" t="n"/>
      <c r="AM75" s="96" t="n"/>
      <c r="AN75" s="96" t="n"/>
      <c r="AO75" s="96" t="n"/>
      <c r="AP75" s="96" t="n"/>
      <c r="AQ75" s="96" t="n"/>
      <c r="AR75" s="96" t="n"/>
      <c r="AS75" s="96" t="n"/>
      <c r="AT75" s="96" t="n"/>
      <c r="AU75" s="96" t="n"/>
      <c r="AV75" s="96" t="n"/>
      <c r="AW75" s="96" t="n"/>
      <c r="AX75" s="96" t="n"/>
      <c r="AY75" s="96" t="n"/>
      <c r="AZ75" s="96" t="n"/>
      <c r="BA75" s="96" t="n"/>
      <c r="BB75" s="96" t="n"/>
      <c r="BC75" s="96" t="n"/>
      <c r="BD75" s="96" t="n"/>
      <c r="BE75" s="96" t="n"/>
      <c r="BF75" s="96" t="n"/>
      <c r="BG75" s="96" t="n"/>
      <c r="BH75" s="96" t="n"/>
      <c r="BI75" s="96" t="n"/>
      <c r="BJ75" s="96" t="n"/>
      <c r="BK75" s="96" t="n"/>
      <c r="BL75" s="96" t="n"/>
      <c r="BM75" s="96" t="n"/>
      <c r="BN75" s="96" t="n"/>
      <c r="BO75" s="96" t="n"/>
      <c r="BP75" s="96" t="n"/>
      <c r="BQ75" s="96" t="n"/>
      <c r="BR75" s="96" t="n"/>
      <c r="BS75" s="96" t="n"/>
      <c r="BT75" s="96" t="n"/>
      <c r="BU75" s="96" t="n"/>
      <c r="BV75" s="96" t="n"/>
      <c r="BW75" s="96" t="n"/>
      <c r="BX75" s="96" t="n"/>
      <c r="BY75" s="96" t="n"/>
      <c r="BZ75" s="96" t="n"/>
      <c r="CA75" s="96" t="n"/>
      <c r="CB75" s="96" t="n"/>
      <c r="CC75" s="96" t="n"/>
      <c r="CD75" s="96" t="n"/>
      <c r="CE75" s="96" t="n"/>
      <c r="CF75" s="96" t="n"/>
      <c r="CG75" s="96" t="n"/>
      <c r="CH75" s="96" t="n"/>
      <c r="CI75" s="96" t="n"/>
      <c r="CJ75" s="96" t="n"/>
      <c r="CK75" s="96" t="n"/>
      <c r="CL75" s="96" t="n"/>
      <c r="CM75" s="96" t="n"/>
      <c r="CN75" s="96" t="n"/>
      <c r="CO75" s="96" t="n"/>
      <c r="CP75" s="96" t="n"/>
      <c r="CQ75" s="96" t="n"/>
      <c r="CR75" s="96" t="n"/>
      <c r="CS75" s="96" t="n"/>
      <c r="CT75" s="96" t="n"/>
      <c r="CU75" s="96" t="n"/>
      <c r="CV75" s="96" t="n"/>
      <c r="CW75" s="96" t="n"/>
      <c r="CX75" s="96" t="n"/>
      <c r="CY75" s="96" t="n"/>
      <c r="CZ75" s="96" t="n"/>
      <c r="DA75" s="96" t="n"/>
      <c r="DB75" s="96" t="n"/>
      <c r="DC75" s="96" t="n"/>
      <c r="DD75" s="96" t="n"/>
      <c r="DE75" s="96" t="n"/>
      <c r="DF75" s="96" t="n"/>
      <c r="DG75" s="96" t="n"/>
      <c r="DH75" s="96" t="n"/>
      <c r="DI75" s="96" t="n"/>
      <c r="DJ75" s="96" t="n"/>
      <c r="DK75" s="96" t="n"/>
      <c r="DL75" s="96" t="n"/>
      <c r="DM75" s="96" t="n"/>
      <c r="DN75" s="96" t="n"/>
      <c r="DO75" s="96" t="n"/>
      <c r="DP75" s="96" t="n"/>
      <c r="DQ75" s="96" t="n"/>
      <c r="DR75" s="96" t="n"/>
    </row>
    <row r="76" ht="15.75" customHeight="1">
      <c r="B76" s="5" t="inlineStr">
        <is>
          <t>Churn</t>
        </is>
      </c>
      <c r="E76" s="96" t="n"/>
      <c r="F76" s="46">
        <f>+SUMIFS(DT$13:DT$58,DT$13:DT$58,"&lt;0",$C$13:$C$58,$B$74)</f>
        <v/>
      </c>
      <c r="G76" s="46">
        <f>+SUMIFS(DU$13:DU$58,DU$13:DU$58,"&lt;0",$C$13:$C$58,$B$74)</f>
        <v/>
      </c>
      <c r="H76" s="46">
        <f>+SUMIFS(DV$13:DV$58,DV$13:DV$58,"&lt;0",$C$13:$C$58,$B$74)</f>
        <v/>
      </c>
      <c r="I76" s="46">
        <f>+SUMIFS(DW$13:DW$58,DW$13:DW$58,"&lt;0",$C$13:$C$58,$B$74)</f>
        <v/>
      </c>
      <c r="J76" s="48">
        <f>+Revenue_Assumptions!J14*J$75</f>
        <v/>
      </c>
      <c r="K76" s="48">
        <f>+Revenue_Assumptions!K14*K$75</f>
        <v/>
      </c>
      <c r="L76" s="48">
        <f>+Revenue_Assumptions!L14*L$75</f>
        <v/>
      </c>
      <c r="M76" s="48">
        <f>+Revenue_Assumptions!M14*M$75</f>
        <v/>
      </c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  <c r="AA76" s="96" t="n"/>
      <c r="AB76" s="96" t="n"/>
      <c r="AC76" s="96" t="n"/>
      <c r="AD76" s="96" t="n"/>
      <c r="AE76" s="96" t="n"/>
      <c r="AF76" s="96" t="n"/>
      <c r="AG76" s="96" t="n"/>
      <c r="AH76" s="96" t="n"/>
      <c r="AI76" s="96" t="n"/>
      <c r="AJ76" s="96" t="n"/>
      <c r="AK76" s="96" t="n"/>
      <c r="AL76" s="96" t="n"/>
      <c r="AM76" s="96" t="n"/>
      <c r="AN76" s="96" t="n"/>
      <c r="AO76" s="96" t="n"/>
      <c r="AP76" s="96" t="n"/>
      <c r="AQ76" s="96" t="n"/>
      <c r="AR76" s="96" t="n"/>
      <c r="AS76" s="96" t="n"/>
      <c r="AT76" s="96" t="n"/>
      <c r="AU76" s="96" t="n"/>
      <c r="AV76" s="96" t="n"/>
      <c r="AW76" s="96" t="n"/>
      <c r="AX76" s="96" t="n"/>
      <c r="AY76" s="96" t="n"/>
      <c r="AZ76" s="96" t="n"/>
      <c r="BA76" s="96" t="n"/>
      <c r="BB76" s="96" t="n"/>
      <c r="BC76" s="96" t="n"/>
      <c r="BD76" s="96" t="n"/>
      <c r="BE76" s="96" t="n"/>
      <c r="BF76" s="96" t="n"/>
      <c r="BG76" s="96" t="n"/>
      <c r="BH76" s="96" t="n"/>
      <c r="BI76" s="96" t="n"/>
      <c r="BJ76" s="96" t="n"/>
      <c r="BK76" s="96" t="n"/>
      <c r="BL76" s="96" t="n"/>
      <c r="BM76" s="96" t="n"/>
      <c r="BN76" s="96" t="n"/>
      <c r="BO76" s="96" t="n"/>
      <c r="BP76" s="96" t="n"/>
      <c r="BQ76" s="96" t="n"/>
      <c r="BR76" s="96" t="n"/>
      <c r="BS76" s="96" t="n"/>
      <c r="BT76" s="96" t="n"/>
      <c r="BU76" s="96" t="n"/>
      <c r="BV76" s="96" t="n"/>
      <c r="BW76" s="96" t="n"/>
      <c r="BX76" s="96" t="n"/>
      <c r="BY76" s="96" t="n"/>
      <c r="BZ76" s="96" t="n"/>
      <c r="CA76" s="96" t="n"/>
      <c r="CB76" s="96" t="n"/>
      <c r="CC76" s="96" t="n"/>
      <c r="CD76" s="96" t="n"/>
      <c r="CE76" s="96" t="n"/>
      <c r="CF76" s="96" t="n"/>
      <c r="CG76" s="96" t="n"/>
      <c r="CH76" s="96" t="n"/>
      <c r="CI76" s="96" t="n"/>
      <c r="CJ76" s="96" t="n"/>
      <c r="CK76" s="96" t="n"/>
      <c r="CL76" s="96" t="n"/>
      <c r="CM76" s="96" t="n"/>
      <c r="CN76" s="96" t="n"/>
      <c r="CO76" s="96" t="n"/>
      <c r="CP76" s="96" t="n"/>
      <c r="CQ76" s="96" t="n"/>
      <c r="CR76" s="96" t="n"/>
      <c r="CS76" s="96" t="n"/>
      <c r="CT76" s="96" t="n"/>
      <c r="CU76" s="96" t="n"/>
      <c r="CV76" s="96" t="n"/>
      <c r="CW76" s="96" t="n"/>
      <c r="CX76" s="96" t="n"/>
      <c r="CY76" s="96" t="n"/>
      <c r="CZ76" s="96" t="n"/>
      <c r="DA76" s="96" t="n"/>
      <c r="DB76" s="96" t="n"/>
      <c r="DC76" s="96" t="n"/>
      <c r="DD76" s="96" t="n"/>
      <c r="DE76" s="96" t="n"/>
      <c r="DF76" s="96" t="n"/>
      <c r="DG76" s="96" t="n"/>
      <c r="DH76" s="96" t="n"/>
      <c r="DI76" s="96" t="n"/>
      <c r="DJ76" s="96" t="n"/>
      <c r="DK76" s="96" t="n"/>
      <c r="DL76" s="96" t="n"/>
      <c r="DM76" s="96" t="n"/>
      <c r="DN76" s="96" t="n"/>
      <c r="DO76" s="96" t="n"/>
      <c r="DP76" s="96" t="n"/>
      <c r="DQ76" s="96" t="n"/>
      <c r="DR76" s="96" t="n"/>
    </row>
    <row r="77" ht="15.75" customHeight="1">
      <c r="B77" s="5" t="inlineStr">
        <is>
          <t>Expansion</t>
        </is>
      </c>
      <c r="E77" s="96" t="n"/>
      <c r="F77" s="46">
        <f>+SUMIFS(DT$13:DT$58,DT$13:DT$58,"&gt;0",$C$13:$C$58,$B$74)-F82</f>
        <v/>
      </c>
      <c r="G77" s="46">
        <f>+SUMIFS(DU$13:DU$58,DU$13:DU$58,"&gt;0",$C$13:$C$58,$B$74)-G82</f>
        <v/>
      </c>
      <c r="H77" s="46">
        <f>+SUMIFS(DV$13:DV$58,DV$13:DV$58,"&gt;0",$C$13:$C$58,$B$74)-H82</f>
        <v/>
      </c>
      <c r="I77" s="46">
        <f>+SUMIFS(DW$13:DW$58,DW$13:DW$58,"&gt;0",$C$13:$C$58,$B$74)-I82</f>
        <v/>
      </c>
      <c r="J77" s="48">
        <f>+Revenue_Assumptions!J15*J$75</f>
        <v/>
      </c>
      <c r="K77" s="48">
        <f>+Revenue_Assumptions!K15*K$75</f>
        <v/>
      </c>
      <c r="L77" s="48">
        <f>+Revenue_Assumptions!L15*L$75</f>
        <v/>
      </c>
      <c r="M77" s="48">
        <f>+Revenue_Assumptions!M15*M$75</f>
        <v/>
      </c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  <c r="AA77" s="96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  <c r="AK77" s="96" t="n"/>
      <c r="AL77" s="96" t="n"/>
      <c r="AM77" s="96" t="n"/>
      <c r="AN77" s="96" t="n"/>
      <c r="AO77" s="96" t="n"/>
      <c r="AP77" s="96" t="n"/>
      <c r="AQ77" s="96" t="n"/>
      <c r="AR77" s="96" t="n"/>
      <c r="AS77" s="96" t="n"/>
      <c r="AT77" s="96" t="n"/>
      <c r="AU77" s="96" t="n"/>
      <c r="AV77" s="96" t="n"/>
      <c r="AW77" s="96" t="n"/>
      <c r="AX77" s="96" t="n"/>
      <c r="AY77" s="96" t="n"/>
      <c r="AZ77" s="96" t="n"/>
      <c r="BA77" s="96" t="n"/>
      <c r="BB77" s="96" t="n"/>
      <c r="BC77" s="96" t="n"/>
      <c r="BD77" s="96" t="n"/>
      <c r="BE77" s="96" t="n"/>
      <c r="BF77" s="96" t="n"/>
      <c r="BG77" s="96" t="n"/>
      <c r="BH77" s="96" t="n"/>
      <c r="BI77" s="96" t="n"/>
      <c r="BJ77" s="96" t="n"/>
      <c r="BK77" s="96" t="n"/>
      <c r="BL77" s="96" t="n"/>
      <c r="BM77" s="96" t="n"/>
      <c r="BN77" s="96" t="n"/>
      <c r="BO77" s="96" t="n"/>
      <c r="BP77" s="96" t="n"/>
      <c r="BQ77" s="96" t="n"/>
      <c r="BR77" s="96" t="n"/>
      <c r="BS77" s="96" t="n"/>
      <c r="BT77" s="96" t="n"/>
      <c r="BU77" s="96" t="n"/>
      <c r="BV77" s="96" t="n"/>
      <c r="BW77" s="96" t="n"/>
      <c r="BX77" s="96" t="n"/>
      <c r="BY77" s="96" t="n"/>
      <c r="BZ77" s="96" t="n"/>
      <c r="CA77" s="96" t="n"/>
      <c r="CB77" s="96" t="n"/>
      <c r="CC77" s="96" t="n"/>
      <c r="CD77" s="96" t="n"/>
      <c r="CE77" s="96" t="n"/>
      <c r="CF77" s="96" t="n"/>
      <c r="CG77" s="96" t="n"/>
      <c r="CH77" s="96" t="n"/>
      <c r="CI77" s="96" t="n"/>
      <c r="CJ77" s="96" t="n"/>
      <c r="CK77" s="96" t="n"/>
      <c r="CL77" s="96" t="n"/>
      <c r="CM77" s="96" t="n"/>
      <c r="CN77" s="96" t="n"/>
      <c r="CO77" s="96" t="n"/>
      <c r="CP77" s="96" t="n"/>
      <c r="CQ77" s="96" t="n"/>
      <c r="CR77" s="96" t="n"/>
      <c r="CS77" s="96" t="n"/>
      <c r="CT77" s="96" t="n"/>
      <c r="CU77" s="96" t="n"/>
      <c r="CV77" s="96" t="n"/>
      <c r="CW77" s="96" t="n"/>
      <c r="CX77" s="96" t="n"/>
      <c r="CY77" s="96" t="n"/>
      <c r="CZ77" s="96" t="n"/>
      <c r="DA77" s="96" t="n"/>
      <c r="DB77" s="96" t="n"/>
      <c r="DC77" s="96" t="n"/>
      <c r="DD77" s="96" t="n"/>
      <c r="DE77" s="96" t="n"/>
      <c r="DF77" s="96" t="n"/>
      <c r="DG77" s="96" t="n"/>
      <c r="DH77" s="96" t="n"/>
      <c r="DI77" s="96" t="n"/>
      <c r="DJ77" s="96" t="n"/>
      <c r="DK77" s="96" t="n"/>
      <c r="DL77" s="96" t="n"/>
      <c r="DM77" s="96" t="n"/>
      <c r="DN77" s="96" t="n"/>
      <c r="DO77" s="96" t="n"/>
      <c r="DP77" s="96" t="n"/>
      <c r="DQ77" s="96" t="n"/>
      <c r="DR77" s="96" t="n"/>
    </row>
    <row r="78" ht="15.75" customHeight="1">
      <c r="B78" s="50" t="inlineStr">
        <is>
          <t>Net Retention</t>
        </is>
      </c>
      <c r="C78" s="50" t="n"/>
      <c r="E78" s="88" t="n"/>
      <c r="F78" s="51">
        <f>SUM(F75:F77)</f>
        <v/>
      </c>
      <c r="G78" s="51">
        <f>SUM(G75:G77)</f>
        <v/>
      </c>
      <c r="H78" s="51">
        <f>SUM(H75:H77)</f>
        <v/>
      </c>
      <c r="I78" s="51">
        <f>SUM(I75:I77)</f>
        <v/>
      </c>
      <c r="J78" s="51">
        <f>SUM(J75:J77)</f>
        <v/>
      </c>
      <c r="K78" s="51">
        <f>SUM(K75:K77)</f>
        <v/>
      </c>
      <c r="L78" s="51">
        <f>SUM(L75:L77)</f>
        <v/>
      </c>
      <c r="M78" s="51">
        <f>SUM(M75:M77)</f>
        <v/>
      </c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  <c r="AA78" s="49" t="n"/>
      <c r="AB78" s="49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  <c r="AL78" s="49" t="n"/>
      <c r="AM78" s="49" t="n"/>
      <c r="AN78" s="49" t="n"/>
      <c r="AO78" s="49" t="n"/>
      <c r="AP78" s="49" t="n"/>
      <c r="AQ78" s="49" t="n"/>
      <c r="AR78" s="49" t="n"/>
      <c r="AS78" s="49" t="n"/>
      <c r="AT78" s="49" t="n"/>
      <c r="AU78" s="49" t="n"/>
      <c r="AV78" s="49" t="n"/>
      <c r="AW78" s="49" t="n"/>
      <c r="AX78" s="49" t="n"/>
      <c r="AY78" s="49" t="n"/>
      <c r="AZ78" s="49" t="n"/>
      <c r="BA78" s="49" t="n"/>
      <c r="BB78" s="49" t="n"/>
      <c r="BC78" s="49" t="n"/>
      <c r="BD78" s="49" t="n"/>
      <c r="BE78" s="49" t="n"/>
      <c r="BF78" s="49" t="n"/>
      <c r="BG78" s="49" t="n"/>
      <c r="BH78" s="49" t="n"/>
      <c r="BI78" s="49" t="n"/>
      <c r="BJ78" s="49" t="n"/>
      <c r="BK78" s="49" t="n"/>
      <c r="BL78" s="49" t="n"/>
      <c r="BM78" s="49" t="n"/>
      <c r="BN78" s="49" t="n"/>
      <c r="BO78" s="49" t="n"/>
      <c r="BP78" s="49" t="n"/>
      <c r="BQ78" s="49" t="n"/>
      <c r="BR78" s="49" t="n"/>
      <c r="BS78" s="49" t="n"/>
      <c r="BT78" s="49" t="n"/>
      <c r="BU78" s="49" t="n"/>
      <c r="BV78" s="49" t="n"/>
      <c r="BW78" s="96" t="n"/>
      <c r="BX78" s="96" t="n"/>
      <c r="BY78" s="96" t="n"/>
      <c r="BZ78" s="96" t="n"/>
      <c r="CA78" s="96" t="n"/>
      <c r="CB78" s="96" t="n"/>
      <c r="CC78" s="96" t="n"/>
      <c r="CD78" s="96" t="n"/>
      <c r="CE78" s="96" t="n"/>
      <c r="CF78" s="96" t="n"/>
      <c r="CG78" s="96" t="n"/>
      <c r="CH78" s="96" t="n"/>
      <c r="CI78" s="96" t="n"/>
      <c r="CJ78" s="96" t="n"/>
      <c r="CK78" s="96" t="n"/>
      <c r="CL78" s="96" t="n"/>
      <c r="CM78" s="96" t="n"/>
      <c r="CN78" s="96" t="n"/>
      <c r="CO78" s="96" t="n"/>
      <c r="CP78" s="96" t="n"/>
      <c r="CQ78" s="96" t="n"/>
      <c r="CR78" s="96" t="n"/>
      <c r="CS78" s="96" t="n"/>
      <c r="CT78" s="96" t="n"/>
      <c r="CU78" s="96" t="n"/>
      <c r="CV78" s="96" t="n"/>
      <c r="CW78" s="96" t="n"/>
      <c r="CX78" s="96" t="n"/>
      <c r="CY78" s="96" t="n"/>
      <c r="CZ78" s="96" t="n"/>
      <c r="DA78" s="96" t="n"/>
      <c r="DB78" s="96" t="n"/>
      <c r="DC78" s="96" t="n"/>
      <c r="DD78" s="96" t="n"/>
      <c r="DE78" s="96" t="n"/>
      <c r="DF78" s="96" t="n"/>
      <c r="DG78" s="96" t="n"/>
      <c r="DH78" s="96" t="n"/>
      <c r="DI78" s="96" t="n"/>
      <c r="DJ78" s="96" t="n"/>
      <c r="DK78" s="96" t="n"/>
      <c r="DL78" s="96" t="n"/>
      <c r="DM78" s="96" t="n"/>
      <c r="DN78" s="96" t="n"/>
      <c r="DO78" s="96" t="n"/>
      <c r="DP78" s="96" t="n"/>
      <c r="DQ78" s="96" t="n"/>
      <c r="DR78" s="96" t="n"/>
    </row>
    <row r="79" ht="4.5" customHeight="1"/>
    <row r="80" outlineLevel="1" ht="15.75" customHeight="1">
      <c r="B80" s="5" t="inlineStr">
        <is>
          <t>YTD New Clients</t>
        </is>
      </c>
      <c r="E80" s="96" t="n"/>
      <c r="F80" s="97" t="n"/>
      <c r="G80" s="97" t="n"/>
      <c r="H80" s="97" t="n"/>
      <c r="I80" s="97" t="n"/>
      <c r="J80" s="97" t="n"/>
      <c r="K80" s="97" t="n"/>
      <c r="L80" s="97" t="n"/>
      <c r="M80" s="97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  <c r="AA80" s="98">
        <f>+'Bookings to Revenue_Calcs'!AA26</f>
        <v/>
      </c>
      <c r="AB80" s="98">
        <f>+'Bookings to Revenue_Calcs'!AB26</f>
        <v/>
      </c>
      <c r="AC80" s="98">
        <f>+'Bookings to Revenue_Calcs'!AC26</f>
        <v/>
      </c>
      <c r="AD80" s="98">
        <f>+'Bookings to Revenue_Calcs'!AD26</f>
        <v/>
      </c>
      <c r="AE80" s="98">
        <f>+'Bookings to Revenue_Calcs'!AE26</f>
        <v/>
      </c>
      <c r="AF80" s="98">
        <f>+'Bookings to Revenue_Calcs'!AF26</f>
        <v/>
      </c>
      <c r="AG80" s="98">
        <f>+'Bookings to Revenue_Calcs'!AG26</f>
        <v/>
      </c>
      <c r="AH80" s="98">
        <f>+'Bookings to Revenue_Calcs'!AH26</f>
        <v/>
      </c>
      <c r="AI80" s="98">
        <f>+'Bookings to Revenue_Calcs'!AI26</f>
        <v/>
      </c>
      <c r="AJ80" s="98">
        <f>+'Bookings to Revenue_Calcs'!AJ26</f>
        <v/>
      </c>
      <c r="AK80" s="98">
        <f>+'Bookings to Revenue_Calcs'!AK26</f>
        <v/>
      </c>
      <c r="AL80" s="98">
        <f>+'Bookings to Revenue_Calcs'!AL26</f>
        <v/>
      </c>
      <c r="AM80" s="98">
        <f>+'Bookings to Revenue_Calcs'!AM26</f>
        <v/>
      </c>
      <c r="AN80" s="98">
        <f>+'Bookings to Revenue_Calcs'!AN26</f>
        <v/>
      </c>
      <c r="AO80" s="98">
        <f>+'Bookings to Revenue_Calcs'!AO26</f>
        <v/>
      </c>
      <c r="AP80" s="98">
        <f>+'Bookings to Revenue_Calcs'!AP26</f>
        <v/>
      </c>
      <c r="AQ80" s="98">
        <f>+'Bookings to Revenue_Calcs'!AQ26</f>
        <v/>
      </c>
      <c r="AR80" s="98">
        <f>+'Bookings to Revenue_Calcs'!AR26</f>
        <v/>
      </c>
      <c r="AS80" s="98">
        <f>+'Bookings to Revenue_Calcs'!AS26</f>
        <v/>
      </c>
      <c r="AT80" s="98">
        <f>+'Bookings to Revenue_Calcs'!AT26</f>
        <v/>
      </c>
      <c r="AU80" s="98">
        <f>+'Bookings to Revenue_Calcs'!AU26</f>
        <v/>
      </c>
      <c r="AV80" s="98">
        <f>+'Bookings to Revenue_Calcs'!AV26</f>
        <v/>
      </c>
      <c r="AW80" s="98">
        <f>+'Bookings to Revenue_Calcs'!AW26</f>
        <v/>
      </c>
      <c r="AX80" s="98">
        <f>+'Bookings to Revenue_Calcs'!AX26</f>
        <v/>
      </c>
      <c r="AY80" s="98">
        <f>+'Bookings to Revenue_Calcs'!AY26</f>
        <v/>
      </c>
      <c r="AZ80" s="98">
        <f>+'Bookings to Revenue_Calcs'!AZ26</f>
        <v/>
      </c>
      <c r="BA80" s="98">
        <f>+'Bookings to Revenue_Calcs'!BA26</f>
        <v/>
      </c>
      <c r="BB80" s="98">
        <f>+'Bookings to Revenue_Calcs'!BB26</f>
        <v/>
      </c>
      <c r="BC80" s="98">
        <f>+'Bookings to Revenue_Calcs'!BC26</f>
        <v/>
      </c>
      <c r="BD80" s="98">
        <f>+'Bookings to Revenue_Calcs'!BD26</f>
        <v/>
      </c>
      <c r="BE80" s="98">
        <f>+'Bookings to Revenue_Calcs'!BE26</f>
        <v/>
      </c>
      <c r="BF80" s="98">
        <f>+'Bookings to Revenue_Calcs'!BF26</f>
        <v/>
      </c>
      <c r="BG80" s="98">
        <f>+'Bookings to Revenue_Calcs'!BG26</f>
        <v/>
      </c>
      <c r="BH80" s="98">
        <f>+'Bookings to Revenue_Calcs'!BH26</f>
        <v/>
      </c>
      <c r="BI80" s="98">
        <f>+'Bookings to Revenue_Calcs'!BI26</f>
        <v/>
      </c>
      <c r="BJ80" s="98">
        <f>+'Bookings to Revenue_Calcs'!BJ26</f>
        <v/>
      </c>
      <c r="BK80" s="98">
        <f>+'Bookings to Revenue_Calcs'!BK26</f>
        <v/>
      </c>
      <c r="BL80" s="98">
        <f>+'Bookings to Revenue_Calcs'!BL26</f>
        <v/>
      </c>
      <c r="BM80" s="98">
        <f>+'Bookings to Revenue_Calcs'!BM26</f>
        <v/>
      </c>
      <c r="BN80" s="98">
        <f>+'Bookings to Revenue_Calcs'!BN26</f>
        <v/>
      </c>
      <c r="BO80" s="98">
        <f>+'Bookings to Revenue_Calcs'!BO26</f>
        <v/>
      </c>
      <c r="BP80" s="98">
        <f>+'Bookings to Revenue_Calcs'!BP26</f>
        <v/>
      </c>
      <c r="BQ80" s="98">
        <f>+'Bookings to Revenue_Calcs'!BQ26</f>
        <v/>
      </c>
      <c r="BR80" s="98">
        <f>+'Bookings to Revenue_Calcs'!BR26</f>
        <v/>
      </c>
      <c r="BS80" s="98">
        <f>+'Bookings to Revenue_Calcs'!BS26</f>
        <v/>
      </c>
      <c r="BT80" s="98">
        <f>+'Bookings to Revenue_Calcs'!BT26</f>
        <v/>
      </c>
      <c r="BU80" s="98">
        <f>+'Bookings to Revenue_Calcs'!BU26</f>
        <v/>
      </c>
      <c r="BV80" s="98">
        <f>+'Bookings to Revenue_Calcs'!BV26</f>
        <v/>
      </c>
      <c r="BW80" s="98">
        <f>+'Bookings to Revenue_Calcs'!BW26</f>
        <v/>
      </c>
      <c r="BX80" s="98">
        <f>+'Bookings to Revenue_Calcs'!BX26</f>
        <v/>
      </c>
      <c r="BY80" s="98">
        <f>+'Bookings to Revenue_Calcs'!BY26</f>
        <v/>
      </c>
      <c r="BZ80" s="98">
        <f>+'Bookings to Revenue_Calcs'!BZ26</f>
        <v/>
      </c>
      <c r="CA80" s="98">
        <f>+'Bookings to Revenue_Calcs'!CA26</f>
        <v/>
      </c>
      <c r="CB80" s="98">
        <f>+'Bookings to Revenue_Calcs'!CB26</f>
        <v/>
      </c>
      <c r="CC80" s="98">
        <f>+'Bookings to Revenue_Calcs'!CC26</f>
        <v/>
      </c>
      <c r="CD80" s="98">
        <f>+'Bookings to Revenue_Calcs'!CD26</f>
        <v/>
      </c>
      <c r="CE80" s="98">
        <f>+'Bookings to Revenue_Calcs'!CE26</f>
        <v/>
      </c>
      <c r="CF80" s="98">
        <f>+'Bookings to Revenue_Calcs'!CF26</f>
        <v/>
      </c>
      <c r="CG80" s="98">
        <f>+'Bookings to Revenue_Calcs'!CG26</f>
        <v/>
      </c>
      <c r="CH80" s="98">
        <f>+'Bookings to Revenue_Calcs'!CH26</f>
        <v/>
      </c>
      <c r="CI80" s="98">
        <f>+'Bookings to Revenue_Calcs'!CI26</f>
        <v/>
      </c>
      <c r="CJ80" s="98">
        <f>+'Bookings to Revenue_Calcs'!CJ26</f>
        <v/>
      </c>
      <c r="CK80" s="98">
        <f>+'Bookings to Revenue_Calcs'!CK26</f>
        <v/>
      </c>
      <c r="CL80" s="98">
        <f>+'Bookings to Revenue_Calcs'!CL26</f>
        <v/>
      </c>
      <c r="CM80" s="98">
        <f>+'Bookings to Revenue_Calcs'!CM26</f>
        <v/>
      </c>
      <c r="CN80" s="98">
        <f>+'Bookings to Revenue_Calcs'!CN26</f>
        <v/>
      </c>
      <c r="CO80" s="98">
        <f>+'Bookings to Revenue_Calcs'!CO26</f>
        <v/>
      </c>
      <c r="CP80" s="98">
        <f>+'Bookings to Revenue_Calcs'!CP26</f>
        <v/>
      </c>
      <c r="CQ80" s="98">
        <f>+'Bookings to Revenue_Calcs'!CQ26</f>
        <v/>
      </c>
      <c r="CR80" s="98">
        <f>+'Bookings to Revenue_Calcs'!CR26</f>
        <v/>
      </c>
      <c r="CS80" s="98">
        <f>+'Bookings to Revenue_Calcs'!CS26</f>
        <v/>
      </c>
      <c r="CT80" s="98">
        <f>+'Bookings to Revenue_Calcs'!CT26</f>
        <v/>
      </c>
      <c r="CU80" s="98">
        <f>+'Bookings to Revenue_Calcs'!CU26</f>
        <v/>
      </c>
      <c r="CV80" s="98">
        <f>+'Bookings to Revenue_Calcs'!CV26</f>
        <v/>
      </c>
      <c r="CW80" s="98">
        <f>+'Bookings to Revenue_Calcs'!CW26</f>
        <v/>
      </c>
      <c r="CX80" s="98">
        <f>+'Bookings to Revenue_Calcs'!CX26</f>
        <v/>
      </c>
      <c r="CY80" s="98">
        <f>+'Bookings to Revenue_Calcs'!CY26</f>
        <v/>
      </c>
      <c r="CZ80" s="98">
        <f>+'Bookings to Revenue_Calcs'!CZ26</f>
        <v/>
      </c>
      <c r="DA80" s="98">
        <f>+'Bookings to Revenue_Calcs'!DA26</f>
        <v/>
      </c>
      <c r="DB80" s="98">
        <f>+'Bookings to Revenue_Calcs'!DB26</f>
        <v/>
      </c>
      <c r="DC80" s="98">
        <f>+'Bookings to Revenue_Calcs'!DC26</f>
        <v/>
      </c>
      <c r="DD80" s="98">
        <f>+'Bookings to Revenue_Calcs'!DD26</f>
        <v/>
      </c>
      <c r="DE80" s="98">
        <f>+'Bookings to Revenue_Calcs'!DE26</f>
        <v/>
      </c>
      <c r="DF80" s="98">
        <f>+'Bookings to Revenue_Calcs'!DF26</f>
        <v/>
      </c>
      <c r="DG80" s="98">
        <f>+'Bookings to Revenue_Calcs'!DG26</f>
        <v/>
      </c>
      <c r="DH80" s="98">
        <f>+'Bookings to Revenue_Calcs'!DH26</f>
        <v/>
      </c>
      <c r="DI80" s="98">
        <f>+'Bookings to Revenue_Calcs'!DI26</f>
        <v/>
      </c>
      <c r="DJ80" s="98">
        <f>+'Bookings to Revenue_Calcs'!DJ26</f>
        <v/>
      </c>
      <c r="DK80" s="98">
        <f>+'Bookings to Revenue_Calcs'!DK26</f>
        <v/>
      </c>
      <c r="DL80" s="98">
        <f>+'Bookings to Revenue_Calcs'!DL26</f>
        <v/>
      </c>
      <c r="DM80" s="98">
        <f>+'Bookings to Revenue_Calcs'!DM26</f>
        <v/>
      </c>
      <c r="DN80" s="98">
        <f>+'Bookings to Revenue_Calcs'!DN26</f>
        <v/>
      </c>
      <c r="DO80" s="98">
        <f>+'Bookings to Revenue_Calcs'!DO26</f>
        <v/>
      </c>
      <c r="DP80" s="98">
        <f>+'Bookings to Revenue_Calcs'!DP26</f>
        <v/>
      </c>
      <c r="DQ80" s="98">
        <f>+'Bookings to Revenue_Calcs'!DQ26</f>
        <v/>
      </c>
      <c r="DR80" s="98">
        <f>+'Bookings to Revenue_Calcs'!DR26</f>
        <v/>
      </c>
    </row>
    <row r="81" outlineLevel="1" ht="15.75" customHeight="1">
      <c r="B81" s="5" t="inlineStr">
        <is>
          <t>Avg Revenue per New Client</t>
        </is>
      </c>
      <c r="E81" s="96" t="n"/>
      <c r="F81" s="49" t="n"/>
      <c r="G81" s="49" t="n"/>
      <c r="H81" s="49" t="n"/>
      <c r="I81" s="49" t="n"/>
      <c r="J81" s="49" t="n"/>
      <c r="K81" s="49" t="n"/>
      <c r="L81" s="49" t="n"/>
      <c r="M81" s="49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  <c r="AA81" s="48">
        <f>+SUMIFS(Revenue_Assumptions!$E18:$M18,Revenue_Assumptions!$E$7:$M$7,AA$7)/12</f>
        <v/>
      </c>
      <c r="AB81" s="48">
        <f>+SUMIFS(Revenue_Assumptions!$E18:$M18,Revenue_Assumptions!$E$7:$M$7,AB$7)/12</f>
        <v/>
      </c>
      <c r="AC81" s="48">
        <f>+SUMIFS(Revenue_Assumptions!$E18:$M18,Revenue_Assumptions!$E$7:$M$7,AC$7)/12</f>
        <v/>
      </c>
      <c r="AD81" s="48">
        <f>+SUMIFS(Revenue_Assumptions!$E18:$M18,Revenue_Assumptions!$E$7:$M$7,AD$7)/12</f>
        <v/>
      </c>
      <c r="AE81" s="48">
        <f>+SUMIFS(Revenue_Assumptions!$E18:$M18,Revenue_Assumptions!$E$7:$M$7,AE$7)/12</f>
        <v/>
      </c>
      <c r="AF81" s="48">
        <f>+SUMIFS(Revenue_Assumptions!$E18:$M18,Revenue_Assumptions!$E$7:$M$7,AF$7)/12</f>
        <v/>
      </c>
      <c r="AG81" s="48">
        <f>+SUMIFS(Revenue_Assumptions!$E18:$M18,Revenue_Assumptions!$E$7:$M$7,AG$7)/12</f>
        <v/>
      </c>
      <c r="AH81" s="48">
        <f>+SUMIFS(Revenue_Assumptions!$E18:$M18,Revenue_Assumptions!$E$7:$M$7,AH$7)/12</f>
        <v/>
      </c>
      <c r="AI81" s="48">
        <f>+SUMIFS(Revenue_Assumptions!$E18:$M18,Revenue_Assumptions!$E$7:$M$7,AI$7)/12</f>
        <v/>
      </c>
      <c r="AJ81" s="48">
        <f>+SUMIFS(Revenue_Assumptions!$E18:$M18,Revenue_Assumptions!$E$7:$M$7,AJ$7)/12</f>
        <v/>
      </c>
      <c r="AK81" s="48">
        <f>+SUMIFS(Revenue_Assumptions!$E18:$M18,Revenue_Assumptions!$E$7:$M$7,AK$7)/12</f>
        <v/>
      </c>
      <c r="AL81" s="48">
        <f>+SUMIFS(Revenue_Assumptions!$E18:$M18,Revenue_Assumptions!$E$7:$M$7,AL$7)/12</f>
        <v/>
      </c>
      <c r="AM81" s="48">
        <f>+SUMIFS(Revenue_Assumptions!$E18:$M18,Revenue_Assumptions!$E$7:$M$7,AM$7)/12</f>
        <v/>
      </c>
      <c r="AN81" s="48">
        <f>+SUMIFS(Revenue_Assumptions!$E18:$M18,Revenue_Assumptions!$E$7:$M$7,AN$7)/12</f>
        <v/>
      </c>
      <c r="AO81" s="48">
        <f>+SUMIFS(Revenue_Assumptions!$E18:$M18,Revenue_Assumptions!$E$7:$M$7,AO$7)/12</f>
        <v/>
      </c>
      <c r="AP81" s="48">
        <f>+SUMIFS(Revenue_Assumptions!$E18:$M18,Revenue_Assumptions!$E$7:$M$7,AP$7)/12</f>
        <v/>
      </c>
      <c r="AQ81" s="48">
        <f>+SUMIFS(Revenue_Assumptions!$E18:$M18,Revenue_Assumptions!$E$7:$M$7,AQ$7)/12</f>
        <v/>
      </c>
      <c r="AR81" s="48">
        <f>+SUMIFS(Revenue_Assumptions!$E18:$M18,Revenue_Assumptions!$E$7:$M$7,AR$7)/12</f>
        <v/>
      </c>
      <c r="AS81" s="48">
        <f>+SUMIFS(Revenue_Assumptions!$E18:$M18,Revenue_Assumptions!$E$7:$M$7,AS$7)/12</f>
        <v/>
      </c>
      <c r="AT81" s="48">
        <f>+SUMIFS(Revenue_Assumptions!$E18:$M18,Revenue_Assumptions!$E$7:$M$7,AT$7)/12</f>
        <v/>
      </c>
      <c r="AU81" s="48">
        <f>+SUMIFS(Revenue_Assumptions!$E18:$M18,Revenue_Assumptions!$E$7:$M$7,AU$7)/12</f>
        <v/>
      </c>
      <c r="AV81" s="48">
        <f>+SUMIFS(Revenue_Assumptions!$E18:$M18,Revenue_Assumptions!$E$7:$M$7,AV$7)/12</f>
        <v/>
      </c>
      <c r="AW81" s="48">
        <f>+SUMIFS(Revenue_Assumptions!$E18:$M18,Revenue_Assumptions!$E$7:$M$7,AW$7)/12</f>
        <v/>
      </c>
      <c r="AX81" s="48">
        <f>+SUMIFS(Revenue_Assumptions!$E18:$M18,Revenue_Assumptions!$E$7:$M$7,AX$7)/12</f>
        <v/>
      </c>
      <c r="AY81" s="48">
        <f>+SUMIFS(Revenue_Assumptions!$E18:$M18,Revenue_Assumptions!$E$7:$M$7,AY$7)/12</f>
        <v/>
      </c>
      <c r="AZ81" s="48">
        <f>+SUMIFS(Revenue_Assumptions!$E18:$M18,Revenue_Assumptions!$E$7:$M$7,AZ$7)/12</f>
        <v/>
      </c>
      <c r="BA81" s="48">
        <f>+SUMIFS(Revenue_Assumptions!$E18:$M18,Revenue_Assumptions!$E$7:$M$7,BA$7)/12</f>
        <v/>
      </c>
      <c r="BB81" s="48">
        <f>+SUMIFS(Revenue_Assumptions!$E18:$M18,Revenue_Assumptions!$E$7:$M$7,BB$7)/12</f>
        <v/>
      </c>
      <c r="BC81" s="48">
        <f>+SUMIFS(Revenue_Assumptions!$E18:$M18,Revenue_Assumptions!$E$7:$M$7,BC$7)/12</f>
        <v/>
      </c>
      <c r="BD81" s="48">
        <f>+SUMIFS(Revenue_Assumptions!$E18:$M18,Revenue_Assumptions!$E$7:$M$7,BD$7)/12</f>
        <v/>
      </c>
      <c r="BE81" s="48">
        <f>+SUMIFS(Revenue_Assumptions!$E18:$M18,Revenue_Assumptions!$E$7:$M$7,BE$7)/12</f>
        <v/>
      </c>
      <c r="BF81" s="48">
        <f>+SUMIFS(Revenue_Assumptions!$E18:$M18,Revenue_Assumptions!$E$7:$M$7,BF$7)/12</f>
        <v/>
      </c>
      <c r="BG81" s="48">
        <f>+SUMIFS(Revenue_Assumptions!$E18:$M18,Revenue_Assumptions!$E$7:$M$7,BG$7)/12</f>
        <v/>
      </c>
      <c r="BH81" s="48">
        <f>+SUMIFS(Revenue_Assumptions!$E18:$M18,Revenue_Assumptions!$E$7:$M$7,BH$7)/12</f>
        <v/>
      </c>
      <c r="BI81" s="48">
        <f>+SUMIFS(Revenue_Assumptions!$E18:$M18,Revenue_Assumptions!$E$7:$M$7,BI$7)/12</f>
        <v/>
      </c>
      <c r="BJ81" s="48">
        <f>+SUMIFS(Revenue_Assumptions!$E18:$M18,Revenue_Assumptions!$E$7:$M$7,BJ$7)/12</f>
        <v/>
      </c>
      <c r="BK81" s="48">
        <f>+SUMIFS(Revenue_Assumptions!$E18:$M18,Revenue_Assumptions!$E$7:$M$7,BK$7)/12</f>
        <v/>
      </c>
      <c r="BL81" s="48">
        <f>+SUMIFS(Revenue_Assumptions!$E18:$M18,Revenue_Assumptions!$E$7:$M$7,BL$7)/12</f>
        <v/>
      </c>
      <c r="BM81" s="48">
        <f>+SUMIFS(Revenue_Assumptions!$E18:$M18,Revenue_Assumptions!$E$7:$M$7,BM$7)/12</f>
        <v/>
      </c>
      <c r="BN81" s="48">
        <f>+SUMIFS(Revenue_Assumptions!$E18:$M18,Revenue_Assumptions!$E$7:$M$7,BN$7)/12</f>
        <v/>
      </c>
      <c r="BO81" s="48">
        <f>+SUMIFS(Revenue_Assumptions!$E18:$M18,Revenue_Assumptions!$E$7:$M$7,BO$7)/12</f>
        <v/>
      </c>
      <c r="BP81" s="48">
        <f>+SUMIFS(Revenue_Assumptions!$E18:$M18,Revenue_Assumptions!$E$7:$M$7,BP$7)/12</f>
        <v/>
      </c>
      <c r="BQ81" s="48">
        <f>+SUMIFS(Revenue_Assumptions!$E18:$M18,Revenue_Assumptions!$E$7:$M$7,BQ$7)/12</f>
        <v/>
      </c>
      <c r="BR81" s="48">
        <f>+SUMIFS(Revenue_Assumptions!$E18:$M18,Revenue_Assumptions!$E$7:$M$7,BR$7)/12</f>
        <v/>
      </c>
      <c r="BS81" s="48">
        <f>+SUMIFS(Revenue_Assumptions!$E18:$M18,Revenue_Assumptions!$E$7:$M$7,BS$7)/12</f>
        <v/>
      </c>
      <c r="BT81" s="48">
        <f>+SUMIFS(Revenue_Assumptions!$E18:$M18,Revenue_Assumptions!$E$7:$M$7,BT$7)/12</f>
        <v/>
      </c>
      <c r="BU81" s="48">
        <f>+SUMIFS(Revenue_Assumptions!$E18:$M18,Revenue_Assumptions!$E$7:$M$7,BU$7)/12</f>
        <v/>
      </c>
      <c r="BV81" s="48">
        <f>+SUMIFS(Revenue_Assumptions!$E18:$M18,Revenue_Assumptions!$E$7:$M$7,BV$7)/12</f>
        <v/>
      </c>
      <c r="BW81" s="48">
        <f>+SUMIFS(Revenue_Assumptions!$E18:$M18,Revenue_Assumptions!$E$7:$M$7,BW$7)/12</f>
        <v/>
      </c>
      <c r="BX81" s="48">
        <f>+SUMIFS(Revenue_Assumptions!$E18:$M18,Revenue_Assumptions!$E$7:$M$7,BX$7)/12</f>
        <v/>
      </c>
      <c r="BY81" s="48">
        <f>+SUMIFS(Revenue_Assumptions!$E18:$M18,Revenue_Assumptions!$E$7:$M$7,BY$7)/12</f>
        <v/>
      </c>
      <c r="BZ81" s="48">
        <f>+SUMIFS(Revenue_Assumptions!$E18:$M18,Revenue_Assumptions!$E$7:$M$7,BZ$7)/12</f>
        <v/>
      </c>
      <c r="CA81" s="48">
        <f>+SUMIFS(Revenue_Assumptions!$E18:$M18,Revenue_Assumptions!$E$7:$M$7,CA$7)/12</f>
        <v/>
      </c>
      <c r="CB81" s="48">
        <f>+SUMIFS(Revenue_Assumptions!$E18:$M18,Revenue_Assumptions!$E$7:$M$7,CB$7)/12</f>
        <v/>
      </c>
      <c r="CC81" s="48">
        <f>+SUMIFS(Revenue_Assumptions!$E18:$M18,Revenue_Assumptions!$E$7:$M$7,CC$7)/12</f>
        <v/>
      </c>
      <c r="CD81" s="48">
        <f>+SUMIFS(Revenue_Assumptions!$E18:$M18,Revenue_Assumptions!$E$7:$M$7,CD$7)/12</f>
        <v/>
      </c>
      <c r="CE81" s="48">
        <f>+SUMIFS(Revenue_Assumptions!$E18:$M18,Revenue_Assumptions!$E$7:$M$7,CE$7)/12</f>
        <v/>
      </c>
      <c r="CF81" s="48">
        <f>+SUMIFS(Revenue_Assumptions!$E18:$M18,Revenue_Assumptions!$E$7:$M$7,CF$7)/12</f>
        <v/>
      </c>
      <c r="CG81" s="48">
        <f>+SUMIFS(Revenue_Assumptions!$E18:$M18,Revenue_Assumptions!$E$7:$M$7,CG$7)/12</f>
        <v/>
      </c>
      <c r="CH81" s="48">
        <f>+SUMIFS(Revenue_Assumptions!$E18:$M18,Revenue_Assumptions!$E$7:$M$7,CH$7)/12</f>
        <v/>
      </c>
      <c r="CI81" s="48">
        <f>+SUMIFS(Revenue_Assumptions!$E18:$M18,Revenue_Assumptions!$E$7:$M$7,CI$7)/12</f>
        <v/>
      </c>
      <c r="CJ81" s="48">
        <f>+SUMIFS(Revenue_Assumptions!$E18:$M18,Revenue_Assumptions!$E$7:$M$7,CJ$7)/12</f>
        <v/>
      </c>
      <c r="CK81" s="48">
        <f>+SUMIFS(Revenue_Assumptions!$E18:$M18,Revenue_Assumptions!$E$7:$M$7,CK$7)/12</f>
        <v/>
      </c>
      <c r="CL81" s="48">
        <f>+SUMIFS(Revenue_Assumptions!$E18:$M18,Revenue_Assumptions!$E$7:$M$7,CL$7)/12</f>
        <v/>
      </c>
      <c r="CM81" s="48">
        <f>+SUMIFS(Revenue_Assumptions!$E18:$M18,Revenue_Assumptions!$E$7:$M$7,CM$7)/12</f>
        <v/>
      </c>
      <c r="CN81" s="48">
        <f>+SUMIFS(Revenue_Assumptions!$E18:$M18,Revenue_Assumptions!$E$7:$M$7,CN$7)/12</f>
        <v/>
      </c>
      <c r="CO81" s="48">
        <f>+SUMIFS(Revenue_Assumptions!$E18:$M18,Revenue_Assumptions!$E$7:$M$7,CO$7)/12</f>
        <v/>
      </c>
      <c r="CP81" s="48">
        <f>+SUMIFS(Revenue_Assumptions!$E18:$M18,Revenue_Assumptions!$E$7:$M$7,CP$7)/12</f>
        <v/>
      </c>
      <c r="CQ81" s="48">
        <f>+SUMIFS(Revenue_Assumptions!$E18:$M18,Revenue_Assumptions!$E$7:$M$7,CQ$7)/12</f>
        <v/>
      </c>
      <c r="CR81" s="48">
        <f>+SUMIFS(Revenue_Assumptions!$E18:$M18,Revenue_Assumptions!$E$7:$M$7,CR$7)/12</f>
        <v/>
      </c>
      <c r="CS81" s="48">
        <f>+SUMIFS(Revenue_Assumptions!$E18:$M18,Revenue_Assumptions!$E$7:$M$7,CS$7)/12</f>
        <v/>
      </c>
      <c r="CT81" s="48">
        <f>+SUMIFS(Revenue_Assumptions!$E18:$M18,Revenue_Assumptions!$E$7:$M$7,CT$7)/12</f>
        <v/>
      </c>
      <c r="CU81" s="48">
        <f>+SUMIFS(Revenue_Assumptions!$E18:$M18,Revenue_Assumptions!$E$7:$M$7,CU$7)/12</f>
        <v/>
      </c>
      <c r="CV81" s="48">
        <f>+SUMIFS(Revenue_Assumptions!$E18:$M18,Revenue_Assumptions!$E$7:$M$7,CV$7)/12</f>
        <v/>
      </c>
      <c r="CW81" s="48">
        <f>+SUMIFS(Revenue_Assumptions!$E18:$M18,Revenue_Assumptions!$E$7:$M$7,CW$7)/12</f>
        <v/>
      </c>
      <c r="CX81" s="48">
        <f>+SUMIFS(Revenue_Assumptions!$E18:$M18,Revenue_Assumptions!$E$7:$M$7,CX$7)/12</f>
        <v/>
      </c>
      <c r="CY81" s="48">
        <f>+SUMIFS(Revenue_Assumptions!$E18:$M18,Revenue_Assumptions!$E$7:$M$7,CY$7)/12</f>
        <v/>
      </c>
      <c r="CZ81" s="48">
        <f>+SUMIFS(Revenue_Assumptions!$E18:$M18,Revenue_Assumptions!$E$7:$M$7,CZ$7)/12</f>
        <v/>
      </c>
      <c r="DA81" s="48">
        <f>+SUMIFS(Revenue_Assumptions!$E18:$M18,Revenue_Assumptions!$E$7:$M$7,DA$7)/12</f>
        <v/>
      </c>
      <c r="DB81" s="48">
        <f>+SUMIFS(Revenue_Assumptions!$E18:$M18,Revenue_Assumptions!$E$7:$M$7,DB$7)/12</f>
        <v/>
      </c>
      <c r="DC81" s="48">
        <f>+SUMIFS(Revenue_Assumptions!$E18:$M18,Revenue_Assumptions!$E$7:$M$7,DC$7)/12</f>
        <v/>
      </c>
      <c r="DD81" s="48">
        <f>+SUMIFS(Revenue_Assumptions!$E18:$M18,Revenue_Assumptions!$E$7:$M$7,DD$7)/12</f>
        <v/>
      </c>
      <c r="DE81" s="48">
        <f>+SUMIFS(Revenue_Assumptions!$E18:$M18,Revenue_Assumptions!$E$7:$M$7,DE$7)/12</f>
        <v/>
      </c>
      <c r="DF81" s="48">
        <f>+SUMIFS(Revenue_Assumptions!$E18:$M18,Revenue_Assumptions!$E$7:$M$7,DF$7)/12</f>
        <v/>
      </c>
      <c r="DG81" s="48">
        <f>+SUMIFS(Revenue_Assumptions!$E18:$M18,Revenue_Assumptions!$E$7:$M$7,DG$7)/12</f>
        <v/>
      </c>
      <c r="DH81" s="48">
        <f>+SUMIFS(Revenue_Assumptions!$E18:$M18,Revenue_Assumptions!$E$7:$M$7,DH$7)/12</f>
        <v/>
      </c>
      <c r="DI81" s="48">
        <f>+SUMIFS(Revenue_Assumptions!$E18:$M18,Revenue_Assumptions!$E$7:$M$7,DI$7)/12</f>
        <v/>
      </c>
      <c r="DJ81" s="48">
        <f>+SUMIFS(Revenue_Assumptions!$E18:$M18,Revenue_Assumptions!$E$7:$M$7,DJ$7)/12</f>
        <v/>
      </c>
      <c r="DK81" s="48">
        <f>+SUMIFS(Revenue_Assumptions!$E18:$M18,Revenue_Assumptions!$E$7:$M$7,DK$7)/12</f>
        <v/>
      </c>
      <c r="DL81" s="48">
        <f>+SUMIFS(Revenue_Assumptions!$E18:$M18,Revenue_Assumptions!$E$7:$M$7,DL$7)/12</f>
        <v/>
      </c>
      <c r="DM81" s="48">
        <f>+SUMIFS(Revenue_Assumptions!$E18:$M18,Revenue_Assumptions!$E$7:$M$7,DM$7)/12</f>
        <v/>
      </c>
      <c r="DN81" s="48">
        <f>+SUMIFS(Revenue_Assumptions!$E18:$M18,Revenue_Assumptions!$E$7:$M$7,DN$7)/12</f>
        <v/>
      </c>
      <c r="DO81" s="48">
        <f>+SUMIFS(Revenue_Assumptions!$E18:$M18,Revenue_Assumptions!$E$7:$M$7,DO$7)/12</f>
        <v/>
      </c>
      <c r="DP81" s="48">
        <f>+SUMIFS(Revenue_Assumptions!$E18:$M18,Revenue_Assumptions!$E$7:$M$7,DP$7)/12</f>
        <v/>
      </c>
      <c r="DQ81" s="48">
        <f>+SUMIFS(Revenue_Assumptions!$E18:$M18,Revenue_Assumptions!$E$7:$M$7,DQ$7)/12</f>
        <v/>
      </c>
      <c r="DR81" s="48">
        <f>+SUMIFS(Revenue_Assumptions!$E18:$M18,Revenue_Assumptions!$E$7:$M$7,DR$7)/12</f>
        <v/>
      </c>
    </row>
    <row r="82" outlineLevel="1" ht="15.75" customHeight="1">
      <c r="B82" s="50" t="inlineStr">
        <is>
          <t>New Revenue</t>
        </is>
      </c>
      <c r="C82" s="50" t="n"/>
      <c r="E82" s="51">
        <f>+SUMIFS($AA82:$DR82,$AA$7:$DR$7,E$7)</f>
        <v/>
      </c>
      <c r="F82" s="51">
        <f>+SUMIFS($AA82:$DR82,$AA$7:$DR$7,F$7)</f>
        <v/>
      </c>
      <c r="G82" s="51">
        <f>+SUMIFS($AA82:$DR82,$AA$7:$DR$7,G$7)</f>
        <v/>
      </c>
      <c r="H82" s="51">
        <f>+SUMIFS($AA82:$DR82,$AA$7:$DR$7,H$7)</f>
        <v/>
      </c>
      <c r="I82" s="51">
        <f>+SUMIFS($AA82:$DR82,$AA$7:$DR$7,I$7)</f>
        <v/>
      </c>
      <c r="J82" s="51">
        <f>+SUMIFS($AA82:$DR82,$AA$7:$DR$7,J$7)</f>
        <v/>
      </c>
      <c r="K82" s="51">
        <f>+SUMIFS($AA82:$DR82,$AA$7:$DR$7,K$7)</f>
        <v/>
      </c>
      <c r="L82" s="51">
        <f>+SUMIFS($AA82:$DR82,$AA$7:$DR$7,L$7)</f>
        <v/>
      </c>
      <c r="M82" s="51">
        <f>+SUMIFS($AA82:$DR82,$AA$7:$DR$7,M$7)</f>
        <v/>
      </c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51">
        <f>+AA80*AA81</f>
        <v/>
      </c>
      <c r="AB82" s="51">
        <f>+AB80*AB81</f>
        <v/>
      </c>
      <c r="AC82" s="51">
        <f>+AC80*AC81</f>
        <v/>
      </c>
      <c r="AD82" s="51">
        <f>+AD80*AD81</f>
        <v/>
      </c>
      <c r="AE82" s="51">
        <f>+AE80*AE81</f>
        <v/>
      </c>
      <c r="AF82" s="51">
        <f>+AF80*AF81</f>
        <v/>
      </c>
      <c r="AG82" s="51">
        <f>+AG80*AG81</f>
        <v/>
      </c>
      <c r="AH82" s="51">
        <f>+AH80*AH81</f>
        <v/>
      </c>
      <c r="AI82" s="51">
        <f>+AI80*AI81</f>
        <v/>
      </c>
      <c r="AJ82" s="51">
        <f>+AJ80*AJ81</f>
        <v/>
      </c>
      <c r="AK82" s="51">
        <f>+AK80*AK81</f>
        <v/>
      </c>
      <c r="AL82" s="51">
        <f>+AL80*AL81</f>
        <v/>
      </c>
      <c r="AM82" s="51">
        <f>+AM80*AM81</f>
        <v/>
      </c>
      <c r="AN82" s="51">
        <f>+AN80*AN81</f>
        <v/>
      </c>
      <c r="AO82" s="51">
        <f>+AO80*AO81</f>
        <v/>
      </c>
      <c r="AP82" s="51">
        <f>+AP80*AP81</f>
        <v/>
      </c>
      <c r="AQ82" s="51">
        <f>+AQ80*AQ81</f>
        <v/>
      </c>
      <c r="AR82" s="51">
        <f>+AR80*AR81</f>
        <v/>
      </c>
      <c r="AS82" s="51">
        <f>+AS80*AS81</f>
        <v/>
      </c>
      <c r="AT82" s="51">
        <f>+AT80*AT81</f>
        <v/>
      </c>
      <c r="AU82" s="51">
        <f>+AU80*AU81</f>
        <v/>
      </c>
      <c r="AV82" s="51">
        <f>+AV80*AV81</f>
        <v/>
      </c>
      <c r="AW82" s="51">
        <f>+AW80*AW81</f>
        <v/>
      </c>
      <c r="AX82" s="51">
        <f>+AX80*AX81</f>
        <v/>
      </c>
      <c r="AY82" s="51">
        <f>+AY80*AY81</f>
        <v/>
      </c>
      <c r="AZ82" s="51">
        <f>+AZ80*AZ81</f>
        <v/>
      </c>
      <c r="BA82" s="51">
        <f>+BA80*BA81</f>
        <v/>
      </c>
      <c r="BB82" s="51">
        <f>+BB80*BB81</f>
        <v/>
      </c>
      <c r="BC82" s="51">
        <f>+BC80*BC81</f>
        <v/>
      </c>
      <c r="BD82" s="51">
        <f>+BD80*BD81</f>
        <v/>
      </c>
      <c r="BE82" s="51">
        <f>+BE80*BE81</f>
        <v/>
      </c>
      <c r="BF82" s="51">
        <f>+BF80*BF81</f>
        <v/>
      </c>
      <c r="BG82" s="51">
        <f>+BG80*BG81</f>
        <v/>
      </c>
      <c r="BH82" s="51">
        <f>+BH80*BH81</f>
        <v/>
      </c>
      <c r="BI82" s="51">
        <f>+BI80*BI81</f>
        <v/>
      </c>
      <c r="BJ82" s="51">
        <f>+BJ80*BJ81</f>
        <v/>
      </c>
      <c r="BK82" s="51">
        <f>+BK80*BK81</f>
        <v/>
      </c>
      <c r="BL82" s="51">
        <f>+BL80*BL81</f>
        <v/>
      </c>
      <c r="BM82" s="51">
        <f>+BM80*BM81</f>
        <v/>
      </c>
      <c r="BN82" s="51">
        <f>+BN80*BN81</f>
        <v/>
      </c>
      <c r="BO82" s="51">
        <f>+BO80*BO81</f>
        <v/>
      </c>
      <c r="BP82" s="51">
        <f>+BP80*BP81</f>
        <v/>
      </c>
      <c r="BQ82" s="51">
        <f>+BQ80*BQ81</f>
        <v/>
      </c>
      <c r="BR82" s="51">
        <f>+BR80*BR81</f>
        <v/>
      </c>
      <c r="BS82" s="51">
        <f>+BS80*BS81</f>
        <v/>
      </c>
      <c r="BT82" s="51">
        <f>+BT80*BT81</f>
        <v/>
      </c>
      <c r="BU82" s="51">
        <f>+BU80*BU81</f>
        <v/>
      </c>
      <c r="BV82" s="51">
        <f>+BV80*BV81</f>
        <v/>
      </c>
      <c r="BW82" s="51">
        <f>+BW80*BW81</f>
        <v/>
      </c>
      <c r="BX82" s="51">
        <f>+BX80*BX81</f>
        <v/>
      </c>
      <c r="BY82" s="51">
        <f>+BY80*BY81</f>
        <v/>
      </c>
      <c r="BZ82" s="51">
        <f>+BZ80*BZ81</f>
        <v/>
      </c>
      <c r="CA82" s="51">
        <f>+CA80*CA81</f>
        <v/>
      </c>
      <c r="CB82" s="51">
        <f>+CB80*CB81</f>
        <v/>
      </c>
      <c r="CC82" s="51">
        <f>+CC80*CC81</f>
        <v/>
      </c>
      <c r="CD82" s="51">
        <f>+CD80*CD81</f>
        <v/>
      </c>
      <c r="CE82" s="51">
        <f>+CE80*CE81</f>
        <v/>
      </c>
      <c r="CF82" s="51">
        <f>+CF80*CF81</f>
        <v/>
      </c>
      <c r="CG82" s="51">
        <f>+CG80*CG81</f>
        <v/>
      </c>
      <c r="CH82" s="51">
        <f>+CH80*CH81</f>
        <v/>
      </c>
      <c r="CI82" s="51">
        <f>+CI80*CI81</f>
        <v/>
      </c>
      <c r="CJ82" s="51">
        <f>+CJ80*CJ81</f>
        <v/>
      </c>
      <c r="CK82" s="51">
        <f>+CK80*CK81</f>
        <v/>
      </c>
      <c r="CL82" s="51">
        <f>+CL80*CL81</f>
        <v/>
      </c>
      <c r="CM82" s="51">
        <f>+CM80*CM81</f>
        <v/>
      </c>
      <c r="CN82" s="51">
        <f>+CN80*CN81</f>
        <v/>
      </c>
      <c r="CO82" s="51">
        <f>+CO80*CO81</f>
        <v/>
      </c>
      <c r="CP82" s="51">
        <f>+CP80*CP81</f>
        <v/>
      </c>
      <c r="CQ82" s="51">
        <f>+CQ80*CQ81</f>
        <v/>
      </c>
      <c r="CR82" s="51">
        <f>+CR80*CR81</f>
        <v/>
      </c>
      <c r="CS82" s="51">
        <f>+CS80*CS81</f>
        <v/>
      </c>
      <c r="CT82" s="51">
        <f>+CT80*CT81</f>
        <v/>
      </c>
      <c r="CU82" s="51">
        <f>+CU80*CU81</f>
        <v/>
      </c>
      <c r="CV82" s="51">
        <f>+CV80*CV81</f>
        <v/>
      </c>
      <c r="CW82" s="51">
        <f>+CW80*CW81</f>
        <v/>
      </c>
      <c r="CX82" s="51">
        <f>+CX80*CX81</f>
        <v/>
      </c>
      <c r="CY82" s="51">
        <f>+CY80*CY81</f>
        <v/>
      </c>
      <c r="CZ82" s="51">
        <f>+CZ80*CZ81</f>
        <v/>
      </c>
      <c r="DA82" s="51">
        <f>+DA80*DA81</f>
        <v/>
      </c>
      <c r="DB82" s="51">
        <f>+DB80*DB81</f>
        <v/>
      </c>
      <c r="DC82" s="51">
        <f>+DC80*DC81</f>
        <v/>
      </c>
      <c r="DD82" s="51">
        <f>+DD80*DD81</f>
        <v/>
      </c>
      <c r="DE82" s="51">
        <f>+DE80*DE81</f>
        <v/>
      </c>
      <c r="DF82" s="51">
        <f>+DF80*DF81</f>
        <v/>
      </c>
      <c r="DG82" s="51">
        <f>+DG80*DG81</f>
        <v/>
      </c>
      <c r="DH82" s="51">
        <f>+DH80*DH81</f>
        <v/>
      </c>
      <c r="DI82" s="51">
        <f>+DI80*DI81</f>
        <v/>
      </c>
      <c r="DJ82" s="51">
        <f>+DJ80*DJ81</f>
        <v/>
      </c>
      <c r="DK82" s="51">
        <f>+DK80*DK81</f>
        <v/>
      </c>
      <c r="DL82" s="51">
        <f>+DL80*DL81</f>
        <v/>
      </c>
      <c r="DM82" s="51">
        <f>+DM80*DM81</f>
        <v/>
      </c>
      <c r="DN82" s="51">
        <f>+DN80*DN81</f>
        <v/>
      </c>
      <c r="DO82" s="51">
        <f>+DO80*DO81</f>
        <v/>
      </c>
      <c r="DP82" s="51">
        <f>+DP80*DP81</f>
        <v/>
      </c>
      <c r="DQ82" s="51">
        <f>+DQ80*DQ81</f>
        <v/>
      </c>
      <c r="DR82" s="51">
        <f>+DR80*DR81</f>
        <v/>
      </c>
    </row>
    <row r="83" outlineLevel="1" ht="4.5" customHeight="1"/>
    <row r="84" ht="15.75" customHeight="1">
      <c r="B84" s="56" t="inlineStr">
        <is>
          <t>Total Revenue</t>
        </is>
      </c>
      <c r="C84" s="56" t="n"/>
      <c r="E84" s="57">
        <f>+SUMIFS(E$13:E$58,$C$13:$C$58,$B$74)</f>
        <v/>
      </c>
      <c r="F84" s="57">
        <f>+SUM(F78,F82)</f>
        <v/>
      </c>
      <c r="G84" s="57">
        <f>+SUM(G78,G82)</f>
        <v/>
      </c>
      <c r="H84" s="57">
        <f>+SUM(H78,H82)</f>
        <v/>
      </c>
      <c r="I84" s="57">
        <f>+SUM(I78,I82)</f>
        <v/>
      </c>
      <c r="J84" s="57">
        <f>+SUM(J78,J82)</f>
        <v/>
      </c>
      <c r="K84" s="57">
        <f>+SUM(K78,K82)</f>
        <v/>
      </c>
      <c r="L84" s="57">
        <f>+SUM(L78,L82)</f>
        <v/>
      </c>
      <c r="M84" s="57">
        <f>+SUM(M78,M82)</f>
        <v/>
      </c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  <c r="AA84" s="49" t="n"/>
      <c r="AB84" s="49" t="n"/>
      <c r="AC84" s="49" t="n"/>
      <c r="AD84" s="49" t="n"/>
      <c r="AE84" s="49" t="n"/>
      <c r="AF84" s="49" t="n"/>
      <c r="AG84" s="49" t="n"/>
      <c r="AH84" s="49" t="n"/>
      <c r="AI84" s="49" t="n"/>
      <c r="AJ84" s="49" t="n"/>
      <c r="AK84" s="49" t="n"/>
      <c r="AL84" s="49" t="n"/>
      <c r="AM84" s="49" t="n"/>
      <c r="AN84" s="49" t="n"/>
      <c r="AO84" s="49" t="n"/>
      <c r="AP84" s="49" t="n"/>
      <c r="AQ84" s="49" t="n"/>
      <c r="AR84" s="49" t="n"/>
      <c r="AS84" s="49" t="n"/>
      <c r="AT84" s="49" t="n"/>
      <c r="AU84" s="49" t="n"/>
      <c r="AV84" s="49" t="n"/>
      <c r="AW84" s="49" t="n"/>
      <c r="AX84" s="49" t="n"/>
      <c r="AY84" s="49" t="n"/>
      <c r="AZ84" s="49" t="n"/>
      <c r="BA84" s="49" t="n"/>
      <c r="BB84" s="49" t="n"/>
      <c r="BC84" s="49" t="n"/>
      <c r="BD84" s="49" t="n"/>
      <c r="BE84" s="49" t="n"/>
      <c r="BF84" s="49" t="n"/>
      <c r="BG84" s="49" t="n"/>
      <c r="BH84" s="49" t="n"/>
      <c r="BI84" s="49" t="n"/>
      <c r="BJ84" s="49" t="n"/>
      <c r="BK84" s="49" t="n"/>
      <c r="BL84" s="49" t="n"/>
      <c r="BM84" s="49" t="n"/>
      <c r="BN84" s="49" t="n"/>
      <c r="BO84" s="49" t="n"/>
      <c r="BP84" s="49" t="n"/>
      <c r="BQ84" s="49" t="n"/>
      <c r="BR84" s="49" t="n"/>
      <c r="BS84" s="49" t="n"/>
      <c r="BT84" s="49" t="n"/>
      <c r="BU84" s="49" t="n"/>
      <c r="BV84" s="49" t="n"/>
      <c r="BW84" s="49" t="n"/>
      <c r="BX84" s="49" t="n"/>
      <c r="BY84" s="49" t="n"/>
      <c r="BZ84" s="49" t="n"/>
      <c r="CA84" s="49" t="n"/>
      <c r="CB84" s="49" t="n"/>
      <c r="CC84" s="49" t="n"/>
      <c r="CD84" s="49" t="n"/>
      <c r="CE84" s="49" t="n"/>
      <c r="CF84" s="49" t="n"/>
      <c r="CG84" s="49" t="n"/>
      <c r="CH84" s="49" t="n"/>
      <c r="CI84" s="49" t="n"/>
      <c r="CJ84" s="49" t="n"/>
      <c r="CK84" s="49" t="n"/>
      <c r="CL84" s="49" t="n"/>
      <c r="CM84" s="49" t="n"/>
      <c r="CN84" s="49" t="n"/>
      <c r="CO84" s="49" t="n"/>
      <c r="CP84" s="49" t="n"/>
      <c r="CQ84" s="49" t="n"/>
      <c r="CR84" s="49" t="n"/>
      <c r="CS84" s="49" t="n"/>
      <c r="CT84" s="49" t="n"/>
      <c r="CU84" s="49" t="n"/>
      <c r="CV84" s="49" t="n"/>
      <c r="CW84" s="49" t="n"/>
      <c r="CX84" s="49" t="n"/>
      <c r="CY84" s="49" t="n"/>
      <c r="CZ84" s="49" t="n"/>
      <c r="DA84" s="49" t="n"/>
      <c r="DB84" s="49" t="n"/>
      <c r="DC84" s="49" t="n"/>
      <c r="DD84" s="49" t="n"/>
      <c r="DE84" s="49" t="n"/>
      <c r="DF84" s="49" t="n"/>
      <c r="DG84" s="49" t="n"/>
      <c r="DH84" s="49" t="n"/>
      <c r="DI84" s="49" t="n"/>
      <c r="DJ84" s="49" t="n"/>
      <c r="DK84" s="49" t="n"/>
      <c r="DL84" s="49" t="n"/>
      <c r="DM84" s="49" t="n"/>
      <c r="DN84" s="49" t="n"/>
      <c r="DO84" s="49" t="n"/>
      <c r="DP84" s="49" t="n"/>
      <c r="DQ84" s="49" t="n"/>
      <c r="DR84" s="49" t="n"/>
    </row>
    <row r="85" ht="4.5" customHeight="1"/>
    <row r="86" ht="15.75" customHeight="1">
      <c r="B86" s="95" t="inlineStr">
        <is>
          <t>Major</t>
        </is>
      </c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  <c r="AA86" s="96" t="n"/>
      <c r="AB86" s="96" t="n"/>
      <c r="AC86" s="96" t="n"/>
      <c r="AD86" s="96" t="n"/>
      <c r="AE86" s="96" t="n"/>
      <c r="AF86" s="96" t="n"/>
      <c r="AG86" s="96" t="n"/>
      <c r="AH86" s="96" t="n"/>
      <c r="AI86" s="96" t="n"/>
      <c r="AJ86" s="96" t="n"/>
      <c r="AK86" s="96" t="n"/>
      <c r="AL86" s="96" t="n"/>
      <c r="AM86" s="96" t="n"/>
      <c r="AN86" s="96" t="n"/>
      <c r="AO86" s="96" t="n"/>
      <c r="AP86" s="96" t="n"/>
      <c r="AQ86" s="96" t="n"/>
      <c r="AR86" s="96" t="n"/>
      <c r="AS86" s="96" t="n"/>
      <c r="AT86" s="96" t="n"/>
      <c r="AU86" s="96" t="n"/>
      <c r="AV86" s="96" t="n"/>
      <c r="AW86" s="96" t="n"/>
      <c r="AX86" s="96" t="n"/>
      <c r="AY86" s="96" t="n"/>
      <c r="AZ86" s="96" t="n"/>
      <c r="BA86" s="96" t="n"/>
      <c r="BB86" s="96" t="n"/>
      <c r="BC86" s="96" t="n"/>
      <c r="BD86" s="96" t="n"/>
      <c r="BE86" s="96" t="n"/>
      <c r="BF86" s="96" t="n"/>
      <c r="BG86" s="96" t="n"/>
      <c r="BH86" s="96" t="n"/>
      <c r="BI86" s="96" t="n"/>
      <c r="BJ86" s="96" t="n"/>
      <c r="BK86" s="96" t="n"/>
      <c r="BL86" s="96" t="n"/>
      <c r="BM86" s="96" t="n"/>
      <c r="BN86" s="96" t="n"/>
      <c r="BO86" s="96" t="n"/>
      <c r="BP86" s="96" t="n"/>
      <c r="BQ86" s="96" t="n"/>
      <c r="BR86" s="96" t="n"/>
      <c r="BS86" s="96" t="n"/>
      <c r="BT86" s="96" t="n"/>
      <c r="BU86" s="96" t="n"/>
      <c r="BV86" s="96" t="n"/>
      <c r="BW86" s="96" t="n"/>
      <c r="BX86" s="96" t="n"/>
      <c r="BY86" s="96" t="n"/>
      <c r="BZ86" s="96" t="n"/>
      <c r="CA86" s="96" t="n"/>
      <c r="CB86" s="96" t="n"/>
      <c r="CC86" s="96" t="n"/>
      <c r="CD86" s="96" t="n"/>
      <c r="CE86" s="96" t="n"/>
      <c r="CF86" s="96" t="n"/>
      <c r="CG86" s="96" t="n"/>
      <c r="CH86" s="96" t="n"/>
      <c r="CI86" s="96" t="n"/>
      <c r="CJ86" s="96" t="n"/>
      <c r="CK86" s="96" t="n"/>
      <c r="CL86" s="96" t="n"/>
      <c r="CM86" s="96" t="n"/>
      <c r="CN86" s="96" t="n"/>
      <c r="CO86" s="96" t="n"/>
      <c r="CP86" s="96" t="n"/>
      <c r="CQ86" s="96" t="n"/>
      <c r="CR86" s="96" t="n"/>
      <c r="CS86" s="96" t="n"/>
      <c r="CT86" s="96" t="n"/>
      <c r="CU86" s="96" t="n"/>
      <c r="CV86" s="96" t="n"/>
      <c r="CW86" s="96" t="n"/>
      <c r="CX86" s="96" t="n"/>
      <c r="CY86" s="96" t="n"/>
      <c r="CZ86" s="96" t="n"/>
      <c r="DA86" s="96" t="n"/>
      <c r="DB86" s="96" t="n"/>
      <c r="DC86" s="96" t="n"/>
      <c r="DD86" s="96" t="n"/>
      <c r="DE86" s="96" t="n"/>
      <c r="DF86" s="96" t="n"/>
      <c r="DG86" s="96" t="n"/>
      <c r="DH86" s="96" t="n"/>
      <c r="DI86" s="96" t="n"/>
      <c r="DJ86" s="96" t="n"/>
      <c r="DK86" s="96" t="n"/>
      <c r="DL86" s="96" t="n"/>
      <c r="DM86" s="96" t="n"/>
      <c r="DN86" s="96" t="n"/>
      <c r="DO86" s="96" t="n"/>
      <c r="DP86" s="96" t="n"/>
      <c r="DQ86" s="96" t="n"/>
      <c r="DR86" s="96" t="n"/>
    </row>
    <row r="87" ht="15.75" customHeight="1">
      <c r="B87" s="5" t="inlineStr">
        <is>
          <t>Revenue, Beginning</t>
        </is>
      </c>
      <c r="E87" s="96" t="n"/>
      <c r="F87" s="46">
        <f>+E96</f>
        <v/>
      </c>
      <c r="G87" s="46">
        <f>+F96</f>
        <v/>
      </c>
      <c r="H87" s="46">
        <f>+G96</f>
        <v/>
      </c>
      <c r="I87" s="46">
        <f>+H96</f>
        <v/>
      </c>
      <c r="J87" s="46">
        <f>+I96</f>
        <v/>
      </c>
      <c r="K87" s="46">
        <f>+J96</f>
        <v/>
      </c>
      <c r="L87" s="46">
        <f>+K96</f>
        <v/>
      </c>
      <c r="M87" s="46">
        <f>+L96</f>
        <v/>
      </c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  <c r="AA87" s="96" t="n"/>
      <c r="AB87" s="96" t="n"/>
      <c r="AC87" s="96" t="n"/>
      <c r="AD87" s="96" t="n"/>
      <c r="AE87" s="96" t="n"/>
      <c r="AF87" s="96" t="n"/>
      <c r="AG87" s="96" t="n"/>
      <c r="AH87" s="96" t="n"/>
      <c r="AI87" s="96" t="n"/>
      <c r="AJ87" s="96" t="n"/>
      <c r="AK87" s="96" t="n"/>
      <c r="AL87" s="96" t="n"/>
      <c r="AM87" s="96" t="n"/>
      <c r="AN87" s="96" t="n"/>
      <c r="AO87" s="96" t="n"/>
      <c r="AP87" s="96" t="n"/>
      <c r="AQ87" s="96" t="n"/>
      <c r="AR87" s="96" t="n"/>
      <c r="AS87" s="96" t="n"/>
      <c r="AT87" s="96" t="n"/>
      <c r="AU87" s="96" t="n"/>
      <c r="AV87" s="96" t="n"/>
      <c r="AW87" s="96" t="n"/>
      <c r="AX87" s="96" t="n"/>
      <c r="AY87" s="96" t="n"/>
      <c r="AZ87" s="96" t="n"/>
      <c r="BA87" s="96" t="n"/>
      <c r="BB87" s="96" t="n"/>
      <c r="BC87" s="96" t="n"/>
      <c r="BD87" s="96" t="n"/>
      <c r="BE87" s="96" t="n"/>
      <c r="BF87" s="96" t="n"/>
      <c r="BG87" s="96" t="n"/>
      <c r="BH87" s="96" t="n"/>
      <c r="BI87" s="96" t="n"/>
      <c r="BJ87" s="96" t="n"/>
      <c r="BK87" s="96" t="n"/>
      <c r="BL87" s="96" t="n"/>
      <c r="BM87" s="96" t="n"/>
      <c r="BN87" s="96" t="n"/>
      <c r="BO87" s="96" t="n"/>
      <c r="BP87" s="96" t="n"/>
      <c r="BQ87" s="96" t="n"/>
      <c r="BR87" s="96" t="n"/>
      <c r="BS87" s="96" t="n"/>
      <c r="BT87" s="96" t="n"/>
      <c r="BU87" s="96" t="n"/>
      <c r="BV87" s="96" t="n"/>
      <c r="BW87" s="96" t="n"/>
      <c r="BX87" s="96" t="n"/>
      <c r="BY87" s="96" t="n"/>
      <c r="BZ87" s="96" t="n"/>
      <c r="CA87" s="96" t="n"/>
      <c r="CB87" s="96" t="n"/>
      <c r="CC87" s="96" t="n"/>
      <c r="CD87" s="96" t="n"/>
      <c r="CE87" s="96" t="n"/>
      <c r="CF87" s="96" t="n"/>
      <c r="CG87" s="96" t="n"/>
      <c r="CH87" s="96" t="n"/>
      <c r="CI87" s="96" t="n"/>
      <c r="CJ87" s="96" t="n"/>
      <c r="CK87" s="96" t="n"/>
      <c r="CL87" s="96" t="n"/>
      <c r="CM87" s="96" t="n"/>
      <c r="CN87" s="96" t="n"/>
      <c r="CO87" s="96" t="n"/>
      <c r="CP87" s="96" t="n"/>
      <c r="CQ87" s="96" t="n"/>
      <c r="CR87" s="96" t="n"/>
      <c r="CS87" s="96" t="n"/>
      <c r="CT87" s="96" t="n"/>
      <c r="CU87" s="96" t="n"/>
      <c r="CV87" s="96" t="n"/>
      <c r="CW87" s="96" t="n"/>
      <c r="CX87" s="96" t="n"/>
      <c r="CY87" s="96" t="n"/>
      <c r="CZ87" s="96" t="n"/>
      <c r="DA87" s="96" t="n"/>
      <c r="DB87" s="96" t="n"/>
      <c r="DC87" s="96" t="n"/>
      <c r="DD87" s="96" t="n"/>
      <c r="DE87" s="96" t="n"/>
      <c r="DF87" s="96" t="n"/>
      <c r="DG87" s="96" t="n"/>
      <c r="DH87" s="96" t="n"/>
      <c r="DI87" s="96" t="n"/>
      <c r="DJ87" s="96" t="n"/>
      <c r="DK87" s="96" t="n"/>
      <c r="DL87" s="96" t="n"/>
      <c r="DM87" s="96" t="n"/>
      <c r="DN87" s="96" t="n"/>
      <c r="DO87" s="96" t="n"/>
      <c r="DP87" s="96" t="n"/>
      <c r="DQ87" s="96" t="n"/>
      <c r="DR87" s="96" t="n"/>
    </row>
    <row r="88" ht="15.75" customHeight="1">
      <c r="B88" s="5" t="inlineStr">
        <is>
          <t>Churn</t>
        </is>
      </c>
      <c r="E88" s="96" t="n"/>
      <c r="F88" s="46">
        <f>+SUMIFS(DT$13:DT$58,DT$13:DT$58,"&lt;0",$C$13:$C$58,$B$86)</f>
        <v/>
      </c>
      <c r="G88" s="46">
        <f>+SUMIFS(DU$13:DU$58,DU$13:DU$58,"&lt;0",$C$13:$C$58,$B$86)</f>
        <v/>
      </c>
      <c r="H88" s="46">
        <f>+SUMIFS(DV$13:DV$58,DV$13:DV$58,"&lt;0",$C$13:$C$58,$B$86)</f>
        <v/>
      </c>
      <c r="I88" s="46">
        <f>+SUMIFS(DW$13:DW$58,DW$13:DW$58,"&lt;0",$C$13:$C$58,$B$86)</f>
        <v/>
      </c>
      <c r="J88" s="48">
        <f>+Revenue_Assumptions!J21*J$87</f>
        <v/>
      </c>
      <c r="K88" s="48">
        <f>+Revenue_Assumptions!K21*K$87</f>
        <v/>
      </c>
      <c r="L88" s="48">
        <f>+Revenue_Assumptions!L21*L$87</f>
        <v/>
      </c>
      <c r="M88" s="48">
        <f>+Revenue_Assumptions!M21*M$87</f>
        <v/>
      </c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  <c r="AA88" s="96" t="n"/>
      <c r="AB88" s="96" t="n"/>
      <c r="AC88" s="96" t="n"/>
      <c r="AD88" s="96" t="n"/>
      <c r="AE88" s="96" t="n"/>
      <c r="AF88" s="96" t="n"/>
      <c r="AG88" s="96" t="n"/>
      <c r="AH88" s="96" t="n"/>
      <c r="AI88" s="96" t="n"/>
      <c r="AJ88" s="96" t="n"/>
      <c r="AK88" s="96" t="n"/>
      <c r="AL88" s="96" t="n"/>
      <c r="AM88" s="96" t="n"/>
      <c r="AN88" s="96" t="n"/>
      <c r="AO88" s="96" t="n"/>
      <c r="AP88" s="96" t="n"/>
      <c r="AQ88" s="96" t="n"/>
      <c r="AR88" s="96" t="n"/>
      <c r="AS88" s="96" t="n"/>
      <c r="AT88" s="96" t="n"/>
      <c r="AU88" s="96" t="n"/>
      <c r="AV88" s="96" t="n"/>
      <c r="AW88" s="96" t="n"/>
      <c r="AX88" s="96" t="n"/>
      <c r="AY88" s="96" t="n"/>
      <c r="AZ88" s="96" t="n"/>
      <c r="BA88" s="96" t="n"/>
      <c r="BB88" s="96" t="n"/>
      <c r="BC88" s="96" t="n"/>
      <c r="BD88" s="96" t="n"/>
      <c r="BE88" s="96" t="n"/>
      <c r="BF88" s="96" t="n"/>
      <c r="BG88" s="96" t="n"/>
      <c r="BH88" s="96" t="n"/>
      <c r="BI88" s="96" t="n"/>
      <c r="BJ88" s="96" t="n"/>
      <c r="BK88" s="96" t="n"/>
      <c r="BL88" s="96" t="n"/>
      <c r="BM88" s="96" t="n"/>
      <c r="BN88" s="96" t="n"/>
      <c r="BO88" s="96" t="n"/>
      <c r="BP88" s="96" t="n"/>
      <c r="BQ88" s="96" t="n"/>
      <c r="BR88" s="96" t="n"/>
      <c r="BS88" s="96" t="n"/>
      <c r="BT88" s="96" t="n"/>
      <c r="BU88" s="96" t="n"/>
      <c r="BV88" s="96" t="n"/>
      <c r="BW88" s="96" t="n"/>
      <c r="BX88" s="96" t="n"/>
      <c r="BY88" s="96" t="n"/>
      <c r="BZ88" s="96" t="n"/>
      <c r="CA88" s="96" t="n"/>
      <c r="CB88" s="96" t="n"/>
      <c r="CC88" s="96" t="n"/>
      <c r="CD88" s="96" t="n"/>
      <c r="CE88" s="96" t="n"/>
      <c r="CF88" s="96" t="n"/>
      <c r="CG88" s="96" t="n"/>
      <c r="CH88" s="96" t="n"/>
      <c r="CI88" s="96" t="n"/>
      <c r="CJ88" s="96" t="n"/>
      <c r="CK88" s="96" t="n"/>
      <c r="CL88" s="96" t="n"/>
      <c r="CM88" s="96" t="n"/>
      <c r="CN88" s="96" t="n"/>
      <c r="CO88" s="96" t="n"/>
      <c r="CP88" s="96" t="n"/>
      <c r="CQ88" s="96" t="n"/>
      <c r="CR88" s="96" t="n"/>
      <c r="CS88" s="96" t="n"/>
      <c r="CT88" s="96" t="n"/>
      <c r="CU88" s="96" t="n"/>
      <c r="CV88" s="96" t="n"/>
      <c r="CW88" s="96" t="n"/>
      <c r="CX88" s="96" t="n"/>
      <c r="CY88" s="96" t="n"/>
      <c r="CZ88" s="96" t="n"/>
      <c r="DA88" s="96" t="n"/>
      <c r="DB88" s="96" t="n"/>
      <c r="DC88" s="96" t="n"/>
      <c r="DD88" s="96" t="n"/>
      <c r="DE88" s="96" t="n"/>
      <c r="DF88" s="96" t="n"/>
      <c r="DG88" s="96" t="n"/>
      <c r="DH88" s="96" t="n"/>
      <c r="DI88" s="96" t="n"/>
      <c r="DJ88" s="96" t="n"/>
      <c r="DK88" s="96" t="n"/>
      <c r="DL88" s="96" t="n"/>
      <c r="DM88" s="96" t="n"/>
      <c r="DN88" s="96" t="n"/>
      <c r="DO88" s="96" t="n"/>
      <c r="DP88" s="96" t="n"/>
      <c r="DQ88" s="96" t="n"/>
      <c r="DR88" s="96" t="n"/>
    </row>
    <row r="89" ht="15.75" customHeight="1">
      <c r="B89" s="5" t="inlineStr">
        <is>
          <t>Expansion</t>
        </is>
      </c>
      <c r="E89" s="96" t="n"/>
      <c r="F89" s="46">
        <f>+SUMIFS(DT$13:DT$58,DT$13:DT$58,"&gt;0",$C$13:$C$58,$B$86)-F94</f>
        <v/>
      </c>
      <c r="G89" s="46">
        <f>+SUMIFS(DU$13:DU$58,DU$13:DU$58,"&gt;0",$C$13:$C$58,$B$86)-G94</f>
        <v/>
      </c>
      <c r="H89" s="46">
        <f>+SUMIFS(DV$13:DV$58,DV$13:DV$58,"&gt;0",$C$13:$C$58,$B$86)-H94</f>
        <v/>
      </c>
      <c r="I89" s="46">
        <f>+SUMIFS(DW$13:DW$58,DW$13:DW$58,"&gt;0",$C$13:$C$58,$B$86)-I94</f>
        <v/>
      </c>
      <c r="J89" s="48">
        <f>+Revenue_Assumptions!J22*J$87</f>
        <v/>
      </c>
      <c r="K89" s="48">
        <f>+Revenue_Assumptions!K22*K$87</f>
        <v/>
      </c>
      <c r="L89" s="48">
        <f>+Revenue_Assumptions!L22*L$87</f>
        <v/>
      </c>
      <c r="M89" s="48">
        <f>+Revenue_Assumptions!M22*M$87</f>
        <v/>
      </c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  <c r="AA89" s="96" t="n"/>
      <c r="AB89" s="96" t="n"/>
      <c r="AC89" s="96" t="n"/>
      <c r="AD89" s="96" t="n"/>
      <c r="AE89" s="96" t="n"/>
      <c r="AF89" s="96" t="n"/>
      <c r="AG89" s="96" t="n"/>
      <c r="AH89" s="96" t="n"/>
      <c r="AI89" s="96" t="n"/>
      <c r="AJ89" s="96" t="n"/>
      <c r="AK89" s="96" t="n"/>
      <c r="AL89" s="96" t="n"/>
      <c r="AM89" s="96" t="n"/>
      <c r="AN89" s="96" t="n"/>
      <c r="AO89" s="96" t="n"/>
      <c r="AP89" s="96" t="n"/>
      <c r="AQ89" s="96" t="n"/>
      <c r="AR89" s="96" t="n"/>
      <c r="AS89" s="96" t="n"/>
      <c r="AT89" s="96" t="n"/>
      <c r="AU89" s="96" t="n"/>
      <c r="AV89" s="96" t="n"/>
      <c r="AW89" s="96" t="n"/>
      <c r="AX89" s="96" t="n"/>
      <c r="AY89" s="96" t="n"/>
      <c r="AZ89" s="96" t="n"/>
      <c r="BA89" s="96" t="n"/>
      <c r="BB89" s="96" t="n"/>
      <c r="BC89" s="96" t="n"/>
      <c r="BD89" s="96" t="n"/>
      <c r="BE89" s="96" t="n"/>
      <c r="BF89" s="96" t="n"/>
      <c r="BG89" s="96" t="n"/>
      <c r="BH89" s="96" t="n"/>
      <c r="BI89" s="96" t="n"/>
      <c r="BJ89" s="96" t="n"/>
      <c r="BK89" s="96" t="n"/>
      <c r="BL89" s="96" t="n"/>
      <c r="BM89" s="96" t="n"/>
      <c r="BN89" s="96" t="n"/>
      <c r="BO89" s="96" t="n"/>
      <c r="BP89" s="96" t="n"/>
      <c r="BQ89" s="96" t="n"/>
      <c r="BR89" s="96" t="n"/>
      <c r="BS89" s="96" t="n"/>
      <c r="BT89" s="96" t="n"/>
      <c r="BU89" s="96" t="n"/>
      <c r="BV89" s="96" t="n"/>
      <c r="BW89" s="96" t="n"/>
      <c r="BX89" s="96" t="n"/>
      <c r="BY89" s="96" t="n"/>
      <c r="BZ89" s="96" t="n"/>
      <c r="CA89" s="96" t="n"/>
      <c r="CB89" s="96" t="n"/>
      <c r="CC89" s="96" t="n"/>
      <c r="CD89" s="96" t="n"/>
      <c r="CE89" s="96" t="n"/>
      <c r="CF89" s="96" t="n"/>
      <c r="CG89" s="96" t="n"/>
      <c r="CH89" s="96" t="n"/>
      <c r="CI89" s="96" t="n"/>
      <c r="CJ89" s="96" t="n"/>
      <c r="CK89" s="96" t="n"/>
      <c r="CL89" s="96" t="n"/>
      <c r="CM89" s="96" t="n"/>
      <c r="CN89" s="96" t="n"/>
      <c r="CO89" s="96" t="n"/>
      <c r="CP89" s="96" t="n"/>
      <c r="CQ89" s="96" t="n"/>
      <c r="CR89" s="96" t="n"/>
      <c r="CS89" s="96" t="n"/>
      <c r="CT89" s="96" t="n"/>
      <c r="CU89" s="96" t="n"/>
      <c r="CV89" s="96" t="n"/>
      <c r="CW89" s="96" t="n"/>
      <c r="CX89" s="96" t="n"/>
      <c r="CY89" s="96" t="n"/>
      <c r="CZ89" s="96" t="n"/>
      <c r="DA89" s="96" t="n"/>
      <c r="DB89" s="96" t="n"/>
      <c r="DC89" s="96" t="n"/>
      <c r="DD89" s="96" t="n"/>
      <c r="DE89" s="96" t="n"/>
      <c r="DF89" s="96" t="n"/>
      <c r="DG89" s="96" t="n"/>
      <c r="DH89" s="96" t="n"/>
      <c r="DI89" s="96" t="n"/>
      <c r="DJ89" s="96" t="n"/>
      <c r="DK89" s="96" t="n"/>
      <c r="DL89" s="96" t="n"/>
      <c r="DM89" s="96" t="n"/>
      <c r="DN89" s="96" t="n"/>
      <c r="DO89" s="96" t="n"/>
      <c r="DP89" s="96" t="n"/>
      <c r="DQ89" s="96" t="n"/>
      <c r="DR89" s="96" t="n"/>
    </row>
    <row r="90" ht="15.75" customHeight="1">
      <c r="B90" s="50" t="inlineStr">
        <is>
          <t>Net Retention</t>
        </is>
      </c>
      <c r="C90" s="50" t="n"/>
      <c r="E90" s="88" t="n"/>
      <c r="F90" s="51">
        <f>SUM(F87:F89)</f>
        <v/>
      </c>
      <c r="G90" s="51">
        <f>SUM(G87:G89)</f>
        <v/>
      </c>
      <c r="H90" s="51">
        <f>SUM(H87:H89)</f>
        <v/>
      </c>
      <c r="I90" s="51">
        <f>SUM(I87:I89)</f>
        <v/>
      </c>
      <c r="J90" s="51">
        <f>SUM(J87:J89)</f>
        <v/>
      </c>
      <c r="K90" s="51">
        <f>SUM(K87:K89)</f>
        <v/>
      </c>
      <c r="L90" s="51">
        <f>SUM(L87:L89)</f>
        <v/>
      </c>
      <c r="M90" s="51">
        <f>SUM(M87:M89)</f>
        <v/>
      </c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  <c r="AA90" s="49" t="n"/>
      <c r="AB90" s="49" t="n"/>
      <c r="AC90" s="49" t="n"/>
      <c r="AD90" s="49" t="n"/>
      <c r="AE90" s="49" t="n"/>
      <c r="AF90" s="49" t="n"/>
      <c r="AG90" s="49" t="n"/>
      <c r="AH90" s="49" t="n"/>
      <c r="AI90" s="49" t="n"/>
      <c r="AJ90" s="49" t="n"/>
      <c r="AK90" s="49" t="n"/>
      <c r="AL90" s="49" t="n"/>
      <c r="AM90" s="49" t="n"/>
      <c r="AN90" s="49" t="n"/>
      <c r="AO90" s="49" t="n"/>
      <c r="AP90" s="49" t="n"/>
      <c r="AQ90" s="49" t="n"/>
      <c r="AR90" s="49" t="n"/>
      <c r="AS90" s="49" t="n"/>
      <c r="AT90" s="49" t="n"/>
      <c r="AU90" s="49" t="n"/>
      <c r="AV90" s="49" t="n"/>
      <c r="AW90" s="49" t="n"/>
      <c r="AX90" s="49" t="n"/>
      <c r="AY90" s="49" t="n"/>
      <c r="AZ90" s="49" t="n"/>
      <c r="BA90" s="49" t="n"/>
      <c r="BB90" s="49" t="n"/>
      <c r="BC90" s="49" t="n"/>
      <c r="BD90" s="49" t="n"/>
      <c r="BE90" s="49" t="n"/>
      <c r="BF90" s="49" t="n"/>
      <c r="BG90" s="49" t="n"/>
      <c r="BH90" s="49" t="n"/>
      <c r="BI90" s="49" t="n"/>
      <c r="BJ90" s="49" t="n"/>
      <c r="BK90" s="49" t="n"/>
      <c r="BL90" s="49" t="n"/>
      <c r="BM90" s="49" t="n"/>
      <c r="BN90" s="49" t="n"/>
      <c r="BO90" s="49" t="n"/>
      <c r="BP90" s="49" t="n"/>
      <c r="BQ90" s="49" t="n"/>
      <c r="BR90" s="49" t="n"/>
      <c r="BS90" s="49" t="n"/>
      <c r="BT90" s="49" t="n"/>
      <c r="BU90" s="49" t="n"/>
      <c r="BV90" s="49" t="n"/>
      <c r="BW90" s="96" t="n"/>
      <c r="BX90" s="96" t="n"/>
      <c r="BY90" s="96" t="n"/>
      <c r="BZ90" s="96" t="n"/>
      <c r="CA90" s="96" t="n"/>
      <c r="CB90" s="96" t="n"/>
      <c r="CC90" s="96" t="n"/>
      <c r="CD90" s="96" t="n"/>
      <c r="CE90" s="96" t="n"/>
      <c r="CF90" s="96" t="n"/>
      <c r="CG90" s="96" t="n"/>
      <c r="CH90" s="96" t="n"/>
      <c r="CI90" s="96" t="n"/>
      <c r="CJ90" s="96" t="n"/>
      <c r="CK90" s="96" t="n"/>
      <c r="CL90" s="96" t="n"/>
      <c r="CM90" s="96" t="n"/>
      <c r="CN90" s="96" t="n"/>
      <c r="CO90" s="96" t="n"/>
      <c r="CP90" s="96" t="n"/>
      <c r="CQ90" s="96" t="n"/>
      <c r="CR90" s="96" t="n"/>
      <c r="CS90" s="96" t="n"/>
      <c r="CT90" s="96" t="n"/>
      <c r="CU90" s="96" t="n"/>
      <c r="CV90" s="96" t="n"/>
      <c r="CW90" s="96" t="n"/>
      <c r="CX90" s="96" t="n"/>
      <c r="CY90" s="96" t="n"/>
      <c r="CZ90" s="96" t="n"/>
      <c r="DA90" s="96" t="n"/>
      <c r="DB90" s="96" t="n"/>
      <c r="DC90" s="96" t="n"/>
      <c r="DD90" s="96" t="n"/>
      <c r="DE90" s="96" t="n"/>
      <c r="DF90" s="96" t="n"/>
      <c r="DG90" s="96" t="n"/>
      <c r="DH90" s="96" t="n"/>
      <c r="DI90" s="96" t="n"/>
      <c r="DJ90" s="96" t="n"/>
      <c r="DK90" s="96" t="n"/>
      <c r="DL90" s="96" t="n"/>
      <c r="DM90" s="96" t="n"/>
      <c r="DN90" s="96" t="n"/>
      <c r="DO90" s="96" t="n"/>
      <c r="DP90" s="96" t="n"/>
      <c r="DQ90" s="96" t="n"/>
      <c r="DR90" s="96" t="n"/>
    </row>
    <row r="91" ht="4.5" customHeight="1"/>
    <row r="92" hidden="1" outlineLevel="1" ht="15.75" customHeight="1">
      <c r="B92" s="5" t="inlineStr">
        <is>
          <t>YTD New Clients</t>
        </is>
      </c>
      <c r="E92" s="96" t="n"/>
      <c r="F92" s="97" t="n"/>
      <c r="G92" s="97" t="n"/>
      <c r="H92" s="97" t="n"/>
      <c r="I92" s="97" t="n"/>
      <c r="J92" s="97" t="n"/>
      <c r="K92" s="97" t="n"/>
      <c r="L92" s="97" t="n"/>
      <c r="M92" s="97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  <c r="AA92" s="98">
        <f>+'Bookings to Revenue_Calcs'!AA33</f>
        <v/>
      </c>
      <c r="AB92" s="98">
        <f>+'Bookings to Revenue_Calcs'!AB33</f>
        <v/>
      </c>
      <c r="AC92" s="98">
        <f>+'Bookings to Revenue_Calcs'!AC33</f>
        <v/>
      </c>
      <c r="AD92" s="98">
        <f>+'Bookings to Revenue_Calcs'!AD33</f>
        <v/>
      </c>
      <c r="AE92" s="98">
        <f>+'Bookings to Revenue_Calcs'!AE33</f>
        <v/>
      </c>
      <c r="AF92" s="98">
        <f>+'Bookings to Revenue_Calcs'!AF33</f>
        <v/>
      </c>
      <c r="AG92" s="98">
        <f>+'Bookings to Revenue_Calcs'!AG33</f>
        <v/>
      </c>
      <c r="AH92" s="98">
        <f>+'Bookings to Revenue_Calcs'!AH33</f>
        <v/>
      </c>
      <c r="AI92" s="98">
        <f>+'Bookings to Revenue_Calcs'!AI33</f>
        <v/>
      </c>
      <c r="AJ92" s="98">
        <f>+'Bookings to Revenue_Calcs'!AJ33</f>
        <v/>
      </c>
      <c r="AK92" s="98">
        <f>+'Bookings to Revenue_Calcs'!AK33</f>
        <v/>
      </c>
      <c r="AL92" s="98">
        <f>+'Bookings to Revenue_Calcs'!AL33</f>
        <v/>
      </c>
      <c r="AM92" s="98">
        <f>+'Bookings to Revenue_Calcs'!AM33</f>
        <v/>
      </c>
      <c r="AN92" s="98">
        <f>+'Bookings to Revenue_Calcs'!AN33</f>
        <v/>
      </c>
      <c r="AO92" s="98">
        <f>+'Bookings to Revenue_Calcs'!AO33</f>
        <v/>
      </c>
      <c r="AP92" s="98">
        <f>+'Bookings to Revenue_Calcs'!AP33</f>
        <v/>
      </c>
      <c r="AQ92" s="98">
        <f>+'Bookings to Revenue_Calcs'!AQ33</f>
        <v/>
      </c>
      <c r="AR92" s="98">
        <f>+'Bookings to Revenue_Calcs'!AR33</f>
        <v/>
      </c>
      <c r="AS92" s="98">
        <f>+'Bookings to Revenue_Calcs'!AS33</f>
        <v/>
      </c>
      <c r="AT92" s="98">
        <f>+'Bookings to Revenue_Calcs'!AT33</f>
        <v/>
      </c>
      <c r="AU92" s="98">
        <f>+'Bookings to Revenue_Calcs'!AU33</f>
        <v/>
      </c>
      <c r="AV92" s="98">
        <f>+'Bookings to Revenue_Calcs'!AV33</f>
        <v/>
      </c>
      <c r="AW92" s="98">
        <f>+'Bookings to Revenue_Calcs'!AW33</f>
        <v/>
      </c>
      <c r="AX92" s="98">
        <f>+'Bookings to Revenue_Calcs'!AX33</f>
        <v/>
      </c>
      <c r="AY92" s="98">
        <f>+'Bookings to Revenue_Calcs'!AY33</f>
        <v/>
      </c>
      <c r="AZ92" s="98">
        <f>+'Bookings to Revenue_Calcs'!AZ33</f>
        <v/>
      </c>
      <c r="BA92" s="98">
        <f>+'Bookings to Revenue_Calcs'!BA33</f>
        <v/>
      </c>
      <c r="BB92" s="98">
        <f>+'Bookings to Revenue_Calcs'!BB33</f>
        <v/>
      </c>
      <c r="BC92" s="98">
        <f>+'Bookings to Revenue_Calcs'!BC33</f>
        <v/>
      </c>
      <c r="BD92" s="98">
        <f>+'Bookings to Revenue_Calcs'!BD33</f>
        <v/>
      </c>
      <c r="BE92" s="98">
        <f>+'Bookings to Revenue_Calcs'!BE33</f>
        <v/>
      </c>
      <c r="BF92" s="98">
        <f>+'Bookings to Revenue_Calcs'!BF33</f>
        <v/>
      </c>
      <c r="BG92" s="98">
        <f>+'Bookings to Revenue_Calcs'!BG33</f>
        <v/>
      </c>
      <c r="BH92" s="98">
        <f>+'Bookings to Revenue_Calcs'!BH33</f>
        <v/>
      </c>
      <c r="BI92" s="98">
        <f>+'Bookings to Revenue_Calcs'!BI33</f>
        <v/>
      </c>
      <c r="BJ92" s="98">
        <f>+'Bookings to Revenue_Calcs'!BJ33</f>
        <v/>
      </c>
      <c r="BK92" s="98">
        <f>+'Bookings to Revenue_Calcs'!BK33</f>
        <v/>
      </c>
      <c r="BL92" s="98">
        <f>+'Bookings to Revenue_Calcs'!BL33</f>
        <v/>
      </c>
      <c r="BM92" s="98">
        <f>+'Bookings to Revenue_Calcs'!BM33</f>
        <v/>
      </c>
      <c r="BN92" s="98">
        <f>+'Bookings to Revenue_Calcs'!BN33</f>
        <v/>
      </c>
      <c r="BO92" s="98">
        <f>+'Bookings to Revenue_Calcs'!BO33</f>
        <v/>
      </c>
      <c r="BP92" s="98">
        <f>+'Bookings to Revenue_Calcs'!BP33</f>
        <v/>
      </c>
      <c r="BQ92" s="98">
        <f>+'Bookings to Revenue_Calcs'!BQ33</f>
        <v/>
      </c>
      <c r="BR92" s="98">
        <f>+'Bookings to Revenue_Calcs'!BR33</f>
        <v/>
      </c>
      <c r="BS92" s="98">
        <f>+'Bookings to Revenue_Calcs'!BS33</f>
        <v/>
      </c>
      <c r="BT92" s="98">
        <f>+'Bookings to Revenue_Calcs'!BT33</f>
        <v/>
      </c>
      <c r="BU92" s="98">
        <f>+'Bookings to Revenue_Calcs'!BU33</f>
        <v/>
      </c>
      <c r="BV92" s="98">
        <f>+'Bookings to Revenue_Calcs'!BV33</f>
        <v/>
      </c>
      <c r="BW92" s="98">
        <f>+'Bookings to Revenue_Calcs'!BW33</f>
        <v/>
      </c>
      <c r="BX92" s="98">
        <f>+'Bookings to Revenue_Calcs'!BX33</f>
        <v/>
      </c>
      <c r="BY92" s="98">
        <f>+'Bookings to Revenue_Calcs'!BY33</f>
        <v/>
      </c>
      <c r="BZ92" s="98">
        <f>+'Bookings to Revenue_Calcs'!BZ33</f>
        <v/>
      </c>
      <c r="CA92" s="98">
        <f>+'Bookings to Revenue_Calcs'!CA33</f>
        <v/>
      </c>
      <c r="CB92" s="98">
        <f>+'Bookings to Revenue_Calcs'!CB33</f>
        <v/>
      </c>
      <c r="CC92" s="98">
        <f>+'Bookings to Revenue_Calcs'!CC33</f>
        <v/>
      </c>
      <c r="CD92" s="98">
        <f>+'Bookings to Revenue_Calcs'!CD33</f>
        <v/>
      </c>
      <c r="CE92" s="98">
        <f>+'Bookings to Revenue_Calcs'!CE33</f>
        <v/>
      </c>
      <c r="CF92" s="98">
        <f>+'Bookings to Revenue_Calcs'!CF33</f>
        <v/>
      </c>
      <c r="CG92" s="98">
        <f>+'Bookings to Revenue_Calcs'!CG33</f>
        <v/>
      </c>
      <c r="CH92" s="98">
        <f>+'Bookings to Revenue_Calcs'!CH33</f>
        <v/>
      </c>
      <c r="CI92" s="98">
        <f>+'Bookings to Revenue_Calcs'!CI33</f>
        <v/>
      </c>
      <c r="CJ92" s="98">
        <f>+'Bookings to Revenue_Calcs'!CJ33</f>
        <v/>
      </c>
      <c r="CK92" s="98">
        <f>+'Bookings to Revenue_Calcs'!CK33</f>
        <v/>
      </c>
      <c r="CL92" s="98">
        <f>+'Bookings to Revenue_Calcs'!CL33</f>
        <v/>
      </c>
      <c r="CM92" s="98">
        <f>+'Bookings to Revenue_Calcs'!CM33</f>
        <v/>
      </c>
      <c r="CN92" s="98">
        <f>+'Bookings to Revenue_Calcs'!CN33</f>
        <v/>
      </c>
      <c r="CO92" s="98">
        <f>+'Bookings to Revenue_Calcs'!CO33</f>
        <v/>
      </c>
      <c r="CP92" s="98">
        <f>+'Bookings to Revenue_Calcs'!CP33</f>
        <v/>
      </c>
      <c r="CQ92" s="98">
        <f>+'Bookings to Revenue_Calcs'!CQ33</f>
        <v/>
      </c>
      <c r="CR92" s="98">
        <f>+'Bookings to Revenue_Calcs'!CR33</f>
        <v/>
      </c>
      <c r="CS92" s="98">
        <f>+'Bookings to Revenue_Calcs'!CS33</f>
        <v/>
      </c>
      <c r="CT92" s="98">
        <f>+'Bookings to Revenue_Calcs'!CT33</f>
        <v/>
      </c>
      <c r="CU92" s="98">
        <f>+'Bookings to Revenue_Calcs'!CU33</f>
        <v/>
      </c>
      <c r="CV92" s="98">
        <f>+'Bookings to Revenue_Calcs'!CV33</f>
        <v/>
      </c>
      <c r="CW92" s="98">
        <f>+'Bookings to Revenue_Calcs'!CW33</f>
        <v/>
      </c>
      <c r="CX92" s="98">
        <f>+'Bookings to Revenue_Calcs'!CX33</f>
        <v/>
      </c>
      <c r="CY92" s="98">
        <f>+'Bookings to Revenue_Calcs'!CY33</f>
        <v/>
      </c>
      <c r="CZ92" s="98">
        <f>+'Bookings to Revenue_Calcs'!CZ33</f>
        <v/>
      </c>
      <c r="DA92" s="98">
        <f>+'Bookings to Revenue_Calcs'!DA33</f>
        <v/>
      </c>
      <c r="DB92" s="98">
        <f>+'Bookings to Revenue_Calcs'!DB33</f>
        <v/>
      </c>
      <c r="DC92" s="98">
        <f>+'Bookings to Revenue_Calcs'!DC33</f>
        <v/>
      </c>
      <c r="DD92" s="98">
        <f>+'Bookings to Revenue_Calcs'!DD33</f>
        <v/>
      </c>
      <c r="DE92" s="98">
        <f>+'Bookings to Revenue_Calcs'!DE33</f>
        <v/>
      </c>
      <c r="DF92" s="98">
        <f>+'Bookings to Revenue_Calcs'!DF33</f>
        <v/>
      </c>
      <c r="DG92" s="98">
        <f>+'Bookings to Revenue_Calcs'!DG33</f>
        <v/>
      </c>
      <c r="DH92" s="98">
        <f>+'Bookings to Revenue_Calcs'!DH33</f>
        <v/>
      </c>
      <c r="DI92" s="98">
        <f>+'Bookings to Revenue_Calcs'!DI33</f>
        <v/>
      </c>
      <c r="DJ92" s="98">
        <f>+'Bookings to Revenue_Calcs'!DJ33</f>
        <v/>
      </c>
      <c r="DK92" s="98">
        <f>+'Bookings to Revenue_Calcs'!DK33</f>
        <v/>
      </c>
      <c r="DL92" s="98">
        <f>+'Bookings to Revenue_Calcs'!DL33</f>
        <v/>
      </c>
      <c r="DM92" s="98">
        <f>+'Bookings to Revenue_Calcs'!DM33</f>
        <v/>
      </c>
      <c r="DN92" s="98">
        <f>+'Bookings to Revenue_Calcs'!DN33</f>
        <v/>
      </c>
      <c r="DO92" s="98">
        <f>+'Bookings to Revenue_Calcs'!DO33</f>
        <v/>
      </c>
      <c r="DP92" s="98">
        <f>+'Bookings to Revenue_Calcs'!DP33</f>
        <v/>
      </c>
      <c r="DQ92" s="98">
        <f>+'Bookings to Revenue_Calcs'!DQ33</f>
        <v/>
      </c>
      <c r="DR92" s="98">
        <f>+'Bookings to Revenue_Calcs'!DR33</f>
        <v/>
      </c>
    </row>
    <row r="93" hidden="1" outlineLevel="1" ht="15.75" customHeight="1">
      <c r="B93" s="5" t="inlineStr">
        <is>
          <t>Avg Revenue per New Client</t>
        </is>
      </c>
      <c r="E93" s="96" t="n"/>
      <c r="F93" s="49" t="n"/>
      <c r="G93" s="49" t="n"/>
      <c r="H93" s="49" t="n"/>
      <c r="I93" s="49" t="n"/>
      <c r="J93" s="49" t="n"/>
      <c r="K93" s="49" t="n"/>
      <c r="L93" s="49" t="n"/>
      <c r="M93" s="49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  <c r="AA93" s="48">
        <f>+SUMIFS(Revenue_Assumptions!$E25:$M25,Revenue_Assumptions!$E$7:$M$7,AA$7)/12</f>
        <v/>
      </c>
      <c r="AB93" s="48">
        <f>+SUMIFS(Revenue_Assumptions!$E25:$M25,Revenue_Assumptions!$E$7:$M$7,AB$7)/12</f>
        <v/>
      </c>
      <c r="AC93" s="48">
        <f>+SUMIFS(Revenue_Assumptions!$E25:$M25,Revenue_Assumptions!$E$7:$M$7,AC$7)/12</f>
        <v/>
      </c>
      <c r="AD93" s="48">
        <f>+SUMIFS(Revenue_Assumptions!$E25:$M25,Revenue_Assumptions!$E$7:$M$7,AD$7)/12</f>
        <v/>
      </c>
      <c r="AE93" s="48">
        <f>+SUMIFS(Revenue_Assumptions!$E25:$M25,Revenue_Assumptions!$E$7:$M$7,AE$7)/12</f>
        <v/>
      </c>
      <c r="AF93" s="48">
        <f>+SUMIFS(Revenue_Assumptions!$E25:$M25,Revenue_Assumptions!$E$7:$M$7,AF$7)/12</f>
        <v/>
      </c>
      <c r="AG93" s="48">
        <f>+SUMIFS(Revenue_Assumptions!$E25:$M25,Revenue_Assumptions!$E$7:$M$7,AG$7)/12</f>
        <v/>
      </c>
      <c r="AH93" s="48">
        <f>+SUMIFS(Revenue_Assumptions!$E25:$M25,Revenue_Assumptions!$E$7:$M$7,AH$7)/12</f>
        <v/>
      </c>
      <c r="AI93" s="48">
        <f>+SUMIFS(Revenue_Assumptions!$E25:$M25,Revenue_Assumptions!$E$7:$M$7,AI$7)/12</f>
        <v/>
      </c>
      <c r="AJ93" s="48">
        <f>+SUMIFS(Revenue_Assumptions!$E25:$M25,Revenue_Assumptions!$E$7:$M$7,AJ$7)/12</f>
        <v/>
      </c>
      <c r="AK93" s="48">
        <f>+SUMIFS(Revenue_Assumptions!$E25:$M25,Revenue_Assumptions!$E$7:$M$7,AK$7)/12</f>
        <v/>
      </c>
      <c r="AL93" s="48">
        <f>+SUMIFS(Revenue_Assumptions!$E25:$M25,Revenue_Assumptions!$E$7:$M$7,AL$7)/12</f>
        <v/>
      </c>
      <c r="AM93" s="48">
        <f>+SUMIFS(Revenue_Assumptions!$E25:$M25,Revenue_Assumptions!$E$7:$M$7,AM$7)/12</f>
        <v/>
      </c>
      <c r="AN93" s="48">
        <f>+SUMIFS(Revenue_Assumptions!$E25:$M25,Revenue_Assumptions!$E$7:$M$7,AN$7)/12</f>
        <v/>
      </c>
      <c r="AO93" s="48">
        <f>+SUMIFS(Revenue_Assumptions!$E25:$M25,Revenue_Assumptions!$E$7:$M$7,AO$7)/12</f>
        <v/>
      </c>
      <c r="AP93" s="48">
        <f>+SUMIFS(Revenue_Assumptions!$E25:$M25,Revenue_Assumptions!$E$7:$M$7,AP$7)/12</f>
        <v/>
      </c>
      <c r="AQ93" s="48">
        <f>+SUMIFS(Revenue_Assumptions!$E25:$M25,Revenue_Assumptions!$E$7:$M$7,AQ$7)/12</f>
        <v/>
      </c>
      <c r="AR93" s="48">
        <f>+SUMIFS(Revenue_Assumptions!$E25:$M25,Revenue_Assumptions!$E$7:$M$7,AR$7)/12</f>
        <v/>
      </c>
      <c r="AS93" s="48">
        <f>+SUMIFS(Revenue_Assumptions!$E25:$M25,Revenue_Assumptions!$E$7:$M$7,AS$7)/12</f>
        <v/>
      </c>
      <c r="AT93" s="48">
        <f>+SUMIFS(Revenue_Assumptions!$E25:$M25,Revenue_Assumptions!$E$7:$M$7,AT$7)/12</f>
        <v/>
      </c>
      <c r="AU93" s="48">
        <f>+SUMIFS(Revenue_Assumptions!$E25:$M25,Revenue_Assumptions!$E$7:$M$7,AU$7)/12</f>
        <v/>
      </c>
      <c r="AV93" s="48">
        <f>+SUMIFS(Revenue_Assumptions!$E25:$M25,Revenue_Assumptions!$E$7:$M$7,AV$7)/12</f>
        <v/>
      </c>
      <c r="AW93" s="48">
        <f>+SUMIFS(Revenue_Assumptions!$E25:$M25,Revenue_Assumptions!$E$7:$M$7,AW$7)/12</f>
        <v/>
      </c>
      <c r="AX93" s="48">
        <f>+SUMIFS(Revenue_Assumptions!$E25:$M25,Revenue_Assumptions!$E$7:$M$7,AX$7)/12</f>
        <v/>
      </c>
      <c r="AY93" s="48">
        <f>+SUMIFS(Revenue_Assumptions!$E25:$M25,Revenue_Assumptions!$E$7:$M$7,AY$7)/12</f>
        <v/>
      </c>
      <c r="AZ93" s="48">
        <f>+SUMIFS(Revenue_Assumptions!$E25:$M25,Revenue_Assumptions!$E$7:$M$7,AZ$7)/12</f>
        <v/>
      </c>
      <c r="BA93" s="48">
        <f>+SUMIFS(Revenue_Assumptions!$E25:$M25,Revenue_Assumptions!$E$7:$M$7,BA$7)/12</f>
        <v/>
      </c>
      <c r="BB93" s="48">
        <f>+SUMIFS(Revenue_Assumptions!$E25:$M25,Revenue_Assumptions!$E$7:$M$7,BB$7)/12</f>
        <v/>
      </c>
      <c r="BC93" s="48">
        <f>+SUMIFS(Revenue_Assumptions!$E25:$M25,Revenue_Assumptions!$E$7:$M$7,BC$7)/12</f>
        <v/>
      </c>
      <c r="BD93" s="48">
        <f>+SUMIFS(Revenue_Assumptions!$E25:$M25,Revenue_Assumptions!$E$7:$M$7,BD$7)/12</f>
        <v/>
      </c>
      <c r="BE93" s="48">
        <f>+SUMIFS(Revenue_Assumptions!$E25:$M25,Revenue_Assumptions!$E$7:$M$7,BE$7)/12</f>
        <v/>
      </c>
      <c r="BF93" s="48">
        <f>+SUMIFS(Revenue_Assumptions!$E25:$M25,Revenue_Assumptions!$E$7:$M$7,BF$7)/12</f>
        <v/>
      </c>
      <c r="BG93" s="48">
        <f>+SUMIFS(Revenue_Assumptions!$E25:$M25,Revenue_Assumptions!$E$7:$M$7,BG$7)/12</f>
        <v/>
      </c>
      <c r="BH93" s="48">
        <f>+SUMIFS(Revenue_Assumptions!$E25:$M25,Revenue_Assumptions!$E$7:$M$7,BH$7)/12</f>
        <v/>
      </c>
      <c r="BI93" s="48">
        <f>+SUMIFS(Revenue_Assumptions!$E25:$M25,Revenue_Assumptions!$E$7:$M$7,BI$7)/12</f>
        <v/>
      </c>
      <c r="BJ93" s="48">
        <f>+SUMIFS(Revenue_Assumptions!$E25:$M25,Revenue_Assumptions!$E$7:$M$7,BJ$7)/12</f>
        <v/>
      </c>
      <c r="BK93" s="48">
        <f>+SUMIFS(Revenue_Assumptions!$E25:$M25,Revenue_Assumptions!$E$7:$M$7,BK$7)/12</f>
        <v/>
      </c>
      <c r="BL93" s="48">
        <f>+SUMIFS(Revenue_Assumptions!$E25:$M25,Revenue_Assumptions!$E$7:$M$7,BL$7)/12</f>
        <v/>
      </c>
      <c r="BM93" s="48">
        <f>+SUMIFS(Revenue_Assumptions!$E25:$M25,Revenue_Assumptions!$E$7:$M$7,BM$7)/12</f>
        <v/>
      </c>
      <c r="BN93" s="48">
        <f>+SUMIFS(Revenue_Assumptions!$E25:$M25,Revenue_Assumptions!$E$7:$M$7,BN$7)/12</f>
        <v/>
      </c>
      <c r="BO93" s="48">
        <f>+SUMIFS(Revenue_Assumptions!$E25:$M25,Revenue_Assumptions!$E$7:$M$7,BO$7)/12</f>
        <v/>
      </c>
      <c r="BP93" s="48">
        <f>+SUMIFS(Revenue_Assumptions!$E25:$M25,Revenue_Assumptions!$E$7:$M$7,BP$7)/12</f>
        <v/>
      </c>
      <c r="BQ93" s="48">
        <f>+SUMIFS(Revenue_Assumptions!$E25:$M25,Revenue_Assumptions!$E$7:$M$7,BQ$7)/12</f>
        <v/>
      </c>
      <c r="BR93" s="48">
        <f>+SUMIFS(Revenue_Assumptions!$E25:$M25,Revenue_Assumptions!$E$7:$M$7,BR$7)/12</f>
        <v/>
      </c>
      <c r="BS93" s="48">
        <f>+SUMIFS(Revenue_Assumptions!$E25:$M25,Revenue_Assumptions!$E$7:$M$7,BS$7)/12</f>
        <v/>
      </c>
      <c r="BT93" s="48">
        <f>+SUMIFS(Revenue_Assumptions!$E25:$M25,Revenue_Assumptions!$E$7:$M$7,BT$7)/12</f>
        <v/>
      </c>
      <c r="BU93" s="48">
        <f>+SUMIFS(Revenue_Assumptions!$E25:$M25,Revenue_Assumptions!$E$7:$M$7,BU$7)/12</f>
        <v/>
      </c>
      <c r="BV93" s="48">
        <f>+SUMIFS(Revenue_Assumptions!$E25:$M25,Revenue_Assumptions!$E$7:$M$7,BV$7)/12</f>
        <v/>
      </c>
      <c r="BW93" s="48">
        <f>+SUMIFS(Revenue_Assumptions!$E25:$M25,Revenue_Assumptions!$E$7:$M$7,BW$7)/12</f>
        <v/>
      </c>
      <c r="BX93" s="48">
        <f>+SUMIFS(Revenue_Assumptions!$E25:$M25,Revenue_Assumptions!$E$7:$M$7,BX$7)/12</f>
        <v/>
      </c>
      <c r="BY93" s="48">
        <f>+SUMIFS(Revenue_Assumptions!$E25:$M25,Revenue_Assumptions!$E$7:$M$7,BY$7)/12</f>
        <v/>
      </c>
      <c r="BZ93" s="48">
        <f>+SUMIFS(Revenue_Assumptions!$E25:$M25,Revenue_Assumptions!$E$7:$M$7,BZ$7)/12</f>
        <v/>
      </c>
      <c r="CA93" s="48">
        <f>+SUMIFS(Revenue_Assumptions!$E25:$M25,Revenue_Assumptions!$E$7:$M$7,CA$7)/12</f>
        <v/>
      </c>
      <c r="CB93" s="48">
        <f>+SUMIFS(Revenue_Assumptions!$E25:$M25,Revenue_Assumptions!$E$7:$M$7,CB$7)/12</f>
        <v/>
      </c>
      <c r="CC93" s="48">
        <f>+SUMIFS(Revenue_Assumptions!$E25:$M25,Revenue_Assumptions!$E$7:$M$7,CC$7)/12</f>
        <v/>
      </c>
      <c r="CD93" s="48">
        <f>+SUMIFS(Revenue_Assumptions!$E25:$M25,Revenue_Assumptions!$E$7:$M$7,CD$7)/12</f>
        <v/>
      </c>
      <c r="CE93" s="48">
        <f>+SUMIFS(Revenue_Assumptions!$E25:$M25,Revenue_Assumptions!$E$7:$M$7,CE$7)/12</f>
        <v/>
      </c>
      <c r="CF93" s="48">
        <f>+SUMIFS(Revenue_Assumptions!$E25:$M25,Revenue_Assumptions!$E$7:$M$7,CF$7)/12</f>
        <v/>
      </c>
      <c r="CG93" s="48">
        <f>+SUMIFS(Revenue_Assumptions!$E25:$M25,Revenue_Assumptions!$E$7:$M$7,CG$7)/12</f>
        <v/>
      </c>
      <c r="CH93" s="48">
        <f>+SUMIFS(Revenue_Assumptions!$E25:$M25,Revenue_Assumptions!$E$7:$M$7,CH$7)/12</f>
        <v/>
      </c>
      <c r="CI93" s="48">
        <f>+SUMIFS(Revenue_Assumptions!$E25:$M25,Revenue_Assumptions!$E$7:$M$7,CI$7)/12</f>
        <v/>
      </c>
      <c r="CJ93" s="48">
        <f>+SUMIFS(Revenue_Assumptions!$E25:$M25,Revenue_Assumptions!$E$7:$M$7,CJ$7)/12</f>
        <v/>
      </c>
      <c r="CK93" s="48">
        <f>+SUMIFS(Revenue_Assumptions!$E25:$M25,Revenue_Assumptions!$E$7:$M$7,CK$7)/12</f>
        <v/>
      </c>
      <c r="CL93" s="48">
        <f>+SUMIFS(Revenue_Assumptions!$E25:$M25,Revenue_Assumptions!$E$7:$M$7,CL$7)/12</f>
        <v/>
      </c>
      <c r="CM93" s="48">
        <f>+SUMIFS(Revenue_Assumptions!$E25:$M25,Revenue_Assumptions!$E$7:$M$7,CM$7)/12</f>
        <v/>
      </c>
      <c r="CN93" s="48">
        <f>+SUMIFS(Revenue_Assumptions!$E25:$M25,Revenue_Assumptions!$E$7:$M$7,CN$7)/12</f>
        <v/>
      </c>
      <c r="CO93" s="48">
        <f>+SUMIFS(Revenue_Assumptions!$E25:$M25,Revenue_Assumptions!$E$7:$M$7,CO$7)/12</f>
        <v/>
      </c>
      <c r="CP93" s="48">
        <f>+SUMIFS(Revenue_Assumptions!$E25:$M25,Revenue_Assumptions!$E$7:$M$7,CP$7)/12</f>
        <v/>
      </c>
      <c r="CQ93" s="48">
        <f>+SUMIFS(Revenue_Assumptions!$E25:$M25,Revenue_Assumptions!$E$7:$M$7,CQ$7)/12</f>
        <v/>
      </c>
      <c r="CR93" s="48">
        <f>+SUMIFS(Revenue_Assumptions!$E25:$M25,Revenue_Assumptions!$E$7:$M$7,CR$7)/12</f>
        <v/>
      </c>
      <c r="CS93" s="48">
        <f>+SUMIFS(Revenue_Assumptions!$E25:$M25,Revenue_Assumptions!$E$7:$M$7,CS$7)/12</f>
        <v/>
      </c>
      <c r="CT93" s="48">
        <f>+SUMIFS(Revenue_Assumptions!$E25:$M25,Revenue_Assumptions!$E$7:$M$7,CT$7)/12</f>
        <v/>
      </c>
      <c r="CU93" s="48">
        <f>+SUMIFS(Revenue_Assumptions!$E25:$M25,Revenue_Assumptions!$E$7:$M$7,CU$7)/12</f>
        <v/>
      </c>
      <c r="CV93" s="48">
        <f>+SUMIFS(Revenue_Assumptions!$E25:$M25,Revenue_Assumptions!$E$7:$M$7,CV$7)/12</f>
        <v/>
      </c>
      <c r="CW93" s="48">
        <f>+SUMIFS(Revenue_Assumptions!$E25:$M25,Revenue_Assumptions!$E$7:$M$7,CW$7)/12</f>
        <v/>
      </c>
      <c r="CX93" s="48">
        <f>+SUMIFS(Revenue_Assumptions!$E25:$M25,Revenue_Assumptions!$E$7:$M$7,CX$7)/12</f>
        <v/>
      </c>
      <c r="CY93" s="48">
        <f>+SUMIFS(Revenue_Assumptions!$E25:$M25,Revenue_Assumptions!$E$7:$M$7,CY$7)/12</f>
        <v/>
      </c>
      <c r="CZ93" s="48">
        <f>+SUMIFS(Revenue_Assumptions!$E25:$M25,Revenue_Assumptions!$E$7:$M$7,CZ$7)/12</f>
        <v/>
      </c>
      <c r="DA93" s="48">
        <f>+SUMIFS(Revenue_Assumptions!$E25:$M25,Revenue_Assumptions!$E$7:$M$7,DA$7)/12</f>
        <v/>
      </c>
      <c r="DB93" s="48">
        <f>+SUMIFS(Revenue_Assumptions!$E25:$M25,Revenue_Assumptions!$E$7:$M$7,DB$7)/12</f>
        <v/>
      </c>
      <c r="DC93" s="48">
        <f>+SUMIFS(Revenue_Assumptions!$E25:$M25,Revenue_Assumptions!$E$7:$M$7,DC$7)/12</f>
        <v/>
      </c>
      <c r="DD93" s="48">
        <f>+SUMIFS(Revenue_Assumptions!$E25:$M25,Revenue_Assumptions!$E$7:$M$7,DD$7)/12</f>
        <v/>
      </c>
      <c r="DE93" s="48">
        <f>+SUMIFS(Revenue_Assumptions!$E25:$M25,Revenue_Assumptions!$E$7:$M$7,DE$7)/12</f>
        <v/>
      </c>
      <c r="DF93" s="48">
        <f>+SUMIFS(Revenue_Assumptions!$E25:$M25,Revenue_Assumptions!$E$7:$M$7,DF$7)/12</f>
        <v/>
      </c>
      <c r="DG93" s="48">
        <f>+SUMIFS(Revenue_Assumptions!$E25:$M25,Revenue_Assumptions!$E$7:$M$7,DG$7)/12</f>
        <v/>
      </c>
      <c r="DH93" s="48">
        <f>+SUMIFS(Revenue_Assumptions!$E25:$M25,Revenue_Assumptions!$E$7:$M$7,DH$7)/12</f>
        <v/>
      </c>
      <c r="DI93" s="48">
        <f>+SUMIFS(Revenue_Assumptions!$E25:$M25,Revenue_Assumptions!$E$7:$M$7,DI$7)/12</f>
        <v/>
      </c>
      <c r="DJ93" s="48">
        <f>+SUMIFS(Revenue_Assumptions!$E25:$M25,Revenue_Assumptions!$E$7:$M$7,DJ$7)/12</f>
        <v/>
      </c>
      <c r="DK93" s="48">
        <f>+SUMIFS(Revenue_Assumptions!$E25:$M25,Revenue_Assumptions!$E$7:$M$7,DK$7)/12</f>
        <v/>
      </c>
      <c r="DL93" s="48">
        <f>+SUMIFS(Revenue_Assumptions!$E25:$M25,Revenue_Assumptions!$E$7:$M$7,DL$7)/12</f>
        <v/>
      </c>
      <c r="DM93" s="48">
        <f>+SUMIFS(Revenue_Assumptions!$E25:$M25,Revenue_Assumptions!$E$7:$M$7,DM$7)/12</f>
        <v/>
      </c>
      <c r="DN93" s="48">
        <f>+SUMIFS(Revenue_Assumptions!$E25:$M25,Revenue_Assumptions!$E$7:$M$7,DN$7)/12</f>
        <v/>
      </c>
      <c r="DO93" s="48">
        <f>+SUMIFS(Revenue_Assumptions!$E25:$M25,Revenue_Assumptions!$E$7:$M$7,DO$7)/12</f>
        <v/>
      </c>
      <c r="DP93" s="48">
        <f>+SUMIFS(Revenue_Assumptions!$E25:$M25,Revenue_Assumptions!$E$7:$M$7,DP$7)/12</f>
        <v/>
      </c>
      <c r="DQ93" s="48">
        <f>+SUMIFS(Revenue_Assumptions!$E25:$M25,Revenue_Assumptions!$E$7:$M$7,DQ$7)/12</f>
        <v/>
      </c>
      <c r="DR93" s="48">
        <f>+SUMIFS(Revenue_Assumptions!$E25:$M25,Revenue_Assumptions!$E$7:$M$7,DR$7)/12</f>
        <v/>
      </c>
    </row>
    <row r="94" hidden="1" outlineLevel="1" ht="15.75" customHeight="1">
      <c r="B94" s="50" t="inlineStr">
        <is>
          <t>New Revenue</t>
        </is>
      </c>
      <c r="C94" s="50" t="n"/>
      <c r="E94" s="51">
        <f>+SUMIFS($AA94:$DR94,$AA$7:$DR$7,E$7)</f>
        <v/>
      </c>
      <c r="F94" s="51">
        <f>+SUMIFS($AA94:$DR94,$AA$7:$DR$7,F$7)</f>
        <v/>
      </c>
      <c r="G94" s="51">
        <f>+SUMIFS($AA94:$DR94,$AA$7:$DR$7,G$7)</f>
        <v/>
      </c>
      <c r="H94" s="51">
        <f>+SUMIFS($AA94:$DR94,$AA$7:$DR$7,H$7)</f>
        <v/>
      </c>
      <c r="I94" s="51">
        <f>+SUMIFS($AA94:$DR94,$AA$7:$DR$7,I$7)</f>
        <v/>
      </c>
      <c r="J94" s="51">
        <f>+SUMIFS($AA94:$DR94,$AA$7:$DR$7,J$7)</f>
        <v/>
      </c>
      <c r="K94" s="51">
        <f>+SUMIFS($AA94:$DR94,$AA$7:$DR$7,K$7)</f>
        <v/>
      </c>
      <c r="L94" s="51">
        <f>+SUMIFS($AA94:$DR94,$AA$7:$DR$7,L$7)</f>
        <v/>
      </c>
      <c r="M94" s="51">
        <f>+SUMIFS($AA94:$DR94,$AA$7:$DR$7,M$7)</f>
        <v/>
      </c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51">
        <f>+AA92*AA93</f>
        <v/>
      </c>
      <c r="AB94" s="51">
        <f>+AB92*AB93</f>
        <v/>
      </c>
      <c r="AC94" s="51">
        <f>+AC92*AC93</f>
        <v/>
      </c>
      <c r="AD94" s="51">
        <f>+AD92*AD93</f>
        <v/>
      </c>
      <c r="AE94" s="51">
        <f>+AE92*AE93</f>
        <v/>
      </c>
      <c r="AF94" s="51">
        <f>+AF92*AF93</f>
        <v/>
      </c>
      <c r="AG94" s="51">
        <f>+AG92*AG93</f>
        <v/>
      </c>
      <c r="AH94" s="51">
        <f>+AH92*AH93</f>
        <v/>
      </c>
      <c r="AI94" s="51">
        <f>+AI92*AI93</f>
        <v/>
      </c>
      <c r="AJ94" s="51">
        <f>+AJ92*AJ93</f>
        <v/>
      </c>
      <c r="AK94" s="51">
        <f>+AK92*AK93</f>
        <v/>
      </c>
      <c r="AL94" s="51">
        <f>+AL92*AL93</f>
        <v/>
      </c>
      <c r="AM94" s="51">
        <f>+AM92*AM93</f>
        <v/>
      </c>
      <c r="AN94" s="51">
        <f>+AN92*AN93</f>
        <v/>
      </c>
      <c r="AO94" s="51">
        <f>+AO92*AO93</f>
        <v/>
      </c>
      <c r="AP94" s="51">
        <f>+AP92*AP93</f>
        <v/>
      </c>
      <c r="AQ94" s="51">
        <f>+AQ92*AQ93</f>
        <v/>
      </c>
      <c r="AR94" s="51">
        <f>+AR92*AR93</f>
        <v/>
      </c>
      <c r="AS94" s="51">
        <f>+AS92*AS93</f>
        <v/>
      </c>
      <c r="AT94" s="51">
        <f>+AT92*AT93</f>
        <v/>
      </c>
      <c r="AU94" s="51">
        <f>+AU92*AU93</f>
        <v/>
      </c>
      <c r="AV94" s="51">
        <f>+AV92*AV93</f>
        <v/>
      </c>
      <c r="AW94" s="51">
        <f>+AW92*AW93</f>
        <v/>
      </c>
      <c r="AX94" s="51">
        <f>+AX92*AX93</f>
        <v/>
      </c>
      <c r="AY94" s="51">
        <f>+AY92*AY93</f>
        <v/>
      </c>
      <c r="AZ94" s="51">
        <f>+AZ92*AZ93</f>
        <v/>
      </c>
      <c r="BA94" s="51">
        <f>+BA92*BA93</f>
        <v/>
      </c>
      <c r="BB94" s="51">
        <f>+BB92*BB93</f>
        <v/>
      </c>
      <c r="BC94" s="51">
        <f>+BC92*BC93</f>
        <v/>
      </c>
      <c r="BD94" s="51">
        <f>+BD92*BD93</f>
        <v/>
      </c>
      <c r="BE94" s="51">
        <f>+BE92*BE93</f>
        <v/>
      </c>
      <c r="BF94" s="51">
        <f>+BF92*BF93</f>
        <v/>
      </c>
      <c r="BG94" s="51">
        <f>+BG92*BG93</f>
        <v/>
      </c>
      <c r="BH94" s="51">
        <f>+BH92*BH93</f>
        <v/>
      </c>
      <c r="BI94" s="51">
        <f>+BI92*BI93</f>
        <v/>
      </c>
      <c r="BJ94" s="51">
        <f>+BJ92*BJ93</f>
        <v/>
      </c>
      <c r="BK94" s="51">
        <f>+BK92*BK93</f>
        <v/>
      </c>
      <c r="BL94" s="51">
        <f>+BL92*BL93</f>
        <v/>
      </c>
      <c r="BM94" s="51">
        <f>+BM92*BM93</f>
        <v/>
      </c>
      <c r="BN94" s="51">
        <f>+BN92*BN93</f>
        <v/>
      </c>
      <c r="BO94" s="51">
        <f>+BO92*BO93</f>
        <v/>
      </c>
      <c r="BP94" s="51">
        <f>+BP92*BP93</f>
        <v/>
      </c>
      <c r="BQ94" s="51">
        <f>+BQ92*BQ93</f>
        <v/>
      </c>
      <c r="BR94" s="51">
        <f>+BR92*BR93</f>
        <v/>
      </c>
      <c r="BS94" s="51">
        <f>+BS92*BS93</f>
        <v/>
      </c>
      <c r="BT94" s="51">
        <f>+BT92*BT93</f>
        <v/>
      </c>
      <c r="BU94" s="51">
        <f>+BU92*BU93</f>
        <v/>
      </c>
      <c r="BV94" s="51">
        <f>+BV92*BV93</f>
        <v/>
      </c>
      <c r="BW94" s="51">
        <f>+BW92*BW93</f>
        <v/>
      </c>
      <c r="BX94" s="51">
        <f>+BX92*BX93</f>
        <v/>
      </c>
      <c r="BY94" s="51">
        <f>+BY92*BY93</f>
        <v/>
      </c>
      <c r="BZ94" s="51">
        <f>+BZ92*BZ93</f>
        <v/>
      </c>
      <c r="CA94" s="51">
        <f>+CA92*CA93</f>
        <v/>
      </c>
      <c r="CB94" s="51">
        <f>+CB92*CB93</f>
        <v/>
      </c>
      <c r="CC94" s="51">
        <f>+CC92*CC93</f>
        <v/>
      </c>
      <c r="CD94" s="51">
        <f>+CD92*CD93</f>
        <v/>
      </c>
      <c r="CE94" s="51">
        <f>+CE92*CE93</f>
        <v/>
      </c>
      <c r="CF94" s="51">
        <f>+CF92*CF93</f>
        <v/>
      </c>
      <c r="CG94" s="51">
        <f>+CG92*CG93</f>
        <v/>
      </c>
      <c r="CH94" s="51">
        <f>+CH92*CH93</f>
        <v/>
      </c>
      <c r="CI94" s="51">
        <f>+CI92*CI93</f>
        <v/>
      </c>
      <c r="CJ94" s="51">
        <f>+CJ92*CJ93</f>
        <v/>
      </c>
      <c r="CK94" s="51">
        <f>+CK92*CK93</f>
        <v/>
      </c>
      <c r="CL94" s="51">
        <f>+CL92*CL93</f>
        <v/>
      </c>
      <c r="CM94" s="51">
        <f>+CM92*CM93</f>
        <v/>
      </c>
      <c r="CN94" s="51">
        <f>+CN92*CN93</f>
        <v/>
      </c>
      <c r="CO94" s="51">
        <f>+CO92*CO93</f>
        <v/>
      </c>
      <c r="CP94" s="51">
        <f>+CP92*CP93</f>
        <v/>
      </c>
      <c r="CQ94" s="51">
        <f>+CQ92*CQ93</f>
        <v/>
      </c>
      <c r="CR94" s="51">
        <f>+CR92*CR93</f>
        <v/>
      </c>
      <c r="CS94" s="51">
        <f>+CS92*CS93</f>
        <v/>
      </c>
      <c r="CT94" s="51">
        <f>+CT92*CT93</f>
        <v/>
      </c>
      <c r="CU94" s="51">
        <f>+CU92*CU93</f>
        <v/>
      </c>
      <c r="CV94" s="51">
        <f>+CV92*CV93</f>
        <v/>
      </c>
      <c r="CW94" s="51">
        <f>+CW92*CW93</f>
        <v/>
      </c>
      <c r="CX94" s="51">
        <f>+CX92*CX93</f>
        <v/>
      </c>
      <c r="CY94" s="51">
        <f>+CY92*CY93</f>
        <v/>
      </c>
      <c r="CZ94" s="51">
        <f>+CZ92*CZ93</f>
        <v/>
      </c>
      <c r="DA94" s="51">
        <f>+DA92*DA93</f>
        <v/>
      </c>
      <c r="DB94" s="51">
        <f>+DB92*DB93</f>
        <v/>
      </c>
      <c r="DC94" s="51">
        <f>+DC92*DC93</f>
        <v/>
      </c>
      <c r="DD94" s="51">
        <f>+DD92*DD93</f>
        <v/>
      </c>
      <c r="DE94" s="51">
        <f>+DE92*DE93</f>
        <v/>
      </c>
      <c r="DF94" s="51">
        <f>+DF92*DF93</f>
        <v/>
      </c>
      <c r="DG94" s="51">
        <f>+DG92*DG93</f>
        <v/>
      </c>
      <c r="DH94" s="51">
        <f>+DH92*DH93</f>
        <v/>
      </c>
      <c r="DI94" s="51">
        <f>+DI92*DI93</f>
        <v/>
      </c>
      <c r="DJ94" s="51">
        <f>+DJ92*DJ93</f>
        <v/>
      </c>
      <c r="DK94" s="51">
        <f>+DK92*DK93</f>
        <v/>
      </c>
      <c r="DL94" s="51">
        <f>+DL92*DL93</f>
        <v/>
      </c>
      <c r="DM94" s="51">
        <f>+DM92*DM93</f>
        <v/>
      </c>
      <c r="DN94" s="51">
        <f>+DN92*DN93</f>
        <v/>
      </c>
      <c r="DO94" s="51">
        <f>+DO92*DO93</f>
        <v/>
      </c>
      <c r="DP94" s="51">
        <f>+DP92*DP93</f>
        <v/>
      </c>
      <c r="DQ94" s="51">
        <f>+DQ92*DQ93</f>
        <v/>
      </c>
      <c r="DR94" s="51">
        <f>+DR92*DR93</f>
        <v/>
      </c>
    </row>
    <row r="95" hidden="1" outlineLevel="1" ht="4.5" customHeight="1"/>
    <row r="96" collapsed="1" ht="15.75" customHeight="1">
      <c r="B96" s="56" t="inlineStr">
        <is>
          <t>Total Revenue</t>
        </is>
      </c>
      <c r="C96" s="56" t="n"/>
      <c r="E96" s="57">
        <f>+SUMIFS(E$13:E$58,$C$13:$C$58,$B$86)</f>
        <v/>
      </c>
      <c r="F96" s="57">
        <f>+SUM(F90,F94)</f>
        <v/>
      </c>
      <c r="G96" s="57">
        <f>+SUM(G90,G94)</f>
        <v/>
      </c>
      <c r="H96" s="57">
        <f>+SUM(H90,H94)</f>
        <v/>
      </c>
      <c r="I96" s="57">
        <f>+SUM(I90,I94)</f>
        <v/>
      </c>
      <c r="J96" s="57">
        <f>+SUM(J90,J94)</f>
        <v/>
      </c>
      <c r="K96" s="57">
        <f>+SUM(K90,K94)</f>
        <v/>
      </c>
      <c r="L96" s="57">
        <f>+SUM(L90,L94)</f>
        <v/>
      </c>
      <c r="M96" s="57">
        <f>+SUM(M90,M94)</f>
        <v/>
      </c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49" t="n"/>
      <c r="AG96" s="49" t="n"/>
      <c r="AH96" s="49" t="n"/>
      <c r="AI96" s="49" t="n"/>
      <c r="AJ96" s="49" t="n"/>
      <c r="AK96" s="49" t="n"/>
      <c r="AL96" s="49" t="n"/>
      <c r="AM96" s="49" t="n"/>
      <c r="AN96" s="49" t="n"/>
      <c r="AO96" s="49" t="n"/>
      <c r="AP96" s="49" t="n"/>
      <c r="AQ96" s="49" t="n"/>
      <c r="AR96" s="49" t="n"/>
      <c r="AS96" s="49" t="n"/>
      <c r="AT96" s="49" t="n"/>
      <c r="AU96" s="49" t="n"/>
      <c r="AV96" s="49" t="n"/>
      <c r="AW96" s="49" t="n"/>
      <c r="AX96" s="49" t="n"/>
      <c r="AY96" s="49" t="n"/>
      <c r="AZ96" s="49" t="n"/>
      <c r="BA96" s="49" t="n"/>
      <c r="BB96" s="49" t="n"/>
      <c r="BC96" s="49" t="n"/>
      <c r="BD96" s="49" t="n"/>
      <c r="BE96" s="49" t="n"/>
      <c r="BF96" s="49" t="n"/>
      <c r="BG96" s="49" t="n"/>
      <c r="BH96" s="49" t="n"/>
      <c r="BI96" s="49" t="n"/>
      <c r="BJ96" s="49" t="n"/>
      <c r="BK96" s="49" t="n"/>
      <c r="BL96" s="49" t="n"/>
      <c r="BM96" s="49" t="n"/>
      <c r="BN96" s="49" t="n"/>
      <c r="BO96" s="49" t="n"/>
      <c r="BP96" s="49" t="n"/>
      <c r="BQ96" s="49" t="n"/>
      <c r="BR96" s="49" t="n"/>
      <c r="BS96" s="49" t="n"/>
      <c r="BT96" s="49" t="n"/>
      <c r="BU96" s="49" t="n"/>
      <c r="BV96" s="49" t="n"/>
      <c r="BW96" s="49" t="n"/>
      <c r="BX96" s="49" t="n"/>
      <c r="BY96" s="49" t="n"/>
      <c r="BZ96" s="49" t="n"/>
      <c r="CA96" s="49" t="n"/>
      <c r="CB96" s="49" t="n"/>
      <c r="CC96" s="49" t="n"/>
      <c r="CD96" s="49" t="n"/>
      <c r="CE96" s="49" t="n"/>
      <c r="CF96" s="49" t="n"/>
      <c r="CG96" s="49" t="n"/>
      <c r="CH96" s="49" t="n"/>
      <c r="CI96" s="49" t="n"/>
      <c r="CJ96" s="49" t="n"/>
      <c r="CK96" s="49" t="n"/>
      <c r="CL96" s="49" t="n"/>
      <c r="CM96" s="49" t="n"/>
      <c r="CN96" s="49" t="n"/>
      <c r="CO96" s="49" t="n"/>
      <c r="CP96" s="49" t="n"/>
      <c r="CQ96" s="49" t="n"/>
      <c r="CR96" s="49" t="n"/>
      <c r="CS96" s="49" t="n"/>
      <c r="CT96" s="49" t="n"/>
      <c r="CU96" s="49" t="n"/>
      <c r="CV96" s="49" t="n"/>
      <c r="CW96" s="49" t="n"/>
      <c r="CX96" s="49" t="n"/>
      <c r="CY96" s="49" t="n"/>
      <c r="CZ96" s="49" t="n"/>
      <c r="DA96" s="49" t="n"/>
      <c r="DB96" s="49" t="n"/>
      <c r="DC96" s="49" t="n"/>
      <c r="DD96" s="49" t="n"/>
      <c r="DE96" s="49" t="n"/>
      <c r="DF96" s="49" t="n"/>
      <c r="DG96" s="49" t="n"/>
      <c r="DH96" s="49" t="n"/>
      <c r="DI96" s="49" t="n"/>
      <c r="DJ96" s="49" t="n"/>
      <c r="DK96" s="49" t="n"/>
      <c r="DL96" s="49" t="n"/>
      <c r="DM96" s="49" t="n"/>
      <c r="DN96" s="49" t="n"/>
      <c r="DO96" s="49" t="n"/>
      <c r="DP96" s="49" t="n"/>
      <c r="DQ96" s="49" t="n"/>
      <c r="DR96" s="49" t="n"/>
    </row>
    <row r="97" ht="4.5" customHeight="1"/>
    <row r="98" ht="15.75" customHeight="1">
      <c r="B98" s="95" t="inlineStr">
        <is>
          <t>Upper Middle Market</t>
        </is>
      </c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  <c r="AA98" s="96" t="n"/>
      <c r="AB98" s="96" t="n"/>
      <c r="AC98" s="96" t="n"/>
      <c r="AD98" s="96" t="n"/>
      <c r="AE98" s="96" t="n"/>
      <c r="AF98" s="96" t="n"/>
      <c r="AG98" s="96" t="n"/>
      <c r="AH98" s="96" t="n"/>
      <c r="AI98" s="96" t="n"/>
      <c r="AJ98" s="96" t="n"/>
      <c r="AK98" s="96" t="n"/>
      <c r="AL98" s="96" t="n"/>
      <c r="AM98" s="96" t="n"/>
      <c r="AN98" s="96" t="n"/>
      <c r="AO98" s="96" t="n"/>
      <c r="AP98" s="96" t="n"/>
      <c r="AQ98" s="96" t="n"/>
      <c r="AR98" s="96" t="n"/>
      <c r="AS98" s="96" t="n"/>
      <c r="AT98" s="96" t="n"/>
      <c r="AU98" s="96" t="n"/>
      <c r="AV98" s="96" t="n"/>
      <c r="AW98" s="96" t="n"/>
      <c r="AX98" s="96" t="n"/>
      <c r="AY98" s="96" t="n"/>
      <c r="AZ98" s="96" t="n"/>
      <c r="BA98" s="96" t="n"/>
      <c r="BB98" s="96" t="n"/>
      <c r="BC98" s="96" t="n"/>
      <c r="BD98" s="96" t="n"/>
      <c r="BE98" s="96" t="n"/>
      <c r="BF98" s="96" t="n"/>
      <c r="BG98" s="96" t="n"/>
      <c r="BH98" s="96" t="n"/>
      <c r="BI98" s="96" t="n"/>
      <c r="BJ98" s="96" t="n"/>
      <c r="BK98" s="96" t="n"/>
      <c r="BL98" s="96" t="n"/>
      <c r="BM98" s="96" t="n"/>
      <c r="BN98" s="96" t="n"/>
      <c r="BO98" s="96" t="n"/>
      <c r="BP98" s="96" t="n"/>
      <c r="BQ98" s="96" t="n"/>
      <c r="BR98" s="96" t="n"/>
      <c r="BS98" s="96" t="n"/>
      <c r="BT98" s="96" t="n"/>
      <c r="BU98" s="96" t="n"/>
      <c r="BV98" s="96" t="n"/>
      <c r="BW98" s="96" t="n"/>
      <c r="BX98" s="96" t="n"/>
      <c r="BY98" s="96" t="n"/>
      <c r="BZ98" s="96" t="n"/>
      <c r="CA98" s="96" t="n"/>
      <c r="CB98" s="96" t="n"/>
      <c r="CC98" s="96" t="n"/>
      <c r="CD98" s="96" t="n"/>
      <c r="CE98" s="96" t="n"/>
      <c r="CF98" s="96" t="n"/>
      <c r="CG98" s="96" t="n"/>
      <c r="CH98" s="96" t="n"/>
      <c r="CI98" s="96" t="n"/>
      <c r="CJ98" s="96" t="n"/>
      <c r="CK98" s="96" t="n"/>
      <c r="CL98" s="96" t="n"/>
      <c r="CM98" s="96" t="n"/>
      <c r="CN98" s="96" t="n"/>
      <c r="CO98" s="96" t="n"/>
      <c r="CP98" s="96" t="n"/>
      <c r="CQ98" s="96" t="n"/>
      <c r="CR98" s="96" t="n"/>
      <c r="CS98" s="96" t="n"/>
      <c r="CT98" s="96" t="n"/>
      <c r="CU98" s="96" t="n"/>
      <c r="CV98" s="96" t="n"/>
      <c r="CW98" s="96" t="n"/>
      <c r="CX98" s="96" t="n"/>
      <c r="CY98" s="96" t="n"/>
      <c r="CZ98" s="96" t="n"/>
      <c r="DA98" s="96" t="n"/>
      <c r="DB98" s="96" t="n"/>
      <c r="DC98" s="96" t="n"/>
      <c r="DD98" s="96" t="n"/>
      <c r="DE98" s="96" t="n"/>
      <c r="DF98" s="96" t="n"/>
      <c r="DG98" s="96" t="n"/>
      <c r="DH98" s="96" t="n"/>
      <c r="DI98" s="96" t="n"/>
      <c r="DJ98" s="96" t="n"/>
      <c r="DK98" s="96" t="n"/>
      <c r="DL98" s="96" t="n"/>
      <c r="DM98" s="96" t="n"/>
      <c r="DN98" s="96" t="n"/>
      <c r="DO98" s="96" t="n"/>
      <c r="DP98" s="96" t="n"/>
      <c r="DQ98" s="96" t="n"/>
      <c r="DR98" s="96" t="n"/>
    </row>
    <row r="99" ht="15.75" customHeight="1">
      <c r="B99" s="5" t="inlineStr">
        <is>
          <t>Revenue, Beginning</t>
        </is>
      </c>
      <c r="E99" s="96" t="n"/>
      <c r="F99" s="46">
        <f>+E108</f>
        <v/>
      </c>
      <c r="G99" s="46">
        <f>+F108</f>
        <v/>
      </c>
      <c r="H99" s="46">
        <f>+G108</f>
        <v/>
      </c>
      <c r="I99" s="46">
        <f>+H108</f>
        <v/>
      </c>
      <c r="J99" s="46">
        <f>+I108</f>
        <v/>
      </c>
      <c r="K99" s="46">
        <f>+J108</f>
        <v/>
      </c>
      <c r="L99" s="46">
        <f>+K108</f>
        <v/>
      </c>
      <c r="M99" s="46">
        <f>+L108</f>
        <v/>
      </c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  <c r="AA99" s="96" t="n"/>
      <c r="AB99" s="96" t="n"/>
      <c r="AC99" s="96" t="n"/>
      <c r="AD99" s="96" t="n"/>
      <c r="AE99" s="96" t="n"/>
      <c r="AF99" s="96" t="n"/>
      <c r="AG99" s="96" t="n"/>
      <c r="AH99" s="96" t="n"/>
      <c r="AI99" s="96" t="n"/>
      <c r="AJ99" s="96" t="n"/>
      <c r="AK99" s="96" t="n"/>
      <c r="AL99" s="96" t="n"/>
      <c r="AM99" s="96" t="n"/>
      <c r="AN99" s="96" t="n"/>
      <c r="AO99" s="96" t="n"/>
      <c r="AP99" s="96" t="n"/>
      <c r="AQ99" s="96" t="n"/>
      <c r="AR99" s="96" t="n"/>
      <c r="AS99" s="96" t="n"/>
      <c r="AT99" s="96" t="n"/>
      <c r="AU99" s="96" t="n"/>
      <c r="AV99" s="96" t="n"/>
      <c r="AW99" s="96" t="n"/>
      <c r="AX99" s="96" t="n"/>
      <c r="AY99" s="96" t="n"/>
      <c r="AZ99" s="96" t="n"/>
      <c r="BA99" s="96" t="n"/>
      <c r="BB99" s="96" t="n"/>
      <c r="BC99" s="96" t="n"/>
      <c r="BD99" s="96" t="n"/>
      <c r="BE99" s="96" t="n"/>
      <c r="BF99" s="96" t="n"/>
      <c r="BG99" s="96" t="n"/>
      <c r="BH99" s="96" t="n"/>
      <c r="BI99" s="96" t="n"/>
      <c r="BJ99" s="96" t="n"/>
      <c r="BK99" s="96" t="n"/>
      <c r="BL99" s="96" t="n"/>
      <c r="BM99" s="96" t="n"/>
      <c r="BN99" s="96" t="n"/>
      <c r="BO99" s="96" t="n"/>
      <c r="BP99" s="96" t="n"/>
      <c r="BQ99" s="96" t="n"/>
      <c r="BR99" s="96" t="n"/>
      <c r="BS99" s="96" t="n"/>
      <c r="BT99" s="96" t="n"/>
      <c r="BU99" s="96" t="n"/>
      <c r="BV99" s="96" t="n"/>
      <c r="BW99" s="96" t="n"/>
      <c r="BX99" s="96" t="n"/>
      <c r="BY99" s="96" t="n"/>
      <c r="BZ99" s="96" t="n"/>
      <c r="CA99" s="96" t="n"/>
      <c r="CB99" s="96" t="n"/>
      <c r="CC99" s="96" t="n"/>
      <c r="CD99" s="96" t="n"/>
      <c r="CE99" s="96" t="n"/>
      <c r="CF99" s="96" t="n"/>
      <c r="CG99" s="96" t="n"/>
      <c r="CH99" s="96" t="n"/>
      <c r="CI99" s="96" t="n"/>
      <c r="CJ99" s="96" t="n"/>
      <c r="CK99" s="96" t="n"/>
      <c r="CL99" s="96" t="n"/>
      <c r="CM99" s="96" t="n"/>
      <c r="CN99" s="96" t="n"/>
      <c r="CO99" s="96" t="n"/>
      <c r="CP99" s="96" t="n"/>
      <c r="CQ99" s="96" t="n"/>
      <c r="CR99" s="96" t="n"/>
      <c r="CS99" s="96" t="n"/>
      <c r="CT99" s="96" t="n"/>
      <c r="CU99" s="96" t="n"/>
      <c r="CV99" s="96" t="n"/>
      <c r="CW99" s="96" t="n"/>
      <c r="CX99" s="96" t="n"/>
      <c r="CY99" s="96" t="n"/>
      <c r="CZ99" s="96" t="n"/>
      <c r="DA99" s="96" t="n"/>
      <c r="DB99" s="96" t="n"/>
      <c r="DC99" s="96" t="n"/>
      <c r="DD99" s="96" t="n"/>
      <c r="DE99" s="96" t="n"/>
      <c r="DF99" s="96" t="n"/>
      <c r="DG99" s="96" t="n"/>
      <c r="DH99" s="96" t="n"/>
      <c r="DI99" s="96" t="n"/>
      <c r="DJ99" s="96" t="n"/>
      <c r="DK99" s="96" t="n"/>
      <c r="DL99" s="96" t="n"/>
      <c r="DM99" s="96" t="n"/>
      <c r="DN99" s="96" t="n"/>
      <c r="DO99" s="96" t="n"/>
      <c r="DP99" s="96" t="n"/>
      <c r="DQ99" s="96" t="n"/>
      <c r="DR99" s="96" t="n"/>
    </row>
    <row r="100" ht="15.75" customHeight="1">
      <c r="B100" s="5" t="inlineStr">
        <is>
          <t>Churn</t>
        </is>
      </c>
      <c r="E100" s="96" t="n"/>
      <c r="F100" s="46">
        <f>+SUMIFS(DT$13:DT$58,DT$13:DT$58,"&lt;0",$C$13:$C$58,$B$98)</f>
        <v/>
      </c>
      <c r="G100" s="46">
        <f>+SUMIFS(DU$13:DU$58,DU$13:DU$58,"&lt;0",$C$13:$C$58,$B$98)</f>
        <v/>
      </c>
      <c r="H100" s="46">
        <f>+SUMIFS(DV$13:DV$58,DV$13:DV$58,"&lt;0",$C$13:$C$58,$B$98)</f>
        <v/>
      </c>
      <c r="I100" s="46">
        <f>+SUMIFS(DW$13:DW$58,DW$13:DW$58,"&lt;0",$C$13:$C$58,$B$98)</f>
        <v/>
      </c>
      <c r="J100" s="48">
        <f>+Revenue_Assumptions!J28*J$99</f>
        <v/>
      </c>
      <c r="K100" s="48">
        <f>+Revenue_Assumptions!K28*K$99</f>
        <v/>
      </c>
      <c r="L100" s="48">
        <f>+Revenue_Assumptions!L28*L$99</f>
        <v/>
      </c>
      <c r="M100" s="48">
        <f>+Revenue_Assumptions!M28*M$99</f>
        <v/>
      </c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  <c r="AA100" s="96" t="n"/>
      <c r="AB100" s="96" t="n"/>
      <c r="AC100" s="96" t="n"/>
      <c r="AD100" s="96" t="n"/>
      <c r="AE100" s="96" t="n"/>
      <c r="AF100" s="96" t="n"/>
      <c r="AG100" s="96" t="n"/>
      <c r="AH100" s="96" t="n"/>
      <c r="AI100" s="96" t="n"/>
      <c r="AJ100" s="96" t="n"/>
      <c r="AK100" s="96" t="n"/>
      <c r="AL100" s="96" t="n"/>
      <c r="AM100" s="96" t="n"/>
      <c r="AN100" s="96" t="n"/>
      <c r="AO100" s="96" t="n"/>
      <c r="AP100" s="96" t="n"/>
      <c r="AQ100" s="96" t="n"/>
      <c r="AR100" s="96" t="n"/>
      <c r="AS100" s="96" t="n"/>
      <c r="AT100" s="96" t="n"/>
      <c r="AU100" s="96" t="n"/>
      <c r="AV100" s="96" t="n"/>
      <c r="AW100" s="96" t="n"/>
      <c r="AX100" s="96" t="n"/>
      <c r="AY100" s="96" t="n"/>
      <c r="AZ100" s="96" t="n"/>
      <c r="BA100" s="96" t="n"/>
      <c r="BB100" s="96" t="n"/>
      <c r="BC100" s="96" t="n"/>
      <c r="BD100" s="96" t="n"/>
      <c r="BE100" s="96" t="n"/>
      <c r="BF100" s="96" t="n"/>
      <c r="BG100" s="96" t="n"/>
      <c r="BH100" s="96" t="n"/>
      <c r="BI100" s="96" t="n"/>
      <c r="BJ100" s="96" t="n"/>
      <c r="BK100" s="96" t="n"/>
      <c r="BL100" s="96" t="n"/>
      <c r="BM100" s="96" t="n"/>
      <c r="BN100" s="96" t="n"/>
      <c r="BO100" s="96" t="n"/>
      <c r="BP100" s="96" t="n"/>
      <c r="BQ100" s="96" t="n"/>
      <c r="BR100" s="96" t="n"/>
      <c r="BS100" s="96" t="n"/>
      <c r="BT100" s="96" t="n"/>
      <c r="BU100" s="96" t="n"/>
      <c r="BV100" s="96" t="n"/>
      <c r="BW100" s="96" t="n"/>
      <c r="BX100" s="96" t="n"/>
      <c r="BY100" s="96" t="n"/>
      <c r="BZ100" s="96" t="n"/>
      <c r="CA100" s="96" t="n"/>
      <c r="CB100" s="96" t="n"/>
      <c r="CC100" s="96" t="n"/>
      <c r="CD100" s="96" t="n"/>
      <c r="CE100" s="96" t="n"/>
      <c r="CF100" s="96" t="n"/>
      <c r="CG100" s="96" t="n"/>
      <c r="CH100" s="96" t="n"/>
      <c r="CI100" s="96" t="n"/>
      <c r="CJ100" s="96" t="n"/>
      <c r="CK100" s="96" t="n"/>
      <c r="CL100" s="96" t="n"/>
      <c r="CM100" s="96" t="n"/>
      <c r="CN100" s="96" t="n"/>
      <c r="CO100" s="96" t="n"/>
      <c r="CP100" s="96" t="n"/>
      <c r="CQ100" s="96" t="n"/>
      <c r="CR100" s="96" t="n"/>
      <c r="CS100" s="96" t="n"/>
      <c r="CT100" s="96" t="n"/>
      <c r="CU100" s="96" t="n"/>
      <c r="CV100" s="96" t="n"/>
      <c r="CW100" s="96" t="n"/>
      <c r="CX100" s="96" t="n"/>
      <c r="CY100" s="96" t="n"/>
      <c r="CZ100" s="96" t="n"/>
      <c r="DA100" s="96" t="n"/>
      <c r="DB100" s="96" t="n"/>
      <c r="DC100" s="96" t="n"/>
      <c r="DD100" s="96" t="n"/>
      <c r="DE100" s="96" t="n"/>
      <c r="DF100" s="96" t="n"/>
      <c r="DG100" s="96" t="n"/>
      <c r="DH100" s="96" t="n"/>
      <c r="DI100" s="96" t="n"/>
      <c r="DJ100" s="96" t="n"/>
      <c r="DK100" s="96" t="n"/>
      <c r="DL100" s="96" t="n"/>
      <c r="DM100" s="96" t="n"/>
      <c r="DN100" s="96" t="n"/>
      <c r="DO100" s="96" t="n"/>
      <c r="DP100" s="96" t="n"/>
      <c r="DQ100" s="96" t="n"/>
      <c r="DR100" s="96" t="n"/>
    </row>
    <row r="101" ht="15.75" customHeight="1">
      <c r="B101" s="5" t="inlineStr">
        <is>
          <t>Expansion</t>
        </is>
      </c>
      <c r="E101" s="96" t="n"/>
      <c r="F101" s="46">
        <f>+SUMIFS(DT$13:DT$58,DT$13:DT$58,"&gt;0",$C$13:$C$58,$B$98)-F106</f>
        <v/>
      </c>
      <c r="G101" s="46">
        <f>+SUMIFS(DU$13:DU$58,DU$13:DU$58,"&gt;0",$C$13:$C$58,$B$98)-G106</f>
        <v/>
      </c>
      <c r="H101" s="46">
        <f>+SUMIFS(DV$13:DV$58,DV$13:DV$58,"&gt;0",$C$13:$C$58,$B$98)-H106</f>
        <v/>
      </c>
      <c r="I101" s="46">
        <f>+SUMIFS(DW$13:DW$58,DW$13:DW$58,"&gt;0",$C$13:$C$58,$B$98)-I106</f>
        <v/>
      </c>
      <c r="J101" s="48">
        <f>+Revenue_Assumptions!J29*J$99</f>
        <v/>
      </c>
      <c r="K101" s="48">
        <f>+Revenue_Assumptions!K29*K$99</f>
        <v/>
      </c>
      <c r="L101" s="48">
        <f>+Revenue_Assumptions!L29*L$99</f>
        <v/>
      </c>
      <c r="M101" s="48">
        <f>+Revenue_Assumptions!M29*M$99</f>
        <v/>
      </c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  <c r="AA101" s="96" t="n"/>
      <c r="AB101" s="96" t="n"/>
      <c r="AC101" s="96" t="n"/>
      <c r="AD101" s="96" t="n"/>
      <c r="AE101" s="96" t="n"/>
      <c r="AF101" s="96" t="n"/>
      <c r="AG101" s="96" t="n"/>
      <c r="AH101" s="96" t="n"/>
      <c r="AI101" s="96" t="n"/>
      <c r="AJ101" s="96" t="n"/>
      <c r="AK101" s="96" t="n"/>
      <c r="AL101" s="96" t="n"/>
      <c r="AM101" s="96" t="n"/>
      <c r="AN101" s="96" t="n"/>
      <c r="AO101" s="96" t="n"/>
      <c r="AP101" s="96" t="n"/>
      <c r="AQ101" s="96" t="n"/>
      <c r="AR101" s="96" t="n"/>
      <c r="AS101" s="96" t="n"/>
      <c r="AT101" s="96" t="n"/>
      <c r="AU101" s="96" t="n"/>
      <c r="AV101" s="96" t="n"/>
      <c r="AW101" s="96" t="n"/>
      <c r="AX101" s="96" t="n"/>
      <c r="AY101" s="96" t="n"/>
      <c r="AZ101" s="96" t="n"/>
      <c r="BA101" s="96" t="n"/>
      <c r="BB101" s="96" t="n"/>
      <c r="BC101" s="96" t="n"/>
      <c r="BD101" s="96" t="n"/>
      <c r="BE101" s="96" t="n"/>
      <c r="BF101" s="96" t="n"/>
      <c r="BG101" s="96" t="n"/>
      <c r="BH101" s="96" t="n"/>
      <c r="BI101" s="96" t="n"/>
      <c r="BJ101" s="96" t="n"/>
      <c r="BK101" s="96" t="n"/>
      <c r="BL101" s="96" t="n"/>
      <c r="BM101" s="96" t="n"/>
      <c r="BN101" s="96" t="n"/>
      <c r="BO101" s="96" t="n"/>
      <c r="BP101" s="96" t="n"/>
      <c r="BQ101" s="96" t="n"/>
      <c r="BR101" s="96" t="n"/>
      <c r="BS101" s="96" t="n"/>
      <c r="BT101" s="96" t="n"/>
      <c r="BU101" s="96" t="n"/>
      <c r="BV101" s="96" t="n"/>
      <c r="BW101" s="96" t="n"/>
      <c r="BX101" s="96" t="n"/>
      <c r="BY101" s="96" t="n"/>
      <c r="BZ101" s="96" t="n"/>
      <c r="CA101" s="96" t="n"/>
      <c r="CB101" s="96" t="n"/>
      <c r="CC101" s="96" t="n"/>
      <c r="CD101" s="96" t="n"/>
      <c r="CE101" s="96" t="n"/>
      <c r="CF101" s="96" t="n"/>
      <c r="CG101" s="96" t="n"/>
      <c r="CH101" s="96" t="n"/>
      <c r="CI101" s="96" t="n"/>
      <c r="CJ101" s="96" t="n"/>
      <c r="CK101" s="96" t="n"/>
      <c r="CL101" s="96" t="n"/>
      <c r="CM101" s="96" t="n"/>
      <c r="CN101" s="96" t="n"/>
      <c r="CO101" s="96" t="n"/>
      <c r="CP101" s="96" t="n"/>
      <c r="CQ101" s="96" t="n"/>
      <c r="CR101" s="96" t="n"/>
      <c r="CS101" s="96" t="n"/>
      <c r="CT101" s="96" t="n"/>
      <c r="CU101" s="96" t="n"/>
      <c r="CV101" s="96" t="n"/>
      <c r="CW101" s="96" t="n"/>
      <c r="CX101" s="96" t="n"/>
      <c r="CY101" s="96" t="n"/>
      <c r="CZ101" s="96" t="n"/>
      <c r="DA101" s="96" t="n"/>
      <c r="DB101" s="96" t="n"/>
      <c r="DC101" s="96" t="n"/>
      <c r="DD101" s="96" t="n"/>
      <c r="DE101" s="96" t="n"/>
      <c r="DF101" s="96" t="n"/>
      <c r="DG101" s="96" t="n"/>
      <c r="DH101" s="96" t="n"/>
      <c r="DI101" s="96" t="n"/>
      <c r="DJ101" s="96" t="n"/>
      <c r="DK101" s="96" t="n"/>
      <c r="DL101" s="96" t="n"/>
      <c r="DM101" s="96" t="n"/>
      <c r="DN101" s="96" t="n"/>
      <c r="DO101" s="96" t="n"/>
      <c r="DP101" s="96" t="n"/>
      <c r="DQ101" s="96" t="n"/>
      <c r="DR101" s="96" t="n"/>
    </row>
    <row r="102" ht="15.75" customHeight="1">
      <c r="B102" s="50" t="inlineStr">
        <is>
          <t>Net Retention</t>
        </is>
      </c>
      <c r="C102" s="50" t="n"/>
      <c r="E102" s="88" t="n"/>
      <c r="F102" s="51">
        <f>SUM(F99:F101)</f>
        <v/>
      </c>
      <c r="G102" s="51">
        <f>SUM(G99:G101)</f>
        <v/>
      </c>
      <c r="H102" s="51">
        <f>SUM(H99:H101)</f>
        <v/>
      </c>
      <c r="I102" s="51">
        <f>SUM(I99:I101)</f>
        <v/>
      </c>
      <c r="J102" s="51">
        <f>SUM(J99:J101)</f>
        <v/>
      </c>
      <c r="K102" s="51">
        <f>SUM(K99:K101)</f>
        <v/>
      </c>
      <c r="L102" s="51">
        <f>SUM(L99:L101)</f>
        <v/>
      </c>
      <c r="M102" s="51">
        <f>SUM(M99:M101)</f>
        <v/>
      </c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96" t="n"/>
      <c r="BX102" s="96" t="n"/>
      <c r="BY102" s="96" t="n"/>
      <c r="BZ102" s="96" t="n"/>
      <c r="CA102" s="96" t="n"/>
      <c r="CB102" s="96" t="n"/>
      <c r="CC102" s="96" t="n"/>
      <c r="CD102" s="96" t="n"/>
      <c r="CE102" s="96" t="n"/>
      <c r="CF102" s="96" t="n"/>
      <c r="CG102" s="96" t="n"/>
      <c r="CH102" s="96" t="n"/>
      <c r="CI102" s="96" t="n"/>
      <c r="CJ102" s="96" t="n"/>
      <c r="CK102" s="96" t="n"/>
      <c r="CL102" s="96" t="n"/>
      <c r="CM102" s="96" t="n"/>
      <c r="CN102" s="96" t="n"/>
      <c r="CO102" s="96" t="n"/>
      <c r="CP102" s="96" t="n"/>
      <c r="CQ102" s="96" t="n"/>
      <c r="CR102" s="96" t="n"/>
      <c r="CS102" s="96" t="n"/>
      <c r="CT102" s="96" t="n"/>
      <c r="CU102" s="96" t="n"/>
      <c r="CV102" s="96" t="n"/>
      <c r="CW102" s="96" t="n"/>
      <c r="CX102" s="96" t="n"/>
      <c r="CY102" s="96" t="n"/>
      <c r="CZ102" s="96" t="n"/>
      <c r="DA102" s="96" t="n"/>
      <c r="DB102" s="96" t="n"/>
      <c r="DC102" s="96" t="n"/>
      <c r="DD102" s="96" t="n"/>
      <c r="DE102" s="96" t="n"/>
      <c r="DF102" s="96" t="n"/>
      <c r="DG102" s="96" t="n"/>
      <c r="DH102" s="96" t="n"/>
      <c r="DI102" s="96" t="n"/>
      <c r="DJ102" s="96" t="n"/>
      <c r="DK102" s="96" t="n"/>
      <c r="DL102" s="96" t="n"/>
      <c r="DM102" s="96" t="n"/>
      <c r="DN102" s="96" t="n"/>
      <c r="DO102" s="96" t="n"/>
      <c r="DP102" s="96" t="n"/>
      <c r="DQ102" s="96" t="n"/>
      <c r="DR102" s="96" t="n"/>
    </row>
    <row r="103" ht="4.5" customHeight="1"/>
    <row r="104" hidden="1" outlineLevel="1" ht="15.75" customHeight="1">
      <c r="B104" s="5" t="inlineStr">
        <is>
          <t>YTD New Clients</t>
        </is>
      </c>
      <c r="E104" s="96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  <c r="AA104" s="98">
        <f>+'Bookings to Revenue_Calcs'!AA47</f>
        <v/>
      </c>
      <c r="AB104" s="98">
        <f>+'Bookings to Revenue_Calcs'!AB47</f>
        <v/>
      </c>
      <c r="AC104" s="98">
        <f>+'Bookings to Revenue_Calcs'!AC47</f>
        <v/>
      </c>
      <c r="AD104" s="98">
        <f>+'Bookings to Revenue_Calcs'!AD47</f>
        <v/>
      </c>
      <c r="AE104" s="98">
        <f>+'Bookings to Revenue_Calcs'!AE47</f>
        <v/>
      </c>
      <c r="AF104" s="98">
        <f>+'Bookings to Revenue_Calcs'!AF47</f>
        <v/>
      </c>
      <c r="AG104" s="98">
        <f>+'Bookings to Revenue_Calcs'!AG47</f>
        <v/>
      </c>
      <c r="AH104" s="98">
        <f>+'Bookings to Revenue_Calcs'!AH47</f>
        <v/>
      </c>
      <c r="AI104" s="98">
        <f>+'Bookings to Revenue_Calcs'!AI47</f>
        <v/>
      </c>
      <c r="AJ104" s="98">
        <f>+'Bookings to Revenue_Calcs'!AJ47</f>
        <v/>
      </c>
      <c r="AK104" s="98">
        <f>+'Bookings to Revenue_Calcs'!AK47</f>
        <v/>
      </c>
      <c r="AL104" s="98">
        <f>+'Bookings to Revenue_Calcs'!AL47</f>
        <v/>
      </c>
      <c r="AM104" s="98">
        <f>+'Bookings to Revenue_Calcs'!AM47</f>
        <v/>
      </c>
      <c r="AN104" s="98">
        <f>+'Bookings to Revenue_Calcs'!AN47</f>
        <v/>
      </c>
      <c r="AO104" s="98">
        <f>+'Bookings to Revenue_Calcs'!AO47</f>
        <v/>
      </c>
      <c r="AP104" s="98">
        <f>+'Bookings to Revenue_Calcs'!AP47</f>
        <v/>
      </c>
      <c r="AQ104" s="98">
        <f>+'Bookings to Revenue_Calcs'!AQ47</f>
        <v/>
      </c>
      <c r="AR104" s="98">
        <f>+'Bookings to Revenue_Calcs'!AR47</f>
        <v/>
      </c>
      <c r="AS104" s="98">
        <f>+'Bookings to Revenue_Calcs'!AS47</f>
        <v/>
      </c>
      <c r="AT104" s="98">
        <f>+'Bookings to Revenue_Calcs'!AT47</f>
        <v/>
      </c>
      <c r="AU104" s="98">
        <f>+'Bookings to Revenue_Calcs'!AU47</f>
        <v/>
      </c>
      <c r="AV104" s="98">
        <f>+'Bookings to Revenue_Calcs'!AV47</f>
        <v/>
      </c>
      <c r="AW104" s="98">
        <f>+'Bookings to Revenue_Calcs'!AW47</f>
        <v/>
      </c>
      <c r="AX104" s="98">
        <f>+'Bookings to Revenue_Calcs'!AX47</f>
        <v/>
      </c>
      <c r="AY104" s="98">
        <f>+'Bookings to Revenue_Calcs'!AY47</f>
        <v/>
      </c>
      <c r="AZ104" s="98">
        <f>+'Bookings to Revenue_Calcs'!AZ47</f>
        <v/>
      </c>
      <c r="BA104" s="98">
        <f>+'Bookings to Revenue_Calcs'!BA47</f>
        <v/>
      </c>
      <c r="BB104" s="98">
        <f>+'Bookings to Revenue_Calcs'!BB47</f>
        <v/>
      </c>
      <c r="BC104" s="98">
        <f>+'Bookings to Revenue_Calcs'!BC47</f>
        <v/>
      </c>
      <c r="BD104" s="98">
        <f>+'Bookings to Revenue_Calcs'!BD47</f>
        <v/>
      </c>
      <c r="BE104" s="98">
        <f>+'Bookings to Revenue_Calcs'!BE47</f>
        <v/>
      </c>
      <c r="BF104" s="98">
        <f>+'Bookings to Revenue_Calcs'!BF47</f>
        <v/>
      </c>
      <c r="BG104" s="98">
        <f>+'Bookings to Revenue_Calcs'!BG47</f>
        <v/>
      </c>
      <c r="BH104" s="98">
        <f>+'Bookings to Revenue_Calcs'!BH47</f>
        <v/>
      </c>
      <c r="BI104" s="98">
        <f>+'Bookings to Revenue_Calcs'!BI47</f>
        <v/>
      </c>
      <c r="BJ104" s="98">
        <f>+'Bookings to Revenue_Calcs'!BJ47</f>
        <v/>
      </c>
      <c r="BK104" s="98">
        <f>+'Bookings to Revenue_Calcs'!BK47</f>
        <v/>
      </c>
      <c r="BL104" s="98">
        <f>+'Bookings to Revenue_Calcs'!BL47</f>
        <v/>
      </c>
      <c r="BM104" s="98">
        <f>+'Bookings to Revenue_Calcs'!BM47</f>
        <v/>
      </c>
      <c r="BN104" s="98">
        <f>+'Bookings to Revenue_Calcs'!BN47</f>
        <v/>
      </c>
      <c r="BO104" s="98">
        <f>+'Bookings to Revenue_Calcs'!BO47</f>
        <v/>
      </c>
      <c r="BP104" s="98">
        <f>+'Bookings to Revenue_Calcs'!BP47</f>
        <v/>
      </c>
      <c r="BQ104" s="98">
        <f>+'Bookings to Revenue_Calcs'!BQ47</f>
        <v/>
      </c>
      <c r="BR104" s="98">
        <f>+'Bookings to Revenue_Calcs'!BR47</f>
        <v/>
      </c>
      <c r="BS104" s="98">
        <f>+'Bookings to Revenue_Calcs'!BS47</f>
        <v/>
      </c>
      <c r="BT104" s="98">
        <f>+'Bookings to Revenue_Calcs'!BT47</f>
        <v/>
      </c>
      <c r="BU104" s="98">
        <f>+'Bookings to Revenue_Calcs'!BU47</f>
        <v/>
      </c>
      <c r="BV104" s="98">
        <f>+'Bookings to Revenue_Calcs'!BV47</f>
        <v/>
      </c>
      <c r="BW104" s="98">
        <f>+'Bookings to Revenue_Calcs'!BW47</f>
        <v/>
      </c>
      <c r="BX104" s="98">
        <f>+'Bookings to Revenue_Calcs'!BX47</f>
        <v/>
      </c>
      <c r="BY104" s="98">
        <f>+'Bookings to Revenue_Calcs'!BY47</f>
        <v/>
      </c>
      <c r="BZ104" s="98">
        <f>+'Bookings to Revenue_Calcs'!BZ47</f>
        <v/>
      </c>
      <c r="CA104" s="98">
        <f>+'Bookings to Revenue_Calcs'!CA47</f>
        <v/>
      </c>
      <c r="CB104" s="98">
        <f>+'Bookings to Revenue_Calcs'!CB47</f>
        <v/>
      </c>
      <c r="CC104" s="98">
        <f>+'Bookings to Revenue_Calcs'!CC47</f>
        <v/>
      </c>
      <c r="CD104" s="98">
        <f>+'Bookings to Revenue_Calcs'!CD47</f>
        <v/>
      </c>
      <c r="CE104" s="98">
        <f>+'Bookings to Revenue_Calcs'!CE47</f>
        <v/>
      </c>
      <c r="CF104" s="98">
        <f>+'Bookings to Revenue_Calcs'!CF47</f>
        <v/>
      </c>
      <c r="CG104" s="98">
        <f>+'Bookings to Revenue_Calcs'!CG47</f>
        <v/>
      </c>
      <c r="CH104" s="98">
        <f>+'Bookings to Revenue_Calcs'!CH47</f>
        <v/>
      </c>
      <c r="CI104" s="98">
        <f>+'Bookings to Revenue_Calcs'!CI47</f>
        <v/>
      </c>
      <c r="CJ104" s="98">
        <f>+'Bookings to Revenue_Calcs'!CJ47</f>
        <v/>
      </c>
      <c r="CK104" s="98">
        <f>+'Bookings to Revenue_Calcs'!CK47</f>
        <v/>
      </c>
      <c r="CL104" s="98">
        <f>+'Bookings to Revenue_Calcs'!CL47</f>
        <v/>
      </c>
      <c r="CM104" s="98">
        <f>+'Bookings to Revenue_Calcs'!CM47</f>
        <v/>
      </c>
      <c r="CN104" s="98">
        <f>+'Bookings to Revenue_Calcs'!CN47</f>
        <v/>
      </c>
      <c r="CO104" s="98">
        <f>+'Bookings to Revenue_Calcs'!CO47</f>
        <v/>
      </c>
      <c r="CP104" s="98">
        <f>+'Bookings to Revenue_Calcs'!CP47</f>
        <v/>
      </c>
      <c r="CQ104" s="98">
        <f>+'Bookings to Revenue_Calcs'!CQ47</f>
        <v/>
      </c>
      <c r="CR104" s="98">
        <f>+'Bookings to Revenue_Calcs'!CR47</f>
        <v/>
      </c>
      <c r="CS104" s="98">
        <f>+'Bookings to Revenue_Calcs'!CS47</f>
        <v/>
      </c>
      <c r="CT104" s="98">
        <f>+'Bookings to Revenue_Calcs'!CT47</f>
        <v/>
      </c>
      <c r="CU104" s="98">
        <f>+'Bookings to Revenue_Calcs'!CU47</f>
        <v/>
      </c>
      <c r="CV104" s="98">
        <f>+'Bookings to Revenue_Calcs'!CV47</f>
        <v/>
      </c>
      <c r="CW104" s="98">
        <f>+'Bookings to Revenue_Calcs'!CW47</f>
        <v/>
      </c>
      <c r="CX104" s="98">
        <f>+'Bookings to Revenue_Calcs'!CX47</f>
        <v/>
      </c>
      <c r="CY104" s="98">
        <f>+'Bookings to Revenue_Calcs'!CY47</f>
        <v/>
      </c>
      <c r="CZ104" s="98">
        <f>+'Bookings to Revenue_Calcs'!CZ47</f>
        <v/>
      </c>
      <c r="DA104" s="98">
        <f>+'Bookings to Revenue_Calcs'!DA47</f>
        <v/>
      </c>
      <c r="DB104" s="98">
        <f>+'Bookings to Revenue_Calcs'!DB47</f>
        <v/>
      </c>
      <c r="DC104" s="98">
        <f>+'Bookings to Revenue_Calcs'!DC47</f>
        <v/>
      </c>
      <c r="DD104" s="98">
        <f>+'Bookings to Revenue_Calcs'!DD47</f>
        <v/>
      </c>
      <c r="DE104" s="98">
        <f>+'Bookings to Revenue_Calcs'!DE47</f>
        <v/>
      </c>
      <c r="DF104" s="98">
        <f>+'Bookings to Revenue_Calcs'!DF47</f>
        <v/>
      </c>
      <c r="DG104" s="98">
        <f>+'Bookings to Revenue_Calcs'!DG47</f>
        <v/>
      </c>
      <c r="DH104" s="98">
        <f>+'Bookings to Revenue_Calcs'!DH47</f>
        <v/>
      </c>
      <c r="DI104" s="98">
        <f>+'Bookings to Revenue_Calcs'!DI47</f>
        <v/>
      </c>
      <c r="DJ104" s="98">
        <f>+'Bookings to Revenue_Calcs'!DJ47</f>
        <v/>
      </c>
      <c r="DK104" s="98">
        <f>+'Bookings to Revenue_Calcs'!DK47</f>
        <v/>
      </c>
      <c r="DL104" s="98">
        <f>+'Bookings to Revenue_Calcs'!DL47</f>
        <v/>
      </c>
      <c r="DM104" s="98">
        <f>+'Bookings to Revenue_Calcs'!DM47</f>
        <v/>
      </c>
      <c r="DN104" s="98">
        <f>+'Bookings to Revenue_Calcs'!DN47</f>
        <v/>
      </c>
      <c r="DO104" s="98">
        <f>+'Bookings to Revenue_Calcs'!DO47</f>
        <v/>
      </c>
      <c r="DP104" s="98">
        <f>+'Bookings to Revenue_Calcs'!DP47</f>
        <v/>
      </c>
      <c r="DQ104" s="98">
        <f>+'Bookings to Revenue_Calcs'!DQ47</f>
        <v/>
      </c>
      <c r="DR104" s="98">
        <f>+'Bookings to Revenue_Calcs'!DR47</f>
        <v/>
      </c>
    </row>
    <row r="105" hidden="1" outlineLevel="1" ht="15.75" customHeight="1">
      <c r="B105" s="5" t="inlineStr">
        <is>
          <t>Avg Revenue per New Client</t>
        </is>
      </c>
      <c r="E105" s="96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  <c r="AA105" s="48">
        <f>+SUMIFS(Revenue_Assumptions!$E32:$M32,Revenue_Assumptions!$E$7:$M$7,AA$7)/12</f>
        <v/>
      </c>
      <c r="AB105" s="48">
        <f>+SUMIFS(Revenue_Assumptions!$E32:$M32,Revenue_Assumptions!$E$7:$M$7,AB$7)/12</f>
        <v/>
      </c>
      <c r="AC105" s="48">
        <f>+SUMIFS(Revenue_Assumptions!$E32:$M32,Revenue_Assumptions!$E$7:$M$7,AC$7)/12</f>
        <v/>
      </c>
      <c r="AD105" s="48">
        <f>+SUMIFS(Revenue_Assumptions!$E32:$M32,Revenue_Assumptions!$E$7:$M$7,AD$7)/12</f>
        <v/>
      </c>
      <c r="AE105" s="48">
        <f>+SUMIFS(Revenue_Assumptions!$E32:$M32,Revenue_Assumptions!$E$7:$M$7,AE$7)/12</f>
        <v/>
      </c>
      <c r="AF105" s="48">
        <f>+SUMIFS(Revenue_Assumptions!$E32:$M32,Revenue_Assumptions!$E$7:$M$7,AF$7)/12</f>
        <v/>
      </c>
      <c r="AG105" s="48">
        <f>+SUMIFS(Revenue_Assumptions!$E32:$M32,Revenue_Assumptions!$E$7:$M$7,AG$7)/12</f>
        <v/>
      </c>
      <c r="AH105" s="48">
        <f>+SUMIFS(Revenue_Assumptions!$E32:$M32,Revenue_Assumptions!$E$7:$M$7,AH$7)/12</f>
        <v/>
      </c>
      <c r="AI105" s="48">
        <f>+SUMIFS(Revenue_Assumptions!$E32:$M32,Revenue_Assumptions!$E$7:$M$7,AI$7)/12</f>
        <v/>
      </c>
      <c r="AJ105" s="48">
        <f>+SUMIFS(Revenue_Assumptions!$E32:$M32,Revenue_Assumptions!$E$7:$M$7,AJ$7)/12</f>
        <v/>
      </c>
      <c r="AK105" s="48">
        <f>+SUMIFS(Revenue_Assumptions!$E32:$M32,Revenue_Assumptions!$E$7:$M$7,AK$7)/12</f>
        <v/>
      </c>
      <c r="AL105" s="48">
        <f>+SUMIFS(Revenue_Assumptions!$E32:$M32,Revenue_Assumptions!$E$7:$M$7,AL$7)/12</f>
        <v/>
      </c>
      <c r="AM105" s="48">
        <f>+SUMIFS(Revenue_Assumptions!$E32:$M32,Revenue_Assumptions!$E$7:$M$7,AM$7)/12</f>
        <v/>
      </c>
      <c r="AN105" s="48">
        <f>+SUMIFS(Revenue_Assumptions!$E32:$M32,Revenue_Assumptions!$E$7:$M$7,AN$7)/12</f>
        <v/>
      </c>
      <c r="AO105" s="48">
        <f>+SUMIFS(Revenue_Assumptions!$E32:$M32,Revenue_Assumptions!$E$7:$M$7,AO$7)/12</f>
        <v/>
      </c>
      <c r="AP105" s="48">
        <f>+SUMIFS(Revenue_Assumptions!$E32:$M32,Revenue_Assumptions!$E$7:$M$7,AP$7)/12</f>
        <v/>
      </c>
      <c r="AQ105" s="48">
        <f>+SUMIFS(Revenue_Assumptions!$E32:$M32,Revenue_Assumptions!$E$7:$M$7,AQ$7)/12</f>
        <v/>
      </c>
      <c r="AR105" s="48">
        <f>+SUMIFS(Revenue_Assumptions!$E32:$M32,Revenue_Assumptions!$E$7:$M$7,AR$7)/12</f>
        <v/>
      </c>
      <c r="AS105" s="48">
        <f>+SUMIFS(Revenue_Assumptions!$E32:$M32,Revenue_Assumptions!$E$7:$M$7,AS$7)/12</f>
        <v/>
      </c>
      <c r="AT105" s="48">
        <f>+SUMIFS(Revenue_Assumptions!$E32:$M32,Revenue_Assumptions!$E$7:$M$7,AT$7)/12</f>
        <v/>
      </c>
      <c r="AU105" s="48">
        <f>+SUMIFS(Revenue_Assumptions!$E32:$M32,Revenue_Assumptions!$E$7:$M$7,AU$7)/12</f>
        <v/>
      </c>
      <c r="AV105" s="48">
        <f>+SUMIFS(Revenue_Assumptions!$E32:$M32,Revenue_Assumptions!$E$7:$M$7,AV$7)/12</f>
        <v/>
      </c>
      <c r="AW105" s="48">
        <f>+SUMIFS(Revenue_Assumptions!$E32:$M32,Revenue_Assumptions!$E$7:$M$7,AW$7)/12</f>
        <v/>
      </c>
      <c r="AX105" s="48">
        <f>+SUMIFS(Revenue_Assumptions!$E32:$M32,Revenue_Assumptions!$E$7:$M$7,AX$7)/12</f>
        <v/>
      </c>
      <c r="AY105" s="48">
        <f>+SUMIFS(Revenue_Assumptions!$E32:$M32,Revenue_Assumptions!$E$7:$M$7,AY$7)/12</f>
        <v/>
      </c>
      <c r="AZ105" s="48">
        <f>+SUMIFS(Revenue_Assumptions!$E32:$M32,Revenue_Assumptions!$E$7:$M$7,AZ$7)/12</f>
        <v/>
      </c>
      <c r="BA105" s="48">
        <f>+SUMIFS(Revenue_Assumptions!$E32:$M32,Revenue_Assumptions!$E$7:$M$7,BA$7)/12</f>
        <v/>
      </c>
      <c r="BB105" s="48">
        <f>+SUMIFS(Revenue_Assumptions!$E32:$M32,Revenue_Assumptions!$E$7:$M$7,BB$7)/12</f>
        <v/>
      </c>
      <c r="BC105" s="48">
        <f>+SUMIFS(Revenue_Assumptions!$E32:$M32,Revenue_Assumptions!$E$7:$M$7,BC$7)/12</f>
        <v/>
      </c>
      <c r="BD105" s="48">
        <f>+SUMIFS(Revenue_Assumptions!$E32:$M32,Revenue_Assumptions!$E$7:$M$7,BD$7)/12</f>
        <v/>
      </c>
      <c r="BE105" s="48">
        <f>+SUMIFS(Revenue_Assumptions!$E32:$M32,Revenue_Assumptions!$E$7:$M$7,BE$7)/12</f>
        <v/>
      </c>
      <c r="BF105" s="48">
        <f>+SUMIFS(Revenue_Assumptions!$E32:$M32,Revenue_Assumptions!$E$7:$M$7,BF$7)/12</f>
        <v/>
      </c>
      <c r="BG105" s="48">
        <f>+SUMIFS(Revenue_Assumptions!$E32:$M32,Revenue_Assumptions!$E$7:$M$7,BG$7)/12</f>
        <v/>
      </c>
      <c r="BH105" s="48">
        <f>+SUMIFS(Revenue_Assumptions!$E32:$M32,Revenue_Assumptions!$E$7:$M$7,BH$7)/12</f>
        <v/>
      </c>
      <c r="BI105" s="48">
        <f>+SUMIFS(Revenue_Assumptions!$E32:$M32,Revenue_Assumptions!$E$7:$M$7,BI$7)/12</f>
        <v/>
      </c>
      <c r="BJ105" s="48">
        <f>+SUMIFS(Revenue_Assumptions!$E32:$M32,Revenue_Assumptions!$E$7:$M$7,BJ$7)/12</f>
        <v/>
      </c>
      <c r="BK105" s="48">
        <f>+SUMIFS(Revenue_Assumptions!$E32:$M32,Revenue_Assumptions!$E$7:$M$7,BK$7)/12</f>
        <v/>
      </c>
      <c r="BL105" s="48">
        <f>+SUMIFS(Revenue_Assumptions!$E32:$M32,Revenue_Assumptions!$E$7:$M$7,BL$7)/12</f>
        <v/>
      </c>
      <c r="BM105" s="48">
        <f>+SUMIFS(Revenue_Assumptions!$E32:$M32,Revenue_Assumptions!$E$7:$M$7,BM$7)/12</f>
        <v/>
      </c>
      <c r="BN105" s="48">
        <f>+SUMIFS(Revenue_Assumptions!$E32:$M32,Revenue_Assumptions!$E$7:$M$7,BN$7)/12</f>
        <v/>
      </c>
      <c r="BO105" s="48">
        <f>+SUMIFS(Revenue_Assumptions!$E32:$M32,Revenue_Assumptions!$E$7:$M$7,BO$7)/12</f>
        <v/>
      </c>
      <c r="BP105" s="48">
        <f>+SUMIFS(Revenue_Assumptions!$E32:$M32,Revenue_Assumptions!$E$7:$M$7,BP$7)/12</f>
        <v/>
      </c>
      <c r="BQ105" s="48">
        <f>+SUMIFS(Revenue_Assumptions!$E32:$M32,Revenue_Assumptions!$E$7:$M$7,BQ$7)/12</f>
        <v/>
      </c>
      <c r="BR105" s="48">
        <f>+SUMIFS(Revenue_Assumptions!$E32:$M32,Revenue_Assumptions!$E$7:$M$7,BR$7)/12</f>
        <v/>
      </c>
      <c r="BS105" s="48">
        <f>+SUMIFS(Revenue_Assumptions!$E32:$M32,Revenue_Assumptions!$E$7:$M$7,BS$7)/12</f>
        <v/>
      </c>
      <c r="BT105" s="48">
        <f>+SUMIFS(Revenue_Assumptions!$E32:$M32,Revenue_Assumptions!$E$7:$M$7,BT$7)/12</f>
        <v/>
      </c>
      <c r="BU105" s="48">
        <f>+SUMIFS(Revenue_Assumptions!$E32:$M32,Revenue_Assumptions!$E$7:$M$7,BU$7)/12</f>
        <v/>
      </c>
      <c r="BV105" s="48">
        <f>+SUMIFS(Revenue_Assumptions!$E32:$M32,Revenue_Assumptions!$E$7:$M$7,BV$7)/12</f>
        <v/>
      </c>
      <c r="BW105" s="48">
        <f>+SUMIFS(Revenue_Assumptions!$E32:$M32,Revenue_Assumptions!$E$7:$M$7,BW$7)/12</f>
        <v/>
      </c>
      <c r="BX105" s="48">
        <f>+SUMIFS(Revenue_Assumptions!$E32:$M32,Revenue_Assumptions!$E$7:$M$7,BX$7)/12</f>
        <v/>
      </c>
      <c r="BY105" s="48">
        <f>+SUMIFS(Revenue_Assumptions!$E32:$M32,Revenue_Assumptions!$E$7:$M$7,BY$7)/12</f>
        <v/>
      </c>
      <c r="BZ105" s="48">
        <f>+SUMIFS(Revenue_Assumptions!$E32:$M32,Revenue_Assumptions!$E$7:$M$7,BZ$7)/12</f>
        <v/>
      </c>
      <c r="CA105" s="48">
        <f>+SUMIFS(Revenue_Assumptions!$E32:$M32,Revenue_Assumptions!$E$7:$M$7,CA$7)/12</f>
        <v/>
      </c>
      <c r="CB105" s="48">
        <f>+SUMIFS(Revenue_Assumptions!$E32:$M32,Revenue_Assumptions!$E$7:$M$7,CB$7)/12</f>
        <v/>
      </c>
      <c r="CC105" s="48">
        <f>+SUMIFS(Revenue_Assumptions!$E32:$M32,Revenue_Assumptions!$E$7:$M$7,CC$7)/12</f>
        <v/>
      </c>
      <c r="CD105" s="48">
        <f>+SUMIFS(Revenue_Assumptions!$E32:$M32,Revenue_Assumptions!$E$7:$M$7,CD$7)/12</f>
        <v/>
      </c>
      <c r="CE105" s="48">
        <f>+SUMIFS(Revenue_Assumptions!$E32:$M32,Revenue_Assumptions!$E$7:$M$7,CE$7)/12</f>
        <v/>
      </c>
      <c r="CF105" s="48">
        <f>+SUMIFS(Revenue_Assumptions!$E32:$M32,Revenue_Assumptions!$E$7:$M$7,CF$7)/12</f>
        <v/>
      </c>
      <c r="CG105" s="48">
        <f>+SUMIFS(Revenue_Assumptions!$E32:$M32,Revenue_Assumptions!$E$7:$M$7,CG$7)/12</f>
        <v/>
      </c>
      <c r="CH105" s="48">
        <f>+SUMIFS(Revenue_Assumptions!$E32:$M32,Revenue_Assumptions!$E$7:$M$7,CH$7)/12</f>
        <v/>
      </c>
      <c r="CI105" s="48">
        <f>+SUMIFS(Revenue_Assumptions!$E32:$M32,Revenue_Assumptions!$E$7:$M$7,CI$7)/12</f>
        <v/>
      </c>
      <c r="CJ105" s="48">
        <f>+SUMIFS(Revenue_Assumptions!$E32:$M32,Revenue_Assumptions!$E$7:$M$7,CJ$7)/12</f>
        <v/>
      </c>
      <c r="CK105" s="48">
        <f>+SUMIFS(Revenue_Assumptions!$E32:$M32,Revenue_Assumptions!$E$7:$M$7,CK$7)/12</f>
        <v/>
      </c>
      <c r="CL105" s="48">
        <f>+SUMIFS(Revenue_Assumptions!$E32:$M32,Revenue_Assumptions!$E$7:$M$7,CL$7)/12</f>
        <v/>
      </c>
      <c r="CM105" s="48">
        <f>+SUMIFS(Revenue_Assumptions!$E32:$M32,Revenue_Assumptions!$E$7:$M$7,CM$7)/12</f>
        <v/>
      </c>
      <c r="CN105" s="48">
        <f>+SUMIFS(Revenue_Assumptions!$E32:$M32,Revenue_Assumptions!$E$7:$M$7,CN$7)/12</f>
        <v/>
      </c>
      <c r="CO105" s="48">
        <f>+SUMIFS(Revenue_Assumptions!$E32:$M32,Revenue_Assumptions!$E$7:$M$7,CO$7)/12</f>
        <v/>
      </c>
      <c r="CP105" s="48">
        <f>+SUMIFS(Revenue_Assumptions!$E32:$M32,Revenue_Assumptions!$E$7:$M$7,CP$7)/12</f>
        <v/>
      </c>
      <c r="CQ105" s="48">
        <f>+SUMIFS(Revenue_Assumptions!$E32:$M32,Revenue_Assumptions!$E$7:$M$7,CQ$7)/12</f>
        <v/>
      </c>
      <c r="CR105" s="48">
        <f>+SUMIFS(Revenue_Assumptions!$E32:$M32,Revenue_Assumptions!$E$7:$M$7,CR$7)/12</f>
        <v/>
      </c>
      <c r="CS105" s="48">
        <f>+SUMIFS(Revenue_Assumptions!$E32:$M32,Revenue_Assumptions!$E$7:$M$7,CS$7)/12</f>
        <v/>
      </c>
      <c r="CT105" s="48">
        <f>+SUMIFS(Revenue_Assumptions!$E32:$M32,Revenue_Assumptions!$E$7:$M$7,CT$7)/12</f>
        <v/>
      </c>
      <c r="CU105" s="48">
        <f>+SUMIFS(Revenue_Assumptions!$E32:$M32,Revenue_Assumptions!$E$7:$M$7,CU$7)/12</f>
        <v/>
      </c>
      <c r="CV105" s="48">
        <f>+SUMIFS(Revenue_Assumptions!$E32:$M32,Revenue_Assumptions!$E$7:$M$7,CV$7)/12</f>
        <v/>
      </c>
      <c r="CW105" s="48">
        <f>+SUMIFS(Revenue_Assumptions!$E32:$M32,Revenue_Assumptions!$E$7:$M$7,CW$7)/12</f>
        <v/>
      </c>
      <c r="CX105" s="48">
        <f>+SUMIFS(Revenue_Assumptions!$E32:$M32,Revenue_Assumptions!$E$7:$M$7,CX$7)/12</f>
        <v/>
      </c>
      <c r="CY105" s="48">
        <f>+SUMIFS(Revenue_Assumptions!$E32:$M32,Revenue_Assumptions!$E$7:$M$7,CY$7)/12</f>
        <v/>
      </c>
      <c r="CZ105" s="48">
        <f>+SUMIFS(Revenue_Assumptions!$E32:$M32,Revenue_Assumptions!$E$7:$M$7,CZ$7)/12</f>
        <v/>
      </c>
      <c r="DA105" s="48">
        <f>+SUMIFS(Revenue_Assumptions!$E32:$M32,Revenue_Assumptions!$E$7:$M$7,DA$7)/12</f>
        <v/>
      </c>
      <c r="DB105" s="48">
        <f>+SUMIFS(Revenue_Assumptions!$E32:$M32,Revenue_Assumptions!$E$7:$M$7,DB$7)/12</f>
        <v/>
      </c>
      <c r="DC105" s="48">
        <f>+SUMIFS(Revenue_Assumptions!$E32:$M32,Revenue_Assumptions!$E$7:$M$7,DC$7)/12</f>
        <v/>
      </c>
      <c r="DD105" s="48">
        <f>+SUMIFS(Revenue_Assumptions!$E32:$M32,Revenue_Assumptions!$E$7:$M$7,DD$7)/12</f>
        <v/>
      </c>
      <c r="DE105" s="48">
        <f>+SUMIFS(Revenue_Assumptions!$E32:$M32,Revenue_Assumptions!$E$7:$M$7,DE$7)/12</f>
        <v/>
      </c>
      <c r="DF105" s="48">
        <f>+SUMIFS(Revenue_Assumptions!$E32:$M32,Revenue_Assumptions!$E$7:$M$7,DF$7)/12</f>
        <v/>
      </c>
      <c r="DG105" s="48">
        <f>+SUMIFS(Revenue_Assumptions!$E32:$M32,Revenue_Assumptions!$E$7:$M$7,DG$7)/12</f>
        <v/>
      </c>
      <c r="DH105" s="48">
        <f>+SUMIFS(Revenue_Assumptions!$E32:$M32,Revenue_Assumptions!$E$7:$M$7,DH$7)/12</f>
        <v/>
      </c>
      <c r="DI105" s="48">
        <f>+SUMIFS(Revenue_Assumptions!$E32:$M32,Revenue_Assumptions!$E$7:$M$7,DI$7)/12</f>
        <v/>
      </c>
      <c r="DJ105" s="48">
        <f>+SUMIFS(Revenue_Assumptions!$E32:$M32,Revenue_Assumptions!$E$7:$M$7,DJ$7)/12</f>
        <v/>
      </c>
      <c r="DK105" s="48">
        <f>+SUMIFS(Revenue_Assumptions!$E32:$M32,Revenue_Assumptions!$E$7:$M$7,DK$7)/12</f>
        <v/>
      </c>
      <c r="DL105" s="48">
        <f>+SUMIFS(Revenue_Assumptions!$E32:$M32,Revenue_Assumptions!$E$7:$M$7,DL$7)/12</f>
        <v/>
      </c>
      <c r="DM105" s="48">
        <f>+SUMIFS(Revenue_Assumptions!$E32:$M32,Revenue_Assumptions!$E$7:$M$7,DM$7)/12</f>
        <v/>
      </c>
      <c r="DN105" s="48">
        <f>+SUMIFS(Revenue_Assumptions!$E32:$M32,Revenue_Assumptions!$E$7:$M$7,DN$7)/12</f>
        <v/>
      </c>
      <c r="DO105" s="48">
        <f>+SUMIFS(Revenue_Assumptions!$E32:$M32,Revenue_Assumptions!$E$7:$M$7,DO$7)/12</f>
        <v/>
      </c>
      <c r="DP105" s="48">
        <f>+SUMIFS(Revenue_Assumptions!$E32:$M32,Revenue_Assumptions!$E$7:$M$7,DP$7)/12</f>
        <v/>
      </c>
      <c r="DQ105" s="48">
        <f>+SUMIFS(Revenue_Assumptions!$E32:$M32,Revenue_Assumptions!$E$7:$M$7,DQ$7)/12</f>
        <v/>
      </c>
      <c r="DR105" s="48">
        <f>+SUMIFS(Revenue_Assumptions!$E32:$M32,Revenue_Assumptions!$E$7:$M$7,DR$7)/12</f>
        <v/>
      </c>
    </row>
    <row r="106" hidden="1" outlineLevel="1" ht="15.75" customHeight="1">
      <c r="B106" s="50" t="inlineStr">
        <is>
          <t>New Revenue</t>
        </is>
      </c>
      <c r="C106" s="50" t="n"/>
      <c r="E106" s="51">
        <f>+SUMIFS($AA106:$DR106,$AA$7:$DR$7,E$7)</f>
        <v/>
      </c>
      <c r="F106" s="51">
        <f>+SUMIFS($AA106:$DR106,$AA$7:$DR$7,F$7)</f>
        <v/>
      </c>
      <c r="G106" s="51">
        <f>+SUMIFS($AA106:$DR106,$AA$7:$DR$7,G$7)</f>
        <v/>
      </c>
      <c r="H106" s="51">
        <f>+SUMIFS($AA106:$DR106,$AA$7:$DR$7,H$7)</f>
        <v/>
      </c>
      <c r="I106" s="51">
        <f>+SUMIFS($AA106:$DR106,$AA$7:$DR$7,I$7)</f>
        <v/>
      </c>
      <c r="J106" s="51">
        <f>+SUMIFS($AA106:$DR106,$AA$7:$DR$7,J$7)</f>
        <v/>
      </c>
      <c r="K106" s="51">
        <f>+SUMIFS($AA106:$DR106,$AA$7:$DR$7,K$7)</f>
        <v/>
      </c>
      <c r="L106" s="51">
        <f>+SUMIFS($AA106:$DR106,$AA$7:$DR$7,L$7)</f>
        <v/>
      </c>
      <c r="M106" s="51">
        <f>+SUMIFS($AA106:$DR106,$AA$7:$DR$7,M$7)</f>
        <v/>
      </c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51">
        <f>+AA104*AA105</f>
        <v/>
      </c>
      <c r="AB106" s="51">
        <f>+AB104*AB105</f>
        <v/>
      </c>
      <c r="AC106" s="51">
        <f>+AC104*AC105</f>
        <v/>
      </c>
      <c r="AD106" s="51">
        <f>+AD104*AD105</f>
        <v/>
      </c>
      <c r="AE106" s="51">
        <f>+AE104*AE105</f>
        <v/>
      </c>
      <c r="AF106" s="51">
        <f>+AF104*AF105</f>
        <v/>
      </c>
      <c r="AG106" s="51">
        <f>+AG104*AG105</f>
        <v/>
      </c>
      <c r="AH106" s="51">
        <f>+AH104*AH105</f>
        <v/>
      </c>
      <c r="AI106" s="51">
        <f>+AI104*AI105</f>
        <v/>
      </c>
      <c r="AJ106" s="51">
        <f>+AJ104*AJ105</f>
        <v/>
      </c>
      <c r="AK106" s="51">
        <f>+AK104*AK105</f>
        <v/>
      </c>
      <c r="AL106" s="51">
        <f>+AL104*AL105</f>
        <v/>
      </c>
      <c r="AM106" s="51">
        <f>+AM104*AM105</f>
        <v/>
      </c>
      <c r="AN106" s="51">
        <f>+AN104*AN105</f>
        <v/>
      </c>
      <c r="AO106" s="51">
        <f>+AO104*AO105</f>
        <v/>
      </c>
      <c r="AP106" s="51">
        <f>+AP104*AP105</f>
        <v/>
      </c>
      <c r="AQ106" s="51">
        <f>+AQ104*AQ105</f>
        <v/>
      </c>
      <c r="AR106" s="51">
        <f>+AR104*AR105</f>
        <v/>
      </c>
      <c r="AS106" s="51">
        <f>+AS104*AS105</f>
        <v/>
      </c>
      <c r="AT106" s="51">
        <f>+AT104*AT105</f>
        <v/>
      </c>
      <c r="AU106" s="51">
        <f>+AU104*AU105</f>
        <v/>
      </c>
      <c r="AV106" s="51">
        <f>+AV104*AV105</f>
        <v/>
      </c>
      <c r="AW106" s="51">
        <f>+AW104*AW105</f>
        <v/>
      </c>
      <c r="AX106" s="51">
        <f>+AX104*AX105</f>
        <v/>
      </c>
      <c r="AY106" s="51">
        <f>+AY104*AY105</f>
        <v/>
      </c>
      <c r="AZ106" s="51">
        <f>+AZ104*AZ105</f>
        <v/>
      </c>
      <c r="BA106" s="51">
        <f>+BA104*BA105</f>
        <v/>
      </c>
      <c r="BB106" s="51">
        <f>+BB104*BB105</f>
        <v/>
      </c>
      <c r="BC106" s="51">
        <f>+BC104*BC105</f>
        <v/>
      </c>
      <c r="BD106" s="51">
        <f>+BD104*BD105</f>
        <v/>
      </c>
      <c r="BE106" s="51">
        <f>+BE104*BE105</f>
        <v/>
      </c>
      <c r="BF106" s="51">
        <f>+BF104*BF105</f>
        <v/>
      </c>
      <c r="BG106" s="51">
        <f>+BG104*BG105</f>
        <v/>
      </c>
      <c r="BH106" s="51">
        <f>+BH104*BH105</f>
        <v/>
      </c>
      <c r="BI106" s="51">
        <f>+BI104*BI105</f>
        <v/>
      </c>
      <c r="BJ106" s="51">
        <f>+BJ104*BJ105</f>
        <v/>
      </c>
      <c r="BK106" s="51">
        <f>+BK104*BK105</f>
        <v/>
      </c>
      <c r="BL106" s="51">
        <f>+BL104*BL105</f>
        <v/>
      </c>
      <c r="BM106" s="51">
        <f>+BM104*BM105</f>
        <v/>
      </c>
      <c r="BN106" s="51">
        <f>+BN104*BN105</f>
        <v/>
      </c>
      <c r="BO106" s="51">
        <f>+BO104*BO105</f>
        <v/>
      </c>
      <c r="BP106" s="51">
        <f>+BP104*BP105</f>
        <v/>
      </c>
      <c r="BQ106" s="51">
        <f>+BQ104*BQ105</f>
        <v/>
      </c>
      <c r="BR106" s="51">
        <f>+BR104*BR105</f>
        <v/>
      </c>
      <c r="BS106" s="51">
        <f>+BS104*BS105</f>
        <v/>
      </c>
      <c r="BT106" s="51">
        <f>+BT104*BT105</f>
        <v/>
      </c>
      <c r="BU106" s="51">
        <f>+BU104*BU105</f>
        <v/>
      </c>
      <c r="BV106" s="51">
        <f>+BV104*BV105</f>
        <v/>
      </c>
      <c r="BW106" s="51">
        <f>+BW104*BW105</f>
        <v/>
      </c>
      <c r="BX106" s="51">
        <f>+BX104*BX105</f>
        <v/>
      </c>
      <c r="BY106" s="51">
        <f>+BY104*BY105</f>
        <v/>
      </c>
      <c r="BZ106" s="51">
        <f>+BZ104*BZ105</f>
        <v/>
      </c>
      <c r="CA106" s="51">
        <f>+CA104*CA105</f>
        <v/>
      </c>
      <c r="CB106" s="51">
        <f>+CB104*CB105</f>
        <v/>
      </c>
      <c r="CC106" s="51">
        <f>+CC104*CC105</f>
        <v/>
      </c>
      <c r="CD106" s="51">
        <f>+CD104*CD105</f>
        <v/>
      </c>
      <c r="CE106" s="51">
        <f>+CE104*CE105</f>
        <v/>
      </c>
      <c r="CF106" s="51">
        <f>+CF104*CF105</f>
        <v/>
      </c>
      <c r="CG106" s="51">
        <f>+CG104*CG105</f>
        <v/>
      </c>
      <c r="CH106" s="51">
        <f>+CH104*CH105</f>
        <v/>
      </c>
      <c r="CI106" s="51">
        <f>+CI104*CI105</f>
        <v/>
      </c>
      <c r="CJ106" s="51">
        <f>+CJ104*CJ105</f>
        <v/>
      </c>
      <c r="CK106" s="51">
        <f>+CK104*CK105</f>
        <v/>
      </c>
      <c r="CL106" s="51">
        <f>+CL104*CL105</f>
        <v/>
      </c>
      <c r="CM106" s="51">
        <f>+CM104*CM105</f>
        <v/>
      </c>
      <c r="CN106" s="51">
        <f>+CN104*CN105</f>
        <v/>
      </c>
      <c r="CO106" s="51">
        <f>+CO104*CO105</f>
        <v/>
      </c>
      <c r="CP106" s="51">
        <f>+CP104*CP105</f>
        <v/>
      </c>
      <c r="CQ106" s="51">
        <f>+CQ104*CQ105</f>
        <v/>
      </c>
      <c r="CR106" s="51">
        <f>+CR104*CR105</f>
        <v/>
      </c>
      <c r="CS106" s="51">
        <f>+CS104*CS105</f>
        <v/>
      </c>
      <c r="CT106" s="51">
        <f>+CT104*CT105</f>
        <v/>
      </c>
      <c r="CU106" s="51">
        <f>+CU104*CU105</f>
        <v/>
      </c>
      <c r="CV106" s="51">
        <f>+CV104*CV105</f>
        <v/>
      </c>
      <c r="CW106" s="51">
        <f>+CW104*CW105</f>
        <v/>
      </c>
      <c r="CX106" s="51">
        <f>+CX104*CX105</f>
        <v/>
      </c>
      <c r="CY106" s="51">
        <f>+CY104*CY105</f>
        <v/>
      </c>
      <c r="CZ106" s="51">
        <f>+CZ104*CZ105</f>
        <v/>
      </c>
      <c r="DA106" s="51">
        <f>+DA104*DA105</f>
        <v/>
      </c>
      <c r="DB106" s="51">
        <f>+DB104*DB105</f>
        <v/>
      </c>
      <c r="DC106" s="51">
        <f>+DC104*DC105</f>
        <v/>
      </c>
      <c r="DD106" s="51">
        <f>+DD104*DD105</f>
        <v/>
      </c>
      <c r="DE106" s="51">
        <f>+DE104*DE105</f>
        <v/>
      </c>
      <c r="DF106" s="51">
        <f>+DF104*DF105</f>
        <v/>
      </c>
      <c r="DG106" s="51">
        <f>+DG104*DG105</f>
        <v/>
      </c>
      <c r="DH106" s="51">
        <f>+DH104*DH105</f>
        <v/>
      </c>
      <c r="DI106" s="51">
        <f>+DI104*DI105</f>
        <v/>
      </c>
      <c r="DJ106" s="51">
        <f>+DJ104*DJ105</f>
        <v/>
      </c>
      <c r="DK106" s="51">
        <f>+DK104*DK105</f>
        <v/>
      </c>
      <c r="DL106" s="51">
        <f>+DL104*DL105</f>
        <v/>
      </c>
      <c r="DM106" s="51">
        <f>+DM104*DM105</f>
        <v/>
      </c>
      <c r="DN106" s="51">
        <f>+DN104*DN105</f>
        <v/>
      </c>
      <c r="DO106" s="51">
        <f>+DO104*DO105</f>
        <v/>
      </c>
      <c r="DP106" s="51">
        <f>+DP104*DP105</f>
        <v/>
      </c>
      <c r="DQ106" s="51">
        <f>+DQ104*DQ105</f>
        <v/>
      </c>
      <c r="DR106" s="51">
        <f>+DR104*DR105</f>
        <v/>
      </c>
    </row>
    <row r="107" hidden="1" outlineLevel="1" ht="4.5" customHeight="1"/>
    <row r="108" collapsed="1" ht="15.75" customHeight="1">
      <c r="B108" s="56" t="inlineStr">
        <is>
          <t>Total Revenue</t>
        </is>
      </c>
      <c r="C108" s="56" t="n"/>
      <c r="E108" s="57">
        <f>+SUMIFS(E$13:E$58,$C$13:$C$58,$B$98)</f>
        <v/>
      </c>
      <c r="F108" s="57">
        <f>+SUM(F102,F106)</f>
        <v/>
      </c>
      <c r="G108" s="57">
        <f>+SUM(G102,G106)</f>
        <v/>
      </c>
      <c r="H108" s="57">
        <f>+SUM(H102,H106)</f>
        <v/>
      </c>
      <c r="I108" s="57">
        <f>+SUM(I102,I106)</f>
        <v/>
      </c>
      <c r="J108" s="57">
        <f>+SUM(J102,J106)</f>
        <v/>
      </c>
      <c r="K108" s="57">
        <f>+SUM(K102,K106)</f>
        <v/>
      </c>
      <c r="L108" s="57">
        <f>+SUM(L102,L106)</f>
        <v/>
      </c>
      <c r="M108" s="57">
        <f>+SUM(M102,M106)</f>
        <v/>
      </c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  <c r="AA108" s="49" t="n"/>
      <c r="AB108" s="49" t="n"/>
      <c r="AC108" s="49" t="n"/>
      <c r="AD108" s="49" t="n"/>
      <c r="AE108" s="49" t="n"/>
      <c r="AF108" s="49" t="n"/>
      <c r="AG108" s="49" t="n"/>
      <c r="AH108" s="49" t="n"/>
      <c r="AI108" s="49" t="n"/>
      <c r="AJ108" s="49" t="n"/>
      <c r="AK108" s="49" t="n"/>
      <c r="AL108" s="49" t="n"/>
      <c r="AM108" s="49" t="n"/>
      <c r="AN108" s="49" t="n"/>
      <c r="AO108" s="49" t="n"/>
      <c r="AP108" s="49" t="n"/>
      <c r="AQ108" s="49" t="n"/>
      <c r="AR108" s="49" t="n"/>
      <c r="AS108" s="49" t="n"/>
      <c r="AT108" s="49" t="n"/>
      <c r="AU108" s="49" t="n"/>
      <c r="AV108" s="49" t="n"/>
      <c r="AW108" s="49" t="n"/>
      <c r="AX108" s="49" t="n"/>
      <c r="AY108" s="49" t="n"/>
      <c r="AZ108" s="49" t="n"/>
      <c r="BA108" s="49" t="n"/>
      <c r="BB108" s="49" t="n"/>
      <c r="BC108" s="49" t="n"/>
      <c r="BD108" s="49" t="n"/>
      <c r="BE108" s="49" t="n"/>
      <c r="BF108" s="49" t="n"/>
      <c r="BG108" s="49" t="n"/>
      <c r="BH108" s="49" t="n"/>
      <c r="BI108" s="49" t="n"/>
      <c r="BJ108" s="49" t="n"/>
      <c r="BK108" s="49" t="n"/>
      <c r="BL108" s="49" t="n"/>
      <c r="BM108" s="49" t="n"/>
      <c r="BN108" s="49" t="n"/>
      <c r="BO108" s="49" t="n"/>
      <c r="BP108" s="49" t="n"/>
      <c r="BQ108" s="49" t="n"/>
      <c r="BR108" s="49" t="n"/>
      <c r="BS108" s="49" t="n"/>
      <c r="BT108" s="49" t="n"/>
      <c r="BU108" s="49" t="n"/>
      <c r="BV108" s="49" t="n"/>
      <c r="BW108" s="49" t="n"/>
      <c r="BX108" s="49" t="n"/>
      <c r="BY108" s="49" t="n"/>
      <c r="BZ108" s="49" t="n"/>
      <c r="CA108" s="49" t="n"/>
      <c r="CB108" s="49" t="n"/>
      <c r="CC108" s="49" t="n"/>
      <c r="CD108" s="49" t="n"/>
      <c r="CE108" s="49" t="n"/>
      <c r="CF108" s="49" t="n"/>
      <c r="CG108" s="49" t="n"/>
      <c r="CH108" s="49" t="n"/>
      <c r="CI108" s="49" t="n"/>
      <c r="CJ108" s="49" t="n"/>
      <c r="CK108" s="49" t="n"/>
      <c r="CL108" s="49" t="n"/>
      <c r="CM108" s="49" t="n"/>
      <c r="CN108" s="49" t="n"/>
      <c r="CO108" s="49" t="n"/>
      <c r="CP108" s="49" t="n"/>
      <c r="CQ108" s="49" t="n"/>
      <c r="CR108" s="49" t="n"/>
      <c r="CS108" s="49" t="n"/>
      <c r="CT108" s="49" t="n"/>
      <c r="CU108" s="49" t="n"/>
      <c r="CV108" s="49" t="n"/>
      <c r="CW108" s="49" t="n"/>
      <c r="CX108" s="49" t="n"/>
      <c r="CY108" s="49" t="n"/>
      <c r="CZ108" s="49" t="n"/>
      <c r="DA108" s="49" t="n"/>
      <c r="DB108" s="49" t="n"/>
      <c r="DC108" s="49" t="n"/>
      <c r="DD108" s="49" t="n"/>
      <c r="DE108" s="49" t="n"/>
      <c r="DF108" s="49" t="n"/>
      <c r="DG108" s="49" t="n"/>
      <c r="DH108" s="49" t="n"/>
      <c r="DI108" s="49" t="n"/>
      <c r="DJ108" s="49" t="n"/>
      <c r="DK108" s="49" t="n"/>
      <c r="DL108" s="49" t="n"/>
      <c r="DM108" s="49" t="n"/>
      <c r="DN108" s="49" t="n"/>
      <c r="DO108" s="49" t="n"/>
      <c r="DP108" s="49" t="n"/>
      <c r="DQ108" s="49" t="n"/>
      <c r="DR108" s="49" t="n"/>
    </row>
    <row r="109" ht="4.5" customHeight="1"/>
    <row r="110" ht="15.75" customHeight="1">
      <c r="B110" s="95" t="inlineStr">
        <is>
          <t>Lower Middle Market</t>
        </is>
      </c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  <c r="AA110" s="96" t="n"/>
      <c r="AB110" s="96" t="n"/>
      <c r="AC110" s="96" t="n"/>
      <c r="AD110" s="96" t="n"/>
      <c r="AE110" s="96" t="n"/>
      <c r="AF110" s="96" t="n"/>
      <c r="AG110" s="96" t="n"/>
      <c r="AH110" s="96" t="n"/>
      <c r="AI110" s="96" t="n"/>
      <c r="AJ110" s="96" t="n"/>
      <c r="AK110" s="96" t="n"/>
      <c r="AL110" s="96" t="n"/>
      <c r="AM110" s="96" t="n"/>
      <c r="AN110" s="96" t="n"/>
      <c r="AO110" s="96" t="n"/>
      <c r="AP110" s="96" t="n"/>
      <c r="AQ110" s="96" t="n"/>
      <c r="AR110" s="96" t="n"/>
      <c r="AS110" s="96" t="n"/>
      <c r="AT110" s="96" t="n"/>
      <c r="AU110" s="96" t="n"/>
      <c r="AV110" s="96" t="n"/>
      <c r="AW110" s="96" t="n"/>
      <c r="AX110" s="96" t="n"/>
      <c r="AY110" s="96" t="n"/>
      <c r="AZ110" s="96" t="n"/>
      <c r="BA110" s="96" t="n"/>
      <c r="BB110" s="96" t="n"/>
      <c r="BC110" s="96" t="n"/>
      <c r="BD110" s="96" t="n"/>
      <c r="BE110" s="96" t="n"/>
      <c r="BF110" s="96" t="n"/>
      <c r="BG110" s="96" t="n"/>
      <c r="BH110" s="96" t="n"/>
      <c r="BI110" s="96" t="n"/>
      <c r="BJ110" s="96" t="n"/>
      <c r="BK110" s="96" t="n"/>
      <c r="BL110" s="96" t="n"/>
      <c r="BM110" s="96" t="n"/>
      <c r="BN110" s="96" t="n"/>
      <c r="BO110" s="96" t="n"/>
      <c r="BP110" s="96" t="n"/>
      <c r="BQ110" s="96" t="n"/>
      <c r="BR110" s="96" t="n"/>
      <c r="BS110" s="96" t="n"/>
      <c r="BT110" s="96" t="n"/>
      <c r="BU110" s="96" t="n"/>
      <c r="BV110" s="96" t="n"/>
      <c r="BW110" s="96" t="n"/>
      <c r="BX110" s="96" t="n"/>
      <c r="BY110" s="96" t="n"/>
      <c r="BZ110" s="96" t="n"/>
      <c r="CA110" s="96" t="n"/>
      <c r="CB110" s="96" t="n"/>
      <c r="CC110" s="96" t="n"/>
      <c r="CD110" s="96" t="n"/>
      <c r="CE110" s="96" t="n"/>
      <c r="CF110" s="96" t="n"/>
      <c r="CG110" s="96" t="n"/>
      <c r="CH110" s="96" t="n"/>
      <c r="CI110" s="96" t="n"/>
      <c r="CJ110" s="96" t="n"/>
      <c r="CK110" s="96" t="n"/>
      <c r="CL110" s="96" t="n"/>
      <c r="CM110" s="96" t="n"/>
      <c r="CN110" s="96" t="n"/>
      <c r="CO110" s="96" t="n"/>
      <c r="CP110" s="96" t="n"/>
      <c r="CQ110" s="96" t="n"/>
      <c r="CR110" s="96" t="n"/>
      <c r="CS110" s="96" t="n"/>
      <c r="CT110" s="96" t="n"/>
      <c r="CU110" s="96" t="n"/>
      <c r="CV110" s="96" t="n"/>
      <c r="CW110" s="96" t="n"/>
      <c r="CX110" s="96" t="n"/>
      <c r="CY110" s="96" t="n"/>
      <c r="CZ110" s="96" t="n"/>
      <c r="DA110" s="96" t="n"/>
      <c r="DB110" s="96" t="n"/>
      <c r="DC110" s="96" t="n"/>
      <c r="DD110" s="96" t="n"/>
      <c r="DE110" s="96" t="n"/>
      <c r="DF110" s="96" t="n"/>
      <c r="DG110" s="96" t="n"/>
      <c r="DH110" s="96" t="n"/>
      <c r="DI110" s="96" t="n"/>
      <c r="DJ110" s="96" t="n"/>
      <c r="DK110" s="96" t="n"/>
      <c r="DL110" s="96" t="n"/>
      <c r="DM110" s="96" t="n"/>
      <c r="DN110" s="96" t="n"/>
      <c r="DO110" s="96" t="n"/>
      <c r="DP110" s="96" t="n"/>
      <c r="DQ110" s="96" t="n"/>
      <c r="DR110" s="96" t="n"/>
    </row>
    <row r="111" ht="15.75" customHeight="1">
      <c r="B111" s="5" t="inlineStr">
        <is>
          <t>Revenue, Beginning</t>
        </is>
      </c>
      <c r="E111" s="96" t="n"/>
      <c r="F111" s="46">
        <f>+E120</f>
        <v/>
      </c>
      <c r="G111" s="46">
        <f>+F120</f>
        <v/>
      </c>
      <c r="H111" s="46">
        <f>+G120</f>
        <v/>
      </c>
      <c r="I111" s="46">
        <f>+H120</f>
        <v/>
      </c>
      <c r="J111" s="46">
        <f>+I120</f>
        <v/>
      </c>
      <c r="K111" s="46">
        <f>+J120</f>
        <v/>
      </c>
      <c r="L111" s="46">
        <f>+K120</f>
        <v/>
      </c>
      <c r="M111" s="46">
        <f>+L120</f>
        <v/>
      </c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  <c r="AA111" s="96" t="n"/>
      <c r="AB111" s="96" t="n"/>
      <c r="AC111" s="96" t="n"/>
      <c r="AD111" s="96" t="n"/>
      <c r="AE111" s="96" t="n"/>
      <c r="AF111" s="96" t="n"/>
      <c r="AG111" s="96" t="n"/>
      <c r="AH111" s="96" t="n"/>
      <c r="AI111" s="96" t="n"/>
      <c r="AJ111" s="96" t="n"/>
      <c r="AK111" s="96" t="n"/>
      <c r="AL111" s="96" t="n"/>
      <c r="AM111" s="96" t="n"/>
      <c r="AN111" s="96" t="n"/>
      <c r="AO111" s="96" t="n"/>
      <c r="AP111" s="96" t="n"/>
      <c r="AQ111" s="96" t="n"/>
      <c r="AR111" s="96" t="n"/>
      <c r="AS111" s="96" t="n"/>
      <c r="AT111" s="96" t="n"/>
      <c r="AU111" s="96" t="n"/>
      <c r="AV111" s="96" t="n"/>
      <c r="AW111" s="96" t="n"/>
      <c r="AX111" s="96" t="n"/>
      <c r="AY111" s="96" t="n"/>
      <c r="AZ111" s="96" t="n"/>
      <c r="BA111" s="96" t="n"/>
      <c r="BB111" s="96" t="n"/>
      <c r="BC111" s="96" t="n"/>
      <c r="BD111" s="96" t="n"/>
      <c r="BE111" s="96" t="n"/>
      <c r="BF111" s="96" t="n"/>
      <c r="BG111" s="96" t="n"/>
      <c r="BH111" s="96" t="n"/>
      <c r="BI111" s="96" t="n"/>
      <c r="BJ111" s="96" t="n"/>
      <c r="BK111" s="96" t="n"/>
      <c r="BL111" s="96" t="n"/>
      <c r="BM111" s="96" t="n"/>
      <c r="BN111" s="96" t="n"/>
      <c r="BO111" s="96" t="n"/>
      <c r="BP111" s="96" t="n"/>
      <c r="BQ111" s="96" t="n"/>
      <c r="BR111" s="96" t="n"/>
      <c r="BS111" s="96" t="n"/>
      <c r="BT111" s="96" t="n"/>
      <c r="BU111" s="96" t="n"/>
      <c r="BV111" s="96" t="n"/>
      <c r="BW111" s="96" t="n"/>
      <c r="BX111" s="96" t="n"/>
      <c r="BY111" s="96" t="n"/>
      <c r="BZ111" s="96" t="n"/>
      <c r="CA111" s="96" t="n"/>
      <c r="CB111" s="96" t="n"/>
      <c r="CC111" s="96" t="n"/>
      <c r="CD111" s="96" t="n"/>
      <c r="CE111" s="96" t="n"/>
      <c r="CF111" s="96" t="n"/>
      <c r="CG111" s="96" t="n"/>
      <c r="CH111" s="96" t="n"/>
      <c r="CI111" s="96" t="n"/>
      <c r="CJ111" s="96" t="n"/>
      <c r="CK111" s="96" t="n"/>
      <c r="CL111" s="96" t="n"/>
      <c r="CM111" s="96" t="n"/>
      <c r="CN111" s="96" t="n"/>
      <c r="CO111" s="96" t="n"/>
      <c r="CP111" s="96" t="n"/>
      <c r="CQ111" s="96" t="n"/>
      <c r="CR111" s="96" t="n"/>
      <c r="CS111" s="96" t="n"/>
      <c r="CT111" s="96" t="n"/>
      <c r="CU111" s="96" t="n"/>
      <c r="CV111" s="96" t="n"/>
      <c r="CW111" s="96" t="n"/>
      <c r="CX111" s="96" t="n"/>
      <c r="CY111" s="96" t="n"/>
      <c r="CZ111" s="96" t="n"/>
      <c r="DA111" s="96" t="n"/>
      <c r="DB111" s="96" t="n"/>
      <c r="DC111" s="96" t="n"/>
      <c r="DD111" s="96" t="n"/>
      <c r="DE111" s="96" t="n"/>
      <c r="DF111" s="96" t="n"/>
      <c r="DG111" s="96" t="n"/>
      <c r="DH111" s="96" t="n"/>
      <c r="DI111" s="96" t="n"/>
      <c r="DJ111" s="96" t="n"/>
      <c r="DK111" s="96" t="n"/>
      <c r="DL111" s="96" t="n"/>
      <c r="DM111" s="96" t="n"/>
      <c r="DN111" s="96" t="n"/>
      <c r="DO111" s="96" t="n"/>
      <c r="DP111" s="96" t="n"/>
      <c r="DQ111" s="96" t="n"/>
      <c r="DR111" s="96" t="n"/>
    </row>
    <row r="112" ht="15.75" customHeight="1">
      <c r="B112" s="5" t="inlineStr">
        <is>
          <t>Churn</t>
        </is>
      </c>
      <c r="E112" s="96" t="n"/>
      <c r="F112" s="46">
        <f>+SUMIFS(DT$13:DT$58,DT$13:DT$58,"&lt;0",$C$13:$C$58,$B$110)</f>
        <v/>
      </c>
      <c r="G112" s="46">
        <f>+SUMIFS(DU$13:DU$58,DU$13:DU$58,"&lt;0",$C$13:$C$58,$B$110)</f>
        <v/>
      </c>
      <c r="H112" s="46">
        <f>+SUMIFS(DV$13:DV$58,DV$13:DV$58,"&lt;0",$C$13:$C$58,$B$110)</f>
        <v/>
      </c>
      <c r="I112" s="46">
        <f>+SUMIFS(DW$13:DW$58,DW$13:DW$58,"&lt;0",$C$13:$C$58,$B$110)</f>
        <v/>
      </c>
      <c r="J112" s="48">
        <f>Revenue_Assumptions!J35*J$111</f>
        <v/>
      </c>
      <c r="K112" s="48">
        <f>Revenue_Assumptions!K35*K$111</f>
        <v/>
      </c>
      <c r="L112" s="48">
        <f>Revenue_Assumptions!L35*L$111</f>
        <v/>
      </c>
      <c r="M112" s="48">
        <f>Revenue_Assumptions!M35*M$111</f>
        <v/>
      </c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  <c r="AA112" s="96" t="n"/>
      <c r="AB112" s="96" t="n"/>
      <c r="AC112" s="96" t="n"/>
      <c r="AD112" s="96" t="n"/>
      <c r="AE112" s="96" t="n"/>
      <c r="AF112" s="96" t="n"/>
      <c r="AG112" s="96" t="n"/>
      <c r="AH112" s="96" t="n"/>
      <c r="AI112" s="96" t="n"/>
      <c r="AJ112" s="96" t="n"/>
      <c r="AK112" s="96" t="n"/>
      <c r="AL112" s="96" t="n"/>
      <c r="AM112" s="96" t="n"/>
      <c r="AN112" s="96" t="n"/>
      <c r="AO112" s="96" t="n"/>
      <c r="AP112" s="96" t="n"/>
      <c r="AQ112" s="96" t="n"/>
      <c r="AR112" s="96" t="n"/>
      <c r="AS112" s="96" t="n"/>
      <c r="AT112" s="96" t="n"/>
      <c r="AU112" s="96" t="n"/>
      <c r="AV112" s="96" t="n"/>
      <c r="AW112" s="96" t="n"/>
      <c r="AX112" s="96" t="n"/>
      <c r="AY112" s="96" t="n"/>
      <c r="AZ112" s="96" t="n"/>
      <c r="BA112" s="96" t="n"/>
      <c r="BB112" s="96" t="n"/>
      <c r="BC112" s="96" t="n"/>
      <c r="BD112" s="96" t="n"/>
      <c r="BE112" s="96" t="n"/>
      <c r="BF112" s="96" t="n"/>
      <c r="BG112" s="96" t="n"/>
      <c r="BH112" s="96" t="n"/>
      <c r="BI112" s="96" t="n"/>
      <c r="BJ112" s="96" t="n"/>
      <c r="BK112" s="96" t="n"/>
      <c r="BL112" s="96" t="n"/>
      <c r="BM112" s="96" t="n"/>
      <c r="BN112" s="96" t="n"/>
      <c r="BO112" s="96" t="n"/>
      <c r="BP112" s="96" t="n"/>
      <c r="BQ112" s="96" t="n"/>
      <c r="BR112" s="96" t="n"/>
      <c r="BS112" s="96" t="n"/>
      <c r="BT112" s="96" t="n"/>
      <c r="BU112" s="96" t="n"/>
      <c r="BV112" s="96" t="n"/>
      <c r="BW112" s="96" t="n"/>
      <c r="BX112" s="96" t="n"/>
      <c r="BY112" s="96" t="n"/>
      <c r="BZ112" s="96" t="n"/>
      <c r="CA112" s="96" t="n"/>
      <c r="CB112" s="96" t="n"/>
      <c r="CC112" s="96" t="n"/>
      <c r="CD112" s="96" t="n"/>
      <c r="CE112" s="96" t="n"/>
      <c r="CF112" s="96" t="n"/>
      <c r="CG112" s="96" t="n"/>
      <c r="CH112" s="96" t="n"/>
      <c r="CI112" s="96" t="n"/>
      <c r="CJ112" s="96" t="n"/>
      <c r="CK112" s="96" t="n"/>
      <c r="CL112" s="96" t="n"/>
      <c r="CM112" s="96" t="n"/>
      <c r="CN112" s="96" t="n"/>
      <c r="CO112" s="96" t="n"/>
      <c r="CP112" s="96" t="n"/>
      <c r="CQ112" s="96" t="n"/>
      <c r="CR112" s="96" t="n"/>
      <c r="CS112" s="96" t="n"/>
      <c r="CT112" s="96" t="n"/>
      <c r="CU112" s="96" t="n"/>
      <c r="CV112" s="96" t="n"/>
      <c r="CW112" s="96" t="n"/>
      <c r="CX112" s="96" t="n"/>
      <c r="CY112" s="96" t="n"/>
      <c r="CZ112" s="96" t="n"/>
      <c r="DA112" s="96" t="n"/>
      <c r="DB112" s="96" t="n"/>
      <c r="DC112" s="96" t="n"/>
      <c r="DD112" s="96" t="n"/>
      <c r="DE112" s="96" t="n"/>
      <c r="DF112" s="96" t="n"/>
      <c r="DG112" s="96" t="n"/>
      <c r="DH112" s="96" t="n"/>
      <c r="DI112" s="96" t="n"/>
      <c r="DJ112" s="96" t="n"/>
      <c r="DK112" s="96" t="n"/>
      <c r="DL112" s="96" t="n"/>
      <c r="DM112" s="96" t="n"/>
      <c r="DN112" s="96" t="n"/>
      <c r="DO112" s="96" t="n"/>
      <c r="DP112" s="96" t="n"/>
      <c r="DQ112" s="96" t="n"/>
      <c r="DR112" s="96" t="n"/>
    </row>
    <row r="113" ht="15.75" customHeight="1">
      <c r="B113" s="5" t="inlineStr">
        <is>
          <t>Expansion</t>
        </is>
      </c>
      <c r="E113" s="96" t="n"/>
      <c r="F113" s="46">
        <f>+SUMIFS(DT$13:DT$58,DT$13:DT$58,"&gt;0",$C$13:$C$58,$B$110)-F118</f>
        <v/>
      </c>
      <c r="G113" s="46">
        <f>+SUMIFS(DU$13:DU$58,DU$13:DU$58,"&gt;0",$C$13:$C$58,$B$110)-G118</f>
        <v/>
      </c>
      <c r="H113" s="46">
        <f>+SUMIFS(DV$13:DV$58,DV$13:DV$58,"&gt;0",$C$13:$C$58,$B$110)-H118</f>
        <v/>
      </c>
      <c r="I113" s="46">
        <f>+SUMIFS(DW$13:DW$58,DW$13:DW$58,"&gt;0",$C$13:$C$58,$B$110)-I118</f>
        <v/>
      </c>
      <c r="J113" s="48">
        <f>Revenue_Assumptions!J36*J$111</f>
        <v/>
      </c>
      <c r="K113" s="48">
        <f>Revenue_Assumptions!K36*K$111</f>
        <v/>
      </c>
      <c r="L113" s="48">
        <f>Revenue_Assumptions!L36*L$111</f>
        <v/>
      </c>
      <c r="M113" s="48">
        <f>Revenue_Assumptions!M36*M$111</f>
        <v/>
      </c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  <c r="AA113" s="96" t="n"/>
      <c r="AB113" s="96" t="n"/>
      <c r="AC113" s="96" t="n"/>
      <c r="AD113" s="96" t="n"/>
      <c r="AE113" s="96" t="n"/>
      <c r="AF113" s="96" t="n"/>
      <c r="AG113" s="96" t="n"/>
      <c r="AH113" s="96" t="n"/>
      <c r="AI113" s="96" t="n"/>
      <c r="AJ113" s="96" t="n"/>
      <c r="AK113" s="96" t="n"/>
      <c r="AL113" s="96" t="n"/>
      <c r="AM113" s="96" t="n"/>
      <c r="AN113" s="96" t="n"/>
      <c r="AO113" s="96" t="n"/>
      <c r="AP113" s="96" t="n"/>
      <c r="AQ113" s="96" t="n"/>
      <c r="AR113" s="96" t="n"/>
      <c r="AS113" s="96" t="n"/>
      <c r="AT113" s="96" t="n"/>
      <c r="AU113" s="96" t="n"/>
      <c r="AV113" s="96" t="n"/>
      <c r="AW113" s="96" t="n"/>
      <c r="AX113" s="96" t="n"/>
      <c r="AY113" s="96" t="n"/>
      <c r="AZ113" s="96" t="n"/>
      <c r="BA113" s="96" t="n"/>
      <c r="BB113" s="96" t="n"/>
      <c r="BC113" s="96" t="n"/>
      <c r="BD113" s="96" t="n"/>
      <c r="BE113" s="96" t="n"/>
      <c r="BF113" s="96" t="n"/>
      <c r="BG113" s="96" t="n"/>
      <c r="BH113" s="96" t="n"/>
      <c r="BI113" s="96" t="n"/>
      <c r="BJ113" s="96" t="n"/>
      <c r="BK113" s="96" t="n"/>
      <c r="BL113" s="96" t="n"/>
      <c r="BM113" s="96" t="n"/>
      <c r="BN113" s="96" t="n"/>
      <c r="BO113" s="96" t="n"/>
      <c r="BP113" s="96" t="n"/>
      <c r="BQ113" s="96" t="n"/>
      <c r="BR113" s="96" t="n"/>
      <c r="BS113" s="96" t="n"/>
      <c r="BT113" s="96" t="n"/>
      <c r="BU113" s="96" t="n"/>
      <c r="BV113" s="96" t="n"/>
      <c r="BW113" s="96" t="n"/>
      <c r="BX113" s="96" t="n"/>
      <c r="BY113" s="96" t="n"/>
      <c r="BZ113" s="96" t="n"/>
      <c r="CA113" s="96" t="n"/>
      <c r="CB113" s="96" t="n"/>
      <c r="CC113" s="96" t="n"/>
      <c r="CD113" s="96" t="n"/>
      <c r="CE113" s="96" t="n"/>
      <c r="CF113" s="96" t="n"/>
      <c r="CG113" s="96" t="n"/>
      <c r="CH113" s="96" t="n"/>
      <c r="CI113" s="96" t="n"/>
      <c r="CJ113" s="96" t="n"/>
      <c r="CK113" s="96" t="n"/>
      <c r="CL113" s="96" t="n"/>
      <c r="CM113" s="96" t="n"/>
      <c r="CN113" s="96" t="n"/>
      <c r="CO113" s="96" t="n"/>
      <c r="CP113" s="96" t="n"/>
      <c r="CQ113" s="96" t="n"/>
      <c r="CR113" s="96" t="n"/>
      <c r="CS113" s="96" t="n"/>
      <c r="CT113" s="96" t="n"/>
      <c r="CU113" s="96" t="n"/>
      <c r="CV113" s="96" t="n"/>
      <c r="CW113" s="96" t="n"/>
      <c r="CX113" s="96" t="n"/>
      <c r="CY113" s="96" t="n"/>
      <c r="CZ113" s="96" t="n"/>
      <c r="DA113" s="96" t="n"/>
      <c r="DB113" s="96" t="n"/>
      <c r="DC113" s="96" t="n"/>
      <c r="DD113" s="96" t="n"/>
      <c r="DE113" s="96" t="n"/>
      <c r="DF113" s="96" t="n"/>
      <c r="DG113" s="96" t="n"/>
      <c r="DH113" s="96" t="n"/>
      <c r="DI113" s="96" t="n"/>
      <c r="DJ113" s="96" t="n"/>
      <c r="DK113" s="96" t="n"/>
      <c r="DL113" s="96" t="n"/>
      <c r="DM113" s="96" t="n"/>
      <c r="DN113" s="96" t="n"/>
      <c r="DO113" s="96" t="n"/>
      <c r="DP113" s="96" t="n"/>
      <c r="DQ113" s="96" t="n"/>
      <c r="DR113" s="96" t="n"/>
    </row>
    <row r="114" ht="15.75" customHeight="1">
      <c r="B114" s="50" t="inlineStr">
        <is>
          <t>Net Retention</t>
        </is>
      </c>
      <c r="C114" s="50" t="n"/>
      <c r="E114" s="88" t="n"/>
      <c r="F114" s="51">
        <f>SUM(F111:F113)</f>
        <v/>
      </c>
      <c r="G114" s="51">
        <f>SUM(G111:G113)</f>
        <v/>
      </c>
      <c r="H114" s="51">
        <f>SUM(H111:H113)</f>
        <v/>
      </c>
      <c r="I114" s="51">
        <f>SUM(I111:I113)</f>
        <v/>
      </c>
      <c r="J114" s="51">
        <f>SUM(J111:J113)</f>
        <v/>
      </c>
      <c r="K114" s="51">
        <f>SUM(K111:K113)</f>
        <v/>
      </c>
      <c r="L114" s="51">
        <f>SUM(L111:L113)</f>
        <v/>
      </c>
      <c r="M114" s="51">
        <f>SUM(M111:M113)</f>
        <v/>
      </c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9" t="n"/>
      <c r="AD114" s="49" t="n"/>
      <c r="AE114" s="49" t="n"/>
      <c r="AF114" s="49" t="n"/>
      <c r="AG114" s="49" t="n"/>
      <c r="AH114" s="49" t="n"/>
      <c r="AI114" s="49" t="n"/>
      <c r="AJ114" s="49" t="n"/>
      <c r="AK114" s="49" t="n"/>
      <c r="AL114" s="49" t="n"/>
      <c r="AM114" s="49" t="n"/>
      <c r="AN114" s="49" t="n"/>
      <c r="AO114" s="49" t="n"/>
      <c r="AP114" s="49" t="n"/>
      <c r="AQ114" s="49" t="n"/>
      <c r="AR114" s="49" t="n"/>
      <c r="AS114" s="49" t="n"/>
      <c r="AT114" s="49" t="n"/>
      <c r="AU114" s="49" t="n"/>
      <c r="AV114" s="49" t="n"/>
      <c r="AW114" s="49" t="n"/>
      <c r="AX114" s="49" t="n"/>
      <c r="AY114" s="49" t="n"/>
      <c r="AZ114" s="49" t="n"/>
      <c r="BA114" s="49" t="n"/>
      <c r="BB114" s="49" t="n"/>
      <c r="BC114" s="49" t="n"/>
      <c r="BD114" s="49" t="n"/>
      <c r="BE114" s="49" t="n"/>
      <c r="BF114" s="49" t="n"/>
      <c r="BG114" s="49" t="n"/>
      <c r="BH114" s="49" t="n"/>
      <c r="BI114" s="49" t="n"/>
      <c r="BJ114" s="49" t="n"/>
      <c r="BK114" s="49" t="n"/>
      <c r="BL114" s="49" t="n"/>
      <c r="BM114" s="49" t="n"/>
      <c r="BN114" s="49" t="n"/>
      <c r="BO114" s="49" t="n"/>
      <c r="BP114" s="49" t="n"/>
      <c r="BQ114" s="49" t="n"/>
      <c r="BR114" s="49" t="n"/>
      <c r="BS114" s="49" t="n"/>
      <c r="BT114" s="49" t="n"/>
      <c r="BU114" s="49" t="n"/>
      <c r="BV114" s="49" t="n"/>
      <c r="BW114" s="96" t="n"/>
      <c r="BX114" s="96" t="n"/>
      <c r="BY114" s="96" t="n"/>
      <c r="BZ114" s="96" t="n"/>
      <c r="CA114" s="96" t="n"/>
      <c r="CB114" s="96" t="n"/>
      <c r="CC114" s="96" t="n"/>
      <c r="CD114" s="96" t="n"/>
      <c r="CE114" s="96" t="n"/>
      <c r="CF114" s="96" t="n"/>
      <c r="CG114" s="96" t="n"/>
      <c r="CH114" s="96" t="n"/>
      <c r="CI114" s="96" t="n"/>
      <c r="CJ114" s="96" t="n"/>
      <c r="CK114" s="96" t="n"/>
      <c r="CL114" s="96" t="n"/>
      <c r="CM114" s="96" t="n"/>
      <c r="CN114" s="96" t="n"/>
      <c r="CO114" s="96" t="n"/>
      <c r="CP114" s="96" t="n"/>
      <c r="CQ114" s="96" t="n"/>
      <c r="CR114" s="96" t="n"/>
      <c r="CS114" s="96" t="n"/>
      <c r="CT114" s="96" t="n"/>
      <c r="CU114" s="96" t="n"/>
      <c r="CV114" s="96" t="n"/>
      <c r="CW114" s="96" t="n"/>
      <c r="CX114" s="96" t="n"/>
      <c r="CY114" s="96" t="n"/>
      <c r="CZ114" s="96" t="n"/>
      <c r="DA114" s="96" t="n"/>
      <c r="DB114" s="96" t="n"/>
      <c r="DC114" s="96" t="n"/>
      <c r="DD114" s="96" t="n"/>
      <c r="DE114" s="96" t="n"/>
      <c r="DF114" s="96" t="n"/>
      <c r="DG114" s="96" t="n"/>
      <c r="DH114" s="96" t="n"/>
      <c r="DI114" s="96" t="n"/>
      <c r="DJ114" s="96" t="n"/>
      <c r="DK114" s="96" t="n"/>
      <c r="DL114" s="96" t="n"/>
      <c r="DM114" s="96" t="n"/>
      <c r="DN114" s="96" t="n"/>
      <c r="DO114" s="96" t="n"/>
      <c r="DP114" s="96" t="n"/>
      <c r="DQ114" s="96" t="n"/>
      <c r="DR114" s="96" t="n"/>
    </row>
    <row r="115" ht="4.5" customHeight="1"/>
    <row r="116" hidden="1" outlineLevel="1" ht="15.75" customHeight="1">
      <c r="B116" s="5" t="inlineStr">
        <is>
          <t>YTD New Clients</t>
        </is>
      </c>
      <c r="E116" s="96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  <c r="AA116" s="98">
        <f>+'Bookings to Revenue_Calcs'!AA47</f>
        <v/>
      </c>
      <c r="AB116" s="98">
        <f>+'Bookings to Revenue_Calcs'!AB47</f>
        <v/>
      </c>
      <c r="AC116" s="98">
        <f>+'Bookings to Revenue_Calcs'!AC47</f>
        <v/>
      </c>
      <c r="AD116" s="98">
        <f>+'Bookings to Revenue_Calcs'!AD47</f>
        <v/>
      </c>
      <c r="AE116" s="98">
        <f>+'Bookings to Revenue_Calcs'!AE47</f>
        <v/>
      </c>
      <c r="AF116" s="98">
        <f>+'Bookings to Revenue_Calcs'!AF47</f>
        <v/>
      </c>
      <c r="AG116" s="98">
        <f>+'Bookings to Revenue_Calcs'!AG47</f>
        <v/>
      </c>
      <c r="AH116" s="98">
        <f>+'Bookings to Revenue_Calcs'!AH47</f>
        <v/>
      </c>
      <c r="AI116" s="98">
        <f>+'Bookings to Revenue_Calcs'!AI47</f>
        <v/>
      </c>
      <c r="AJ116" s="98">
        <f>+'Bookings to Revenue_Calcs'!AJ47</f>
        <v/>
      </c>
      <c r="AK116" s="98">
        <f>+'Bookings to Revenue_Calcs'!AK47</f>
        <v/>
      </c>
      <c r="AL116" s="98">
        <f>+'Bookings to Revenue_Calcs'!AL47</f>
        <v/>
      </c>
      <c r="AM116" s="98">
        <f>+'Bookings to Revenue_Calcs'!AM47</f>
        <v/>
      </c>
      <c r="AN116" s="98">
        <f>+'Bookings to Revenue_Calcs'!AN47</f>
        <v/>
      </c>
      <c r="AO116" s="98">
        <f>+'Bookings to Revenue_Calcs'!AO47</f>
        <v/>
      </c>
      <c r="AP116" s="98">
        <f>+'Bookings to Revenue_Calcs'!AP47</f>
        <v/>
      </c>
      <c r="AQ116" s="98">
        <f>+'Bookings to Revenue_Calcs'!AQ47</f>
        <v/>
      </c>
      <c r="AR116" s="98">
        <f>+'Bookings to Revenue_Calcs'!AR47</f>
        <v/>
      </c>
      <c r="AS116" s="98">
        <f>+'Bookings to Revenue_Calcs'!AS47</f>
        <v/>
      </c>
      <c r="AT116" s="98">
        <f>+'Bookings to Revenue_Calcs'!AT47</f>
        <v/>
      </c>
      <c r="AU116" s="98">
        <f>+'Bookings to Revenue_Calcs'!AU47</f>
        <v/>
      </c>
      <c r="AV116" s="98">
        <f>+'Bookings to Revenue_Calcs'!AV47</f>
        <v/>
      </c>
      <c r="AW116" s="98">
        <f>+'Bookings to Revenue_Calcs'!AW47</f>
        <v/>
      </c>
      <c r="AX116" s="98">
        <f>+'Bookings to Revenue_Calcs'!AX47</f>
        <v/>
      </c>
      <c r="AY116" s="98">
        <f>+'Bookings to Revenue_Calcs'!AY47</f>
        <v/>
      </c>
      <c r="AZ116" s="98">
        <f>+'Bookings to Revenue_Calcs'!AZ47</f>
        <v/>
      </c>
      <c r="BA116" s="98">
        <f>+'Bookings to Revenue_Calcs'!BA47</f>
        <v/>
      </c>
      <c r="BB116" s="98">
        <f>+'Bookings to Revenue_Calcs'!BB47</f>
        <v/>
      </c>
      <c r="BC116" s="98">
        <f>+'Bookings to Revenue_Calcs'!BC47</f>
        <v/>
      </c>
      <c r="BD116" s="98">
        <f>+'Bookings to Revenue_Calcs'!BD47</f>
        <v/>
      </c>
      <c r="BE116" s="98">
        <f>+'Bookings to Revenue_Calcs'!BE47</f>
        <v/>
      </c>
      <c r="BF116" s="98">
        <f>+'Bookings to Revenue_Calcs'!BF47</f>
        <v/>
      </c>
      <c r="BG116" s="98">
        <f>+'Bookings to Revenue_Calcs'!BG47</f>
        <v/>
      </c>
      <c r="BH116" s="98">
        <f>+'Bookings to Revenue_Calcs'!BH47</f>
        <v/>
      </c>
      <c r="BI116" s="98">
        <f>+'Bookings to Revenue_Calcs'!BI47</f>
        <v/>
      </c>
      <c r="BJ116" s="98">
        <f>+'Bookings to Revenue_Calcs'!BJ47</f>
        <v/>
      </c>
      <c r="BK116" s="98">
        <f>+'Bookings to Revenue_Calcs'!BK47</f>
        <v/>
      </c>
      <c r="BL116" s="98">
        <f>+'Bookings to Revenue_Calcs'!BL47</f>
        <v/>
      </c>
      <c r="BM116" s="98">
        <f>+'Bookings to Revenue_Calcs'!BM47</f>
        <v/>
      </c>
      <c r="BN116" s="98">
        <f>+'Bookings to Revenue_Calcs'!BN47</f>
        <v/>
      </c>
      <c r="BO116" s="98">
        <f>+'Bookings to Revenue_Calcs'!BO47</f>
        <v/>
      </c>
      <c r="BP116" s="98">
        <f>+'Bookings to Revenue_Calcs'!BP47</f>
        <v/>
      </c>
      <c r="BQ116" s="98">
        <f>+'Bookings to Revenue_Calcs'!BQ47</f>
        <v/>
      </c>
      <c r="BR116" s="98">
        <f>+'Bookings to Revenue_Calcs'!BR47</f>
        <v/>
      </c>
      <c r="BS116" s="98">
        <f>+'Bookings to Revenue_Calcs'!BS47</f>
        <v/>
      </c>
      <c r="BT116" s="98">
        <f>+'Bookings to Revenue_Calcs'!BT47</f>
        <v/>
      </c>
      <c r="BU116" s="98">
        <f>+'Bookings to Revenue_Calcs'!BU47</f>
        <v/>
      </c>
      <c r="BV116" s="98">
        <f>+'Bookings to Revenue_Calcs'!BV47</f>
        <v/>
      </c>
      <c r="BW116" s="98">
        <f>+'Bookings to Revenue_Calcs'!BW47</f>
        <v/>
      </c>
      <c r="BX116" s="98">
        <f>+'Bookings to Revenue_Calcs'!BX47</f>
        <v/>
      </c>
      <c r="BY116" s="98">
        <f>+'Bookings to Revenue_Calcs'!BY47</f>
        <v/>
      </c>
      <c r="BZ116" s="98">
        <f>+'Bookings to Revenue_Calcs'!BZ47</f>
        <v/>
      </c>
      <c r="CA116" s="98">
        <f>+'Bookings to Revenue_Calcs'!CA47</f>
        <v/>
      </c>
      <c r="CB116" s="98">
        <f>+'Bookings to Revenue_Calcs'!CB47</f>
        <v/>
      </c>
      <c r="CC116" s="98">
        <f>+'Bookings to Revenue_Calcs'!CC47</f>
        <v/>
      </c>
      <c r="CD116" s="98">
        <f>+'Bookings to Revenue_Calcs'!CD47</f>
        <v/>
      </c>
      <c r="CE116" s="98">
        <f>+'Bookings to Revenue_Calcs'!CE47</f>
        <v/>
      </c>
      <c r="CF116" s="98">
        <f>+'Bookings to Revenue_Calcs'!CF47</f>
        <v/>
      </c>
      <c r="CG116" s="98">
        <f>+'Bookings to Revenue_Calcs'!CG47</f>
        <v/>
      </c>
      <c r="CH116" s="98">
        <f>+'Bookings to Revenue_Calcs'!CH47</f>
        <v/>
      </c>
      <c r="CI116" s="98">
        <f>+'Bookings to Revenue_Calcs'!CI47</f>
        <v/>
      </c>
      <c r="CJ116" s="98">
        <f>+'Bookings to Revenue_Calcs'!CJ47</f>
        <v/>
      </c>
      <c r="CK116" s="98">
        <f>+'Bookings to Revenue_Calcs'!CK47</f>
        <v/>
      </c>
      <c r="CL116" s="98">
        <f>+'Bookings to Revenue_Calcs'!CL47</f>
        <v/>
      </c>
      <c r="CM116" s="98">
        <f>+'Bookings to Revenue_Calcs'!CM47</f>
        <v/>
      </c>
      <c r="CN116" s="98">
        <f>+'Bookings to Revenue_Calcs'!CN47</f>
        <v/>
      </c>
      <c r="CO116" s="98">
        <f>+'Bookings to Revenue_Calcs'!CO47</f>
        <v/>
      </c>
      <c r="CP116" s="98">
        <f>+'Bookings to Revenue_Calcs'!CP47</f>
        <v/>
      </c>
      <c r="CQ116" s="98">
        <f>+'Bookings to Revenue_Calcs'!CQ47</f>
        <v/>
      </c>
      <c r="CR116" s="98">
        <f>+'Bookings to Revenue_Calcs'!CR47</f>
        <v/>
      </c>
      <c r="CS116" s="98">
        <f>+'Bookings to Revenue_Calcs'!CS47</f>
        <v/>
      </c>
      <c r="CT116" s="98">
        <f>+'Bookings to Revenue_Calcs'!CT47</f>
        <v/>
      </c>
      <c r="CU116" s="98">
        <f>+'Bookings to Revenue_Calcs'!CU47</f>
        <v/>
      </c>
      <c r="CV116" s="98">
        <f>+'Bookings to Revenue_Calcs'!CV47</f>
        <v/>
      </c>
      <c r="CW116" s="98">
        <f>+'Bookings to Revenue_Calcs'!CW47</f>
        <v/>
      </c>
      <c r="CX116" s="98">
        <f>+'Bookings to Revenue_Calcs'!CX47</f>
        <v/>
      </c>
      <c r="CY116" s="98">
        <f>+'Bookings to Revenue_Calcs'!CY47</f>
        <v/>
      </c>
      <c r="CZ116" s="98">
        <f>+'Bookings to Revenue_Calcs'!CZ47</f>
        <v/>
      </c>
      <c r="DA116" s="98">
        <f>+'Bookings to Revenue_Calcs'!DA47</f>
        <v/>
      </c>
      <c r="DB116" s="98">
        <f>+'Bookings to Revenue_Calcs'!DB47</f>
        <v/>
      </c>
      <c r="DC116" s="98">
        <f>+'Bookings to Revenue_Calcs'!DC47</f>
        <v/>
      </c>
      <c r="DD116" s="98">
        <f>+'Bookings to Revenue_Calcs'!DD47</f>
        <v/>
      </c>
      <c r="DE116" s="98">
        <f>+'Bookings to Revenue_Calcs'!DE47</f>
        <v/>
      </c>
      <c r="DF116" s="98">
        <f>+'Bookings to Revenue_Calcs'!DF47</f>
        <v/>
      </c>
      <c r="DG116" s="98">
        <f>+'Bookings to Revenue_Calcs'!DG47</f>
        <v/>
      </c>
      <c r="DH116" s="98">
        <f>+'Bookings to Revenue_Calcs'!DH47</f>
        <v/>
      </c>
      <c r="DI116" s="98">
        <f>+'Bookings to Revenue_Calcs'!DI47</f>
        <v/>
      </c>
      <c r="DJ116" s="98">
        <f>+'Bookings to Revenue_Calcs'!DJ47</f>
        <v/>
      </c>
      <c r="DK116" s="98">
        <f>+'Bookings to Revenue_Calcs'!DK47</f>
        <v/>
      </c>
      <c r="DL116" s="98">
        <f>+'Bookings to Revenue_Calcs'!DL47</f>
        <v/>
      </c>
      <c r="DM116" s="98">
        <f>+'Bookings to Revenue_Calcs'!DM47</f>
        <v/>
      </c>
      <c r="DN116" s="98">
        <f>+'Bookings to Revenue_Calcs'!DN47</f>
        <v/>
      </c>
      <c r="DO116" s="98">
        <f>+'Bookings to Revenue_Calcs'!DO47</f>
        <v/>
      </c>
      <c r="DP116" s="98">
        <f>+'Bookings to Revenue_Calcs'!DP47</f>
        <v/>
      </c>
      <c r="DQ116" s="98">
        <f>+'Bookings to Revenue_Calcs'!DQ47</f>
        <v/>
      </c>
      <c r="DR116" s="98">
        <f>+'Bookings to Revenue_Calcs'!DR47</f>
        <v/>
      </c>
    </row>
    <row r="117" hidden="1" outlineLevel="1" ht="15.75" customHeight="1">
      <c r="B117" s="5" t="inlineStr">
        <is>
          <t>Avg Revenue per New Client</t>
        </is>
      </c>
      <c r="E117" s="96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  <c r="AA117" s="48">
        <f>+SUMIFS(Revenue_Assumptions!$E39:$M39,Revenue_Assumptions!$E$7:$M$7,AA$7)/12</f>
        <v/>
      </c>
      <c r="AB117" s="48">
        <f>+SUMIFS(Revenue_Assumptions!$E39:$M39,Revenue_Assumptions!$E$7:$M$7,AB$7)/12</f>
        <v/>
      </c>
      <c r="AC117" s="48">
        <f>+SUMIFS(Revenue_Assumptions!$E39:$M39,Revenue_Assumptions!$E$7:$M$7,AC$7)/12</f>
        <v/>
      </c>
      <c r="AD117" s="48">
        <f>+SUMIFS(Revenue_Assumptions!$E39:$M39,Revenue_Assumptions!$E$7:$M$7,AD$7)/12</f>
        <v/>
      </c>
      <c r="AE117" s="48">
        <f>+SUMIFS(Revenue_Assumptions!$E39:$M39,Revenue_Assumptions!$E$7:$M$7,AE$7)/12</f>
        <v/>
      </c>
      <c r="AF117" s="48">
        <f>+SUMIFS(Revenue_Assumptions!$E39:$M39,Revenue_Assumptions!$E$7:$M$7,AF$7)/12</f>
        <v/>
      </c>
      <c r="AG117" s="48">
        <f>+SUMIFS(Revenue_Assumptions!$E39:$M39,Revenue_Assumptions!$E$7:$M$7,AG$7)/12</f>
        <v/>
      </c>
      <c r="AH117" s="48">
        <f>+SUMIFS(Revenue_Assumptions!$E39:$M39,Revenue_Assumptions!$E$7:$M$7,AH$7)/12</f>
        <v/>
      </c>
      <c r="AI117" s="48">
        <f>+SUMIFS(Revenue_Assumptions!$E39:$M39,Revenue_Assumptions!$E$7:$M$7,AI$7)/12</f>
        <v/>
      </c>
      <c r="AJ117" s="48">
        <f>+SUMIFS(Revenue_Assumptions!$E39:$M39,Revenue_Assumptions!$E$7:$M$7,AJ$7)/12</f>
        <v/>
      </c>
      <c r="AK117" s="48">
        <f>+SUMIFS(Revenue_Assumptions!$E39:$M39,Revenue_Assumptions!$E$7:$M$7,AK$7)/12</f>
        <v/>
      </c>
      <c r="AL117" s="48">
        <f>+SUMIFS(Revenue_Assumptions!$E39:$M39,Revenue_Assumptions!$E$7:$M$7,AL$7)/12</f>
        <v/>
      </c>
      <c r="AM117" s="48">
        <f>+SUMIFS(Revenue_Assumptions!$E39:$M39,Revenue_Assumptions!$E$7:$M$7,AM$7)/12</f>
        <v/>
      </c>
      <c r="AN117" s="48">
        <f>+SUMIFS(Revenue_Assumptions!$E39:$M39,Revenue_Assumptions!$E$7:$M$7,AN$7)/12</f>
        <v/>
      </c>
      <c r="AO117" s="48">
        <f>+SUMIFS(Revenue_Assumptions!$E39:$M39,Revenue_Assumptions!$E$7:$M$7,AO$7)/12</f>
        <v/>
      </c>
      <c r="AP117" s="48">
        <f>+SUMIFS(Revenue_Assumptions!$E39:$M39,Revenue_Assumptions!$E$7:$M$7,AP$7)/12</f>
        <v/>
      </c>
      <c r="AQ117" s="48">
        <f>+SUMIFS(Revenue_Assumptions!$E39:$M39,Revenue_Assumptions!$E$7:$M$7,AQ$7)/12</f>
        <v/>
      </c>
      <c r="AR117" s="48">
        <f>+SUMIFS(Revenue_Assumptions!$E39:$M39,Revenue_Assumptions!$E$7:$M$7,AR$7)/12</f>
        <v/>
      </c>
      <c r="AS117" s="48">
        <f>+SUMIFS(Revenue_Assumptions!$E39:$M39,Revenue_Assumptions!$E$7:$M$7,AS$7)/12</f>
        <v/>
      </c>
      <c r="AT117" s="48">
        <f>+SUMIFS(Revenue_Assumptions!$E39:$M39,Revenue_Assumptions!$E$7:$M$7,AT$7)/12</f>
        <v/>
      </c>
      <c r="AU117" s="48">
        <f>+SUMIFS(Revenue_Assumptions!$E39:$M39,Revenue_Assumptions!$E$7:$M$7,AU$7)/12</f>
        <v/>
      </c>
      <c r="AV117" s="48">
        <f>+SUMIFS(Revenue_Assumptions!$E39:$M39,Revenue_Assumptions!$E$7:$M$7,AV$7)/12</f>
        <v/>
      </c>
      <c r="AW117" s="48">
        <f>+SUMIFS(Revenue_Assumptions!$E39:$M39,Revenue_Assumptions!$E$7:$M$7,AW$7)/12</f>
        <v/>
      </c>
      <c r="AX117" s="48">
        <f>+SUMIFS(Revenue_Assumptions!$E39:$M39,Revenue_Assumptions!$E$7:$M$7,AX$7)/12</f>
        <v/>
      </c>
      <c r="AY117" s="48">
        <f>+SUMIFS(Revenue_Assumptions!$E39:$M39,Revenue_Assumptions!$E$7:$M$7,AY$7)/12</f>
        <v/>
      </c>
      <c r="AZ117" s="48">
        <f>+SUMIFS(Revenue_Assumptions!$E39:$M39,Revenue_Assumptions!$E$7:$M$7,AZ$7)/12</f>
        <v/>
      </c>
      <c r="BA117" s="48">
        <f>+SUMIFS(Revenue_Assumptions!$E39:$M39,Revenue_Assumptions!$E$7:$M$7,BA$7)/12</f>
        <v/>
      </c>
      <c r="BB117" s="48">
        <f>+SUMIFS(Revenue_Assumptions!$E39:$M39,Revenue_Assumptions!$E$7:$M$7,BB$7)/12</f>
        <v/>
      </c>
      <c r="BC117" s="48">
        <f>+SUMIFS(Revenue_Assumptions!$E39:$M39,Revenue_Assumptions!$E$7:$M$7,BC$7)/12</f>
        <v/>
      </c>
      <c r="BD117" s="48">
        <f>+SUMIFS(Revenue_Assumptions!$E39:$M39,Revenue_Assumptions!$E$7:$M$7,BD$7)/12</f>
        <v/>
      </c>
      <c r="BE117" s="48">
        <f>+SUMIFS(Revenue_Assumptions!$E39:$M39,Revenue_Assumptions!$E$7:$M$7,BE$7)/12</f>
        <v/>
      </c>
      <c r="BF117" s="48">
        <f>+SUMIFS(Revenue_Assumptions!$E39:$M39,Revenue_Assumptions!$E$7:$M$7,BF$7)/12</f>
        <v/>
      </c>
      <c r="BG117" s="48">
        <f>+SUMIFS(Revenue_Assumptions!$E39:$M39,Revenue_Assumptions!$E$7:$M$7,BG$7)/12</f>
        <v/>
      </c>
      <c r="BH117" s="48">
        <f>+SUMIFS(Revenue_Assumptions!$E39:$M39,Revenue_Assumptions!$E$7:$M$7,BH$7)/12</f>
        <v/>
      </c>
      <c r="BI117" s="48">
        <f>+SUMIFS(Revenue_Assumptions!$E39:$M39,Revenue_Assumptions!$E$7:$M$7,BI$7)/12</f>
        <v/>
      </c>
      <c r="BJ117" s="48">
        <f>+SUMIFS(Revenue_Assumptions!$E39:$M39,Revenue_Assumptions!$E$7:$M$7,BJ$7)/12</f>
        <v/>
      </c>
      <c r="BK117" s="48">
        <f>+SUMIFS(Revenue_Assumptions!$E39:$M39,Revenue_Assumptions!$E$7:$M$7,BK$7)/12</f>
        <v/>
      </c>
      <c r="BL117" s="48">
        <f>+SUMIFS(Revenue_Assumptions!$E39:$M39,Revenue_Assumptions!$E$7:$M$7,BL$7)/12</f>
        <v/>
      </c>
      <c r="BM117" s="48">
        <f>+SUMIFS(Revenue_Assumptions!$E39:$M39,Revenue_Assumptions!$E$7:$M$7,BM$7)/12</f>
        <v/>
      </c>
      <c r="BN117" s="48">
        <f>+SUMIFS(Revenue_Assumptions!$E39:$M39,Revenue_Assumptions!$E$7:$M$7,BN$7)/12</f>
        <v/>
      </c>
      <c r="BO117" s="48">
        <f>+SUMIFS(Revenue_Assumptions!$E39:$M39,Revenue_Assumptions!$E$7:$M$7,BO$7)/12</f>
        <v/>
      </c>
      <c r="BP117" s="48">
        <f>+SUMIFS(Revenue_Assumptions!$E39:$M39,Revenue_Assumptions!$E$7:$M$7,BP$7)/12</f>
        <v/>
      </c>
      <c r="BQ117" s="48">
        <f>+SUMIFS(Revenue_Assumptions!$E39:$M39,Revenue_Assumptions!$E$7:$M$7,BQ$7)/12</f>
        <v/>
      </c>
      <c r="BR117" s="48">
        <f>+SUMIFS(Revenue_Assumptions!$E39:$M39,Revenue_Assumptions!$E$7:$M$7,BR$7)/12</f>
        <v/>
      </c>
      <c r="BS117" s="48">
        <f>+SUMIFS(Revenue_Assumptions!$E39:$M39,Revenue_Assumptions!$E$7:$M$7,BS$7)/12</f>
        <v/>
      </c>
      <c r="BT117" s="48">
        <f>+SUMIFS(Revenue_Assumptions!$E39:$M39,Revenue_Assumptions!$E$7:$M$7,BT$7)/12</f>
        <v/>
      </c>
      <c r="BU117" s="48">
        <f>+SUMIFS(Revenue_Assumptions!$E39:$M39,Revenue_Assumptions!$E$7:$M$7,BU$7)/12</f>
        <v/>
      </c>
      <c r="BV117" s="48">
        <f>+SUMIFS(Revenue_Assumptions!$E39:$M39,Revenue_Assumptions!$E$7:$M$7,BV$7)/12</f>
        <v/>
      </c>
      <c r="BW117" s="48">
        <f>+SUMIFS(Revenue_Assumptions!$E39:$M39,Revenue_Assumptions!$E$7:$M$7,BW$7)/12</f>
        <v/>
      </c>
      <c r="BX117" s="48">
        <f>+SUMIFS(Revenue_Assumptions!$E39:$M39,Revenue_Assumptions!$E$7:$M$7,BX$7)/12</f>
        <v/>
      </c>
      <c r="BY117" s="48">
        <f>+SUMIFS(Revenue_Assumptions!$E39:$M39,Revenue_Assumptions!$E$7:$M$7,BY$7)/12</f>
        <v/>
      </c>
      <c r="BZ117" s="48">
        <f>+SUMIFS(Revenue_Assumptions!$E39:$M39,Revenue_Assumptions!$E$7:$M$7,BZ$7)/12</f>
        <v/>
      </c>
      <c r="CA117" s="48">
        <f>+SUMIFS(Revenue_Assumptions!$E39:$M39,Revenue_Assumptions!$E$7:$M$7,CA$7)/12</f>
        <v/>
      </c>
      <c r="CB117" s="48">
        <f>+SUMIFS(Revenue_Assumptions!$E39:$M39,Revenue_Assumptions!$E$7:$M$7,CB$7)/12</f>
        <v/>
      </c>
      <c r="CC117" s="48">
        <f>+SUMIFS(Revenue_Assumptions!$E39:$M39,Revenue_Assumptions!$E$7:$M$7,CC$7)/12</f>
        <v/>
      </c>
      <c r="CD117" s="48">
        <f>+SUMIFS(Revenue_Assumptions!$E39:$M39,Revenue_Assumptions!$E$7:$M$7,CD$7)/12</f>
        <v/>
      </c>
      <c r="CE117" s="48">
        <f>+SUMIFS(Revenue_Assumptions!$E39:$M39,Revenue_Assumptions!$E$7:$M$7,CE$7)/12</f>
        <v/>
      </c>
      <c r="CF117" s="48">
        <f>+SUMIFS(Revenue_Assumptions!$E39:$M39,Revenue_Assumptions!$E$7:$M$7,CF$7)/12</f>
        <v/>
      </c>
      <c r="CG117" s="48">
        <f>+SUMIFS(Revenue_Assumptions!$E39:$M39,Revenue_Assumptions!$E$7:$M$7,CG$7)/12</f>
        <v/>
      </c>
      <c r="CH117" s="48">
        <f>+SUMIFS(Revenue_Assumptions!$E39:$M39,Revenue_Assumptions!$E$7:$M$7,CH$7)/12</f>
        <v/>
      </c>
      <c r="CI117" s="48">
        <f>+SUMIFS(Revenue_Assumptions!$E39:$M39,Revenue_Assumptions!$E$7:$M$7,CI$7)/12</f>
        <v/>
      </c>
      <c r="CJ117" s="48">
        <f>+SUMIFS(Revenue_Assumptions!$E39:$M39,Revenue_Assumptions!$E$7:$M$7,CJ$7)/12</f>
        <v/>
      </c>
      <c r="CK117" s="48">
        <f>+SUMIFS(Revenue_Assumptions!$E39:$M39,Revenue_Assumptions!$E$7:$M$7,CK$7)/12</f>
        <v/>
      </c>
      <c r="CL117" s="48">
        <f>+SUMIFS(Revenue_Assumptions!$E39:$M39,Revenue_Assumptions!$E$7:$M$7,CL$7)/12</f>
        <v/>
      </c>
      <c r="CM117" s="48">
        <f>+SUMIFS(Revenue_Assumptions!$E39:$M39,Revenue_Assumptions!$E$7:$M$7,CM$7)/12</f>
        <v/>
      </c>
      <c r="CN117" s="48">
        <f>+SUMIFS(Revenue_Assumptions!$E39:$M39,Revenue_Assumptions!$E$7:$M$7,CN$7)/12</f>
        <v/>
      </c>
      <c r="CO117" s="48">
        <f>+SUMIFS(Revenue_Assumptions!$E39:$M39,Revenue_Assumptions!$E$7:$M$7,CO$7)/12</f>
        <v/>
      </c>
      <c r="CP117" s="48">
        <f>+SUMIFS(Revenue_Assumptions!$E39:$M39,Revenue_Assumptions!$E$7:$M$7,CP$7)/12</f>
        <v/>
      </c>
      <c r="CQ117" s="48">
        <f>+SUMIFS(Revenue_Assumptions!$E39:$M39,Revenue_Assumptions!$E$7:$M$7,CQ$7)/12</f>
        <v/>
      </c>
      <c r="CR117" s="48">
        <f>+SUMIFS(Revenue_Assumptions!$E39:$M39,Revenue_Assumptions!$E$7:$M$7,CR$7)/12</f>
        <v/>
      </c>
      <c r="CS117" s="48">
        <f>+SUMIFS(Revenue_Assumptions!$E39:$M39,Revenue_Assumptions!$E$7:$M$7,CS$7)/12</f>
        <v/>
      </c>
      <c r="CT117" s="48">
        <f>+SUMIFS(Revenue_Assumptions!$E39:$M39,Revenue_Assumptions!$E$7:$M$7,CT$7)/12</f>
        <v/>
      </c>
      <c r="CU117" s="48">
        <f>+SUMIFS(Revenue_Assumptions!$E39:$M39,Revenue_Assumptions!$E$7:$M$7,CU$7)/12</f>
        <v/>
      </c>
      <c r="CV117" s="48">
        <f>+SUMIFS(Revenue_Assumptions!$E39:$M39,Revenue_Assumptions!$E$7:$M$7,CV$7)/12</f>
        <v/>
      </c>
      <c r="CW117" s="48">
        <f>+SUMIFS(Revenue_Assumptions!$E39:$M39,Revenue_Assumptions!$E$7:$M$7,CW$7)/12</f>
        <v/>
      </c>
      <c r="CX117" s="48">
        <f>+SUMIFS(Revenue_Assumptions!$E39:$M39,Revenue_Assumptions!$E$7:$M$7,CX$7)/12</f>
        <v/>
      </c>
      <c r="CY117" s="48">
        <f>+SUMIFS(Revenue_Assumptions!$E39:$M39,Revenue_Assumptions!$E$7:$M$7,CY$7)/12</f>
        <v/>
      </c>
      <c r="CZ117" s="48">
        <f>+SUMIFS(Revenue_Assumptions!$E39:$M39,Revenue_Assumptions!$E$7:$M$7,CZ$7)/12</f>
        <v/>
      </c>
      <c r="DA117" s="48">
        <f>+SUMIFS(Revenue_Assumptions!$E39:$M39,Revenue_Assumptions!$E$7:$M$7,DA$7)/12</f>
        <v/>
      </c>
      <c r="DB117" s="48">
        <f>+SUMIFS(Revenue_Assumptions!$E39:$M39,Revenue_Assumptions!$E$7:$M$7,DB$7)/12</f>
        <v/>
      </c>
      <c r="DC117" s="48">
        <f>+SUMIFS(Revenue_Assumptions!$E39:$M39,Revenue_Assumptions!$E$7:$M$7,DC$7)/12</f>
        <v/>
      </c>
      <c r="DD117" s="48">
        <f>+SUMIFS(Revenue_Assumptions!$E39:$M39,Revenue_Assumptions!$E$7:$M$7,DD$7)/12</f>
        <v/>
      </c>
      <c r="DE117" s="48">
        <f>+SUMIFS(Revenue_Assumptions!$E39:$M39,Revenue_Assumptions!$E$7:$M$7,DE$7)/12</f>
        <v/>
      </c>
      <c r="DF117" s="48">
        <f>+SUMIFS(Revenue_Assumptions!$E39:$M39,Revenue_Assumptions!$E$7:$M$7,DF$7)/12</f>
        <v/>
      </c>
      <c r="DG117" s="48">
        <f>+SUMIFS(Revenue_Assumptions!$E39:$M39,Revenue_Assumptions!$E$7:$M$7,DG$7)/12</f>
        <v/>
      </c>
      <c r="DH117" s="48">
        <f>+SUMIFS(Revenue_Assumptions!$E39:$M39,Revenue_Assumptions!$E$7:$M$7,DH$7)/12</f>
        <v/>
      </c>
      <c r="DI117" s="48">
        <f>+SUMIFS(Revenue_Assumptions!$E39:$M39,Revenue_Assumptions!$E$7:$M$7,DI$7)/12</f>
        <v/>
      </c>
      <c r="DJ117" s="48">
        <f>+SUMIFS(Revenue_Assumptions!$E39:$M39,Revenue_Assumptions!$E$7:$M$7,DJ$7)/12</f>
        <v/>
      </c>
      <c r="DK117" s="48">
        <f>+SUMIFS(Revenue_Assumptions!$E39:$M39,Revenue_Assumptions!$E$7:$M$7,DK$7)/12</f>
        <v/>
      </c>
      <c r="DL117" s="48">
        <f>+SUMIFS(Revenue_Assumptions!$E39:$M39,Revenue_Assumptions!$E$7:$M$7,DL$7)/12</f>
        <v/>
      </c>
      <c r="DM117" s="48">
        <f>+SUMIFS(Revenue_Assumptions!$E39:$M39,Revenue_Assumptions!$E$7:$M$7,DM$7)/12</f>
        <v/>
      </c>
      <c r="DN117" s="48">
        <f>+SUMIFS(Revenue_Assumptions!$E39:$M39,Revenue_Assumptions!$E$7:$M$7,DN$7)/12</f>
        <v/>
      </c>
      <c r="DO117" s="48">
        <f>+SUMIFS(Revenue_Assumptions!$E39:$M39,Revenue_Assumptions!$E$7:$M$7,DO$7)/12</f>
        <v/>
      </c>
      <c r="DP117" s="48">
        <f>+SUMIFS(Revenue_Assumptions!$E39:$M39,Revenue_Assumptions!$E$7:$M$7,DP$7)/12</f>
        <v/>
      </c>
      <c r="DQ117" s="48">
        <f>+SUMIFS(Revenue_Assumptions!$E39:$M39,Revenue_Assumptions!$E$7:$M$7,DQ$7)/12</f>
        <v/>
      </c>
      <c r="DR117" s="48">
        <f>+SUMIFS(Revenue_Assumptions!$E39:$M39,Revenue_Assumptions!$E$7:$M$7,DR$7)/12</f>
        <v/>
      </c>
    </row>
    <row r="118" hidden="1" outlineLevel="1" ht="15.75" customHeight="1">
      <c r="B118" s="50" t="inlineStr">
        <is>
          <t>New Revenue</t>
        </is>
      </c>
      <c r="C118" s="50" t="n"/>
      <c r="E118" s="51">
        <f>+SUMIFS($AA118:$DR118,$AA$7:$DR$7,E$7)</f>
        <v/>
      </c>
      <c r="F118" s="51">
        <f>+SUMIFS($AA118:$DR118,$AA$7:$DR$7,F$7)</f>
        <v/>
      </c>
      <c r="G118" s="51">
        <f>+SUMIFS($AA118:$DR118,$AA$7:$DR$7,G$7)</f>
        <v/>
      </c>
      <c r="H118" s="51">
        <f>+SUMIFS($AA118:$DR118,$AA$7:$DR$7,H$7)</f>
        <v/>
      </c>
      <c r="I118" s="51">
        <f>+SUMIFS($AA118:$DR118,$AA$7:$DR$7,I$7)</f>
        <v/>
      </c>
      <c r="J118" s="51">
        <f>+SUMIFS($AA118:$DR118,$AA$7:$DR$7,J$7)</f>
        <v/>
      </c>
      <c r="K118" s="51">
        <f>+SUMIFS($AA118:$DR118,$AA$7:$DR$7,K$7)</f>
        <v/>
      </c>
      <c r="L118" s="51">
        <f>+SUMIFS($AA118:$DR118,$AA$7:$DR$7,L$7)</f>
        <v/>
      </c>
      <c r="M118" s="51">
        <f>+SUMIFS($AA118:$DR118,$AA$7:$DR$7,M$7)</f>
        <v/>
      </c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51">
        <f>+AA116*AA117</f>
        <v/>
      </c>
      <c r="AB118" s="51">
        <f>+AB116*AB117</f>
        <v/>
      </c>
      <c r="AC118" s="51">
        <f>+AC116*AC117</f>
        <v/>
      </c>
      <c r="AD118" s="51">
        <f>+AD116*AD117</f>
        <v/>
      </c>
      <c r="AE118" s="51">
        <f>+AE116*AE117</f>
        <v/>
      </c>
      <c r="AF118" s="51">
        <f>+AF116*AF117</f>
        <v/>
      </c>
      <c r="AG118" s="51">
        <f>+AG116*AG117</f>
        <v/>
      </c>
      <c r="AH118" s="51">
        <f>+AH116*AH117</f>
        <v/>
      </c>
      <c r="AI118" s="51">
        <f>+AI116*AI117</f>
        <v/>
      </c>
      <c r="AJ118" s="51">
        <f>+AJ116*AJ117</f>
        <v/>
      </c>
      <c r="AK118" s="51">
        <f>+AK116*AK117</f>
        <v/>
      </c>
      <c r="AL118" s="51">
        <f>+AL116*AL117</f>
        <v/>
      </c>
      <c r="AM118" s="51">
        <f>+AM116*AM117</f>
        <v/>
      </c>
      <c r="AN118" s="51">
        <f>+AN116*AN117</f>
        <v/>
      </c>
      <c r="AO118" s="51">
        <f>+AO116*AO117</f>
        <v/>
      </c>
      <c r="AP118" s="51">
        <f>+AP116*AP117</f>
        <v/>
      </c>
      <c r="AQ118" s="51">
        <f>+AQ116*AQ117</f>
        <v/>
      </c>
      <c r="AR118" s="51">
        <f>+AR116*AR117</f>
        <v/>
      </c>
      <c r="AS118" s="51">
        <f>+AS116*AS117</f>
        <v/>
      </c>
      <c r="AT118" s="51">
        <f>+AT116*AT117</f>
        <v/>
      </c>
      <c r="AU118" s="51">
        <f>+AU116*AU117</f>
        <v/>
      </c>
      <c r="AV118" s="51">
        <f>+AV116*AV117</f>
        <v/>
      </c>
      <c r="AW118" s="51">
        <f>+AW116*AW117</f>
        <v/>
      </c>
      <c r="AX118" s="51">
        <f>+AX116*AX117</f>
        <v/>
      </c>
      <c r="AY118" s="51">
        <f>+AY116*AY117</f>
        <v/>
      </c>
      <c r="AZ118" s="51">
        <f>+AZ116*AZ117</f>
        <v/>
      </c>
      <c r="BA118" s="51">
        <f>+BA116*BA117</f>
        <v/>
      </c>
      <c r="BB118" s="51">
        <f>+BB116*BB117</f>
        <v/>
      </c>
      <c r="BC118" s="51">
        <f>+BC116*BC117</f>
        <v/>
      </c>
      <c r="BD118" s="51">
        <f>+BD116*BD117</f>
        <v/>
      </c>
      <c r="BE118" s="51">
        <f>+BE116*BE117</f>
        <v/>
      </c>
      <c r="BF118" s="51">
        <f>+BF116*BF117</f>
        <v/>
      </c>
      <c r="BG118" s="51">
        <f>+BG116*BG117</f>
        <v/>
      </c>
      <c r="BH118" s="51">
        <f>+BH116*BH117</f>
        <v/>
      </c>
      <c r="BI118" s="51">
        <f>+BI116*BI117</f>
        <v/>
      </c>
      <c r="BJ118" s="51">
        <f>+BJ116*BJ117</f>
        <v/>
      </c>
      <c r="BK118" s="51">
        <f>+BK116*BK117</f>
        <v/>
      </c>
      <c r="BL118" s="51">
        <f>+BL116*BL117</f>
        <v/>
      </c>
      <c r="BM118" s="51">
        <f>+BM116*BM117</f>
        <v/>
      </c>
      <c r="BN118" s="51">
        <f>+BN116*BN117</f>
        <v/>
      </c>
      <c r="BO118" s="51">
        <f>+BO116*BO117</f>
        <v/>
      </c>
      <c r="BP118" s="51">
        <f>+BP116*BP117</f>
        <v/>
      </c>
      <c r="BQ118" s="51">
        <f>+BQ116*BQ117</f>
        <v/>
      </c>
      <c r="BR118" s="51">
        <f>+BR116*BR117</f>
        <v/>
      </c>
      <c r="BS118" s="51">
        <f>+BS116*BS117</f>
        <v/>
      </c>
      <c r="BT118" s="51">
        <f>+BT116*BT117</f>
        <v/>
      </c>
      <c r="BU118" s="51">
        <f>+BU116*BU117</f>
        <v/>
      </c>
      <c r="BV118" s="51">
        <f>+BV116*BV117</f>
        <v/>
      </c>
      <c r="BW118" s="51">
        <f>+BW116*BW117</f>
        <v/>
      </c>
      <c r="BX118" s="51">
        <f>+BX116*BX117</f>
        <v/>
      </c>
      <c r="BY118" s="51">
        <f>+BY116*BY117</f>
        <v/>
      </c>
      <c r="BZ118" s="51">
        <f>+BZ116*BZ117</f>
        <v/>
      </c>
      <c r="CA118" s="51">
        <f>+CA116*CA117</f>
        <v/>
      </c>
      <c r="CB118" s="51">
        <f>+CB116*CB117</f>
        <v/>
      </c>
      <c r="CC118" s="51">
        <f>+CC116*CC117</f>
        <v/>
      </c>
      <c r="CD118" s="51">
        <f>+CD116*CD117</f>
        <v/>
      </c>
      <c r="CE118" s="51">
        <f>+CE116*CE117</f>
        <v/>
      </c>
      <c r="CF118" s="51">
        <f>+CF116*CF117</f>
        <v/>
      </c>
      <c r="CG118" s="51">
        <f>+CG116*CG117</f>
        <v/>
      </c>
      <c r="CH118" s="51">
        <f>+CH116*CH117</f>
        <v/>
      </c>
      <c r="CI118" s="51">
        <f>+CI116*CI117</f>
        <v/>
      </c>
      <c r="CJ118" s="51">
        <f>+CJ116*CJ117</f>
        <v/>
      </c>
      <c r="CK118" s="51">
        <f>+CK116*CK117</f>
        <v/>
      </c>
      <c r="CL118" s="51">
        <f>+CL116*CL117</f>
        <v/>
      </c>
      <c r="CM118" s="51">
        <f>+CM116*CM117</f>
        <v/>
      </c>
      <c r="CN118" s="51">
        <f>+CN116*CN117</f>
        <v/>
      </c>
      <c r="CO118" s="51">
        <f>+CO116*CO117</f>
        <v/>
      </c>
      <c r="CP118" s="51">
        <f>+CP116*CP117</f>
        <v/>
      </c>
      <c r="CQ118" s="51">
        <f>+CQ116*CQ117</f>
        <v/>
      </c>
      <c r="CR118" s="51">
        <f>+CR116*CR117</f>
        <v/>
      </c>
      <c r="CS118" s="51">
        <f>+CS116*CS117</f>
        <v/>
      </c>
      <c r="CT118" s="51">
        <f>+CT116*CT117</f>
        <v/>
      </c>
      <c r="CU118" s="51">
        <f>+CU116*CU117</f>
        <v/>
      </c>
      <c r="CV118" s="51">
        <f>+CV116*CV117</f>
        <v/>
      </c>
      <c r="CW118" s="51">
        <f>+CW116*CW117</f>
        <v/>
      </c>
      <c r="CX118" s="51">
        <f>+CX116*CX117</f>
        <v/>
      </c>
      <c r="CY118" s="51">
        <f>+CY116*CY117</f>
        <v/>
      </c>
      <c r="CZ118" s="51">
        <f>+CZ116*CZ117</f>
        <v/>
      </c>
      <c r="DA118" s="51">
        <f>+DA116*DA117</f>
        <v/>
      </c>
      <c r="DB118" s="51">
        <f>+DB116*DB117</f>
        <v/>
      </c>
      <c r="DC118" s="51">
        <f>+DC116*DC117</f>
        <v/>
      </c>
      <c r="DD118" s="51">
        <f>+DD116*DD117</f>
        <v/>
      </c>
      <c r="DE118" s="51">
        <f>+DE116*DE117</f>
        <v/>
      </c>
      <c r="DF118" s="51">
        <f>+DF116*DF117</f>
        <v/>
      </c>
      <c r="DG118" s="51">
        <f>+DG116*DG117</f>
        <v/>
      </c>
      <c r="DH118" s="51">
        <f>+DH116*DH117</f>
        <v/>
      </c>
      <c r="DI118" s="51">
        <f>+DI116*DI117</f>
        <v/>
      </c>
      <c r="DJ118" s="51">
        <f>+DJ116*DJ117</f>
        <v/>
      </c>
      <c r="DK118" s="51">
        <f>+DK116*DK117</f>
        <v/>
      </c>
      <c r="DL118" s="51">
        <f>+DL116*DL117</f>
        <v/>
      </c>
      <c r="DM118" s="51">
        <f>+DM116*DM117</f>
        <v/>
      </c>
      <c r="DN118" s="51">
        <f>+DN116*DN117</f>
        <v/>
      </c>
      <c r="DO118" s="51">
        <f>+DO116*DO117</f>
        <v/>
      </c>
      <c r="DP118" s="51">
        <f>+DP116*DP117</f>
        <v/>
      </c>
      <c r="DQ118" s="51">
        <f>+DQ116*DQ117</f>
        <v/>
      </c>
      <c r="DR118" s="51">
        <f>+DR116*DR117</f>
        <v/>
      </c>
    </row>
    <row r="119" hidden="1" outlineLevel="1" ht="4.5" customHeight="1"/>
    <row r="120" collapsed="1" ht="15.75" customHeight="1">
      <c r="B120" s="56" t="inlineStr">
        <is>
          <t>Total Revenue</t>
        </is>
      </c>
      <c r="C120" s="56" t="n"/>
      <c r="E120" s="57">
        <f>+SUMIFS(E$13:E$58,$C$13:$C$58,$B$110)</f>
        <v/>
      </c>
      <c r="F120" s="57">
        <f>+SUM(F114,F118)</f>
        <v/>
      </c>
      <c r="G120" s="57">
        <f>+SUM(G114,G118)</f>
        <v/>
      </c>
      <c r="H120" s="57">
        <f>+SUM(H114,H118)</f>
        <v/>
      </c>
      <c r="I120" s="57">
        <f>+SUM(I114,I118)</f>
        <v/>
      </c>
      <c r="J120" s="57">
        <f>+SUM(J114,J118)</f>
        <v/>
      </c>
      <c r="K120" s="57">
        <f>+SUM(K114,K118)</f>
        <v/>
      </c>
      <c r="L120" s="57">
        <f>+SUM(L114,L118)</f>
        <v/>
      </c>
      <c r="M120" s="57">
        <f>+SUM(M114,M118)</f>
        <v/>
      </c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  <c r="AA120" s="49" t="n"/>
      <c r="AB120" s="49" t="n"/>
      <c r="AC120" s="49" t="n"/>
      <c r="AD120" s="49" t="n"/>
      <c r="AE120" s="49" t="n"/>
      <c r="AF120" s="49" t="n"/>
      <c r="AG120" s="49" t="n"/>
      <c r="AH120" s="49" t="n"/>
      <c r="AI120" s="49" t="n"/>
      <c r="AJ120" s="49" t="n"/>
      <c r="AK120" s="49" t="n"/>
      <c r="AL120" s="49" t="n"/>
      <c r="AM120" s="49" t="n"/>
      <c r="AN120" s="49" t="n"/>
      <c r="AO120" s="49" t="n"/>
      <c r="AP120" s="49" t="n"/>
      <c r="AQ120" s="49" t="n"/>
      <c r="AR120" s="49" t="n"/>
      <c r="AS120" s="49" t="n"/>
      <c r="AT120" s="49" t="n"/>
      <c r="AU120" s="49" t="n"/>
      <c r="AV120" s="49" t="n"/>
      <c r="AW120" s="49" t="n"/>
      <c r="AX120" s="49" t="n"/>
      <c r="AY120" s="49" t="n"/>
      <c r="AZ120" s="49" t="n"/>
      <c r="BA120" s="49" t="n"/>
      <c r="BB120" s="49" t="n"/>
      <c r="BC120" s="49" t="n"/>
      <c r="BD120" s="49" t="n"/>
      <c r="BE120" s="49" t="n"/>
      <c r="BF120" s="49" t="n"/>
      <c r="BG120" s="49" t="n"/>
      <c r="BH120" s="49" t="n"/>
      <c r="BI120" s="49" t="n"/>
      <c r="BJ120" s="49" t="n"/>
      <c r="BK120" s="49" t="n"/>
      <c r="BL120" s="49" t="n"/>
      <c r="BM120" s="49" t="n"/>
      <c r="BN120" s="49" t="n"/>
      <c r="BO120" s="49" t="n"/>
      <c r="BP120" s="49" t="n"/>
      <c r="BQ120" s="49" t="n"/>
      <c r="BR120" s="49" t="n"/>
      <c r="BS120" s="49" t="n"/>
      <c r="BT120" s="49" t="n"/>
      <c r="BU120" s="49" t="n"/>
      <c r="BV120" s="49" t="n"/>
      <c r="BW120" s="49" t="n"/>
      <c r="BX120" s="49" t="n"/>
      <c r="BY120" s="49" t="n"/>
      <c r="BZ120" s="49" t="n"/>
      <c r="CA120" s="49" t="n"/>
      <c r="CB120" s="49" t="n"/>
      <c r="CC120" s="49" t="n"/>
      <c r="CD120" s="49" t="n"/>
      <c r="CE120" s="49" t="n"/>
      <c r="CF120" s="49" t="n"/>
      <c r="CG120" s="49" t="n"/>
      <c r="CH120" s="49" t="n"/>
      <c r="CI120" s="49" t="n"/>
      <c r="CJ120" s="49" t="n"/>
      <c r="CK120" s="49" t="n"/>
      <c r="CL120" s="49" t="n"/>
      <c r="CM120" s="49" t="n"/>
      <c r="CN120" s="49" t="n"/>
      <c r="CO120" s="49" t="n"/>
      <c r="CP120" s="49" t="n"/>
      <c r="CQ120" s="49" t="n"/>
      <c r="CR120" s="49" t="n"/>
      <c r="CS120" s="49" t="n"/>
      <c r="CT120" s="49" t="n"/>
      <c r="CU120" s="49" t="n"/>
      <c r="CV120" s="49" t="n"/>
      <c r="CW120" s="49" t="n"/>
      <c r="CX120" s="49" t="n"/>
      <c r="CY120" s="49" t="n"/>
      <c r="CZ120" s="49" t="n"/>
      <c r="DA120" s="49" t="n"/>
      <c r="DB120" s="49" t="n"/>
      <c r="DC120" s="49" t="n"/>
      <c r="DD120" s="49" t="n"/>
      <c r="DE120" s="49" t="n"/>
      <c r="DF120" s="49" t="n"/>
      <c r="DG120" s="49" t="n"/>
      <c r="DH120" s="49" t="n"/>
      <c r="DI120" s="49" t="n"/>
      <c r="DJ120" s="49" t="n"/>
      <c r="DK120" s="49" t="n"/>
      <c r="DL120" s="49" t="n"/>
      <c r="DM120" s="49" t="n"/>
      <c r="DN120" s="49" t="n"/>
      <c r="DO120" s="49" t="n"/>
      <c r="DP120" s="49" t="n"/>
      <c r="DQ120" s="49" t="n"/>
      <c r="DR120" s="49" t="n"/>
    </row>
    <row r="121" ht="4.5" customHeight="1"/>
    <row r="122" ht="15.75" customHeight="1">
      <c r="B122" s="56" t="inlineStr">
        <is>
          <t>Total Licensing Revenue</t>
        </is>
      </c>
      <c r="C122" s="56" t="n"/>
      <c r="E122" s="57">
        <f>+SUMIFS($O122:$DR122,$O$7:$DR$7,E$7)</f>
        <v/>
      </c>
      <c r="F122" s="57">
        <f>+SUMIFS($O122:$DR122,$O$7:$DR$7,F$7)</f>
        <v/>
      </c>
      <c r="G122" s="57">
        <f>+SUMIFS($O122:$DR122,$O$7:$DR$7,G$7)</f>
        <v/>
      </c>
      <c r="H122" s="57">
        <f>+SUMIFS($O122:$DR122,$O$7:$DR$7,H$7)</f>
        <v/>
      </c>
      <c r="I122" s="57">
        <f>+SUMIFS($O122:$DR122,$O$7:$DR$7,I$7)</f>
        <v/>
      </c>
      <c r="J122" s="99">
        <f>+SUM(J84,J96,J108,J120)</f>
        <v/>
      </c>
      <c r="K122" s="99">
        <f>+SUM(K84,K96,K108,K120)</f>
        <v/>
      </c>
      <c r="L122" s="99">
        <f>+SUM(L84,L96,L108,L120)</f>
        <v/>
      </c>
      <c r="M122" s="99">
        <f>+SUM(M84,M96,M108,M120)</f>
        <v/>
      </c>
      <c r="O122" s="99">
        <f>+SUM(O60,O82,O94,O106,O118)</f>
        <v/>
      </c>
      <c r="P122" s="99">
        <f>+SUM(P60,P82,P94,P106,P118)</f>
        <v/>
      </c>
      <c r="Q122" s="99">
        <f>+SUM(Q60,Q82,Q94,Q106,Q118)</f>
        <v/>
      </c>
      <c r="R122" s="99">
        <f>+SUM(R60,R82,R94,R106,R118)</f>
        <v/>
      </c>
      <c r="S122" s="99">
        <f>+SUM(S60,S82,S94,S106,S118)</f>
        <v/>
      </c>
      <c r="T122" s="99">
        <f>+SUM(T60,T82,T94,T106,T118)</f>
        <v/>
      </c>
      <c r="U122" s="99">
        <f>+SUM(U60,U82,U94,U106,U118)</f>
        <v/>
      </c>
      <c r="V122" s="99">
        <f>+SUM(V60,V82,V94,V106,V118)</f>
        <v/>
      </c>
      <c r="W122" s="99">
        <f>+SUM(W60,W82,W94,W106,W118)</f>
        <v/>
      </c>
      <c r="X122" s="99">
        <f>+SUM(X60,X82,X94,X106,X118)</f>
        <v/>
      </c>
      <c r="Y122" s="99">
        <f>+SUM(Y60,Y82,Y94,Y106,Y118)</f>
        <v/>
      </c>
      <c r="Z122" s="99">
        <f>+SUM(Z60,Z82,Z94,Z106,Z118)</f>
        <v/>
      </c>
      <c r="AA122" s="99">
        <f>+SUM(AA60,AA82,AA94,AA106,AA118)</f>
        <v/>
      </c>
      <c r="AB122" s="99">
        <f>+SUM(AB60,AB82,AB94,AB106,AB118)</f>
        <v/>
      </c>
      <c r="AC122" s="99">
        <f>+SUM(AC60,AC82,AC94,AC106,AC118)</f>
        <v/>
      </c>
      <c r="AD122" s="99">
        <f>+SUM(AD60,AD82,AD94,AD106,AD118)</f>
        <v/>
      </c>
      <c r="AE122" s="99">
        <f>+SUM(AE60,AE82,AE94,AE106,AE118)</f>
        <v/>
      </c>
      <c r="AF122" s="99">
        <f>+SUM(AF60,AF82,AF94,AF106,AF118)</f>
        <v/>
      </c>
      <c r="AG122" s="99">
        <f>+SUM(AG60,AG82,AG94,AG106,AG118)</f>
        <v/>
      </c>
      <c r="AH122" s="99">
        <f>+SUM(AH60,AH82,AH94,AH106,AH118)</f>
        <v/>
      </c>
      <c r="AI122" s="99">
        <f>+SUM(AI60,AI82,AI94,AI106,AI118)</f>
        <v/>
      </c>
      <c r="AJ122" s="99">
        <f>+SUM(AJ60,AJ82,AJ94,AJ106,AJ118)</f>
        <v/>
      </c>
      <c r="AK122" s="99">
        <f>+SUM(AK60,AK82,AK94,AK106,AK118)</f>
        <v/>
      </c>
      <c r="AL122" s="99">
        <f>+SUM(AL60,AL82,AL94,AL106,AL118)</f>
        <v/>
      </c>
      <c r="AM122" s="99">
        <f>+SUM(AM60,AM82,AM94,AM106,AM118)</f>
        <v/>
      </c>
      <c r="AN122" s="99">
        <f>+SUM(AN60,AN82,AN94,AN106,AN118)</f>
        <v/>
      </c>
      <c r="AO122" s="99">
        <f>+SUM(AO60,AO82,AO94,AO106,AO118)</f>
        <v/>
      </c>
      <c r="AP122" s="99">
        <f>+SUM(AP60,AP82,AP94,AP106,AP118)</f>
        <v/>
      </c>
      <c r="AQ122" s="99">
        <f>+SUM(AQ60,AQ82,AQ94,AQ106,AQ118)</f>
        <v/>
      </c>
      <c r="AR122" s="99">
        <f>+SUM(AR60,AR82,AR94,AR106,AR118)</f>
        <v/>
      </c>
      <c r="AS122" s="99">
        <f>+SUM(AS60,AS82,AS94,AS106,AS118)</f>
        <v/>
      </c>
      <c r="AT122" s="99">
        <f>+SUM(AT60,AT82,AT94,AT106,AT118)</f>
        <v/>
      </c>
      <c r="AU122" s="99">
        <f>+SUM(AU60,AU82,AU94,AU106,AU118)</f>
        <v/>
      </c>
      <c r="AV122" s="99">
        <f>+SUM(AV60,AV82,AV94,AV106,AV118)</f>
        <v/>
      </c>
      <c r="AW122" s="99">
        <f>+SUM(AW60,AW82,AW94,AW106,AW118)</f>
        <v/>
      </c>
      <c r="AX122" s="99">
        <f>+SUM(AX60,AX82,AX94,AX106,AX118)</f>
        <v/>
      </c>
      <c r="AY122" s="99">
        <f>+SUM(AY60,AY82,AY94,AY106,AY118)</f>
        <v/>
      </c>
      <c r="AZ122" s="99">
        <f>+SUM(AZ60,AZ82,AZ94,AZ106,AZ118)</f>
        <v/>
      </c>
      <c r="BA122" s="99">
        <f>+SUM(BA60,BA82,BA94,BA106,BA118)</f>
        <v/>
      </c>
      <c r="BB122" s="99">
        <f>+SUM(BB60,BB82,BB94,BB106,BB118)</f>
        <v/>
      </c>
      <c r="BC122" s="99">
        <f>+SUM(BC60,BC82,BC94,BC106,BC118)</f>
        <v/>
      </c>
      <c r="BD122" s="99">
        <f>+SUM(BD60,BD82,BD94,BD106,BD118)</f>
        <v/>
      </c>
      <c r="BE122" s="99">
        <f>+SUM(BE60,BE82,BE94,BE106,BE118)</f>
        <v/>
      </c>
      <c r="BF122" s="99">
        <f>+SUM(BF60,BF82,BF94,BF106,BF118)</f>
        <v/>
      </c>
      <c r="BG122" s="99">
        <f>+SUM(BG60,BG82,BG94,BG106,BG118)</f>
        <v/>
      </c>
      <c r="BH122" s="99">
        <f>+SUM(BH60,BH82,BH94,BH106,BH118)</f>
        <v/>
      </c>
      <c r="BI122" s="99">
        <f>+SUM(BI60,BI82,BI94,BI106,BI118)</f>
        <v/>
      </c>
      <c r="BJ122" s="99">
        <f>+SUM(BJ60,BJ82,BJ94,BJ106,BJ118)</f>
        <v/>
      </c>
      <c r="BK122" s="99">
        <f>+SUM(BK60,BK82,BK94,BK106,BK118)</f>
        <v/>
      </c>
      <c r="BL122" s="99">
        <f>+SUM(BL60,BL82,BL94,BL106,BL118)</f>
        <v/>
      </c>
      <c r="BM122" s="99">
        <f>+SUM(BM60,BM82,BM94,BM106,BM118)</f>
        <v/>
      </c>
      <c r="BN122" s="99">
        <f>+SUM(BN60,BN82,BN94,BN106,BN118)</f>
        <v/>
      </c>
      <c r="BO122" s="99">
        <f>+SUM(BO60,BO82,BO94,BO106,BO118)</f>
        <v/>
      </c>
      <c r="BP122" s="99">
        <f>+SUM(BP60,BP82,BP94,BP106,BP118)</f>
        <v/>
      </c>
      <c r="BQ122" s="99">
        <f>+SUM(BQ60,BQ82,BQ94,BQ106,BQ118)</f>
        <v/>
      </c>
      <c r="BR122" s="99">
        <f>+SUM(BR60,BR82,BR94,BR106,BR118)</f>
        <v/>
      </c>
      <c r="BS122" s="99">
        <f>+SUM(BS60,BS82,BS94,BS106,BS118)</f>
        <v/>
      </c>
      <c r="BT122" s="99">
        <f>+SUM(BT60,BT82,BT94,BT106,BT118)</f>
        <v/>
      </c>
      <c r="BU122" s="99">
        <f>+SUM(BU60,BU82,BU94,BU106,BU118)</f>
        <v/>
      </c>
      <c r="BV122" s="99">
        <f>+SUM(BV60,BV82,BV94,BV106,BV118)</f>
        <v/>
      </c>
      <c r="BW122" s="57">
        <f>+SUMIFS($E122:$M122,$E$7:$M$7,BW$7)*BW123</f>
        <v/>
      </c>
      <c r="BX122" s="57">
        <f>+SUMIFS($E122:$M122,$E$7:$M$7,BX$7)*BX123</f>
        <v/>
      </c>
      <c r="BY122" s="57">
        <f>+SUMIFS($E122:$M122,$E$7:$M$7,BY$7)*BY123</f>
        <v/>
      </c>
      <c r="BZ122" s="57">
        <f>+SUMIFS($E122:$M122,$E$7:$M$7,BZ$7)*BZ123</f>
        <v/>
      </c>
      <c r="CA122" s="57">
        <f>+SUMIFS($E122:$M122,$E$7:$M$7,CA$7)*CA123</f>
        <v/>
      </c>
      <c r="CB122" s="57">
        <f>+SUMIFS($E122:$M122,$E$7:$M$7,CB$7)*CB123</f>
        <v/>
      </c>
      <c r="CC122" s="57">
        <f>+SUMIFS($E122:$M122,$E$7:$M$7,CC$7)*CC123</f>
        <v/>
      </c>
      <c r="CD122" s="57">
        <f>+SUMIFS($E122:$M122,$E$7:$M$7,CD$7)*CD123</f>
        <v/>
      </c>
      <c r="CE122" s="57">
        <f>+SUMIFS($E122:$M122,$E$7:$M$7,CE$7)*CE123</f>
        <v/>
      </c>
      <c r="CF122" s="57">
        <f>+SUMIFS($E122:$M122,$E$7:$M$7,CF$7)*CF123</f>
        <v/>
      </c>
      <c r="CG122" s="57">
        <f>+SUMIFS($E122:$M122,$E$7:$M$7,CG$7)*CG123</f>
        <v/>
      </c>
      <c r="CH122" s="57">
        <f>+SUMIFS($E122:$M122,$E$7:$M$7,CH$7)*CH123</f>
        <v/>
      </c>
      <c r="CI122" s="57">
        <f>+SUMIFS($E122:$M122,$E$7:$M$7,CI$7)*CI123</f>
        <v/>
      </c>
      <c r="CJ122" s="57">
        <f>+SUMIFS($E122:$M122,$E$7:$M$7,CJ$7)*CJ123</f>
        <v/>
      </c>
      <c r="CK122" s="57">
        <f>+SUMIFS($E122:$M122,$E$7:$M$7,CK$7)*CK123</f>
        <v/>
      </c>
      <c r="CL122" s="57">
        <f>+SUMIFS($E122:$M122,$E$7:$M$7,CL$7)*CL123</f>
        <v/>
      </c>
      <c r="CM122" s="57">
        <f>+SUMIFS($E122:$M122,$E$7:$M$7,CM$7)*CM123</f>
        <v/>
      </c>
      <c r="CN122" s="57">
        <f>+SUMIFS($E122:$M122,$E$7:$M$7,CN$7)*CN123</f>
        <v/>
      </c>
      <c r="CO122" s="57">
        <f>+SUMIFS($E122:$M122,$E$7:$M$7,CO$7)*CO123</f>
        <v/>
      </c>
      <c r="CP122" s="57">
        <f>+SUMIFS($E122:$M122,$E$7:$M$7,CP$7)*CP123</f>
        <v/>
      </c>
      <c r="CQ122" s="57">
        <f>+SUMIFS($E122:$M122,$E$7:$M$7,CQ$7)*CQ123</f>
        <v/>
      </c>
      <c r="CR122" s="57">
        <f>+SUMIFS($E122:$M122,$E$7:$M$7,CR$7)*CR123</f>
        <v/>
      </c>
      <c r="CS122" s="57">
        <f>+SUMIFS($E122:$M122,$E$7:$M$7,CS$7)*CS123</f>
        <v/>
      </c>
      <c r="CT122" s="57">
        <f>+SUMIFS($E122:$M122,$E$7:$M$7,CT$7)*CT123</f>
        <v/>
      </c>
      <c r="CU122" s="57">
        <f>+SUMIFS($E122:$M122,$E$7:$M$7,CU$7)*CU123</f>
        <v/>
      </c>
      <c r="CV122" s="57">
        <f>+SUMIFS($E122:$M122,$E$7:$M$7,CV$7)*CV123</f>
        <v/>
      </c>
      <c r="CW122" s="57">
        <f>+SUMIFS($E122:$M122,$E$7:$M$7,CW$7)*CW123</f>
        <v/>
      </c>
      <c r="CX122" s="57">
        <f>+SUMIFS($E122:$M122,$E$7:$M$7,CX$7)*CX123</f>
        <v/>
      </c>
      <c r="CY122" s="57">
        <f>+SUMIFS($E122:$M122,$E$7:$M$7,CY$7)*CY123</f>
        <v/>
      </c>
      <c r="CZ122" s="57">
        <f>+SUMIFS($E122:$M122,$E$7:$M$7,CZ$7)*CZ123</f>
        <v/>
      </c>
      <c r="DA122" s="57">
        <f>+SUMIFS($E122:$M122,$E$7:$M$7,DA$7)*DA123</f>
        <v/>
      </c>
      <c r="DB122" s="57">
        <f>+SUMIFS($E122:$M122,$E$7:$M$7,DB$7)*DB123</f>
        <v/>
      </c>
      <c r="DC122" s="57">
        <f>+SUMIFS($E122:$M122,$E$7:$M$7,DC$7)*DC123</f>
        <v/>
      </c>
      <c r="DD122" s="57">
        <f>+SUMIFS($E122:$M122,$E$7:$M$7,DD$7)*DD123</f>
        <v/>
      </c>
      <c r="DE122" s="57">
        <f>+SUMIFS($E122:$M122,$E$7:$M$7,DE$7)*DE123</f>
        <v/>
      </c>
      <c r="DF122" s="57">
        <f>+SUMIFS($E122:$M122,$E$7:$M$7,DF$7)*DF123</f>
        <v/>
      </c>
      <c r="DG122" s="57">
        <f>+SUMIFS($E122:$M122,$E$7:$M$7,DG$7)*DG123</f>
        <v/>
      </c>
      <c r="DH122" s="57">
        <f>+SUMIFS($E122:$M122,$E$7:$M$7,DH$7)*DH123</f>
        <v/>
      </c>
      <c r="DI122" s="57">
        <f>+SUMIFS($E122:$M122,$E$7:$M$7,DI$7)*DI123</f>
        <v/>
      </c>
      <c r="DJ122" s="57">
        <f>+SUMIFS($E122:$M122,$E$7:$M$7,DJ$7)*DJ123</f>
        <v/>
      </c>
      <c r="DK122" s="57">
        <f>+SUMIFS($E122:$M122,$E$7:$M$7,DK$7)*DK123</f>
        <v/>
      </c>
      <c r="DL122" s="57">
        <f>+SUMIFS($E122:$M122,$E$7:$M$7,DL$7)*DL123</f>
        <v/>
      </c>
      <c r="DM122" s="57">
        <f>+SUMIFS($E122:$M122,$E$7:$M$7,DM$7)*DM123</f>
        <v/>
      </c>
      <c r="DN122" s="57">
        <f>+SUMIFS($E122:$M122,$E$7:$M$7,DN$7)*DN123</f>
        <v/>
      </c>
      <c r="DO122" s="57">
        <f>+SUMIFS($E122:$M122,$E$7:$M$7,DO$7)*DO123</f>
        <v/>
      </c>
      <c r="DP122" s="57">
        <f>+SUMIFS($E122:$M122,$E$7:$M$7,DP$7)*DP123</f>
        <v/>
      </c>
      <c r="DQ122" s="57">
        <f>+SUMIFS($E122:$M122,$E$7:$M$7,DQ$7)*DQ123</f>
        <v/>
      </c>
      <c r="DR122" s="57">
        <f>+SUMIFS($E122:$M122,$E$7:$M$7,DR$7)*DR123</f>
        <v/>
      </c>
    </row>
    <row r="123" ht="15.75" customHeight="1">
      <c r="B123" s="66" t="inlineStr">
        <is>
          <t>% Seasonality</t>
        </is>
      </c>
      <c r="E123" s="100">
        <f>+E122/SUMIFS($O122:$DR122,$O$7:$DR$7,E$7)</f>
        <v/>
      </c>
      <c r="F123" s="100">
        <f>+F122/SUMIFS($O122:$DR122,$O$7:$DR$7,F$7)</f>
        <v/>
      </c>
      <c r="G123" s="100">
        <f>+G122/SUMIFS($O122:$DR122,$O$7:$DR$7,G$7)</f>
        <v/>
      </c>
      <c r="H123" s="100">
        <f>+H122/SUMIFS($O122:$DR122,$O$7:$DR$7,H$7)</f>
        <v/>
      </c>
      <c r="I123" s="100">
        <f>+I122/SUMIFS($O122:$DR122,$O$7:$DR$7,I$7)</f>
        <v/>
      </c>
      <c r="J123" s="100">
        <f>+J122/SUMIFS($O122:$DR122,$O$7:$DR$7,J$7)</f>
        <v/>
      </c>
      <c r="K123" s="100">
        <f>+K122/SUMIFS($O122:$DR122,$O$7:$DR$7,K$7)</f>
        <v/>
      </c>
      <c r="L123" s="100">
        <f>+L122/SUMIFS($O122:$DR122,$O$7:$DR$7,L$7)</f>
        <v/>
      </c>
      <c r="M123" s="100">
        <f>+M122/SUMIFS($O122:$DR122,$O$7:$DR$7,M$7)</f>
        <v/>
      </c>
      <c r="O123" s="100">
        <f>+O122/SUMIFS($O122:$DR122,$O$7:$DR$7,O$7)</f>
        <v/>
      </c>
      <c r="P123" s="100">
        <f>+P122/SUMIFS($O122:$DR122,$O$7:$DR$7,P$7)</f>
        <v/>
      </c>
      <c r="Q123" s="100">
        <f>+Q122/SUMIFS($O122:$DR122,$O$7:$DR$7,Q$7)</f>
        <v/>
      </c>
      <c r="R123" s="100">
        <f>+R122/SUMIFS($O122:$DR122,$O$7:$DR$7,R$7)</f>
        <v/>
      </c>
      <c r="S123" s="100">
        <f>+S122/SUMIFS($O122:$DR122,$O$7:$DR$7,S$7)</f>
        <v/>
      </c>
      <c r="T123" s="100">
        <f>+T122/SUMIFS($O122:$DR122,$O$7:$DR$7,T$7)</f>
        <v/>
      </c>
      <c r="U123" s="100">
        <f>+U122/SUMIFS($O122:$DR122,$O$7:$DR$7,U$7)</f>
        <v/>
      </c>
      <c r="V123" s="100">
        <f>+V122/SUMIFS($O122:$DR122,$O$7:$DR$7,V$7)</f>
        <v/>
      </c>
      <c r="W123" s="100">
        <f>+W122/SUMIFS($O122:$DR122,$O$7:$DR$7,W$7)</f>
        <v/>
      </c>
      <c r="X123" s="100">
        <f>+X122/SUMIFS($O122:$DR122,$O$7:$DR$7,X$7)</f>
        <v/>
      </c>
      <c r="Y123" s="100">
        <f>+Y122/SUMIFS($O122:$DR122,$O$7:$DR$7,Y$7)</f>
        <v/>
      </c>
      <c r="Z123" s="100">
        <f>+Z122/SUMIFS($O122:$DR122,$O$7:$DR$7,Z$7)</f>
        <v/>
      </c>
      <c r="AA123" s="100">
        <f>+AA122/SUMIFS($O122:$DR122,$O$7:$DR$7,AA$7)</f>
        <v/>
      </c>
      <c r="AB123" s="100">
        <f>+AB122/SUMIFS($O122:$DR122,$O$7:$DR$7,AB$7)</f>
        <v/>
      </c>
      <c r="AC123" s="100">
        <f>+AC122/SUMIFS($O122:$DR122,$O$7:$DR$7,AC$7)</f>
        <v/>
      </c>
      <c r="AD123" s="100">
        <f>+AD122/SUMIFS($O122:$DR122,$O$7:$DR$7,AD$7)</f>
        <v/>
      </c>
      <c r="AE123" s="100">
        <f>+AE122/SUMIFS($O122:$DR122,$O$7:$DR$7,AE$7)</f>
        <v/>
      </c>
      <c r="AF123" s="100">
        <f>+AF122/SUMIFS($O122:$DR122,$O$7:$DR$7,AF$7)</f>
        <v/>
      </c>
      <c r="AG123" s="100">
        <f>+AG122/SUMIFS($O122:$DR122,$O$7:$DR$7,AG$7)</f>
        <v/>
      </c>
      <c r="AH123" s="100">
        <f>+AH122/SUMIFS($O122:$DR122,$O$7:$DR$7,AH$7)</f>
        <v/>
      </c>
      <c r="AI123" s="100">
        <f>+AI122/SUMIFS($O122:$DR122,$O$7:$DR$7,AI$7)</f>
        <v/>
      </c>
      <c r="AJ123" s="100">
        <f>+AJ122/SUMIFS($O122:$DR122,$O$7:$DR$7,AJ$7)</f>
        <v/>
      </c>
      <c r="AK123" s="100">
        <f>+AK122/SUMIFS($O122:$DR122,$O$7:$DR$7,AK$7)</f>
        <v/>
      </c>
      <c r="AL123" s="100">
        <f>+AL122/SUMIFS($O122:$DR122,$O$7:$DR$7,AL$7)</f>
        <v/>
      </c>
      <c r="AM123" s="100">
        <f>+AM122/SUMIFS($O122:$DR122,$O$7:$DR$7,AM$7)</f>
        <v/>
      </c>
      <c r="AN123" s="100">
        <f>+AN122/SUMIFS($O122:$DR122,$O$7:$DR$7,AN$7)</f>
        <v/>
      </c>
      <c r="AO123" s="100">
        <f>+AO122/SUMIFS($O122:$DR122,$O$7:$DR$7,AO$7)</f>
        <v/>
      </c>
      <c r="AP123" s="100">
        <f>+AP122/SUMIFS($O122:$DR122,$O$7:$DR$7,AP$7)</f>
        <v/>
      </c>
      <c r="AQ123" s="100">
        <f>+AQ122/SUMIFS($O122:$DR122,$O$7:$DR$7,AQ$7)</f>
        <v/>
      </c>
      <c r="AR123" s="100">
        <f>+AR122/SUMIFS($O122:$DR122,$O$7:$DR$7,AR$7)</f>
        <v/>
      </c>
      <c r="AS123" s="100">
        <f>+AS122/SUMIFS($O122:$DR122,$O$7:$DR$7,AS$7)</f>
        <v/>
      </c>
      <c r="AT123" s="100">
        <f>+AT122/SUMIFS($O122:$DR122,$O$7:$DR$7,AT$7)</f>
        <v/>
      </c>
      <c r="AU123" s="100">
        <f>+AU122/SUMIFS($O122:$DR122,$O$7:$DR$7,AU$7)</f>
        <v/>
      </c>
      <c r="AV123" s="100">
        <f>+AV122/SUMIFS($O122:$DR122,$O$7:$DR$7,AV$7)</f>
        <v/>
      </c>
      <c r="AW123" s="100">
        <f>+AW122/SUMIFS($O122:$DR122,$O$7:$DR$7,AW$7)</f>
        <v/>
      </c>
      <c r="AX123" s="100">
        <f>+AX122/SUMIFS($O122:$DR122,$O$7:$DR$7,AX$7)</f>
        <v/>
      </c>
      <c r="AY123" s="100">
        <f>+AY122/SUMIFS($O122:$DR122,$O$7:$DR$7,AY$7)</f>
        <v/>
      </c>
      <c r="AZ123" s="100">
        <f>+AZ122/SUMIFS($O122:$DR122,$O$7:$DR$7,AZ$7)</f>
        <v/>
      </c>
      <c r="BA123" s="100">
        <f>+BA122/SUMIFS($O122:$DR122,$O$7:$DR$7,BA$7)</f>
        <v/>
      </c>
      <c r="BB123" s="100">
        <f>+BB122/SUMIFS($O122:$DR122,$O$7:$DR$7,BB$7)</f>
        <v/>
      </c>
      <c r="BC123" s="100">
        <f>+BC122/SUMIFS($O122:$DR122,$O$7:$DR$7,BC$7)</f>
        <v/>
      </c>
      <c r="BD123" s="100">
        <f>+BD122/SUMIFS($O122:$DR122,$O$7:$DR$7,BD$7)</f>
        <v/>
      </c>
      <c r="BE123" s="100">
        <f>+BE122/SUMIFS($O122:$DR122,$O$7:$DR$7,BE$7)</f>
        <v/>
      </c>
      <c r="BF123" s="100">
        <f>+BF122/SUMIFS($O122:$DR122,$O$7:$DR$7,BF$7)</f>
        <v/>
      </c>
      <c r="BG123" s="100">
        <f>+BG122/SUMIFS($O122:$DR122,$O$7:$DR$7,BG$7)</f>
        <v/>
      </c>
      <c r="BH123" s="100">
        <f>+BH122/SUMIFS($O122:$DR122,$O$7:$DR$7,BH$7)</f>
        <v/>
      </c>
      <c r="BI123" s="100">
        <f>+BI122/SUMIFS($O122:$DR122,$O$7:$DR$7,BI$7)</f>
        <v/>
      </c>
      <c r="BJ123" s="100">
        <f>+BJ122/SUMIFS($O122:$DR122,$O$7:$DR$7,BJ$7)</f>
        <v/>
      </c>
      <c r="BK123" s="100">
        <f>+BK122/SUMIFS($O122:$DR122,$O$7:$DR$7,BK$7)</f>
        <v/>
      </c>
      <c r="BL123" s="100">
        <f>+BL122/SUMIFS($O122:$DR122,$O$7:$DR$7,BL$7)</f>
        <v/>
      </c>
      <c r="BM123" s="100">
        <f>+BM122/SUMIFS($O122:$DR122,$O$7:$DR$7,BM$7)</f>
        <v/>
      </c>
      <c r="BN123" s="100">
        <f>+BN122/SUMIFS($O122:$DR122,$O$7:$DR$7,BN$7)</f>
        <v/>
      </c>
      <c r="BO123" s="100">
        <f>+BO122/SUMIFS($O122:$DR122,$O$7:$DR$7,BO$7)</f>
        <v/>
      </c>
      <c r="BP123" s="100">
        <f>+BP122/SUMIFS($O122:$DR122,$O$7:$DR$7,BP$7)</f>
        <v/>
      </c>
      <c r="BQ123" s="100">
        <f>+BQ122/SUMIFS($O122:$DR122,$O$7:$DR$7,BQ$7)</f>
        <v/>
      </c>
      <c r="BR123" s="100">
        <f>+BR122/SUMIFS($O122:$DR122,$O$7:$DR$7,BR$7)</f>
        <v/>
      </c>
      <c r="BS123" s="100">
        <f>+BS122/SUMIFS($O122:$DR122,$O$7:$DR$7,BS$7)</f>
        <v/>
      </c>
      <c r="BT123" s="100">
        <f>+BT122/SUMIFS($O122:$DR122,$O$7:$DR$7,BT$7)</f>
        <v/>
      </c>
      <c r="BU123" s="100">
        <f>+BU122/SUMIFS($O122:$DR122,$O$7:$DR$7,BU$7)</f>
        <v/>
      </c>
      <c r="BV123" s="100">
        <f>+BV122/SUMIFS($O122:$DR122,$O$7:$DR$7,BV$7)</f>
        <v/>
      </c>
      <c r="BW123" s="101">
        <f>+AVERAGE(O123,AA123,AM123,BK123)</f>
        <v/>
      </c>
      <c r="BX123" s="101">
        <f>+AVERAGE(P123,AB123,AN123,BL123)</f>
        <v/>
      </c>
      <c r="BY123" s="101">
        <f>+AVERAGE(Q123,AC123,AO123,BM123)</f>
        <v/>
      </c>
      <c r="BZ123" s="101">
        <f>+AVERAGE(R123,AD123,AP123,BN123)</f>
        <v/>
      </c>
      <c r="CA123" s="101">
        <f>+AVERAGE(S123,AE123,AQ123,BO123)</f>
        <v/>
      </c>
      <c r="CB123" s="101">
        <f>+AVERAGE(T123,AF123,AR123,BP123)</f>
        <v/>
      </c>
      <c r="CC123" s="101">
        <f>+AVERAGE(U123,AG123,AS123,BQ123)</f>
        <v/>
      </c>
      <c r="CD123" s="101">
        <f>+AVERAGE(V123,AH123,AT123,BR123)</f>
        <v/>
      </c>
      <c r="CE123" s="101">
        <f>+AVERAGE(W123,AI123,AU123,BS123)</f>
        <v/>
      </c>
      <c r="CF123" s="101">
        <f>+AVERAGE(X123,AJ123,AV123,BT123)</f>
        <v/>
      </c>
      <c r="CG123" s="101">
        <f>+AVERAGE(Y123,AK123,AW123,BU123)</f>
        <v/>
      </c>
      <c r="CH123" s="101">
        <f>+AVERAGE(Z123,AL123,AX123,BV123)</f>
        <v/>
      </c>
      <c r="CI123" s="101">
        <f>+AVERAGE(AA123,AM123,AY123,BW123)</f>
        <v/>
      </c>
      <c r="CJ123" s="101">
        <f>+AVERAGE(AB123,AN123,AZ123,BX123)</f>
        <v/>
      </c>
      <c r="CK123" s="101">
        <f>+AVERAGE(AC123,AO123,BA123,BY123)</f>
        <v/>
      </c>
      <c r="CL123" s="101">
        <f>+AVERAGE(AD123,AP123,BB123,BZ123)</f>
        <v/>
      </c>
      <c r="CM123" s="101">
        <f>+AVERAGE(AE123,AQ123,BC123,CA123)</f>
        <v/>
      </c>
      <c r="CN123" s="101">
        <f>+AVERAGE(AF123,AR123,BD123,CB123)</f>
        <v/>
      </c>
      <c r="CO123" s="101">
        <f>+AVERAGE(AG123,AS123,BE123,CC123)</f>
        <v/>
      </c>
      <c r="CP123" s="101">
        <f>+AVERAGE(AH123,AT123,BF123,CD123)</f>
        <v/>
      </c>
      <c r="CQ123" s="101">
        <f>+AVERAGE(AI123,AU123,BG123,CE123)</f>
        <v/>
      </c>
      <c r="CR123" s="101">
        <f>+AVERAGE(AJ123,AV123,BH123,CF123)</f>
        <v/>
      </c>
      <c r="CS123" s="101">
        <f>+AVERAGE(AK123,AW123,BI123,CG123)</f>
        <v/>
      </c>
      <c r="CT123" s="101">
        <f>+AVERAGE(AL123,AX123,BJ123,CH123)</f>
        <v/>
      </c>
      <c r="CU123" s="101">
        <f>+AVERAGE(AM123,AY123,BK123,CI123)</f>
        <v/>
      </c>
      <c r="CV123" s="101">
        <f>+AVERAGE(AN123,AZ123,BL123,CJ123)</f>
        <v/>
      </c>
      <c r="CW123" s="101">
        <f>+AVERAGE(AO123,BA123,BM123,CK123)</f>
        <v/>
      </c>
      <c r="CX123" s="101">
        <f>+AVERAGE(AP123,BB123,BN123,CL123)</f>
        <v/>
      </c>
      <c r="CY123" s="101">
        <f>+AVERAGE(AQ123,BC123,BO123,CM123)</f>
        <v/>
      </c>
      <c r="CZ123" s="101">
        <f>+AVERAGE(AR123,BD123,BP123,CN123)</f>
        <v/>
      </c>
      <c r="DA123" s="101">
        <f>+AVERAGE(AS123,BE123,BQ123,CO123)</f>
        <v/>
      </c>
      <c r="DB123" s="101">
        <f>+AVERAGE(AT123,BF123,BR123,CP123)</f>
        <v/>
      </c>
      <c r="DC123" s="101">
        <f>+AVERAGE(AU123,BG123,BS123,CQ123)</f>
        <v/>
      </c>
      <c r="DD123" s="101">
        <f>+AVERAGE(AV123,BH123,BT123,CR123)</f>
        <v/>
      </c>
      <c r="DE123" s="101">
        <f>+AVERAGE(AW123,BI123,BU123,CS123)</f>
        <v/>
      </c>
      <c r="DF123" s="101">
        <f>+AVERAGE(AX123,BJ123,BV123,CT123)</f>
        <v/>
      </c>
      <c r="DG123" s="101">
        <f>+AVERAGE(AY123,BK123,BW123,CU123)</f>
        <v/>
      </c>
      <c r="DH123" s="101">
        <f>+AVERAGE(AZ123,BL123,BX123,CV123)</f>
        <v/>
      </c>
      <c r="DI123" s="101">
        <f>+AVERAGE(BA123,BM123,BY123,CW123)</f>
        <v/>
      </c>
      <c r="DJ123" s="101">
        <f>+AVERAGE(BB123,BN123,BZ123,CX123)</f>
        <v/>
      </c>
      <c r="DK123" s="101">
        <f>+AVERAGE(BC123,BO123,CA123,CY123)</f>
        <v/>
      </c>
      <c r="DL123" s="101">
        <f>+AVERAGE(BD123,BP123,CB123,CZ123)</f>
        <v/>
      </c>
      <c r="DM123" s="101">
        <f>+AVERAGE(BE123,BQ123,CC123,DA123)</f>
        <v/>
      </c>
      <c r="DN123" s="101">
        <f>+AVERAGE(BF123,BR123,CD123,DB123)</f>
        <v/>
      </c>
      <c r="DO123" s="101">
        <f>+AVERAGE(BG123,BS123,CE123,DC123)</f>
        <v/>
      </c>
      <c r="DP123" s="101">
        <f>+AVERAGE(BH123,BT123,CF123,DD123)</f>
        <v/>
      </c>
      <c r="DQ123" s="101">
        <f>+AVERAGE(BI123,BU123,CG123,DE123)</f>
        <v/>
      </c>
      <c r="DR123" s="101">
        <f>+AVERAGE(BJ123,BV123,CH123,DF123)</f>
        <v/>
      </c>
    </row>
    <row r="124" ht="15.75" customHeight="1">
      <c r="B124" s="66" t="inlineStr">
        <is>
          <t>% Contracted</t>
        </is>
      </c>
      <c r="E124" s="100">
        <f>+E60/E122</f>
        <v/>
      </c>
      <c r="F124" s="100">
        <f>+F60/F122</f>
        <v/>
      </c>
      <c r="G124" s="100">
        <f>+G60/G122</f>
        <v/>
      </c>
      <c r="H124" s="100">
        <f>+H60/H122</f>
        <v/>
      </c>
      <c r="I124" s="101" t="n">
        <v>0.9954339416095498</v>
      </c>
      <c r="J124" s="100">
        <f>+J60/J122</f>
        <v/>
      </c>
      <c r="K124" s="100">
        <f>+K60/K122</f>
        <v/>
      </c>
      <c r="L124" s="100">
        <f>+L60/L122</f>
        <v/>
      </c>
      <c r="M124" s="100">
        <f>+M60/M122</f>
        <v/>
      </c>
    </row>
    <row r="125" ht="4.5" customHeight="1"/>
    <row r="126" ht="15.75" customHeight="1">
      <c r="B126" s="67" t="inlineStr">
        <is>
          <t>Managed Services</t>
        </is>
      </c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  <c r="AA126" s="67" t="n"/>
      <c r="AB126" s="67" t="n"/>
      <c r="AC126" s="67" t="n"/>
      <c r="AD126" s="67" t="n"/>
      <c r="AE126" s="67" t="n"/>
      <c r="AF126" s="67" t="n"/>
      <c r="AG126" s="67" t="n"/>
      <c r="AH126" s="67" t="n"/>
      <c r="AI126" s="67" t="n"/>
      <c r="AJ126" s="67" t="n"/>
      <c r="AK126" s="67" t="n"/>
      <c r="AL126" s="67" t="n"/>
      <c r="AM126" s="67" t="n"/>
      <c r="AN126" s="67" t="n"/>
      <c r="AO126" s="67" t="n"/>
      <c r="AP126" s="67" t="n"/>
      <c r="AQ126" s="67" t="n"/>
      <c r="AR126" s="67" t="n"/>
      <c r="AS126" s="67" t="n"/>
      <c r="AT126" s="67" t="n"/>
      <c r="AU126" s="67" t="n"/>
      <c r="AV126" s="67" t="n"/>
      <c r="AW126" s="67" t="n"/>
      <c r="AX126" s="67" t="n"/>
      <c r="AY126" s="67" t="n"/>
      <c r="AZ126" s="67" t="n"/>
      <c r="BA126" s="67" t="n"/>
      <c r="BB126" s="67" t="n"/>
      <c r="BC126" s="67" t="n"/>
      <c r="BD126" s="67" t="n"/>
      <c r="BE126" s="67" t="n"/>
      <c r="BF126" s="67" t="n"/>
      <c r="BG126" s="67" t="n"/>
      <c r="BH126" s="67" t="n"/>
      <c r="BI126" s="67" t="n"/>
      <c r="BJ126" s="67" t="n"/>
      <c r="BK126" s="67" t="n"/>
      <c r="BL126" s="67" t="n"/>
      <c r="BM126" s="67" t="n"/>
      <c r="BN126" s="67" t="n"/>
      <c r="BO126" s="67" t="n"/>
      <c r="BP126" s="67" t="n"/>
      <c r="BQ126" s="67" t="n"/>
      <c r="BR126" s="67" t="n"/>
      <c r="BS126" s="67" t="n"/>
      <c r="BT126" s="67" t="n"/>
      <c r="BU126" s="67" t="n"/>
      <c r="BV126" s="67" t="n"/>
      <c r="BW126" s="67" t="n"/>
      <c r="BX126" s="67" t="n"/>
      <c r="BY126" s="67" t="n"/>
      <c r="BZ126" s="67" t="n"/>
      <c r="CA126" s="67" t="n"/>
      <c r="CB126" s="67" t="n"/>
      <c r="CC126" s="67" t="n"/>
      <c r="CD126" s="67" t="n"/>
      <c r="CE126" s="67" t="n"/>
      <c r="CF126" s="67" t="n"/>
      <c r="CG126" s="67" t="n"/>
      <c r="CH126" s="67" t="n"/>
      <c r="CI126" s="67" t="n"/>
      <c r="CJ126" s="67" t="n"/>
      <c r="CK126" s="67" t="n"/>
      <c r="CL126" s="67" t="n"/>
      <c r="CM126" s="67" t="n"/>
      <c r="CN126" s="67" t="n"/>
      <c r="CO126" s="67" t="n"/>
      <c r="CP126" s="67" t="n"/>
      <c r="CQ126" s="67" t="n"/>
      <c r="CR126" s="67" t="n"/>
      <c r="CS126" s="67" t="n"/>
      <c r="CT126" s="67" t="n"/>
      <c r="CU126" s="67" t="n"/>
      <c r="CV126" s="67" t="n"/>
      <c r="CW126" s="67" t="n"/>
      <c r="CX126" s="67" t="n"/>
      <c r="CY126" s="67" t="n"/>
      <c r="CZ126" s="67" t="n"/>
      <c r="DA126" s="67" t="n"/>
      <c r="DB126" s="67" t="n"/>
      <c r="DC126" s="67" t="n"/>
      <c r="DD126" s="67" t="n"/>
      <c r="DE126" s="67" t="n"/>
      <c r="DF126" s="67" t="n"/>
      <c r="DG126" s="67" t="n"/>
      <c r="DH126" s="67" t="n"/>
      <c r="DI126" s="67" t="n"/>
      <c r="DJ126" s="67" t="n"/>
      <c r="DK126" s="67" t="n"/>
      <c r="DL126" s="67" t="n"/>
      <c r="DM126" s="67" t="n"/>
      <c r="DN126" s="67" t="n"/>
      <c r="DO126" s="67" t="n"/>
      <c r="DP126" s="67" t="n"/>
      <c r="DQ126" s="67" t="n"/>
      <c r="DR126" s="67" t="n"/>
      <c r="DS126" s="67" t="n"/>
      <c r="DT126" s="67" t="n"/>
      <c r="DU126" s="67" t="n"/>
      <c r="DV126" s="67" t="n"/>
      <c r="DW126" s="67" t="n"/>
    </row>
    <row r="127" ht="4.5" customHeight="1"/>
    <row r="128" hidden="1" outlineLevel="1" ht="15.75" customHeight="1">
      <c r="B128" s="5" t="inlineStr">
        <is>
          <t>AACN</t>
        </is>
      </c>
      <c r="C128" s="68" t="inlineStr">
        <is>
          <t>Lower Middle Market</t>
        </is>
      </c>
      <c r="E128" s="46">
        <f>+SUMIFS($O128:$DR128,$O$7:$DR$7,E$7)</f>
        <v/>
      </c>
      <c r="F128" s="46">
        <f>+SUMIFS($O128:$DR128,$O$7:$DR$7,F$7)</f>
        <v/>
      </c>
      <c r="G128" s="46">
        <f>+SUMIFS($O128:$DR128,$O$7:$DR$7,G$7)</f>
        <v/>
      </c>
      <c r="H128" s="46">
        <f>+SUMIFS($O128:$DR128,$O$7:$DR$7,H$7)</f>
        <v/>
      </c>
      <c r="I128" s="46">
        <f>+SUMIFS($O128:$DR128,$O$7:$DR$7,I$7)</f>
        <v/>
      </c>
      <c r="J128" s="46">
        <f>+SUMIFS($O128:$DR128,$O$7:$DR$7,J$7)</f>
        <v/>
      </c>
      <c r="K128" s="46">
        <f>+SUMIFS($O128:$DR128,$O$7:$DR$7,K$7)</f>
        <v/>
      </c>
      <c r="L128" s="46">
        <f>+SUMIFS($O128:$DR128,$O$7:$DR$7,L$7)</f>
        <v/>
      </c>
      <c r="M128" s="46">
        <f>+SUMIFS($O128:$DR128,$O$7:$DR$7,M$7)</f>
        <v/>
      </c>
      <c r="O128" s="47" t="n">
        <v>0</v>
      </c>
      <c r="P128" s="47" t="n">
        <v>0</v>
      </c>
      <c r="Q128" s="47" t="n">
        <v>0</v>
      </c>
      <c r="R128" s="47" t="n">
        <v>0</v>
      </c>
      <c r="S128" s="47" t="n">
        <v>0</v>
      </c>
      <c r="T128" s="47" t="n">
        <v>0</v>
      </c>
      <c r="U128" s="47" t="n">
        <v>0</v>
      </c>
      <c r="V128" s="47" t="n">
        <v>0</v>
      </c>
      <c r="W128" s="47" t="n">
        <v>0</v>
      </c>
      <c r="X128" s="47" t="n">
        <v>0</v>
      </c>
      <c r="Y128" s="47" t="n">
        <v>0</v>
      </c>
      <c r="Z128" s="47" t="n">
        <v>0</v>
      </c>
      <c r="AA128" s="47" t="n">
        <v>0</v>
      </c>
      <c r="AB128" s="47" t="n">
        <v>0</v>
      </c>
      <c r="AC128" s="47" t="n">
        <v>0</v>
      </c>
      <c r="AD128" s="47" t="n">
        <v>0</v>
      </c>
      <c r="AE128" s="47" t="n">
        <v>0</v>
      </c>
      <c r="AF128" s="47" t="n">
        <v>0</v>
      </c>
      <c r="AG128" s="47" t="n">
        <v>0</v>
      </c>
      <c r="AH128" s="47" t="n">
        <v>0</v>
      </c>
      <c r="AI128" s="47" t="n">
        <v>0</v>
      </c>
      <c r="AJ128" s="47" t="n">
        <v>0</v>
      </c>
      <c r="AK128" s="47" t="n">
        <v>0</v>
      </c>
      <c r="AL128" s="47" t="n">
        <v>0</v>
      </c>
      <c r="AM128" s="47" t="n">
        <v>0</v>
      </c>
      <c r="AN128" s="47" t="n">
        <v>0</v>
      </c>
      <c r="AO128" s="47" t="n">
        <v>0</v>
      </c>
      <c r="AP128" s="47" t="n">
        <v>0</v>
      </c>
      <c r="AQ128" s="47" t="n">
        <v>0</v>
      </c>
      <c r="AR128" s="47" t="n">
        <v>0</v>
      </c>
      <c r="AS128" s="47" t="n">
        <v>0</v>
      </c>
      <c r="AT128" s="47" t="n">
        <v>0</v>
      </c>
      <c r="AU128" s="47" t="n">
        <v>0</v>
      </c>
      <c r="AV128" s="47" t="n">
        <v>4.4</v>
      </c>
      <c r="AW128" s="47" t="n">
        <v>1.1</v>
      </c>
      <c r="AX128" s="47" t="n">
        <v>0</v>
      </c>
      <c r="AY128" s="47" t="n">
        <v>0</v>
      </c>
      <c r="AZ128" s="47" t="n">
        <v>0</v>
      </c>
      <c r="BA128" s="47" t="n">
        <v>0</v>
      </c>
      <c r="BB128" s="47" t="n">
        <v>0</v>
      </c>
      <c r="BC128" s="47" t="n">
        <v>0</v>
      </c>
      <c r="BD128" s="47" t="n">
        <v>0</v>
      </c>
      <c r="BE128" s="47" t="n">
        <v>7.48</v>
      </c>
      <c r="BF128" s="47" t="n">
        <v>1.32</v>
      </c>
      <c r="BG128" s="47" t="n">
        <v>0</v>
      </c>
      <c r="BH128" s="47" t="n">
        <v>0</v>
      </c>
      <c r="BI128" s="47" t="n">
        <v>0</v>
      </c>
      <c r="BJ128" s="47" t="n">
        <v>0</v>
      </c>
      <c r="BK128" s="47" t="n">
        <v>0</v>
      </c>
      <c r="BL128" s="47" t="n">
        <v>0</v>
      </c>
      <c r="BM128" s="47" t="n">
        <v>0</v>
      </c>
      <c r="BN128" s="47" t="n">
        <v>0.5555555555555556</v>
      </c>
      <c r="BO128" s="47" t="n">
        <v>0.5555555555555556</v>
      </c>
      <c r="BP128" s="47" t="n">
        <v>0.5555555555555556</v>
      </c>
      <c r="BQ128" s="47" t="n">
        <v>0.5555555555555556</v>
      </c>
      <c r="BR128" s="47" t="n">
        <v>0.5555555555555556</v>
      </c>
      <c r="BS128" s="47" t="n">
        <v>0.5555555555555556</v>
      </c>
      <c r="BT128" s="47" t="n">
        <v>0.5555555555555556</v>
      </c>
      <c r="BU128" s="47" t="n">
        <v>0.5555555555555555</v>
      </c>
      <c r="BV128" s="47" t="n">
        <v>0.5555555555555557</v>
      </c>
      <c r="BW128" s="102" t="n"/>
      <c r="BX128" s="102" t="n"/>
      <c r="BY128" s="102" t="n"/>
      <c r="BZ128" s="102" t="n"/>
      <c r="CA128" s="102" t="n"/>
      <c r="CB128" s="102" t="n"/>
      <c r="CC128" s="102" t="n"/>
      <c r="CD128" s="102" t="n"/>
      <c r="CE128" s="102" t="n"/>
      <c r="CF128" s="102" t="n"/>
      <c r="CG128" s="102" t="n"/>
      <c r="CH128" s="102" t="n"/>
      <c r="CI128" s="102" t="n"/>
      <c r="CJ128" s="102" t="n"/>
      <c r="CK128" s="102" t="n"/>
      <c r="CL128" s="102" t="n"/>
      <c r="CM128" s="102" t="n"/>
      <c r="CN128" s="102" t="n"/>
      <c r="CO128" s="102" t="n"/>
      <c r="CP128" s="102" t="n"/>
      <c r="CQ128" s="102" t="n"/>
      <c r="CR128" s="102" t="n"/>
      <c r="CS128" s="102" t="n"/>
      <c r="CT128" s="102" t="n"/>
      <c r="CU128" s="102" t="n"/>
      <c r="CV128" s="102" t="n"/>
      <c r="CW128" s="102" t="n"/>
      <c r="CX128" s="102" t="n"/>
      <c r="CY128" s="102" t="n"/>
      <c r="CZ128" s="102" t="n"/>
      <c r="DA128" s="102" t="n"/>
      <c r="DB128" s="102" t="n"/>
      <c r="DC128" s="102" t="n"/>
      <c r="DD128" s="102" t="n"/>
      <c r="DE128" s="102" t="n"/>
      <c r="DF128" s="102" t="n"/>
      <c r="DG128" s="102" t="n"/>
      <c r="DH128" s="102" t="n"/>
      <c r="DI128" s="102" t="n"/>
      <c r="DJ128" s="102" t="n"/>
      <c r="DK128" s="102" t="n"/>
      <c r="DL128" s="102" t="n"/>
      <c r="DM128" s="102" t="n"/>
      <c r="DN128" s="102" t="n"/>
      <c r="DO128" s="102" t="n"/>
      <c r="DP128" s="102" t="n"/>
      <c r="DQ128" s="102" t="n"/>
      <c r="DR128" s="102" t="n"/>
      <c r="DT128" s="46">
        <f>+F128-E128</f>
        <v/>
      </c>
      <c r="DU128" s="46">
        <f>+G128-F128</f>
        <v/>
      </c>
      <c r="DV128" s="46">
        <f>+H128-G128</f>
        <v/>
      </c>
      <c r="DW128" s="46">
        <f>+I128-H128</f>
        <v/>
      </c>
    </row>
    <row r="129" hidden="1" outlineLevel="1" ht="15.75" customHeight="1">
      <c r="B129" s="5" t="inlineStr">
        <is>
          <t>AACR</t>
        </is>
      </c>
      <c r="C129" s="68" t="inlineStr">
        <is>
          <t>Lower Middle Market</t>
        </is>
      </c>
      <c r="E129" s="46">
        <f>+SUMIFS($O129:$DR129,$O$7:$DR$7,E$7)</f>
        <v/>
      </c>
      <c r="F129" s="46">
        <f>+SUMIFS($O129:$DR129,$O$7:$DR$7,F$7)</f>
        <v/>
      </c>
      <c r="G129" s="46">
        <f>+SUMIFS($O129:$DR129,$O$7:$DR$7,G$7)</f>
        <v/>
      </c>
      <c r="H129" s="46">
        <f>+SUMIFS($O129:$DR129,$O$7:$DR$7,H$7)</f>
        <v/>
      </c>
      <c r="I129" s="46">
        <f>+SUMIFS($O129:$DR129,$O$7:$DR$7,I$7)</f>
        <v/>
      </c>
      <c r="J129" s="46">
        <f>+SUMIFS($O129:$DR129,$O$7:$DR$7,J$7)</f>
        <v/>
      </c>
      <c r="K129" s="46">
        <f>+SUMIFS($O129:$DR129,$O$7:$DR$7,K$7)</f>
        <v/>
      </c>
      <c r="L129" s="46">
        <f>+SUMIFS($O129:$DR129,$O$7:$DR$7,L$7)</f>
        <v/>
      </c>
      <c r="M129" s="46">
        <f>+SUMIFS($O129:$DR129,$O$7:$DR$7,M$7)</f>
        <v/>
      </c>
      <c r="O129" s="47" t="n">
        <v>0</v>
      </c>
      <c r="P129" s="47" t="n">
        <v>0</v>
      </c>
      <c r="Q129" s="47" t="n">
        <v>0</v>
      </c>
      <c r="R129" s="47" t="n">
        <v>0</v>
      </c>
      <c r="S129" s="47" t="n">
        <v>0</v>
      </c>
      <c r="T129" s="47" t="n">
        <v>0</v>
      </c>
      <c r="U129" s="47" t="n">
        <v>0</v>
      </c>
      <c r="V129" s="47" t="n">
        <v>0</v>
      </c>
      <c r="W129" s="47" t="n">
        <v>0</v>
      </c>
      <c r="X129" s="47" t="n">
        <v>0</v>
      </c>
      <c r="Y129" s="47" t="n">
        <v>0</v>
      </c>
      <c r="Z129" s="47" t="n">
        <v>0</v>
      </c>
      <c r="AA129" s="47" t="n">
        <v>0</v>
      </c>
      <c r="AB129" s="47" t="n">
        <v>0</v>
      </c>
      <c r="AC129" s="47" t="n">
        <v>0</v>
      </c>
      <c r="AD129" s="47" t="n">
        <v>0</v>
      </c>
      <c r="AE129" s="47" t="n">
        <v>0</v>
      </c>
      <c r="AF129" s="47" t="n">
        <v>0</v>
      </c>
      <c r="AG129" s="47" t="n">
        <v>0</v>
      </c>
      <c r="AH129" s="47" t="n">
        <v>0</v>
      </c>
      <c r="AI129" s="47" t="n">
        <v>0</v>
      </c>
      <c r="AJ129" s="47" t="n">
        <v>0</v>
      </c>
      <c r="AK129" s="47" t="n">
        <v>0</v>
      </c>
      <c r="AL129" s="47" t="n">
        <v>0</v>
      </c>
      <c r="AM129" s="47" t="n">
        <v>0</v>
      </c>
      <c r="AN129" s="47" t="n">
        <v>0</v>
      </c>
      <c r="AO129" s="47" t="n">
        <v>0</v>
      </c>
      <c r="AP129" s="47" t="n">
        <v>0</v>
      </c>
      <c r="AQ129" s="47" t="n">
        <v>0</v>
      </c>
      <c r="AR129" s="47" t="n">
        <v>0</v>
      </c>
      <c r="AS129" s="47" t="n">
        <v>0</v>
      </c>
      <c r="AT129" s="47" t="n">
        <v>0</v>
      </c>
      <c r="AU129" s="47" t="n">
        <v>0</v>
      </c>
      <c r="AV129" s="47" t="n">
        <v>0</v>
      </c>
      <c r="AW129" s="47" t="n">
        <v>0</v>
      </c>
      <c r="AX129" s="47" t="n">
        <v>0</v>
      </c>
      <c r="AY129" s="47" t="n">
        <v>0</v>
      </c>
      <c r="AZ129" s="47" t="n">
        <v>0</v>
      </c>
      <c r="BA129" s="47" t="n">
        <v>0</v>
      </c>
      <c r="BB129" s="47" t="n">
        <v>0</v>
      </c>
      <c r="BC129" s="47" t="n">
        <v>0</v>
      </c>
      <c r="BD129" s="47" t="n">
        <v>9.345000000000001</v>
      </c>
      <c r="BE129" s="47" t="n">
        <v>8.593</v>
      </c>
      <c r="BF129" s="47" t="n">
        <v>4.742</v>
      </c>
      <c r="BG129" s="47" t="n">
        <v>0</v>
      </c>
      <c r="BH129" s="47" t="n">
        <v>7.65</v>
      </c>
      <c r="BI129" s="47" t="n">
        <v>30.33</v>
      </c>
      <c r="BJ129" s="47" t="n">
        <v>15.19</v>
      </c>
      <c r="BK129" s="47" t="n">
        <v>19.09</v>
      </c>
      <c r="BL129" s="47" t="n">
        <v>0</v>
      </c>
      <c r="BM129" s="47" t="n">
        <v>7.11</v>
      </c>
      <c r="BN129" s="47" t="n">
        <v>1.533333333333333</v>
      </c>
      <c r="BO129" s="47" t="n">
        <v>1.533333333333333</v>
      </c>
      <c r="BP129" s="47" t="n">
        <v>1.533333333333334</v>
      </c>
      <c r="BQ129" s="47" t="n">
        <v>1.533333333333334</v>
      </c>
      <c r="BR129" s="47" t="n">
        <v>1.533333333333334</v>
      </c>
      <c r="BS129" s="47" t="n">
        <v>1.533333333333334</v>
      </c>
      <c r="BT129" s="47" t="n">
        <v>1.533333333333333</v>
      </c>
      <c r="BU129" s="47" t="n">
        <v>1.533333333333332</v>
      </c>
      <c r="BV129" s="47" t="n">
        <v>1.533333333333329</v>
      </c>
      <c r="BW129" s="102" t="n"/>
      <c r="BX129" s="102" t="n"/>
      <c r="BY129" s="102" t="n"/>
      <c r="BZ129" s="102" t="n"/>
      <c r="CA129" s="102" t="n"/>
      <c r="CB129" s="102" t="n"/>
      <c r="CC129" s="102" t="n"/>
      <c r="CD129" s="102" t="n"/>
      <c r="CE129" s="102" t="n"/>
      <c r="CF129" s="102" t="n"/>
      <c r="CG129" s="102" t="n"/>
      <c r="CH129" s="102" t="n"/>
      <c r="CI129" s="102" t="n"/>
      <c r="CJ129" s="102" t="n"/>
      <c r="CK129" s="102" t="n"/>
      <c r="CL129" s="102" t="n"/>
      <c r="CM129" s="102" t="n"/>
      <c r="CN129" s="102" t="n"/>
      <c r="CO129" s="102" t="n"/>
      <c r="CP129" s="102" t="n"/>
      <c r="CQ129" s="102" t="n"/>
      <c r="CR129" s="102" t="n"/>
      <c r="CS129" s="102" t="n"/>
      <c r="CT129" s="102" t="n"/>
      <c r="CU129" s="102" t="n"/>
      <c r="CV129" s="102" t="n"/>
      <c r="CW129" s="102" t="n"/>
      <c r="CX129" s="102" t="n"/>
      <c r="CY129" s="102" t="n"/>
      <c r="CZ129" s="102" t="n"/>
      <c r="DA129" s="102" t="n"/>
      <c r="DB129" s="102" t="n"/>
      <c r="DC129" s="102" t="n"/>
      <c r="DD129" s="102" t="n"/>
      <c r="DE129" s="102" t="n"/>
      <c r="DF129" s="102" t="n"/>
      <c r="DG129" s="102" t="n"/>
      <c r="DH129" s="102" t="n"/>
      <c r="DI129" s="102" t="n"/>
      <c r="DJ129" s="102" t="n"/>
      <c r="DK129" s="102" t="n"/>
      <c r="DL129" s="102" t="n"/>
      <c r="DM129" s="102" t="n"/>
      <c r="DN129" s="102" t="n"/>
      <c r="DO129" s="102" t="n"/>
      <c r="DP129" s="102" t="n"/>
      <c r="DQ129" s="102" t="n"/>
      <c r="DR129" s="102" t="n"/>
      <c r="DT129" s="46">
        <f>+F129-E129</f>
        <v/>
      </c>
      <c r="DU129" s="46">
        <f>+G129-F129</f>
        <v/>
      </c>
      <c r="DV129" s="46">
        <f>+H129-G129</f>
        <v/>
      </c>
      <c r="DW129" s="46">
        <f>+I129-H129</f>
        <v/>
      </c>
    </row>
    <row r="130" hidden="1" outlineLevel="1" ht="15.75" customHeight="1">
      <c r="B130" s="5" t="inlineStr">
        <is>
          <t>AAI</t>
        </is>
      </c>
      <c r="C130" s="68" t="inlineStr">
        <is>
          <t>Lower Middle Market</t>
        </is>
      </c>
      <c r="E130" s="46">
        <f>+SUMIFS($O130:$DR130,$O$7:$DR$7,E$7)</f>
        <v/>
      </c>
      <c r="F130" s="46">
        <f>+SUMIFS($O130:$DR130,$O$7:$DR$7,F$7)</f>
        <v/>
      </c>
      <c r="G130" s="46">
        <f>+SUMIFS($O130:$DR130,$O$7:$DR$7,G$7)</f>
        <v/>
      </c>
      <c r="H130" s="46">
        <f>+SUMIFS($O130:$DR130,$O$7:$DR$7,H$7)</f>
        <v/>
      </c>
      <c r="I130" s="46">
        <f>+SUMIFS($O130:$DR130,$O$7:$DR$7,I$7)</f>
        <v/>
      </c>
      <c r="J130" s="46">
        <f>+SUMIFS($O130:$DR130,$O$7:$DR$7,J$7)</f>
        <v/>
      </c>
      <c r="K130" s="46">
        <f>+SUMIFS($O130:$DR130,$O$7:$DR$7,K$7)</f>
        <v/>
      </c>
      <c r="L130" s="46">
        <f>+SUMIFS($O130:$DR130,$O$7:$DR$7,L$7)</f>
        <v/>
      </c>
      <c r="M130" s="46">
        <f>+SUMIFS($O130:$DR130,$O$7:$DR$7,M$7)</f>
        <v/>
      </c>
      <c r="O130" s="47" t="n">
        <v>0</v>
      </c>
      <c r="P130" s="47" t="n">
        <v>0</v>
      </c>
      <c r="Q130" s="47" t="n">
        <v>0</v>
      </c>
      <c r="R130" s="47" t="n">
        <v>0</v>
      </c>
      <c r="S130" s="47" t="n">
        <v>0</v>
      </c>
      <c r="T130" s="47" t="n">
        <v>0</v>
      </c>
      <c r="U130" s="47" t="n">
        <v>0</v>
      </c>
      <c r="V130" s="47" t="n">
        <v>0</v>
      </c>
      <c r="W130" s="47" t="n">
        <v>0</v>
      </c>
      <c r="X130" s="47" t="n">
        <v>0</v>
      </c>
      <c r="Y130" s="47" t="n">
        <v>0</v>
      </c>
      <c r="Z130" s="47" t="n">
        <v>0</v>
      </c>
      <c r="AA130" s="47" t="n">
        <v>0</v>
      </c>
      <c r="AB130" s="47" t="n">
        <v>0</v>
      </c>
      <c r="AC130" s="47" t="n">
        <v>0</v>
      </c>
      <c r="AD130" s="47" t="n">
        <v>0</v>
      </c>
      <c r="AE130" s="47" t="n">
        <v>0</v>
      </c>
      <c r="AF130" s="47" t="n">
        <v>0</v>
      </c>
      <c r="AG130" s="47" t="n">
        <v>0</v>
      </c>
      <c r="AH130" s="47" t="n">
        <v>0</v>
      </c>
      <c r="AI130" s="47" t="n">
        <v>0</v>
      </c>
      <c r="AJ130" s="47" t="n">
        <v>0</v>
      </c>
      <c r="AK130" s="47" t="n">
        <v>0</v>
      </c>
      <c r="AL130" s="47" t="n">
        <v>0</v>
      </c>
      <c r="AM130" s="47" t="n">
        <v>0</v>
      </c>
      <c r="AN130" s="47" t="n">
        <v>0</v>
      </c>
      <c r="AO130" s="47" t="n">
        <v>0</v>
      </c>
      <c r="AP130" s="47" t="n">
        <v>0</v>
      </c>
      <c r="AQ130" s="47" t="n">
        <v>0</v>
      </c>
      <c r="AR130" s="47" t="n">
        <v>0</v>
      </c>
      <c r="AS130" s="47" t="n">
        <v>0</v>
      </c>
      <c r="AT130" s="47" t="n">
        <v>0</v>
      </c>
      <c r="AU130" s="47" t="n">
        <v>0</v>
      </c>
      <c r="AV130" s="47" t="n">
        <v>0</v>
      </c>
      <c r="AW130" s="47" t="n">
        <v>0</v>
      </c>
      <c r="AX130" s="47" t="n">
        <v>0</v>
      </c>
      <c r="AY130" s="47" t="n">
        <v>0</v>
      </c>
      <c r="AZ130" s="47" t="n">
        <v>0</v>
      </c>
      <c r="BA130" s="47" t="n">
        <v>0</v>
      </c>
      <c r="BB130" s="47" t="n">
        <v>0</v>
      </c>
      <c r="BC130" s="47" t="n">
        <v>0</v>
      </c>
      <c r="BD130" s="47" t="n">
        <v>0</v>
      </c>
      <c r="BE130" s="47" t="n">
        <v>0</v>
      </c>
      <c r="BF130" s="47" t="n">
        <v>0</v>
      </c>
      <c r="BG130" s="47" t="n">
        <v>0</v>
      </c>
      <c r="BH130" s="47" t="n">
        <v>0</v>
      </c>
      <c r="BI130" s="47" t="n">
        <v>0</v>
      </c>
      <c r="BJ130" s="47" t="n">
        <v>0</v>
      </c>
      <c r="BK130" s="47" t="n">
        <v>0</v>
      </c>
      <c r="BL130" s="47" t="n">
        <v>0</v>
      </c>
      <c r="BM130" s="47" t="n">
        <v>0</v>
      </c>
      <c r="BN130" s="47" t="n">
        <v>0</v>
      </c>
      <c r="BO130" s="47" t="n">
        <v>0</v>
      </c>
      <c r="BP130" s="47" t="n">
        <v>5.714285714285714</v>
      </c>
      <c r="BQ130" s="47" t="n">
        <v>5.714285714285714</v>
      </c>
      <c r="BR130" s="47" t="n">
        <v>5.714285714285714</v>
      </c>
      <c r="BS130" s="47" t="n">
        <v>5.714285714285714</v>
      </c>
      <c r="BT130" s="47" t="n">
        <v>5.714285714285714</v>
      </c>
      <c r="BU130" s="47" t="n">
        <v>5.714285714285715</v>
      </c>
      <c r="BV130" s="47" t="n">
        <v>5.714285714285717</v>
      </c>
      <c r="BW130" s="102" t="n"/>
      <c r="BX130" s="102" t="n"/>
      <c r="BY130" s="102" t="n"/>
      <c r="BZ130" s="102" t="n"/>
      <c r="CA130" s="102" t="n"/>
      <c r="CB130" s="102" t="n"/>
      <c r="CC130" s="102" t="n"/>
      <c r="CD130" s="102" t="n"/>
      <c r="CE130" s="102" t="n"/>
      <c r="CF130" s="102" t="n"/>
      <c r="CG130" s="102" t="n"/>
      <c r="CH130" s="102" t="n"/>
      <c r="CI130" s="102" t="n"/>
      <c r="CJ130" s="102" t="n"/>
      <c r="CK130" s="102" t="n"/>
      <c r="CL130" s="102" t="n"/>
      <c r="CM130" s="102" t="n"/>
      <c r="CN130" s="102" t="n"/>
      <c r="CO130" s="102" t="n"/>
      <c r="CP130" s="102" t="n"/>
      <c r="CQ130" s="102" t="n"/>
      <c r="CR130" s="102" t="n"/>
      <c r="CS130" s="102" t="n"/>
      <c r="CT130" s="102" t="n"/>
      <c r="CU130" s="102" t="n"/>
      <c r="CV130" s="102" t="n"/>
      <c r="CW130" s="102" t="n"/>
      <c r="CX130" s="102" t="n"/>
      <c r="CY130" s="102" t="n"/>
      <c r="CZ130" s="102" t="n"/>
      <c r="DA130" s="102" t="n"/>
      <c r="DB130" s="102" t="n"/>
      <c r="DC130" s="102" t="n"/>
      <c r="DD130" s="102" t="n"/>
      <c r="DE130" s="102" t="n"/>
      <c r="DF130" s="102" t="n"/>
      <c r="DG130" s="102" t="n"/>
      <c r="DH130" s="102" t="n"/>
      <c r="DI130" s="102" t="n"/>
      <c r="DJ130" s="102" t="n"/>
      <c r="DK130" s="102" t="n"/>
      <c r="DL130" s="102" t="n"/>
      <c r="DM130" s="102" t="n"/>
      <c r="DN130" s="102" t="n"/>
      <c r="DO130" s="102" t="n"/>
      <c r="DP130" s="102" t="n"/>
      <c r="DQ130" s="102" t="n"/>
      <c r="DR130" s="102" t="n"/>
      <c r="DT130" s="46">
        <f>+F130-E130</f>
        <v/>
      </c>
      <c r="DU130" s="46">
        <f>+G130-F130</f>
        <v/>
      </c>
      <c r="DV130" s="46">
        <f>+H130-G130</f>
        <v/>
      </c>
      <c r="DW130" s="46">
        <f>+I130-H130</f>
        <v/>
      </c>
    </row>
    <row r="131" hidden="1" outlineLevel="1" ht="15.75" customHeight="1">
      <c r="B131" s="5" t="inlineStr">
        <is>
          <t>AAOS</t>
        </is>
      </c>
      <c r="C131" s="68" t="inlineStr">
        <is>
          <t>Upper Middle Market</t>
        </is>
      </c>
      <c r="E131" s="46">
        <f>+SUMIFS($O131:$DR131,$O$7:$DR$7,E$7)</f>
        <v/>
      </c>
      <c r="F131" s="46">
        <f>+SUMIFS($O131:$DR131,$O$7:$DR$7,F$7)</f>
        <v/>
      </c>
      <c r="G131" s="46">
        <f>+SUMIFS($O131:$DR131,$O$7:$DR$7,G$7)</f>
        <v/>
      </c>
      <c r="H131" s="46">
        <f>+SUMIFS($O131:$DR131,$O$7:$DR$7,H$7)</f>
        <v/>
      </c>
      <c r="I131" s="46">
        <f>+SUMIFS($O131:$DR131,$O$7:$DR$7,I$7)</f>
        <v/>
      </c>
      <c r="J131" s="46">
        <f>+SUMIFS($O131:$DR131,$O$7:$DR$7,J$7)</f>
        <v/>
      </c>
      <c r="K131" s="46">
        <f>+SUMIFS($O131:$DR131,$O$7:$DR$7,K$7)</f>
        <v/>
      </c>
      <c r="L131" s="46">
        <f>+SUMIFS($O131:$DR131,$O$7:$DR$7,L$7)</f>
        <v/>
      </c>
      <c r="M131" s="46">
        <f>+SUMIFS($O131:$DR131,$O$7:$DR$7,M$7)</f>
        <v/>
      </c>
      <c r="O131" s="47" t="n">
        <v>0</v>
      </c>
      <c r="P131" s="47" t="n">
        <v>0</v>
      </c>
      <c r="Q131" s="47" t="n">
        <v>0</v>
      </c>
      <c r="R131" s="47" t="n">
        <v>0</v>
      </c>
      <c r="S131" s="47" t="n">
        <v>0</v>
      </c>
      <c r="T131" s="47" t="n">
        <v>0</v>
      </c>
      <c r="U131" s="47" t="n">
        <v>0</v>
      </c>
      <c r="V131" s="47" t="n">
        <v>0</v>
      </c>
      <c r="W131" s="47" t="n">
        <v>0</v>
      </c>
      <c r="X131" s="47" t="n">
        <v>0</v>
      </c>
      <c r="Y131" s="47" t="n">
        <v>0</v>
      </c>
      <c r="Z131" s="47" t="n">
        <v>0</v>
      </c>
      <c r="AA131" s="47" t="n">
        <v>0</v>
      </c>
      <c r="AB131" s="47" t="n">
        <v>0</v>
      </c>
      <c r="AC131" s="47" t="n">
        <v>0</v>
      </c>
      <c r="AD131" s="47" t="n">
        <v>0</v>
      </c>
      <c r="AE131" s="47" t="n">
        <v>0</v>
      </c>
      <c r="AF131" s="47" t="n">
        <v>0</v>
      </c>
      <c r="AG131" s="47" t="n">
        <v>0</v>
      </c>
      <c r="AH131" s="47" t="n">
        <v>0</v>
      </c>
      <c r="AI131" s="47" t="n">
        <v>0</v>
      </c>
      <c r="AJ131" s="47" t="n">
        <v>0</v>
      </c>
      <c r="AK131" s="47" t="n">
        <v>0</v>
      </c>
      <c r="AL131" s="47" t="n">
        <v>0</v>
      </c>
      <c r="AM131" s="47" t="n">
        <v>0</v>
      </c>
      <c r="AN131" s="47" t="n">
        <v>0</v>
      </c>
      <c r="AO131" s="47" t="n">
        <v>0</v>
      </c>
      <c r="AP131" s="47" t="n">
        <v>0</v>
      </c>
      <c r="AQ131" s="47" t="n">
        <v>0</v>
      </c>
      <c r="AR131" s="47" t="n">
        <v>0</v>
      </c>
      <c r="AS131" s="47" t="n">
        <v>0</v>
      </c>
      <c r="AT131" s="47" t="n">
        <v>0</v>
      </c>
      <c r="AU131" s="47" t="n">
        <v>4.83</v>
      </c>
      <c r="AV131" s="47" t="n">
        <v>1.915</v>
      </c>
      <c r="AW131" s="47" t="n">
        <v>4.776</v>
      </c>
      <c r="AX131" s="47" t="n">
        <v>27.518</v>
      </c>
      <c r="AY131" s="47" t="n">
        <v>3.238</v>
      </c>
      <c r="AZ131" s="47" t="n">
        <v>11.533</v>
      </c>
      <c r="BA131" s="47" t="n">
        <v>102.165</v>
      </c>
      <c r="BB131" s="47" t="n">
        <v>94.72799999999999</v>
      </c>
      <c r="BC131" s="47" t="n">
        <v>47.135</v>
      </c>
      <c r="BD131" s="47" t="n">
        <v>43.222</v>
      </c>
      <c r="BE131" s="47" t="n">
        <v>20.09</v>
      </c>
      <c r="BF131" s="47" t="n">
        <v>6.495</v>
      </c>
      <c r="BG131" s="47" t="n">
        <v>6.515</v>
      </c>
      <c r="BH131" s="47" t="n">
        <v>26.261</v>
      </c>
      <c r="BI131" s="47" t="n">
        <v>7.082</v>
      </c>
      <c r="BJ131" s="47" t="n">
        <v>6.445</v>
      </c>
      <c r="BK131" s="47" t="n">
        <v>6.648</v>
      </c>
      <c r="BL131" s="47" t="n">
        <v>7.694</v>
      </c>
      <c r="BM131" s="47" t="n">
        <v>14.08</v>
      </c>
      <c r="BN131" s="47" t="n">
        <v>18.12838823529412</v>
      </c>
      <c r="BO131" s="47" t="n">
        <v>21.15068676470588</v>
      </c>
      <c r="BP131" s="47" t="n">
        <v>24.97221835084034</v>
      </c>
      <c r="BQ131" s="47" t="n">
        <v>24.34791289206932</v>
      </c>
      <c r="BR131" s="47" t="n">
        <v>23.61747550530725</v>
      </c>
      <c r="BS131" s="47" t="n">
        <v>22.73182017385822</v>
      </c>
      <c r="BT131" s="47" t="n">
        <v>21.59522916516531</v>
      </c>
      <c r="BU131" s="47" t="n">
        <v>17.37007563285036</v>
      </c>
      <c r="BV131" s="47" t="n">
        <v>17.37007563285036</v>
      </c>
      <c r="BW131" s="102" t="n"/>
      <c r="BX131" s="102" t="n"/>
      <c r="BY131" s="102" t="n"/>
      <c r="BZ131" s="102" t="n"/>
      <c r="CA131" s="102" t="n"/>
      <c r="CB131" s="102" t="n"/>
      <c r="CC131" s="102" t="n"/>
      <c r="CD131" s="102" t="n"/>
      <c r="CE131" s="102" t="n"/>
      <c r="CF131" s="102" t="n"/>
      <c r="CG131" s="102" t="n"/>
      <c r="CH131" s="102" t="n"/>
      <c r="CI131" s="102" t="n"/>
      <c r="CJ131" s="102" t="n"/>
      <c r="CK131" s="102" t="n"/>
      <c r="CL131" s="102" t="n"/>
      <c r="CM131" s="102" t="n"/>
      <c r="CN131" s="102" t="n"/>
      <c r="CO131" s="102" t="n"/>
      <c r="CP131" s="102" t="n"/>
      <c r="CQ131" s="102" t="n"/>
      <c r="CR131" s="102" t="n"/>
      <c r="CS131" s="102" t="n"/>
      <c r="CT131" s="102" t="n"/>
      <c r="CU131" s="102" t="n"/>
      <c r="CV131" s="102" t="n"/>
      <c r="CW131" s="102" t="n"/>
      <c r="CX131" s="102" t="n"/>
      <c r="CY131" s="102" t="n"/>
      <c r="CZ131" s="102" t="n"/>
      <c r="DA131" s="102" t="n"/>
      <c r="DB131" s="102" t="n"/>
      <c r="DC131" s="102" t="n"/>
      <c r="DD131" s="102" t="n"/>
      <c r="DE131" s="102" t="n"/>
      <c r="DF131" s="102" t="n"/>
      <c r="DG131" s="102" t="n"/>
      <c r="DH131" s="102" t="n"/>
      <c r="DI131" s="102" t="n"/>
      <c r="DJ131" s="102" t="n"/>
      <c r="DK131" s="102" t="n"/>
      <c r="DL131" s="102" t="n"/>
      <c r="DM131" s="102" t="n"/>
      <c r="DN131" s="102" t="n"/>
      <c r="DO131" s="102" t="n"/>
      <c r="DP131" s="102" t="n"/>
      <c r="DQ131" s="102" t="n"/>
      <c r="DR131" s="102" t="n"/>
      <c r="DT131" s="46">
        <f>+F131-E131</f>
        <v/>
      </c>
      <c r="DU131" s="46">
        <f>+G131-F131</f>
        <v/>
      </c>
      <c r="DV131" s="46">
        <f>+H131-G131</f>
        <v/>
      </c>
      <c r="DW131" s="46">
        <f>+I131-H131</f>
        <v/>
      </c>
    </row>
    <row r="132" hidden="1" outlineLevel="1" ht="15.75" customHeight="1">
      <c r="B132" s="5" t="inlineStr">
        <is>
          <t>AAP</t>
        </is>
      </c>
      <c r="C132" s="68" t="inlineStr">
        <is>
          <t>Major</t>
        </is>
      </c>
      <c r="E132" s="46">
        <f>+SUMIFS($O132:$DR132,$O$7:$DR$7,E$7)</f>
        <v/>
      </c>
      <c r="F132" s="46">
        <f>+SUMIFS($O132:$DR132,$O$7:$DR$7,F$7)</f>
        <v/>
      </c>
      <c r="G132" s="46">
        <f>+SUMIFS($O132:$DR132,$O$7:$DR$7,G$7)</f>
        <v/>
      </c>
      <c r="H132" s="46">
        <f>+SUMIFS($O132:$DR132,$O$7:$DR$7,H$7)</f>
        <v/>
      </c>
      <c r="I132" s="46">
        <f>+SUMIFS($O132:$DR132,$O$7:$DR$7,I$7)</f>
        <v/>
      </c>
      <c r="J132" s="46">
        <f>+SUMIFS($O132:$DR132,$O$7:$DR$7,J$7)</f>
        <v/>
      </c>
      <c r="K132" s="46">
        <f>+SUMIFS($O132:$DR132,$O$7:$DR$7,K$7)</f>
        <v/>
      </c>
      <c r="L132" s="46">
        <f>+SUMIFS($O132:$DR132,$O$7:$DR$7,L$7)</f>
        <v/>
      </c>
      <c r="M132" s="46">
        <f>+SUMIFS($O132:$DR132,$O$7:$DR$7,M$7)</f>
        <v/>
      </c>
      <c r="O132" s="47" t="n">
        <v>0.338</v>
      </c>
      <c r="P132" s="47" t="n">
        <v>4.918</v>
      </c>
      <c r="Q132" s="47" t="n">
        <v>2.624</v>
      </c>
      <c r="R132" s="47" t="n">
        <v>6.823</v>
      </c>
      <c r="S132" s="47" t="n">
        <v>1.096</v>
      </c>
      <c r="T132" s="47" t="n">
        <v>2.762</v>
      </c>
      <c r="U132" s="47" t="n">
        <v>20.101</v>
      </c>
      <c r="V132" s="47" t="n">
        <v>62.041</v>
      </c>
      <c r="W132" s="47" t="n">
        <v>28.793</v>
      </c>
      <c r="X132" s="47" t="n">
        <v>25.682</v>
      </c>
      <c r="Y132" s="47" t="n">
        <v>17.133</v>
      </c>
      <c r="Z132" s="47" t="n">
        <v>4.191</v>
      </c>
      <c r="AA132" s="47" t="n">
        <v>0</v>
      </c>
      <c r="AB132" s="47" t="n">
        <v>0</v>
      </c>
      <c r="AC132" s="47" t="n">
        <v>0</v>
      </c>
      <c r="AD132" s="47" t="n">
        <v>13.6</v>
      </c>
      <c r="AE132" s="47" t="n">
        <v>1.702</v>
      </c>
      <c r="AF132" s="47" t="n">
        <v>18.801</v>
      </c>
      <c r="AG132" s="47" t="n">
        <v>109.431</v>
      </c>
      <c r="AH132" s="47" t="n">
        <v>27.09</v>
      </c>
      <c r="AI132" s="47" t="n">
        <v>31.572</v>
      </c>
      <c r="AJ132" s="47" t="n">
        <v>11.418</v>
      </c>
      <c r="AK132" s="47" t="n">
        <v>2.45</v>
      </c>
      <c r="AL132" s="47" t="n">
        <v>6.319</v>
      </c>
      <c r="AM132" s="47" t="n">
        <v>10.028</v>
      </c>
      <c r="AN132" s="47" t="n">
        <v>3.997</v>
      </c>
      <c r="AO132" s="47" t="n">
        <v>17.425</v>
      </c>
      <c r="AP132" s="47" t="n">
        <v>26.763</v>
      </c>
      <c r="AQ132" s="47" t="n">
        <v>49.497</v>
      </c>
      <c r="AR132" s="47" t="n">
        <v>4.315</v>
      </c>
      <c r="AS132" s="47" t="n">
        <v>7.3</v>
      </c>
      <c r="AT132" s="47" t="n">
        <v>2.04</v>
      </c>
      <c r="AU132" s="47" t="n">
        <v>1.125</v>
      </c>
      <c r="AV132" s="47" t="n">
        <v>1.272</v>
      </c>
      <c r="AW132" s="47" t="n">
        <v>0</v>
      </c>
      <c r="AX132" s="47" t="n">
        <v>0</v>
      </c>
      <c r="AY132" s="47" t="n">
        <v>0</v>
      </c>
      <c r="AZ132" s="47" t="n">
        <v>0</v>
      </c>
      <c r="BA132" s="47" t="n">
        <v>11.15</v>
      </c>
      <c r="BB132" s="47" t="n">
        <v>21.839</v>
      </c>
      <c r="BC132" s="47" t="n">
        <v>19.734</v>
      </c>
      <c r="BD132" s="47" t="n">
        <v>26.358</v>
      </c>
      <c r="BE132" s="47" t="n">
        <v>80.795</v>
      </c>
      <c r="BF132" s="47" t="n">
        <v>89.325</v>
      </c>
      <c r="BG132" s="47" t="n">
        <v>84.318</v>
      </c>
      <c r="BH132" s="47" t="n">
        <v>71.03100000000001</v>
      </c>
      <c r="BI132" s="47" t="n">
        <v>47.879</v>
      </c>
      <c r="BJ132" s="47" t="n">
        <v>8.621</v>
      </c>
      <c r="BK132" s="47" t="n">
        <v>0.787</v>
      </c>
      <c r="BL132" s="47" t="n">
        <v>27.032</v>
      </c>
      <c r="BM132" s="47" t="n">
        <v>14.856</v>
      </c>
      <c r="BN132" s="47" t="n">
        <v>17.64333333333333</v>
      </c>
      <c r="BO132" s="47" t="n">
        <v>17.91901041666667</v>
      </c>
      <c r="BP132" s="47" t="n">
        <v>16.58788392857143</v>
      </c>
      <c r="BQ132" s="47" t="n">
        <v>16.03495446428571</v>
      </c>
      <c r="BR132" s="47" t="n">
        <v>14.75215810714286</v>
      </c>
      <c r="BS132" s="47" t="n">
        <v>14.198952178125</v>
      </c>
      <c r="BT132" s="47" t="n">
        <v>13.48900456921875</v>
      </c>
      <c r="BU132" s="47" t="n">
        <v>11.93483665146094</v>
      </c>
      <c r="BV132" s="47" t="n">
        <v>9.76486635119532</v>
      </c>
      <c r="BW132" s="102" t="n"/>
      <c r="BX132" s="102" t="n"/>
      <c r="BY132" s="102" t="n"/>
      <c r="BZ132" s="102" t="n"/>
      <c r="CA132" s="102" t="n"/>
      <c r="CB132" s="102" t="n"/>
      <c r="CC132" s="102" t="n"/>
      <c r="CD132" s="102" t="n"/>
      <c r="CE132" s="102" t="n"/>
      <c r="CF132" s="102" t="n"/>
      <c r="CG132" s="102" t="n"/>
      <c r="CH132" s="102" t="n"/>
      <c r="CI132" s="102" t="n"/>
      <c r="CJ132" s="102" t="n"/>
      <c r="CK132" s="102" t="n"/>
      <c r="CL132" s="102" t="n"/>
      <c r="CM132" s="102" t="n"/>
      <c r="CN132" s="102" t="n"/>
      <c r="CO132" s="102" t="n"/>
      <c r="CP132" s="102" t="n"/>
      <c r="CQ132" s="102" t="n"/>
      <c r="CR132" s="102" t="n"/>
      <c r="CS132" s="102" t="n"/>
      <c r="CT132" s="102" t="n"/>
      <c r="CU132" s="102" t="n"/>
      <c r="CV132" s="102" t="n"/>
      <c r="CW132" s="102" t="n"/>
      <c r="CX132" s="102" t="n"/>
      <c r="CY132" s="102" t="n"/>
      <c r="CZ132" s="102" t="n"/>
      <c r="DA132" s="102" t="n"/>
      <c r="DB132" s="102" t="n"/>
      <c r="DC132" s="102" t="n"/>
      <c r="DD132" s="102" t="n"/>
      <c r="DE132" s="102" t="n"/>
      <c r="DF132" s="102" t="n"/>
      <c r="DG132" s="102" t="n"/>
      <c r="DH132" s="102" t="n"/>
      <c r="DI132" s="102" t="n"/>
      <c r="DJ132" s="102" t="n"/>
      <c r="DK132" s="102" t="n"/>
      <c r="DL132" s="102" t="n"/>
      <c r="DM132" s="102" t="n"/>
      <c r="DN132" s="102" t="n"/>
      <c r="DO132" s="102" t="n"/>
      <c r="DP132" s="102" t="n"/>
      <c r="DQ132" s="102" t="n"/>
      <c r="DR132" s="102" t="n"/>
      <c r="DT132" s="46">
        <f>+F132-E132</f>
        <v/>
      </c>
      <c r="DU132" s="46">
        <f>+G132-F132</f>
        <v/>
      </c>
      <c r="DV132" s="46">
        <f>+H132-G132</f>
        <v/>
      </c>
      <c r="DW132" s="46">
        <f>+I132-H132</f>
        <v/>
      </c>
    </row>
    <row r="133" hidden="1" outlineLevel="1" ht="15.75" customHeight="1">
      <c r="B133" s="5" t="inlineStr">
        <is>
          <t>ADA</t>
        </is>
      </c>
      <c r="C133" s="68" t="inlineStr">
        <is>
          <t>Lower Middle Market</t>
        </is>
      </c>
      <c r="E133" s="46">
        <f>+SUMIFS($O133:$DR133,$O$7:$DR$7,E$7)</f>
        <v/>
      </c>
      <c r="F133" s="46">
        <f>+SUMIFS($O133:$DR133,$O$7:$DR$7,F$7)</f>
        <v/>
      </c>
      <c r="G133" s="46">
        <f>+SUMIFS($O133:$DR133,$O$7:$DR$7,G$7)</f>
        <v/>
      </c>
      <c r="H133" s="46">
        <f>+SUMIFS($O133:$DR133,$O$7:$DR$7,H$7)</f>
        <v/>
      </c>
      <c r="I133" s="46">
        <f>+SUMIFS($O133:$DR133,$O$7:$DR$7,I$7)</f>
        <v/>
      </c>
      <c r="J133" s="46">
        <f>+SUMIFS($O133:$DR133,$O$7:$DR$7,J$7)</f>
        <v/>
      </c>
      <c r="K133" s="46">
        <f>+SUMIFS($O133:$DR133,$O$7:$DR$7,K$7)</f>
        <v/>
      </c>
      <c r="L133" s="46">
        <f>+SUMIFS($O133:$DR133,$O$7:$DR$7,L$7)</f>
        <v/>
      </c>
      <c r="M133" s="46">
        <f>+SUMIFS($O133:$DR133,$O$7:$DR$7,M$7)</f>
        <v/>
      </c>
      <c r="O133" s="47" t="n">
        <v>0</v>
      </c>
      <c r="P133" s="47" t="n">
        <v>0</v>
      </c>
      <c r="Q133" s="47" t="n">
        <v>0</v>
      </c>
      <c r="R133" s="47" t="n">
        <v>0</v>
      </c>
      <c r="S133" s="47" t="n">
        <v>0</v>
      </c>
      <c r="T133" s="47" t="n">
        <v>0</v>
      </c>
      <c r="U133" s="47" t="n">
        <v>0</v>
      </c>
      <c r="V133" s="47" t="n">
        <v>0</v>
      </c>
      <c r="W133" s="47" t="n">
        <v>0</v>
      </c>
      <c r="X133" s="47" t="n">
        <v>0</v>
      </c>
      <c r="Y133" s="47" t="n">
        <v>0</v>
      </c>
      <c r="Z133" s="47" t="n">
        <v>0</v>
      </c>
      <c r="AA133" s="47" t="n">
        <v>0</v>
      </c>
      <c r="AB133" s="47" t="n">
        <v>0</v>
      </c>
      <c r="AC133" s="47" t="n">
        <v>0</v>
      </c>
      <c r="AD133" s="47" t="n">
        <v>0</v>
      </c>
      <c r="AE133" s="47" t="n">
        <v>0</v>
      </c>
      <c r="AF133" s="47" t="n">
        <v>0</v>
      </c>
      <c r="AG133" s="47" t="n">
        <v>0</v>
      </c>
      <c r="AH133" s="47" t="n">
        <v>0</v>
      </c>
      <c r="AI133" s="47" t="n">
        <v>0</v>
      </c>
      <c r="AJ133" s="47" t="n">
        <v>0</v>
      </c>
      <c r="AK133" s="47" t="n">
        <v>0</v>
      </c>
      <c r="AL133" s="47" t="n">
        <v>0</v>
      </c>
      <c r="AM133" s="47" t="n">
        <v>0</v>
      </c>
      <c r="AN133" s="47" t="n">
        <v>0</v>
      </c>
      <c r="AO133" s="47" t="n">
        <v>0</v>
      </c>
      <c r="AP133" s="47" t="n">
        <v>0</v>
      </c>
      <c r="AQ133" s="47" t="n">
        <v>0</v>
      </c>
      <c r="AR133" s="47" t="n">
        <v>0</v>
      </c>
      <c r="AS133" s="47" t="n">
        <v>0</v>
      </c>
      <c r="AT133" s="47" t="n">
        <v>0</v>
      </c>
      <c r="AU133" s="47" t="n">
        <v>0</v>
      </c>
      <c r="AV133" s="47" t="n">
        <v>0</v>
      </c>
      <c r="AW133" s="47" t="n">
        <v>0</v>
      </c>
      <c r="AX133" s="47" t="n">
        <v>0</v>
      </c>
      <c r="AY133" s="47" t="n">
        <v>0</v>
      </c>
      <c r="AZ133" s="47" t="n">
        <v>0</v>
      </c>
      <c r="BA133" s="47" t="n">
        <v>0</v>
      </c>
      <c r="BB133" s="47" t="n">
        <v>0</v>
      </c>
      <c r="BC133" s="47" t="n">
        <v>0</v>
      </c>
      <c r="BD133" s="47" t="n">
        <v>0</v>
      </c>
      <c r="BE133" s="47" t="n">
        <v>0</v>
      </c>
      <c r="BF133" s="47" t="n">
        <v>0.85</v>
      </c>
      <c r="BG133" s="47" t="n">
        <v>14.45</v>
      </c>
      <c r="BH133" s="47" t="n">
        <v>7.6</v>
      </c>
      <c r="BI133" s="47" t="n">
        <v>1.7</v>
      </c>
      <c r="BJ133" s="47" t="n">
        <v>0</v>
      </c>
      <c r="BK133" s="47" t="n">
        <v>8.460000000000001</v>
      </c>
      <c r="BL133" s="47" t="n">
        <v>1.23</v>
      </c>
      <c r="BM133" s="47" t="n">
        <v>20.81</v>
      </c>
      <c r="BN133" s="47" t="n">
        <v>3.833333333333333</v>
      </c>
      <c r="BO133" s="47" t="n">
        <v>3.833333333333333</v>
      </c>
      <c r="BP133" s="47" t="n">
        <v>3.833333333333333</v>
      </c>
      <c r="BQ133" s="47" t="n">
        <v>3.833333333333332</v>
      </c>
      <c r="BR133" s="47" t="n">
        <v>3.833333333333331</v>
      </c>
      <c r="BS133" s="47" t="n">
        <v>3.833333333333332</v>
      </c>
      <c r="BT133" s="47" t="n">
        <v>3.833333333333333</v>
      </c>
      <c r="BU133" s="47" t="n">
        <v>3.833333333333332</v>
      </c>
      <c r="BV133" s="47" t="n">
        <v>3.833333333333329</v>
      </c>
      <c r="BW133" s="102" t="n"/>
      <c r="BX133" s="102" t="n"/>
      <c r="BY133" s="102" t="n"/>
      <c r="BZ133" s="102" t="n"/>
      <c r="CA133" s="102" t="n"/>
      <c r="CB133" s="102" t="n"/>
      <c r="CC133" s="102" t="n"/>
      <c r="CD133" s="102" t="n"/>
      <c r="CE133" s="102" t="n"/>
      <c r="CF133" s="102" t="n"/>
      <c r="CG133" s="102" t="n"/>
      <c r="CH133" s="102" t="n"/>
      <c r="CI133" s="102" t="n"/>
      <c r="CJ133" s="102" t="n"/>
      <c r="CK133" s="102" t="n"/>
      <c r="CL133" s="102" t="n"/>
      <c r="CM133" s="102" t="n"/>
      <c r="CN133" s="102" t="n"/>
      <c r="CO133" s="102" t="n"/>
      <c r="CP133" s="102" t="n"/>
      <c r="CQ133" s="102" t="n"/>
      <c r="CR133" s="102" t="n"/>
      <c r="CS133" s="102" t="n"/>
      <c r="CT133" s="102" t="n"/>
      <c r="CU133" s="102" t="n"/>
      <c r="CV133" s="102" t="n"/>
      <c r="CW133" s="102" t="n"/>
      <c r="CX133" s="102" t="n"/>
      <c r="CY133" s="102" t="n"/>
      <c r="CZ133" s="102" t="n"/>
      <c r="DA133" s="102" t="n"/>
      <c r="DB133" s="102" t="n"/>
      <c r="DC133" s="102" t="n"/>
      <c r="DD133" s="102" t="n"/>
      <c r="DE133" s="102" t="n"/>
      <c r="DF133" s="102" t="n"/>
      <c r="DG133" s="102" t="n"/>
      <c r="DH133" s="102" t="n"/>
      <c r="DI133" s="102" t="n"/>
      <c r="DJ133" s="102" t="n"/>
      <c r="DK133" s="102" t="n"/>
      <c r="DL133" s="102" t="n"/>
      <c r="DM133" s="102" t="n"/>
      <c r="DN133" s="102" t="n"/>
      <c r="DO133" s="102" t="n"/>
      <c r="DP133" s="102" t="n"/>
      <c r="DQ133" s="102" t="n"/>
      <c r="DR133" s="102" t="n"/>
      <c r="DT133" s="46">
        <f>+F133-E133</f>
        <v/>
      </c>
      <c r="DU133" s="46">
        <f>+G133-F133</f>
        <v/>
      </c>
      <c r="DV133" s="46">
        <f>+H133-G133</f>
        <v/>
      </c>
      <c r="DW133" s="46">
        <f>+I133-H133</f>
        <v/>
      </c>
    </row>
    <row r="134" hidden="1" outlineLevel="1" ht="15.75" customHeight="1">
      <c r="B134" s="5" t="inlineStr">
        <is>
          <t>AHRQ</t>
        </is>
      </c>
      <c r="C134" s="68" t="inlineStr">
        <is>
          <t>Lower Middle Market</t>
        </is>
      </c>
      <c r="E134" s="46">
        <f>+SUMIFS($O134:$DR134,$O$7:$DR$7,E$7)</f>
        <v/>
      </c>
      <c r="F134" s="46">
        <f>+SUMIFS($O134:$DR134,$O$7:$DR$7,F$7)</f>
        <v/>
      </c>
      <c r="G134" s="46">
        <f>+SUMIFS($O134:$DR134,$O$7:$DR$7,G$7)</f>
        <v/>
      </c>
      <c r="H134" s="46">
        <f>+SUMIFS($O134:$DR134,$O$7:$DR$7,H$7)</f>
        <v/>
      </c>
      <c r="I134" s="46">
        <f>+SUMIFS($O134:$DR134,$O$7:$DR$7,I$7)</f>
        <v/>
      </c>
      <c r="J134" s="46">
        <f>+SUMIFS($O134:$DR134,$O$7:$DR$7,J$7)</f>
        <v/>
      </c>
      <c r="K134" s="46">
        <f>+SUMIFS($O134:$DR134,$O$7:$DR$7,K$7)</f>
        <v/>
      </c>
      <c r="L134" s="46">
        <f>+SUMIFS($O134:$DR134,$O$7:$DR$7,L$7)</f>
        <v/>
      </c>
      <c r="M134" s="46">
        <f>+SUMIFS($O134:$DR134,$O$7:$DR$7,M$7)</f>
        <v/>
      </c>
      <c r="O134" s="47" t="n">
        <v>0</v>
      </c>
      <c r="P134" s="47" t="n">
        <v>0</v>
      </c>
      <c r="Q134" s="47" t="n">
        <v>0</v>
      </c>
      <c r="R134" s="47" t="n">
        <v>0</v>
      </c>
      <c r="S134" s="47" t="n">
        <v>0</v>
      </c>
      <c r="T134" s="47" t="n">
        <v>0</v>
      </c>
      <c r="U134" s="47" t="n">
        <v>0</v>
      </c>
      <c r="V134" s="47" t="n">
        <v>0</v>
      </c>
      <c r="W134" s="47" t="n">
        <v>0</v>
      </c>
      <c r="X134" s="47" t="n">
        <v>0</v>
      </c>
      <c r="Y134" s="47" t="n">
        <v>0</v>
      </c>
      <c r="Z134" s="47" t="n">
        <v>0</v>
      </c>
      <c r="AA134" s="47" t="n">
        <v>0</v>
      </c>
      <c r="AB134" s="47" t="n">
        <v>0</v>
      </c>
      <c r="AC134" s="47" t="n">
        <v>0</v>
      </c>
      <c r="AD134" s="47" t="n">
        <v>0</v>
      </c>
      <c r="AE134" s="47" t="n">
        <v>0</v>
      </c>
      <c r="AF134" s="47" t="n">
        <v>0</v>
      </c>
      <c r="AG134" s="47" t="n">
        <v>0</v>
      </c>
      <c r="AH134" s="47" t="n">
        <v>0</v>
      </c>
      <c r="AI134" s="47" t="n">
        <v>0</v>
      </c>
      <c r="AJ134" s="47" t="n">
        <v>0</v>
      </c>
      <c r="AK134" s="47" t="n">
        <v>0</v>
      </c>
      <c r="AL134" s="47" t="n">
        <v>0</v>
      </c>
      <c r="AM134" s="47" t="n">
        <v>0</v>
      </c>
      <c r="AN134" s="47" t="n">
        <v>0</v>
      </c>
      <c r="AO134" s="47" t="n">
        <v>0</v>
      </c>
      <c r="AP134" s="47" t="n">
        <v>0</v>
      </c>
      <c r="AQ134" s="47" t="n">
        <v>0</v>
      </c>
      <c r="AR134" s="47" t="n">
        <v>0</v>
      </c>
      <c r="AS134" s="47" t="n">
        <v>0</v>
      </c>
      <c r="AT134" s="47" t="n">
        <v>0</v>
      </c>
      <c r="AU134" s="47" t="n">
        <v>0</v>
      </c>
      <c r="AV134" s="47" t="n">
        <v>0</v>
      </c>
      <c r="AW134" s="47" t="n">
        <v>0</v>
      </c>
      <c r="AX134" s="47" t="n">
        <v>0</v>
      </c>
      <c r="AY134" s="47" t="n">
        <v>0</v>
      </c>
      <c r="AZ134" s="47" t="n">
        <v>0</v>
      </c>
      <c r="BA134" s="47" t="n">
        <v>0</v>
      </c>
      <c r="BB134" s="47" t="n">
        <v>0</v>
      </c>
      <c r="BC134" s="47" t="n">
        <v>0</v>
      </c>
      <c r="BD134" s="47" t="n">
        <v>0</v>
      </c>
      <c r="BE134" s="47" t="n">
        <v>0</v>
      </c>
      <c r="BF134" s="47" t="n">
        <v>0</v>
      </c>
      <c r="BG134" s="47" t="n">
        <v>0</v>
      </c>
      <c r="BH134" s="47" t="n">
        <v>0</v>
      </c>
      <c r="BI134" s="47" t="n">
        <v>0</v>
      </c>
      <c r="BJ134" s="47" t="n">
        <v>0</v>
      </c>
      <c r="BK134" s="47" t="n">
        <v>0</v>
      </c>
      <c r="BL134" s="47" t="n">
        <v>0</v>
      </c>
      <c r="BM134" s="47" t="n">
        <v>0</v>
      </c>
      <c r="BN134" s="47" t="n">
        <v>0</v>
      </c>
      <c r="BO134" s="47" t="n">
        <v>0</v>
      </c>
      <c r="BP134" s="47" t="n">
        <v>0</v>
      </c>
      <c r="BQ134" s="47" t="n">
        <v>0</v>
      </c>
      <c r="BR134" s="47" t="n">
        <v>0</v>
      </c>
      <c r="BS134" s="47" t="n">
        <v>0</v>
      </c>
      <c r="BT134" s="47" t="n">
        <v>0</v>
      </c>
      <c r="BU134" s="47" t="n">
        <v>0</v>
      </c>
      <c r="BV134" s="47" t="n">
        <v>0</v>
      </c>
      <c r="BW134" s="102" t="n"/>
      <c r="BX134" s="102" t="n"/>
      <c r="BY134" s="102" t="n"/>
      <c r="BZ134" s="102" t="n"/>
      <c r="CA134" s="102" t="n"/>
      <c r="CB134" s="102" t="n"/>
      <c r="CC134" s="102" t="n"/>
      <c r="CD134" s="102" t="n"/>
      <c r="CE134" s="102" t="n"/>
      <c r="CF134" s="102" t="n"/>
      <c r="CG134" s="102" t="n"/>
      <c r="CH134" s="102" t="n"/>
      <c r="CI134" s="102" t="n"/>
      <c r="CJ134" s="102" t="n"/>
      <c r="CK134" s="102" t="n"/>
      <c r="CL134" s="102" t="n"/>
      <c r="CM134" s="102" t="n"/>
      <c r="CN134" s="102" t="n"/>
      <c r="CO134" s="102" t="n"/>
      <c r="CP134" s="102" t="n"/>
      <c r="CQ134" s="102" t="n"/>
      <c r="CR134" s="102" t="n"/>
      <c r="CS134" s="102" t="n"/>
      <c r="CT134" s="102" t="n"/>
      <c r="CU134" s="102" t="n"/>
      <c r="CV134" s="102" t="n"/>
      <c r="CW134" s="102" t="n"/>
      <c r="CX134" s="102" t="n"/>
      <c r="CY134" s="102" t="n"/>
      <c r="CZ134" s="102" t="n"/>
      <c r="DA134" s="102" t="n"/>
      <c r="DB134" s="102" t="n"/>
      <c r="DC134" s="102" t="n"/>
      <c r="DD134" s="102" t="n"/>
      <c r="DE134" s="102" t="n"/>
      <c r="DF134" s="102" t="n"/>
      <c r="DG134" s="102" t="n"/>
      <c r="DH134" s="102" t="n"/>
      <c r="DI134" s="102" t="n"/>
      <c r="DJ134" s="102" t="n"/>
      <c r="DK134" s="102" t="n"/>
      <c r="DL134" s="102" t="n"/>
      <c r="DM134" s="102" t="n"/>
      <c r="DN134" s="102" t="n"/>
      <c r="DO134" s="102" t="n"/>
      <c r="DP134" s="102" t="n"/>
      <c r="DQ134" s="102" t="n"/>
      <c r="DR134" s="102" t="n"/>
      <c r="DT134" s="46">
        <f>+F134-E134</f>
        <v/>
      </c>
      <c r="DU134" s="46">
        <f>+G134-F134</f>
        <v/>
      </c>
      <c r="DV134" s="46">
        <f>+H134-G134</f>
        <v/>
      </c>
      <c r="DW134" s="46">
        <f>+I134-H134</f>
        <v/>
      </c>
    </row>
    <row r="135" hidden="1" outlineLevel="1" ht="15.75" customHeight="1">
      <c r="B135" s="5" t="inlineStr">
        <is>
          <t>AIPP</t>
        </is>
      </c>
      <c r="C135" s="68" t="inlineStr">
        <is>
          <t>Major</t>
        </is>
      </c>
      <c r="E135" s="46">
        <f>+SUMIFS($O135:$DR135,$O$7:$DR$7,E$7)</f>
        <v/>
      </c>
      <c r="F135" s="46">
        <f>+SUMIFS($O135:$DR135,$O$7:$DR$7,F$7)</f>
        <v/>
      </c>
      <c r="G135" s="46">
        <f>+SUMIFS($O135:$DR135,$O$7:$DR$7,G$7)</f>
        <v/>
      </c>
      <c r="H135" s="46">
        <f>+SUMIFS($O135:$DR135,$O$7:$DR$7,H$7)</f>
        <v/>
      </c>
      <c r="I135" s="46">
        <f>+SUMIFS($O135:$DR135,$O$7:$DR$7,I$7)</f>
        <v/>
      </c>
      <c r="J135" s="46">
        <f>+SUMIFS($O135:$DR135,$O$7:$DR$7,J$7)</f>
        <v/>
      </c>
      <c r="K135" s="46">
        <f>+SUMIFS($O135:$DR135,$O$7:$DR$7,K$7)</f>
        <v/>
      </c>
      <c r="L135" s="46">
        <f>+SUMIFS($O135:$DR135,$O$7:$DR$7,L$7)</f>
        <v/>
      </c>
      <c r="M135" s="46">
        <f>+SUMIFS($O135:$DR135,$O$7:$DR$7,M$7)</f>
        <v/>
      </c>
      <c r="O135" s="47" t="n">
        <v>0</v>
      </c>
      <c r="P135" s="47" t="n">
        <v>0</v>
      </c>
      <c r="Q135" s="47" t="n">
        <v>0</v>
      </c>
      <c r="R135" s="47" t="n">
        <v>0</v>
      </c>
      <c r="S135" s="47" t="n">
        <v>0</v>
      </c>
      <c r="T135" s="47" t="n">
        <v>0</v>
      </c>
      <c r="U135" s="47" t="n">
        <v>0</v>
      </c>
      <c r="V135" s="47" t="n">
        <v>0</v>
      </c>
      <c r="W135" s="47" t="n">
        <v>0</v>
      </c>
      <c r="X135" s="47" t="n">
        <v>0</v>
      </c>
      <c r="Y135" s="47" t="n">
        <v>0</v>
      </c>
      <c r="Z135" s="47" t="n">
        <v>0</v>
      </c>
      <c r="AA135" s="47" t="n">
        <v>0</v>
      </c>
      <c r="AB135" s="47" t="n">
        <v>0</v>
      </c>
      <c r="AC135" s="47" t="n">
        <v>0</v>
      </c>
      <c r="AD135" s="47" t="n">
        <v>0</v>
      </c>
      <c r="AE135" s="47" t="n">
        <v>0</v>
      </c>
      <c r="AF135" s="47" t="n">
        <v>0</v>
      </c>
      <c r="AG135" s="47" t="n">
        <v>0</v>
      </c>
      <c r="AH135" s="47" t="n">
        <v>0</v>
      </c>
      <c r="AI135" s="47" t="n">
        <v>0</v>
      </c>
      <c r="AJ135" s="47" t="n">
        <v>0</v>
      </c>
      <c r="AK135" s="47" t="n">
        <v>0</v>
      </c>
      <c r="AL135" s="47" t="n">
        <v>0</v>
      </c>
      <c r="AM135" s="47" t="n">
        <v>0</v>
      </c>
      <c r="AN135" s="47" t="n">
        <v>0</v>
      </c>
      <c r="AO135" s="47" t="n">
        <v>0</v>
      </c>
      <c r="AP135" s="47" t="n">
        <v>0</v>
      </c>
      <c r="AQ135" s="47" t="n">
        <v>0</v>
      </c>
      <c r="AR135" s="47" t="n">
        <v>0</v>
      </c>
      <c r="AS135" s="47" t="n">
        <v>0</v>
      </c>
      <c r="AT135" s="47" t="n">
        <v>0</v>
      </c>
      <c r="AU135" s="47" t="n">
        <v>0</v>
      </c>
      <c r="AV135" s="47" t="n">
        <v>0</v>
      </c>
      <c r="AW135" s="47" t="n">
        <v>0</v>
      </c>
      <c r="AX135" s="47" t="n">
        <v>0</v>
      </c>
      <c r="AY135" s="47" t="n">
        <v>0</v>
      </c>
      <c r="AZ135" s="47" t="n">
        <v>0</v>
      </c>
      <c r="BA135" s="47" t="n">
        <v>0</v>
      </c>
      <c r="BB135" s="47" t="n">
        <v>0</v>
      </c>
      <c r="BC135" s="47" t="n">
        <v>0</v>
      </c>
      <c r="BD135" s="47" t="n">
        <v>0</v>
      </c>
      <c r="BE135" s="47" t="n">
        <v>0</v>
      </c>
      <c r="BF135" s="47" t="n">
        <v>0</v>
      </c>
      <c r="BG135" s="47" t="n">
        <v>0</v>
      </c>
      <c r="BH135" s="47" t="n">
        <v>0</v>
      </c>
      <c r="BI135" s="47" t="n">
        <v>0</v>
      </c>
      <c r="BJ135" s="47" t="n">
        <v>0</v>
      </c>
      <c r="BK135" s="47" t="n">
        <v>0</v>
      </c>
      <c r="BL135" s="47" t="n">
        <v>0</v>
      </c>
      <c r="BM135" s="47" t="n">
        <v>0</v>
      </c>
      <c r="BN135" s="47" t="n">
        <v>0</v>
      </c>
      <c r="BO135" s="47" t="n">
        <v>0</v>
      </c>
      <c r="BP135" s="47" t="n">
        <v>0</v>
      </c>
      <c r="BQ135" s="47" t="n">
        <v>8.333333333333334</v>
      </c>
      <c r="BR135" s="47" t="n">
        <v>18.33333333333334</v>
      </c>
      <c r="BS135" s="47" t="n">
        <v>18.33333333333333</v>
      </c>
      <c r="BT135" s="47" t="n">
        <v>20.16666666666667</v>
      </c>
      <c r="BU135" s="47" t="n">
        <v>17.41666666666666</v>
      </c>
      <c r="BV135" s="47" t="n">
        <v>17.41666666666666</v>
      </c>
      <c r="BW135" s="102" t="n"/>
      <c r="BX135" s="102" t="n"/>
      <c r="BY135" s="102" t="n"/>
      <c r="BZ135" s="102" t="n"/>
      <c r="CA135" s="102" t="n"/>
      <c r="CB135" s="102" t="n"/>
      <c r="CC135" s="102" t="n"/>
      <c r="CD135" s="102" t="n"/>
      <c r="CE135" s="102" t="n"/>
      <c r="CF135" s="102" t="n"/>
      <c r="CG135" s="102" t="n"/>
      <c r="CH135" s="102" t="n"/>
      <c r="CI135" s="102" t="n"/>
      <c r="CJ135" s="102" t="n"/>
      <c r="CK135" s="102" t="n"/>
      <c r="CL135" s="102" t="n"/>
      <c r="CM135" s="102" t="n"/>
      <c r="CN135" s="102" t="n"/>
      <c r="CO135" s="102" t="n"/>
      <c r="CP135" s="102" t="n"/>
      <c r="CQ135" s="102" t="n"/>
      <c r="CR135" s="102" t="n"/>
      <c r="CS135" s="102" t="n"/>
      <c r="CT135" s="102" t="n"/>
      <c r="CU135" s="102" t="n"/>
      <c r="CV135" s="102" t="n"/>
      <c r="CW135" s="102" t="n"/>
      <c r="CX135" s="102" t="n"/>
      <c r="CY135" s="102" t="n"/>
      <c r="CZ135" s="102" t="n"/>
      <c r="DA135" s="102" t="n"/>
      <c r="DB135" s="102" t="n"/>
      <c r="DC135" s="102" t="n"/>
      <c r="DD135" s="102" t="n"/>
      <c r="DE135" s="102" t="n"/>
      <c r="DF135" s="102" t="n"/>
      <c r="DG135" s="102" t="n"/>
      <c r="DH135" s="102" t="n"/>
      <c r="DI135" s="102" t="n"/>
      <c r="DJ135" s="102" t="n"/>
      <c r="DK135" s="102" t="n"/>
      <c r="DL135" s="102" t="n"/>
      <c r="DM135" s="102" t="n"/>
      <c r="DN135" s="102" t="n"/>
      <c r="DO135" s="102" t="n"/>
      <c r="DP135" s="102" t="n"/>
      <c r="DQ135" s="102" t="n"/>
      <c r="DR135" s="102" t="n"/>
      <c r="DT135" s="46">
        <f>+F135-E135</f>
        <v/>
      </c>
      <c r="DU135" s="46">
        <f>+G135-F135</f>
        <v/>
      </c>
      <c r="DV135" s="46">
        <f>+H135-G135</f>
        <v/>
      </c>
      <c r="DW135" s="46">
        <f>+I135-H135</f>
        <v/>
      </c>
    </row>
    <row r="136" hidden="1" outlineLevel="1" ht="15.75" customHeight="1">
      <c r="B136" s="5" t="inlineStr">
        <is>
          <t>ALLEN</t>
        </is>
      </c>
      <c r="C136" s="68" t="inlineStr">
        <is>
          <t>Upper Middle Market</t>
        </is>
      </c>
      <c r="E136" s="46">
        <f>+SUMIFS($O136:$DR136,$O$7:$DR$7,E$7)</f>
        <v/>
      </c>
      <c r="F136" s="46">
        <f>+SUMIFS($O136:$DR136,$O$7:$DR$7,F$7)</f>
        <v/>
      </c>
      <c r="G136" s="46">
        <f>+SUMIFS($O136:$DR136,$O$7:$DR$7,G$7)</f>
        <v/>
      </c>
      <c r="H136" s="46">
        <f>+SUMIFS($O136:$DR136,$O$7:$DR$7,H$7)</f>
        <v/>
      </c>
      <c r="I136" s="46">
        <f>+SUMIFS($O136:$DR136,$O$7:$DR$7,I$7)</f>
        <v/>
      </c>
      <c r="J136" s="46">
        <f>+SUMIFS($O136:$DR136,$O$7:$DR$7,J$7)</f>
        <v/>
      </c>
      <c r="K136" s="46">
        <f>+SUMIFS($O136:$DR136,$O$7:$DR$7,K$7)</f>
        <v/>
      </c>
      <c r="L136" s="46">
        <f>+SUMIFS($O136:$DR136,$O$7:$DR$7,L$7)</f>
        <v/>
      </c>
      <c r="M136" s="46">
        <f>+SUMIFS($O136:$DR136,$O$7:$DR$7,M$7)</f>
        <v/>
      </c>
      <c r="O136" s="47" t="n">
        <v>0</v>
      </c>
      <c r="P136" s="47" t="n">
        <v>0</v>
      </c>
      <c r="Q136" s="47" t="n">
        <v>0</v>
      </c>
      <c r="R136" s="47" t="n">
        <v>0</v>
      </c>
      <c r="S136" s="47" t="n">
        <v>0</v>
      </c>
      <c r="T136" s="47" t="n">
        <v>0</v>
      </c>
      <c r="U136" s="47" t="n">
        <v>0</v>
      </c>
      <c r="V136" s="47" t="n">
        <v>0</v>
      </c>
      <c r="W136" s="47" t="n">
        <v>0</v>
      </c>
      <c r="X136" s="47" t="n">
        <v>0</v>
      </c>
      <c r="Y136" s="47" t="n">
        <v>0</v>
      </c>
      <c r="Z136" s="47" t="n">
        <v>0</v>
      </c>
      <c r="AA136" s="47" t="n">
        <v>0</v>
      </c>
      <c r="AB136" s="47" t="n">
        <v>0</v>
      </c>
      <c r="AC136" s="47" t="n">
        <v>0</v>
      </c>
      <c r="AD136" s="47" t="n">
        <v>0</v>
      </c>
      <c r="AE136" s="47" t="n">
        <v>0</v>
      </c>
      <c r="AF136" s="47" t="n">
        <v>0</v>
      </c>
      <c r="AG136" s="47" t="n">
        <v>0</v>
      </c>
      <c r="AH136" s="47" t="n">
        <v>0</v>
      </c>
      <c r="AI136" s="47" t="n">
        <v>0</v>
      </c>
      <c r="AJ136" s="47" t="n">
        <v>0</v>
      </c>
      <c r="AK136" s="47" t="n">
        <v>0</v>
      </c>
      <c r="AL136" s="47" t="n">
        <v>0</v>
      </c>
      <c r="AM136" s="47" t="n">
        <v>0</v>
      </c>
      <c r="AN136" s="47" t="n">
        <v>0</v>
      </c>
      <c r="AO136" s="47" t="n">
        <v>0</v>
      </c>
      <c r="AP136" s="47" t="n">
        <v>0</v>
      </c>
      <c r="AQ136" s="47" t="n">
        <v>0</v>
      </c>
      <c r="AR136" s="47" t="n">
        <v>0</v>
      </c>
      <c r="AS136" s="47" t="n">
        <v>0</v>
      </c>
      <c r="AT136" s="47" t="n">
        <v>0</v>
      </c>
      <c r="AU136" s="47" t="n">
        <v>0</v>
      </c>
      <c r="AV136" s="47" t="n">
        <v>1.9</v>
      </c>
      <c r="AW136" s="47" t="n">
        <v>0.95</v>
      </c>
      <c r="AX136" s="47" t="n">
        <v>2.85</v>
      </c>
      <c r="AY136" s="47" t="n">
        <v>0</v>
      </c>
      <c r="AZ136" s="47" t="n">
        <v>10.675</v>
      </c>
      <c r="BA136" s="47" t="n">
        <v>16.615</v>
      </c>
      <c r="BB136" s="47" t="n">
        <v>3.52</v>
      </c>
      <c r="BC136" s="47" t="n">
        <v>6.38</v>
      </c>
      <c r="BD136" s="47" t="n">
        <v>13.23</v>
      </c>
      <c r="BE136" s="47" t="n">
        <v>10.045</v>
      </c>
      <c r="BF136" s="47" t="n">
        <v>1.34</v>
      </c>
      <c r="BG136" s="47" t="n">
        <v>0</v>
      </c>
      <c r="BH136" s="47" t="n">
        <v>8.949999999999999</v>
      </c>
      <c r="BI136" s="47" t="n">
        <v>2.685</v>
      </c>
      <c r="BJ136" s="47" t="n">
        <v>0</v>
      </c>
      <c r="BK136" s="47" t="n">
        <v>0</v>
      </c>
      <c r="BL136" s="47" t="n">
        <v>3.3</v>
      </c>
      <c r="BM136" s="47" t="n">
        <v>0.4</v>
      </c>
      <c r="BN136" s="47" t="n">
        <v>7.922222222222222</v>
      </c>
      <c r="BO136" s="47" t="n">
        <v>7.922222222222222</v>
      </c>
      <c r="BP136" s="47" t="n">
        <v>7.922222222222222</v>
      </c>
      <c r="BQ136" s="47" t="n">
        <v>7.922222222222222</v>
      </c>
      <c r="BR136" s="47" t="n">
        <v>7.922222222222222</v>
      </c>
      <c r="BS136" s="47" t="n">
        <v>7.922222222222222</v>
      </c>
      <c r="BT136" s="47" t="n">
        <v>7.922222222222223</v>
      </c>
      <c r="BU136" s="47" t="n">
        <v>7.922222222222222</v>
      </c>
      <c r="BV136" s="47" t="n">
        <v>7.922222222222219</v>
      </c>
      <c r="BW136" s="102" t="n"/>
      <c r="BX136" s="102" t="n"/>
      <c r="BY136" s="102" t="n"/>
      <c r="BZ136" s="102" t="n"/>
      <c r="CA136" s="102" t="n"/>
      <c r="CB136" s="102" t="n"/>
      <c r="CC136" s="102" t="n"/>
      <c r="CD136" s="102" t="n"/>
      <c r="CE136" s="102" t="n"/>
      <c r="CF136" s="102" t="n"/>
      <c r="CG136" s="102" t="n"/>
      <c r="CH136" s="102" t="n"/>
      <c r="CI136" s="102" t="n"/>
      <c r="CJ136" s="102" t="n"/>
      <c r="CK136" s="102" t="n"/>
      <c r="CL136" s="102" t="n"/>
      <c r="CM136" s="102" t="n"/>
      <c r="CN136" s="102" t="n"/>
      <c r="CO136" s="102" t="n"/>
      <c r="CP136" s="102" t="n"/>
      <c r="CQ136" s="102" t="n"/>
      <c r="CR136" s="102" t="n"/>
      <c r="CS136" s="102" t="n"/>
      <c r="CT136" s="102" t="n"/>
      <c r="CU136" s="102" t="n"/>
      <c r="CV136" s="102" t="n"/>
      <c r="CW136" s="102" t="n"/>
      <c r="CX136" s="102" t="n"/>
      <c r="CY136" s="102" t="n"/>
      <c r="CZ136" s="102" t="n"/>
      <c r="DA136" s="102" t="n"/>
      <c r="DB136" s="102" t="n"/>
      <c r="DC136" s="102" t="n"/>
      <c r="DD136" s="102" t="n"/>
      <c r="DE136" s="102" t="n"/>
      <c r="DF136" s="102" t="n"/>
      <c r="DG136" s="102" t="n"/>
      <c r="DH136" s="102" t="n"/>
      <c r="DI136" s="102" t="n"/>
      <c r="DJ136" s="102" t="n"/>
      <c r="DK136" s="102" t="n"/>
      <c r="DL136" s="102" t="n"/>
      <c r="DM136" s="102" t="n"/>
      <c r="DN136" s="102" t="n"/>
      <c r="DO136" s="102" t="n"/>
      <c r="DP136" s="102" t="n"/>
      <c r="DQ136" s="102" t="n"/>
      <c r="DR136" s="102" t="n"/>
      <c r="DT136" s="46">
        <f>+F136-E136</f>
        <v/>
      </c>
      <c r="DU136" s="46">
        <f>+G136-F136</f>
        <v/>
      </c>
      <c r="DV136" s="46">
        <f>+H136-G136</f>
        <v/>
      </c>
      <c r="DW136" s="46">
        <f>+I136-H136</f>
        <v/>
      </c>
    </row>
    <row r="137" hidden="1" outlineLevel="1" ht="15.75" customHeight="1">
      <c r="B137" s="5" t="inlineStr">
        <is>
          <t>AMA</t>
        </is>
      </c>
      <c r="C137" s="68" t="inlineStr">
        <is>
          <t>Mega</t>
        </is>
      </c>
      <c r="E137" s="46">
        <f>+SUMIFS($O137:$DR137,$O$7:$DR$7,E$7)</f>
        <v/>
      </c>
      <c r="F137" s="46">
        <f>+SUMIFS($O137:$DR137,$O$7:$DR$7,F$7)</f>
        <v/>
      </c>
      <c r="G137" s="46">
        <f>+SUMIFS($O137:$DR137,$O$7:$DR$7,G$7)</f>
        <v/>
      </c>
      <c r="H137" s="46">
        <f>+SUMIFS($O137:$DR137,$O$7:$DR$7,H$7)</f>
        <v/>
      </c>
      <c r="I137" s="46">
        <f>+SUMIFS($O137:$DR137,$O$7:$DR$7,I$7)</f>
        <v/>
      </c>
      <c r="J137" s="46">
        <f>+SUMIFS($O137:$DR137,$O$7:$DR$7,J$7)</f>
        <v/>
      </c>
      <c r="K137" s="46">
        <f>+SUMIFS($O137:$DR137,$O$7:$DR$7,K$7)</f>
        <v/>
      </c>
      <c r="L137" s="46">
        <f>+SUMIFS($O137:$DR137,$O$7:$DR$7,L$7)</f>
        <v/>
      </c>
      <c r="M137" s="46">
        <f>+SUMIFS($O137:$DR137,$O$7:$DR$7,M$7)</f>
        <v/>
      </c>
      <c r="O137" s="47" t="n">
        <v>113.894</v>
      </c>
      <c r="P137" s="47" t="n">
        <v>133.412</v>
      </c>
      <c r="Q137" s="47" t="n">
        <v>121.507</v>
      </c>
      <c r="R137" s="47" t="n">
        <v>140.542</v>
      </c>
      <c r="S137" s="47" t="n">
        <v>185.268</v>
      </c>
      <c r="T137" s="47" t="n">
        <v>193.304</v>
      </c>
      <c r="U137" s="47" t="n">
        <v>197.47</v>
      </c>
      <c r="V137" s="47" t="n">
        <v>196.875</v>
      </c>
      <c r="W137" s="47" t="n">
        <v>181.672</v>
      </c>
      <c r="X137" s="47" t="n">
        <v>170.909</v>
      </c>
      <c r="Y137" s="47" t="n">
        <v>182.677</v>
      </c>
      <c r="Z137" s="47" t="n">
        <v>167.797</v>
      </c>
      <c r="AA137" s="47" t="n">
        <v>172.142</v>
      </c>
      <c r="AB137" s="47" t="n">
        <v>131.78</v>
      </c>
      <c r="AC137" s="47" t="n">
        <v>194.192</v>
      </c>
      <c r="AD137" s="47" t="n">
        <v>136.503</v>
      </c>
      <c r="AE137" s="47" t="n">
        <v>152.135</v>
      </c>
      <c r="AF137" s="47" t="n">
        <v>155.664</v>
      </c>
      <c r="AG137" s="47" t="n">
        <v>151.005</v>
      </c>
      <c r="AH137" s="47" t="n">
        <v>197.002</v>
      </c>
      <c r="AI137" s="47" t="n">
        <v>208.296</v>
      </c>
      <c r="AJ137" s="47" t="n">
        <v>215.74</v>
      </c>
      <c r="AK137" s="47" t="n">
        <v>154.136</v>
      </c>
      <c r="AL137" s="47" t="n">
        <v>128.981</v>
      </c>
      <c r="AM137" s="47" t="n">
        <v>174.44</v>
      </c>
      <c r="AN137" s="47" t="n">
        <v>96.04000000000001</v>
      </c>
      <c r="AO137" s="47" t="n">
        <v>144.48</v>
      </c>
      <c r="AP137" s="47" t="n">
        <v>107.94</v>
      </c>
      <c r="AQ137" s="47" t="n">
        <v>105.7</v>
      </c>
      <c r="AR137" s="47" t="n">
        <v>140.98</v>
      </c>
      <c r="AS137" s="47" t="n">
        <v>172.2</v>
      </c>
      <c r="AT137" s="47" t="n">
        <v>177.52</v>
      </c>
      <c r="AU137" s="47" t="n">
        <v>182.98</v>
      </c>
      <c r="AV137" s="47" t="n">
        <v>162.54</v>
      </c>
      <c r="AW137" s="47" t="n">
        <v>122.92</v>
      </c>
      <c r="AX137" s="47" t="n">
        <v>158.08</v>
      </c>
      <c r="AY137" s="47" t="n">
        <v>150.815</v>
      </c>
      <c r="AZ137" s="47" t="n">
        <v>141.205</v>
      </c>
      <c r="BA137" s="47" t="n">
        <v>184.76</v>
      </c>
      <c r="BB137" s="47" t="n">
        <v>195.415</v>
      </c>
      <c r="BC137" s="47" t="n">
        <v>153.995</v>
      </c>
      <c r="BD137" s="47" t="n">
        <v>188.041</v>
      </c>
      <c r="BE137" s="47" t="n">
        <v>151.255</v>
      </c>
      <c r="BF137" s="47" t="n">
        <v>150.76</v>
      </c>
      <c r="BG137" s="47" t="n">
        <v>148.179</v>
      </c>
      <c r="BH137" s="47" t="n">
        <v>141.795</v>
      </c>
      <c r="BI137" s="47" t="n">
        <v>92.845</v>
      </c>
      <c r="BJ137" s="47" t="n">
        <v>112.85</v>
      </c>
      <c r="BK137" s="47" t="n">
        <v>121.96</v>
      </c>
      <c r="BL137" s="47" t="n">
        <v>128.9</v>
      </c>
      <c r="BM137" s="47" t="n">
        <v>156.06</v>
      </c>
      <c r="BN137" s="47" t="n">
        <v>152.8528888888889</v>
      </c>
      <c r="BO137" s="47" t="n">
        <v>160.7263055555556</v>
      </c>
      <c r="BP137" s="47" t="n">
        <v>160.7927490079365</v>
      </c>
      <c r="BQ137" s="47" t="n">
        <v>176.5915830605159</v>
      </c>
      <c r="BR137" s="47" t="n">
        <v>173.0378770131449</v>
      </c>
      <c r="BS137" s="47" t="n">
        <v>176.260096486263</v>
      </c>
      <c r="BT137" s="47" t="n">
        <v>167.4470916619499</v>
      </c>
      <c r="BU137" s="47" t="n">
        <v>147.9982202414769</v>
      </c>
      <c r="BV137" s="47" t="n">
        <v>121.3731880842684</v>
      </c>
      <c r="BW137" s="102" t="n"/>
      <c r="BX137" s="102" t="n"/>
      <c r="BY137" s="102" t="n"/>
      <c r="BZ137" s="102" t="n"/>
      <c r="CA137" s="102" t="n"/>
      <c r="CB137" s="102" t="n"/>
      <c r="CC137" s="102" t="n"/>
      <c r="CD137" s="102" t="n"/>
      <c r="CE137" s="102" t="n"/>
      <c r="CF137" s="102" t="n"/>
      <c r="CG137" s="102" t="n"/>
      <c r="CH137" s="102" t="n"/>
      <c r="CI137" s="102" t="n"/>
      <c r="CJ137" s="102" t="n"/>
      <c r="CK137" s="102" t="n"/>
      <c r="CL137" s="102" t="n"/>
      <c r="CM137" s="102" t="n"/>
      <c r="CN137" s="102" t="n"/>
      <c r="CO137" s="102" t="n"/>
      <c r="CP137" s="102" t="n"/>
      <c r="CQ137" s="102" t="n"/>
      <c r="CR137" s="102" t="n"/>
      <c r="CS137" s="102" t="n"/>
      <c r="CT137" s="102" t="n"/>
      <c r="CU137" s="102" t="n"/>
      <c r="CV137" s="102" t="n"/>
      <c r="CW137" s="102" t="n"/>
      <c r="CX137" s="102" t="n"/>
      <c r="CY137" s="102" t="n"/>
      <c r="CZ137" s="102" t="n"/>
      <c r="DA137" s="102" t="n"/>
      <c r="DB137" s="102" t="n"/>
      <c r="DC137" s="102" t="n"/>
      <c r="DD137" s="102" t="n"/>
      <c r="DE137" s="102" t="n"/>
      <c r="DF137" s="102" t="n"/>
      <c r="DG137" s="102" t="n"/>
      <c r="DH137" s="102" t="n"/>
      <c r="DI137" s="102" t="n"/>
      <c r="DJ137" s="102" t="n"/>
      <c r="DK137" s="102" t="n"/>
      <c r="DL137" s="102" t="n"/>
      <c r="DM137" s="102" t="n"/>
      <c r="DN137" s="102" t="n"/>
      <c r="DO137" s="102" t="n"/>
      <c r="DP137" s="102" t="n"/>
      <c r="DQ137" s="102" t="n"/>
      <c r="DR137" s="102" t="n"/>
      <c r="DT137" s="46">
        <f>+F137-E137</f>
        <v/>
      </c>
      <c r="DU137" s="46">
        <f>+G137-F137</f>
        <v/>
      </c>
      <c r="DV137" s="46">
        <f>+H137-G137</f>
        <v/>
      </c>
      <c r="DW137" s="46">
        <f>+I137-H137</f>
        <v/>
      </c>
    </row>
    <row r="138" hidden="1" outlineLevel="1" ht="15.75" customHeight="1">
      <c r="B138" s="5" t="inlineStr">
        <is>
          <t>AORN</t>
        </is>
      </c>
      <c r="C138" s="68" t="inlineStr">
        <is>
          <t>Lower Middle Market</t>
        </is>
      </c>
      <c r="E138" s="46">
        <f>+SUMIFS($O138:$DR138,$O$7:$DR$7,E$7)</f>
        <v/>
      </c>
      <c r="F138" s="46">
        <f>+SUMIFS($O138:$DR138,$O$7:$DR$7,F$7)</f>
        <v/>
      </c>
      <c r="G138" s="46">
        <f>+SUMIFS($O138:$DR138,$O$7:$DR$7,G$7)</f>
        <v/>
      </c>
      <c r="H138" s="46">
        <f>+SUMIFS($O138:$DR138,$O$7:$DR$7,H$7)</f>
        <v/>
      </c>
      <c r="I138" s="46">
        <f>+SUMIFS($O138:$DR138,$O$7:$DR$7,I$7)</f>
        <v/>
      </c>
      <c r="J138" s="46">
        <f>+SUMIFS($O138:$DR138,$O$7:$DR$7,J$7)</f>
        <v/>
      </c>
      <c r="K138" s="46">
        <f>+SUMIFS($O138:$DR138,$O$7:$DR$7,K$7)</f>
        <v/>
      </c>
      <c r="L138" s="46">
        <f>+SUMIFS($O138:$DR138,$O$7:$DR$7,L$7)</f>
        <v/>
      </c>
      <c r="M138" s="46">
        <f>+SUMIFS($O138:$DR138,$O$7:$DR$7,M$7)</f>
        <v/>
      </c>
      <c r="O138" s="47" t="n">
        <v>0</v>
      </c>
      <c r="P138" s="47" t="n">
        <v>18.67</v>
      </c>
      <c r="Q138" s="47" t="n">
        <v>0.34</v>
      </c>
      <c r="R138" s="47" t="n">
        <v>1.221</v>
      </c>
      <c r="S138" s="47" t="n">
        <v>4.57</v>
      </c>
      <c r="T138" s="47" t="n">
        <v>1.819</v>
      </c>
      <c r="U138" s="47" t="n">
        <v>7.038</v>
      </c>
      <c r="V138" s="47" t="n">
        <v>0.969</v>
      </c>
      <c r="W138" s="47" t="n">
        <v>8.473000000000001</v>
      </c>
      <c r="X138" s="47" t="n">
        <v>2.425</v>
      </c>
      <c r="Y138" s="47" t="n">
        <v>1.455</v>
      </c>
      <c r="Z138" s="47" t="n">
        <v>0</v>
      </c>
      <c r="AA138" s="47" t="n">
        <v>23.513</v>
      </c>
      <c r="AB138" s="47" t="n">
        <v>4.437</v>
      </c>
      <c r="AC138" s="47" t="n">
        <v>0.8</v>
      </c>
      <c r="AD138" s="47" t="n">
        <v>0</v>
      </c>
      <c r="AE138" s="47" t="n">
        <v>0.738</v>
      </c>
      <c r="AF138" s="47" t="n">
        <v>2.042</v>
      </c>
      <c r="AG138" s="47" t="n">
        <v>0.695</v>
      </c>
      <c r="AH138" s="47" t="n">
        <v>0</v>
      </c>
      <c r="AI138" s="47" t="n">
        <v>0</v>
      </c>
      <c r="AJ138" s="47" t="n">
        <v>0</v>
      </c>
      <c r="AK138" s="47" t="n">
        <v>27.019</v>
      </c>
      <c r="AL138" s="47" t="n">
        <v>2.111</v>
      </c>
      <c r="AM138" s="47" t="n">
        <v>0</v>
      </c>
      <c r="AN138" s="47" t="n">
        <v>10.399</v>
      </c>
      <c r="AO138" s="47" t="n">
        <v>14.696</v>
      </c>
      <c r="AP138" s="47" t="n">
        <v>12.373</v>
      </c>
      <c r="AQ138" s="47" t="n">
        <v>11.823</v>
      </c>
      <c r="AR138" s="47" t="n">
        <v>9.647</v>
      </c>
      <c r="AS138" s="47" t="n">
        <v>0.342</v>
      </c>
      <c r="AT138" s="47" t="n">
        <v>0</v>
      </c>
      <c r="AU138" s="47" t="n">
        <v>0</v>
      </c>
      <c r="AV138" s="47" t="n">
        <v>0</v>
      </c>
      <c r="AW138" s="47" t="n">
        <v>4.38</v>
      </c>
      <c r="AX138" s="47" t="n">
        <v>6.165</v>
      </c>
      <c r="AY138" s="47" t="n">
        <v>5.415</v>
      </c>
      <c r="AZ138" s="47" t="n">
        <v>6.453</v>
      </c>
      <c r="BA138" s="47" t="n">
        <v>27.265</v>
      </c>
      <c r="BB138" s="47" t="n">
        <v>36.112</v>
      </c>
      <c r="BC138" s="47" t="n">
        <v>11.06</v>
      </c>
      <c r="BD138" s="47" t="n">
        <v>0</v>
      </c>
      <c r="BE138" s="47" t="n">
        <v>8.029999999999999</v>
      </c>
      <c r="BF138" s="47" t="n">
        <v>0</v>
      </c>
      <c r="BG138" s="47" t="n">
        <v>10.8</v>
      </c>
      <c r="BH138" s="47" t="n">
        <v>0.88</v>
      </c>
      <c r="BI138" s="47" t="n">
        <v>2.85</v>
      </c>
      <c r="BJ138" s="47" t="n">
        <v>10.59</v>
      </c>
      <c r="BK138" s="47" t="n">
        <v>20.82</v>
      </c>
      <c r="BL138" s="47" t="n">
        <v>19</v>
      </c>
      <c r="BM138" s="47" t="n">
        <v>0</v>
      </c>
      <c r="BN138" s="47" t="n">
        <v>10.57555555555555</v>
      </c>
      <c r="BO138" s="47" t="n">
        <v>10.57555555555555</v>
      </c>
      <c r="BP138" s="47" t="n">
        <v>10.57555555555556</v>
      </c>
      <c r="BQ138" s="47" t="n">
        <v>10.57555555555555</v>
      </c>
      <c r="BR138" s="47" t="n">
        <v>10.57555555555556</v>
      </c>
      <c r="BS138" s="47" t="n">
        <v>10.57555555555555</v>
      </c>
      <c r="BT138" s="47" t="n">
        <v>10.57555555555555</v>
      </c>
      <c r="BU138" s="47" t="n">
        <v>10.57555555555555</v>
      </c>
      <c r="BV138" s="47" t="n">
        <v>10.57555555555556</v>
      </c>
      <c r="BW138" s="102" t="n"/>
      <c r="BX138" s="102" t="n"/>
      <c r="BY138" s="102" t="n"/>
      <c r="BZ138" s="102" t="n"/>
      <c r="CA138" s="102" t="n"/>
      <c r="CB138" s="102" t="n"/>
      <c r="CC138" s="102" t="n"/>
      <c r="CD138" s="102" t="n"/>
      <c r="CE138" s="102" t="n"/>
      <c r="CF138" s="102" t="n"/>
      <c r="CG138" s="102" t="n"/>
      <c r="CH138" s="102" t="n"/>
      <c r="CI138" s="102" t="n"/>
      <c r="CJ138" s="102" t="n"/>
      <c r="CK138" s="102" t="n"/>
      <c r="CL138" s="102" t="n"/>
      <c r="CM138" s="102" t="n"/>
      <c r="CN138" s="102" t="n"/>
      <c r="CO138" s="102" t="n"/>
      <c r="CP138" s="102" t="n"/>
      <c r="CQ138" s="102" t="n"/>
      <c r="CR138" s="102" t="n"/>
      <c r="CS138" s="102" t="n"/>
      <c r="CT138" s="102" t="n"/>
      <c r="CU138" s="102" t="n"/>
      <c r="CV138" s="102" t="n"/>
      <c r="CW138" s="102" t="n"/>
      <c r="CX138" s="102" t="n"/>
      <c r="CY138" s="102" t="n"/>
      <c r="CZ138" s="102" t="n"/>
      <c r="DA138" s="102" t="n"/>
      <c r="DB138" s="102" t="n"/>
      <c r="DC138" s="102" t="n"/>
      <c r="DD138" s="102" t="n"/>
      <c r="DE138" s="102" t="n"/>
      <c r="DF138" s="102" t="n"/>
      <c r="DG138" s="102" t="n"/>
      <c r="DH138" s="102" t="n"/>
      <c r="DI138" s="102" t="n"/>
      <c r="DJ138" s="102" t="n"/>
      <c r="DK138" s="102" t="n"/>
      <c r="DL138" s="102" t="n"/>
      <c r="DM138" s="102" t="n"/>
      <c r="DN138" s="102" t="n"/>
      <c r="DO138" s="102" t="n"/>
      <c r="DP138" s="102" t="n"/>
      <c r="DQ138" s="102" t="n"/>
      <c r="DR138" s="102" t="n"/>
      <c r="DT138" s="46">
        <f>+F138-E138</f>
        <v/>
      </c>
      <c r="DU138" s="46">
        <f>+G138-F138</f>
        <v/>
      </c>
      <c r="DV138" s="46">
        <f>+H138-G138</f>
        <v/>
      </c>
      <c r="DW138" s="46">
        <f>+I138-H138</f>
        <v/>
      </c>
    </row>
    <row r="139" hidden="1" outlineLevel="1" ht="15.75" customHeight="1">
      <c r="B139" s="5" t="inlineStr">
        <is>
          <t>AOTA</t>
        </is>
      </c>
      <c r="C139" s="68" t="inlineStr">
        <is>
          <t>Lower Middle Market</t>
        </is>
      </c>
      <c r="E139" s="46">
        <f>+SUMIFS($O139:$DR139,$O$7:$DR$7,E$7)</f>
        <v/>
      </c>
      <c r="F139" s="46">
        <f>+SUMIFS($O139:$DR139,$O$7:$DR$7,F$7)</f>
        <v/>
      </c>
      <c r="G139" s="46">
        <f>+SUMIFS($O139:$DR139,$O$7:$DR$7,G$7)</f>
        <v/>
      </c>
      <c r="H139" s="46">
        <f>+SUMIFS($O139:$DR139,$O$7:$DR$7,H$7)</f>
        <v/>
      </c>
      <c r="I139" s="46">
        <f>+SUMIFS($O139:$DR139,$O$7:$DR$7,I$7)</f>
        <v/>
      </c>
      <c r="J139" s="46">
        <f>+SUMIFS($O139:$DR139,$O$7:$DR$7,J$7)</f>
        <v/>
      </c>
      <c r="K139" s="46">
        <f>+SUMIFS($O139:$DR139,$O$7:$DR$7,K$7)</f>
        <v/>
      </c>
      <c r="L139" s="46">
        <f>+SUMIFS($O139:$DR139,$O$7:$DR$7,L$7)</f>
        <v/>
      </c>
      <c r="M139" s="46">
        <f>+SUMIFS($O139:$DR139,$O$7:$DR$7,M$7)</f>
        <v/>
      </c>
      <c r="O139" s="47" t="n">
        <v>0</v>
      </c>
      <c r="P139" s="47" t="n">
        <v>0</v>
      </c>
      <c r="Q139" s="47" t="n">
        <v>0</v>
      </c>
      <c r="R139" s="47" t="n">
        <v>0</v>
      </c>
      <c r="S139" s="47" t="n">
        <v>0</v>
      </c>
      <c r="T139" s="47" t="n">
        <v>0</v>
      </c>
      <c r="U139" s="47" t="n">
        <v>0</v>
      </c>
      <c r="V139" s="47" t="n">
        <v>0</v>
      </c>
      <c r="W139" s="47" t="n">
        <v>0</v>
      </c>
      <c r="X139" s="47" t="n">
        <v>0</v>
      </c>
      <c r="Y139" s="47" t="n">
        <v>0</v>
      </c>
      <c r="Z139" s="47" t="n">
        <v>0</v>
      </c>
      <c r="AA139" s="47" t="n">
        <v>0</v>
      </c>
      <c r="AB139" s="47" t="n">
        <v>0</v>
      </c>
      <c r="AC139" s="47" t="n">
        <v>0</v>
      </c>
      <c r="AD139" s="47" t="n">
        <v>0</v>
      </c>
      <c r="AE139" s="47" t="n">
        <v>0</v>
      </c>
      <c r="AF139" s="47" t="n">
        <v>0</v>
      </c>
      <c r="AG139" s="47" t="n">
        <v>0</v>
      </c>
      <c r="AH139" s="47" t="n">
        <v>0</v>
      </c>
      <c r="AI139" s="47" t="n">
        <v>3.85</v>
      </c>
      <c r="AJ139" s="47" t="n">
        <v>29.259</v>
      </c>
      <c r="AK139" s="47" t="n">
        <v>7.545</v>
      </c>
      <c r="AL139" s="47" t="n">
        <v>1.964</v>
      </c>
      <c r="AM139" s="47" t="n">
        <v>3.581</v>
      </c>
      <c r="AN139" s="47" t="n">
        <v>0</v>
      </c>
      <c r="AO139" s="47" t="n">
        <v>0</v>
      </c>
      <c r="AP139" s="47" t="n">
        <v>0</v>
      </c>
      <c r="AQ139" s="47" t="n">
        <v>0</v>
      </c>
      <c r="AR139" s="47" t="n">
        <v>0</v>
      </c>
      <c r="AS139" s="47" t="n">
        <v>0</v>
      </c>
      <c r="AT139" s="47" t="n">
        <v>0</v>
      </c>
      <c r="AU139" s="47" t="n">
        <v>0</v>
      </c>
      <c r="AV139" s="47" t="n">
        <v>0</v>
      </c>
      <c r="AW139" s="47" t="n">
        <v>0</v>
      </c>
      <c r="AX139" s="47" t="n">
        <v>0</v>
      </c>
      <c r="AY139" s="47" t="n">
        <v>0</v>
      </c>
      <c r="AZ139" s="47" t="n">
        <v>0</v>
      </c>
      <c r="BA139" s="47" t="n">
        <v>0</v>
      </c>
      <c r="BB139" s="47" t="n">
        <v>0</v>
      </c>
      <c r="BC139" s="47" t="n">
        <v>1.968</v>
      </c>
      <c r="BD139" s="47" t="n">
        <v>0.492</v>
      </c>
      <c r="BE139" s="47" t="n">
        <v>0</v>
      </c>
      <c r="BF139" s="47" t="n">
        <v>0</v>
      </c>
      <c r="BG139" s="47" t="n">
        <v>0</v>
      </c>
      <c r="BH139" s="47" t="n">
        <v>0</v>
      </c>
      <c r="BI139" s="47" t="n">
        <v>0</v>
      </c>
      <c r="BJ139" s="47" t="n">
        <v>0</v>
      </c>
      <c r="BK139" s="47" t="n">
        <v>0</v>
      </c>
      <c r="BL139" s="47" t="n">
        <v>0</v>
      </c>
      <c r="BM139" s="47" t="n">
        <v>0</v>
      </c>
      <c r="BN139" s="47" t="n">
        <v>0.2777777777777778</v>
      </c>
      <c r="BO139" s="47" t="n">
        <v>0.2777777777777778</v>
      </c>
      <c r="BP139" s="47" t="n">
        <v>0.2777777777777778</v>
      </c>
      <c r="BQ139" s="47" t="n">
        <v>0.2777777777777778</v>
      </c>
      <c r="BR139" s="47" t="n">
        <v>0.2777777777777778</v>
      </c>
      <c r="BS139" s="47" t="n">
        <v>0.2777777777777778</v>
      </c>
      <c r="BT139" s="47" t="n">
        <v>0.2777777777777778</v>
      </c>
      <c r="BU139" s="47" t="n">
        <v>0.2777777777777777</v>
      </c>
      <c r="BV139" s="47" t="n">
        <v>0.2777777777777778</v>
      </c>
      <c r="BW139" s="102" t="n"/>
      <c r="BX139" s="102" t="n"/>
      <c r="BY139" s="102" t="n"/>
      <c r="BZ139" s="102" t="n"/>
      <c r="CA139" s="102" t="n"/>
      <c r="CB139" s="102" t="n"/>
      <c r="CC139" s="102" t="n"/>
      <c r="CD139" s="102" t="n"/>
      <c r="CE139" s="102" t="n"/>
      <c r="CF139" s="102" t="n"/>
      <c r="CG139" s="102" t="n"/>
      <c r="CH139" s="102" t="n"/>
      <c r="CI139" s="102" t="n"/>
      <c r="CJ139" s="102" t="n"/>
      <c r="CK139" s="102" t="n"/>
      <c r="CL139" s="102" t="n"/>
      <c r="CM139" s="102" t="n"/>
      <c r="CN139" s="102" t="n"/>
      <c r="CO139" s="102" t="n"/>
      <c r="CP139" s="102" t="n"/>
      <c r="CQ139" s="102" t="n"/>
      <c r="CR139" s="102" t="n"/>
      <c r="CS139" s="102" t="n"/>
      <c r="CT139" s="102" t="n"/>
      <c r="CU139" s="102" t="n"/>
      <c r="CV139" s="102" t="n"/>
      <c r="CW139" s="102" t="n"/>
      <c r="CX139" s="102" t="n"/>
      <c r="CY139" s="102" t="n"/>
      <c r="CZ139" s="102" t="n"/>
      <c r="DA139" s="102" t="n"/>
      <c r="DB139" s="102" t="n"/>
      <c r="DC139" s="102" t="n"/>
      <c r="DD139" s="102" t="n"/>
      <c r="DE139" s="102" t="n"/>
      <c r="DF139" s="102" t="n"/>
      <c r="DG139" s="102" t="n"/>
      <c r="DH139" s="102" t="n"/>
      <c r="DI139" s="102" t="n"/>
      <c r="DJ139" s="102" t="n"/>
      <c r="DK139" s="102" t="n"/>
      <c r="DL139" s="102" t="n"/>
      <c r="DM139" s="102" t="n"/>
      <c r="DN139" s="102" t="n"/>
      <c r="DO139" s="102" t="n"/>
      <c r="DP139" s="102" t="n"/>
      <c r="DQ139" s="102" t="n"/>
      <c r="DR139" s="102" t="n"/>
      <c r="DT139" s="46">
        <f>+F139-E139</f>
        <v/>
      </c>
      <c r="DU139" s="46">
        <f>+G139-F139</f>
        <v/>
      </c>
      <c r="DV139" s="46">
        <f>+H139-G139</f>
        <v/>
      </c>
      <c r="DW139" s="46">
        <f>+I139-H139</f>
        <v/>
      </c>
    </row>
    <row r="140" hidden="1" outlineLevel="1" ht="15.75" customHeight="1">
      <c r="B140" s="5" t="inlineStr">
        <is>
          <t>ARP</t>
        </is>
      </c>
      <c r="C140" s="68" t="inlineStr">
        <is>
          <t>Lower Middle Market</t>
        </is>
      </c>
      <c r="E140" s="46">
        <f>+SUMIFS($O140:$DR140,$O$7:$DR$7,E$7)</f>
        <v/>
      </c>
      <c r="F140" s="46">
        <f>+SUMIFS($O140:$DR140,$O$7:$DR$7,F$7)</f>
        <v/>
      </c>
      <c r="G140" s="46">
        <f>+SUMIFS($O140:$DR140,$O$7:$DR$7,G$7)</f>
        <v/>
      </c>
      <c r="H140" s="46">
        <f>+SUMIFS($O140:$DR140,$O$7:$DR$7,H$7)</f>
        <v/>
      </c>
      <c r="I140" s="46">
        <f>+SUMIFS($O140:$DR140,$O$7:$DR$7,I$7)</f>
        <v/>
      </c>
      <c r="J140" s="46">
        <f>+SUMIFS($O140:$DR140,$O$7:$DR$7,J$7)</f>
        <v/>
      </c>
      <c r="K140" s="46">
        <f>+SUMIFS($O140:$DR140,$O$7:$DR$7,K$7)</f>
        <v/>
      </c>
      <c r="L140" s="46">
        <f>+SUMIFS($O140:$DR140,$O$7:$DR$7,L$7)</f>
        <v/>
      </c>
      <c r="M140" s="46">
        <f>+SUMIFS($O140:$DR140,$O$7:$DR$7,M$7)</f>
        <v/>
      </c>
      <c r="O140" s="47" t="n">
        <v>0</v>
      </c>
      <c r="P140" s="47" t="n">
        <v>0</v>
      </c>
      <c r="Q140" s="47" t="n">
        <v>0</v>
      </c>
      <c r="R140" s="47" t="n">
        <v>0</v>
      </c>
      <c r="S140" s="47" t="n">
        <v>0</v>
      </c>
      <c r="T140" s="47" t="n">
        <v>0</v>
      </c>
      <c r="U140" s="47" t="n">
        <v>0</v>
      </c>
      <c r="V140" s="47" t="n">
        <v>0</v>
      </c>
      <c r="W140" s="47" t="n">
        <v>0</v>
      </c>
      <c r="X140" s="47" t="n">
        <v>0</v>
      </c>
      <c r="Y140" s="47" t="n">
        <v>0</v>
      </c>
      <c r="Z140" s="47" t="n">
        <v>0</v>
      </c>
      <c r="AA140" s="47" t="n">
        <v>0</v>
      </c>
      <c r="AB140" s="47" t="n">
        <v>0</v>
      </c>
      <c r="AC140" s="47" t="n">
        <v>0</v>
      </c>
      <c r="AD140" s="47" t="n">
        <v>0</v>
      </c>
      <c r="AE140" s="47" t="n">
        <v>0</v>
      </c>
      <c r="AF140" s="47" t="n">
        <v>0</v>
      </c>
      <c r="AG140" s="47" t="n">
        <v>0</v>
      </c>
      <c r="AH140" s="47" t="n">
        <v>0</v>
      </c>
      <c r="AI140" s="47" t="n">
        <v>0</v>
      </c>
      <c r="AJ140" s="47" t="n">
        <v>0</v>
      </c>
      <c r="AK140" s="47" t="n">
        <v>0</v>
      </c>
      <c r="AL140" s="47" t="n">
        <v>0</v>
      </c>
      <c r="AM140" s="47" t="n">
        <v>0</v>
      </c>
      <c r="AN140" s="47" t="n">
        <v>0</v>
      </c>
      <c r="AO140" s="47" t="n">
        <v>0</v>
      </c>
      <c r="AP140" s="47" t="n">
        <v>0</v>
      </c>
      <c r="AQ140" s="47" t="n">
        <v>0</v>
      </c>
      <c r="AR140" s="47" t="n">
        <v>0</v>
      </c>
      <c r="AS140" s="47" t="n">
        <v>0</v>
      </c>
      <c r="AT140" s="47" t="n">
        <v>0</v>
      </c>
      <c r="AU140" s="47" t="n">
        <v>0</v>
      </c>
      <c r="AV140" s="47" t="n">
        <v>0</v>
      </c>
      <c r="AW140" s="47" t="n">
        <v>0</v>
      </c>
      <c r="AX140" s="47" t="n">
        <v>0</v>
      </c>
      <c r="AY140" s="47" t="n">
        <v>0</v>
      </c>
      <c r="AZ140" s="47" t="n">
        <v>0</v>
      </c>
      <c r="BA140" s="47" t="n">
        <v>0</v>
      </c>
      <c r="BB140" s="47" t="n">
        <v>0</v>
      </c>
      <c r="BC140" s="47" t="n">
        <v>0</v>
      </c>
      <c r="BD140" s="47" t="n">
        <v>0</v>
      </c>
      <c r="BE140" s="47" t="n">
        <v>0</v>
      </c>
      <c r="BF140" s="47" t="n">
        <v>0</v>
      </c>
      <c r="BG140" s="47" t="n">
        <v>0</v>
      </c>
      <c r="BH140" s="47" t="n">
        <v>0</v>
      </c>
      <c r="BI140" s="47" t="n">
        <v>0</v>
      </c>
      <c r="BJ140" s="47" t="n">
        <v>0</v>
      </c>
      <c r="BK140" s="47" t="n">
        <v>0</v>
      </c>
      <c r="BL140" s="47" t="n">
        <v>0</v>
      </c>
      <c r="BM140" s="47" t="n">
        <v>0</v>
      </c>
      <c r="BN140" s="47" t="n">
        <v>0</v>
      </c>
      <c r="BO140" s="47" t="n">
        <v>0</v>
      </c>
      <c r="BP140" s="47" t="n">
        <v>0</v>
      </c>
      <c r="BQ140" s="47" t="n">
        <v>0</v>
      </c>
      <c r="BR140" s="47" t="n">
        <v>0</v>
      </c>
      <c r="BS140" s="47" t="n">
        <v>0</v>
      </c>
      <c r="BT140" s="47" t="n">
        <v>0</v>
      </c>
      <c r="BU140" s="47" t="n">
        <v>0</v>
      </c>
      <c r="BV140" s="47" t="n">
        <v>0</v>
      </c>
      <c r="BW140" s="102" t="n"/>
      <c r="BX140" s="102" t="n"/>
      <c r="BY140" s="102" t="n"/>
      <c r="BZ140" s="102" t="n"/>
      <c r="CA140" s="102" t="n"/>
      <c r="CB140" s="102" t="n"/>
      <c r="CC140" s="102" t="n"/>
      <c r="CD140" s="102" t="n"/>
      <c r="CE140" s="102" t="n"/>
      <c r="CF140" s="102" t="n"/>
      <c r="CG140" s="102" t="n"/>
      <c r="CH140" s="102" t="n"/>
      <c r="CI140" s="102" t="n"/>
      <c r="CJ140" s="102" t="n"/>
      <c r="CK140" s="102" t="n"/>
      <c r="CL140" s="102" t="n"/>
      <c r="CM140" s="102" t="n"/>
      <c r="CN140" s="102" t="n"/>
      <c r="CO140" s="102" t="n"/>
      <c r="CP140" s="102" t="n"/>
      <c r="CQ140" s="102" t="n"/>
      <c r="CR140" s="102" t="n"/>
      <c r="CS140" s="102" t="n"/>
      <c r="CT140" s="102" t="n"/>
      <c r="CU140" s="102" t="n"/>
      <c r="CV140" s="102" t="n"/>
      <c r="CW140" s="102" t="n"/>
      <c r="CX140" s="102" t="n"/>
      <c r="CY140" s="102" t="n"/>
      <c r="CZ140" s="102" t="n"/>
      <c r="DA140" s="102" t="n"/>
      <c r="DB140" s="102" t="n"/>
      <c r="DC140" s="102" t="n"/>
      <c r="DD140" s="102" t="n"/>
      <c r="DE140" s="102" t="n"/>
      <c r="DF140" s="102" t="n"/>
      <c r="DG140" s="102" t="n"/>
      <c r="DH140" s="102" t="n"/>
      <c r="DI140" s="102" t="n"/>
      <c r="DJ140" s="102" t="n"/>
      <c r="DK140" s="102" t="n"/>
      <c r="DL140" s="102" t="n"/>
      <c r="DM140" s="102" t="n"/>
      <c r="DN140" s="102" t="n"/>
      <c r="DO140" s="102" t="n"/>
      <c r="DP140" s="102" t="n"/>
      <c r="DQ140" s="102" t="n"/>
      <c r="DR140" s="102" t="n"/>
      <c r="DT140" s="46">
        <f>+F140-E140</f>
        <v/>
      </c>
      <c r="DU140" s="46">
        <f>+G140-F140</f>
        <v/>
      </c>
      <c r="DV140" s="46">
        <f>+H140-G140</f>
        <v/>
      </c>
      <c r="DW140" s="46">
        <f>+I140-H140</f>
        <v/>
      </c>
    </row>
    <row r="141" hidden="1" outlineLevel="1" ht="15.75" customHeight="1">
      <c r="B141" s="5" t="inlineStr">
        <is>
          <t>ARVO</t>
        </is>
      </c>
      <c r="C141" s="68" t="inlineStr">
        <is>
          <t>Lower Middle Market</t>
        </is>
      </c>
      <c r="E141" s="46">
        <f>+SUMIFS($O141:$DR141,$O$7:$DR$7,E$7)</f>
        <v/>
      </c>
      <c r="F141" s="46">
        <f>+SUMIFS($O141:$DR141,$O$7:$DR$7,F$7)</f>
        <v/>
      </c>
      <c r="G141" s="46">
        <f>+SUMIFS($O141:$DR141,$O$7:$DR$7,G$7)</f>
        <v/>
      </c>
      <c r="H141" s="46">
        <f>+SUMIFS($O141:$DR141,$O$7:$DR$7,H$7)</f>
        <v/>
      </c>
      <c r="I141" s="46">
        <f>+SUMIFS($O141:$DR141,$O$7:$DR$7,I$7)</f>
        <v/>
      </c>
      <c r="J141" s="46">
        <f>+SUMIFS($O141:$DR141,$O$7:$DR$7,J$7)</f>
        <v/>
      </c>
      <c r="K141" s="46">
        <f>+SUMIFS($O141:$DR141,$O$7:$DR$7,K$7)</f>
        <v/>
      </c>
      <c r="L141" s="46">
        <f>+SUMIFS($O141:$DR141,$O$7:$DR$7,L$7)</f>
        <v/>
      </c>
      <c r="M141" s="46">
        <f>+SUMIFS($O141:$DR141,$O$7:$DR$7,M$7)</f>
        <v/>
      </c>
      <c r="O141" s="47" t="n">
        <v>0</v>
      </c>
      <c r="P141" s="47" t="n">
        <v>0</v>
      </c>
      <c r="Q141" s="47" t="n">
        <v>0</v>
      </c>
      <c r="R141" s="47" t="n">
        <v>0</v>
      </c>
      <c r="S141" s="47" t="n">
        <v>2.97</v>
      </c>
      <c r="T141" s="47" t="n">
        <v>0.33</v>
      </c>
      <c r="U141" s="47" t="n">
        <v>1.7</v>
      </c>
      <c r="V141" s="47" t="n">
        <v>0</v>
      </c>
      <c r="W141" s="47" t="n">
        <v>0</v>
      </c>
      <c r="X141" s="47" t="n">
        <v>3.705</v>
      </c>
      <c r="Y141" s="47" t="n">
        <v>0.195</v>
      </c>
      <c r="Z141" s="47" t="n">
        <v>0</v>
      </c>
      <c r="AA141" s="47" t="n">
        <v>0</v>
      </c>
      <c r="AB141" s="47" t="n">
        <v>0</v>
      </c>
      <c r="AC141" s="47" t="n">
        <v>3.478</v>
      </c>
      <c r="AD141" s="47" t="n">
        <v>0.322</v>
      </c>
      <c r="AE141" s="47" t="n">
        <v>0</v>
      </c>
      <c r="AF141" s="47" t="n">
        <v>0</v>
      </c>
      <c r="AG141" s="47" t="n">
        <v>0</v>
      </c>
      <c r="AH141" s="47" t="n">
        <v>0</v>
      </c>
      <c r="AI141" s="47" t="n">
        <v>0</v>
      </c>
      <c r="AJ141" s="47" t="n">
        <v>0</v>
      </c>
      <c r="AK141" s="47" t="n">
        <v>0</v>
      </c>
      <c r="AL141" s="47" t="n">
        <v>0</v>
      </c>
      <c r="AM141" s="47" t="n">
        <v>0</v>
      </c>
      <c r="AN141" s="47" t="n">
        <v>0</v>
      </c>
      <c r="AO141" s="47" t="n">
        <v>0</v>
      </c>
      <c r="AP141" s="47" t="n">
        <v>0</v>
      </c>
      <c r="AQ141" s="47" t="n">
        <v>0</v>
      </c>
      <c r="AR141" s="47" t="n">
        <v>0</v>
      </c>
      <c r="AS141" s="47" t="n">
        <v>0</v>
      </c>
      <c r="AT141" s="47" t="n">
        <v>0</v>
      </c>
      <c r="AU141" s="47" t="n">
        <v>0</v>
      </c>
      <c r="AV141" s="47" t="n">
        <v>0</v>
      </c>
      <c r="AW141" s="47" t="n">
        <v>0</v>
      </c>
      <c r="AX141" s="47" t="n">
        <v>0</v>
      </c>
      <c r="AY141" s="47" t="n">
        <v>0</v>
      </c>
      <c r="AZ141" s="47" t="n">
        <v>0</v>
      </c>
      <c r="BA141" s="47" t="n">
        <v>0</v>
      </c>
      <c r="BB141" s="47" t="n">
        <v>0</v>
      </c>
      <c r="BC141" s="47" t="n">
        <v>3.6</v>
      </c>
      <c r="BD141" s="47" t="n">
        <v>0</v>
      </c>
      <c r="BE141" s="47" t="n">
        <v>0</v>
      </c>
      <c r="BF141" s="47" t="n">
        <v>0</v>
      </c>
      <c r="BG141" s="47" t="n">
        <v>0</v>
      </c>
      <c r="BH141" s="47" t="n">
        <v>0</v>
      </c>
      <c r="BI141" s="47" t="n">
        <v>0</v>
      </c>
      <c r="BJ141" s="47" t="n">
        <v>5.814</v>
      </c>
      <c r="BK141" s="47" t="n">
        <v>2.565</v>
      </c>
      <c r="BL141" s="47" t="n">
        <v>0.081</v>
      </c>
      <c r="BM141" s="47" t="n">
        <v>0</v>
      </c>
      <c r="BN141" s="47" t="n">
        <v>0.2615555555555555</v>
      </c>
      <c r="BO141" s="47" t="n">
        <v>0.2615555555555555</v>
      </c>
      <c r="BP141" s="47" t="n">
        <v>0.2615555555555555</v>
      </c>
      <c r="BQ141" s="47" t="n">
        <v>0.2615555555555555</v>
      </c>
      <c r="BR141" s="47" t="n">
        <v>0.2615555555555555</v>
      </c>
      <c r="BS141" s="47" t="n">
        <v>0.2615555555555554</v>
      </c>
      <c r="BT141" s="47" t="n">
        <v>0.2615555555555554</v>
      </c>
      <c r="BU141" s="47" t="n">
        <v>0.2615555555555552</v>
      </c>
      <c r="BV141" s="47" t="n">
        <v>0.2615555555555548</v>
      </c>
      <c r="BW141" s="102" t="n"/>
      <c r="BX141" s="102" t="n"/>
      <c r="BY141" s="102" t="n"/>
      <c r="BZ141" s="102" t="n"/>
      <c r="CA141" s="102" t="n"/>
      <c r="CB141" s="102" t="n"/>
      <c r="CC141" s="102" t="n"/>
      <c r="CD141" s="102" t="n"/>
      <c r="CE141" s="102" t="n"/>
      <c r="CF141" s="102" t="n"/>
      <c r="CG141" s="102" t="n"/>
      <c r="CH141" s="102" t="n"/>
      <c r="CI141" s="102" t="n"/>
      <c r="CJ141" s="102" t="n"/>
      <c r="CK141" s="102" t="n"/>
      <c r="CL141" s="102" t="n"/>
      <c r="CM141" s="102" t="n"/>
      <c r="CN141" s="102" t="n"/>
      <c r="CO141" s="102" t="n"/>
      <c r="CP141" s="102" t="n"/>
      <c r="CQ141" s="102" t="n"/>
      <c r="CR141" s="102" t="n"/>
      <c r="CS141" s="102" t="n"/>
      <c r="CT141" s="102" t="n"/>
      <c r="CU141" s="102" t="n"/>
      <c r="CV141" s="102" t="n"/>
      <c r="CW141" s="102" t="n"/>
      <c r="CX141" s="102" t="n"/>
      <c r="CY141" s="102" t="n"/>
      <c r="CZ141" s="102" t="n"/>
      <c r="DA141" s="102" t="n"/>
      <c r="DB141" s="102" t="n"/>
      <c r="DC141" s="102" t="n"/>
      <c r="DD141" s="102" t="n"/>
      <c r="DE141" s="102" t="n"/>
      <c r="DF141" s="102" t="n"/>
      <c r="DG141" s="102" t="n"/>
      <c r="DH141" s="102" t="n"/>
      <c r="DI141" s="102" t="n"/>
      <c r="DJ141" s="102" t="n"/>
      <c r="DK141" s="102" t="n"/>
      <c r="DL141" s="102" t="n"/>
      <c r="DM141" s="102" t="n"/>
      <c r="DN141" s="102" t="n"/>
      <c r="DO141" s="102" t="n"/>
      <c r="DP141" s="102" t="n"/>
      <c r="DQ141" s="102" t="n"/>
      <c r="DR141" s="102" t="n"/>
      <c r="DT141" s="46">
        <f>+F141-E141</f>
        <v/>
      </c>
      <c r="DU141" s="46">
        <f>+G141-F141</f>
        <v/>
      </c>
      <c r="DV141" s="46">
        <f>+H141-G141</f>
        <v/>
      </c>
      <c r="DW141" s="46">
        <f>+I141-H141</f>
        <v/>
      </c>
    </row>
    <row r="142" hidden="1" outlineLevel="1" ht="15.75" customHeight="1">
      <c r="B142" s="5" t="inlineStr">
        <is>
          <t>ASA</t>
        </is>
      </c>
      <c r="C142" s="68" t="inlineStr">
        <is>
          <t>Upper Middle Market</t>
        </is>
      </c>
      <c r="E142" s="46">
        <f>+SUMIFS($O142:$DR142,$O$7:$DR$7,E$7)</f>
        <v/>
      </c>
      <c r="F142" s="46">
        <f>+SUMIFS($O142:$DR142,$O$7:$DR$7,F$7)</f>
        <v/>
      </c>
      <c r="G142" s="46">
        <f>+SUMIFS($O142:$DR142,$O$7:$DR$7,G$7)</f>
        <v/>
      </c>
      <c r="H142" s="46">
        <f>+SUMIFS($O142:$DR142,$O$7:$DR$7,H$7)</f>
        <v/>
      </c>
      <c r="I142" s="46">
        <f>+SUMIFS($O142:$DR142,$O$7:$DR$7,I$7)</f>
        <v/>
      </c>
      <c r="J142" s="46">
        <f>+SUMIFS($O142:$DR142,$O$7:$DR$7,J$7)</f>
        <v/>
      </c>
      <c r="K142" s="46">
        <f>+SUMIFS($O142:$DR142,$O$7:$DR$7,K$7)</f>
        <v/>
      </c>
      <c r="L142" s="46">
        <f>+SUMIFS($O142:$DR142,$O$7:$DR$7,L$7)</f>
        <v/>
      </c>
      <c r="M142" s="46">
        <f>+SUMIFS($O142:$DR142,$O$7:$DR$7,M$7)</f>
        <v/>
      </c>
      <c r="O142" s="47" t="n">
        <v>5.014</v>
      </c>
      <c r="P142" s="47" t="n">
        <v>6.187</v>
      </c>
      <c r="Q142" s="47" t="n">
        <v>0.883</v>
      </c>
      <c r="R142" s="47" t="n">
        <v>0</v>
      </c>
      <c r="S142" s="47" t="n">
        <v>0</v>
      </c>
      <c r="T142" s="47" t="n">
        <v>0</v>
      </c>
      <c r="U142" s="47" t="n">
        <v>0.99</v>
      </c>
      <c r="V142" s="47" t="n">
        <v>3.25</v>
      </c>
      <c r="W142" s="47" t="n">
        <v>6.996</v>
      </c>
      <c r="X142" s="47" t="n">
        <v>16.381</v>
      </c>
      <c r="Y142" s="47" t="n">
        <v>6.521</v>
      </c>
      <c r="Z142" s="47" t="n">
        <v>0.167</v>
      </c>
      <c r="AA142" s="47" t="n">
        <v>0</v>
      </c>
      <c r="AB142" s="47" t="n">
        <v>5.061</v>
      </c>
      <c r="AC142" s="47" t="n">
        <v>-5.061</v>
      </c>
      <c r="AD142" s="47" t="n">
        <v>0</v>
      </c>
      <c r="AE142" s="47" t="n">
        <v>0</v>
      </c>
      <c r="AF142" s="47" t="n">
        <v>0</v>
      </c>
      <c r="AG142" s="47" t="n">
        <v>0</v>
      </c>
      <c r="AH142" s="47" t="n">
        <v>0</v>
      </c>
      <c r="AI142" s="47" t="n">
        <v>0.789</v>
      </c>
      <c r="AJ142" s="47" t="n">
        <v>0.044</v>
      </c>
      <c r="AK142" s="47" t="n">
        <v>0.042</v>
      </c>
      <c r="AL142" s="47" t="n">
        <v>0</v>
      </c>
      <c r="AM142" s="47" t="n">
        <v>2.139</v>
      </c>
      <c r="AN142" s="47" t="n">
        <v>2.512</v>
      </c>
      <c r="AO142" s="47" t="n">
        <v>0.599</v>
      </c>
      <c r="AP142" s="47" t="n">
        <v>0</v>
      </c>
      <c r="AQ142" s="47" t="n">
        <v>0</v>
      </c>
      <c r="AR142" s="47" t="n">
        <v>4.2</v>
      </c>
      <c r="AS142" s="47" t="n">
        <v>34.201</v>
      </c>
      <c r="AT142" s="47" t="n">
        <v>5.32</v>
      </c>
      <c r="AU142" s="47" t="n">
        <v>1.33</v>
      </c>
      <c r="AV142" s="47" t="n">
        <v>24.7</v>
      </c>
      <c r="AW142" s="47" t="n">
        <v>0</v>
      </c>
      <c r="AX142" s="47" t="n">
        <v>15.217</v>
      </c>
      <c r="AY142" s="47" t="n">
        <v>2.852</v>
      </c>
      <c r="AZ142" s="47" t="n">
        <v>13.74</v>
      </c>
      <c r="BA142" s="47" t="n">
        <v>10.76</v>
      </c>
      <c r="BB142" s="47" t="n">
        <v>8.109999999999999</v>
      </c>
      <c r="BC142" s="47" t="n">
        <v>19.36</v>
      </c>
      <c r="BD142" s="47" t="n">
        <v>3.83</v>
      </c>
      <c r="BE142" s="47" t="n">
        <v>8.699999999999999</v>
      </c>
      <c r="BF142" s="47" t="n">
        <v>3.96</v>
      </c>
      <c r="BG142" s="47" t="n">
        <v>18.66</v>
      </c>
      <c r="BH142" s="47" t="n">
        <v>9.800000000000001</v>
      </c>
      <c r="BI142" s="47" t="n">
        <v>8.58</v>
      </c>
      <c r="BJ142" s="47" t="n">
        <v>1.26</v>
      </c>
      <c r="BK142" s="47" t="n">
        <v>0</v>
      </c>
      <c r="BL142" s="47" t="n">
        <v>0</v>
      </c>
      <c r="BM142" s="47" t="n">
        <v>0</v>
      </c>
      <c r="BN142" s="47" t="n">
        <v>10</v>
      </c>
      <c r="BO142" s="47" t="n">
        <v>10</v>
      </c>
      <c r="BP142" s="47" t="n">
        <v>10</v>
      </c>
      <c r="BQ142" s="47" t="n">
        <v>10</v>
      </c>
      <c r="BR142" s="47" t="n">
        <v>10</v>
      </c>
      <c r="BS142" s="47" t="n">
        <v>10</v>
      </c>
      <c r="BT142" s="47" t="n">
        <v>10</v>
      </c>
      <c r="BU142" s="47" t="n">
        <v>10</v>
      </c>
      <c r="BV142" s="47" t="n">
        <v>10</v>
      </c>
      <c r="BW142" s="102" t="n"/>
      <c r="BX142" s="102" t="n"/>
      <c r="BY142" s="102" t="n"/>
      <c r="BZ142" s="102" t="n"/>
      <c r="CA142" s="102" t="n"/>
      <c r="CB142" s="102" t="n"/>
      <c r="CC142" s="102" t="n"/>
      <c r="CD142" s="102" t="n"/>
      <c r="CE142" s="102" t="n"/>
      <c r="CF142" s="102" t="n"/>
      <c r="CG142" s="102" t="n"/>
      <c r="CH142" s="102" t="n"/>
      <c r="CI142" s="102" t="n"/>
      <c r="CJ142" s="102" t="n"/>
      <c r="CK142" s="102" t="n"/>
      <c r="CL142" s="102" t="n"/>
      <c r="CM142" s="102" t="n"/>
      <c r="CN142" s="102" t="n"/>
      <c r="CO142" s="102" t="n"/>
      <c r="CP142" s="102" t="n"/>
      <c r="CQ142" s="102" t="n"/>
      <c r="CR142" s="102" t="n"/>
      <c r="CS142" s="102" t="n"/>
      <c r="CT142" s="102" t="n"/>
      <c r="CU142" s="102" t="n"/>
      <c r="CV142" s="102" t="n"/>
      <c r="CW142" s="102" t="n"/>
      <c r="CX142" s="102" t="n"/>
      <c r="CY142" s="102" t="n"/>
      <c r="CZ142" s="102" t="n"/>
      <c r="DA142" s="102" t="n"/>
      <c r="DB142" s="102" t="n"/>
      <c r="DC142" s="102" t="n"/>
      <c r="DD142" s="102" t="n"/>
      <c r="DE142" s="102" t="n"/>
      <c r="DF142" s="102" t="n"/>
      <c r="DG142" s="102" t="n"/>
      <c r="DH142" s="102" t="n"/>
      <c r="DI142" s="102" t="n"/>
      <c r="DJ142" s="102" t="n"/>
      <c r="DK142" s="102" t="n"/>
      <c r="DL142" s="102" t="n"/>
      <c r="DM142" s="102" t="n"/>
      <c r="DN142" s="102" t="n"/>
      <c r="DO142" s="102" t="n"/>
      <c r="DP142" s="102" t="n"/>
      <c r="DQ142" s="102" t="n"/>
      <c r="DR142" s="102" t="n"/>
      <c r="DT142" s="46">
        <f>+F142-E142</f>
        <v/>
      </c>
      <c r="DU142" s="46">
        <f>+G142-F142</f>
        <v/>
      </c>
      <c r="DV142" s="46">
        <f>+H142-G142</f>
        <v/>
      </c>
      <c r="DW142" s="46">
        <f>+I142-H142</f>
        <v/>
      </c>
    </row>
    <row r="143" hidden="1" outlineLevel="1" ht="15.75" customHeight="1">
      <c r="B143" s="5" t="inlineStr">
        <is>
          <t>ASM</t>
        </is>
      </c>
      <c r="C143" s="68" t="inlineStr">
        <is>
          <t>Upper Middle Market</t>
        </is>
      </c>
      <c r="E143" s="46">
        <f>+SUMIFS($O143:$DR143,$O$7:$DR$7,E$7)</f>
        <v/>
      </c>
      <c r="F143" s="46">
        <f>+SUMIFS($O143:$DR143,$O$7:$DR$7,F$7)</f>
        <v/>
      </c>
      <c r="G143" s="46">
        <f>+SUMIFS($O143:$DR143,$O$7:$DR$7,G$7)</f>
        <v/>
      </c>
      <c r="H143" s="46">
        <f>+SUMIFS($O143:$DR143,$O$7:$DR$7,H$7)</f>
        <v/>
      </c>
      <c r="I143" s="46">
        <f>+SUMIFS($O143:$DR143,$O$7:$DR$7,I$7)</f>
        <v/>
      </c>
      <c r="J143" s="46">
        <f>+SUMIFS($O143:$DR143,$O$7:$DR$7,J$7)</f>
        <v/>
      </c>
      <c r="K143" s="46">
        <f>+SUMIFS($O143:$DR143,$O$7:$DR$7,K$7)</f>
        <v/>
      </c>
      <c r="L143" s="46">
        <f>+SUMIFS($O143:$DR143,$O$7:$DR$7,L$7)</f>
        <v/>
      </c>
      <c r="M143" s="46">
        <f>+SUMIFS($O143:$DR143,$O$7:$DR$7,M$7)</f>
        <v/>
      </c>
      <c r="O143" s="47" t="n">
        <v>0</v>
      </c>
      <c r="P143" s="47" t="n">
        <v>0</v>
      </c>
      <c r="Q143" s="47" t="n">
        <v>0</v>
      </c>
      <c r="R143" s="47" t="n">
        <v>0</v>
      </c>
      <c r="S143" s="47" t="n">
        <v>0</v>
      </c>
      <c r="T143" s="47" t="n">
        <v>0</v>
      </c>
      <c r="U143" s="47" t="n">
        <v>0</v>
      </c>
      <c r="V143" s="47" t="n">
        <v>0</v>
      </c>
      <c r="W143" s="47" t="n">
        <v>0</v>
      </c>
      <c r="X143" s="47" t="n">
        <v>0</v>
      </c>
      <c r="Y143" s="47" t="n">
        <v>0</v>
      </c>
      <c r="Z143" s="47" t="n">
        <v>0</v>
      </c>
      <c r="AA143" s="47" t="n">
        <v>0</v>
      </c>
      <c r="AB143" s="47" t="n">
        <v>0</v>
      </c>
      <c r="AC143" s="47" t="n">
        <v>1.365</v>
      </c>
      <c r="AD143" s="47" t="n">
        <v>6.625</v>
      </c>
      <c r="AE143" s="47" t="n">
        <v>6</v>
      </c>
      <c r="AF143" s="47" t="n">
        <v>1.125</v>
      </c>
      <c r="AG143" s="47" t="n">
        <v>0</v>
      </c>
      <c r="AH143" s="47" t="n">
        <v>0.675</v>
      </c>
      <c r="AI143" s="47" t="n">
        <v>0.075</v>
      </c>
      <c r="AJ143" s="47" t="n">
        <v>0</v>
      </c>
      <c r="AK143" s="47" t="n">
        <v>0</v>
      </c>
      <c r="AL143" s="47" t="n">
        <v>13.75</v>
      </c>
      <c r="AM143" s="47" t="n">
        <v>1.375</v>
      </c>
      <c r="AN143" s="47" t="n">
        <v>4.125</v>
      </c>
      <c r="AO143" s="47" t="n">
        <v>5.862</v>
      </c>
      <c r="AP143" s="47" t="n">
        <v>11.211</v>
      </c>
      <c r="AQ143" s="47" t="n">
        <v>5.083</v>
      </c>
      <c r="AR143" s="47" t="n">
        <v>18.119</v>
      </c>
      <c r="AS143" s="47" t="n">
        <v>15.809</v>
      </c>
      <c r="AT143" s="47" t="n">
        <v>8.385999999999999</v>
      </c>
      <c r="AU143" s="47" t="n">
        <v>2.736</v>
      </c>
      <c r="AV143" s="47" t="n">
        <v>6.965</v>
      </c>
      <c r="AW143" s="47" t="n">
        <v>1.044</v>
      </c>
      <c r="AX143" s="47" t="n">
        <v>11.97</v>
      </c>
      <c r="AY143" s="47" t="n">
        <v>1.33</v>
      </c>
      <c r="AZ143" s="47" t="n">
        <v>0</v>
      </c>
      <c r="BA143" s="47" t="n">
        <v>0</v>
      </c>
      <c r="BB143" s="47" t="n">
        <v>2.2</v>
      </c>
      <c r="BC143" s="47" t="n">
        <v>4.955</v>
      </c>
      <c r="BD143" s="47" t="n">
        <v>0.71</v>
      </c>
      <c r="BE143" s="47" t="n">
        <v>8.33</v>
      </c>
      <c r="BF143" s="47" t="n">
        <v>0</v>
      </c>
      <c r="BG143" s="47" t="n">
        <v>0</v>
      </c>
      <c r="BH143" s="47" t="n">
        <v>1.755</v>
      </c>
      <c r="BI143" s="47" t="n">
        <v>0</v>
      </c>
      <c r="BJ143" s="47" t="n">
        <v>0.126</v>
      </c>
      <c r="BK143" s="47" t="n">
        <v>13.408</v>
      </c>
      <c r="BL143" s="47" t="n">
        <v>0.901</v>
      </c>
      <c r="BM143" s="47" t="n">
        <v>7.201</v>
      </c>
      <c r="BN143" s="47" t="n">
        <v>3.165555555555556</v>
      </c>
      <c r="BO143" s="47" t="n">
        <v>3.165555555555556</v>
      </c>
      <c r="BP143" s="47" t="n">
        <v>3.165555555555556</v>
      </c>
      <c r="BQ143" s="47" t="n">
        <v>3.165555555555556</v>
      </c>
      <c r="BR143" s="47" t="n">
        <v>3.165555555555556</v>
      </c>
      <c r="BS143" s="47" t="n">
        <v>3.165555555555557</v>
      </c>
      <c r="BT143" s="47" t="n">
        <v>3.165555555555557</v>
      </c>
      <c r="BU143" s="47" t="n">
        <v>3.165555555555558</v>
      </c>
      <c r="BV143" s="47" t="n">
        <v>3.165555555555562</v>
      </c>
      <c r="BW143" s="102" t="n"/>
      <c r="BX143" s="102" t="n"/>
      <c r="BY143" s="102" t="n"/>
      <c r="BZ143" s="102" t="n"/>
      <c r="CA143" s="102" t="n"/>
      <c r="CB143" s="102" t="n"/>
      <c r="CC143" s="102" t="n"/>
      <c r="CD143" s="102" t="n"/>
      <c r="CE143" s="102" t="n"/>
      <c r="CF143" s="102" t="n"/>
      <c r="CG143" s="102" t="n"/>
      <c r="CH143" s="102" t="n"/>
      <c r="CI143" s="102" t="n"/>
      <c r="CJ143" s="102" t="n"/>
      <c r="CK143" s="102" t="n"/>
      <c r="CL143" s="102" t="n"/>
      <c r="CM143" s="102" t="n"/>
      <c r="CN143" s="102" t="n"/>
      <c r="CO143" s="102" t="n"/>
      <c r="CP143" s="102" t="n"/>
      <c r="CQ143" s="102" t="n"/>
      <c r="CR143" s="102" t="n"/>
      <c r="CS143" s="102" t="n"/>
      <c r="CT143" s="102" t="n"/>
      <c r="CU143" s="102" t="n"/>
      <c r="CV143" s="102" t="n"/>
      <c r="CW143" s="102" t="n"/>
      <c r="CX143" s="102" t="n"/>
      <c r="CY143" s="102" t="n"/>
      <c r="CZ143" s="102" t="n"/>
      <c r="DA143" s="102" t="n"/>
      <c r="DB143" s="102" t="n"/>
      <c r="DC143" s="102" t="n"/>
      <c r="DD143" s="102" t="n"/>
      <c r="DE143" s="102" t="n"/>
      <c r="DF143" s="102" t="n"/>
      <c r="DG143" s="102" t="n"/>
      <c r="DH143" s="102" t="n"/>
      <c r="DI143" s="102" t="n"/>
      <c r="DJ143" s="102" t="n"/>
      <c r="DK143" s="102" t="n"/>
      <c r="DL143" s="102" t="n"/>
      <c r="DM143" s="102" t="n"/>
      <c r="DN143" s="102" t="n"/>
      <c r="DO143" s="102" t="n"/>
      <c r="DP143" s="102" t="n"/>
      <c r="DQ143" s="102" t="n"/>
      <c r="DR143" s="102" t="n"/>
      <c r="DT143" s="46">
        <f>+F143-E143</f>
        <v/>
      </c>
      <c r="DU143" s="46">
        <f>+G143-F143</f>
        <v/>
      </c>
      <c r="DV143" s="46">
        <f>+H143-G143</f>
        <v/>
      </c>
      <c r="DW143" s="46">
        <f>+I143-H143</f>
        <v/>
      </c>
    </row>
    <row r="144" hidden="1" outlineLevel="1" ht="15.75" customHeight="1">
      <c r="B144" s="5" t="inlineStr">
        <is>
          <t>ASME</t>
        </is>
      </c>
      <c r="C144" s="68" t="inlineStr">
        <is>
          <t>Major</t>
        </is>
      </c>
      <c r="E144" s="46">
        <f>+SUMIFS($O144:$DR144,$O$7:$DR$7,E$7)</f>
        <v/>
      </c>
      <c r="F144" s="46">
        <f>+SUMIFS($O144:$DR144,$O$7:$DR$7,F$7)</f>
        <v/>
      </c>
      <c r="G144" s="46">
        <f>+SUMIFS($O144:$DR144,$O$7:$DR$7,G$7)</f>
        <v/>
      </c>
      <c r="H144" s="46">
        <f>+SUMIFS($O144:$DR144,$O$7:$DR$7,H$7)</f>
        <v/>
      </c>
      <c r="I144" s="46">
        <f>+SUMIFS($O144:$DR144,$O$7:$DR$7,I$7)</f>
        <v/>
      </c>
      <c r="J144" s="46">
        <f>+SUMIFS($O144:$DR144,$O$7:$DR$7,J$7)</f>
        <v/>
      </c>
      <c r="K144" s="46">
        <f>+SUMIFS($O144:$DR144,$O$7:$DR$7,K$7)</f>
        <v/>
      </c>
      <c r="L144" s="46">
        <f>+SUMIFS($O144:$DR144,$O$7:$DR$7,L$7)</f>
        <v/>
      </c>
      <c r="M144" s="46">
        <f>+SUMIFS($O144:$DR144,$O$7:$DR$7,M$7)</f>
        <v/>
      </c>
      <c r="O144" s="47" t="n">
        <v>10.058</v>
      </c>
      <c r="P144" s="47" t="n">
        <v>0.738</v>
      </c>
      <c r="Q144" s="47" t="n">
        <v>2.306</v>
      </c>
      <c r="R144" s="47" t="n">
        <v>0</v>
      </c>
      <c r="S144" s="47" t="n">
        <v>0</v>
      </c>
      <c r="T144" s="47" t="n">
        <v>0</v>
      </c>
      <c r="U144" s="47" t="n">
        <v>6.452</v>
      </c>
      <c r="V144" s="47" t="n">
        <v>-6.963</v>
      </c>
      <c r="W144" s="47" t="n">
        <v>0</v>
      </c>
      <c r="X144" s="47" t="n">
        <v>2.126</v>
      </c>
      <c r="Y144" s="47" t="n">
        <v>2.124</v>
      </c>
      <c r="Z144" s="47" t="n">
        <v>0</v>
      </c>
      <c r="AA144" s="47" t="n">
        <v>0</v>
      </c>
      <c r="AB144" s="47" t="n">
        <v>0</v>
      </c>
      <c r="AC144" s="47" t="n">
        <v>0</v>
      </c>
      <c r="AD144" s="47" t="n">
        <v>0</v>
      </c>
      <c r="AE144" s="47" t="n">
        <v>0</v>
      </c>
      <c r="AF144" s="47" t="n">
        <v>0</v>
      </c>
      <c r="AG144" s="47" t="n">
        <v>0</v>
      </c>
      <c r="AH144" s="47" t="n">
        <v>0</v>
      </c>
      <c r="AI144" s="47" t="n">
        <v>0</v>
      </c>
      <c r="AJ144" s="47" t="n">
        <v>0</v>
      </c>
      <c r="AK144" s="47" t="n">
        <v>0</v>
      </c>
      <c r="AL144" s="47" t="n">
        <v>0</v>
      </c>
      <c r="AM144" s="47" t="n">
        <v>0</v>
      </c>
      <c r="AN144" s="47" t="n">
        <v>0</v>
      </c>
      <c r="AO144" s="47" t="n">
        <v>0</v>
      </c>
      <c r="AP144" s="47" t="n">
        <v>0</v>
      </c>
      <c r="AQ144" s="47" t="n">
        <v>0</v>
      </c>
      <c r="AR144" s="47" t="n">
        <v>0</v>
      </c>
      <c r="AS144" s="47" t="n">
        <v>0</v>
      </c>
      <c r="AT144" s="47" t="n">
        <v>0</v>
      </c>
      <c r="AU144" s="47" t="n">
        <v>0</v>
      </c>
      <c r="AV144" s="47" t="n">
        <v>0</v>
      </c>
      <c r="AW144" s="47" t="n">
        <v>0</v>
      </c>
      <c r="AX144" s="47" t="n">
        <v>0</v>
      </c>
      <c r="AY144" s="47" t="n">
        <v>0</v>
      </c>
      <c r="AZ144" s="47" t="n">
        <v>0</v>
      </c>
      <c r="BA144" s="47" t="n">
        <v>1.801</v>
      </c>
      <c r="BB144" s="47" t="n">
        <v>2</v>
      </c>
      <c r="BC144" s="47" t="n">
        <v>0</v>
      </c>
      <c r="BD144" s="47" t="n">
        <v>0.199</v>
      </c>
      <c r="BE144" s="47" t="n">
        <v>3.661</v>
      </c>
      <c r="BF144" s="47" t="n">
        <v>0.139</v>
      </c>
      <c r="BG144" s="47" t="n">
        <v>0</v>
      </c>
      <c r="BH144" s="47" t="n">
        <v>14.481</v>
      </c>
      <c r="BI144" s="47" t="n">
        <v>12.61</v>
      </c>
      <c r="BJ144" s="47" t="n">
        <v>0</v>
      </c>
      <c r="BK144" s="47" t="n">
        <v>5.84</v>
      </c>
      <c r="BL144" s="47" t="n">
        <v>1.81</v>
      </c>
      <c r="BM144" s="47" t="n">
        <v>2.875</v>
      </c>
      <c r="BN144" s="47" t="n">
        <v>4.386111111111111</v>
      </c>
      <c r="BO144" s="47" t="n">
        <v>4.386111111111111</v>
      </c>
      <c r="BP144" s="47" t="n">
        <v>4.386111111111111</v>
      </c>
      <c r="BQ144" s="47" t="n">
        <v>4.38611111111111</v>
      </c>
      <c r="BR144" s="47" t="n">
        <v>4.386111111111111</v>
      </c>
      <c r="BS144" s="47" t="n">
        <v>4.386111111111111</v>
      </c>
      <c r="BT144" s="47" t="n">
        <v>4.386111111111112</v>
      </c>
      <c r="BU144" s="47" t="n">
        <v>4.386111111111113</v>
      </c>
      <c r="BV144" s="47" t="n">
        <v>4.386111111111109</v>
      </c>
      <c r="BW144" s="102" t="n"/>
      <c r="BX144" s="102" t="n"/>
      <c r="BY144" s="102" t="n"/>
      <c r="BZ144" s="102" t="n"/>
      <c r="CA144" s="102" t="n"/>
      <c r="CB144" s="102" t="n"/>
      <c r="CC144" s="102" t="n"/>
      <c r="CD144" s="102" t="n"/>
      <c r="CE144" s="102" t="n"/>
      <c r="CF144" s="102" t="n"/>
      <c r="CG144" s="102" t="n"/>
      <c r="CH144" s="102" t="n"/>
      <c r="CI144" s="102" t="n"/>
      <c r="CJ144" s="102" t="n"/>
      <c r="CK144" s="102" t="n"/>
      <c r="CL144" s="102" t="n"/>
      <c r="CM144" s="102" t="n"/>
      <c r="CN144" s="102" t="n"/>
      <c r="CO144" s="102" t="n"/>
      <c r="CP144" s="102" t="n"/>
      <c r="CQ144" s="102" t="n"/>
      <c r="CR144" s="102" t="n"/>
      <c r="CS144" s="102" t="n"/>
      <c r="CT144" s="102" t="n"/>
      <c r="CU144" s="102" t="n"/>
      <c r="CV144" s="102" t="n"/>
      <c r="CW144" s="102" t="n"/>
      <c r="CX144" s="102" t="n"/>
      <c r="CY144" s="102" t="n"/>
      <c r="CZ144" s="102" t="n"/>
      <c r="DA144" s="102" t="n"/>
      <c r="DB144" s="102" t="n"/>
      <c r="DC144" s="102" t="n"/>
      <c r="DD144" s="102" t="n"/>
      <c r="DE144" s="102" t="n"/>
      <c r="DF144" s="102" t="n"/>
      <c r="DG144" s="102" t="n"/>
      <c r="DH144" s="102" t="n"/>
      <c r="DI144" s="102" t="n"/>
      <c r="DJ144" s="102" t="n"/>
      <c r="DK144" s="102" t="n"/>
      <c r="DL144" s="102" t="n"/>
      <c r="DM144" s="102" t="n"/>
      <c r="DN144" s="102" t="n"/>
      <c r="DO144" s="102" t="n"/>
      <c r="DP144" s="102" t="n"/>
      <c r="DQ144" s="102" t="n"/>
      <c r="DR144" s="102" t="n"/>
      <c r="DT144" s="46">
        <f>+F144-E144</f>
        <v/>
      </c>
      <c r="DU144" s="46">
        <f>+G144-F144</f>
        <v/>
      </c>
      <c r="DV144" s="46">
        <f>+H144-G144</f>
        <v/>
      </c>
      <c r="DW144" s="46">
        <f>+I144-H144</f>
        <v/>
      </c>
    </row>
    <row r="145" hidden="1" outlineLevel="1" ht="15.75" customHeight="1">
      <c r="B145" s="5" t="inlineStr">
        <is>
          <t>COB</t>
        </is>
      </c>
      <c r="C145" s="68" t="inlineStr">
        <is>
          <t>Upper Middle Market</t>
        </is>
      </c>
      <c r="E145" s="46">
        <f>+SUMIFS($O145:$DR145,$O$7:$DR$7,E$7)</f>
        <v/>
      </c>
      <c r="F145" s="46">
        <f>+SUMIFS($O145:$DR145,$O$7:$DR$7,F$7)</f>
        <v/>
      </c>
      <c r="G145" s="46">
        <f>+SUMIFS($O145:$DR145,$O$7:$DR$7,G$7)</f>
        <v/>
      </c>
      <c r="H145" s="46">
        <f>+SUMIFS($O145:$DR145,$O$7:$DR$7,H$7)</f>
        <v/>
      </c>
      <c r="I145" s="46">
        <f>+SUMIFS($O145:$DR145,$O$7:$DR$7,I$7)</f>
        <v/>
      </c>
      <c r="J145" s="46">
        <f>+SUMIFS($O145:$DR145,$O$7:$DR$7,J$7)</f>
        <v/>
      </c>
      <c r="K145" s="46">
        <f>+SUMIFS($O145:$DR145,$O$7:$DR$7,K$7)</f>
        <v/>
      </c>
      <c r="L145" s="46">
        <f>+SUMIFS($O145:$DR145,$O$7:$DR$7,L$7)</f>
        <v/>
      </c>
      <c r="M145" s="46">
        <f>+SUMIFS($O145:$DR145,$O$7:$DR$7,M$7)</f>
        <v/>
      </c>
      <c r="O145" s="47" t="n">
        <v>0</v>
      </c>
      <c r="P145" s="47" t="n">
        <v>0</v>
      </c>
      <c r="Q145" s="47" t="n">
        <v>0</v>
      </c>
      <c r="R145" s="47" t="n">
        <v>0</v>
      </c>
      <c r="S145" s="47" t="n">
        <v>0</v>
      </c>
      <c r="T145" s="47" t="n">
        <v>0</v>
      </c>
      <c r="U145" s="47" t="n">
        <v>0</v>
      </c>
      <c r="V145" s="47" t="n">
        <v>0</v>
      </c>
      <c r="W145" s="47" t="n">
        <v>0</v>
      </c>
      <c r="X145" s="47" t="n">
        <v>0</v>
      </c>
      <c r="Y145" s="47" t="n">
        <v>0</v>
      </c>
      <c r="Z145" s="47" t="n">
        <v>0</v>
      </c>
      <c r="AA145" s="47" t="n">
        <v>0</v>
      </c>
      <c r="AB145" s="47" t="n">
        <v>0</v>
      </c>
      <c r="AC145" s="47" t="n">
        <v>0</v>
      </c>
      <c r="AD145" s="47" t="n">
        <v>0</v>
      </c>
      <c r="AE145" s="47" t="n">
        <v>0</v>
      </c>
      <c r="AF145" s="47" t="n">
        <v>0</v>
      </c>
      <c r="AG145" s="47" t="n">
        <v>0</v>
      </c>
      <c r="AH145" s="47" t="n">
        <v>0</v>
      </c>
      <c r="AI145" s="47" t="n">
        <v>0</v>
      </c>
      <c r="AJ145" s="47" t="n">
        <v>0</v>
      </c>
      <c r="AK145" s="47" t="n">
        <v>0</v>
      </c>
      <c r="AL145" s="47" t="n">
        <v>0</v>
      </c>
      <c r="AM145" s="47" t="n">
        <v>0</v>
      </c>
      <c r="AN145" s="47" t="n">
        <v>0</v>
      </c>
      <c r="AO145" s="47" t="n">
        <v>0</v>
      </c>
      <c r="AP145" s="47" t="n">
        <v>0</v>
      </c>
      <c r="AQ145" s="47" t="n">
        <v>0</v>
      </c>
      <c r="AR145" s="47" t="n">
        <v>0</v>
      </c>
      <c r="AS145" s="47" t="n">
        <v>0</v>
      </c>
      <c r="AT145" s="47" t="n">
        <v>0</v>
      </c>
      <c r="AU145" s="47" t="n">
        <v>0</v>
      </c>
      <c r="AV145" s="47" t="n">
        <v>3.192</v>
      </c>
      <c r="AW145" s="47" t="n">
        <v>4.389</v>
      </c>
      <c r="AX145" s="47" t="n">
        <v>10.773</v>
      </c>
      <c r="AY145" s="47" t="n">
        <v>18.226</v>
      </c>
      <c r="AZ145" s="47" t="n">
        <v>4.389</v>
      </c>
      <c r="BA145" s="47" t="n">
        <v>13.706</v>
      </c>
      <c r="BB145" s="47" t="n">
        <v>11.112</v>
      </c>
      <c r="BC145" s="47" t="n">
        <v>3.475</v>
      </c>
      <c r="BD145" s="47" t="n">
        <v>9.84</v>
      </c>
      <c r="BE145" s="47" t="n">
        <v>1.7</v>
      </c>
      <c r="BF145" s="47" t="n">
        <v>0</v>
      </c>
      <c r="BG145" s="47" t="n">
        <v>0</v>
      </c>
      <c r="BH145" s="47" t="n">
        <v>0</v>
      </c>
      <c r="BI145" s="47" t="n">
        <v>8.17</v>
      </c>
      <c r="BJ145" s="47" t="n">
        <v>7.255</v>
      </c>
      <c r="BK145" s="47" t="n">
        <v>3.283</v>
      </c>
      <c r="BL145" s="47" t="n">
        <v>4.3</v>
      </c>
      <c r="BM145" s="47" t="n">
        <v>4.51</v>
      </c>
      <c r="BN145" s="47" t="n">
        <v>6.989666666666667</v>
      </c>
      <c r="BO145" s="47" t="n">
        <v>6.989666666666666</v>
      </c>
      <c r="BP145" s="47" t="n">
        <v>6.989666666666666</v>
      </c>
      <c r="BQ145" s="47" t="n">
        <v>6.989666666666667</v>
      </c>
      <c r="BR145" s="47" t="n">
        <v>6.989666666666667</v>
      </c>
      <c r="BS145" s="47" t="n">
        <v>6.989666666666668</v>
      </c>
      <c r="BT145" s="47" t="n">
        <v>6.989666666666667</v>
      </c>
      <c r="BU145" s="47" t="n">
        <v>6.989666666666668</v>
      </c>
      <c r="BV145" s="47" t="n">
        <v>6.989666666666672</v>
      </c>
      <c r="BW145" s="102" t="n"/>
      <c r="BX145" s="102" t="n"/>
      <c r="BY145" s="102" t="n"/>
      <c r="BZ145" s="102" t="n"/>
      <c r="CA145" s="102" t="n"/>
      <c r="CB145" s="102" t="n"/>
      <c r="CC145" s="102" t="n"/>
      <c r="CD145" s="102" t="n"/>
      <c r="CE145" s="102" t="n"/>
      <c r="CF145" s="102" t="n"/>
      <c r="CG145" s="102" t="n"/>
      <c r="CH145" s="102" t="n"/>
      <c r="CI145" s="102" t="n"/>
      <c r="CJ145" s="102" t="n"/>
      <c r="CK145" s="102" t="n"/>
      <c r="CL145" s="102" t="n"/>
      <c r="CM145" s="102" t="n"/>
      <c r="CN145" s="102" t="n"/>
      <c r="CO145" s="102" t="n"/>
      <c r="CP145" s="102" t="n"/>
      <c r="CQ145" s="102" t="n"/>
      <c r="CR145" s="102" t="n"/>
      <c r="CS145" s="102" t="n"/>
      <c r="CT145" s="102" t="n"/>
      <c r="CU145" s="102" t="n"/>
      <c r="CV145" s="102" t="n"/>
      <c r="CW145" s="102" t="n"/>
      <c r="CX145" s="102" t="n"/>
      <c r="CY145" s="102" t="n"/>
      <c r="CZ145" s="102" t="n"/>
      <c r="DA145" s="102" t="n"/>
      <c r="DB145" s="102" t="n"/>
      <c r="DC145" s="102" t="n"/>
      <c r="DD145" s="102" t="n"/>
      <c r="DE145" s="102" t="n"/>
      <c r="DF145" s="102" t="n"/>
      <c r="DG145" s="102" t="n"/>
      <c r="DH145" s="102" t="n"/>
      <c r="DI145" s="102" t="n"/>
      <c r="DJ145" s="102" t="n"/>
      <c r="DK145" s="102" t="n"/>
      <c r="DL145" s="102" t="n"/>
      <c r="DM145" s="102" t="n"/>
      <c r="DN145" s="102" t="n"/>
      <c r="DO145" s="102" t="n"/>
      <c r="DP145" s="102" t="n"/>
      <c r="DQ145" s="102" t="n"/>
      <c r="DR145" s="102" t="n"/>
      <c r="DT145" s="46">
        <f>+F145-E145</f>
        <v/>
      </c>
      <c r="DU145" s="46">
        <f>+G145-F145</f>
        <v/>
      </c>
      <c r="DV145" s="46">
        <f>+H145-G145</f>
        <v/>
      </c>
      <c r="DW145" s="46">
        <f>+I145-H145</f>
        <v/>
      </c>
    </row>
    <row r="146" hidden="1" outlineLevel="1" ht="15.75" customHeight="1">
      <c r="B146" s="5" t="inlineStr">
        <is>
          <t>DUP</t>
        </is>
      </c>
      <c r="C146" s="68" t="inlineStr">
        <is>
          <t>Upper Middle Market</t>
        </is>
      </c>
      <c r="E146" s="46">
        <f>+SUMIFS($O146:$DR146,$O$7:$DR$7,E$7)</f>
        <v/>
      </c>
      <c r="F146" s="46">
        <f>+SUMIFS($O146:$DR146,$O$7:$DR$7,F$7)</f>
        <v/>
      </c>
      <c r="G146" s="46">
        <f>+SUMIFS($O146:$DR146,$O$7:$DR$7,G$7)</f>
        <v/>
      </c>
      <c r="H146" s="46">
        <f>+SUMIFS($O146:$DR146,$O$7:$DR$7,H$7)</f>
        <v/>
      </c>
      <c r="I146" s="46">
        <f>+SUMIFS($O146:$DR146,$O$7:$DR$7,I$7)</f>
        <v/>
      </c>
      <c r="J146" s="46">
        <f>+SUMIFS($O146:$DR146,$O$7:$DR$7,J$7)</f>
        <v/>
      </c>
      <c r="K146" s="46">
        <f>+SUMIFS($O146:$DR146,$O$7:$DR$7,K$7)</f>
        <v/>
      </c>
      <c r="L146" s="46">
        <f>+SUMIFS($O146:$DR146,$O$7:$DR$7,L$7)</f>
        <v/>
      </c>
      <c r="M146" s="46">
        <f>+SUMIFS($O146:$DR146,$O$7:$DR$7,M$7)</f>
        <v/>
      </c>
      <c r="O146" s="47" t="n">
        <v>1.65</v>
      </c>
      <c r="P146" s="47" t="n">
        <v>0</v>
      </c>
      <c r="Q146" s="47" t="n">
        <v>0</v>
      </c>
      <c r="R146" s="47" t="n">
        <v>8.5</v>
      </c>
      <c r="S146" s="47" t="n">
        <v>4.65</v>
      </c>
      <c r="T146" s="47" t="n">
        <v>7.35</v>
      </c>
      <c r="U146" s="47" t="n">
        <v>0</v>
      </c>
      <c r="V146" s="47" t="n">
        <v>0</v>
      </c>
      <c r="W146" s="47" t="n">
        <v>0</v>
      </c>
      <c r="X146" s="47" t="n">
        <v>0</v>
      </c>
      <c r="Y146" s="47" t="n">
        <v>0</v>
      </c>
      <c r="Z146" s="47" t="n">
        <v>0</v>
      </c>
      <c r="AA146" s="47" t="n">
        <v>0</v>
      </c>
      <c r="AB146" s="47" t="n">
        <v>0.488</v>
      </c>
      <c r="AC146" s="47" t="n">
        <v>1.684</v>
      </c>
      <c r="AD146" s="47" t="n">
        <v>0.332</v>
      </c>
      <c r="AE146" s="47" t="n">
        <v>0</v>
      </c>
      <c r="AF146" s="47" t="n">
        <v>0.146</v>
      </c>
      <c r="AG146" s="47" t="n">
        <v>12.04</v>
      </c>
      <c r="AH146" s="47" t="n">
        <v>1.638</v>
      </c>
      <c r="AI146" s="47" t="n">
        <v>0.217</v>
      </c>
      <c r="AJ146" s="47" t="n">
        <v>4.846</v>
      </c>
      <c r="AK146" s="47" t="n">
        <v>1.539</v>
      </c>
      <c r="AL146" s="47" t="n">
        <v>4.258</v>
      </c>
      <c r="AM146" s="47" t="n">
        <v>0.327</v>
      </c>
      <c r="AN146" s="47" t="n">
        <v>0</v>
      </c>
      <c r="AO146" s="47" t="n">
        <v>0</v>
      </c>
      <c r="AP146" s="47" t="n">
        <v>0</v>
      </c>
      <c r="AQ146" s="47" t="n">
        <v>0</v>
      </c>
      <c r="AR146" s="47" t="n">
        <v>0</v>
      </c>
      <c r="AS146" s="47" t="n">
        <v>0</v>
      </c>
      <c r="AT146" s="47" t="n">
        <v>2.128</v>
      </c>
      <c r="AU146" s="47" t="n">
        <v>6.258</v>
      </c>
      <c r="AV146" s="47" t="n">
        <v>5.397</v>
      </c>
      <c r="AW146" s="47" t="n">
        <v>1.267</v>
      </c>
      <c r="AX146" s="47" t="n">
        <v>4.765</v>
      </c>
      <c r="AY146" s="47" t="n">
        <v>6.175</v>
      </c>
      <c r="AZ146" s="47" t="n">
        <v>0</v>
      </c>
      <c r="BA146" s="47" t="n">
        <v>0</v>
      </c>
      <c r="BB146" s="47" t="n">
        <v>0</v>
      </c>
      <c r="BC146" s="47" t="n">
        <v>68.578</v>
      </c>
      <c r="BD146" s="47" t="n">
        <v>0</v>
      </c>
      <c r="BE146" s="47" t="n">
        <v>11.351</v>
      </c>
      <c r="BF146" s="47" t="n">
        <v>3.165</v>
      </c>
      <c r="BG146" s="47" t="n">
        <v>12.661</v>
      </c>
      <c r="BH146" s="47" t="n">
        <v>19.065</v>
      </c>
      <c r="BI146" s="47" t="n">
        <v>1.96</v>
      </c>
      <c r="BJ146" s="47" t="n">
        <v>12.1</v>
      </c>
      <c r="BK146" s="47" t="n">
        <v>5.445</v>
      </c>
      <c r="BL146" s="47" t="n">
        <v>1.98</v>
      </c>
      <c r="BM146" s="47" t="n">
        <v>0.45</v>
      </c>
      <c r="BN146" s="47" t="n">
        <v>6.347222222222222</v>
      </c>
      <c r="BO146" s="47" t="n">
        <v>6.347222222222222</v>
      </c>
      <c r="BP146" s="47" t="n">
        <v>6.347222222222221</v>
      </c>
      <c r="BQ146" s="47" t="n">
        <v>6.347222222222221</v>
      </c>
      <c r="BR146" s="47" t="n">
        <v>6.347222222222221</v>
      </c>
      <c r="BS146" s="47" t="n">
        <v>6.347222222222222</v>
      </c>
      <c r="BT146" s="47" t="n">
        <v>6.347222222222223</v>
      </c>
      <c r="BU146" s="47" t="n">
        <v>6.347222222222222</v>
      </c>
      <c r="BV146" s="47" t="n">
        <v>6.347222222222219</v>
      </c>
      <c r="BW146" s="102" t="n"/>
      <c r="BX146" s="102" t="n"/>
      <c r="BY146" s="102" t="n"/>
      <c r="BZ146" s="102" t="n"/>
      <c r="CA146" s="102" t="n"/>
      <c r="CB146" s="102" t="n"/>
      <c r="CC146" s="102" t="n"/>
      <c r="CD146" s="102" t="n"/>
      <c r="CE146" s="102" t="n"/>
      <c r="CF146" s="102" t="n"/>
      <c r="CG146" s="102" t="n"/>
      <c r="CH146" s="102" t="n"/>
      <c r="CI146" s="102" t="n"/>
      <c r="CJ146" s="102" t="n"/>
      <c r="CK146" s="102" t="n"/>
      <c r="CL146" s="102" t="n"/>
      <c r="CM146" s="102" t="n"/>
      <c r="CN146" s="102" t="n"/>
      <c r="CO146" s="102" t="n"/>
      <c r="CP146" s="102" t="n"/>
      <c r="CQ146" s="102" t="n"/>
      <c r="CR146" s="102" t="n"/>
      <c r="CS146" s="102" t="n"/>
      <c r="CT146" s="102" t="n"/>
      <c r="CU146" s="102" t="n"/>
      <c r="CV146" s="102" t="n"/>
      <c r="CW146" s="102" t="n"/>
      <c r="CX146" s="102" t="n"/>
      <c r="CY146" s="102" t="n"/>
      <c r="CZ146" s="102" t="n"/>
      <c r="DA146" s="102" t="n"/>
      <c r="DB146" s="102" t="n"/>
      <c r="DC146" s="102" t="n"/>
      <c r="DD146" s="102" t="n"/>
      <c r="DE146" s="102" t="n"/>
      <c r="DF146" s="102" t="n"/>
      <c r="DG146" s="102" t="n"/>
      <c r="DH146" s="102" t="n"/>
      <c r="DI146" s="102" t="n"/>
      <c r="DJ146" s="102" t="n"/>
      <c r="DK146" s="102" t="n"/>
      <c r="DL146" s="102" t="n"/>
      <c r="DM146" s="102" t="n"/>
      <c r="DN146" s="102" t="n"/>
      <c r="DO146" s="102" t="n"/>
      <c r="DP146" s="102" t="n"/>
      <c r="DQ146" s="102" t="n"/>
      <c r="DR146" s="102" t="n"/>
      <c r="DT146" s="46">
        <f>+F146-E146</f>
        <v/>
      </c>
      <c r="DU146" s="46">
        <f>+G146-F146</f>
        <v/>
      </c>
      <c r="DV146" s="46">
        <f>+H146-G146</f>
        <v/>
      </c>
      <c r="DW146" s="46">
        <f>+I146-H146</f>
        <v/>
      </c>
    </row>
    <row r="147" hidden="1" outlineLevel="1" ht="15.75" customHeight="1">
      <c r="B147" s="5" t="inlineStr">
        <is>
          <t>GSW</t>
        </is>
      </c>
      <c r="C147" s="68" t="inlineStr">
        <is>
          <t>Major</t>
        </is>
      </c>
      <c r="E147" s="46">
        <f>+SUMIFS($O147:$DR147,$O$7:$DR$7,E$7)</f>
        <v/>
      </c>
      <c r="F147" s="46">
        <f>+SUMIFS($O147:$DR147,$O$7:$DR$7,F$7)</f>
        <v/>
      </c>
      <c r="G147" s="46">
        <f>+SUMIFS($O147:$DR147,$O$7:$DR$7,G$7)</f>
        <v/>
      </c>
      <c r="H147" s="46">
        <f>+SUMIFS($O147:$DR147,$O$7:$DR$7,H$7)</f>
        <v/>
      </c>
      <c r="I147" s="46">
        <f>+SUMIFS($O147:$DR147,$O$7:$DR$7,I$7)</f>
        <v/>
      </c>
      <c r="J147" s="46">
        <f>+SUMIFS($O147:$DR147,$O$7:$DR$7,J$7)</f>
        <v/>
      </c>
      <c r="K147" s="46">
        <f>+SUMIFS($O147:$DR147,$O$7:$DR$7,K$7)</f>
        <v/>
      </c>
      <c r="L147" s="46">
        <f>+SUMIFS($O147:$DR147,$O$7:$DR$7,L$7)</f>
        <v/>
      </c>
      <c r="M147" s="46">
        <f>+SUMIFS($O147:$DR147,$O$7:$DR$7,M$7)</f>
        <v/>
      </c>
      <c r="O147" s="47" t="n">
        <v>3</v>
      </c>
      <c r="P147" s="47" t="n">
        <v>3</v>
      </c>
      <c r="Q147" s="47" t="n">
        <v>-0.4</v>
      </c>
      <c r="R147" s="47" t="n">
        <v>0</v>
      </c>
      <c r="S147" s="47" t="n">
        <v>0</v>
      </c>
      <c r="T147" s="47" t="n">
        <v>8.25</v>
      </c>
      <c r="U147" s="47" t="n">
        <v>1.793</v>
      </c>
      <c r="V147" s="47" t="n">
        <v>15.026</v>
      </c>
      <c r="W147" s="47" t="n">
        <v>9.06</v>
      </c>
      <c r="X147" s="47" t="n">
        <v>15.749</v>
      </c>
      <c r="Y147" s="47" t="n">
        <v>2.25</v>
      </c>
      <c r="Z147" s="47" t="n">
        <v>2.25</v>
      </c>
      <c r="AA147" s="47" t="n">
        <v>9.654999999999999</v>
      </c>
      <c r="AB147" s="47" t="n">
        <v>8.130000000000001</v>
      </c>
      <c r="AC147" s="47" t="n">
        <v>3.565</v>
      </c>
      <c r="AD147" s="47" t="n">
        <v>8.015000000000001</v>
      </c>
      <c r="AE147" s="47" t="n">
        <v>6.01</v>
      </c>
      <c r="AF147" s="47" t="n">
        <v>5</v>
      </c>
      <c r="AG147" s="47" t="n">
        <v>8.83</v>
      </c>
      <c r="AH147" s="47" t="n">
        <v>23.522</v>
      </c>
      <c r="AI147" s="47" t="n">
        <v>6.488</v>
      </c>
      <c r="AJ147" s="47" t="n">
        <v>5.715</v>
      </c>
      <c r="AK147" s="47" t="n">
        <v>12.165</v>
      </c>
      <c r="AL147" s="47" t="n">
        <v>2.525</v>
      </c>
      <c r="AM147" s="47" t="n">
        <v>1.085</v>
      </c>
      <c r="AN147" s="47" t="n">
        <v>14.37</v>
      </c>
      <c r="AO147" s="47" t="n">
        <v>10.359</v>
      </c>
      <c r="AP147" s="47" t="n">
        <v>10.22</v>
      </c>
      <c r="AQ147" s="47" t="n">
        <v>1.476</v>
      </c>
      <c r="AR147" s="47" t="n">
        <v>3.69</v>
      </c>
      <c r="AS147" s="47" t="n">
        <v>0.5</v>
      </c>
      <c r="AT147" s="47" t="n">
        <v>2.128</v>
      </c>
      <c r="AU147" s="47" t="n">
        <v>1.289</v>
      </c>
      <c r="AV147" s="47" t="n">
        <v>9.9</v>
      </c>
      <c r="AW147" s="47" t="n">
        <v>4.498</v>
      </c>
      <c r="AX147" s="47" t="n">
        <v>0.49</v>
      </c>
      <c r="AY147" s="47" t="n">
        <v>0</v>
      </c>
      <c r="AZ147" s="47" t="n">
        <v>5.925</v>
      </c>
      <c r="BA147" s="47" t="n">
        <v>1.58</v>
      </c>
      <c r="BB147" s="47" t="n">
        <v>6.955</v>
      </c>
      <c r="BC147" s="47" t="n">
        <v>11.465</v>
      </c>
      <c r="BD147" s="47" t="n">
        <v>0</v>
      </c>
      <c r="BE147" s="47" t="n">
        <v>5.346</v>
      </c>
      <c r="BF147" s="47" t="n">
        <v>3.847</v>
      </c>
      <c r="BG147" s="47" t="n">
        <v>2.4</v>
      </c>
      <c r="BH147" s="47" t="n">
        <v>13.586</v>
      </c>
      <c r="BI147" s="47" t="n">
        <v>1.134</v>
      </c>
      <c r="BJ147" s="47" t="n">
        <v>0.984</v>
      </c>
      <c r="BK147" s="47" t="n">
        <v>0</v>
      </c>
      <c r="BL147" s="47" t="n">
        <v>0</v>
      </c>
      <c r="BM147" s="47" t="n">
        <v>0</v>
      </c>
      <c r="BN147" s="47" t="n">
        <v>0.1093333333333333</v>
      </c>
      <c r="BO147" s="47" t="n">
        <v>0.1093333333333333</v>
      </c>
      <c r="BP147" s="47" t="n">
        <v>0.1093333333333333</v>
      </c>
      <c r="BQ147" s="47" t="n">
        <v>0.1093333333333333</v>
      </c>
      <c r="BR147" s="47" t="n">
        <v>0.1093333333333333</v>
      </c>
      <c r="BS147" s="47" t="n">
        <v>0.1093333333333333</v>
      </c>
      <c r="BT147" s="47" t="n">
        <v>0.1093333333333333</v>
      </c>
      <c r="BU147" s="47" t="n">
        <v>0.1093333333333333</v>
      </c>
      <c r="BV147" s="47" t="n">
        <v>0.1093333333333333</v>
      </c>
      <c r="BW147" s="102" t="n"/>
      <c r="BX147" s="102" t="n"/>
      <c r="BY147" s="102" t="n"/>
      <c r="BZ147" s="102" t="n"/>
      <c r="CA147" s="102" t="n"/>
      <c r="CB147" s="102" t="n"/>
      <c r="CC147" s="102" t="n"/>
      <c r="CD147" s="102" t="n"/>
      <c r="CE147" s="102" t="n"/>
      <c r="CF147" s="102" t="n"/>
      <c r="CG147" s="102" t="n"/>
      <c r="CH147" s="102" t="n"/>
      <c r="CI147" s="102" t="n"/>
      <c r="CJ147" s="102" t="n"/>
      <c r="CK147" s="102" t="n"/>
      <c r="CL147" s="102" t="n"/>
      <c r="CM147" s="102" t="n"/>
      <c r="CN147" s="102" t="n"/>
      <c r="CO147" s="102" t="n"/>
      <c r="CP147" s="102" t="n"/>
      <c r="CQ147" s="102" t="n"/>
      <c r="CR147" s="102" t="n"/>
      <c r="CS147" s="102" t="n"/>
      <c r="CT147" s="102" t="n"/>
      <c r="CU147" s="102" t="n"/>
      <c r="CV147" s="102" t="n"/>
      <c r="CW147" s="102" t="n"/>
      <c r="CX147" s="102" t="n"/>
      <c r="CY147" s="102" t="n"/>
      <c r="CZ147" s="102" t="n"/>
      <c r="DA147" s="102" t="n"/>
      <c r="DB147" s="102" t="n"/>
      <c r="DC147" s="102" t="n"/>
      <c r="DD147" s="102" t="n"/>
      <c r="DE147" s="102" t="n"/>
      <c r="DF147" s="102" t="n"/>
      <c r="DG147" s="102" t="n"/>
      <c r="DH147" s="102" t="n"/>
      <c r="DI147" s="102" t="n"/>
      <c r="DJ147" s="102" t="n"/>
      <c r="DK147" s="102" t="n"/>
      <c r="DL147" s="102" t="n"/>
      <c r="DM147" s="102" t="n"/>
      <c r="DN147" s="102" t="n"/>
      <c r="DO147" s="102" t="n"/>
      <c r="DP147" s="102" t="n"/>
      <c r="DQ147" s="102" t="n"/>
      <c r="DR147" s="102" t="n"/>
      <c r="DT147" s="46">
        <f>+F147-E147</f>
        <v/>
      </c>
      <c r="DU147" s="46">
        <f>+G147-F147</f>
        <v/>
      </c>
      <c r="DV147" s="46">
        <f>+H147-G147</f>
        <v/>
      </c>
      <c r="DW147" s="46">
        <f>+I147-H147</f>
        <v/>
      </c>
    </row>
    <row r="148" hidden="1" outlineLevel="1" ht="15.75" customHeight="1">
      <c r="B148" s="5" t="inlineStr">
        <is>
          <t>HEM</t>
        </is>
      </c>
      <c r="C148" s="68" t="inlineStr">
        <is>
          <t>Upper Middle Market</t>
        </is>
      </c>
      <c r="E148" s="46">
        <f>+SUMIFS($O148:$DR148,$O$7:$DR$7,E$7)</f>
        <v/>
      </c>
      <c r="F148" s="46">
        <f>+SUMIFS($O148:$DR148,$O$7:$DR$7,F$7)</f>
        <v/>
      </c>
      <c r="G148" s="46">
        <f>+SUMIFS($O148:$DR148,$O$7:$DR$7,G$7)</f>
        <v/>
      </c>
      <c r="H148" s="46">
        <f>+SUMIFS($O148:$DR148,$O$7:$DR$7,H$7)</f>
        <v/>
      </c>
      <c r="I148" s="46">
        <f>+SUMIFS($O148:$DR148,$O$7:$DR$7,I$7)</f>
        <v/>
      </c>
      <c r="J148" s="46">
        <f>+SUMIFS($O148:$DR148,$O$7:$DR$7,J$7)</f>
        <v/>
      </c>
      <c r="K148" s="46">
        <f>+SUMIFS($O148:$DR148,$O$7:$DR$7,K$7)</f>
        <v/>
      </c>
      <c r="L148" s="46">
        <f>+SUMIFS($O148:$DR148,$O$7:$DR$7,L$7)</f>
        <v/>
      </c>
      <c r="M148" s="46">
        <f>+SUMIFS($O148:$DR148,$O$7:$DR$7,M$7)</f>
        <v/>
      </c>
      <c r="O148" s="47" t="n">
        <v>0</v>
      </c>
      <c r="P148" s="47" t="n">
        <v>0</v>
      </c>
      <c r="Q148" s="47" t="n">
        <v>0</v>
      </c>
      <c r="R148" s="47" t="n">
        <v>0</v>
      </c>
      <c r="S148" s="47" t="n">
        <v>0</v>
      </c>
      <c r="T148" s="47" t="n">
        <v>0</v>
      </c>
      <c r="U148" s="47" t="n">
        <v>0</v>
      </c>
      <c r="V148" s="47" t="n">
        <v>0</v>
      </c>
      <c r="W148" s="47" t="n">
        <v>0</v>
      </c>
      <c r="X148" s="47" t="n">
        <v>0</v>
      </c>
      <c r="Y148" s="47" t="n">
        <v>0</v>
      </c>
      <c r="Z148" s="47" t="n">
        <v>0</v>
      </c>
      <c r="AA148" s="47" t="n">
        <v>0</v>
      </c>
      <c r="AB148" s="47" t="n">
        <v>0</v>
      </c>
      <c r="AC148" s="47" t="n">
        <v>0</v>
      </c>
      <c r="AD148" s="47" t="n">
        <v>0</v>
      </c>
      <c r="AE148" s="47" t="n">
        <v>0</v>
      </c>
      <c r="AF148" s="47" t="n">
        <v>0</v>
      </c>
      <c r="AG148" s="47" t="n">
        <v>0</v>
      </c>
      <c r="AH148" s="47" t="n">
        <v>0</v>
      </c>
      <c r="AI148" s="47" t="n">
        <v>0</v>
      </c>
      <c r="AJ148" s="47" t="n">
        <v>4.813</v>
      </c>
      <c r="AK148" s="47" t="n">
        <v>0.725</v>
      </c>
      <c r="AL148" s="47" t="n">
        <v>5.808</v>
      </c>
      <c r="AM148" s="47" t="n">
        <v>8.076000000000001</v>
      </c>
      <c r="AN148" s="47" t="n">
        <v>10.495</v>
      </c>
      <c r="AO148" s="47" t="n">
        <v>10.81</v>
      </c>
      <c r="AP148" s="47" t="n">
        <v>5.557</v>
      </c>
      <c r="AQ148" s="47" t="n">
        <v>0.754</v>
      </c>
      <c r="AR148" s="47" t="n">
        <v>9.82</v>
      </c>
      <c r="AS148" s="47" t="n">
        <v>31.211</v>
      </c>
      <c r="AT148" s="47" t="n">
        <v>13.471</v>
      </c>
      <c r="AU148" s="47" t="n">
        <v>5.398</v>
      </c>
      <c r="AV148" s="47" t="n">
        <v>10.818</v>
      </c>
      <c r="AW148" s="47" t="n">
        <v>15.041</v>
      </c>
      <c r="AX148" s="47" t="n">
        <v>10.378</v>
      </c>
      <c r="AY148" s="47" t="n">
        <v>7.575</v>
      </c>
      <c r="AZ148" s="47" t="n">
        <v>3.19</v>
      </c>
      <c r="BA148" s="47" t="n">
        <v>2.11</v>
      </c>
      <c r="BB148" s="47" t="n">
        <v>17.534</v>
      </c>
      <c r="BC148" s="47" t="n">
        <v>0.24</v>
      </c>
      <c r="BD148" s="47" t="n">
        <v>5.12</v>
      </c>
      <c r="BE148" s="47" t="n">
        <v>30.05</v>
      </c>
      <c r="BF148" s="47" t="n">
        <v>7.15</v>
      </c>
      <c r="BG148" s="47" t="n">
        <v>1.79</v>
      </c>
      <c r="BH148" s="47" t="n">
        <v>10.7</v>
      </c>
      <c r="BI148" s="47" t="n">
        <v>1.85</v>
      </c>
      <c r="BJ148" s="47" t="n">
        <v>1.3</v>
      </c>
      <c r="BK148" s="47" t="n">
        <v>0</v>
      </c>
      <c r="BL148" s="47" t="n">
        <v>18.8</v>
      </c>
      <c r="BM148" s="47" t="n">
        <v>4.84</v>
      </c>
      <c r="BN148" s="47" t="n">
        <v>5.706666666666667</v>
      </c>
      <c r="BO148" s="47" t="n">
        <v>5.706666666666666</v>
      </c>
      <c r="BP148" s="47" t="n">
        <v>5.706666666666666</v>
      </c>
      <c r="BQ148" s="47" t="n">
        <v>5.706666666666667</v>
      </c>
      <c r="BR148" s="47" t="n">
        <v>5.706666666666667</v>
      </c>
      <c r="BS148" s="47" t="n">
        <v>5.706666666666668</v>
      </c>
      <c r="BT148" s="47" t="n">
        <v>5.706666666666667</v>
      </c>
      <c r="BU148" s="47" t="n">
        <v>5.706666666666668</v>
      </c>
      <c r="BV148" s="47" t="n">
        <v>5.706666666666671</v>
      </c>
      <c r="BW148" s="102" t="n"/>
      <c r="BX148" s="102" t="n"/>
      <c r="BY148" s="102" t="n"/>
      <c r="BZ148" s="102" t="n"/>
      <c r="CA148" s="102" t="n"/>
      <c r="CB148" s="102" t="n"/>
      <c r="CC148" s="102" t="n"/>
      <c r="CD148" s="102" t="n"/>
      <c r="CE148" s="102" t="n"/>
      <c r="CF148" s="102" t="n"/>
      <c r="CG148" s="102" t="n"/>
      <c r="CH148" s="102" t="n"/>
      <c r="CI148" s="102" t="n"/>
      <c r="CJ148" s="102" t="n"/>
      <c r="CK148" s="102" t="n"/>
      <c r="CL148" s="102" t="n"/>
      <c r="CM148" s="102" t="n"/>
      <c r="CN148" s="102" t="n"/>
      <c r="CO148" s="102" t="n"/>
      <c r="CP148" s="102" t="n"/>
      <c r="CQ148" s="102" t="n"/>
      <c r="CR148" s="102" t="n"/>
      <c r="CS148" s="102" t="n"/>
      <c r="CT148" s="102" t="n"/>
      <c r="CU148" s="102" t="n"/>
      <c r="CV148" s="102" t="n"/>
      <c r="CW148" s="102" t="n"/>
      <c r="CX148" s="102" t="n"/>
      <c r="CY148" s="102" t="n"/>
      <c r="CZ148" s="102" t="n"/>
      <c r="DA148" s="102" t="n"/>
      <c r="DB148" s="102" t="n"/>
      <c r="DC148" s="102" t="n"/>
      <c r="DD148" s="102" t="n"/>
      <c r="DE148" s="102" t="n"/>
      <c r="DF148" s="102" t="n"/>
      <c r="DG148" s="102" t="n"/>
      <c r="DH148" s="102" t="n"/>
      <c r="DI148" s="102" t="n"/>
      <c r="DJ148" s="102" t="n"/>
      <c r="DK148" s="102" t="n"/>
      <c r="DL148" s="102" t="n"/>
      <c r="DM148" s="102" t="n"/>
      <c r="DN148" s="102" t="n"/>
      <c r="DO148" s="102" t="n"/>
      <c r="DP148" s="102" t="n"/>
      <c r="DQ148" s="102" t="n"/>
      <c r="DR148" s="102" t="n"/>
      <c r="DT148" s="46">
        <f>+F148-E148</f>
        <v/>
      </c>
      <c r="DU148" s="46">
        <f>+G148-F148</f>
        <v/>
      </c>
      <c r="DV148" s="46">
        <f>+H148-G148</f>
        <v/>
      </c>
      <c r="DW148" s="46">
        <f>+I148-H148</f>
        <v/>
      </c>
    </row>
    <row r="149" hidden="1" outlineLevel="1" ht="15.75" customHeight="1">
      <c r="B149" s="5" t="inlineStr">
        <is>
          <t>IFIS</t>
        </is>
      </c>
      <c r="C149" s="68" t="inlineStr">
        <is>
          <t>Lower Middle Market</t>
        </is>
      </c>
      <c r="E149" s="46">
        <f>+SUMIFS($O149:$DR149,$O$7:$DR$7,E$7)</f>
        <v/>
      </c>
      <c r="F149" s="46">
        <f>+SUMIFS($O149:$DR149,$O$7:$DR$7,F$7)</f>
        <v/>
      </c>
      <c r="G149" s="46">
        <f>+SUMIFS($O149:$DR149,$O$7:$DR$7,G$7)</f>
        <v/>
      </c>
      <c r="H149" s="46">
        <f>+SUMIFS($O149:$DR149,$O$7:$DR$7,H$7)</f>
        <v/>
      </c>
      <c r="I149" s="46">
        <f>+SUMIFS($O149:$DR149,$O$7:$DR$7,I$7)</f>
        <v/>
      </c>
      <c r="J149" s="46">
        <f>+SUMIFS($O149:$DR149,$O$7:$DR$7,J$7)</f>
        <v/>
      </c>
      <c r="K149" s="46">
        <f>+SUMIFS($O149:$DR149,$O$7:$DR$7,K$7)</f>
        <v/>
      </c>
      <c r="L149" s="46">
        <f>+SUMIFS($O149:$DR149,$O$7:$DR$7,L$7)</f>
        <v/>
      </c>
      <c r="M149" s="46">
        <f>+SUMIFS($O149:$DR149,$O$7:$DR$7,M$7)</f>
        <v/>
      </c>
      <c r="O149" s="47" t="n">
        <v>0</v>
      </c>
      <c r="P149" s="47" t="n">
        <v>0</v>
      </c>
      <c r="Q149" s="47" t="n">
        <v>0</v>
      </c>
      <c r="R149" s="47" t="n">
        <v>0</v>
      </c>
      <c r="S149" s="47" t="n">
        <v>0</v>
      </c>
      <c r="T149" s="47" t="n">
        <v>0</v>
      </c>
      <c r="U149" s="47" t="n">
        <v>0</v>
      </c>
      <c r="V149" s="47" t="n">
        <v>0</v>
      </c>
      <c r="W149" s="47" t="n">
        <v>0</v>
      </c>
      <c r="X149" s="47" t="n">
        <v>0</v>
      </c>
      <c r="Y149" s="47" t="n">
        <v>0</v>
      </c>
      <c r="Z149" s="47" t="n">
        <v>0</v>
      </c>
      <c r="AA149" s="47" t="n">
        <v>0</v>
      </c>
      <c r="AB149" s="47" t="n">
        <v>0</v>
      </c>
      <c r="AC149" s="47" t="n">
        <v>0</v>
      </c>
      <c r="AD149" s="47" t="n">
        <v>0</v>
      </c>
      <c r="AE149" s="47" t="n">
        <v>0</v>
      </c>
      <c r="AF149" s="47" t="n">
        <v>0</v>
      </c>
      <c r="AG149" s="47" t="n">
        <v>0</v>
      </c>
      <c r="AH149" s="47" t="n">
        <v>0</v>
      </c>
      <c r="AI149" s="47" t="n">
        <v>0</v>
      </c>
      <c r="AJ149" s="47" t="n">
        <v>0</v>
      </c>
      <c r="AK149" s="47" t="n">
        <v>0</v>
      </c>
      <c r="AL149" s="47" t="n">
        <v>0</v>
      </c>
      <c r="AM149" s="47" t="n">
        <v>0</v>
      </c>
      <c r="AN149" s="47" t="n">
        <v>0</v>
      </c>
      <c r="AO149" s="47" t="n">
        <v>0</v>
      </c>
      <c r="AP149" s="47" t="n">
        <v>0</v>
      </c>
      <c r="AQ149" s="47" t="n">
        <v>0</v>
      </c>
      <c r="AR149" s="47" t="n">
        <v>0</v>
      </c>
      <c r="AS149" s="47" t="n">
        <v>0</v>
      </c>
      <c r="AT149" s="47" t="n">
        <v>0</v>
      </c>
      <c r="AU149" s="47" t="n">
        <v>0</v>
      </c>
      <c r="AV149" s="47" t="n">
        <v>5.67</v>
      </c>
      <c r="AW149" s="47" t="n">
        <v>2.025</v>
      </c>
      <c r="AX149" s="47" t="n">
        <v>0.405</v>
      </c>
      <c r="AY149" s="47" t="n">
        <v>0.261</v>
      </c>
      <c r="AZ149" s="47" t="n">
        <v>4.964</v>
      </c>
      <c r="BA149" s="47" t="n">
        <v>15.723</v>
      </c>
      <c r="BB149" s="47" t="n">
        <v>3.277</v>
      </c>
      <c r="BC149" s="47" t="n">
        <v>0</v>
      </c>
      <c r="BD149" s="47" t="n">
        <v>0</v>
      </c>
      <c r="BE149" s="47" t="n">
        <v>0</v>
      </c>
      <c r="BF149" s="47" t="n">
        <v>0</v>
      </c>
      <c r="BG149" s="47" t="n">
        <v>0</v>
      </c>
      <c r="BH149" s="47" t="n">
        <v>0</v>
      </c>
      <c r="BI149" s="47" t="n">
        <v>0</v>
      </c>
      <c r="BJ149" s="47" t="n">
        <v>0</v>
      </c>
      <c r="BK149" s="47" t="n">
        <v>0</v>
      </c>
      <c r="BL149" s="47" t="n">
        <v>0</v>
      </c>
      <c r="BM149" s="47" t="n">
        <v>0</v>
      </c>
      <c r="BN149" s="47" t="n">
        <v>0</v>
      </c>
      <c r="BO149" s="47" t="n">
        <v>0</v>
      </c>
      <c r="BP149" s="47" t="n">
        <v>0</v>
      </c>
      <c r="BQ149" s="47" t="n">
        <v>0</v>
      </c>
      <c r="BR149" s="47" t="n">
        <v>0</v>
      </c>
      <c r="BS149" s="47" t="n">
        <v>0</v>
      </c>
      <c r="BT149" s="47" t="n">
        <v>0</v>
      </c>
      <c r="BU149" s="47" t="n">
        <v>0</v>
      </c>
      <c r="BV149" s="47" t="n">
        <v>0</v>
      </c>
      <c r="BW149" s="102" t="n"/>
      <c r="BX149" s="102" t="n"/>
      <c r="BY149" s="102" t="n"/>
      <c r="BZ149" s="102" t="n"/>
      <c r="CA149" s="102" t="n"/>
      <c r="CB149" s="102" t="n"/>
      <c r="CC149" s="102" t="n"/>
      <c r="CD149" s="102" t="n"/>
      <c r="CE149" s="102" t="n"/>
      <c r="CF149" s="102" t="n"/>
      <c r="CG149" s="102" t="n"/>
      <c r="CH149" s="102" t="n"/>
      <c r="CI149" s="102" t="n"/>
      <c r="CJ149" s="102" t="n"/>
      <c r="CK149" s="102" t="n"/>
      <c r="CL149" s="102" t="n"/>
      <c r="CM149" s="102" t="n"/>
      <c r="CN149" s="102" t="n"/>
      <c r="CO149" s="102" t="n"/>
      <c r="CP149" s="102" t="n"/>
      <c r="CQ149" s="102" t="n"/>
      <c r="CR149" s="102" t="n"/>
      <c r="CS149" s="102" t="n"/>
      <c r="CT149" s="102" t="n"/>
      <c r="CU149" s="102" t="n"/>
      <c r="CV149" s="102" t="n"/>
      <c r="CW149" s="102" t="n"/>
      <c r="CX149" s="102" t="n"/>
      <c r="CY149" s="102" t="n"/>
      <c r="CZ149" s="102" t="n"/>
      <c r="DA149" s="102" t="n"/>
      <c r="DB149" s="102" t="n"/>
      <c r="DC149" s="102" t="n"/>
      <c r="DD149" s="102" t="n"/>
      <c r="DE149" s="102" t="n"/>
      <c r="DF149" s="102" t="n"/>
      <c r="DG149" s="102" t="n"/>
      <c r="DH149" s="102" t="n"/>
      <c r="DI149" s="102" t="n"/>
      <c r="DJ149" s="102" t="n"/>
      <c r="DK149" s="102" t="n"/>
      <c r="DL149" s="102" t="n"/>
      <c r="DM149" s="102" t="n"/>
      <c r="DN149" s="102" t="n"/>
      <c r="DO149" s="102" t="n"/>
      <c r="DP149" s="102" t="n"/>
      <c r="DQ149" s="102" t="n"/>
      <c r="DR149" s="102" t="n"/>
      <c r="DT149" s="46">
        <f>+F149-E149</f>
        <v/>
      </c>
      <c r="DU149" s="46">
        <f>+G149-F149</f>
        <v/>
      </c>
      <c r="DV149" s="46">
        <f>+H149-G149</f>
        <v/>
      </c>
      <c r="DW149" s="46">
        <f>+I149-H149</f>
        <v/>
      </c>
    </row>
    <row r="150" hidden="1" outlineLevel="1" ht="15.75" customHeight="1">
      <c r="B150" s="5" t="inlineStr">
        <is>
          <t>IWA</t>
        </is>
      </c>
      <c r="C150" s="68" t="inlineStr">
        <is>
          <t>Lower Middle Market</t>
        </is>
      </c>
      <c r="E150" s="46">
        <f>+SUMIFS($O150:$DR150,$O$7:$DR$7,E$7)</f>
        <v/>
      </c>
      <c r="F150" s="46">
        <f>+SUMIFS($O150:$DR150,$O$7:$DR$7,F$7)</f>
        <v/>
      </c>
      <c r="G150" s="46">
        <f>+SUMIFS($O150:$DR150,$O$7:$DR$7,G$7)</f>
        <v/>
      </c>
      <c r="H150" s="46">
        <f>+SUMIFS($O150:$DR150,$O$7:$DR$7,H$7)</f>
        <v/>
      </c>
      <c r="I150" s="46">
        <f>+SUMIFS($O150:$DR150,$O$7:$DR$7,I$7)</f>
        <v/>
      </c>
      <c r="J150" s="46">
        <f>+SUMIFS($O150:$DR150,$O$7:$DR$7,J$7)</f>
        <v/>
      </c>
      <c r="K150" s="46">
        <f>+SUMIFS($O150:$DR150,$O$7:$DR$7,K$7)</f>
        <v/>
      </c>
      <c r="L150" s="46">
        <f>+SUMIFS($O150:$DR150,$O$7:$DR$7,L$7)</f>
        <v/>
      </c>
      <c r="M150" s="46">
        <f>+SUMIFS($O150:$DR150,$O$7:$DR$7,M$7)</f>
        <v/>
      </c>
      <c r="O150" s="47" t="n">
        <v>0</v>
      </c>
      <c r="P150" s="47" t="n">
        <v>0</v>
      </c>
      <c r="Q150" s="47" t="n">
        <v>0</v>
      </c>
      <c r="R150" s="47" t="n">
        <v>0</v>
      </c>
      <c r="S150" s="47" t="n">
        <v>0</v>
      </c>
      <c r="T150" s="47" t="n">
        <v>0</v>
      </c>
      <c r="U150" s="47" t="n">
        <v>0</v>
      </c>
      <c r="V150" s="47" t="n">
        <v>0</v>
      </c>
      <c r="W150" s="47" t="n">
        <v>0</v>
      </c>
      <c r="X150" s="47" t="n">
        <v>0</v>
      </c>
      <c r="Y150" s="47" t="n">
        <v>0</v>
      </c>
      <c r="Z150" s="47" t="n">
        <v>0</v>
      </c>
      <c r="AA150" s="47" t="n">
        <v>0</v>
      </c>
      <c r="AB150" s="47" t="n">
        <v>0</v>
      </c>
      <c r="AC150" s="47" t="n">
        <v>0</v>
      </c>
      <c r="AD150" s="47" t="n">
        <v>3.4</v>
      </c>
      <c r="AE150" s="47" t="n">
        <v>3.4</v>
      </c>
      <c r="AF150" s="47" t="n">
        <v>0</v>
      </c>
      <c r="AG150" s="47" t="n">
        <v>0</v>
      </c>
      <c r="AH150" s="47" t="n">
        <v>0</v>
      </c>
      <c r="AI150" s="47" t="n">
        <v>0</v>
      </c>
      <c r="AJ150" s="47" t="n">
        <v>0</v>
      </c>
      <c r="AK150" s="47" t="n">
        <v>0</v>
      </c>
      <c r="AL150" s="47" t="n">
        <v>1.606</v>
      </c>
      <c r="AM150" s="47" t="n">
        <v>9.269</v>
      </c>
      <c r="AN150" s="47" t="n">
        <v>2.48</v>
      </c>
      <c r="AO150" s="47" t="n">
        <v>1.694</v>
      </c>
      <c r="AP150" s="47" t="n">
        <v>1.016</v>
      </c>
      <c r="AQ150" s="47" t="n">
        <v>0</v>
      </c>
      <c r="AR150" s="47" t="n">
        <v>0</v>
      </c>
      <c r="AS150" s="47" t="n">
        <v>0</v>
      </c>
      <c r="AT150" s="47" t="n">
        <v>5.7</v>
      </c>
      <c r="AU150" s="47" t="n">
        <v>1.225</v>
      </c>
      <c r="AV150" s="47" t="n">
        <v>2.45</v>
      </c>
      <c r="AW150" s="47" t="n">
        <v>0.735</v>
      </c>
      <c r="AX150" s="47" t="n">
        <v>0.49</v>
      </c>
      <c r="AY150" s="47" t="n">
        <v>0</v>
      </c>
      <c r="AZ150" s="47" t="n">
        <v>0</v>
      </c>
      <c r="BA150" s="47" t="n">
        <v>0</v>
      </c>
      <c r="BB150" s="47" t="n">
        <v>0</v>
      </c>
      <c r="BC150" s="47" t="n">
        <v>0</v>
      </c>
      <c r="BD150" s="47" t="n">
        <v>0</v>
      </c>
      <c r="BE150" s="47" t="n">
        <v>0</v>
      </c>
      <c r="BF150" s="47" t="n">
        <v>0</v>
      </c>
      <c r="BG150" s="47" t="n">
        <v>0</v>
      </c>
      <c r="BH150" s="47" t="n">
        <v>0</v>
      </c>
      <c r="BI150" s="47" t="n">
        <v>0</v>
      </c>
      <c r="BJ150" s="47" t="n">
        <v>0</v>
      </c>
      <c r="BK150" s="47" t="n">
        <v>0</v>
      </c>
      <c r="BL150" s="47" t="n">
        <v>0</v>
      </c>
      <c r="BM150" s="47" t="n">
        <v>0</v>
      </c>
      <c r="BN150" s="47" t="n">
        <v>0</v>
      </c>
      <c r="BO150" s="47" t="n">
        <v>0</v>
      </c>
      <c r="BP150" s="47" t="n">
        <v>0</v>
      </c>
      <c r="BQ150" s="47" t="n">
        <v>0</v>
      </c>
      <c r="BR150" s="47" t="n">
        <v>0</v>
      </c>
      <c r="BS150" s="47" t="n">
        <v>0</v>
      </c>
      <c r="BT150" s="47" t="n">
        <v>0</v>
      </c>
      <c r="BU150" s="47" t="n">
        <v>0</v>
      </c>
      <c r="BV150" s="47" t="n">
        <v>0</v>
      </c>
      <c r="BW150" s="102" t="n"/>
      <c r="BX150" s="102" t="n"/>
      <c r="BY150" s="102" t="n"/>
      <c r="BZ150" s="102" t="n"/>
      <c r="CA150" s="102" t="n"/>
      <c r="CB150" s="102" t="n"/>
      <c r="CC150" s="102" t="n"/>
      <c r="CD150" s="102" t="n"/>
      <c r="CE150" s="102" t="n"/>
      <c r="CF150" s="102" t="n"/>
      <c r="CG150" s="102" t="n"/>
      <c r="CH150" s="102" t="n"/>
      <c r="CI150" s="102" t="n"/>
      <c r="CJ150" s="102" t="n"/>
      <c r="CK150" s="102" t="n"/>
      <c r="CL150" s="102" t="n"/>
      <c r="CM150" s="102" t="n"/>
      <c r="CN150" s="102" t="n"/>
      <c r="CO150" s="102" t="n"/>
      <c r="CP150" s="102" t="n"/>
      <c r="CQ150" s="102" t="n"/>
      <c r="CR150" s="102" t="n"/>
      <c r="CS150" s="102" t="n"/>
      <c r="CT150" s="102" t="n"/>
      <c r="CU150" s="102" t="n"/>
      <c r="CV150" s="102" t="n"/>
      <c r="CW150" s="102" t="n"/>
      <c r="CX150" s="102" t="n"/>
      <c r="CY150" s="102" t="n"/>
      <c r="CZ150" s="102" t="n"/>
      <c r="DA150" s="102" t="n"/>
      <c r="DB150" s="102" t="n"/>
      <c r="DC150" s="102" t="n"/>
      <c r="DD150" s="102" t="n"/>
      <c r="DE150" s="102" t="n"/>
      <c r="DF150" s="102" t="n"/>
      <c r="DG150" s="102" t="n"/>
      <c r="DH150" s="102" t="n"/>
      <c r="DI150" s="102" t="n"/>
      <c r="DJ150" s="102" t="n"/>
      <c r="DK150" s="102" t="n"/>
      <c r="DL150" s="102" t="n"/>
      <c r="DM150" s="102" t="n"/>
      <c r="DN150" s="102" t="n"/>
      <c r="DO150" s="102" t="n"/>
      <c r="DP150" s="102" t="n"/>
      <c r="DQ150" s="102" t="n"/>
      <c r="DR150" s="102" t="n"/>
      <c r="DT150" s="46">
        <f>+F150-E150</f>
        <v/>
      </c>
      <c r="DU150" s="46">
        <f>+G150-F150</f>
        <v/>
      </c>
      <c r="DV150" s="46">
        <f>+H150-G150</f>
        <v/>
      </c>
      <c r="DW150" s="46">
        <f>+I150-H150</f>
        <v/>
      </c>
    </row>
    <row r="151" hidden="1" outlineLevel="1" ht="15.75" customHeight="1">
      <c r="B151" s="5" t="inlineStr">
        <is>
          <t>KARGER</t>
        </is>
      </c>
      <c r="C151" s="68" t="inlineStr">
        <is>
          <t>Upper Middle Market</t>
        </is>
      </c>
      <c r="E151" s="46">
        <f>+SUMIFS($O151:$DR151,$O$7:$DR$7,E$7)</f>
        <v/>
      </c>
      <c r="F151" s="46">
        <f>+SUMIFS($O151:$DR151,$O$7:$DR$7,F$7)</f>
        <v/>
      </c>
      <c r="G151" s="46">
        <f>+SUMIFS($O151:$DR151,$O$7:$DR$7,G$7)</f>
        <v/>
      </c>
      <c r="H151" s="46">
        <f>+SUMIFS($O151:$DR151,$O$7:$DR$7,H$7)</f>
        <v/>
      </c>
      <c r="I151" s="46">
        <f>+SUMIFS($O151:$DR151,$O$7:$DR$7,I$7)</f>
        <v/>
      </c>
      <c r="J151" s="46">
        <f>+SUMIFS($O151:$DR151,$O$7:$DR$7,J$7)</f>
        <v/>
      </c>
      <c r="K151" s="46">
        <f>+SUMIFS($O151:$DR151,$O$7:$DR$7,K$7)</f>
        <v/>
      </c>
      <c r="L151" s="46">
        <f>+SUMIFS($O151:$DR151,$O$7:$DR$7,L$7)</f>
        <v/>
      </c>
      <c r="M151" s="46">
        <f>+SUMIFS($O151:$DR151,$O$7:$DR$7,M$7)</f>
        <v/>
      </c>
      <c r="O151" s="47" t="n">
        <v>0</v>
      </c>
      <c r="P151" s="47" t="n">
        <v>0</v>
      </c>
      <c r="Q151" s="47" t="n">
        <v>0</v>
      </c>
      <c r="R151" s="47" t="n">
        <v>0</v>
      </c>
      <c r="S151" s="47" t="n">
        <v>0</v>
      </c>
      <c r="T151" s="47" t="n">
        <v>0</v>
      </c>
      <c r="U151" s="47" t="n">
        <v>0</v>
      </c>
      <c r="V151" s="47" t="n">
        <v>0</v>
      </c>
      <c r="W151" s="47" t="n">
        <v>0</v>
      </c>
      <c r="X151" s="47" t="n">
        <v>0</v>
      </c>
      <c r="Y151" s="47" t="n">
        <v>0</v>
      </c>
      <c r="Z151" s="47" t="n">
        <v>0</v>
      </c>
      <c r="AA151" s="47" t="n">
        <v>0</v>
      </c>
      <c r="AB151" s="47" t="n">
        <v>0</v>
      </c>
      <c r="AC151" s="47" t="n">
        <v>0</v>
      </c>
      <c r="AD151" s="47" t="n">
        <v>0</v>
      </c>
      <c r="AE151" s="47" t="n">
        <v>0</v>
      </c>
      <c r="AF151" s="47" t="n">
        <v>0</v>
      </c>
      <c r="AG151" s="47" t="n">
        <v>0</v>
      </c>
      <c r="AH151" s="47" t="n">
        <v>0</v>
      </c>
      <c r="AI151" s="47" t="n">
        <v>0</v>
      </c>
      <c r="AJ151" s="47" t="n">
        <v>0</v>
      </c>
      <c r="AK151" s="47" t="n">
        <v>0</v>
      </c>
      <c r="AL151" s="47" t="n">
        <v>0</v>
      </c>
      <c r="AM151" s="47" t="n">
        <v>0</v>
      </c>
      <c r="AN151" s="47" t="n">
        <v>0</v>
      </c>
      <c r="AO151" s="47" t="n">
        <v>0</v>
      </c>
      <c r="AP151" s="47" t="n">
        <v>0</v>
      </c>
      <c r="AQ151" s="47" t="n">
        <v>0</v>
      </c>
      <c r="AR151" s="47" t="n">
        <v>0</v>
      </c>
      <c r="AS151" s="47" t="n">
        <v>0</v>
      </c>
      <c r="AT151" s="47" t="n">
        <v>0</v>
      </c>
      <c r="AU151" s="47" t="n">
        <v>0</v>
      </c>
      <c r="AV151" s="47" t="n">
        <v>0</v>
      </c>
      <c r="AW151" s="47" t="n">
        <v>0</v>
      </c>
      <c r="AX151" s="47" t="n">
        <v>0</v>
      </c>
      <c r="AY151" s="47" t="n">
        <v>0</v>
      </c>
      <c r="AZ151" s="47" t="n">
        <v>0</v>
      </c>
      <c r="BA151" s="47" t="n">
        <v>0</v>
      </c>
      <c r="BB151" s="47" t="n">
        <v>0</v>
      </c>
      <c r="BC151" s="47" t="n">
        <v>0</v>
      </c>
      <c r="BD151" s="47" t="n">
        <v>0</v>
      </c>
      <c r="BE151" s="47" t="n">
        <v>0</v>
      </c>
      <c r="BF151" s="47" t="n">
        <v>0</v>
      </c>
      <c r="BG151" s="47" t="n">
        <v>0</v>
      </c>
      <c r="BH151" s="47" t="n">
        <v>0</v>
      </c>
      <c r="BI151" s="47" t="n">
        <v>0</v>
      </c>
      <c r="BJ151" s="47" t="n">
        <v>0</v>
      </c>
      <c r="BK151" s="47" t="n">
        <v>0</v>
      </c>
      <c r="BL151" s="47" t="n">
        <v>0</v>
      </c>
      <c r="BM151" s="47" t="n">
        <v>7.361</v>
      </c>
      <c r="BN151" s="47" t="n">
        <v>11.47763888888889</v>
      </c>
      <c r="BO151" s="47" t="n">
        <v>13.34275520833333</v>
      </c>
      <c r="BP151" s="47" t="n">
        <v>16.51960168650794</v>
      </c>
      <c r="BQ151" s="47" t="n">
        <v>13.76633473875661</v>
      </c>
      <c r="BR151" s="47" t="n">
        <v>11.01306779100529</v>
      </c>
      <c r="BS151" s="47" t="n">
        <v>8.259800843253965</v>
      </c>
      <c r="BT151" s="47" t="n">
        <v>4.129900421626982</v>
      </c>
      <c r="BU151" s="47" t="n">
        <v>2.064950210813491</v>
      </c>
      <c r="BV151" s="47" t="n">
        <v>2.064950210813491</v>
      </c>
      <c r="BW151" s="102" t="n"/>
      <c r="BX151" s="102" t="n"/>
      <c r="BY151" s="102" t="n"/>
      <c r="BZ151" s="102" t="n"/>
      <c r="CA151" s="102" t="n"/>
      <c r="CB151" s="102" t="n"/>
      <c r="CC151" s="102" t="n"/>
      <c r="CD151" s="102" t="n"/>
      <c r="CE151" s="102" t="n"/>
      <c r="CF151" s="102" t="n"/>
      <c r="CG151" s="102" t="n"/>
      <c r="CH151" s="102" t="n"/>
      <c r="CI151" s="102" t="n"/>
      <c r="CJ151" s="102" t="n"/>
      <c r="CK151" s="102" t="n"/>
      <c r="CL151" s="102" t="n"/>
      <c r="CM151" s="102" t="n"/>
      <c r="CN151" s="102" t="n"/>
      <c r="CO151" s="102" t="n"/>
      <c r="CP151" s="102" t="n"/>
      <c r="CQ151" s="102" t="n"/>
      <c r="CR151" s="102" t="n"/>
      <c r="CS151" s="102" t="n"/>
      <c r="CT151" s="102" t="n"/>
      <c r="CU151" s="102" t="n"/>
      <c r="CV151" s="102" t="n"/>
      <c r="CW151" s="102" t="n"/>
      <c r="CX151" s="102" t="n"/>
      <c r="CY151" s="102" t="n"/>
      <c r="CZ151" s="102" t="n"/>
      <c r="DA151" s="102" t="n"/>
      <c r="DB151" s="102" t="n"/>
      <c r="DC151" s="102" t="n"/>
      <c r="DD151" s="102" t="n"/>
      <c r="DE151" s="102" t="n"/>
      <c r="DF151" s="102" t="n"/>
      <c r="DG151" s="102" t="n"/>
      <c r="DH151" s="102" t="n"/>
      <c r="DI151" s="102" t="n"/>
      <c r="DJ151" s="102" t="n"/>
      <c r="DK151" s="102" t="n"/>
      <c r="DL151" s="102" t="n"/>
      <c r="DM151" s="102" t="n"/>
      <c r="DN151" s="102" t="n"/>
      <c r="DO151" s="102" t="n"/>
      <c r="DP151" s="102" t="n"/>
      <c r="DQ151" s="102" t="n"/>
      <c r="DR151" s="102" t="n"/>
      <c r="DT151" s="46">
        <f>+F151-E151</f>
        <v/>
      </c>
      <c r="DU151" s="46">
        <f>+G151-F151</f>
        <v/>
      </c>
      <c r="DV151" s="46">
        <f>+H151-G151</f>
        <v/>
      </c>
      <c r="DW151" s="46">
        <f>+I151-H151</f>
        <v/>
      </c>
    </row>
    <row r="152" hidden="1" outlineLevel="1" ht="15.75" customHeight="1">
      <c r="B152" s="5" t="inlineStr">
        <is>
          <t>MGH</t>
        </is>
      </c>
      <c r="C152" s="68" t="inlineStr">
        <is>
          <t>Mega</t>
        </is>
      </c>
      <c r="E152" s="46">
        <f>+SUMIFS($O152:$DR152,$O$7:$DR$7,E$7)</f>
        <v/>
      </c>
      <c r="F152" s="46">
        <f>+SUMIFS($O152:$DR152,$O$7:$DR$7,F$7)</f>
        <v/>
      </c>
      <c r="G152" s="46">
        <f>+SUMIFS($O152:$DR152,$O$7:$DR$7,G$7)</f>
        <v/>
      </c>
      <c r="H152" s="46">
        <f>+SUMIFS($O152:$DR152,$O$7:$DR$7,H$7)</f>
        <v/>
      </c>
      <c r="I152" s="46">
        <f>+SUMIFS($O152:$DR152,$O$7:$DR$7,I$7)</f>
        <v/>
      </c>
      <c r="J152" s="46">
        <f>+SUMIFS($O152:$DR152,$O$7:$DR$7,J$7)</f>
        <v/>
      </c>
      <c r="K152" s="46">
        <f>+SUMIFS($O152:$DR152,$O$7:$DR$7,K$7)</f>
        <v/>
      </c>
      <c r="L152" s="46">
        <f>+SUMIFS($O152:$DR152,$O$7:$DR$7,L$7)</f>
        <v/>
      </c>
      <c r="M152" s="46">
        <f>+SUMIFS($O152:$DR152,$O$7:$DR$7,M$7)</f>
        <v/>
      </c>
      <c r="O152" s="47" t="n">
        <v>125.786</v>
      </c>
      <c r="P152" s="47" t="n">
        <v>117.242</v>
      </c>
      <c r="Q152" s="47" t="n">
        <v>121.778</v>
      </c>
      <c r="R152" s="47" t="n">
        <v>145.58</v>
      </c>
      <c r="S152" s="47" t="n">
        <v>157.271</v>
      </c>
      <c r="T152" s="47" t="n">
        <v>140.537</v>
      </c>
      <c r="U152" s="47" t="n">
        <v>125.608</v>
      </c>
      <c r="V152" s="47" t="n">
        <v>123.05</v>
      </c>
      <c r="W152" s="47" t="n">
        <v>115.384</v>
      </c>
      <c r="X152" s="47" t="n">
        <v>148.635</v>
      </c>
      <c r="Y152" s="47" t="n">
        <v>91.43600000000001</v>
      </c>
      <c r="Z152" s="47" t="n">
        <v>73.491</v>
      </c>
      <c r="AA152" s="47" t="n">
        <v>117.978</v>
      </c>
      <c r="AB152" s="47" t="n">
        <v>94.514</v>
      </c>
      <c r="AC152" s="47" t="n">
        <v>120.697</v>
      </c>
      <c r="AD152" s="47" t="n">
        <v>124.439</v>
      </c>
      <c r="AE152" s="47" t="n">
        <v>150.26</v>
      </c>
      <c r="AF152" s="47" t="n">
        <v>132.993</v>
      </c>
      <c r="AG152" s="47" t="n">
        <v>103.02</v>
      </c>
      <c r="AH152" s="47" t="n">
        <v>198.716</v>
      </c>
      <c r="AI152" s="47" t="n">
        <v>186.183</v>
      </c>
      <c r="AJ152" s="47" t="n">
        <v>185.579</v>
      </c>
      <c r="AK152" s="47" t="n">
        <v>95.28100000000001</v>
      </c>
      <c r="AL152" s="47" t="n">
        <v>52.095</v>
      </c>
      <c r="AM152" s="47" t="n">
        <v>142.896</v>
      </c>
      <c r="AN152" s="47" t="n">
        <v>160.368</v>
      </c>
      <c r="AO152" s="47" t="n">
        <v>150.072</v>
      </c>
      <c r="AP152" s="47" t="n">
        <v>163.488</v>
      </c>
      <c r="AQ152" s="47" t="n">
        <v>117.156</v>
      </c>
      <c r="AR152" s="47" t="n">
        <v>145.704</v>
      </c>
      <c r="AS152" s="47" t="n">
        <v>248.976</v>
      </c>
      <c r="AT152" s="47" t="n">
        <v>112.32</v>
      </c>
      <c r="AU152" s="47" t="n">
        <v>182.988</v>
      </c>
      <c r="AV152" s="47" t="n">
        <v>102.804</v>
      </c>
      <c r="AW152" s="47" t="n">
        <v>100.464</v>
      </c>
      <c r="AX152" s="47" t="n">
        <v>57.564</v>
      </c>
      <c r="AY152" s="47" t="n">
        <v>160.195</v>
      </c>
      <c r="AZ152" s="47" t="n">
        <v>190.946</v>
      </c>
      <c r="BA152" s="47" t="n">
        <v>218.96</v>
      </c>
      <c r="BB152" s="47" t="n">
        <v>110.607</v>
      </c>
      <c r="BC152" s="47" t="n">
        <v>104.328</v>
      </c>
      <c r="BD152" s="47" t="n">
        <v>150.374</v>
      </c>
      <c r="BE152" s="47" t="n">
        <v>189.98</v>
      </c>
      <c r="BF152" s="47" t="n">
        <v>145.383</v>
      </c>
      <c r="BG152" s="47" t="n">
        <v>115.115</v>
      </c>
      <c r="BH152" s="47" t="n">
        <v>84.203</v>
      </c>
      <c r="BI152" s="47" t="n">
        <v>126.707</v>
      </c>
      <c r="BJ152" s="47" t="n">
        <v>92.574</v>
      </c>
      <c r="BK152" s="47" t="n">
        <v>106.809</v>
      </c>
      <c r="BL152" s="47" t="n">
        <v>124.248</v>
      </c>
      <c r="BM152" s="47" t="n">
        <v>184.702</v>
      </c>
      <c r="BN152" s="47" t="n">
        <v>176.0267777777778</v>
      </c>
      <c r="BO152" s="47" t="n">
        <v>184.8281166666667</v>
      </c>
      <c r="BP152" s="47" t="n">
        <v>192.246388015873</v>
      </c>
      <c r="BQ152" s="47" t="n">
        <v>197.6351125284391</v>
      </c>
      <c r="BR152" s="47" t="n">
        <v>191.706059152586</v>
      </c>
      <c r="BS152" s="47" t="n">
        <v>184.517081934364</v>
      </c>
      <c r="BT152" s="47" t="n">
        <v>175.2912278376458</v>
      </c>
      <c r="BU152" s="47" t="n">
        <v>155.0946298476561</v>
      </c>
      <c r="BV152" s="47" t="n">
        <v>126.8956062389915</v>
      </c>
      <c r="BW152" s="102" t="n"/>
      <c r="BX152" s="102" t="n"/>
      <c r="BY152" s="102" t="n"/>
      <c r="BZ152" s="102" t="n"/>
      <c r="CA152" s="102" t="n"/>
      <c r="CB152" s="102" t="n"/>
      <c r="CC152" s="102" t="n"/>
      <c r="CD152" s="102" t="n"/>
      <c r="CE152" s="102" t="n"/>
      <c r="CF152" s="102" t="n"/>
      <c r="CG152" s="102" t="n"/>
      <c r="CH152" s="102" t="n"/>
      <c r="CI152" s="102" t="n"/>
      <c r="CJ152" s="102" t="n"/>
      <c r="CK152" s="102" t="n"/>
      <c r="CL152" s="102" t="n"/>
      <c r="CM152" s="102" t="n"/>
      <c r="CN152" s="102" t="n"/>
      <c r="CO152" s="102" t="n"/>
      <c r="CP152" s="102" t="n"/>
      <c r="CQ152" s="102" t="n"/>
      <c r="CR152" s="102" t="n"/>
      <c r="CS152" s="102" t="n"/>
      <c r="CT152" s="102" t="n"/>
      <c r="CU152" s="102" t="n"/>
      <c r="CV152" s="102" t="n"/>
      <c r="CW152" s="102" t="n"/>
      <c r="CX152" s="102" t="n"/>
      <c r="CY152" s="102" t="n"/>
      <c r="CZ152" s="102" t="n"/>
      <c r="DA152" s="102" t="n"/>
      <c r="DB152" s="102" t="n"/>
      <c r="DC152" s="102" t="n"/>
      <c r="DD152" s="102" t="n"/>
      <c r="DE152" s="102" t="n"/>
      <c r="DF152" s="102" t="n"/>
      <c r="DG152" s="102" t="n"/>
      <c r="DH152" s="102" t="n"/>
      <c r="DI152" s="102" t="n"/>
      <c r="DJ152" s="102" t="n"/>
      <c r="DK152" s="102" t="n"/>
      <c r="DL152" s="102" t="n"/>
      <c r="DM152" s="102" t="n"/>
      <c r="DN152" s="102" t="n"/>
      <c r="DO152" s="102" t="n"/>
      <c r="DP152" s="102" t="n"/>
      <c r="DQ152" s="102" t="n"/>
      <c r="DR152" s="102" t="n"/>
      <c r="DT152" s="46">
        <f>+F152-E152</f>
        <v/>
      </c>
      <c r="DU152" s="46">
        <f>+G152-F152</f>
        <v/>
      </c>
      <c r="DV152" s="46">
        <f>+H152-G152</f>
        <v/>
      </c>
      <c r="DW152" s="46">
        <f>+I152-H152</f>
        <v/>
      </c>
    </row>
    <row r="153" hidden="1" outlineLevel="1" ht="15.75" customHeight="1">
      <c r="B153" s="5" t="inlineStr">
        <is>
          <t>MIT</t>
        </is>
      </c>
      <c r="C153" s="68" t="inlineStr">
        <is>
          <t>Upper Middle Market</t>
        </is>
      </c>
      <c r="E153" s="46">
        <f>+SUMIFS($O153:$DR153,$O$7:$DR$7,E$7)</f>
        <v/>
      </c>
      <c r="F153" s="46">
        <f>+SUMIFS($O153:$DR153,$O$7:$DR$7,F$7)</f>
        <v/>
      </c>
      <c r="G153" s="46">
        <f>+SUMIFS($O153:$DR153,$O$7:$DR$7,G$7)</f>
        <v/>
      </c>
      <c r="H153" s="46">
        <f>+SUMIFS($O153:$DR153,$O$7:$DR$7,H$7)</f>
        <v/>
      </c>
      <c r="I153" s="46">
        <f>+SUMIFS($O153:$DR153,$O$7:$DR$7,I$7)</f>
        <v/>
      </c>
      <c r="J153" s="46">
        <f>+SUMIFS($O153:$DR153,$O$7:$DR$7,J$7)</f>
        <v/>
      </c>
      <c r="K153" s="46">
        <f>+SUMIFS($O153:$DR153,$O$7:$DR$7,K$7)</f>
        <v/>
      </c>
      <c r="L153" s="46">
        <f>+SUMIFS($O153:$DR153,$O$7:$DR$7,L$7)</f>
        <v/>
      </c>
      <c r="M153" s="46">
        <f>+SUMIFS($O153:$DR153,$O$7:$DR$7,M$7)</f>
        <v/>
      </c>
      <c r="O153" s="47" t="n">
        <v>0</v>
      </c>
      <c r="P153" s="47" t="n">
        <v>0</v>
      </c>
      <c r="Q153" s="47" t="n">
        <v>0</v>
      </c>
      <c r="R153" s="47" t="n">
        <v>0</v>
      </c>
      <c r="S153" s="47" t="n">
        <v>0</v>
      </c>
      <c r="T153" s="47" t="n">
        <v>0</v>
      </c>
      <c r="U153" s="47" t="n">
        <v>0</v>
      </c>
      <c r="V153" s="47" t="n">
        <v>0</v>
      </c>
      <c r="W153" s="47" t="n">
        <v>0</v>
      </c>
      <c r="X153" s="47" t="n">
        <v>0</v>
      </c>
      <c r="Y153" s="47" t="n">
        <v>0</v>
      </c>
      <c r="Z153" s="47" t="n">
        <v>0</v>
      </c>
      <c r="AA153" s="47" t="n">
        <v>0</v>
      </c>
      <c r="AB153" s="47" t="n">
        <v>0</v>
      </c>
      <c r="AC153" s="47" t="n">
        <v>0</v>
      </c>
      <c r="AD153" s="47" t="n">
        <v>0</v>
      </c>
      <c r="AE153" s="47" t="n">
        <v>2.25</v>
      </c>
      <c r="AF153" s="47" t="n">
        <v>6.75</v>
      </c>
      <c r="AG153" s="47" t="n">
        <v>0.75</v>
      </c>
      <c r="AH153" s="47" t="n">
        <v>3</v>
      </c>
      <c r="AI153" s="47" t="n">
        <v>1.5</v>
      </c>
      <c r="AJ153" s="47" t="n">
        <v>1.26</v>
      </c>
      <c r="AK153" s="47" t="n">
        <v>5.655</v>
      </c>
      <c r="AL153" s="47" t="n">
        <v>1.875</v>
      </c>
      <c r="AM153" s="47" t="n">
        <v>0.51</v>
      </c>
      <c r="AN153" s="47" t="n">
        <v>1.425</v>
      </c>
      <c r="AO153" s="47" t="n">
        <v>0</v>
      </c>
      <c r="AP153" s="47" t="n">
        <v>0</v>
      </c>
      <c r="AQ153" s="47" t="n">
        <v>0</v>
      </c>
      <c r="AR153" s="47" t="n">
        <v>0</v>
      </c>
      <c r="AS153" s="47" t="n">
        <v>0</v>
      </c>
      <c r="AT153" s="47" t="n">
        <v>0</v>
      </c>
      <c r="AU153" s="47" t="n">
        <v>5.757</v>
      </c>
      <c r="AV153" s="47" t="n">
        <v>2.584</v>
      </c>
      <c r="AW153" s="47" t="n">
        <v>3.99</v>
      </c>
      <c r="AX153" s="47" t="n">
        <v>2.166</v>
      </c>
      <c r="AY153" s="47" t="n">
        <v>4.203</v>
      </c>
      <c r="AZ153" s="47" t="n">
        <v>6.237</v>
      </c>
      <c r="BA153" s="47" t="n">
        <v>9.801</v>
      </c>
      <c r="BB153" s="47" t="n">
        <v>0.513</v>
      </c>
      <c r="BC153" s="47" t="n">
        <v>1.292</v>
      </c>
      <c r="BD153" s="47" t="n">
        <v>12</v>
      </c>
      <c r="BE153" s="47" t="n">
        <v>0</v>
      </c>
      <c r="BF153" s="47" t="n">
        <v>0</v>
      </c>
      <c r="BG153" s="47" t="n">
        <v>0</v>
      </c>
      <c r="BH153" s="47" t="n">
        <v>4.58</v>
      </c>
      <c r="BI153" s="47" t="n">
        <v>0</v>
      </c>
      <c r="BJ153" s="47" t="n">
        <v>5.82</v>
      </c>
      <c r="BK153" s="47" t="n">
        <v>1.52</v>
      </c>
      <c r="BL153" s="47" t="n">
        <v>0.08</v>
      </c>
      <c r="BM153" s="47" t="n">
        <v>1.386</v>
      </c>
      <c r="BN153" s="47" t="n">
        <v>1.890444444444444</v>
      </c>
      <c r="BO153" s="47" t="n">
        <v>1.890444444444444</v>
      </c>
      <c r="BP153" s="47" t="n">
        <v>1.890444444444445</v>
      </c>
      <c r="BQ153" s="47" t="n">
        <v>1.890444444444444</v>
      </c>
      <c r="BR153" s="47" t="n">
        <v>1.890444444444445</v>
      </c>
      <c r="BS153" s="47" t="n">
        <v>1.890444444444444</v>
      </c>
      <c r="BT153" s="47" t="n">
        <v>1.890444444444444</v>
      </c>
      <c r="BU153" s="47" t="n">
        <v>1.890444444444444</v>
      </c>
      <c r="BV153" s="47" t="n">
        <v>1.890444444444445</v>
      </c>
      <c r="BW153" s="102" t="n"/>
      <c r="BX153" s="102" t="n"/>
      <c r="BY153" s="102" t="n"/>
      <c r="BZ153" s="102" t="n"/>
      <c r="CA153" s="102" t="n"/>
      <c r="CB153" s="102" t="n"/>
      <c r="CC153" s="102" t="n"/>
      <c r="CD153" s="102" t="n"/>
      <c r="CE153" s="102" t="n"/>
      <c r="CF153" s="102" t="n"/>
      <c r="CG153" s="102" t="n"/>
      <c r="CH153" s="102" t="n"/>
      <c r="CI153" s="102" t="n"/>
      <c r="CJ153" s="102" t="n"/>
      <c r="CK153" s="102" t="n"/>
      <c r="CL153" s="102" t="n"/>
      <c r="CM153" s="102" t="n"/>
      <c r="CN153" s="102" t="n"/>
      <c r="CO153" s="102" t="n"/>
      <c r="CP153" s="102" t="n"/>
      <c r="CQ153" s="102" t="n"/>
      <c r="CR153" s="102" t="n"/>
      <c r="CS153" s="102" t="n"/>
      <c r="CT153" s="102" t="n"/>
      <c r="CU153" s="102" t="n"/>
      <c r="CV153" s="102" t="n"/>
      <c r="CW153" s="102" t="n"/>
      <c r="CX153" s="102" t="n"/>
      <c r="CY153" s="102" t="n"/>
      <c r="CZ153" s="102" t="n"/>
      <c r="DA153" s="102" t="n"/>
      <c r="DB153" s="102" t="n"/>
      <c r="DC153" s="102" t="n"/>
      <c r="DD153" s="102" t="n"/>
      <c r="DE153" s="102" t="n"/>
      <c r="DF153" s="102" t="n"/>
      <c r="DG153" s="102" t="n"/>
      <c r="DH153" s="102" t="n"/>
      <c r="DI153" s="102" t="n"/>
      <c r="DJ153" s="102" t="n"/>
      <c r="DK153" s="102" t="n"/>
      <c r="DL153" s="102" t="n"/>
      <c r="DM153" s="102" t="n"/>
      <c r="DN153" s="102" t="n"/>
      <c r="DO153" s="102" t="n"/>
      <c r="DP153" s="102" t="n"/>
      <c r="DQ153" s="102" t="n"/>
      <c r="DR153" s="102" t="n"/>
      <c r="DT153" s="46">
        <f>+F153-E153</f>
        <v/>
      </c>
      <c r="DU153" s="46">
        <f>+G153-F153</f>
        <v/>
      </c>
      <c r="DV153" s="46">
        <f>+H153-G153</f>
        <v/>
      </c>
      <c r="DW153" s="46">
        <f>+I153-H153</f>
        <v/>
      </c>
    </row>
    <row r="154" hidden="1" outlineLevel="1" ht="15.75" customHeight="1">
      <c r="B154" s="5" t="inlineStr">
        <is>
          <t>MLA</t>
        </is>
      </c>
      <c r="C154" s="68" t="inlineStr">
        <is>
          <t>Lower Middle Market</t>
        </is>
      </c>
      <c r="E154" s="46">
        <f>+SUMIFS($O154:$DR154,$O$7:$DR$7,E$7)</f>
        <v/>
      </c>
      <c r="F154" s="46">
        <f>+SUMIFS($O154:$DR154,$O$7:$DR$7,F$7)</f>
        <v/>
      </c>
      <c r="G154" s="46">
        <f>+SUMIFS($O154:$DR154,$O$7:$DR$7,G$7)</f>
        <v/>
      </c>
      <c r="H154" s="46">
        <f>+SUMIFS($O154:$DR154,$O$7:$DR$7,H$7)</f>
        <v/>
      </c>
      <c r="I154" s="46">
        <f>+SUMIFS($O154:$DR154,$O$7:$DR$7,I$7)</f>
        <v/>
      </c>
      <c r="J154" s="46">
        <f>+SUMIFS($O154:$DR154,$O$7:$DR$7,J$7)</f>
        <v/>
      </c>
      <c r="K154" s="46">
        <f>+SUMIFS($O154:$DR154,$O$7:$DR$7,K$7)</f>
        <v/>
      </c>
      <c r="L154" s="46">
        <f>+SUMIFS($O154:$DR154,$O$7:$DR$7,L$7)</f>
        <v/>
      </c>
      <c r="M154" s="46">
        <f>+SUMIFS($O154:$DR154,$O$7:$DR$7,M$7)</f>
        <v/>
      </c>
      <c r="O154" s="47" t="n">
        <v>0</v>
      </c>
      <c r="P154" s="47" t="n">
        <v>0</v>
      </c>
      <c r="Q154" s="47" t="n">
        <v>0</v>
      </c>
      <c r="R154" s="47" t="n">
        <v>0</v>
      </c>
      <c r="S154" s="47" t="n">
        <v>0</v>
      </c>
      <c r="T154" s="47" t="n">
        <v>0</v>
      </c>
      <c r="U154" s="47" t="n">
        <v>0</v>
      </c>
      <c r="V154" s="47" t="n">
        <v>0</v>
      </c>
      <c r="W154" s="47" t="n">
        <v>0</v>
      </c>
      <c r="X154" s="47" t="n">
        <v>0</v>
      </c>
      <c r="Y154" s="47" t="n">
        <v>0</v>
      </c>
      <c r="Z154" s="47" t="n">
        <v>0</v>
      </c>
      <c r="AA154" s="47" t="n">
        <v>0</v>
      </c>
      <c r="AB154" s="47" t="n">
        <v>0</v>
      </c>
      <c r="AC154" s="47" t="n">
        <v>0</v>
      </c>
      <c r="AD154" s="47" t="n">
        <v>0</v>
      </c>
      <c r="AE154" s="47" t="n">
        <v>0</v>
      </c>
      <c r="AF154" s="47" t="n">
        <v>0</v>
      </c>
      <c r="AG154" s="47" t="n">
        <v>0</v>
      </c>
      <c r="AH154" s="47" t="n">
        <v>0</v>
      </c>
      <c r="AI154" s="47" t="n">
        <v>0</v>
      </c>
      <c r="AJ154" s="47" t="n">
        <v>0</v>
      </c>
      <c r="AK154" s="47" t="n">
        <v>0</v>
      </c>
      <c r="AL154" s="47" t="n">
        <v>0</v>
      </c>
      <c r="AM154" s="47" t="n">
        <v>0</v>
      </c>
      <c r="AN154" s="47" t="n">
        <v>0</v>
      </c>
      <c r="AO154" s="47" t="n">
        <v>0</v>
      </c>
      <c r="AP154" s="47" t="n">
        <v>0</v>
      </c>
      <c r="AQ154" s="47" t="n">
        <v>0</v>
      </c>
      <c r="AR154" s="47" t="n">
        <v>0</v>
      </c>
      <c r="AS154" s="47" t="n">
        <v>0</v>
      </c>
      <c r="AT154" s="47" t="n">
        <v>0</v>
      </c>
      <c r="AU154" s="47" t="n">
        <v>0</v>
      </c>
      <c r="AV154" s="47" t="n">
        <v>0</v>
      </c>
      <c r="AW154" s="47" t="n">
        <v>0</v>
      </c>
      <c r="AX154" s="47" t="n">
        <v>0</v>
      </c>
      <c r="AY154" s="47" t="n">
        <v>0</v>
      </c>
      <c r="AZ154" s="47" t="n">
        <v>0</v>
      </c>
      <c r="BA154" s="47" t="n">
        <v>0</v>
      </c>
      <c r="BB154" s="47" t="n">
        <v>0</v>
      </c>
      <c r="BC154" s="47" t="n">
        <v>0</v>
      </c>
      <c r="BD154" s="47" t="n">
        <v>0</v>
      </c>
      <c r="BE154" s="47" t="n">
        <v>0</v>
      </c>
      <c r="BF154" s="47" t="n">
        <v>8.827</v>
      </c>
      <c r="BG154" s="47" t="n">
        <v>0.963</v>
      </c>
      <c r="BH154" s="47" t="n">
        <v>4.23</v>
      </c>
      <c r="BI154" s="47" t="n">
        <v>0.66</v>
      </c>
      <c r="BJ154" s="47" t="n">
        <v>5.17</v>
      </c>
      <c r="BK154" s="47" t="n">
        <v>0</v>
      </c>
      <c r="BL154" s="47" t="n">
        <v>6</v>
      </c>
      <c r="BM154" s="47" t="n">
        <v>2.145</v>
      </c>
      <c r="BN154" s="47" t="n">
        <v>2.428333333333334</v>
      </c>
      <c r="BO154" s="47" t="n">
        <v>2.428333333333333</v>
      </c>
      <c r="BP154" s="47" t="n">
        <v>2.428333333333333</v>
      </c>
      <c r="BQ154" s="47" t="n">
        <v>2.428333333333334</v>
      </c>
      <c r="BR154" s="47" t="n">
        <v>2.428333333333334</v>
      </c>
      <c r="BS154" s="47" t="n">
        <v>2.428333333333334</v>
      </c>
      <c r="BT154" s="47" t="n">
        <v>2.428333333333334</v>
      </c>
      <c r="BU154" s="47" t="n">
        <v>2.428333333333334</v>
      </c>
      <c r="BV154" s="47" t="n">
        <v>2.428333333333336</v>
      </c>
      <c r="BW154" s="102" t="n"/>
      <c r="BX154" s="102" t="n"/>
      <c r="BY154" s="102" t="n"/>
      <c r="BZ154" s="102" t="n"/>
      <c r="CA154" s="102" t="n"/>
      <c r="CB154" s="102" t="n"/>
      <c r="CC154" s="102" t="n"/>
      <c r="CD154" s="102" t="n"/>
      <c r="CE154" s="102" t="n"/>
      <c r="CF154" s="102" t="n"/>
      <c r="CG154" s="102" t="n"/>
      <c r="CH154" s="102" t="n"/>
      <c r="CI154" s="102" t="n"/>
      <c r="CJ154" s="102" t="n"/>
      <c r="CK154" s="102" t="n"/>
      <c r="CL154" s="102" t="n"/>
      <c r="CM154" s="102" t="n"/>
      <c r="CN154" s="102" t="n"/>
      <c r="CO154" s="102" t="n"/>
      <c r="CP154" s="102" t="n"/>
      <c r="CQ154" s="102" t="n"/>
      <c r="CR154" s="102" t="n"/>
      <c r="CS154" s="102" t="n"/>
      <c r="CT154" s="102" t="n"/>
      <c r="CU154" s="102" t="n"/>
      <c r="CV154" s="102" t="n"/>
      <c r="CW154" s="102" t="n"/>
      <c r="CX154" s="102" t="n"/>
      <c r="CY154" s="102" t="n"/>
      <c r="CZ154" s="102" t="n"/>
      <c r="DA154" s="102" t="n"/>
      <c r="DB154" s="102" t="n"/>
      <c r="DC154" s="102" t="n"/>
      <c r="DD154" s="102" t="n"/>
      <c r="DE154" s="102" t="n"/>
      <c r="DF154" s="102" t="n"/>
      <c r="DG154" s="102" t="n"/>
      <c r="DH154" s="102" t="n"/>
      <c r="DI154" s="102" t="n"/>
      <c r="DJ154" s="102" t="n"/>
      <c r="DK154" s="102" t="n"/>
      <c r="DL154" s="102" t="n"/>
      <c r="DM154" s="102" t="n"/>
      <c r="DN154" s="102" t="n"/>
      <c r="DO154" s="102" t="n"/>
      <c r="DP154" s="102" t="n"/>
      <c r="DQ154" s="102" t="n"/>
      <c r="DR154" s="102" t="n"/>
      <c r="DT154" s="46">
        <f>+F154-E154</f>
        <v/>
      </c>
      <c r="DU154" s="46">
        <f>+G154-F154</f>
        <v/>
      </c>
      <c r="DV154" s="46">
        <f>+H154-G154</f>
        <v/>
      </c>
      <c r="DW154" s="46">
        <f>+I154-H154</f>
        <v/>
      </c>
    </row>
    <row r="155" hidden="1" outlineLevel="1" ht="15.75" customHeight="1">
      <c r="B155" s="5" t="inlineStr">
        <is>
          <t>OUP</t>
        </is>
      </c>
      <c r="C155" s="68" t="inlineStr">
        <is>
          <t>Mega</t>
        </is>
      </c>
      <c r="E155" s="46">
        <f>+SUMIFS($O155:$DR155,$O$7:$DR$7,E$7)</f>
        <v/>
      </c>
      <c r="F155" s="46">
        <f>+SUMIFS($O155:$DR155,$O$7:$DR$7,F$7)</f>
        <v/>
      </c>
      <c r="G155" s="46">
        <f>+SUMIFS($O155:$DR155,$O$7:$DR$7,G$7)</f>
        <v/>
      </c>
      <c r="H155" s="46">
        <f>+SUMIFS($O155:$DR155,$O$7:$DR$7,H$7)</f>
        <v/>
      </c>
      <c r="I155" s="46">
        <f>+SUMIFS($O155:$DR155,$O$7:$DR$7,I$7)</f>
        <v/>
      </c>
      <c r="J155" s="46">
        <f>+SUMIFS($O155:$DR155,$O$7:$DR$7,J$7)</f>
        <v/>
      </c>
      <c r="K155" s="46">
        <f>+SUMIFS($O155:$DR155,$O$7:$DR$7,K$7)</f>
        <v/>
      </c>
      <c r="L155" s="46">
        <f>+SUMIFS($O155:$DR155,$O$7:$DR$7,L$7)</f>
        <v/>
      </c>
      <c r="M155" s="46">
        <f>+SUMIFS($O155:$DR155,$O$7:$DR$7,M$7)</f>
        <v/>
      </c>
      <c r="O155" s="47" t="n">
        <v>52.288</v>
      </c>
      <c r="P155" s="47" t="n">
        <v>50.364</v>
      </c>
      <c r="Q155" s="47" t="n">
        <v>60.404</v>
      </c>
      <c r="R155" s="47" t="n">
        <v>101.409</v>
      </c>
      <c r="S155" s="47" t="n">
        <v>56.004</v>
      </c>
      <c r="T155" s="47" t="n">
        <v>98.133</v>
      </c>
      <c r="U155" s="47" t="n">
        <v>69.36499999999999</v>
      </c>
      <c r="V155" s="47" t="n">
        <v>46.864</v>
      </c>
      <c r="W155" s="47" t="n">
        <v>83.113</v>
      </c>
      <c r="X155" s="47" t="n">
        <v>74.009</v>
      </c>
      <c r="Y155" s="47" t="n">
        <v>22.665</v>
      </c>
      <c r="Z155" s="47" t="n">
        <v>52.975</v>
      </c>
      <c r="AA155" s="47" t="n">
        <v>89.63800000000001</v>
      </c>
      <c r="AB155" s="47" t="n">
        <v>29.925</v>
      </c>
      <c r="AC155" s="47" t="n">
        <v>52.425</v>
      </c>
      <c r="AD155" s="47" t="n">
        <v>25.183</v>
      </c>
      <c r="AE155" s="47" t="n">
        <v>53.604</v>
      </c>
      <c r="AF155" s="47" t="n">
        <v>81.273</v>
      </c>
      <c r="AG155" s="47" t="n">
        <v>55.132</v>
      </c>
      <c r="AH155" s="47" t="n">
        <v>82.18600000000001</v>
      </c>
      <c r="AI155" s="47" t="n">
        <v>38.474</v>
      </c>
      <c r="AJ155" s="47" t="n">
        <v>15.027</v>
      </c>
      <c r="AK155" s="47" t="n">
        <v>149.266</v>
      </c>
      <c r="AL155" s="47" t="n">
        <v>40.789</v>
      </c>
      <c r="AM155" s="47" t="n">
        <v>42.193</v>
      </c>
      <c r="AN155" s="47" t="n">
        <v>66.06</v>
      </c>
      <c r="AO155" s="47" t="n">
        <v>91.82299999999999</v>
      </c>
      <c r="AP155" s="47" t="n">
        <v>83.76300000000001</v>
      </c>
      <c r="AQ155" s="47" t="n">
        <v>64.35899999999999</v>
      </c>
      <c r="AR155" s="47" t="n">
        <v>134.313</v>
      </c>
      <c r="AS155" s="47" t="n">
        <v>93.505</v>
      </c>
      <c r="AT155" s="47" t="n">
        <v>83.238</v>
      </c>
      <c r="AU155" s="47" t="n">
        <v>93.172</v>
      </c>
      <c r="AV155" s="47" t="n">
        <v>107.074</v>
      </c>
      <c r="AW155" s="47" t="n">
        <v>115.477</v>
      </c>
      <c r="AX155" s="47" t="n">
        <v>167.287</v>
      </c>
      <c r="AY155" s="47" t="n">
        <v>104.708</v>
      </c>
      <c r="AZ155" s="47" t="n">
        <v>131.038</v>
      </c>
      <c r="BA155" s="47" t="n">
        <v>259.438</v>
      </c>
      <c r="BB155" s="47" t="n">
        <v>105.898</v>
      </c>
      <c r="BC155" s="47" t="n">
        <v>115.263</v>
      </c>
      <c r="BD155" s="47" t="n">
        <v>163.982</v>
      </c>
      <c r="BE155" s="47" t="n">
        <v>169.621</v>
      </c>
      <c r="BF155" s="47" t="n">
        <v>91.756</v>
      </c>
      <c r="BG155" s="47" t="n">
        <v>85.16800000000001</v>
      </c>
      <c r="BH155" s="47" t="n">
        <v>136.489</v>
      </c>
      <c r="BI155" s="47" t="n">
        <v>39.301</v>
      </c>
      <c r="BJ155" s="47" t="n">
        <v>69.473</v>
      </c>
      <c r="BK155" s="47" t="n">
        <v>188.956</v>
      </c>
      <c r="BL155" s="47" t="n">
        <v>240.349</v>
      </c>
      <c r="BM155" s="47" t="n">
        <v>259.185</v>
      </c>
      <c r="BN155" s="47" t="n">
        <v>160.1401666666667</v>
      </c>
      <c r="BO155" s="47" t="n">
        <v>162.9283213541667</v>
      </c>
      <c r="BP155" s="47" t="n">
        <v>164.9310947395834</v>
      </c>
      <c r="BQ155" s="47" t="n">
        <v>162.1822431605903</v>
      </c>
      <c r="BR155" s="47" t="n">
        <v>158.9385982973785</v>
      </c>
      <c r="BS155" s="47" t="n">
        <v>154.965133339944</v>
      </c>
      <c r="BT155" s="47" t="n">
        <v>149.7996288952792</v>
      </c>
      <c r="BU155" s="47" t="n">
        <v>142.3096474505152</v>
      </c>
      <c r="BV155" s="47" t="n">
        <v>116.4351660958761</v>
      </c>
      <c r="BW155" s="102" t="n"/>
      <c r="BX155" s="102" t="n"/>
      <c r="BY155" s="102" t="n"/>
      <c r="BZ155" s="102" t="n"/>
      <c r="CA155" s="102" t="n"/>
      <c r="CB155" s="102" t="n"/>
      <c r="CC155" s="102" t="n"/>
      <c r="CD155" s="102" t="n"/>
      <c r="CE155" s="102" t="n"/>
      <c r="CF155" s="102" t="n"/>
      <c r="CG155" s="102" t="n"/>
      <c r="CH155" s="102" t="n"/>
      <c r="CI155" s="102" t="n"/>
      <c r="CJ155" s="102" t="n"/>
      <c r="CK155" s="102" t="n"/>
      <c r="CL155" s="102" t="n"/>
      <c r="CM155" s="102" t="n"/>
      <c r="CN155" s="102" t="n"/>
      <c r="CO155" s="102" t="n"/>
      <c r="CP155" s="102" t="n"/>
      <c r="CQ155" s="102" t="n"/>
      <c r="CR155" s="102" t="n"/>
      <c r="CS155" s="102" t="n"/>
      <c r="CT155" s="102" t="n"/>
      <c r="CU155" s="102" t="n"/>
      <c r="CV155" s="102" t="n"/>
      <c r="CW155" s="102" t="n"/>
      <c r="CX155" s="102" t="n"/>
      <c r="CY155" s="102" t="n"/>
      <c r="CZ155" s="102" t="n"/>
      <c r="DA155" s="102" t="n"/>
      <c r="DB155" s="102" t="n"/>
      <c r="DC155" s="102" t="n"/>
      <c r="DD155" s="102" t="n"/>
      <c r="DE155" s="102" t="n"/>
      <c r="DF155" s="102" t="n"/>
      <c r="DG155" s="102" t="n"/>
      <c r="DH155" s="102" t="n"/>
      <c r="DI155" s="102" t="n"/>
      <c r="DJ155" s="102" t="n"/>
      <c r="DK155" s="102" t="n"/>
      <c r="DL155" s="102" t="n"/>
      <c r="DM155" s="102" t="n"/>
      <c r="DN155" s="102" t="n"/>
      <c r="DO155" s="102" t="n"/>
      <c r="DP155" s="102" t="n"/>
      <c r="DQ155" s="102" t="n"/>
      <c r="DR155" s="102" t="n"/>
      <c r="DT155" s="46">
        <f>+F155-E155</f>
        <v/>
      </c>
      <c r="DU155" s="46">
        <f>+G155-F155</f>
        <v/>
      </c>
      <c r="DV155" s="46">
        <f>+H155-G155</f>
        <v/>
      </c>
      <c r="DW155" s="46">
        <f>+I155-H155</f>
        <v/>
      </c>
    </row>
    <row r="156" hidden="1" outlineLevel="1" ht="15.75" customHeight="1">
      <c r="B156" s="5" t="inlineStr">
        <is>
          <t>PORT</t>
        </is>
      </c>
      <c r="C156" s="68" t="inlineStr">
        <is>
          <t>Lower Middle Market</t>
        </is>
      </c>
      <c r="E156" s="46">
        <f>+SUMIFS($O156:$DR156,$O$7:$DR$7,E$7)</f>
        <v/>
      </c>
      <c r="F156" s="46">
        <f>+SUMIFS($O156:$DR156,$O$7:$DR$7,F$7)</f>
        <v/>
      </c>
      <c r="G156" s="46">
        <f>+SUMIFS($O156:$DR156,$O$7:$DR$7,G$7)</f>
        <v/>
      </c>
      <c r="H156" s="46">
        <f>+SUMIFS($O156:$DR156,$O$7:$DR$7,H$7)</f>
        <v/>
      </c>
      <c r="I156" s="46">
        <f>+SUMIFS($O156:$DR156,$O$7:$DR$7,I$7)</f>
        <v/>
      </c>
      <c r="J156" s="46">
        <f>+SUMIFS($O156:$DR156,$O$7:$DR$7,J$7)</f>
        <v/>
      </c>
      <c r="K156" s="46">
        <f>+SUMIFS($O156:$DR156,$O$7:$DR$7,K$7)</f>
        <v/>
      </c>
      <c r="L156" s="46">
        <f>+SUMIFS($O156:$DR156,$O$7:$DR$7,L$7)</f>
        <v/>
      </c>
      <c r="M156" s="46">
        <f>+SUMIFS($O156:$DR156,$O$7:$DR$7,M$7)</f>
        <v/>
      </c>
      <c r="O156" s="47" t="n">
        <v>0</v>
      </c>
      <c r="P156" s="47" t="n">
        <v>0</v>
      </c>
      <c r="Q156" s="47" t="n">
        <v>0</v>
      </c>
      <c r="R156" s="47" t="n">
        <v>0</v>
      </c>
      <c r="S156" s="47" t="n">
        <v>0</v>
      </c>
      <c r="T156" s="47" t="n">
        <v>0</v>
      </c>
      <c r="U156" s="47" t="n">
        <v>0</v>
      </c>
      <c r="V156" s="47" t="n">
        <v>0</v>
      </c>
      <c r="W156" s="47" t="n">
        <v>0</v>
      </c>
      <c r="X156" s="47" t="n">
        <v>0</v>
      </c>
      <c r="Y156" s="47" t="n">
        <v>0</v>
      </c>
      <c r="Z156" s="47" t="n">
        <v>0</v>
      </c>
      <c r="AA156" s="47" t="n">
        <v>0</v>
      </c>
      <c r="AB156" s="47" t="n">
        <v>0</v>
      </c>
      <c r="AC156" s="47" t="n">
        <v>0</v>
      </c>
      <c r="AD156" s="47" t="n">
        <v>0</v>
      </c>
      <c r="AE156" s="47" t="n">
        <v>0</v>
      </c>
      <c r="AF156" s="47" t="n">
        <v>0</v>
      </c>
      <c r="AG156" s="47" t="n">
        <v>0</v>
      </c>
      <c r="AH156" s="47" t="n">
        <v>0</v>
      </c>
      <c r="AI156" s="47" t="n">
        <v>0</v>
      </c>
      <c r="AJ156" s="47" t="n">
        <v>0</v>
      </c>
      <c r="AK156" s="47" t="n">
        <v>0</v>
      </c>
      <c r="AL156" s="47" t="n">
        <v>0</v>
      </c>
      <c r="AM156" s="47" t="n">
        <v>0</v>
      </c>
      <c r="AN156" s="47" t="n">
        <v>0.555</v>
      </c>
      <c r="AO156" s="47" t="n">
        <v>0</v>
      </c>
      <c r="AP156" s="47" t="n">
        <v>1.29</v>
      </c>
      <c r="AQ156" s="47" t="n">
        <v>0.645</v>
      </c>
      <c r="AR156" s="47" t="n">
        <v>0.215</v>
      </c>
      <c r="AS156" s="47" t="n">
        <v>0</v>
      </c>
      <c r="AT156" s="47" t="n">
        <v>0</v>
      </c>
      <c r="AU156" s="47" t="n">
        <v>0</v>
      </c>
      <c r="AV156" s="47" t="n">
        <v>0</v>
      </c>
      <c r="AW156" s="47" t="n">
        <v>8.880000000000001</v>
      </c>
      <c r="AX156" s="47" t="n">
        <v>8.428000000000001</v>
      </c>
      <c r="AY156" s="47" t="n">
        <v>2.052</v>
      </c>
      <c r="AZ156" s="47" t="n">
        <v>0</v>
      </c>
      <c r="BA156" s="47" t="n">
        <v>0</v>
      </c>
      <c r="BB156" s="47" t="n">
        <v>0</v>
      </c>
      <c r="BC156" s="47" t="n">
        <v>0</v>
      </c>
      <c r="BD156" s="47" t="n">
        <v>0</v>
      </c>
      <c r="BE156" s="47" t="n">
        <v>0</v>
      </c>
      <c r="BF156" s="47" t="n">
        <v>0</v>
      </c>
      <c r="BG156" s="47" t="n">
        <v>0</v>
      </c>
      <c r="BH156" s="47" t="n">
        <v>0</v>
      </c>
      <c r="BI156" s="47" t="n">
        <v>0</v>
      </c>
      <c r="BJ156" s="47" t="n">
        <v>0</v>
      </c>
      <c r="BK156" s="47" t="n">
        <v>0</v>
      </c>
      <c r="BL156" s="47" t="n">
        <v>0</v>
      </c>
      <c r="BM156" s="47" t="n">
        <v>0</v>
      </c>
      <c r="BN156" s="47" t="n">
        <v>0.3888888888888889</v>
      </c>
      <c r="BO156" s="47" t="n">
        <v>0.3888888888888889</v>
      </c>
      <c r="BP156" s="47" t="n">
        <v>0.3888888888888888</v>
      </c>
      <c r="BQ156" s="47" t="n">
        <v>0.3888888888888888</v>
      </c>
      <c r="BR156" s="47" t="n">
        <v>0.3888888888888888</v>
      </c>
      <c r="BS156" s="47" t="n">
        <v>0.3888888888888888</v>
      </c>
      <c r="BT156" s="47" t="n">
        <v>0.3888888888888888</v>
      </c>
      <c r="BU156" s="47" t="n">
        <v>0.3888888888888889</v>
      </c>
      <c r="BV156" s="47" t="n">
        <v>0.3888888888888887</v>
      </c>
      <c r="BW156" s="102" t="n"/>
      <c r="BX156" s="102" t="n"/>
      <c r="BY156" s="102" t="n"/>
      <c r="BZ156" s="102" t="n"/>
      <c r="CA156" s="102" t="n"/>
      <c r="CB156" s="102" t="n"/>
      <c r="CC156" s="102" t="n"/>
      <c r="CD156" s="102" t="n"/>
      <c r="CE156" s="102" t="n"/>
      <c r="CF156" s="102" t="n"/>
      <c r="CG156" s="102" t="n"/>
      <c r="CH156" s="102" t="n"/>
      <c r="CI156" s="102" t="n"/>
      <c r="CJ156" s="102" t="n"/>
      <c r="CK156" s="102" t="n"/>
      <c r="CL156" s="102" t="n"/>
      <c r="CM156" s="102" t="n"/>
      <c r="CN156" s="102" t="n"/>
      <c r="CO156" s="102" t="n"/>
      <c r="CP156" s="102" t="n"/>
      <c r="CQ156" s="102" t="n"/>
      <c r="CR156" s="102" t="n"/>
      <c r="CS156" s="102" t="n"/>
      <c r="CT156" s="102" t="n"/>
      <c r="CU156" s="102" t="n"/>
      <c r="CV156" s="102" t="n"/>
      <c r="CW156" s="102" t="n"/>
      <c r="CX156" s="102" t="n"/>
      <c r="CY156" s="102" t="n"/>
      <c r="CZ156" s="102" t="n"/>
      <c r="DA156" s="102" t="n"/>
      <c r="DB156" s="102" t="n"/>
      <c r="DC156" s="102" t="n"/>
      <c r="DD156" s="102" t="n"/>
      <c r="DE156" s="102" t="n"/>
      <c r="DF156" s="102" t="n"/>
      <c r="DG156" s="102" t="n"/>
      <c r="DH156" s="102" t="n"/>
      <c r="DI156" s="102" t="n"/>
      <c r="DJ156" s="102" t="n"/>
      <c r="DK156" s="102" t="n"/>
      <c r="DL156" s="102" t="n"/>
      <c r="DM156" s="102" t="n"/>
      <c r="DN156" s="102" t="n"/>
      <c r="DO156" s="102" t="n"/>
      <c r="DP156" s="102" t="n"/>
      <c r="DQ156" s="102" t="n"/>
      <c r="DR156" s="102" t="n"/>
      <c r="DT156" s="46">
        <f>+F156-E156</f>
        <v/>
      </c>
      <c r="DU156" s="46">
        <f>+G156-F156</f>
        <v/>
      </c>
      <c r="DV156" s="46">
        <f>+H156-G156</f>
        <v/>
      </c>
      <c r="DW156" s="46">
        <f>+I156-H156</f>
        <v/>
      </c>
    </row>
    <row r="157" hidden="1" outlineLevel="1" ht="15.75" customHeight="1">
      <c r="B157" s="5" t="inlineStr">
        <is>
          <t>RSC</t>
        </is>
      </c>
      <c r="C157" s="68" t="inlineStr">
        <is>
          <t>Lower Middle Market</t>
        </is>
      </c>
      <c r="E157" s="46">
        <f>+SUMIFS($O157:$DR157,$O$7:$DR$7,E$7)</f>
        <v/>
      </c>
      <c r="F157" s="46">
        <f>+SUMIFS($O157:$DR157,$O$7:$DR$7,F$7)</f>
        <v/>
      </c>
      <c r="G157" s="46">
        <f>+SUMIFS($O157:$DR157,$O$7:$DR$7,G$7)</f>
        <v/>
      </c>
      <c r="H157" s="46">
        <f>+SUMIFS($O157:$DR157,$O$7:$DR$7,H$7)</f>
        <v/>
      </c>
      <c r="I157" s="46">
        <f>+SUMIFS($O157:$DR157,$O$7:$DR$7,I$7)</f>
        <v/>
      </c>
      <c r="J157" s="46">
        <f>+SUMIFS($O157:$DR157,$O$7:$DR$7,J$7)</f>
        <v/>
      </c>
      <c r="K157" s="46">
        <f>+SUMIFS($O157:$DR157,$O$7:$DR$7,K$7)</f>
        <v/>
      </c>
      <c r="L157" s="46">
        <f>+SUMIFS($O157:$DR157,$O$7:$DR$7,L$7)</f>
        <v/>
      </c>
      <c r="M157" s="46">
        <f>+SUMIFS($O157:$DR157,$O$7:$DR$7,M$7)</f>
        <v/>
      </c>
      <c r="O157" s="47" t="n">
        <v>0</v>
      </c>
      <c r="P157" s="47" t="n">
        <v>0</v>
      </c>
      <c r="Q157" s="47" t="n">
        <v>0</v>
      </c>
      <c r="R157" s="47" t="n">
        <v>0</v>
      </c>
      <c r="S157" s="47" t="n">
        <v>0</v>
      </c>
      <c r="T157" s="47" t="n">
        <v>0</v>
      </c>
      <c r="U157" s="47" t="n">
        <v>0</v>
      </c>
      <c r="V157" s="47" t="n">
        <v>0</v>
      </c>
      <c r="W157" s="47" t="n">
        <v>0</v>
      </c>
      <c r="X157" s="47" t="n">
        <v>0</v>
      </c>
      <c r="Y157" s="47" t="n">
        <v>0</v>
      </c>
      <c r="Z157" s="47" t="n">
        <v>0</v>
      </c>
      <c r="AA157" s="47" t="n">
        <v>0</v>
      </c>
      <c r="AB157" s="47" t="n">
        <v>0</v>
      </c>
      <c r="AC157" s="47" t="n">
        <v>0</v>
      </c>
      <c r="AD157" s="47" t="n">
        <v>0</v>
      </c>
      <c r="AE157" s="47" t="n">
        <v>0</v>
      </c>
      <c r="AF157" s="47" t="n">
        <v>0</v>
      </c>
      <c r="AG157" s="47" t="n">
        <v>0</v>
      </c>
      <c r="AH157" s="47" t="n">
        <v>0</v>
      </c>
      <c r="AI157" s="47" t="n">
        <v>0</v>
      </c>
      <c r="AJ157" s="47" t="n">
        <v>0</v>
      </c>
      <c r="AK157" s="47" t="n">
        <v>0</v>
      </c>
      <c r="AL157" s="47" t="n">
        <v>0</v>
      </c>
      <c r="AM157" s="47" t="n">
        <v>0</v>
      </c>
      <c r="AN157" s="47" t="n">
        <v>0</v>
      </c>
      <c r="AO157" s="47" t="n">
        <v>0</v>
      </c>
      <c r="AP157" s="47" t="n">
        <v>0</v>
      </c>
      <c r="AQ157" s="47" t="n">
        <v>0</v>
      </c>
      <c r="AR157" s="47" t="n">
        <v>0</v>
      </c>
      <c r="AS157" s="47" t="n">
        <v>0</v>
      </c>
      <c r="AT157" s="47" t="n">
        <v>0</v>
      </c>
      <c r="AU157" s="47" t="n">
        <v>0</v>
      </c>
      <c r="AV157" s="47" t="n">
        <v>0</v>
      </c>
      <c r="AW157" s="47" t="n">
        <v>0</v>
      </c>
      <c r="AX157" s="47" t="n">
        <v>0</v>
      </c>
      <c r="AY157" s="47" t="n">
        <v>0</v>
      </c>
      <c r="AZ157" s="47" t="n">
        <v>0</v>
      </c>
      <c r="BA157" s="47" t="n">
        <v>0</v>
      </c>
      <c r="BB157" s="47" t="n">
        <v>0</v>
      </c>
      <c r="BC157" s="47" t="n">
        <v>0</v>
      </c>
      <c r="BD157" s="47" t="n">
        <v>0</v>
      </c>
      <c r="BE157" s="47" t="n">
        <v>0</v>
      </c>
      <c r="BF157" s="47" t="n">
        <v>0</v>
      </c>
      <c r="BG157" s="47" t="n">
        <v>0</v>
      </c>
      <c r="BH157" s="47" t="n">
        <v>0</v>
      </c>
      <c r="BI157" s="47" t="n">
        <v>0</v>
      </c>
      <c r="BJ157" s="47" t="n">
        <v>0</v>
      </c>
      <c r="BK157" s="47" t="n">
        <v>0</v>
      </c>
      <c r="BL157" s="47" t="n">
        <v>0</v>
      </c>
      <c r="BM157" s="47" t="n">
        <v>0</v>
      </c>
      <c r="BN157" s="47" t="n">
        <v>0</v>
      </c>
      <c r="BO157" s="47" t="n">
        <v>0</v>
      </c>
      <c r="BP157" s="47" t="n">
        <v>0</v>
      </c>
      <c r="BQ157" s="47" t="n">
        <v>2.5</v>
      </c>
      <c r="BR157" s="47" t="n">
        <v>2.5</v>
      </c>
      <c r="BS157" s="47" t="n">
        <v>2.5</v>
      </c>
      <c r="BT157" s="47" t="n">
        <v>2.5</v>
      </c>
      <c r="BU157" s="47" t="n">
        <v>2.5</v>
      </c>
      <c r="BV157" s="47" t="n">
        <v>2.5</v>
      </c>
      <c r="BW157" s="102" t="n"/>
      <c r="BX157" s="102" t="n"/>
      <c r="BY157" s="102" t="n"/>
      <c r="BZ157" s="102" t="n"/>
      <c r="CA157" s="102" t="n"/>
      <c r="CB157" s="102" t="n"/>
      <c r="CC157" s="102" t="n"/>
      <c r="CD157" s="102" t="n"/>
      <c r="CE157" s="102" t="n"/>
      <c r="CF157" s="102" t="n"/>
      <c r="CG157" s="102" t="n"/>
      <c r="CH157" s="102" t="n"/>
      <c r="CI157" s="102" t="n"/>
      <c r="CJ157" s="102" t="n"/>
      <c r="CK157" s="102" t="n"/>
      <c r="CL157" s="102" t="n"/>
      <c r="CM157" s="102" t="n"/>
      <c r="CN157" s="102" t="n"/>
      <c r="CO157" s="102" t="n"/>
      <c r="CP157" s="102" t="n"/>
      <c r="CQ157" s="102" t="n"/>
      <c r="CR157" s="102" t="n"/>
      <c r="CS157" s="102" t="n"/>
      <c r="CT157" s="102" t="n"/>
      <c r="CU157" s="102" t="n"/>
      <c r="CV157" s="102" t="n"/>
      <c r="CW157" s="102" t="n"/>
      <c r="CX157" s="102" t="n"/>
      <c r="CY157" s="102" t="n"/>
      <c r="CZ157" s="102" t="n"/>
      <c r="DA157" s="102" t="n"/>
      <c r="DB157" s="102" t="n"/>
      <c r="DC157" s="102" t="n"/>
      <c r="DD157" s="102" t="n"/>
      <c r="DE157" s="102" t="n"/>
      <c r="DF157" s="102" t="n"/>
      <c r="DG157" s="102" t="n"/>
      <c r="DH157" s="102" t="n"/>
      <c r="DI157" s="102" t="n"/>
      <c r="DJ157" s="102" t="n"/>
      <c r="DK157" s="102" t="n"/>
      <c r="DL157" s="102" t="n"/>
      <c r="DM157" s="102" t="n"/>
      <c r="DN157" s="102" t="n"/>
      <c r="DO157" s="102" t="n"/>
      <c r="DP157" s="102" t="n"/>
      <c r="DQ157" s="102" t="n"/>
      <c r="DR157" s="102" t="n"/>
      <c r="DT157" s="46">
        <f>+F157-E157</f>
        <v/>
      </c>
      <c r="DU157" s="46">
        <f>+G157-F157</f>
        <v/>
      </c>
      <c r="DV157" s="46">
        <f>+H157-G157</f>
        <v/>
      </c>
      <c r="DW157" s="46">
        <f>+I157-H157</f>
        <v/>
      </c>
    </row>
    <row r="158" hidden="1" outlineLevel="1" ht="15.75" customHeight="1">
      <c r="B158" s="5" t="inlineStr">
        <is>
          <t>RUP</t>
        </is>
      </c>
      <c r="C158" s="68" t="inlineStr">
        <is>
          <t>Lower Middle Market</t>
        </is>
      </c>
      <c r="E158" s="46">
        <f>+SUMIFS($O158:$DR158,$O$7:$DR$7,E$7)</f>
        <v/>
      </c>
      <c r="F158" s="46">
        <f>+SUMIFS($O158:$DR158,$O$7:$DR$7,F$7)</f>
        <v/>
      </c>
      <c r="G158" s="46">
        <f>+SUMIFS($O158:$DR158,$O$7:$DR$7,G$7)</f>
        <v/>
      </c>
      <c r="H158" s="46">
        <f>+SUMIFS($O158:$DR158,$O$7:$DR$7,H$7)</f>
        <v/>
      </c>
      <c r="I158" s="46">
        <f>+SUMIFS($O158:$DR158,$O$7:$DR$7,I$7)</f>
        <v/>
      </c>
      <c r="J158" s="46">
        <f>+SUMIFS($O158:$DR158,$O$7:$DR$7,J$7)</f>
        <v/>
      </c>
      <c r="K158" s="46">
        <f>+SUMIFS($O158:$DR158,$O$7:$DR$7,K$7)</f>
        <v/>
      </c>
      <c r="L158" s="46">
        <f>+SUMIFS($O158:$DR158,$O$7:$DR$7,L$7)</f>
        <v/>
      </c>
      <c r="M158" s="46">
        <f>+SUMIFS($O158:$DR158,$O$7:$DR$7,M$7)</f>
        <v/>
      </c>
      <c r="O158" s="47" t="n">
        <v>0</v>
      </c>
      <c r="P158" s="47" t="n">
        <v>0</v>
      </c>
      <c r="Q158" s="47" t="n">
        <v>0</v>
      </c>
      <c r="R158" s="47" t="n">
        <v>0</v>
      </c>
      <c r="S158" s="47" t="n">
        <v>0</v>
      </c>
      <c r="T158" s="47" t="n">
        <v>0</v>
      </c>
      <c r="U158" s="47" t="n">
        <v>0</v>
      </c>
      <c r="V158" s="47" t="n">
        <v>0</v>
      </c>
      <c r="W158" s="47" t="n">
        <v>0</v>
      </c>
      <c r="X158" s="47" t="n">
        <v>0</v>
      </c>
      <c r="Y158" s="47" t="n">
        <v>0</v>
      </c>
      <c r="Z158" s="47" t="n">
        <v>0</v>
      </c>
      <c r="AA158" s="47" t="n">
        <v>0</v>
      </c>
      <c r="AB158" s="47" t="n">
        <v>0</v>
      </c>
      <c r="AC158" s="47" t="n">
        <v>0</v>
      </c>
      <c r="AD158" s="47" t="n">
        <v>0</v>
      </c>
      <c r="AE158" s="47" t="n">
        <v>0</v>
      </c>
      <c r="AF158" s="47" t="n">
        <v>0</v>
      </c>
      <c r="AG158" s="47" t="n">
        <v>0</v>
      </c>
      <c r="AH158" s="47" t="n">
        <v>0</v>
      </c>
      <c r="AI158" s="47" t="n">
        <v>0</v>
      </c>
      <c r="AJ158" s="47" t="n">
        <v>0</v>
      </c>
      <c r="AK158" s="47" t="n">
        <v>0</v>
      </c>
      <c r="AL158" s="47" t="n">
        <v>0</v>
      </c>
      <c r="AM158" s="47" t="n">
        <v>0</v>
      </c>
      <c r="AN158" s="47" t="n">
        <v>0</v>
      </c>
      <c r="AO158" s="47" t="n">
        <v>0</v>
      </c>
      <c r="AP158" s="47" t="n">
        <v>0</v>
      </c>
      <c r="AQ158" s="47" t="n">
        <v>0</v>
      </c>
      <c r="AR158" s="47" t="n">
        <v>0</v>
      </c>
      <c r="AS158" s="47" t="n">
        <v>0</v>
      </c>
      <c r="AT158" s="47" t="n">
        <v>9.119999999999999</v>
      </c>
      <c r="AU158" s="47" t="n">
        <v>4.58</v>
      </c>
      <c r="AV158" s="47" t="n">
        <v>1.9</v>
      </c>
      <c r="AW158" s="47" t="n">
        <v>0</v>
      </c>
      <c r="AX158" s="47" t="n">
        <v>0</v>
      </c>
      <c r="AY158" s="47" t="n">
        <v>0</v>
      </c>
      <c r="AZ158" s="47" t="n">
        <v>5.13</v>
      </c>
      <c r="BA158" s="47" t="n">
        <v>1.07</v>
      </c>
      <c r="BB158" s="47" t="n">
        <v>3.47</v>
      </c>
      <c r="BC158" s="47" t="n">
        <v>3.28</v>
      </c>
      <c r="BD158" s="47" t="n">
        <v>15.35</v>
      </c>
      <c r="BE158" s="47" t="n">
        <v>1.4</v>
      </c>
      <c r="BF158" s="47" t="n">
        <v>0</v>
      </c>
      <c r="BG158" s="47" t="n">
        <v>0</v>
      </c>
      <c r="BH158" s="47" t="n">
        <v>2.25</v>
      </c>
      <c r="BI158" s="47" t="n">
        <v>0</v>
      </c>
      <c r="BJ158" s="47" t="n">
        <v>0</v>
      </c>
      <c r="BK158" s="47" t="n">
        <v>0.25</v>
      </c>
      <c r="BL158" s="47" t="n">
        <v>0</v>
      </c>
      <c r="BM158" s="47" t="n">
        <v>0.438</v>
      </c>
      <c r="BN158" s="47" t="n">
        <v>5.479111111111111</v>
      </c>
      <c r="BO158" s="47" t="n">
        <v>5.479111111111111</v>
      </c>
      <c r="BP158" s="47" t="n">
        <v>5.479111111111111</v>
      </c>
      <c r="BQ158" s="47" t="n">
        <v>5.47911111111111</v>
      </c>
      <c r="BR158" s="47" t="n">
        <v>5.479111111111111</v>
      </c>
      <c r="BS158" s="47" t="n">
        <v>5.479111111111111</v>
      </c>
      <c r="BT158" s="47" t="n">
        <v>5.479111111111112</v>
      </c>
      <c r="BU158" s="47" t="n">
        <v>5.479111111111113</v>
      </c>
      <c r="BV158" s="47" t="n">
        <v>5.479111111111109</v>
      </c>
      <c r="BW158" s="102" t="n"/>
      <c r="BX158" s="102" t="n"/>
      <c r="BY158" s="102" t="n"/>
      <c r="BZ158" s="102" t="n"/>
      <c r="CA158" s="102" t="n"/>
      <c r="CB158" s="102" t="n"/>
      <c r="CC158" s="102" t="n"/>
      <c r="CD158" s="102" t="n"/>
      <c r="CE158" s="102" t="n"/>
      <c r="CF158" s="102" t="n"/>
      <c r="CG158" s="102" t="n"/>
      <c r="CH158" s="102" t="n"/>
      <c r="CI158" s="102" t="n"/>
      <c r="CJ158" s="102" t="n"/>
      <c r="CK158" s="102" t="n"/>
      <c r="CL158" s="102" t="n"/>
      <c r="CM158" s="102" t="n"/>
      <c r="CN158" s="102" t="n"/>
      <c r="CO158" s="102" t="n"/>
      <c r="CP158" s="102" t="n"/>
      <c r="CQ158" s="102" t="n"/>
      <c r="CR158" s="102" t="n"/>
      <c r="CS158" s="102" t="n"/>
      <c r="CT158" s="102" t="n"/>
      <c r="CU158" s="102" t="n"/>
      <c r="CV158" s="102" t="n"/>
      <c r="CW158" s="102" t="n"/>
      <c r="CX158" s="102" t="n"/>
      <c r="CY158" s="102" t="n"/>
      <c r="CZ158" s="102" t="n"/>
      <c r="DA158" s="102" t="n"/>
      <c r="DB158" s="102" t="n"/>
      <c r="DC158" s="102" t="n"/>
      <c r="DD158" s="102" t="n"/>
      <c r="DE158" s="102" t="n"/>
      <c r="DF158" s="102" t="n"/>
      <c r="DG158" s="102" t="n"/>
      <c r="DH158" s="102" t="n"/>
      <c r="DI158" s="102" t="n"/>
      <c r="DJ158" s="102" t="n"/>
      <c r="DK158" s="102" t="n"/>
      <c r="DL158" s="102" t="n"/>
      <c r="DM158" s="102" t="n"/>
      <c r="DN158" s="102" t="n"/>
      <c r="DO158" s="102" t="n"/>
      <c r="DP158" s="102" t="n"/>
      <c r="DQ158" s="102" t="n"/>
      <c r="DR158" s="102" t="n"/>
      <c r="DT158" s="46">
        <f>+F158-E158</f>
        <v/>
      </c>
      <c r="DU158" s="46">
        <f>+G158-F158</f>
        <v/>
      </c>
      <c r="DV158" s="46">
        <f>+H158-G158</f>
        <v/>
      </c>
      <c r="DW158" s="46">
        <f>+I158-H158</f>
        <v/>
      </c>
    </row>
    <row r="159" hidden="1" outlineLevel="1" ht="15.75" customHeight="1">
      <c r="B159" s="5" t="inlineStr">
        <is>
          <t>SCORE</t>
        </is>
      </c>
      <c r="C159" s="68" t="inlineStr">
        <is>
          <t>Major</t>
        </is>
      </c>
      <c r="E159" s="46">
        <f>+SUMIFS($O159:$DR159,$O$7:$DR$7,E$7)</f>
        <v/>
      </c>
      <c r="F159" s="46">
        <f>+SUMIFS($O159:$DR159,$O$7:$DR$7,F$7)</f>
        <v/>
      </c>
      <c r="G159" s="46">
        <f>+SUMIFS($O159:$DR159,$O$7:$DR$7,G$7)</f>
        <v/>
      </c>
      <c r="H159" s="46">
        <f>+SUMIFS($O159:$DR159,$O$7:$DR$7,H$7)</f>
        <v/>
      </c>
      <c r="I159" s="46">
        <f>+SUMIFS($O159:$DR159,$O$7:$DR$7,I$7)</f>
        <v/>
      </c>
      <c r="J159" s="46">
        <f>+SUMIFS($O159:$DR159,$O$7:$DR$7,J$7)</f>
        <v/>
      </c>
      <c r="K159" s="46">
        <f>+SUMIFS($O159:$DR159,$O$7:$DR$7,K$7)</f>
        <v/>
      </c>
      <c r="L159" s="46">
        <f>+SUMIFS($O159:$DR159,$O$7:$DR$7,L$7)</f>
        <v/>
      </c>
      <c r="M159" s="46">
        <f>+SUMIFS($O159:$DR159,$O$7:$DR$7,M$7)</f>
        <v/>
      </c>
      <c r="O159" s="47" t="n">
        <v>7.74</v>
      </c>
      <c r="P159" s="47" t="n">
        <v>25.083</v>
      </c>
      <c r="Q159" s="47" t="n">
        <v>22.352</v>
      </c>
      <c r="R159" s="47" t="n">
        <v>28.83</v>
      </c>
      <c r="S159" s="47" t="n">
        <v>30.384</v>
      </c>
      <c r="T159" s="47" t="n">
        <v>18.443</v>
      </c>
      <c r="U159" s="47" t="n">
        <v>39.675</v>
      </c>
      <c r="V159" s="47" t="n">
        <v>29.925</v>
      </c>
      <c r="W159" s="47" t="n">
        <v>25.982</v>
      </c>
      <c r="X159" s="47" t="n">
        <v>37.904</v>
      </c>
      <c r="Y159" s="47" t="n">
        <v>2.79</v>
      </c>
      <c r="Z159" s="47" t="n">
        <v>37.93</v>
      </c>
      <c r="AA159" s="47" t="n">
        <v>1.8</v>
      </c>
      <c r="AB159" s="47" t="n">
        <v>7.83</v>
      </c>
      <c r="AC159" s="47" t="n">
        <v>31.128</v>
      </c>
      <c r="AD159" s="47" t="n">
        <v>26.717</v>
      </c>
      <c r="AE159" s="47" t="n">
        <v>20.806</v>
      </c>
      <c r="AF159" s="47" t="n">
        <v>23.969</v>
      </c>
      <c r="AG159" s="47" t="n">
        <v>43.045</v>
      </c>
      <c r="AH159" s="47" t="n">
        <v>15.167</v>
      </c>
      <c r="AI159" s="47" t="n">
        <v>16.55</v>
      </c>
      <c r="AJ159" s="47" t="n">
        <v>33.95</v>
      </c>
      <c r="AK159" s="47" t="n">
        <v>47.351</v>
      </c>
      <c r="AL159" s="47" t="n">
        <v>23.074</v>
      </c>
      <c r="AM159" s="47" t="n">
        <v>18.241</v>
      </c>
      <c r="AN159" s="47" t="n">
        <v>35.764</v>
      </c>
      <c r="AO159" s="47" t="n">
        <v>32.353</v>
      </c>
      <c r="AP159" s="47" t="n">
        <v>39.747</v>
      </c>
      <c r="AQ159" s="47" t="n">
        <v>7.776</v>
      </c>
      <c r="AR159" s="47" t="n">
        <v>31.515</v>
      </c>
      <c r="AS159" s="47" t="n">
        <v>21.21</v>
      </c>
      <c r="AT159" s="47" t="n">
        <v>47.635</v>
      </c>
      <c r="AU159" s="47" t="n">
        <v>17.625</v>
      </c>
      <c r="AV159" s="47" t="n">
        <v>44.109</v>
      </c>
      <c r="AW159" s="47" t="n">
        <v>1.95</v>
      </c>
      <c r="AX159" s="47" t="n">
        <v>29.69</v>
      </c>
      <c r="AY159" s="47" t="n">
        <v>1.95</v>
      </c>
      <c r="AZ159" s="47" t="n">
        <v>14.941</v>
      </c>
      <c r="BA159" s="47" t="n">
        <v>5.62</v>
      </c>
      <c r="BB159" s="47" t="n">
        <v>17.41</v>
      </c>
      <c r="BC159" s="47" t="n">
        <v>29.03</v>
      </c>
      <c r="BD159" s="47" t="n">
        <v>44.5</v>
      </c>
      <c r="BE159" s="47" t="n">
        <v>29.51</v>
      </c>
      <c r="BF159" s="47" t="n">
        <v>35.97</v>
      </c>
      <c r="BG159" s="47" t="n">
        <v>6.573</v>
      </c>
      <c r="BH159" s="47" t="n">
        <v>7.046</v>
      </c>
      <c r="BI159" s="47" t="n">
        <v>4.95</v>
      </c>
      <c r="BJ159" s="47" t="n">
        <v>7.601</v>
      </c>
      <c r="BK159" s="47" t="n">
        <v>5.01</v>
      </c>
      <c r="BL159" s="47" t="n">
        <v>27.66</v>
      </c>
      <c r="BM159" s="47" t="n">
        <v>12.7</v>
      </c>
      <c r="BN159" s="47" t="n">
        <v>25.463</v>
      </c>
      <c r="BO159" s="47" t="n">
        <v>28.645875</v>
      </c>
      <c r="BP159" s="47" t="n">
        <v>30.07816875</v>
      </c>
      <c r="BQ159" s="47" t="n">
        <v>32.66823328125</v>
      </c>
      <c r="BR159" s="47" t="n">
        <v>31.6881862828125</v>
      </c>
      <c r="BS159" s="47" t="n">
        <v>30.49987929720703</v>
      </c>
      <c r="BT159" s="47" t="n">
        <v>28.97488533234668</v>
      </c>
      <c r="BU159" s="47" t="n">
        <v>23.30588602819189</v>
      </c>
      <c r="BV159" s="47" t="n">
        <v>23.30588602819189</v>
      </c>
      <c r="BW159" s="102" t="n"/>
      <c r="BX159" s="102" t="n"/>
      <c r="BY159" s="102" t="n"/>
      <c r="BZ159" s="102" t="n"/>
      <c r="CA159" s="102" t="n"/>
      <c r="CB159" s="102" t="n"/>
      <c r="CC159" s="102" t="n"/>
      <c r="CD159" s="102" t="n"/>
      <c r="CE159" s="102" t="n"/>
      <c r="CF159" s="102" t="n"/>
      <c r="CG159" s="102" t="n"/>
      <c r="CH159" s="102" t="n"/>
      <c r="CI159" s="102" t="n"/>
      <c r="CJ159" s="102" t="n"/>
      <c r="CK159" s="102" t="n"/>
      <c r="CL159" s="102" t="n"/>
      <c r="CM159" s="102" t="n"/>
      <c r="CN159" s="102" t="n"/>
      <c r="CO159" s="102" t="n"/>
      <c r="CP159" s="102" t="n"/>
      <c r="CQ159" s="102" t="n"/>
      <c r="CR159" s="102" t="n"/>
      <c r="CS159" s="102" t="n"/>
      <c r="CT159" s="102" t="n"/>
      <c r="CU159" s="102" t="n"/>
      <c r="CV159" s="102" t="n"/>
      <c r="CW159" s="102" t="n"/>
      <c r="CX159" s="102" t="n"/>
      <c r="CY159" s="102" t="n"/>
      <c r="CZ159" s="102" t="n"/>
      <c r="DA159" s="102" t="n"/>
      <c r="DB159" s="102" t="n"/>
      <c r="DC159" s="102" t="n"/>
      <c r="DD159" s="102" t="n"/>
      <c r="DE159" s="102" t="n"/>
      <c r="DF159" s="102" t="n"/>
      <c r="DG159" s="102" t="n"/>
      <c r="DH159" s="102" t="n"/>
      <c r="DI159" s="102" t="n"/>
      <c r="DJ159" s="102" t="n"/>
      <c r="DK159" s="102" t="n"/>
      <c r="DL159" s="102" t="n"/>
      <c r="DM159" s="102" t="n"/>
      <c r="DN159" s="102" t="n"/>
      <c r="DO159" s="102" t="n"/>
      <c r="DP159" s="102" t="n"/>
      <c r="DQ159" s="102" t="n"/>
      <c r="DR159" s="102" t="n"/>
      <c r="DT159" s="46">
        <f>+F159-E159</f>
        <v/>
      </c>
      <c r="DU159" s="46">
        <f>+G159-F159</f>
        <v/>
      </c>
      <c r="DV159" s="46">
        <f>+H159-G159</f>
        <v/>
      </c>
      <c r="DW159" s="46">
        <f>+I159-H159</f>
        <v/>
      </c>
    </row>
    <row r="160" hidden="1" outlineLevel="1" ht="15.75" customHeight="1">
      <c r="B160" s="5" t="inlineStr">
        <is>
          <t>SPE</t>
        </is>
      </c>
      <c r="C160" s="68" t="inlineStr">
        <is>
          <t>Upper Middle Market</t>
        </is>
      </c>
      <c r="E160" s="46">
        <f>+SUMIFS($O160:$DR160,$O$7:$DR$7,E$7)</f>
        <v/>
      </c>
      <c r="F160" s="46">
        <f>+SUMIFS($O160:$DR160,$O$7:$DR$7,F$7)</f>
        <v/>
      </c>
      <c r="G160" s="46">
        <f>+SUMIFS($O160:$DR160,$O$7:$DR$7,G$7)</f>
        <v/>
      </c>
      <c r="H160" s="46">
        <f>+SUMIFS($O160:$DR160,$O$7:$DR$7,H$7)</f>
        <v/>
      </c>
      <c r="I160" s="46">
        <f>+SUMIFS($O160:$DR160,$O$7:$DR$7,I$7)</f>
        <v/>
      </c>
      <c r="J160" s="46">
        <f>+SUMIFS($O160:$DR160,$O$7:$DR$7,J$7)</f>
        <v/>
      </c>
      <c r="K160" s="46">
        <f>+SUMIFS($O160:$DR160,$O$7:$DR$7,K$7)</f>
        <v/>
      </c>
      <c r="L160" s="46">
        <f>+SUMIFS($O160:$DR160,$O$7:$DR$7,L$7)</f>
        <v/>
      </c>
      <c r="M160" s="46">
        <f>+SUMIFS($O160:$DR160,$O$7:$DR$7,M$7)</f>
        <v/>
      </c>
      <c r="O160" s="47" t="n">
        <v>0</v>
      </c>
      <c r="P160" s="47" t="n">
        <v>0</v>
      </c>
      <c r="Q160" s="47" t="n">
        <v>0</v>
      </c>
      <c r="R160" s="47" t="n">
        <v>0</v>
      </c>
      <c r="S160" s="47" t="n">
        <v>0</v>
      </c>
      <c r="T160" s="47" t="n">
        <v>0</v>
      </c>
      <c r="U160" s="47" t="n">
        <v>0</v>
      </c>
      <c r="V160" s="47" t="n">
        <v>0</v>
      </c>
      <c r="W160" s="47" t="n">
        <v>0</v>
      </c>
      <c r="X160" s="47" t="n">
        <v>0</v>
      </c>
      <c r="Y160" s="47" t="n">
        <v>0</v>
      </c>
      <c r="Z160" s="47" t="n">
        <v>0</v>
      </c>
      <c r="AA160" s="47" t="n">
        <v>0</v>
      </c>
      <c r="AB160" s="47" t="n">
        <v>0</v>
      </c>
      <c r="AC160" s="47" t="n">
        <v>0</v>
      </c>
      <c r="AD160" s="47" t="n">
        <v>0</v>
      </c>
      <c r="AE160" s="47" t="n">
        <v>0</v>
      </c>
      <c r="AF160" s="47" t="n">
        <v>0</v>
      </c>
      <c r="AG160" s="47" t="n">
        <v>0</v>
      </c>
      <c r="AH160" s="47" t="n">
        <v>0</v>
      </c>
      <c r="AI160" s="47" t="n">
        <v>0</v>
      </c>
      <c r="AJ160" s="47" t="n">
        <v>0</v>
      </c>
      <c r="AK160" s="47" t="n">
        <v>0</v>
      </c>
      <c r="AL160" s="47" t="n">
        <v>0</v>
      </c>
      <c r="AM160" s="47" t="n">
        <v>0</v>
      </c>
      <c r="AN160" s="47" t="n">
        <v>0</v>
      </c>
      <c r="AO160" s="47" t="n">
        <v>0</v>
      </c>
      <c r="AP160" s="47" t="n">
        <v>0</v>
      </c>
      <c r="AQ160" s="47" t="n">
        <v>0</v>
      </c>
      <c r="AR160" s="47" t="n">
        <v>0.712</v>
      </c>
      <c r="AS160" s="47" t="n">
        <v>0</v>
      </c>
      <c r="AT160" s="47" t="n">
        <v>1.188</v>
      </c>
      <c r="AU160" s="47" t="n">
        <v>0.95</v>
      </c>
      <c r="AV160" s="47" t="n">
        <v>12.92</v>
      </c>
      <c r="AW160" s="47" t="n">
        <v>1.187</v>
      </c>
      <c r="AX160" s="47" t="n">
        <v>9.641999999999999</v>
      </c>
      <c r="AY160" s="47" t="n">
        <v>2.851</v>
      </c>
      <c r="AZ160" s="47" t="n">
        <v>0</v>
      </c>
      <c r="BA160" s="47" t="n">
        <v>5.7</v>
      </c>
      <c r="BB160" s="47" t="n">
        <v>0</v>
      </c>
      <c r="BC160" s="47" t="n">
        <v>1</v>
      </c>
      <c r="BD160" s="47" t="n">
        <v>4.54</v>
      </c>
      <c r="BE160" s="47" t="n">
        <v>0.04</v>
      </c>
      <c r="BF160" s="47" t="n">
        <v>7.82</v>
      </c>
      <c r="BG160" s="47" t="n">
        <v>0</v>
      </c>
      <c r="BH160" s="47" t="n">
        <v>0</v>
      </c>
      <c r="BI160" s="47" t="n">
        <v>0.6</v>
      </c>
      <c r="BJ160" s="47" t="n">
        <v>0</v>
      </c>
      <c r="BK160" s="47" t="n">
        <v>0</v>
      </c>
      <c r="BL160" s="47" t="n">
        <v>0</v>
      </c>
      <c r="BM160" s="47" t="n">
        <v>0</v>
      </c>
      <c r="BN160" s="47" t="n">
        <v>5</v>
      </c>
      <c r="BO160" s="47" t="n">
        <v>5</v>
      </c>
      <c r="BP160" s="47" t="n">
        <v>5</v>
      </c>
      <c r="BQ160" s="47" t="n">
        <v>5</v>
      </c>
      <c r="BR160" s="47" t="n">
        <v>5</v>
      </c>
      <c r="BS160" s="47" t="n">
        <v>5</v>
      </c>
      <c r="BT160" s="47" t="n">
        <v>5</v>
      </c>
      <c r="BU160" s="47" t="n">
        <v>5</v>
      </c>
      <c r="BV160" s="47" t="n">
        <v>5</v>
      </c>
      <c r="BW160" s="102" t="n"/>
      <c r="BX160" s="102" t="n"/>
      <c r="BY160" s="102" t="n"/>
      <c r="BZ160" s="102" t="n"/>
      <c r="CA160" s="102" t="n"/>
      <c r="CB160" s="102" t="n"/>
      <c r="CC160" s="102" t="n"/>
      <c r="CD160" s="102" t="n"/>
      <c r="CE160" s="102" t="n"/>
      <c r="CF160" s="102" t="n"/>
      <c r="CG160" s="102" t="n"/>
      <c r="CH160" s="102" t="n"/>
      <c r="CI160" s="102" t="n"/>
      <c r="CJ160" s="102" t="n"/>
      <c r="CK160" s="102" t="n"/>
      <c r="CL160" s="102" t="n"/>
      <c r="CM160" s="102" t="n"/>
      <c r="CN160" s="102" t="n"/>
      <c r="CO160" s="102" t="n"/>
      <c r="CP160" s="102" t="n"/>
      <c r="CQ160" s="102" t="n"/>
      <c r="CR160" s="102" t="n"/>
      <c r="CS160" s="102" t="n"/>
      <c r="CT160" s="102" t="n"/>
      <c r="CU160" s="102" t="n"/>
      <c r="CV160" s="102" t="n"/>
      <c r="CW160" s="102" t="n"/>
      <c r="CX160" s="102" t="n"/>
      <c r="CY160" s="102" t="n"/>
      <c r="CZ160" s="102" t="n"/>
      <c r="DA160" s="102" t="n"/>
      <c r="DB160" s="102" t="n"/>
      <c r="DC160" s="102" t="n"/>
      <c r="DD160" s="102" t="n"/>
      <c r="DE160" s="102" t="n"/>
      <c r="DF160" s="102" t="n"/>
      <c r="DG160" s="102" t="n"/>
      <c r="DH160" s="102" t="n"/>
      <c r="DI160" s="102" t="n"/>
      <c r="DJ160" s="102" t="n"/>
      <c r="DK160" s="102" t="n"/>
      <c r="DL160" s="102" t="n"/>
      <c r="DM160" s="102" t="n"/>
      <c r="DN160" s="102" t="n"/>
      <c r="DO160" s="102" t="n"/>
      <c r="DP160" s="102" t="n"/>
      <c r="DQ160" s="102" t="n"/>
      <c r="DR160" s="102" t="n"/>
      <c r="DT160" s="46">
        <f>+F160-E160</f>
        <v/>
      </c>
      <c r="DU160" s="46">
        <f>+G160-F160</f>
        <v/>
      </c>
      <c r="DV160" s="46">
        <f>+H160-G160</f>
        <v/>
      </c>
      <c r="DW160" s="46">
        <f>+I160-H160</f>
        <v/>
      </c>
    </row>
    <row r="161" hidden="1" outlineLevel="1" ht="15.75" customHeight="1">
      <c r="B161" s="5" t="inlineStr">
        <is>
          <t>UCP</t>
        </is>
      </c>
      <c r="C161" s="68" t="inlineStr">
        <is>
          <t>Lower Middle Market</t>
        </is>
      </c>
      <c r="E161" s="46">
        <f>+SUMIFS($O161:$DR161,$O$7:$DR$7,E$7)</f>
        <v/>
      </c>
      <c r="F161" s="46">
        <f>+SUMIFS($O161:$DR161,$O$7:$DR$7,F$7)</f>
        <v/>
      </c>
      <c r="G161" s="46">
        <f>+SUMIFS($O161:$DR161,$O$7:$DR$7,G$7)</f>
        <v/>
      </c>
      <c r="H161" s="46">
        <f>+SUMIFS($O161:$DR161,$O$7:$DR$7,H$7)</f>
        <v/>
      </c>
      <c r="I161" s="46">
        <f>+SUMIFS($O161:$DR161,$O$7:$DR$7,I$7)</f>
        <v/>
      </c>
      <c r="J161" s="46">
        <f>+SUMIFS($O161:$DR161,$O$7:$DR$7,J$7)</f>
        <v/>
      </c>
      <c r="K161" s="46">
        <f>+SUMIFS($O161:$DR161,$O$7:$DR$7,K$7)</f>
        <v/>
      </c>
      <c r="L161" s="46">
        <f>+SUMIFS($O161:$DR161,$O$7:$DR$7,L$7)</f>
        <v/>
      </c>
      <c r="M161" s="46">
        <f>+SUMIFS($O161:$DR161,$O$7:$DR$7,M$7)</f>
        <v/>
      </c>
      <c r="O161" s="47" t="n">
        <v>0</v>
      </c>
      <c r="P161" s="47" t="n">
        <v>0</v>
      </c>
      <c r="Q161" s="47" t="n">
        <v>0</v>
      </c>
      <c r="R161" s="47" t="n">
        <v>0</v>
      </c>
      <c r="S161" s="47" t="n">
        <v>0</v>
      </c>
      <c r="T161" s="47" t="n">
        <v>0</v>
      </c>
      <c r="U161" s="47" t="n">
        <v>0</v>
      </c>
      <c r="V161" s="47" t="n">
        <v>0</v>
      </c>
      <c r="W161" s="47" t="n">
        <v>0</v>
      </c>
      <c r="X161" s="47" t="n">
        <v>0</v>
      </c>
      <c r="Y161" s="47" t="n">
        <v>0</v>
      </c>
      <c r="Z161" s="47" t="n">
        <v>0</v>
      </c>
      <c r="AA161" s="47" t="n">
        <v>0</v>
      </c>
      <c r="AB161" s="47" t="n">
        <v>0</v>
      </c>
      <c r="AC161" s="47" t="n">
        <v>0</v>
      </c>
      <c r="AD161" s="47" t="n">
        <v>0</v>
      </c>
      <c r="AE161" s="47" t="n">
        <v>0</v>
      </c>
      <c r="AF161" s="47" t="n">
        <v>0</v>
      </c>
      <c r="AG161" s="47" t="n">
        <v>0</v>
      </c>
      <c r="AH161" s="47" t="n">
        <v>0</v>
      </c>
      <c r="AI161" s="47" t="n">
        <v>0</v>
      </c>
      <c r="AJ161" s="47" t="n">
        <v>0</v>
      </c>
      <c r="AK161" s="47" t="n">
        <v>0</v>
      </c>
      <c r="AL161" s="47" t="n">
        <v>0</v>
      </c>
      <c r="AM161" s="47" t="n">
        <v>0</v>
      </c>
      <c r="AN161" s="47" t="n">
        <v>0</v>
      </c>
      <c r="AO161" s="47" t="n">
        <v>0</v>
      </c>
      <c r="AP161" s="47" t="n">
        <v>0</v>
      </c>
      <c r="AQ161" s="47" t="n">
        <v>0</v>
      </c>
      <c r="AR161" s="47" t="n">
        <v>0</v>
      </c>
      <c r="AS161" s="47" t="n">
        <v>0</v>
      </c>
      <c r="AT161" s="47" t="n">
        <v>0</v>
      </c>
      <c r="AU161" s="47" t="n">
        <v>0</v>
      </c>
      <c r="AV161" s="47" t="n">
        <v>0</v>
      </c>
      <c r="AW161" s="47" t="n">
        <v>0</v>
      </c>
      <c r="AX161" s="47" t="n">
        <v>1.187</v>
      </c>
      <c r="AY161" s="47" t="n">
        <v>3.563</v>
      </c>
      <c r="AZ161" s="47" t="n">
        <v>4</v>
      </c>
      <c r="BA161" s="47" t="n">
        <v>0</v>
      </c>
      <c r="BB161" s="47" t="n">
        <v>0.16</v>
      </c>
      <c r="BC161" s="47" t="n">
        <v>3.04</v>
      </c>
      <c r="BD161" s="47" t="n">
        <v>0</v>
      </c>
      <c r="BE161" s="47" t="n">
        <v>0</v>
      </c>
      <c r="BF161" s="47" t="n">
        <v>0</v>
      </c>
      <c r="BG161" s="47" t="n">
        <v>0</v>
      </c>
      <c r="BH161" s="47" t="n">
        <v>0</v>
      </c>
      <c r="BI161" s="47" t="n">
        <v>0</v>
      </c>
      <c r="BJ161" s="47" t="n">
        <v>2.016</v>
      </c>
      <c r="BK161" s="47" t="n">
        <v>0</v>
      </c>
      <c r="BL161" s="47" t="n">
        <v>8.064</v>
      </c>
      <c r="BM161" s="47" t="n">
        <v>1.08</v>
      </c>
      <c r="BN161" s="47" t="n">
        <v>1.761777777777778</v>
      </c>
      <c r="BO161" s="47" t="n">
        <v>1.761777777777778</v>
      </c>
      <c r="BP161" s="47" t="n">
        <v>1.761777777777778</v>
      </c>
      <c r="BQ161" s="47" t="n">
        <v>1.761777777777778</v>
      </c>
      <c r="BR161" s="47" t="n">
        <v>1.761777777777778</v>
      </c>
      <c r="BS161" s="47" t="n">
        <v>1.761777777777778</v>
      </c>
      <c r="BT161" s="47" t="n">
        <v>1.761777777777779</v>
      </c>
      <c r="BU161" s="47" t="n">
        <v>1.761777777777779</v>
      </c>
      <c r="BV161" s="47" t="n">
        <v>1.761777777777781</v>
      </c>
      <c r="BW161" s="102" t="n"/>
      <c r="BX161" s="102" t="n"/>
      <c r="BY161" s="102" t="n"/>
      <c r="BZ161" s="102" t="n"/>
      <c r="CA161" s="102" t="n"/>
      <c r="CB161" s="102" t="n"/>
      <c r="CC161" s="102" t="n"/>
      <c r="CD161" s="102" t="n"/>
      <c r="CE161" s="102" t="n"/>
      <c r="CF161" s="102" t="n"/>
      <c r="CG161" s="102" t="n"/>
      <c r="CH161" s="102" t="n"/>
      <c r="CI161" s="102" t="n"/>
      <c r="CJ161" s="102" t="n"/>
      <c r="CK161" s="102" t="n"/>
      <c r="CL161" s="102" t="n"/>
      <c r="CM161" s="102" t="n"/>
      <c r="CN161" s="102" t="n"/>
      <c r="CO161" s="102" t="n"/>
      <c r="CP161" s="102" t="n"/>
      <c r="CQ161" s="102" t="n"/>
      <c r="CR161" s="102" t="n"/>
      <c r="CS161" s="102" t="n"/>
      <c r="CT161" s="102" t="n"/>
      <c r="CU161" s="102" t="n"/>
      <c r="CV161" s="102" t="n"/>
      <c r="CW161" s="102" t="n"/>
      <c r="CX161" s="102" t="n"/>
      <c r="CY161" s="102" t="n"/>
      <c r="CZ161" s="102" t="n"/>
      <c r="DA161" s="102" t="n"/>
      <c r="DB161" s="102" t="n"/>
      <c r="DC161" s="102" t="n"/>
      <c r="DD161" s="102" t="n"/>
      <c r="DE161" s="102" t="n"/>
      <c r="DF161" s="102" t="n"/>
      <c r="DG161" s="102" t="n"/>
      <c r="DH161" s="102" t="n"/>
      <c r="DI161" s="102" t="n"/>
      <c r="DJ161" s="102" t="n"/>
      <c r="DK161" s="102" t="n"/>
      <c r="DL161" s="102" t="n"/>
      <c r="DM161" s="102" t="n"/>
      <c r="DN161" s="102" t="n"/>
      <c r="DO161" s="102" t="n"/>
      <c r="DP161" s="102" t="n"/>
      <c r="DQ161" s="102" t="n"/>
      <c r="DR161" s="102" t="n"/>
      <c r="DT161" s="46">
        <f>+F161-E161</f>
        <v/>
      </c>
      <c r="DU161" s="46">
        <f>+G161-F161</f>
        <v/>
      </c>
      <c r="DV161" s="46">
        <f>+H161-G161</f>
        <v/>
      </c>
      <c r="DW161" s="46">
        <f>+I161-H161</f>
        <v/>
      </c>
    </row>
    <row r="162" hidden="1" outlineLevel="1" ht="15.75" customHeight="1">
      <c r="B162" s="5" t="inlineStr">
        <is>
          <t>WK</t>
        </is>
      </c>
      <c r="C162" s="68" t="inlineStr">
        <is>
          <t>Mega</t>
        </is>
      </c>
      <c r="E162" s="46">
        <f>+SUMIFS($O162:$DR162,$O$7:$DR$7,E$7)</f>
        <v/>
      </c>
      <c r="F162" s="46">
        <f>+SUMIFS($O162:$DR162,$O$7:$DR$7,F$7)</f>
        <v/>
      </c>
      <c r="G162" s="46">
        <f>+SUMIFS($O162:$DR162,$O$7:$DR$7,G$7)</f>
        <v/>
      </c>
      <c r="H162" s="46">
        <f>+SUMIFS($O162:$DR162,$O$7:$DR$7,H$7)</f>
        <v/>
      </c>
      <c r="I162" s="46">
        <f>+SUMIFS($O162:$DR162,$O$7:$DR$7,I$7)</f>
        <v/>
      </c>
      <c r="J162" s="46">
        <f>+SUMIFS($O162:$DR162,$O$7:$DR$7,J$7)</f>
        <v/>
      </c>
      <c r="K162" s="46">
        <f>+SUMIFS($O162:$DR162,$O$7:$DR$7,K$7)</f>
        <v/>
      </c>
      <c r="L162" s="46">
        <f>+SUMIFS($O162:$DR162,$O$7:$DR$7,L$7)</f>
        <v/>
      </c>
      <c r="M162" s="46">
        <f>+SUMIFS($O162:$DR162,$O$7:$DR$7,M$7)</f>
        <v/>
      </c>
      <c r="O162" s="47" t="n">
        <v>13.124</v>
      </c>
      <c r="P162" s="47" t="n">
        <v>73.265</v>
      </c>
      <c r="Q162" s="47" t="n">
        <v>63.005</v>
      </c>
      <c r="R162" s="47" t="n">
        <v>71.376</v>
      </c>
      <c r="S162" s="47" t="n">
        <v>27.488</v>
      </c>
      <c r="T162" s="47" t="n">
        <v>150.206</v>
      </c>
      <c r="U162" s="47" t="n">
        <v>134.018</v>
      </c>
      <c r="V162" s="47" t="n">
        <v>121.216</v>
      </c>
      <c r="W162" s="47" t="n">
        <v>99.642</v>
      </c>
      <c r="X162" s="47" t="n">
        <v>191.702</v>
      </c>
      <c r="Y162" s="47" t="n">
        <v>256.196</v>
      </c>
      <c r="Z162" s="47" t="n">
        <v>138.75</v>
      </c>
      <c r="AA162" s="47" t="n">
        <v>309.792</v>
      </c>
      <c r="AB162" s="47" t="n">
        <v>116.597</v>
      </c>
      <c r="AC162" s="47" t="n">
        <v>108.255</v>
      </c>
      <c r="AD162" s="47" t="n">
        <v>61.708</v>
      </c>
      <c r="AE162" s="47" t="n">
        <v>156.226</v>
      </c>
      <c r="AF162" s="47" t="n">
        <v>145.365</v>
      </c>
      <c r="AG162" s="47" t="n">
        <v>108.897</v>
      </c>
      <c r="AH162" s="47" t="n">
        <v>40.4</v>
      </c>
      <c r="AI162" s="47" t="n">
        <v>118.526</v>
      </c>
      <c r="AJ162" s="47" t="n">
        <v>133.516</v>
      </c>
      <c r="AK162" s="47" t="n">
        <v>90.533</v>
      </c>
      <c r="AL162" s="47" t="n">
        <v>109.12</v>
      </c>
      <c r="AM162" s="47" t="n">
        <v>55.911</v>
      </c>
      <c r="AN162" s="47" t="n">
        <v>72.18899999999999</v>
      </c>
      <c r="AO162" s="47" t="n">
        <v>46.788</v>
      </c>
      <c r="AP162" s="47" t="n">
        <v>16.326</v>
      </c>
      <c r="AQ162" s="47" t="n">
        <v>15.456</v>
      </c>
      <c r="AR162" s="47" t="n">
        <v>1.059</v>
      </c>
      <c r="AS162" s="47" t="n">
        <v>7.758</v>
      </c>
      <c r="AT162" s="47" t="n">
        <v>28.024</v>
      </c>
      <c r="AU162" s="47" t="n">
        <v>13.918</v>
      </c>
      <c r="AV162" s="47" t="n">
        <v>21.878</v>
      </c>
      <c r="AW162" s="47" t="n">
        <v>27.128</v>
      </c>
      <c r="AX162" s="47" t="n">
        <v>93.33</v>
      </c>
      <c r="AY162" s="47" t="n">
        <v>40.339</v>
      </c>
      <c r="AZ162" s="47" t="n">
        <v>61.324</v>
      </c>
      <c r="BA162" s="47" t="n">
        <v>106.095</v>
      </c>
      <c r="BB162" s="47" t="n">
        <v>107.33</v>
      </c>
      <c r="BC162" s="47" t="n">
        <v>79.29600000000001</v>
      </c>
      <c r="BD162" s="47" t="n">
        <v>81.95099999999999</v>
      </c>
      <c r="BE162" s="47" t="n">
        <v>110.979</v>
      </c>
      <c r="BF162" s="47" t="n">
        <v>120.183</v>
      </c>
      <c r="BG162" s="47" t="n">
        <v>74.517</v>
      </c>
      <c r="BH162" s="47" t="n">
        <v>54.162</v>
      </c>
      <c r="BI162" s="47" t="n">
        <v>30.798</v>
      </c>
      <c r="BJ162" s="47" t="n">
        <v>41.064</v>
      </c>
      <c r="BK162" s="47" t="n">
        <v>86.518</v>
      </c>
      <c r="BL162" s="47" t="n">
        <v>124.89</v>
      </c>
      <c r="BM162" s="47" t="n">
        <v>165.434</v>
      </c>
      <c r="BN162" s="47" t="n">
        <v>102.6973888888889</v>
      </c>
      <c r="BO162" s="47" t="n">
        <v>93.06950868055556</v>
      </c>
      <c r="BP162" s="47" t="n">
        <v>83.09777560763888</v>
      </c>
      <c r="BQ162" s="47" t="n">
        <v>72.71055365668401</v>
      </c>
      <c r="BR162" s="47" t="n">
        <v>40.6140378282335</v>
      </c>
      <c r="BS162" s="47" t="n">
        <v>39.09101140967476</v>
      </c>
      <c r="BT162" s="47" t="n">
        <v>37.13646083919102</v>
      </c>
      <c r="BU162" s="47" t="n">
        <v>29.87063154456671</v>
      </c>
      <c r="BV162" s="47" t="n">
        <v>29.87063154456671</v>
      </c>
      <c r="BW162" s="102" t="n"/>
      <c r="BX162" s="102" t="n"/>
      <c r="BY162" s="102" t="n"/>
      <c r="BZ162" s="102" t="n"/>
      <c r="CA162" s="102" t="n"/>
      <c r="CB162" s="102" t="n"/>
      <c r="CC162" s="102" t="n"/>
      <c r="CD162" s="102" t="n"/>
      <c r="CE162" s="102" t="n"/>
      <c r="CF162" s="102" t="n"/>
      <c r="CG162" s="102" t="n"/>
      <c r="CH162" s="102" t="n"/>
      <c r="CI162" s="102" t="n"/>
      <c r="CJ162" s="102" t="n"/>
      <c r="CK162" s="102" t="n"/>
      <c r="CL162" s="102" t="n"/>
      <c r="CM162" s="102" t="n"/>
      <c r="CN162" s="102" t="n"/>
      <c r="CO162" s="102" t="n"/>
      <c r="CP162" s="102" t="n"/>
      <c r="CQ162" s="102" t="n"/>
      <c r="CR162" s="102" t="n"/>
      <c r="CS162" s="102" t="n"/>
      <c r="CT162" s="102" t="n"/>
      <c r="CU162" s="102" t="n"/>
      <c r="CV162" s="102" t="n"/>
      <c r="CW162" s="102" t="n"/>
      <c r="CX162" s="102" t="n"/>
      <c r="CY162" s="102" t="n"/>
      <c r="CZ162" s="102" t="n"/>
      <c r="DA162" s="102" t="n"/>
      <c r="DB162" s="102" t="n"/>
      <c r="DC162" s="102" t="n"/>
      <c r="DD162" s="102" t="n"/>
      <c r="DE162" s="102" t="n"/>
      <c r="DF162" s="102" t="n"/>
      <c r="DG162" s="102" t="n"/>
      <c r="DH162" s="102" t="n"/>
      <c r="DI162" s="102" t="n"/>
      <c r="DJ162" s="102" t="n"/>
      <c r="DK162" s="102" t="n"/>
      <c r="DL162" s="102" t="n"/>
      <c r="DM162" s="102" t="n"/>
      <c r="DN162" s="102" t="n"/>
      <c r="DO162" s="102" t="n"/>
      <c r="DP162" s="102" t="n"/>
      <c r="DQ162" s="102" t="n"/>
      <c r="DR162" s="102" t="n"/>
      <c r="DT162" s="46">
        <f>+F162-E162</f>
        <v/>
      </c>
      <c r="DU162" s="46">
        <f>+G162-F162</f>
        <v/>
      </c>
      <c r="DV162" s="46">
        <f>+H162-G162</f>
        <v/>
      </c>
      <c r="DW162" s="46">
        <f>+I162-H162</f>
        <v/>
      </c>
    </row>
    <row r="163" hidden="1" outlineLevel="1" ht="15.75" customHeight="1">
      <c r="B163" s="5" t="inlineStr">
        <is>
          <t>AAD</t>
        </is>
      </c>
      <c r="C163" s="68" t="inlineStr">
        <is>
          <t>Lower Middle Market</t>
        </is>
      </c>
      <c r="E163" s="46">
        <f>+SUMIFS($O163:$DR163,$O$7:$DR$7,E$7)</f>
        <v/>
      </c>
      <c r="F163" s="46">
        <f>+SUMIFS($O163:$DR163,$O$7:$DR$7,F$7)</f>
        <v/>
      </c>
      <c r="G163" s="46">
        <f>+SUMIFS($O163:$DR163,$O$7:$DR$7,G$7)</f>
        <v/>
      </c>
      <c r="H163" s="46">
        <f>+SUMIFS($O163:$DR163,$O$7:$DR$7,H$7)</f>
        <v/>
      </c>
      <c r="I163" s="46">
        <f>+SUMIFS($O163:$DR163,$O$7:$DR$7,I$7)</f>
        <v/>
      </c>
      <c r="J163" s="46">
        <f>+SUMIFS($O163:$DR163,$O$7:$DR$7,J$7)</f>
        <v/>
      </c>
      <c r="K163" s="46">
        <f>+SUMIFS($O163:$DR163,$O$7:$DR$7,K$7)</f>
        <v/>
      </c>
      <c r="L163" s="46">
        <f>+SUMIFS($O163:$DR163,$O$7:$DR$7,L$7)</f>
        <v/>
      </c>
      <c r="M163" s="46">
        <f>+SUMIFS($O163:$DR163,$O$7:$DR$7,M$7)</f>
        <v/>
      </c>
      <c r="O163" s="47" t="n">
        <v>0</v>
      </c>
      <c r="P163" s="47" t="n">
        <v>0</v>
      </c>
      <c r="Q163" s="47" t="n">
        <v>0</v>
      </c>
      <c r="R163" s="47" t="n">
        <v>0</v>
      </c>
      <c r="S163" s="47" t="n">
        <v>0</v>
      </c>
      <c r="T163" s="47" t="n">
        <v>0</v>
      </c>
      <c r="U163" s="47" t="n">
        <v>0</v>
      </c>
      <c r="V163" s="47" t="n">
        <v>0</v>
      </c>
      <c r="W163" s="47" t="n">
        <v>0</v>
      </c>
      <c r="X163" s="47" t="n">
        <v>0</v>
      </c>
      <c r="Y163" s="47" t="n">
        <v>0</v>
      </c>
      <c r="Z163" s="47" t="n">
        <v>0</v>
      </c>
      <c r="AA163" s="47" t="n">
        <v>0</v>
      </c>
      <c r="AB163" s="47" t="n">
        <v>0</v>
      </c>
      <c r="AC163" s="47" t="n">
        <v>0</v>
      </c>
      <c r="AD163" s="47" t="n">
        <v>0</v>
      </c>
      <c r="AE163" s="47" t="n">
        <v>0</v>
      </c>
      <c r="AF163" s="47" t="n">
        <v>0</v>
      </c>
      <c r="AG163" s="47" t="n">
        <v>0</v>
      </c>
      <c r="AH163" s="47" t="n">
        <v>0</v>
      </c>
      <c r="AI163" s="47" t="n">
        <v>0</v>
      </c>
      <c r="AJ163" s="47" t="n">
        <v>0</v>
      </c>
      <c r="AK163" s="47" t="n">
        <v>0</v>
      </c>
      <c r="AL163" s="47" t="n">
        <v>0</v>
      </c>
      <c r="AM163" s="47" t="n">
        <v>0</v>
      </c>
      <c r="AN163" s="47" t="n">
        <v>0</v>
      </c>
      <c r="AO163" s="47" t="n">
        <v>0</v>
      </c>
      <c r="AP163" s="47" t="n">
        <v>0</v>
      </c>
      <c r="AQ163" s="47" t="n">
        <v>0</v>
      </c>
      <c r="AR163" s="47" t="n">
        <v>0</v>
      </c>
      <c r="AS163" s="47" t="n">
        <v>0</v>
      </c>
      <c r="AT163" s="47" t="n">
        <v>0</v>
      </c>
      <c r="AU163" s="47" t="n">
        <v>0</v>
      </c>
      <c r="AV163" s="47" t="n">
        <v>0</v>
      </c>
      <c r="AW163" s="47" t="n">
        <v>0</v>
      </c>
      <c r="AX163" s="47" t="n">
        <v>0</v>
      </c>
      <c r="AY163" s="47" t="n">
        <v>0</v>
      </c>
      <c r="AZ163" s="47" t="n">
        <v>0</v>
      </c>
      <c r="BA163" s="47" t="n">
        <v>0</v>
      </c>
      <c r="BB163" s="47" t="n">
        <v>0</v>
      </c>
      <c r="BC163" s="47" t="n">
        <v>0</v>
      </c>
      <c r="BD163" s="47" t="n">
        <v>0</v>
      </c>
      <c r="BE163" s="47" t="n">
        <v>0</v>
      </c>
      <c r="BF163" s="47" t="n">
        <v>0</v>
      </c>
      <c r="BG163" s="47" t="n">
        <v>0</v>
      </c>
      <c r="BH163" s="47" t="n">
        <v>0</v>
      </c>
      <c r="BI163" s="47" t="n">
        <v>0</v>
      </c>
      <c r="BJ163" s="47" t="n">
        <v>0</v>
      </c>
      <c r="BK163" s="47" t="n">
        <v>0</v>
      </c>
      <c r="BL163" s="47" t="n">
        <v>0</v>
      </c>
      <c r="BM163" s="47" t="n">
        <v>0</v>
      </c>
      <c r="BN163" s="47" t="n">
        <v>0</v>
      </c>
      <c r="BO163" s="47" t="n">
        <v>0</v>
      </c>
      <c r="BP163" s="47" t="n">
        <v>0</v>
      </c>
      <c r="BQ163" s="47" t="n">
        <v>0</v>
      </c>
      <c r="BR163" s="47" t="n">
        <v>0</v>
      </c>
      <c r="BS163" s="47" t="n">
        <v>0</v>
      </c>
      <c r="BT163" s="47" t="n">
        <v>0</v>
      </c>
      <c r="BU163" s="47" t="n">
        <v>0</v>
      </c>
      <c r="BV163" s="47" t="n">
        <v>0</v>
      </c>
      <c r="BW163" s="102" t="n"/>
      <c r="BX163" s="102" t="n"/>
      <c r="BY163" s="102" t="n"/>
      <c r="BZ163" s="102" t="n"/>
      <c r="CA163" s="102" t="n"/>
      <c r="CB163" s="102" t="n"/>
      <c r="CC163" s="102" t="n"/>
      <c r="CD163" s="102" t="n"/>
      <c r="CE163" s="102" t="n"/>
      <c r="CF163" s="102" t="n"/>
      <c r="CG163" s="102" t="n"/>
      <c r="CH163" s="102" t="n"/>
      <c r="CI163" s="102" t="n"/>
      <c r="CJ163" s="102" t="n"/>
      <c r="CK163" s="102" t="n"/>
      <c r="CL163" s="102" t="n"/>
      <c r="CM163" s="102" t="n"/>
      <c r="CN163" s="102" t="n"/>
      <c r="CO163" s="102" t="n"/>
      <c r="CP163" s="102" t="n"/>
      <c r="CQ163" s="102" t="n"/>
      <c r="CR163" s="102" t="n"/>
      <c r="CS163" s="102" t="n"/>
      <c r="CT163" s="102" t="n"/>
      <c r="CU163" s="102" t="n"/>
      <c r="CV163" s="102" t="n"/>
      <c r="CW163" s="102" t="n"/>
      <c r="CX163" s="102" t="n"/>
      <c r="CY163" s="102" t="n"/>
      <c r="CZ163" s="102" t="n"/>
      <c r="DA163" s="102" t="n"/>
      <c r="DB163" s="102" t="n"/>
      <c r="DC163" s="102" t="n"/>
      <c r="DD163" s="102" t="n"/>
      <c r="DE163" s="102" t="n"/>
      <c r="DF163" s="102" t="n"/>
      <c r="DG163" s="102" t="n"/>
      <c r="DH163" s="102" t="n"/>
      <c r="DI163" s="102" t="n"/>
      <c r="DJ163" s="102" t="n"/>
      <c r="DK163" s="102" t="n"/>
      <c r="DL163" s="102" t="n"/>
      <c r="DM163" s="102" t="n"/>
      <c r="DN163" s="102" t="n"/>
      <c r="DO163" s="102" t="n"/>
      <c r="DP163" s="102" t="n"/>
      <c r="DQ163" s="102" t="n"/>
      <c r="DR163" s="102" t="n"/>
      <c r="DT163" s="46">
        <f>+F163-E163</f>
        <v/>
      </c>
      <c r="DU163" s="46">
        <f>+G163-F163</f>
        <v/>
      </c>
      <c r="DV163" s="46">
        <f>+H163-G163</f>
        <v/>
      </c>
      <c r="DW163" s="46">
        <f>+I163-H163</f>
        <v/>
      </c>
    </row>
    <row r="164" hidden="1" outlineLevel="1" ht="15.75" customHeight="1">
      <c r="B164" s="5" t="inlineStr">
        <is>
          <t>ACP</t>
        </is>
      </c>
      <c r="C164" s="68" t="inlineStr">
        <is>
          <t>Lower Middle Market</t>
        </is>
      </c>
      <c r="E164" s="46">
        <f>+SUMIFS($O164:$DR164,$O$7:$DR$7,E$7)</f>
        <v/>
      </c>
      <c r="F164" s="46">
        <f>+SUMIFS($O164:$DR164,$O$7:$DR$7,F$7)</f>
        <v/>
      </c>
      <c r="G164" s="46">
        <f>+SUMIFS($O164:$DR164,$O$7:$DR$7,G$7)</f>
        <v/>
      </c>
      <c r="H164" s="46">
        <f>+SUMIFS($O164:$DR164,$O$7:$DR$7,H$7)</f>
        <v/>
      </c>
      <c r="I164" s="46">
        <f>+SUMIFS($O164:$DR164,$O$7:$DR$7,I$7)</f>
        <v/>
      </c>
      <c r="J164" s="46">
        <f>+SUMIFS($O164:$DR164,$O$7:$DR$7,J$7)</f>
        <v/>
      </c>
      <c r="K164" s="46">
        <f>+SUMIFS($O164:$DR164,$O$7:$DR$7,K$7)</f>
        <v/>
      </c>
      <c r="L164" s="46">
        <f>+SUMIFS($O164:$DR164,$O$7:$DR$7,L$7)</f>
        <v/>
      </c>
      <c r="M164" s="46">
        <f>+SUMIFS($O164:$DR164,$O$7:$DR$7,M$7)</f>
        <v/>
      </c>
      <c r="O164" s="47" t="n">
        <v>0</v>
      </c>
      <c r="P164" s="47" t="n">
        <v>0</v>
      </c>
      <c r="Q164" s="47" t="n">
        <v>0.545</v>
      </c>
      <c r="R164" s="47" t="n">
        <v>0</v>
      </c>
      <c r="S164" s="47" t="n">
        <v>0</v>
      </c>
      <c r="T164" s="47" t="n">
        <v>3.594</v>
      </c>
      <c r="U164" s="47" t="n">
        <v>11.617</v>
      </c>
      <c r="V164" s="47" t="n">
        <v>13.972</v>
      </c>
      <c r="W164" s="47" t="n">
        <v>0.889</v>
      </c>
      <c r="X164" s="47" t="n">
        <v>34.708</v>
      </c>
      <c r="Y164" s="47" t="n">
        <v>24.531</v>
      </c>
      <c r="Z164" s="47" t="n">
        <v>4.088</v>
      </c>
      <c r="AA164" s="47" t="n">
        <v>14.998</v>
      </c>
      <c r="AB164" s="47" t="n">
        <v>12.213</v>
      </c>
      <c r="AC164" s="47" t="n">
        <v>7.514</v>
      </c>
      <c r="AD164" s="47" t="n">
        <v>8.427</v>
      </c>
      <c r="AE164" s="47" t="n">
        <v>5.089</v>
      </c>
      <c r="AF164" s="47" t="n">
        <v>0</v>
      </c>
      <c r="AG164" s="47" t="n">
        <v>7.111</v>
      </c>
      <c r="AH164" s="47" t="n">
        <v>9.494999999999999</v>
      </c>
      <c r="AI164" s="47" t="n">
        <v>16.176</v>
      </c>
      <c r="AJ164" s="47" t="n">
        <v>3.602</v>
      </c>
      <c r="AK164" s="47" t="n">
        <v>0</v>
      </c>
      <c r="AL164" s="47" t="n">
        <v>0</v>
      </c>
      <c r="AM164" s="47" t="n">
        <v>0</v>
      </c>
      <c r="AN164" s="47" t="n">
        <v>0</v>
      </c>
      <c r="AO164" s="47" t="n">
        <v>1.991</v>
      </c>
      <c r="AP164" s="47" t="n">
        <v>0.324</v>
      </c>
      <c r="AQ164" s="47" t="n">
        <v>17.24</v>
      </c>
      <c r="AR164" s="47" t="n">
        <v>0.997</v>
      </c>
      <c r="AS164" s="47" t="n">
        <v>0</v>
      </c>
      <c r="AT164" s="47" t="n">
        <v>0.998</v>
      </c>
      <c r="AU164" s="47" t="n">
        <v>0</v>
      </c>
      <c r="AV164" s="47" t="n">
        <v>0</v>
      </c>
      <c r="AW164" s="47" t="n">
        <v>0</v>
      </c>
      <c r="AX164" s="47" t="n">
        <v>0</v>
      </c>
      <c r="AY164" s="47" t="n">
        <v>0</v>
      </c>
      <c r="AZ164" s="47" t="n">
        <v>0</v>
      </c>
      <c r="BA164" s="47" t="n">
        <v>0</v>
      </c>
      <c r="BB164" s="47" t="n">
        <v>0</v>
      </c>
      <c r="BC164" s="47" t="n">
        <v>0</v>
      </c>
      <c r="BD164" s="47" t="n">
        <v>0</v>
      </c>
      <c r="BE164" s="47" t="n">
        <v>0</v>
      </c>
      <c r="BF164" s="47" t="n">
        <v>0</v>
      </c>
      <c r="BG164" s="47" t="n">
        <v>0</v>
      </c>
      <c r="BH164" s="47" t="n">
        <v>0</v>
      </c>
      <c r="BI164" s="47" t="n">
        <v>0</v>
      </c>
      <c r="BJ164" s="47" t="n">
        <v>0</v>
      </c>
      <c r="BK164" s="47" t="n">
        <v>0</v>
      </c>
      <c r="BL164" s="47" t="n">
        <v>0</v>
      </c>
      <c r="BM164" s="47" t="n">
        <v>0</v>
      </c>
      <c r="BN164" s="47" t="n">
        <v>0</v>
      </c>
      <c r="BO164" s="47" t="n">
        <v>0</v>
      </c>
      <c r="BP164" s="47" t="n">
        <v>0</v>
      </c>
      <c r="BQ164" s="47" t="n">
        <v>0</v>
      </c>
      <c r="BR164" s="47" t="n">
        <v>0</v>
      </c>
      <c r="BS164" s="47" t="n">
        <v>0</v>
      </c>
      <c r="BT164" s="47" t="n">
        <v>0</v>
      </c>
      <c r="BU164" s="47" t="n">
        <v>0</v>
      </c>
      <c r="BV164" s="47" t="n">
        <v>0</v>
      </c>
      <c r="BW164" s="102" t="n"/>
      <c r="BX164" s="102" t="n"/>
      <c r="BY164" s="102" t="n"/>
      <c r="BZ164" s="102" t="n"/>
      <c r="CA164" s="102" t="n"/>
      <c r="CB164" s="102" t="n"/>
      <c r="CC164" s="102" t="n"/>
      <c r="CD164" s="102" t="n"/>
      <c r="CE164" s="102" t="n"/>
      <c r="CF164" s="102" t="n"/>
      <c r="CG164" s="102" t="n"/>
      <c r="CH164" s="102" t="n"/>
      <c r="CI164" s="102" t="n"/>
      <c r="CJ164" s="102" t="n"/>
      <c r="CK164" s="102" t="n"/>
      <c r="CL164" s="102" t="n"/>
      <c r="CM164" s="102" t="n"/>
      <c r="CN164" s="102" t="n"/>
      <c r="CO164" s="102" t="n"/>
      <c r="CP164" s="102" t="n"/>
      <c r="CQ164" s="102" t="n"/>
      <c r="CR164" s="102" t="n"/>
      <c r="CS164" s="102" t="n"/>
      <c r="CT164" s="102" t="n"/>
      <c r="CU164" s="102" t="n"/>
      <c r="CV164" s="102" t="n"/>
      <c r="CW164" s="102" t="n"/>
      <c r="CX164" s="102" t="n"/>
      <c r="CY164" s="102" t="n"/>
      <c r="CZ164" s="102" t="n"/>
      <c r="DA164" s="102" t="n"/>
      <c r="DB164" s="102" t="n"/>
      <c r="DC164" s="102" t="n"/>
      <c r="DD164" s="102" t="n"/>
      <c r="DE164" s="102" t="n"/>
      <c r="DF164" s="102" t="n"/>
      <c r="DG164" s="102" t="n"/>
      <c r="DH164" s="102" t="n"/>
      <c r="DI164" s="102" t="n"/>
      <c r="DJ164" s="102" t="n"/>
      <c r="DK164" s="102" t="n"/>
      <c r="DL164" s="102" t="n"/>
      <c r="DM164" s="102" t="n"/>
      <c r="DN164" s="102" t="n"/>
      <c r="DO164" s="102" t="n"/>
      <c r="DP164" s="102" t="n"/>
      <c r="DQ164" s="102" t="n"/>
      <c r="DR164" s="102" t="n"/>
      <c r="DT164" s="46">
        <f>+F164-E164</f>
        <v/>
      </c>
      <c r="DU164" s="46">
        <f>+G164-F164</f>
        <v/>
      </c>
      <c r="DV164" s="46">
        <f>+H164-G164</f>
        <v/>
      </c>
      <c r="DW164" s="46">
        <f>+I164-H164</f>
        <v/>
      </c>
    </row>
    <row r="165" hidden="1" outlineLevel="1" ht="15.75" customHeight="1">
      <c r="B165" s="5" t="inlineStr">
        <is>
          <t>AOA</t>
        </is>
      </c>
      <c r="C165" s="68" t="inlineStr">
        <is>
          <t>Lower Middle Market</t>
        </is>
      </c>
      <c r="E165" s="46">
        <f>+SUMIFS($O165:$DR165,$O$7:$DR$7,E$7)</f>
        <v/>
      </c>
      <c r="F165" s="46">
        <f>+SUMIFS($O165:$DR165,$O$7:$DR$7,F$7)</f>
        <v/>
      </c>
      <c r="G165" s="46">
        <f>+SUMIFS($O165:$DR165,$O$7:$DR$7,G$7)</f>
        <v/>
      </c>
      <c r="H165" s="46">
        <f>+SUMIFS($O165:$DR165,$O$7:$DR$7,H$7)</f>
        <v/>
      </c>
      <c r="I165" s="46">
        <f>+SUMIFS($O165:$DR165,$O$7:$DR$7,I$7)</f>
        <v/>
      </c>
      <c r="J165" s="46">
        <f>+SUMIFS($O165:$DR165,$O$7:$DR$7,J$7)</f>
        <v/>
      </c>
      <c r="K165" s="46">
        <f>+SUMIFS($O165:$DR165,$O$7:$DR$7,K$7)</f>
        <v/>
      </c>
      <c r="L165" s="46">
        <f>+SUMIFS($O165:$DR165,$O$7:$DR$7,L$7)</f>
        <v/>
      </c>
      <c r="M165" s="46">
        <f>+SUMIFS($O165:$DR165,$O$7:$DR$7,M$7)</f>
        <v/>
      </c>
      <c r="O165" s="47" t="n">
        <v>0</v>
      </c>
      <c r="P165" s="47" t="n">
        <v>0</v>
      </c>
      <c r="Q165" s="47" t="n">
        <v>0</v>
      </c>
      <c r="R165" s="47" t="n">
        <v>0</v>
      </c>
      <c r="S165" s="47" t="n">
        <v>0</v>
      </c>
      <c r="T165" s="47" t="n">
        <v>0</v>
      </c>
      <c r="U165" s="47" t="n">
        <v>0</v>
      </c>
      <c r="V165" s="47" t="n">
        <v>0</v>
      </c>
      <c r="W165" s="47" t="n">
        <v>0</v>
      </c>
      <c r="X165" s="47" t="n">
        <v>0</v>
      </c>
      <c r="Y165" s="47" t="n">
        <v>0</v>
      </c>
      <c r="Z165" s="47" t="n">
        <v>0</v>
      </c>
      <c r="AA165" s="47" t="n">
        <v>4</v>
      </c>
      <c r="AB165" s="47" t="n">
        <v>0</v>
      </c>
      <c r="AC165" s="47" t="n">
        <v>0</v>
      </c>
      <c r="AD165" s="47" t="n">
        <v>0</v>
      </c>
      <c r="AE165" s="47" t="n">
        <v>0</v>
      </c>
      <c r="AF165" s="47" t="n">
        <v>0</v>
      </c>
      <c r="AG165" s="47" t="n">
        <v>0</v>
      </c>
      <c r="AH165" s="47" t="n">
        <v>0</v>
      </c>
      <c r="AI165" s="47" t="n">
        <v>0</v>
      </c>
      <c r="AJ165" s="47" t="n">
        <v>0</v>
      </c>
      <c r="AK165" s="47" t="n">
        <v>0</v>
      </c>
      <c r="AL165" s="47" t="n">
        <v>0</v>
      </c>
      <c r="AM165" s="47" t="n">
        <v>0</v>
      </c>
      <c r="AN165" s="47" t="n">
        <v>0</v>
      </c>
      <c r="AO165" s="47" t="n">
        <v>0</v>
      </c>
      <c r="AP165" s="47" t="n">
        <v>0</v>
      </c>
      <c r="AQ165" s="47" t="n">
        <v>8</v>
      </c>
      <c r="AR165" s="47" t="n">
        <v>0</v>
      </c>
      <c r="AS165" s="47" t="n">
        <v>0</v>
      </c>
      <c r="AT165" s="47" t="n">
        <v>0</v>
      </c>
      <c r="AU165" s="47" t="n">
        <v>0</v>
      </c>
      <c r="AV165" s="47" t="n">
        <v>0</v>
      </c>
      <c r="AW165" s="47" t="n">
        <v>0</v>
      </c>
      <c r="AX165" s="47" t="n">
        <v>0</v>
      </c>
      <c r="AY165" s="47" t="n">
        <v>0</v>
      </c>
      <c r="AZ165" s="47" t="n">
        <v>0</v>
      </c>
      <c r="BA165" s="47" t="n">
        <v>0</v>
      </c>
      <c r="BB165" s="47" t="n">
        <v>0</v>
      </c>
      <c r="BC165" s="47" t="n">
        <v>0</v>
      </c>
      <c r="BD165" s="47" t="n">
        <v>0</v>
      </c>
      <c r="BE165" s="47" t="n">
        <v>0</v>
      </c>
      <c r="BF165" s="47" t="n">
        <v>0</v>
      </c>
      <c r="BG165" s="47" t="n">
        <v>0</v>
      </c>
      <c r="BH165" s="47" t="n">
        <v>0</v>
      </c>
      <c r="BI165" s="47" t="n">
        <v>0</v>
      </c>
      <c r="BJ165" s="47" t="n">
        <v>0</v>
      </c>
      <c r="BK165" s="47" t="n">
        <v>0</v>
      </c>
      <c r="BL165" s="47" t="n">
        <v>0</v>
      </c>
      <c r="BM165" s="47" t="n">
        <v>0</v>
      </c>
      <c r="BN165" s="47" t="n">
        <v>0</v>
      </c>
      <c r="BO165" s="47" t="n">
        <v>0</v>
      </c>
      <c r="BP165" s="47" t="n">
        <v>0</v>
      </c>
      <c r="BQ165" s="47" t="n">
        <v>0</v>
      </c>
      <c r="BR165" s="47" t="n">
        <v>0</v>
      </c>
      <c r="BS165" s="47" t="n">
        <v>0</v>
      </c>
      <c r="BT165" s="47" t="n">
        <v>0</v>
      </c>
      <c r="BU165" s="47" t="n">
        <v>0</v>
      </c>
      <c r="BV165" s="47" t="n">
        <v>0</v>
      </c>
      <c r="BW165" s="102" t="n"/>
      <c r="BX165" s="102" t="n"/>
      <c r="BY165" s="102" t="n"/>
      <c r="BZ165" s="102" t="n"/>
      <c r="CA165" s="102" t="n"/>
      <c r="CB165" s="102" t="n"/>
      <c r="CC165" s="102" t="n"/>
      <c r="CD165" s="102" t="n"/>
      <c r="CE165" s="102" t="n"/>
      <c r="CF165" s="102" t="n"/>
      <c r="CG165" s="102" t="n"/>
      <c r="CH165" s="102" t="n"/>
      <c r="CI165" s="102" t="n"/>
      <c r="CJ165" s="102" t="n"/>
      <c r="CK165" s="102" t="n"/>
      <c r="CL165" s="102" t="n"/>
      <c r="CM165" s="102" t="n"/>
      <c r="CN165" s="102" t="n"/>
      <c r="CO165" s="102" t="n"/>
      <c r="CP165" s="102" t="n"/>
      <c r="CQ165" s="102" t="n"/>
      <c r="CR165" s="102" t="n"/>
      <c r="CS165" s="102" t="n"/>
      <c r="CT165" s="102" t="n"/>
      <c r="CU165" s="102" t="n"/>
      <c r="CV165" s="102" t="n"/>
      <c r="CW165" s="102" t="n"/>
      <c r="CX165" s="102" t="n"/>
      <c r="CY165" s="102" t="n"/>
      <c r="CZ165" s="102" t="n"/>
      <c r="DA165" s="102" t="n"/>
      <c r="DB165" s="102" t="n"/>
      <c r="DC165" s="102" t="n"/>
      <c r="DD165" s="102" t="n"/>
      <c r="DE165" s="102" t="n"/>
      <c r="DF165" s="102" t="n"/>
      <c r="DG165" s="102" t="n"/>
      <c r="DH165" s="102" t="n"/>
      <c r="DI165" s="102" t="n"/>
      <c r="DJ165" s="102" t="n"/>
      <c r="DK165" s="102" t="n"/>
      <c r="DL165" s="102" t="n"/>
      <c r="DM165" s="102" t="n"/>
      <c r="DN165" s="102" t="n"/>
      <c r="DO165" s="102" t="n"/>
      <c r="DP165" s="102" t="n"/>
      <c r="DQ165" s="102" t="n"/>
      <c r="DR165" s="102" t="n"/>
      <c r="DT165" s="46">
        <f>+F165-E165</f>
        <v/>
      </c>
      <c r="DU165" s="46">
        <f>+G165-F165</f>
        <v/>
      </c>
      <c r="DV165" s="46">
        <f>+H165-G165</f>
        <v/>
      </c>
      <c r="DW165" s="46">
        <f>+I165-H165</f>
        <v/>
      </c>
    </row>
    <row r="166" hidden="1" outlineLevel="1" ht="15.75" customHeight="1">
      <c r="B166" s="5" t="inlineStr">
        <is>
          <t>ASHA</t>
        </is>
      </c>
      <c r="C166" s="68" t="inlineStr">
        <is>
          <t>Lower Middle Market</t>
        </is>
      </c>
      <c r="E166" s="46">
        <f>+SUMIFS($O166:$DR166,$O$7:$DR$7,E$7)</f>
        <v/>
      </c>
      <c r="F166" s="46">
        <f>+SUMIFS($O166:$DR166,$O$7:$DR$7,F$7)</f>
        <v/>
      </c>
      <c r="G166" s="46">
        <f>+SUMIFS($O166:$DR166,$O$7:$DR$7,G$7)</f>
        <v/>
      </c>
      <c r="H166" s="46">
        <f>+SUMIFS($O166:$DR166,$O$7:$DR$7,H$7)</f>
        <v/>
      </c>
      <c r="I166" s="46">
        <f>+SUMIFS($O166:$DR166,$O$7:$DR$7,I$7)</f>
        <v/>
      </c>
      <c r="J166" s="46">
        <f>+SUMIFS($O166:$DR166,$O$7:$DR$7,J$7)</f>
        <v/>
      </c>
      <c r="K166" s="46">
        <f>+SUMIFS($O166:$DR166,$O$7:$DR$7,K$7)</f>
        <v/>
      </c>
      <c r="L166" s="46">
        <f>+SUMIFS($O166:$DR166,$O$7:$DR$7,L$7)</f>
        <v/>
      </c>
      <c r="M166" s="46">
        <f>+SUMIFS($O166:$DR166,$O$7:$DR$7,M$7)</f>
        <v/>
      </c>
      <c r="O166" s="47" t="n">
        <v>5.506</v>
      </c>
      <c r="P166" s="47" t="n">
        <v>3.674</v>
      </c>
      <c r="Q166" s="47" t="n">
        <v>2.75</v>
      </c>
      <c r="R166" s="47" t="n">
        <v>0.749</v>
      </c>
      <c r="S166" s="47" t="n">
        <v>4.241</v>
      </c>
      <c r="T166" s="47" t="n">
        <v>0</v>
      </c>
      <c r="U166" s="47" t="n">
        <v>0</v>
      </c>
      <c r="V166" s="47" t="n">
        <v>0</v>
      </c>
      <c r="W166" s="47" t="n">
        <v>0</v>
      </c>
      <c r="X166" s="47" t="n">
        <v>0</v>
      </c>
      <c r="Y166" s="47" t="n">
        <v>1.913</v>
      </c>
      <c r="Z166" s="47" t="n">
        <v>9.561999999999999</v>
      </c>
      <c r="AA166" s="47" t="n">
        <v>1.275</v>
      </c>
      <c r="AB166" s="47" t="n">
        <v>0</v>
      </c>
      <c r="AC166" s="47" t="n">
        <v>0</v>
      </c>
      <c r="AD166" s="47" t="n">
        <v>0</v>
      </c>
      <c r="AE166" s="47" t="n">
        <v>0</v>
      </c>
      <c r="AF166" s="47" t="n">
        <v>0</v>
      </c>
      <c r="AG166" s="47" t="n">
        <v>0</v>
      </c>
      <c r="AH166" s="47" t="n">
        <v>0</v>
      </c>
      <c r="AI166" s="47" t="n">
        <v>0</v>
      </c>
      <c r="AJ166" s="47" t="n">
        <v>0</v>
      </c>
      <c r="AK166" s="47" t="n">
        <v>0</v>
      </c>
      <c r="AL166" s="47" t="n">
        <v>0</v>
      </c>
      <c r="AM166" s="47" t="n">
        <v>0</v>
      </c>
      <c r="AN166" s="47" t="n">
        <v>0</v>
      </c>
      <c r="AO166" s="47" t="n">
        <v>0</v>
      </c>
      <c r="AP166" s="47" t="n">
        <v>0</v>
      </c>
      <c r="AQ166" s="47" t="n">
        <v>0</v>
      </c>
      <c r="AR166" s="47" t="n">
        <v>0</v>
      </c>
      <c r="AS166" s="47" t="n">
        <v>0</v>
      </c>
      <c r="AT166" s="47" t="n">
        <v>0</v>
      </c>
      <c r="AU166" s="47" t="n">
        <v>0</v>
      </c>
      <c r="AV166" s="47" t="n">
        <v>0</v>
      </c>
      <c r="AW166" s="47" t="n">
        <v>0</v>
      </c>
      <c r="AX166" s="47" t="n">
        <v>0</v>
      </c>
      <c r="AY166" s="47" t="n">
        <v>0</v>
      </c>
      <c r="AZ166" s="47" t="n">
        <v>0</v>
      </c>
      <c r="BA166" s="47" t="n">
        <v>0</v>
      </c>
      <c r="BB166" s="47" t="n">
        <v>0</v>
      </c>
      <c r="BC166" s="47" t="n">
        <v>0</v>
      </c>
      <c r="BD166" s="47" t="n">
        <v>0</v>
      </c>
      <c r="BE166" s="47" t="n">
        <v>0</v>
      </c>
      <c r="BF166" s="47" t="n">
        <v>0</v>
      </c>
      <c r="BG166" s="47" t="n">
        <v>0</v>
      </c>
      <c r="BH166" s="47" t="n">
        <v>0</v>
      </c>
      <c r="BI166" s="47" t="n">
        <v>0</v>
      </c>
      <c r="BJ166" s="47" t="n">
        <v>0</v>
      </c>
      <c r="BK166" s="47" t="n">
        <v>0</v>
      </c>
      <c r="BL166" s="47" t="n">
        <v>0</v>
      </c>
      <c r="BM166" s="47" t="n">
        <v>0</v>
      </c>
      <c r="BN166" s="47" t="n">
        <v>0</v>
      </c>
      <c r="BO166" s="47" t="n">
        <v>0</v>
      </c>
      <c r="BP166" s="47" t="n">
        <v>0</v>
      </c>
      <c r="BQ166" s="47" t="n">
        <v>0</v>
      </c>
      <c r="BR166" s="47" t="n">
        <v>0</v>
      </c>
      <c r="BS166" s="47" t="n">
        <v>0</v>
      </c>
      <c r="BT166" s="47" t="n">
        <v>0</v>
      </c>
      <c r="BU166" s="47" t="n">
        <v>0</v>
      </c>
      <c r="BV166" s="47" t="n">
        <v>0</v>
      </c>
      <c r="BW166" s="102" t="n"/>
      <c r="BX166" s="102" t="n"/>
      <c r="BY166" s="102" t="n"/>
      <c r="BZ166" s="102" t="n"/>
      <c r="CA166" s="102" t="n"/>
      <c r="CB166" s="102" t="n"/>
      <c r="CC166" s="102" t="n"/>
      <c r="CD166" s="102" t="n"/>
      <c r="CE166" s="102" t="n"/>
      <c r="CF166" s="102" t="n"/>
      <c r="CG166" s="102" t="n"/>
      <c r="CH166" s="102" t="n"/>
      <c r="CI166" s="102" t="n"/>
      <c r="CJ166" s="102" t="n"/>
      <c r="CK166" s="102" t="n"/>
      <c r="CL166" s="102" t="n"/>
      <c r="CM166" s="102" t="n"/>
      <c r="CN166" s="102" t="n"/>
      <c r="CO166" s="102" t="n"/>
      <c r="CP166" s="102" t="n"/>
      <c r="CQ166" s="102" t="n"/>
      <c r="CR166" s="102" t="n"/>
      <c r="CS166" s="102" t="n"/>
      <c r="CT166" s="102" t="n"/>
      <c r="CU166" s="102" t="n"/>
      <c r="CV166" s="102" t="n"/>
      <c r="CW166" s="102" t="n"/>
      <c r="CX166" s="102" t="n"/>
      <c r="CY166" s="102" t="n"/>
      <c r="CZ166" s="102" t="n"/>
      <c r="DA166" s="102" t="n"/>
      <c r="DB166" s="102" t="n"/>
      <c r="DC166" s="102" t="n"/>
      <c r="DD166" s="102" t="n"/>
      <c r="DE166" s="102" t="n"/>
      <c r="DF166" s="102" t="n"/>
      <c r="DG166" s="102" t="n"/>
      <c r="DH166" s="102" t="n"/>
      <c r="DI166" s="102" t="n"/>
      <c r="DJ166" s="102" t="n"/>
      <c r="DK166" s="102" t="n"/>
      <c r="DL166" s="102" t="n"/>
      <c r="DM166" s="102" t="n"/>
      <c r="DN166" s="102" t="n"/>
      <c r="DO166" s="102" t="n"/>
      <c r="DP166" s="102" t="n"/>
      <c r="DQ166" s="102" t="n"/>
      <c r="DR166" s="102" t="n"/>
      <c r="DT166" s="46">
        <f>+F166-E166</f>
        <v/>
      </c>
      <c r="DU166" s="46">
        <f>+G166-F166</f>
        <v/>
      </c>
      <c r="DV166" s="46">
        <f>+H166-G166</f>
        <v/>
      </c>
      <c r="DW166" s="46">
        <f>+I166-H166</f>
        <v/>
      </c>
    </row>
    <row r="167" hidden="1" outlineLevel="1" ht="15.75" customHeight="1">
      <c r="B167" s="5" t="inlineStr">
        <is>
          <t>ECRI</t>
        </is>
      </c>
      <c r="C167" s="68" t="inlineStr">
        <is>
          <t>Lower Middle Market</t>
        </is>
      </c>
      <c r="E167" s="46">
        <f>+SUMIFS($O167:$DR167,$O$7:$DR$7,E$7)</f>
        <v/>
      </c>
      <c r="F167" s="46">
        <f>+SUMIFS($O167:$DR167,$O$7:$DR$7,F$7)</f>
        <v/>
      </c>
      <c r="G167" s="46">
        <f>+SUMIFS($O167:$DR167,$O$7:$DR$7,G$7)</f>
        <v/>
      </c>
      <c r="H167" s="46">
        <f>+SUMIFS($O167:$DR167,$O$7:$DR$7,H$7)</f>
        <v/>
      </c>
      <c r="I167" s="46">
        <f>+SUMIFS($O167:$DR167,$O$7:$DR$7,I$7)</f>
        <v/>
      </c>
      <c r="J167" s="46">
        <f>+SUMIFS($O167:$DR167,$O$7:$DR$7,J$7)</f>
        <v/>
      </c>
      <c r="K167" s="46">
        <f>+SUMIFS($O167:$DR167,$O$7:$DR$7,K$7)</f>
        <v/>
      </c>
      <c r="L167" s="46">
        <f>+SUMIFS($O167:$DR167,$O$7:$DR$7,L$7)</f>
        <v/>
      </c>
      <c r="M167" s="46">
        <f>+SUMIFS($O167:$DR167,$O$7:$DR$7,M$7)</f>
        <v/>
      </c>
      <c r="O167" s="47" t="n">
        <v>6.297</v>
      </c>
      <c r="P167" s="47" t="n">
        <v>3.611</v>
      </c>
      <c r="Q167" s="47" t="n">
        <v>4.906</v>
      </c>
      <c r="R167" s="47" t="n">
        <v>3.674</v>
      </c>
      <c r="S167" s="47" t="n">
        <v>1.496</v>
      </c>
      <c r="T167" s="47" t="n">
        <v>5.076</v>
      </c>
      <c r="U167" s="47" t="n">
        <v>3.65</v>
      </c>
      <c r="V167" s="47" t="n">
        <v>0</v>
      </c>
      <c r="W167" s="47" t="n">
        <v>0</v>
      </c>
      <c r="X167" s="47" t="n">
        <v>0</v>
      </c>
      <c r="Y167" s="47" t="n">
        <v>0</v>
      </c>
      <c r="Z167" s="47" t="n">
        <v>0</v>
      </c>
      <c r="AA167" s="47" t="n">
        <v>0</v>
      </c>
      <c r="AB167" s="47" t="n">
        <v>0</v>
      </c>
      <c r="AC167" s="47" t="n">
        <v>0</v>
      </c>
      <c r="AD167" s="47" t="n">
        <v>0</v>
      </c>
      <c r="AE167" s="47" t="n">
        <v>0</v>
      </c>
      <c r="AF167" s="47" t="n">
        <v>0</v>
      </c>
      <c r="AG167" s="47" t="n">
        <v>0</v>
      </c>
      <c r="AH167" s="47" t="n">
        <v>0</v>
      </c>
      <c r="AI167" s="47" t="n">
        <v>0</v>
      </c>
      <c r="AJ167" s="47" t="n">
        <v>0</v>
      </c>
      <c r="AK167" s="47" t="n">
        <v>0</v>
      </c>
      <c r="AL167" s="47" t="n">
        <v>0</v>
      </c>
      <c r="AM167" s="47" t="n">
        <v>0</v>
      </c>
      <c r="AN167" s="47" t="n">
        <v>0</v>
      </c>
      <c r="AO167" s="47" t="n">
        <v>0</v>
      </c>
      <c r="AP167" s="47" t="n">
        <v>0</v>
      </c>
      <c r="AQ167" s="47" t="n">
        <v>0</v>
      </c>
      <c r="AR167" s="47" t="n">
        <v>0</v>
      </c>
      <c r="AS167" s="47" t="n">
        <v>0</v>
      </c>
      <c r="AT167" s="47" t="n">
        <v>0</v>
      </c>
      <c r="AU167" s="47" t="n">
        <v>0</v>
      </c>
      <c r="AV167" s="47" t="n">
        <v>0</v>
      </c>
      <c r="AW167" s="47" t="n">
        <v>0</v>
      </c>
      <c r="AX167" s="47" t="n">
        <v>0</v>
      </c>
      <c r="AY167" s="47" t="n">
        <v>0</v>
      </c>
      <c r="AZ167" s="47" t="n">
        <v>0</v>
      </c>
      <c r="BA167" s="47" t="n">
        <v>0</v>
      </c>
      <c r="BB167" s="47" t="n">
        <v>0</v>
      </c>
      <c r="BC167" s="47" t="n">
        <v>0</v>
      </c>
      <c r="BD167" s="47" t="n">
        <v>0</v>
      </c>
      <c r="BE167" s="47" t="n">
        <v>0</v>
      </c>
      <c r="BF167" s="47" t="n">
        <v>0</v>
      </c>
      <c r="BG167" s="47" t="n">
        <v>0</v>
      </c>
      <c r="BH167" s="47" t="n">
        <v>0</v>
      </c>
      <c r="BI167" s="47" t="n">
        <v>0</v>
      </c>
      <c r="BJ167" s="47" t="n">
        <v>0</v>
      </c>
      <c r="BK167" s="47" t="n">
        <v>0</v>
      </c>
      <c r="BL167" s="47" t="n">
        <v>0</v>
      </c>
      <c r="BM167" s="47" t="n">
        <v>0</v>
      </c>
      <c r="BN167" s="47" t="n">
        <v>0</v>
      </c>
      <c r="BO167" s="47" t="n">
        <v>0</v>
      </c>
      <c r="BP167" s="47" t="n">
        <v>0</v>
      </c>
      <c r="BQ167" s="47" t="n">
        <v>0</v>
      </c>
      <c r="BR167" s="47" t="n">
        <v>0</v>
      </c>
      <c r="BS167" s="47" t="n">
        <v>0</v>
      </c>
      <c r="BT167" s="47" t="n">
        <v>0</v>
      </c>
      <c r="BU167" s="47" t="n">
        <v>0</v>
      </c>
      <c r="BV167" s="47" t="n">
        <v>0</v>
      </c>
      <c r="BW167" s="102" t="n"/>
      <c r="BX167" s="102" t="n"/>
      <c r="BY167" s="102" t="n"/>
      <c r="BZ167" s="102" t="n"/>
      <c r="CA167" s="102" t="n"/>
      <c r="CB167" s="102" t="n"/>
      <c r="CC167" s="102" t="n"/>
      <c r="CD167" s="102" t="n"/>
      <c r="CE167" s="102" t="n"/>
      <c r="CF167" s="102" t="n"/>
      <c r="CG167" s="102" t="n"/>
      <c r="CH167" s="102" t="n"/>
      <c r="CI167" s="102" t="n"/>
      <c r="CJ167" s="102" t="n"/>
      <c r="CK167" s="102" t="n"/>
      <c r="CL167" s="102" t="n"/>
      <c r="CM167" s="102" t="n"/>
      <c r="CN167" s="102" t="n"/>
      <c r="CO167" s="102" t="n"/>
      <c r="CP167" s="102" t="n"/>
      <c r="CQ167" s="102" t="n"/>
      <c r="CR167" s="102" t="n"/>
      <c r="CS167" s="102" t="n"/>
      <c r="CT167" s="102" t="n"/>
      <c r="CU167" s="102" t="n"/>
      <c r="CV167" s="102" t="n"/>
      <c r="CW167" s="102" t="n"/>
      <c r="CX167" s="102" t="n"/>
      <c r="CY167" s="102" t="n"/>
      <c r="CZ167" s="102" t="n"/>
      <c r="DA167" s="102" t="n"/>
      <c r="DB167" s="102" t="n"/>
      <c r="DC167" s="102" t="n"/>
      <c r="DD167" s="102" t="n"/>
      <c r="DE167" s="102" t="n"/>
      <c r="DF167" s="102" t="n"/>
      <c r="DG167" s="102" t="n"/>
      <c r="DH167" s="102" t="n"/>
      <c r="DI167" s="102" t="n"/>
      <c r="DJ167" s="102" t="n"/>
      <c r="DK167" s="102" t="n"/>
      <c r="DL167" s="102" t="n"/>
      <c r="DM167" s="102" t="n"/>
      <c r="DN167" s="102" t="n"/>
      <c r="DO167" s="102" t="n"/>
      <c r="DP167" s="102" t="n"/>
      <c r="DQ167" s="102" t="n"/>
      <c r="DR167" s="102" t="n"/>
      <c r="DT167" s="46">
        <f>+F167-E167</f>
        <v/>
      </c>
      <c r="DU167" s="46">
        <f>+G167-F167</f>
        <v/>
      </c>
      <c r="DV167" s="46">
        <f>+H167-G167</f>
        <v/>
      </c>
      <c r="DW167" s="46">
        <f>+I167-H167</f>
        <v/>
      </c>
    </row>
    <row r="168" hidden="1" outlineLevel="1" ht="15.75" customHeight="1">
      <c r="B168" s="5" t="inlineStr">
        <is>
          <t>PCOUK</t>
        </is>
      </c>
      <c r="C168" s="68" t="inlineStr">
        <is>
          <t>Lower Middle Market</t>
        </is>
      </c>
      <c r="E168" s="46">
        <f>+SUMIFS($O168:$DR168,$O$7:$DR$7,E$7)</f>
        <v/>
      </c>
      <c r="F168" s="46">
        <f>+SUMIFS($O168:$DR168,$O$7:$DR$7,F$7)</f>
        <v/>
      </c>
      <c r="G168" s="46">
        <f>+SUMIFS($O168:$DR168,$O$7:$DR$7,G$7)</f>
        <v/>
      </c>
      <c r="H168" s="46">
        <f>+SUMIFS($O168:$DR168,$O$7:$DR$7,H$7)</f>
        <v/>
      </c>
      <c r="I168" s="46">
        <f>+SUMIFS($O168:$DR168,$O$7:$DR$7,I$7)</f>
        <v/>
      </c>
      <c r="J168" s="46">
        <f>+SUMIFS($O168:$DR168,$O$7:$DR$7,J$7)</f>
        <v/>
      </c>
      <c r="K168" s="46">
        <f>+SUMIFS($O168:$DR168,$O$7:$DR$7,K$7)</f>
        <v/>
      </c>
      <c r="L168" s="46">
        <f>+SUMIFS($O168:$DR168,$O$7:$DR$7,L$7)</f>
        <v/>
      </c>
      <c r="M168" s="46">
        <f>+SUMIFS($O168:$DR168,$O$7:$DR$7,M$7)</f>
        <v/>
      </c>
      <c r="O168" s="47" t="n">
        <v>0</v>
      </c>
      <c r="P168" s="47" t="n">
        <v>0</v>
      </c>
      <c r="Q168" s="47" t="n">
        <v>0</v>
      </c>
      <c r="R168" s="47" t="n">
        <v>0</v>
      </c>
      <c r="S168" s="47" t="n">
        <v>0</v>
      </c>
      <c r="T168" s="47" t="n">
        <v>0</v>
      </c>
      <c r="U168" s="47" t="n">
        <v>0</v>
      </c>
      <c r="V168" s="47" t="n">
        <v>0</v>
      </c>
      <c r="W168" s="47" t="n">
        <v>0</v>
      </c>
      <c r="X168" s="47" t="n">
        <v>0</v>
      </c>
      <c r="Y168" s="47" t="n">
        <v>0</v>
      </c>
      <c r="Z168" s="47" t="n">
        <v>0</v>
      </c>
      <c r="AA168" s="47" t="n">
        <v>0</v>
      </c>
      <c r="AB168" s="47" t="n">
        <v>0</v>
      </c>
      <c r="AC168" s="47" t="n">
        <v>0</v>
      </c>
      <c r="AD168" s="47" t="n">
        <v>0</v>
      </c>
      <c r="AE168" s="47" t="n">
        <v>0</v>
      </c>
      <c r="AF168" s="47" t="n">
        <v>0</v>
      </c>
      <c r="AG168" s="47" t="n">
        <v>0</v>
      </c>
      <c r="AH168" s="47" t="n">
        <v>0</v>
      </c>
      <c r="AI168" s="47" t="n">
        <v>0</v>
      </c>
      <c r="AJ168" s="47" t="n">
        <v>0</v>
      </c>
      <c r="AK168" s="47" t="n">
        <v>0</v>
      </c>
      <c r="AL168" s="47" t="n">
        <v>0</v>
      </c>
      <c r="AM168" s="47" t="n">
        <v>0</v>
      </c>
      <c r="AN168" s="47" t="n">
        <v>0</v>
      </c>
      <c r="AO168" s="47" t="n">
        <v>0.973</v>
      </c>
      <c r="AP168" s="47" t="n">
        <v>0</v>
      </c>
      <c r="AQ168" s="47" t="n">
        <v>0</v>
      </c>
      <c r="AR168" s="47" t="n">
        <v>1.458</v>
      </c>
      <c r="AS168" s="47" t="n">
        <v>0</v>
      </c>
      <c r="AT168" s="47" t="n">
        <v>2.918</v>
      </c>
      <c r="AU168" s="47" t="n">
        <v>2.432</v>
      </c>
      <c r="AV168" s="47" t="n">
        <v>1.459</v>
      </c>
      <c r="AW168" s="47" t="n">
        <v>0</v>
      </c>
      <c r="AX168" s="47" t="n">
        <v>0.486</v>
      </c>
      <c r="AY168" s="47" t="n">
        <v>0</v>
      </c>
      <c r="AZ168" s="47" t="n">
        <v>0</v>
      </c>
      <c r="BA168" s="47" t="n">
        <v>0</v>
      </c>
      <c r="BB168" s="47" t="n">
        <v>0</v>
      </c>
      <c r="BC168" s="47" t="n">
        <v>0</v>
      </c>
      <c r="BD168" s="47" t="n">
        <v>0</v>
      </c>
      <c r="BE168" s="47" t="n">
        <v>0</v>
      </c>
      <c r="BF168" s="47" t="n">
        <v>0</v>
      </c>
      <c r="BG168" s="47" t="n">
        <v>0</v>
      </c>
      <c r="BH168" s="47" t="n">
        <v>0</v>
      </c>
      <c r="BI168" s="47" t="n">
        <v>0</v>
      </c>
      <c r="BJ168" s="47" t="n">
        <v>0</v>
      </c>
      <c r="BK168" s="47" t="n">
        <v>0</v>
      </c>
      <c r="BL168" s="47" t="n">
        <v>0</v>
      </c>
      <c r="BM168" s="47" t="n">
        <v>0</v>
      </c>
      <c r="BN168" s="47" t="n">
        <v>0</v>
      </c>
      <c r="BO168" s="47" t="n">
        <v>0</v>
      </c>
      <c r="BP168" s="47" t="n">
        <v>0</v>
      </c>
      <c r="BQ168" s="47" t="n">
        <v>0</v>
      </c>
      <c r="BR168" s="47" t="n">
        <v>0</v>
      </c>
      <c r="BS168" s="47" t="n">
        <v>0</v>
      </c>
      <c r="BT168" s="47" t="n">
        <v>0</v>
      </c>
      <c r="BU168" s="47" t="n">
        <v>0</v>
      </c>
      <c r="BV168" s="47" t="n">
        <v>0</v>
      </c>
      <c r="BW168" s="102" t="n"/>
      <c r="BX168" s="102" t="n"/>
      <c r="BY168" s="102" t="n"/>
      <c r="BZ168" s="102" t="n"/>
      <c r="CA168" s="102" t="n"/>
      <c r="CB168" s="102" t="n"/>
      <c r="CC168" s="102" t="n"/>
      <c r="CD168" s="102" t="n"/>
      <c r="CE168" s="102" t="n"/>
      <c r="CF168" s="102" t="n"/>
      <c r="CG168" s="102" t="n"/>
      <c r="CH168" s="102" t="n"/>
      <c r="CI168" s="102" t="n"/>
      <c r="CJ168" s="102" t="n"/>
      <c r="CK168" s="102" t="n"/>
      <c r="CL168" s="102" t="n"/>
      <c r="CM168" s="102" t="n"/>
      <c r="CN168" s="102" t="n"/>
      <c r="CO168" s="102" t="n"/>
      <c r="CP168" s="102" t="n"/>
      <c r="CQ168" s="102" t="n"/>
      <c r="CR168" s="102" t="n"/>
      <c r="CS168" s="102" t="n"/>
      <c r="CT168" s="102" t="n"/>
      <c r="CU168" s="102" t="n"/>
      <c r="CV168" s="102" t="n"/>
      <c r="CW168" s="102" t="n"/>
      <c r="CX168" s="102" t="n"/>
      <c r="CY168" s="102" t="n"/>
      <c r="CZ168" s="102" t="n"/>
      <c r="DA168" s="102" t="n"/>
      <c r="DB168" s="102" t="n"/>
      <c r="DC168" s="102" t="n"/>
      <c r="DD168" s="102" t="n"/>
      <c r="DE168" s="102" t="n"/>
      <c r="DF168" s="102" t="n"/>
      <c r="DG168" s="102" t="n"/>
      <c r="DH168" s="102" t="n"/>
      <c r="DI168" s="102" t="n"/>
      <c r="DJ168" s="102" t="n"/>
      <c r="DK168" s="102" t="n"/>
      <c r="DL168" s="102" t="n"/>
      <c r="DM168" s="102" t="n"/>
      <c r="DN168" s="102" t="n"/>
      <c r="DO168" s="102" t="n"/>
      <c r="DP168" s="102" t="n"/>
      <c r="DQ168" s="102" t="n"/>
      <c r="DR168" s="102" t="n"/>
      <c r="DT168" s="46">
        <f>+F168-E168</f>
        <v/>
      </c>
      <c r="DU168" s="46">
        <f>+G168-F168</f>
        <v/>
      </c>
      <c r="DV168" s="46">
        <f>+H168-G168</f>
        <v/>
      </c>
      <c r="DW168" s="46">
        <f>+I168-H168</f>
        <v/>
      </c>
    </row>
    <row r="169" hidden="1" outlineLevel="1" ht="15.75" customHeight="1">
      <c r="B169" s="5" t="inlineStr">
        <is>
          <t>TISTA</t>
        </is>
      </c>
      <c r="C169" s="68" t="inlineStr">
        <is>
          <t>Lower Middle Market</t>
        </is>
      </c>
      <c r="E169" s="46">
        <f>+SUMIFS($O169:$DR169,$O$7:$DR$7,E$7)</f>
        <v/>
      </c>
      <c r="F169" s="46">
        <f>+SUMIFS($O169:$DR169,$O$7:$DR$7,F$7)</f>
        <v/>
      </c>
      <c r="G169" s="46">
        <f>+SUMIFS($O169:$DR169,$O$7:$DR$7,G$7)</f>
        <v/>
      </c>
      <c r="H169" s="46">
        <f>+SUMIFS($O169:$DR169,$O$7:$DR$7,H$7)</f>
        <v/>
      </c>
      <c r="I169" s="46">
        <f>+SUMIFS($O169:$DR169,$O$7:$DR$7,I$7)</f>
        <v/>
      </c>
      <c r="J169" s="46">
        <f>+SUMIFS($O169:$DR169,$O$7:$DR$7,J$7)</f>
        <v/>
      </c>
      <c r="K169" s="46">
        <f>+SUMIFS($O169:$DR169,$O$7:$DR$7,K$7)</f>
        <v/>
      </c>
      <c r="L169" s="46">
        <f>+SUMIFS($O169:$DR169,$O$7:$DR$7,L$7)</f>
        <v/>
      </c>
      <c r="M169" s="46">
        <f>+SUMIFS($O169:$DR169,$O$7:$DR$7,M$7)</f>
        <v/>
      </c>
      <c r="O169" s="47" t="n">
        <v>0</v>
      </c>
      <c r="P169" s="47" t="n">
        <v>0</v>
      </c>
      <c r="Q169" s="47" t="n">
        <v>0</v>
      </c>
      <c r="R169" s="47" t="n">
        <v>0</v>
      </c>
      <c r="S169" s="47" t="n">
        <v>0</v>
      </c>
      <c r="T169" s="47" t="n">
        <v>0</v>
      </c>
      <c r="U169" s="47" t="n">
        <v>0</v>
      </c>
      <c r="V169" s="47" t="n">
        <v>0</v>
      </c>
      <c r="W169" s="47" t="n">
        <v>0.265</v>
      </c>
      <c r="X169" s="47" t="n">
        <v>0.265</v>
      </c>
      <c r="Y169" s="47" t="n">
        <v>3.131</v>
      </c>
      <c r="Z169" s="47" t="n">
        <v>0.265</v>
      </c>
      <c r="AA169" s="47" t="n">
        <v>0.265</v>
      </c>
      <c r="AB169" s="47" t="n">
        <v>0.265</v>
      </c>
      <c r="AC169" s="47" t="n">
        <v>0.265</v>
      </c>
      <c r="AD169" s="47" t="n">
        <v>0.265</v>
      </c>
      <c r="AE169" s="47" t="n">
        <v>0.265</v>
      </c>
      <c r="AF169" s="47" t="n">
        <v>0.265</v>
      </c>
      <c r="AG169" s="47" t="n">
        <v>0.265</v>
      </c>
      <c r="AH169" s="47" t="n">
        <v>0.265</v>
      </c>
      <c r="AI169" s="47" t="n">
        <v>0.265</v>
      </c>
      <c r="AJ169" s="47" t="n">
        <v>0.265</v>
      </c>
      <c r="AK169" s="47" t="n">
        <v>0.265</v>
      </c>
      <c r="AL169" s="47" t="n">
        <v>0.265</v>
      </c>
      <c r="AM169" s="47" t="n">
        <v>0.265</v>
      </c>
      <c r="AN169" s="47" t="n">
        <v>0.265</v>
      </c>
      <c r="AO169" s="47" t="n">
        <v>0.265</v>
      </c>
      <c r="AP169" s="47" t="n">
        <v>0.265</v>
      </c>
      <c r="AQ169" s="47" t="n">
        <v>0.265</v>
      </c>
      <c r="AR169" s="47" t="n">
        <v>0.265</v>
      </c>
      <c r="AS169" s="47" t="n">
        <v>0.265</v>
      </c>
      <c r="AT169" s="47" t="n">
        <v>0.265</v>
      </c>
      <c r="AU169" s="47" t="n">
        <v>0.265</v>
      </c>
      <c r="AV169" s="47" t="n">
        <v>0.265</v>
      </c>
      <c r="AW169" s="47" t="n">
        <v>0.265</v>
      </c>
      <c r="AX169" s="47" t="n">
        <v>0.265</v>
      </c>
      <c r="AY169" s="47" t="n">
        <v>0.265</v>
      </c>
      <c r="AZ169" s="47" t="n">
        <v>0.265</v>
      </c>
      <c r="BA169" s="47" t="n">
        <v>0.265</v>
      </c>
      <c r="BB169" s="47" t="n">
        <v>0.265</v>
      </c>
      <c r="BC169" s="47" t="n">
        <v>0.265</v>
      </c>
      <c r="BD169" s="47" t="n">
        <v>0.265</v>
      </c>
      <c r="BE169" s="47" t="n">
        <v>0.265</v>
      </c>
      <c r="BF169" s="47" t="n">
        <v>0.265</v>
      </c>
      <c r="BG169" s="47" t="n">
        <v>0.265</v>
      </c>
      <c r="BH169" s="47" t="n">
        <v>0.265</v>
      </c>
      <c r="BI169" s="47" t="n">
        <v>0</v>
      </c>
      <c r="BJ169" s="47" t="n">
        <v>0</v>
      </c>
      <c r="BK169" s="47" t="n">
        <v>0</v>
      </c>
      <c r="BL169" s="47" t="n">
        <v>0</v>
      </c>
      <c r="BM169" s="47" t="n">
        <v>0</v>
      </c>
      <c r="BN169" s="47" t="n">
        <v>0</v>
      </c>
      <c r="BO169" s="47" t="n">
        <v>0</v>
      </c>
      <c r="BP169" s="47" t="n">
        <v>0</v>
      </c>
      <c r="BQ169" s="47" t="n">
        <v>0</v>
      </c>
      <c r="BR169" s="47" t="n">
        <v>0</v>
      </c>
      <c r="BS169" s="47" t="n">
        <v>0</v>
      </c>
      <c r="BT169" s="47" t="n">
        <v>0</v>
      </c>
      <c r="BU169" s="47" t="n">
        <v>0</v>
      </c>
      <c r="BV169" s="47" t="n">
        <v>0</v>
      </c>
      <c r="BW169" s="102" t="n"/>
      <c r="BX169" s="102" t="n"/>
      <c r="BY169" s="102" t="n"/>
      <c r="BZ169" s="102" t="n"/>
      <c r="CA169" s="102" t="n"/>
      <c r="CB169" s="102" t="n"/>
      <c r="CC169" s="102" t="n"/>
      <c r="CD169" s="102" t="n"/>
      <c r="CE169" s="102" t="n"/>
      <c r="CF169" s="102" t="n"/>
      <c r="CG169" s="102" t="n"/>
      <c r="CH169" s="102" t="n"/>
      <c r="CI169" s="102" t="n"/>
      <c r="CJ169" s="102" t="n"/>
      <c r="CK169" s="102" t="n"/>
      <c r="CL169" s="102" t="n"/>
      <c r="CM169" s="102" t="n"/>
      <c r="CN169" s="102" t="n"/>
      <c r="CO169" s="102" t="n"/>
      <c r="CP169" s="102" t="n"/>
      <c r="CQ169" s="102" t="n"/>
      <c r="CR169" s="102" t="n"/>
      <c r="CS169" s="102" t="n"/>
      <c r="CT169" s="102" t="n"/>
      <c r="CU169" s="102" t="n"/>
      <c r="CV169" s="102" t="n"/>
      <c r="CW169" s="102" t="n"/>
      <c r="CX169" s="102" t="n"/>
      <c r="CY169" s="102" t="n"/>
      <c r="CZ169" s="102" t="n"/>
      <c r="DA169" s="102" t="n"/>
      <c r="DB169" s="102" t="n"/>
      <c r="DC169" s="102" t="n"/>
      <c r="DD169" s="102" t="n"/>
      <c r="DE169" s="102" t="n"/>
      <c r="DF169" s="102" t="n"/>
      <c r="DG169" s="102" t="n"/>
      <c r="DH169" s="102" t="n"/>
      <c r="DI169" s="102" t="n"/>
      <c r="DJ169" s="102" t="n"/>
      <c r="DK169" s="102" t="n"/>
      <c r="DL169" s="102" t="n"/>
      <c r="DM169" s="102" t="n"/>
      <c r="DN169" s="102" t="n"/>
      <c r="DO169" s="102" t="n"/>
      <c r="DP169" s="102" t="n"/>
      <c r="DQ169" s="102" t="n"/>
      <c r="DR169" s="102" t="n"/>
      <c r="DT169" s="46">
        <f>+F169-E169</f>
        <v/>
      </c>
      <c r="DU169" s="46">
        <f>+G169-F169</f>
        <v/>
      </c>
      <c r="DV169" s="46">
        <f>+H169-G169</f>
        <v/>
      </c>
      <c r="DW169" s="46">
        <f>+I169-H169</f>
        <v/>
      </c>
    </row>
    <row r="170" hidden="1" outlineLevel="1" ht="15.75" customHeight="1">
      <c r="B170" s="5" t="inlineStr">
        <is>
          <t>UCSF</t>
        </is>
      </c>
      <c r="C170" s="68" t="inlineStr">
        <is>
          <t>Upper Middle Market</t>
        </is>
      </c>
      <c r="E170" s="46">
        <f>+SUMIFS($O170:$DR170,$O$7:$DR$7,E$7)</f>
        <v/>
      </c>
      <c r="F170" s="46">
        <f>+SUMIFS($O170:$DR170,$O$7:$DR$7,F$7)</f>
        <v/>
      </c>
      <c r="G170" s="46">
        <f>+SUMIFS($O170:$DR170,$O$7:$DR$7,G$7)</f>
        <v/>
      </c>
      <c r="H170" s="46">
        <f>+SUMIFS($O170:$DR170,$O$7:$DR$7,H$7)</f>
        <v/>
      </c>
      <c r="I170" s="46">
        <f>+SUMIFS($O170:$DR170,$O$7:$DR$7,I$7)</f>
        <v/>
      </c>
      <c r="J170" s="46">
        <f>+SUMIFS($O170:$DR170,$O$7:$DR$7,J$7)</f>
        <v/>
      </c>
      <c r="K170" s="46">
        <f>+SUMIFS($O170:$DR170,$O$7:$DR$7,K$7)</f>
        <v/>
      </c>
      <c r="L170" s="46">
        <f>+SUMIFS($O170:$DR170,$O$7:$DR$7,L$7)</f>
        <v/>
      </c>
      <c r="M170" s="46">
        <f>+SUMIFS($O170:$DR170,$O$7:$DR$7,M$7)</f>
        <v/>
      </c>
      <c r="O170" s="47" t="n">
        <v>7.323</v>
      </c>
      <c r="P170" s="47" t="n">
        <v>5.821</v>
      </c>
      <c r="Q170" s="47" t="n">
        <v>5.965</v>
      </c>
      <c r="R170" s="47" t="n">
        <v>8.682</v>
      </c>
      <c r="S170" s="47" t="n">
        <v>7.886</v>
      </c>
      <c r="T170" s="47" t="n">
        <v>5.609</v>
      </c>
      <c r="U170" s="47" t="n">
        <v>8.146000000000001</v>
      </c>
      <c r="V170" s="47" t="n">
        <v>6.149</v>
      </c>
      <c r="W170" s="47" t="n">
        <v>5.929</v>
      </c>
      <c r="X170" s="47" t="n">
        <v>7.436</v>
      </c>
      <c r="Y170" s="47" t="n">
        <v>6.46</v>
      </c>
      <c r="Z170" s="47" t="n">
        <v>6.83</v>
      </c>
      <c r="AA170" s="47" t="n">
        <v>4.09</v>
      </c>
      <c r="AB170" s="47" t="n">
        <v>3.959</v>
      </c>
      <c r="AC170" s="47" t="n">
        <v>6.298</v>
      </c>
      <c r="AD170" s="47" t="n">
        <v>6.553</v>
      </c>
      <c r="AE170" s="47" t="n">
        <v>4.683</v>
      </c>
      <c r="AF170" s="47" t="n">
        <v>4.528</v>
      </c>
      <c r="AG170" s="47" t="n">
        <v>6.343</v>
      </c>
      <c r="AH170" s="47" t="n">
        <v>6.348</v>
      </c>
      <c r="AI170" s="47" t="n">
        <v>6.06</v>
      </c>
      <c r="AJ170" s="47" t="n">
        <v>0</v>
      </c>
      <c r="AK170" s="47" t="n">
        <v>0</v>
      </c>
      <c r="AL170" s="47" t="n">
        <v>0</v>
      </c>
      <c r="AM170" s="47" t="n">
        <v>0</v>
      </c>
      <c r="AN170" s="47" t="n">
        <v>0</v>
      </c>
      <c r="AO170" s="47" t="n">
        <v>0</v>
      </c>
      <c r="AP170" s="47" t="n">
        <v>0</v>
      </c>
      <c r="AQ170" s="47" t="n">
        <v>0</v>
      </c>
      <c r="AR170" s="47" t="n">
        <v>0</v>
      </c>
      <c r="AS170" s="47" t="n">
        <v>0</v>
      </c>
      <c r="AT170" s="47" t="n">
        <v>0</v>
      </c>
      <c r="AU170" s="47" t="n">
        <v>0</v>
      </c>
      <c r="AV170" s="47" t="n">
        <v>0</v>
      </c>
      <c r="AW170" s="47" t="n">
        <v>0</v>
      </c>
      <c r="AX170" s="47" t="n">
        <v>0</v>
      </c>
      <c r="AY170" s="47" t="n">
        <v>0</v>
      </c>
      <c r="AZ170" s="47" t="n">
        <v>0</v>
      </c>
      <c r="BA170" s="47" t="n">
        <v>0</v>
      </c>
      <c r="BB170" s="47" t="n">
        <v>0</v>
      </c>
      <c r="BC170" s="47" t="n">
        <v>0</v>
      </c>
      <c r="BD170" s="47" t="n">
        <v>0</v>
      </c>
      <c r="BE170" s="47" t="n">
        <v>0</v>
      </c>
      <c r="BF170" s="47" t="n">
        <v>0</v>
      </c>
      <c r="BG170" s="47" t="n">
        <v>0</v>
      </c>
      <c r="BH170" s="47" t="n">
        <v>0</v>
      </c>
      <c r="BI170" s="47" t="n">
        <v>0</v>
      </c>
      <c r="BJ170" s="47" t="n">
        <v>0</v>
      </c>
      <c r="BK170" s="47" t="n">
        <v>0</v>
      </c>
      <c r="BL170" s="47" t="n">
        <v>0</v>
      </c>
      <c r="BM170" s="47" t="n">
        <v>0</v>
      </c>
      <c r="BN170" s="47" t="n">
        <v>0</v>
      </c>
      <c r="BO170" s="47" t="n">
        <v>0</v>
      </c>
      <c r="BP170" s="47" t="n">
        <v>0</v>
      </c>
      <c r="BQ170" s="47" t="n">
        <v>0</v>
      </c>
      <c r="BR170" s="47" t="n">
        <v>0</v>
      </c>
      <c r="BS170" s="47" t="n">
        <v>0</v>
      </c>
      <c r="BT170" s="47" t="n">
        <v>0</v>
      </c>
      <c r="BU170" s="47" t="n">
        <v>0</v>
      </c>
      <c r="BV170" s="47" t="n">
        <v>0</v>
      </c>
      <c r="BW170" s="102" t="n"/>
      <c r="BX170" s="102" t="n"/>
      <c r="BY170" s="102" t="n"/>
      <c r="BZ170" s="102" t="n"/>
      <c r="CA170" s="102" t="n"/>
      <c r="CB170" s="102" t="n"/>
      <c r="CC170" s="102" t="n"/>
      <c r="CD170" s="102" t="n"/>
      <c r="CE170" s="102" t="n"/>
      <c r="CF170" s="102" t="n"/>
      <c r="CG170" s="102" t="n"/>
      <c r="CH170" s="102" t="n"/>
      <c r="CI170" s="102" t="n"/>
      <c r="CJ170" s="102" t="n"/>
      <c r="CK170" s="102" t="n"/>
      <c r="CL170" s="102" t="n"/>
      <c r="CM170" s="102" t="n"/>
      <c r="CN170" s="102" t="n"/>
      <c r="CO170" s="102" t="n"/>
      <c r="CP170" s="102" t="n"/>
      <c r="CQ170" s="102" t="n"/>
      <c r="CR170" s="102" t="n"/>
      <c r="CS170" s="102" t="n"/>
      <c r="CT170" s="102" t="n"/>
      <c r="CU170" s="102" t="n"/>
      <c r="CV170" s="102" t="n"/>
      <c r="CW170" s="102" t="n"/>
      <c r="CX170" s="102" t="n"/>
      <c r="CY170" s="102" t="n"/>
      <c r="CZ170" s="102" t="n"/>
      <c r="DA170" s="102" t="n"/>
      <c r="DB170" s="102" t="n"/>
      <c r="DC170" s="102" t="n"/>
      <c r="DD170" s="102" t="n"/>
      <c r="DE170" s="102" t="n"/>
      <c r="DF170" s="102" t="n"/>
      <c r="DG170" s="102" t="n"/>
      <c r="DH170" s="102" t="n"/>
      <c r="DI170" s="102" t="n"/>
      <c r="DJ170" s="102" t="n"/>
      <c r="DK170" s="102" t="n"/>
      <c r="DL170" s="102" t="n"/>
      <c r="DM170" s="102" t="n"/>
      <c r="DN170" s="102" t="n"/>
      <c r="DO170" s="102" t="n"/>
      <c r="DP170" s="102" t="n"/>
      <c r="DQ170" s="102" t="n"/>
      <c r="DR170" s="102" t="n"/>
      <c r="DT170" s="46">
        <f>+F170-E170</f>
        <v/>
      </c>
      <c r="DU170" s="46">
        <f>+G170-F170</f>
        <v/>
      </c>
      <c r="DV170" s="46">
        <f>+H170-G170</f>
        <v/>
      </c>
      <c r="DW170" s="46">
        <f>+I170-H170</f>
        <v/>
      </c>
    </row>
    <row r="171" hidden="1" outlineLevel="1" ht="15.75" customHeight="1">
      <c r="B171" s="5" t="inlineStr">
        <is>
          <t>OTHER</t>
        </is>
      </c>
      <c r="C171" s="68" t="n"/>
      <c r="E171" s="46">
        <f>+SUMIFS($O171:$DR171,$O$7:$DR$7,E$7)</f>
        <v/>
      </c>
      <c r="F171" s="46">
        <f>+SUMIFS($O171:$DR171,$O$7:$DR$7,F$7)</f>
        <v/>
      </c>
      <c r="G171" s="46">
        <f>+SUMIFS($O171:$DR171,$O$7:$DR$7,G$7)</f>
        <v/>
      </c>
      <c r="H171" s="46">
        <f>+SUMIFS($O171:$DR171,$O$7:$DR$7,H$7)</f>
        <v/>
      </c>
      <c r="I171" s="46">
        <f>+SUMIFS($O171:$DR171,$O$7:$DR$7,I$7)</f>
        <v/>
      </c>
      <c r="J171" s="46">
        <f>+SUMIFS($O171:$DR171,$O$7:$DR$7,J$7)</f>
        <v/>
      </c>
      <c r="K171" s="46">
        <f>+SUMIFS($O171:$DR171,$O$7:$DR$7,K$7)</f>
        <v/>
      </c>
      <c r="L171" s="46">
        <f>+SUMIFS($O171:$DR171,$O$7:$DR$7,L$7)</f>
        <v/>
      </c>
      <c r="M171" s="46">
        <f>+SUMIFS($O171:$DR171,$O$7:$DR$7,M$7)</f>
        <v/>
      </c>
      <c r="O171" s="47" t="n">
        <v>0</v>
      </c>
      <c r="P171" s="47" t="n">
        <v>0</v>
      </c>
      <c r="Q171" s="47" t="n">
        <v>0</v>
      </c>
      <c r="R171" s="47" t="n">
        <v>0</v>
      </c>
      <c r="S171" s="47" t="n">
        <v>0</v>
      </c>
      <c r="T171" s="47" t="n">
        <v>0</v>
      </c>
      <c r="U171" s="47" t="n">
        <v>0</v>
      </c>
      <c r="V171" s="47" t="n">
        <v>0</v>
      </c>
      <c r="W171" s="47" t="n">
        <v>0</v>
      </c>
      <c r="X171" s="47" t="n">
        <v>0</v>
      </c>
      <c r="Y171" s="47" t="n">
        <v>0</v>
      </c>
      <c r="Z171" s="47" t="n">
        <v>0</v>
      </c>
      <c r="AA171" s="47" t="n">
        <v>0</v>
      </c>
      <c r="AB171" s="47" t="n">
        <v>0</v>
      </c>
      <c r="AC171" s="47" t="n">
        <v>0</v>
      </c>
      <c r="AD171" s="47" t="n">
        <v>0</v>
      </c>
      <c r="AE171" s="47" t="n">
        <v>0</v>
      </c>
      <c r="AF171" s="47" t="n">
        <v>0</v>
      </c>
      <c r="AG171" s="47" t="n">
        <v>0</v>
      </c>
      <c r="AH171" s="47" t="n">
        <v>0</v>
      </c>
      <c r="AI171" s="47" t="n">
        <v>0</v>
      </c>
      <c r="AJ171" s="47" t="n">
        <v>0</v>
      </c>
      <c r="AK171" s="47" t="n">
        <v>0</v>
      </c>
      <c r="AL171" s="47" t="n">
        <v>0</v>
      </c>
      <c r="AM171" s="47" t="n">
        <v>0</v>
      </c>
      <c r="AN171" s="47" t="n">
        <v>0</v>
      </c>
      <c r="AO171" s="47" t="n">
        <v>0</v>
      </c>
      <c r="AP171" s="47" t="n">
        <v>0</v>
      </c>
      <c r="AQ171" s="47" t="n">
        <v>0</v>
      </c>
      <c r="AR171" s="47" t="n">
        <v>0</v>
      </c>
      <c r="AS171" s="47" t="n">
        <v>0</v>
      </c>
      <c r="AT171" s="47" t="n">
        <v>0</v>
      </c>
      <c r="AU171" s="47" t="n">
        <v>0</v>
      </c>
      <c r="AV171" s="47" t="n">
        <v>0</v>
      </c>
      <c r="AW171" s="47" t="n">
        <v>0</v>
      </c>
      <c r="AX171" s="47" t="n">
        <v>0</v>
      </c>
      <c r="AY171" s="47" t="n">
        <v>0</v>
      </c>
      <c r="AZ171" s="47" t="n">
        <v>0</v>
      </c>
      <c r="BA171" s="47" t="n">
        <v>0</v>
      </c>
      <c r="BB171" s="47" t="n">
        <v>0</v>
      </c>
      <c r="BC171" s="47" t="n">
        <v>0</v>
      </c>
      <c r="BD171" s="47" t="n">
        <v>0</v>
      </c>
      <c r="BE171" s="47" t="n">
        <v>0</v>
      </c>
      <c r="BF171" s="47" t="n">
        <v>0</v>
      </c>
      <c r="BG171" s="47" t="n">
        <v>0</v>
      </c>
      <c r="BH171" s="47" t="n">
        <v>0</v>
      </c>
      <c r="BI171" s="47" t="n">
        <v>0</v>
      </c>
      <c r="BJ171" s="47" t="n">
        <v>0</v>
      </c>
      <c r="BK171" s="47" t="n">
        <v>0</v>
      </c>
      <c r="BL171" s="47" t="n">
        <v>0</v>
      </c>
      <c r="BM171" s="47" t="n">
        <v>0</v>
      </c>
      <c r="BN171" s="47" t="n">
        <v>0</v>
      </c>
      <c r="BO171" s="47" t="n">
        <v>0</v>
      </c>
      <c r="BP171" s="47" t="n">
        <v>0</v>
      </c>
      <c r="BQ171" s="47" t="n">
        <v>33.33333333333334</v>
      </c>
      <c r="BR171" s="47" t="n">
        <v>69.00000000000001</v>
      </c>
      <c r="BS171" s="47" t="n">
        <v>91.44166666666665</v>
      </c>
      <c r="BT171" s="47" t="n">
        <v>91.68999999999998</v>
      </c>
      <c r="BU171" s="47" t="n">
        <v>76.69425</v>
      </c>
      <c r="BV171" s="47" t="n">
        <v>62.84075</v>
      </c>
      <c r="BW171" s="102" t="n"/>
      <c r="BX171" s="102" t="n"/>
      <c r="BY171" s="102" t="n"/>
      <c r="BZ171" s="102" t="n"/>
      <c r="CA171" s="102" t="n"/>
      <c r="CB171" s="102" t="n"/>
      <c r="CC171" s="102" t="n"/>
      <c r="CD171" s="102" t="n"/>
      <c r="CE171" s="102" t="n"/>
      <c r="CF171" s="102" t="n"/>
      <c r="CG171" s="102" t="n"/>
      <c r="CH171" s="102" t="n"/>
      <c r="CI171" s="102" t="n"/>
      <c r="CJ171" s="102" t="n"/>
      <c r="CK171" s="102" t="n"/>
      <c r="CL171" s="102" t="n"/>
      <c r="CM171" s="102" t="n"/>
      <c r="CN171" s="102" t="n"/>
      <c r="CO171" s="102" t="n"/>
      <c r="CP171" s="102" t="n"/>
      <c r="CQ171" s="102" t="n"/>
      <c r="CR171" s="102" t="n"/>
      <c r="CS171" s="102" t="n"/>
      <c r="CT171" s="102" t="n"/>
      <c r="CU171" s="102" t="n"/>
      <c r="CV171" s="102" t="n"/>
      <c r="CW171" s="102" t="n"/>
      <c r="CX171" s="102" t="n"/>
      <c r="CY171" s="102" t="n"/>
      <c r="CZ171" s="102" t="n"/>
      <c r="DA171" s="102" t="n"/>
      <c r="DB171" s="102" t="n"/>
      <c r="DC171" s="102" t="n"/>
      <c r="DD171" s="102" t="n"/>
      <c r="DE171" s="102" t="n"/>
      <c r="DF171" s="102" t="n"/>
      <c r="DG171" s="102" t="n"/>
      <c r="DH171" s="102" t="n"/>
      <c r="DI171" s="102" t="n"/>
      <c r="DJ171" s="102" t="n"/>
      <c r="DK171" s="102" t="n"/>
      <c r="DL171" s="102" t="n"/>
      <c r="DM171" s="102" t="n"/>
      <c r="DN171" s="102" t="n"/>
      <c r="DO171" s="102" t="n"/>
      <c r="DP171" s="102" t="n"/>
      <c r="DQ171" s="102" t="n"/>
      <c r="DR171" s="102" t="n"/>
      <c r="DT171" s="46">
        <f>+F171-E171</f>
        <v/>
      </c>
      <c r="DU171" s="46">
        <f>+G171-F171</f>
        <v/>
      </c>
      <c r="DV171" s="46">
        <f>+H171-G171</f>
        <v/>
      </c>
      <c r="DW171" s="46">
        <f>+I171-H171</f>
        <v/>
      </c>
    </row>
    <row r="172" hidden="1" outlineLevel="1" ht="15.75" customHeight="1">
      <c r="B172" s="5" t="inlineStr">
        <is>
          <t>AAAS</t>
        </is>
      </c>
      <c r="C172" s="68" t="inlineStr">
        <is>
          <t>Lower Middle Market</t>
        </is>
      </c>
      <c r="E172" s="46">
        <f>+SUMIFS($O172:$DR172,$O$7:$DR$7,E$7)</f>
        <v/>
      </c>
      <c r="F172" s="46">
        <f>+SUMIFS($O172:$DR172,$O$7:$DR$7,F$7)</f>
        <v/>
      </c>
      <c r="G172" s="46">
        <f>+SUMIFS($O172:$DR172,$O$7:$DR$7,G$7)</f>
        <v/>
      </c>
      <c r="H172" s="46">
        <f>+SUMIFS($O172:$DR172,$O$7:$DR$7,H$7)</f>
        <v/>
      </c>
      <c r="I172" s="46">
        <f>+SUMIFS($O172:$DR172,$O$7:$DR$7,I$7)</f>
        <v/>
      </c>
      <c r="J172" s="46">
        <f>+SUMIFS($O172:$DR172,$O$7:$DR$7,J$7)</f>
        <v/>
      </c>
      <c r="K172" s="46">
        <f>+SUMIFS($O172:$DR172,$O$7:$DR$7,K$7)</f>
        <v/>
      </c>
      <c r="L172" s="46">
        <f>+SUMIFS($O172:$DR172,$O$7:$DR$7,L$7)</f>
        <v/>
      </c>
      <c r="M172" s="46">
        <f>+SUMIFS($O172:$DR172,$O$7:$DR$7,M$7)</f>
        <v/>
      </c>
      <c r="O172" s="47" t="n">
        <v>0</v>
      </c>
      <c r="P172" s="47" t="n">
        <v>0</v>
      </c>
      <c r="Q172" s="47" t="n">
        <v>0</v>
      </c>
      <c r="R172" s="47" t="n">
        <v>0</v>
      </c>
      <c r="S172" s="47" t="n">
        <v>0</v>
      </c>
      <c r="T172" s="47" t="n">
        <v>0</v>
      </c>
      <c r="U172" s="47" t="n">
        <v>0</v>
      </c>
      <c r="V172" s="47" t="n">
        <v>0</v>
      </c>
      <c r="W172" s="47" t="n">
        <v>0</v>
      </c>
      <c r="X172" s="47" t="n">
        <v>0</v>
      </c>
      <c r="Y172" s="47" t="n">
        <v>0</v>
      </c>
      <c r="Z172" s="47" t="n">
        <v>0</v>
      </c>
      <c r="AA172" s="47" t="n">
        <v>0</v>
      </c>
      <c r="AB172" s="47" t="n">
        <v>0</v>
      </c>
      <c r="AC172" s="47" t="n">
        <v>0</v>
      </c>
      <c r="AD172" s="47" t="n">
        <v>0</v>
      </c>
      <c r="AE172" s="47" t="n">
        <v>0</v>
      </c>
      <c r="AF172" s="47" t="n">
        <v>0</v>
      </c>
      <c r="AG172" s="47" t="n">
        <v>0</v>
      </c>
      <c r="AH172" s="47" t="n">
        <v>0</v>
      </c>
      <c r="AI172" s="47" t="n">
        <v>0</v>
      </c>
      <c r="AJ172" s="47" t="n">
        <v>0</v>
      </c>
      <c r="AK172" s="47" t="n">
        <v>0</v>
      </c>
      <c r="AL172" s="47" t="n">
        <v>0</v>
      </c>
      <c r="AM172" s="47" t="n">
        <v>0</v>
      </c>
      <c r="AN172" s="47" t="n">
        <v>0</v>
      </c>
      <c r="AO172" s="47" t="n">
        <v>0</v>
      </c>
      <c r="AP172" s="47" t="n">
        <v>0</v>
      </c>
      <c r="AQ172" s="47" t="n">
        <v>0</v>
      </c>
      <c r="AR172" s="47" t="n">
        <v>0</v>
      </c>
      <c r="AS172" s="47" t="n">
        <v>0</v>
      </c>
      <c r="AT172" s="47" t="n">
        <v>0</v>
      </c>
      <c r="AU172" s="47" t="n">
        <v>0</v>
      </c>
      <c r="AV172" s="47" t="n">
        <v>0</v>
      </c>
      <c r="AW172" s="47" t="n">
        <v>0</v>
      </c>
      <c r="AX172" s="47" t="n">
        <v>0</v>
      </c>
      <c r="AY172" s="47" t="n">
        <v>0</v>
      </c>
      <c r="AZ172" s="47" t="n">
        <v>0</v>
      </c>
      <c r="BA172" s="47" t="n">
        <v>0</v>
      </c>
      <c r="BB172" s="47" t="n">
        <v>0</v>
      </c>
      <c r="BC172" s="47" t="n">
        <v>0</v>
      </c>
      <c r="BD172" s="47" t="n">
        <v>0</v>
      </c>
      <c r="BE172" s="47" t="n">
        <v>0</v>
      </c>
      <c r="BF172" s="47" t="n">
        <v>0</v>
      </c>
      <c r="BG172" s="47" t="n">
        <v>0</v>
      </c>
      <c r="BH172" s="47" t="n">
        <v>0</v>
      </c>
      <c r="BI172" s="47" t="n">
        <v>0</v>
      </c>
      <c r="BJ172" s="47" t="n">
        <v>0</v>
      </c>
      <c r="BK172" s="47" t="n">
        <v>0</v>
      </c>
      <c r="BL172" s="47" t="n">
        <v>0</v>
      </c>
      <c r="BM172" s="47" t="n">
        <v>0</v>
      </c>
      <c r="BN172" s="47" t="n">
        <v>0</v>
      </c>
      <c r="BO172" s="47" t="n">
        <v>0</v>
      </c>
      <c r="BP172" s="47" t="n">
        <v>0</v>
      </c>
      <c r="BQ172" s="47" t="n">
        <v>0</v>
      </c>
      <c r="BR172" s="47" t="n">
        <v>0</v>
      </c>
      <c r="BS172" s="47" t="n">
        <v>0</v>
      </c>
      <c r="BT172" s="47" t="n">
        <v>0</v>
      </c>
      <c r="BU172" s="47" t="n">
        <v>0</v>
      </c>
      <c r="BV172" s="47" t="n">
        <v>0</v>
      </c>
      <c r="BW172" s="102" t="n"/>
      <c r="BX172" s="102" t="n"/>
      <c r="BY172" s="102" t="n"/>
      <c r="BZ172" s="102" t="n"/>
      <c r="CA172" s="102" t="n"/>
      <c r="CB172" s="102" t="n"/>
      <c r="CC172" s="102" t="n"/>
      <c r="CD172" s="102" t="n"/>
      <c r="CE172" s="102" t="n"/>
      <c r="CF172" s="102" t="n"/>
      <c r="CG172" s="102" t="n"/>
      <c r="CH172" s="102" t="n"/>
      <c r="CI172" s="102" t="n"/>
      <c r="CJ172" s="102" t="n"/>
      <c r="CK172" s="102" t="n"/>
      <c r="CL172" s="102" t="n"/>
      <c r="CM172" s="102" t="n"/>
      <c r="CN172" s="102" t="n"/>
      <c r="CO172" s="102" t="n"/>
      <c r="CP172" s="102" t="n"/>
      <c r="CQ172" s="102" t="n"/>
      <c r="CR172" s="102" t="n"/>
      <c r="CS172" s="102" t="n"/>
      <c r="CT172" s="102" t="n"/>
      <c r="CU172" s="102" t="n"/>
      <c r="CV172" s="102" t="n"/>
      <c r="CW172" s="102" t="n"/>
      <c r="CX172" s="102" t="n"/>
      <c r="CY172" s="102" t="n"/>
      <c r="CZ172" s="102" t="n"/>
      <c r="DA172" s="102" t="n"/>
      <c r="DB172" s="102" t="n"/>
      <c r="DC172" s="102" t="n"/>
      <c r="DD172" s="102" t="n"/>
      <c r="DE172" s="102" t="n"/>
      <c r="DF172" s="102" t="n"/>
      <c r="DG172" s="102" t="n"/>
      <c r="DH172" s="102" t="n"/>
      <c r="DI172" s="102" t="n"/>
      <c r="DJ172" s="102" t="n"/>
      <c r="DK172" s="102" t="n"/>
      <c r="DL172" s="102" t="n"/>
      <c r="DM172" s="102" t="n"/>
      <c r="DN172" s="102" t="n"/>
      <c r="DO172" s="102" t="n"/>
      <c r="DP172" s="102" t="n"/>
      <c r="DQ172" s="102" t="n"/>
      <c r="DR172" s="102" t="n"/>
      <c r="DT172" s="46">
        <f>+F172-E172</f>
        <v/>
      </c>
      <c r="DU172" s="46">
        <f>+G172-F172</f>
        <v/>
      </c>
      <c r="DV172" s="46">
        <f>+H172-G172</f>
        <v/>
      </c>
      <c r="DW172" s="46">
        <f>+I172-H172</f>
        <v/>
      </c>
    </row>
    <row r="173" hidden="1" outlineLevel="1" ht="15.75" customHeight="1">
      <c r="B173" s="5" t="inlineStr">
        <is>
          <t>EL</t>
        </is>
      </c>
      <c r="C173" s="68" t="inlineStr">
        <is>
          <t>Lower Middle Market</t>
        </is>
      </c>
      <c r="E173" s="46">
        <f>+SUMIFS($O173:$DR173,$O$7:$DR$7,E$7)</f>
        <v/>
      </c>
      <c r="F173" s="46">
        <f>+SUMIFS($O173:$DR173,$O$7:$DR$7,F$7)</f>
        <v/>
      </c>
      <c r="G173" s="46">
        <f>+SUMIFS($O173:$DR173,$O$7:$DR$7,G$7)</f>
        <v/>
      </c>
      <c r="H173" s="46">
        <f>+SUMIFS($O173:$DR173,$O$7:$DR$7,H$7)</f>
        <v/>
      </c>
      <c r="I173" s="46">
        <f>+SUMIFS($O173:$DR173,$O$7:$DR$7,I$7)</f>
        <v/>
      </c>
      <c r="J173" s="46">
        <f>+SUMIFS($O173:$DR173,$O$7:$DR$7,J$7)</f>
        <v/>
      </c>
      <c r="K173" s="46">
        <f>+SUMIFS($O173:$DR173,$O$7:$DR$7,K$7)</f>
        <v/>
      </c>
      <c r="L173" s="46">
        <f>+SUMIFS($O173:$DR173,$O$7:$DR$7,L$7)</f>
        <v/>
      </c>
      <c r="M173" s="46">
        <f>+SUMIFS($O173:$DR173,$O$7:$DR$7,M$7)</f>
        <v/>
      </c>
      <c r="O173" s="47" t="n">
        <v>0</v>
      </c>
      <c r="P173" s="47" t="n">
        <v>0</v>
      </c>
      <c r="Q173" s="47" t="n">
        <v>0</v>
      </c>
      <c r="R173" s="47" t="n">
        <v>0</v>
      </c>
      <c r="S173" s="47" t="n">
        <v>0</v>
      </c>
      <c r="T173" s="47" t="n">
        <v>0</v>
      </c>
      <c r="U173" s="47" t="n">
        <v>0</v>
      </c>
      <c r="V173" s="47" t="n">
        <v>0</v>
      </c>
      <c r="W173" s="47" t="n">
        <v>0</v>
      </c>
      <c r="X173" s="47" t="n">
        <v>0</v>
      </c>
      <c r="Y173" s="47" t="n">
        <v>0</v>
      </c>
      <c r="Z173" s="47" t="n">
        <v>0</v>
      </c>
      <c r="AA173" s="47" t="n">
        <v>0</v>
      </c>
      <c r="AB173" s="47" t="n">
        <v>0</v>
      </c>
      <c r="AC173" s="47" t="n">
        <v>0</v>
      </c>
      <c r="AD173" s="47" t="n">
        <v>0</v>
      </c>
      <c r="AE173" s="47" t="n">
        <v>0</v>
      </c>
      <c r="AF173" s="47" t="n">
        <v>0</v>
      </c>
      <c r="AG173" s="47" t="n">
        <v>0</v>
      </c>
      <c r="AH173" s="47" t="n">
        <v>0</v>
      </c>
      <c r="AI173" s="47" t="n">
        <v>0</v>
      </c>
      <c r="AJ173" s="47" t="n">
        <v>0</v>
      </c>
      <c r="AK173" s="47" t="n">
        <v>0</v>
      </c>
      <c r="AL173" s="47" t="n">
        <v>0</v>
      </c>
      <c r="AM173" s="47" t="n">
        <v>0</v>
      </c>
      <c r="AN173" s="47" t="n">
        <v>0</v>
      </c>
      <c r="AO173" s="47" t="n">
        <v>0</v>
      </c>
      <c r="AP173" s="47" t="n">
        <v>0</v>
      </c>
      <c r="AQ173" s="47" t="n">
        <v>0</v>
      </c>
      <c r="AR173" s="47" t="n">
        <v>0</v>
      </c>
      <c r="AS173" s="47" t="n">
        <v>0</v>
      </c>
      <c r="AT173" s="47" t="n">
        <v>0</v>
      </c>
      <c r="AU173" s="47" t="n">
        <v>0</v>
      </c>
      <c r="AV173" s="47" t="n">
        <v>0</v>
      </c>
      <c r="AW173" s="47" t="n">
        <v>0</v>
      </c>
      <c r="AX173" s="47" t="n">
        <v>0</v>
      </c>
      <c r="AY173" s="47" t="n">
        <v>0</v>
      </c>
      <c r="AZ173" s="47" t="n">
        <v>0</v>
      </c>
      <c r="BA173" s="47" t="n">
        <v>0</v>
      </c>
      <c r="BB173" s="47" t="n">
        <v>0</v>
      </c>
      <c r="BC173" s="47" t="n">
        <v>0</v>
      </c>
      <c r="BD173" s="47" t="n">
        <v>0</v>
      </c>
      <c r="BE173" s="47" t="n">
        <v>0</v>
      </c>
      <c r="BF173" s="47" t="n">
        <v>0</v>
      </c>
      <c r="BG173" s="47" t="n">
        <v>0</v>
      </c>
      <c r="BH173" s="47" t="n">
        <v>0</v>
      </c>
      <c r="BI173" s="47" t="n">
        <v>0</v>
      </c>
      <c r="BJ173" s="47" t="n">
        <v>0</v>
      </c>
      <c r="BK173" s="47" t="n">
        <v>0</v>
      </c>
      <c r="BL173" s="47" t="n">
        <v>0</v>
      </c>
      <c r="BM173" s="47" t="n">
        <v>0</v>
      </c>
      <c r="BN173" s="47" t="n">
        <v>0</v>
      </c>
      <c r="BO173" s="47" t="n">
        <v>0</v>
      </c>
      <c r="BP173" s="47" t="n">
        <v>0</v>
      </c>
      <c r="BQ173" s="47" t="n">
        <v>0</v>
      </c>
      <c r="BR173" s="47" t="n">
        <v>0</v>
      </c>
      <c r="BS173" s="47" t="n">
        <v>0</v>
      </c>
      <c r="BT173" s="47" t="n">
        <v>0</v>
      </c>
      <c r="BU173" s="47" t="n">
        <v>0</v>
      </c>
      <c r="BV173" s="47" t="n">
        <v>0</v>
      </c>
      <c r="BW173" s="102" t="n"/>
      <c r="BX173" s="102" t="n"/>
      <c r="BY173" s="102" t="n"/>
      <c r="BZ173" s="102" t="n"/>
      <c r="CA173" s="102" t="n"/>
      <c r="CB173" s="102" t="n"/>
      <c r="CC173" s="102" t="n"/>
      <c r="CD173" s="102" t="n"/>
      <c r="CE173" s="102" t="n"/>
      <c r="CF173" s="102" t="n"/>
      <c r="CG173" s="102" t="n"/>
      <c r="CH173" s="102" t="n"/>
      <c r="CI173" s="102" t="n"/>
      <c r="CJ173" s="102" t="n"/>
      <c r="CK173" s="102" t="n"/>
      <c r="CL173" s="102" t="n"/>
      <c r="CM173" s="102" t="n"/>
      <c r="CN173" s="102" t="n"/>
      <c r="CO173" s="102" t="n"/>
      <c r="CP173" s="102" t="n"/>
      <c r="CQ173" s="102" t="n"/>
      <c r="CR173" s="102" t="n"/>
      <c r="CS173" s="102" t="n"/>
      <c r="CT173" s="102" t="n"/>
      <c r="CU173" s="102" t="n"/>
      <c r="CV173" s="102" t="n"/>
      <c r="CW173" s="102" t="n"/>
      <c r="CX173" s="102" t="n"/>
      <c r="CY173" s="102" t="n"/>
      <c r="CZ173" s="102" t="n"/>
      <c r="DA173" s="102" t="n"/>
      <c r="DB173" s="102" t="n"/>
      <c r="DC173" s="102" t="n"/>
      <c r="DD173" s="102" t="n"/>
      <c r="DE173" s="102" t="n"/>
      <c r="DF173" s="102" t="n"/>
      <c r="DG173" s="102" t="n"/>
      <c r="DH173" s="102" t="n"/>
      <c r="DI173" s="102" t="n"/>
      <c r="DJ173" s="102" t="n"/>
      <c r="DK173" s="102" t="n"/>
      <c r="DL173" s="102" t="n"/>
      <c r="DM173" s="102" t="n"/>
      <c r="DN173" s="102" t="n"/>
      <c r="DO173" s="102" t="n"/>
      <c r="DP173" s="102" t="n"/>
      <c r="DQ173" s="102" t="n"/>
      <c r="DR173" s="102" t="n"/>
      <c r="DT173" s="46">
        <f>+F173-E173</f>
        <v/>
      </c>
      <c r="DU173" s="46">
        <f>+G173-F173</f>
        <v/>
      </c>
      <c r="DV173" s="46">
        <f>+H173-G173</f>
        <v/>
      </c>
      <c r="DW173" s="46">
        <f>+I173-H173</f>
        <v/>
      </c>
    </row>
    <row r="174" hidden="1" outlineLevel="1" ht="4.5" customHeight="1"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69" t="n"/>
      <c r="BX174" s="69" t="n"/>
      <c r="BY174" s="69" t="n"/>
      <c r="BZ174" s="69" t="n"/>
      <c r="CA174" s="69" t="n"/>
      <c r="CB174" s="69" t="n"/>
      <c r="CC174" s="69" t="n"/>
      <c r="CD174" s="69" t="n"/>
      <c r="CE174" s="69" t="n"/>
      <c r="CF174" s="69" t="n"/>
      <c r="CG174" s="69" t="n"/>
      <c r="CH174" s="69" t="n"/>
      <c r="CI174" s="69" t="n"/>
      <c r="CJ174" s="69" t="n"/>
      <c r="CK174" s="69" t="n"/>
      <c r="CL174" s="69" t="n"/>
      <c r="CM174" s="69" t="n"/>
      <c r="CN174" s="69" t="n"/>
      <c r="CO174" s="69" t="n"/>
      <c r="CP174" s="69" t="n"/>
      <c r="CQ174" s="69" t="n"/>
      <c r="CR174" s="69" t="n"/>
      <c r="CS174" s="69" t="n"/>
      <c r="CT174" s="69" t="n"/>
      <c r="CU174" s="69" t="n"/>
      <c r="CV174" s="69" t="n"/>
      <c r="CW174" s="69" t="n"/>
      <c r="CX174" s="69" t="n"/>
      <c r="CY174" s="69" t="n"/>
      <c r="CZ174" s="69" t="n"/>
      <c r="DA174" s="69" t="n"/>
      <c r="DB174" s="69" t="n"/>
      <c r="DC174" s="69" t="n"/>
      <c r="DD174" s="69" t="n"/>
      <c r="DE174" s="69" t="n"/>
      <c r="DF174" s="69" t="n"/>
      <c r="DG174" s="69" t="n"/>
      <c r="DH174" s="69" t="n"/>
      <c r="DI174" s="69" t="n"/>
      <c r="DJ174" s="69" t="n"/>
      <c r="DK174" s="69" t="n"/>
      <c r="DL174" s="69" t="n"/>
      <c r="DM174" s="69" t="n"/>
      <c r="DN174" s="69" t="n"/>
      <c r="DO174" s="69" t="n"/>
      <c r="DP174" s="69" t="n"/>
      <c r="DQ174" s="69" t="n"/>
      <c r="DR174" s="69" t="n"/>
      <c r="DT174" s="69" t="n"/>
      <c r="DU174" s="69" t="n"/>
      <c r="DV174" s="69" t="n"/>
      <c r="DW174" s="69" t="n"/>
    </row>
    <row r="175" hidden="1" outlineLevel="1" ht="15.75" customHeight="1">
      <c r="A175" s="4" t="n"/>
      <c r="B175" s="70" t="inlineStr">
        <is>
          <t>Forecast Revenue</t>
        </is>
      </c>
      <c r="C175" s="70" t="n"/>
      <c r="D175" s="4" t="n"/>
      <c r="E175" s="51">
        <f>+SUMIFS($O175:$DR175,$O$7:$DR$7,E$7)</f>
        <v/>
      </c>
      <c r="F175" s="51">
        <f>+SUMIFS($O175:$DR175,$O$7:$DR$7,F$7)</f>
        <v/>
      </c>
      <c r="G175" s="51">
        <f>+SUMIFS($O175:$DR175,$O$7:$DR$7,G$7)</f>
        <v/>
      </c>
      <c r="H175" s="51">
        <f>+SUMIFS($O175:$DR175,$O$7:$DR$7,H$7)</f>
        <v/>
      </c>
      <c r="I175" s="51">
        <f>+SUMIFS($O175:$DR175,$O$7:$DR$7,I$7)</f>
        <v/>
      </c>
      <c r="J175" s="51">
        <f>+SUMIFS($O175:$DR175,$O$7:$DR$7,J$7)</f>
        <v/>
      </c>
      <c r="K175" s="51">
        <f>+SUMIFS($O175:$DR175,$O$7:$DR$7,K$7)</f>
        <v/>
      </c>
      <c r="L175" s="51">
        <f>+SUMIFS($O175:$DR175,$O$7:$DR$7,L$7)</f>
        <v/>
      </c>
      <c r="M175" s="51">
        <f>+SUMIFS($O175:$DR175,$O$7:$DR$7,M$7)</f>
        <v/>
      </c>
      <c r="N175" s="4" t="n"/>
      <c r="O175" s="71">
        <f>SUM(O128:O174)</f>
        <v/>
      </c>
      <c r="P175" s="71">
        <f>SUM(P128:P174)</f>
        <v/>
      </c>
      <c r="Q175" s="71">
        <f>SUM(Q128:Q174)</f>
        <v/>
      </c>
      <c r="R175" s="71">
        <f>SUM(R128:R174)</f>
        <v/>
      </c>
      <c r="S175" s="71">
        <f>SUM(S128:S174)</f>
        <v/>
      </c>
      <c r="T175" s="71">
        <f>SUM(T128:T174)</f>
        <v/>
      </c>
      <c r="U175" s="71">
        <f>SUM(U128:U174)</f>
        <v/>
      </c>
      <c r="V175" s="71">
        <f>SUM(V128:V174)</f>
        <v/>
      </c>
      <c r="W175" s="71">
        <f>SUM(W128:W174)</f>
        <v/>
      </c>
      <c r="X175" s="71">
        <f>SUM(X128:X174)</f>
        <v/>
      </c>
      <c r="Y175" s="71">
        <f>SUM(Y128:Y174)</f>
        <v/>
      </c>
      <c r="Z175" s="71">
        <f>SUM(Z128:Z174)</f>
        <v/>
      </c>
      <c r="AA175" s="71">
        <f>SUM(AA128:AA174)</f>
        <v/>
      </c>
      <c r="AB175" s="71">
        <f>SUM(AB128:AB174)</f>
        <v/>
      </c>
      <c r="AC175" s="71">
        <f>SUM(AC128:AC174)</f>
        <v/>
      </c>
      <c r="AD175" s="71">
        <f>SUM(AD128:AD174)</f>
        <v/>
      </c>
      <c r="AE175" s="71">
        <f>SUM(AE128:AE174)</f>
        <v/>
      </c>
      <c r="AF175" s="71">
        <f>SUM(AF128:AF174)</f>
        <v/>
      </c>
      <c r="AG175" s="71">
        <f>SUM(AG128:AG174)</f>
        <v/>
      </c>
      <c r="AH175" s="71">
        <f>SUM(AH128:AH174)</f>
        <v/>
      </c>
      <c r="AI175" s="71">
        <f>SUM(AI128:AI174)</f>
        <v/>
      </c>
      <c r="AJ175" s="71">
        <f>SUM(AJ128:AJ174)</f>
        <v/>
      </c>
      <c r="AK175" s="71">
        <f>SUM(AK128:AK174)</f>
        <v/>
      </c>
      <c r="AL175" s="71">
        <f>SUM(AL128:AL174)</f>
        <v/>
      </c>
      <c r="AM175" s="71">
        <f>SUM(AM128:AM174)</f>
        <v/>
      </c>
      <c r="AN175" s="71">
        <f>SUM(AN128:AN174)</f>
        <v/>
      </c>
      <c r="AO175" s="71">
        <f>SUM(AO128:AO174)</f>
        <v/>
      </c>
      <c r="AP175" s="71">
        <f>SUM(AP128:AP174)</f>
        <v/>
      </c>
      <c r="AQ175" s="71">
        <f>SUM(AQ128:AQ174)</f>
        <v/>
      </c>
      <c r="AR175" s="71">
        <f>SUM(AR128:AR174)</f>
        <v/>
      </c>
      <c r="AS175" s="71">
        <f>SUM(AS128:AS174)</f>
        <v/>
      </c>
      <c r="AT175" s="71">
        <f>SUM(AT128:AT174)</f>
        <v/>
      </c>
      <c r="AU175" s="71">
        <f>SUM(AU128:AU174)</f>
        <v/>
      </c>
      <c r="AV175" s="71">
        <f>SUM(AV128:AV174)</f>
        <v/>
      </c>
      <c r="AW175" s="71">
        <f>SUM(AW128:AW174)</f>
        <v/>
      </c>
      <c r="AX175" s="71">
        <f>SUM(AX128:AX174)</f>
        <v/>
      </c>
      <c r="AY175" s="71">
        <f>SUM(AY128:AY174)</f>
        <v/>
      </c>
      <c r="AZ175" s="71">
        <f>SUM(AZ128:AZ174)</f>
        <v/>
      </c>
      <c r="BA175" s="71">
        <f>SUM(BA128:BA174)</f>
        <v/>
      </c>
      <c r="BB175" s="71">
        <f>SUM(BB128:BB174)</f>
        <v/>
      </c>
      <c r="BC175" s="71">
        <f>SUM(BC128:BC174)</f>
        <v/>
      </c>
      <c r="BD175" s="71">
        <f>SUM(BD128:BD174)</f>
        <v/>
      </c>
      <c r="BE175" s="71">
        <f>SUM(BE128:BE174)</f>
        <v/>
      </c>
      <c r="BF175" s="71">
        <f>SUM(BF128:BF174)</f>
        <v/>
      </c>
      <c r="BG175" s="71">
        <f>SUM(BG128:BG174)</f>
        <v/>
      </c>
      <c r="BH175" s="71">
        <f>SUM(BH128:BH174)</f>
        <v/>
      </c>
      <c r="BI175" s="71">
        <f>SUM(BI128:BI174)</f>
        <v/>
      </c>
      <c r="BJ175" s="71">
        <f>SUM(BJ128:BJ174)</f>
        <v/>
      </c>
      <c r="BK175" s="71">
        <f>SUM(BK128:BK174)</f>
        <v/>
      </c>
      <c r="BL175" s="71">
        <f>SUM(BL128:BL174)</f>
        <v/>
      </c>
      <c r="BM175" s="71">
        <f>SUM(BM128:BM174)</f>
        <v/>
      </c>
      <c r="BN175" s="71">
        <f>SUM(BN128:BN174)</f>
        <v/>
      </c>
      <c r="BO175" s="71">
        <f>SUM(BO128:BO174)</f>
        <v/>
      </c>
      <c r="BP175" s="71">
        <f>SUM(BP128:BP174)</f>
        <v/>
      </c>
      <c r="BQ175" s="71">
        <f>SUM(BQ128:BQ174)</f>
        <v/>
      </c>
      <c r="BR175" s="71">
        <f>SUM(BR128:BR174)</f>
        <v/>
      </c>
      <c r="BS175" s="71">
        <f>SUM(BS128:BS174)</f>
        <v/>
      </c>
      <c r="BT175" s="71">
        <f>SUM(BT128:BT174)</f>
        <v/>
      </c>
      <c r="BU175" s="71">
        <f>SUM(BU128:BU174)</f>
        <v/>
      </c>
      <c r="BV175" s="71">
        <f>SUM(BV128:BV174)</f>
        <v/>
      </c>
      <c r="BW175" s="71">
        <f>SUM(BW128:BW174)</f>
        <v/>
      </c>
      <c r="BX175" s="71">
        <f>SUM(BX128:BX174)</f>
        <v/>
      </c>
      <c r="BY175" s="71">
        <f>SUM(BY128:BY174)</f>
        <v/>
      </c>
      <c r="BZ175" s="71">
        <f>SUM(BZ128:BZ174)</f>
        <v/>
      </c>
      <c r="CA175" s="71">
        <f>SUM(CA128:CA174)</f>
        <v/>
      </c>
      <c r="CB175" s="71">
        <f>SUM(CB128:CB174)</f>
        <v/>
      </c>
      <c r="CC175" s="71">
        <f>SUM(CC128:CC174)</f>
        <v/>
      </c>
      <c r="CD175" s="71">
        <f>SUM(CD128:CD174)</f>
        <v/>
      </c>
      <c r="CE175" s="71">
        <f>SUM(CE128:CE174)</f>
        <v/>
      </c>
      <c r="CF175" s="71">
        <f>SUM(CF128:CF174)</f>
        <v/>
      </c>
      <c r="CG175" s="71">
        <f>SUM(CG128:CG174)</f>
        <v/>
      </c>
      <c r="CH175" s="71">
        <f>SUM(CH128:CH174)</f>
        <v/>
      </c>
      <c r="CI175" s="71">
        <f>SUM(CI128:CI174)</f>
        <v/>
      </c>
      <c r="CJ175" s="71">
        <f>SUM(CJ128:CJ174)</f>
        <v/>
      </c>
      <c r="CK175" s="71">
        <f>SUM(CK128:CK174)</f>
        <v/>
      </c>
      <c r="CL175" s="71">
        <f>SUM(CL128:CL174)</f>
        <v/>
      </c>
      <c r="CM175" s="71">
        <f>SUM(CM128:CM174)</f>
        <v/>
      </c>
      <c r="CN175" s="71">
        <f>SUM(CN128:CN174)</f>
        <v/>
      </c>
      <c r="CO175" s="71">
        <f>SUM(CO128:CO174)</f>
        <v/>
      </c>
      <c r="CP175" s="71">
        <f>SUM(CP128:CP174)</f>
        <v/>
      </c>
      <c r="CQ175" s="71">
        <f>SUM(CQ128:CQ174)</f>
        <v/>
      </c>
      <c r="CR175" s="71">
        <f>SUM(CR128:CR174)</f>
        <v/>
      </c>
      <c r="CS175" s="71">
        <f>SUM(CS128:CS174)</f>
        <v/>
      </c>
      <c r="CT175" s="71">
        <f>SUM(CT128:CT174)</f>
        <v/>
      </c>
      <c r="CU175" s="71">
        <f>SUM(CU128:CU174)</f>
        <v/>
      </c>
      <c r="CV175" s="71">
        <f>SUM(CV128:CV174)</f>
        <v/>
      </c>
      <c r="CW175" s="71">
        <f>SUM(CW128:CW174)</f>
        <v/>
      </c>
      <c r="CX175" s="71">
        <f>SUM(CX128:CX174)</f>
        <v/>
      </c>
      <c r="CY175" s="71">
        <f>SUM(CY128:CY174)</f>
        <v/>
      </c>
      <c r="CZ175" s="71">
        <f>SUM(CZ128:CZ174)</f>
        <v/>
      </c>
      <c r="DA175" s="71">
        <f>SUM(DA128:DA174)</f>
        <v/>
      </c>
      <c r="DB175" s="71">
        <f>SUM(DB128:DB174)</f>
        <v/>
      </c>
      <c r="DC175" s="71">
        <f>SUM(DC128:DC174)</f>
        <v/>
      </c>
      <c r="DD175" s="71">
        <f>SUM(DD128:DD174)</f>
        <v/>
      </c>
      <c r="DE175" s="71">
        <f>SUM(DE128:DE174)</f>
        <v/>
      </c>
      <c r="DF175" s="71">
        <f>SUM(DF128:DF174)</f>
        <v/>
      </c>
      <c r="DG175" s="71">
        <f>SUM(DG128:DG174)</f>
        <v/>
      </c>
      <c r="DH175" s="71">
        <f>SUM(DH128:DH174)</f>
        <v/>
      </c>
      <c r="DI175" s="71">
        <f>SUM(DI128:DI174)</f>
        <v/>
      </c>
      <c r="DJ175" s="71">
        <f>SUM(DJ128:DJ174)</f>
        <v/>
      </c>
      <c r="DK175" s="71">
        <f>SUM(DK128:DK174)</f>
        <v/>
      </c>
      <c r="DL175" s="71">
        <f>SUM(DL128:DL174)</f>
        <v/>
      </c>
      <c r="DM175" s="71">
        <f>SUM(DM128:DM174)</f>
        <v/>
      </c>
      <c r="DN175" s="71">
        <f>SUM(DN128:DN174)</f>
        <v/>
      </c>
      <c r="DO175" s="71">
        <f>SUM(DO128:DO174)</f>
        <v/>
      </c>
      <c r="DP175" s="71">
        <f>SUM(DP128:DP174)</f>
        <v/>
      </c>
      <c r="DQ175" s="71">
        <f>SUM(DQ128:DQ174)</f>
        <v/>
      </c>
      <c r="DR175" s="71">
        <f>SUM(DR128:DR174)</f>
        <v/>
      </c>
      <c r="DS175" s="4" t="n"/>
      <c r="DT175" s="63" t="n"/>
      <c r="DU175" s="63" t="n"/>
      <c r="DV175" s="63" t="n"/>
      <c r="DW175" s="63" t="n"/>
      <c r="DX175" s="4" t="n"/>
    </row>
    <row r="176" hidden="1" outlineLevel="1" ht="15.75" customHeight="1">
      <c r="A176" s="103" t="n"/>
      <c r="B176" s="72" t="inlineStr">
        <is>
          <t>Check</t>
        </is>
      </c>
      <c r="C176" s="103" t="n"/>
      <c r="D176" s="103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103" t="n"/>
      <c r="O176" s="104" t="n"/>
      <c r="P176" s="104" t="n"/>
      <c r="Q176" s="104" t="n"/>
      <c r="R176" s="104" t="n"/>
      <c r="S176" s="104" t="n"/>
      <c r="T176" s="104" t="n"/>
      <c r="U176" s="104" t="n"/>
      <c r="V176" s="104" t="n"/>
      <c r="W176" s="104" t="n"/>
      <c r="X176" s="104" t="n"/>
      <c r="Y176" s="104" t="n"/>
      <c r="Z176" s="104" t="n"/>
      <c r="AA176" s="104" t="n"/>
      <c r="AB176" s="104" t="n"/>
      <c r="AC176" s="104" t="n"/>
      <c r="AD176" s="104" t="n"/>
      <c r="AE176" s="104" t="n"/>
      <c r="AF176" s="104" t="n"/>
      <c r="AG176" s="104" t="n"/>
      <c r="AH176" s="104" t="n"/>
      <c r="AI176" s="104" t="n"/>
      <c r="AJ176" s="104" t="n"/>
      <c r="AK176" s="104" t="n"/>
      <c r="AL176" s="104" t="n"/>
      <c r="AM176" s="104" t="n"/>
      <c r="AN176" s="104" t="n"/>
      <c r="AO176" s="104" t="n"/>
      <c r="AP176" s="104" t="n"/>
      <c r="AQ176" s="104" t="n"/>
      <c r="AR176" s="104" t="n"/>
      <c r="AS176" s="104" t="n"/>
      <c r="AT176" s="104" t="n"/>
      <c r="AU176" s="104" t="n"/>
      <c r="AV176" s="104" t="n"/>
      <c r="AW176" s="104" t="n"/>
      <c r="AX176" s="104" t="n"/>
      <c r="AY176" s="104" t="n"/>
      <c r="AZ176" s="104" t="n"/>
      <c r="BA176" s="104" t="n"/>
      <c r="BB176" s="104" t="n"/>
      <c r="BC176" s="104" t="n"/>
      <c r="BD176" s="104" t="n"/>
      <c r="BE176" s="104" t="n"/>
      <c r="BF176" s="104" t="n"/>
      <c r="BG176" s="104" t="n"/>
      <c r="BH176" s="104" t="n"/>
      <c r="BI176" s="104" t="n"/>
      <c r="BJ176" s="104" t="n"/>
      <c r="BK176" s="104" t="n">
        <v>0</v>
      </c>
      <c r="BL176" s="104" t="n">
        <v>0</v>
      </c>
      <c r="BM176" s="104" t="n">
        <v>0</v>
      </c>
      <c r="BN176" s="104" t="n">
        <v>0</v>
      </c>
      <c r="BO176" s="104" t="n">
        <v>0</v>
      </c>
      <c r="BP176" s="104" t="n">
        <v>0</v>
      </c>
      <c r="BQ176" s="104" t="n">
        <v>0</v>
      </c>
      <c r="BR176" s="104" t="n">
        <v>0</v>
      </c>
      <c r="BS176" s="104" t="n">
        <v>0</v>
      </c>
      <c r="BT176" s="104" t="n">
        <v>0</v>
      </c>
      <c r="BU176" s="104" t="n">
        <v>0</v>
      </c>
      <c r="BV176" s="104" t="n">
        <v>0</v>
      </c>
      <c r="BW176" s="104" t="n"/>
      <c r="BX176" s="104" t="n"/>
      <c r="BY176" s="104" t="n"/>
      <c r="BZ176" s="104" t="n"/>
      <c r="CA176" s="104" t="n"/>
      <c r="CB176" s="104" t="n"/>
      <c r="CC176" s="104" t="n"/>
      <c r="CD176" s="104" t="n"/>
      <c r="CE176" s="104" t="n"/>
      <c r="CF176" s="104" t="n"/>
      <c r="CG176" s="104" t="n"/>
      <c r="CH176" s="104" t="n"/>
      <c r="CI176" s="104" t="n"/>
      <c r="CJ176" s="104" t="n"/>
      <c r="CK176" s="104" t="n"/>
      <c r="CL176" s="104" t="n"/>
      <c r="CM176" s="104" t="n"/>
      <c r="CN176" s="104" t="n"/>
      <c r="CO176" s="104" t="n"/>
      <c r="CP176" s="104" t="n"/>
      <c r="CQ176" s="104" t="n"/>
      <c r="CR176" s="104" t="n"/>
      <c r="CS176" s="104" t="n"/>
      <c r="CT176" s="104" t="n"/>
      <c r="CU176" s="104" t="n"/>
      <c r="CV176" s="104" t="n"/>
      <c r="CW176" s="104" t="n"/>
      <c r="CX176" s="104" t="n"/>
      <c r="CY176" s="104" t="n"/>
      <c r="CZ176" s="104" t="n"/>
      <c r="DA176" s="104" t="n"/>
      <c r="DB176" s="104" t="n"/>
      <c r="DC176" s="104" t="n"/>
      <c r="DD176" s="104" t="n"/>
      <c r="DE176" s="104" t="n"/>
      <c r="DF176" s="104" t="n"/>
      <c r="DG176" s="104" t="n"/>
      <c r="DH176" s="104" t="n"/>
      <c r="DI176" s="104" t="n"/>
      <c r="DJ176" s="104" t="n"/>
      <c r="DK176" s="104" t="n"/>
      <c r="DL176" s="104" t="n"/>
      <c r="DM176" s="104" t="n"/>
      <c r="DN176" s="104" t="n"/>
      <c r="DO176" s="104" t="n"/>
      <c r="DP176" s="104" t="n"/>
      <c r="DQ176" s="104" t="n"/>
      <c r="DR176" s="104" t="n"/>
      <c r="DS176" s="103" t="n"/>
      <c r="DT176" s="104" t="n"/>
      <c r="DU176" s="104" t="n"/>
      <c r="DV176" s="104" t="n"/>
      <c r="DW176" s="104" t="n"/>
      <c r="DX176" s="103" t="n"/>
    </row>
    <row r="177" hidden="1" outlineLevel="1" ht="4.5" customHeight="1"/>
    <row r="178" collapsed="1" ht="15.75" customHeight="1">
      <c r="B178" s="74" t="inlineStr">
        <is>
          <t>Revenue, Beginning</t>
        </is>
      </c>
      <c r="C178" s="75" t="n"/>
      <c r="D178" s="75" t="n"/>
      <c r="E178" s="75" t="n"/>
      <c r="F178" s="76">
        <f>+E184</f>
        <v/>
      </c>
      <c r="G178" s="76">
        <f>+F184</f>
        <v/>
      </c>
      <c r="H178" s="77">
        <f>+G184</f>
        <v/>
      </c>
      <c r="I178" s="46" t="n"/>
      <c r="J178" s="46" t="n"/>
      <c r="K178" s="46" t="n"/>
      <c r="L178" s="46" t="n"/>
      <c r="M178" s="46" t="n"/>
    </row>
    <row r="179" ht="15.75" customHeight="1">
      <c r="B179" s="78" t="inlineStr">
        <is>
          <t>Churn</t>
        </is>
      </c>
      <c r="C179" s="79" t="n"/>
      <c r="D179" s="79" t="n"/>
      <c r="E179" s="79" t="n"/>
      <c r="F179" s="80">
        <f>+SUMIF(DT$128:DT$173,"&lt;0")</f>
        <v/>
      </c>
      <c r="G179" s="80">
        <f>+SUMIF(DU$128:DU$173,"&lt;0")</f>
        <v/>
      </c>
      <c r="H179" s="81">
        <f>+SUMIF(DV$128:DV$173,"&lt;0")</f>
        <v/>
      </c>
      <c r="I179" s="46" t="n"/>
      <c r="J179" s="46" t="n"/>
      <c r="K179" s="46" t="n"/>
    </row>
    <row r="180" ht="15.75" customHeight="1">
      <c r="B180" s="74" t="inlineStr">
        <is>
          <t>Gross Retention</t>
        </is>
      </c>
      <c r="C180" s="75" t="n"/>
      <c r="D180" s="79" t="n"/>
      <c r="E180" s="75" t="n"/>
      <c r="F180" s="76">
        <f>SUM(F178:F179)</f>
        <v/>
      </c>
      <c r="G180" s="76">
        <f>SUM(G178:G179)</f>
        <v/>
      </c>
      <c r="H180" s="77">
        <f>SUM(H178:H179)</f>
        <v/>
      </c>
    </row>
    <row r="181" ht="15.75" customHeight="1">
      <c r="B181" s="78" t="inlineStr">
        <is>
          <t>Upsell</t>
        </is>
      </c>
      <c r="C181" s="79" t="n"/>
      <c r="D181" s="79" t="n"/>
      <c r="E181" s="79" t="n"/>
      <c r="F181" s="80">
        <f>+SUMIF(DT$128:DT$173,"&gt;0")-F183</f>
        <v/>
      </c>
      <c r="G181" s="80">
        <f>+SUMIF(DU$128:DU$173,"&gt;0")-G183</f>
        <v/>
      </c>
      <c r="H181" s="81">
        <f>+SUMIF(DV$128:DV$173,"&gt;0")-H183</f>
        <v/>
      </c>
    </row>
    <row r="182" ht="15.75" customHeight="1">
      <c r="B182" s="74" t="inlineStr">
        <is>
          <t>Net Retention</t>
        </is>
      </c>
      <c r="C182" s="75" t="n"/>
      <c r="D182" s="79" t="n"/>
      <c r="E182" s="75" t="n"/>
      <c r="F182" s="76">
        <f>+SUM(F180:F181)</f>
        <v/>
      </c>
      <c r="G182" s="76">
        <f>+SUM(G180:G181)</f>
        <v/>
      </c>
      <c r="H182" s="77">
        <f>+SUM(H180:H181)</f>
        <v/>
      </c>
    </row>
    <row r="183" ht="15.75" customHeight="1">
      <c r="B183" s="78" t="inlineStr">
        <is>
          <t>New</t>
        </is>
      </c>
      <c r="C183" s="79" t="n"/>
      <c r="D183" s="79" t="n"/>
      <c r="E183" s="79" t="n"/>
      <c r="F183" s="80">
        <f>+SUMIFS(F$128:F$173,E$128:E$173,0)</f>
        <v/>
      </c>
      <c r="G183" s="80">
        <f>+SUMIFS(G$128:G$173,F$128:F$173,0)</f>
        <v/>
      </c>
      <c r="H183" s="81">
        <f>+SUMIFS(H$128:H$173,G$128:G$173,0)</f>
        <v/>
      </c>
    </row>
    <row r="184" ht="15.75" customHeight="1">
      <c r="B184" s="82" t="inlineStr">
        <is>
          <t>Revenue, Ending</t>
        </is>
      </c>
      <c r="C184" s="83" t="n"/>
      <c r="D184" s="84" t="n"/>
      <c r="E184" s="85">
        <f>+E175</f>
        <v/>
      </c>
      <c r="F184" s="85">
        <f>+SUM(F182:F183)</f>
        <v/>
      </c>
      <c r="G184" s="85">
        <f>+SUM(G182:G183)</f>
        <v/>
      </c>
      <c r="H184" s="86">
        <f>+SUM(H182:H183)</f>
        <v/>
      </c>
    </row>
    <row r="185" ht="4.5" customHeight="1"/>
    <row r="186" ht="15.75" customHeight="1">
      <c r="B186" s="87" t="inlineStr">
        <is>
          <t>Gross Retention</t>
        </is>
      </c>
      <c r="C186" s="88" t="n"/>
      <c r="D186" s="88" t="n"/>
      <c r="E186" s="88" t="n"/>
      <c r="F186" s="89">
        <f>+F180/F178</f>
        <v/>
      </c>
      <c r="G186" s="89">
        <f>+G180/G178</f>
        <v/>
      </c>
      <c r="H186" s="90">
        <f>+H180/H178</f>
        <v/>
      </c>
    </row>
    <row r="187" ht="15.75" customHeight="1">
      <c r="B187" s="91" t="inlineStr">
        <is>
          <t>Net Retention</t>
        </is>
      </c>
      <c r="C187" s="92" t="n"/>
      <c r="D187" s="92" t="n"/>
      <c r="E187" s="92" t="n"/>
      <c r="F187" s="93">
        <f>+F182/F178</f>
        <v/>
      </c>
      <c r="G187" s="93">
        <f>+G182/G178</f>
        <v/>
      </c>
      <c r="H187" s="94">
        <f>+H182/H178</f>
        <v/>
      </c>
    </row>
    <row r="188" ht="4.5" customHeight="1"/>
    <row r="189" ht="15.75" customHeight="1">
      <c r="B189" s="95" t="inlineStr">
        <is>
          <t>Mega</t>
        </is>
      </c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  <c r="AA189" s="96" t="n"/>
      <c r="AB189" s="96" t="n"/>
      <c r="AC189" s="96" t="n"/>
      <c r="AD189" s="96" t="n"/>
      <c r="AE189" s="96" t="n"/>
      <c r="AF189" s="96" t="n"/>
      <c r="AG189" s="96" t="n"/>
      <c r="AH189" s="96" t="n"/>
      <c r="AI189" s="96" t="n"/>
      <c r="AJ189" s="96" t="n"/>
      <c r="AK189" s="96" t="n"/>
      <c r="AL189" s="96" t="n"/>
      <c r="AM189" s="96" t="n"/>
      <c r="AN189" s="96" t="n"/>
      <c r="AO189" s="96" t="n"/>
      <c r="AP189" s="96" t="n"/>
      <c r="AQ189" s="96" t="n"/>
      <c r="AR189" s="96" t="n"/>
      <c r="AS189" s="96" t="n"/>
      <c r="AT189" s="96" t="n"/>
      <c r="AU189" s="96" t="n"/>
      <c r="AV189" s="96" t="n"/>
      <c r="AW189" s="96" t="n"/>
      <c r="AX189" s="96" t="n"/>
      <c r="AY189" s="96" t="n"/>
      <c r="AZ189" s="96" t="n"/>
      <c r="BA189" s="96" t="n"/>
      <c r="BB189" s="96" t="n"/>
      <c r="BC189" s="96" t="n"/>
      <c r="BD189" s="96" t="n"/>
      <c r="BE189" s="96" t="n"/>
      <c r="BF189" s="96" t="n"/>
      <c r="BG189" s="96" t="n"/>
      <c r="BH189" s="96" t="n"/>
      <c r="BI189" s="96" t="n"/>
      <c r="BJ189" s="96" t="n"/>
      <c r="BK189" s="96" t="n"/>
      <c r="BL189" s="96" t="n"/>
      <c r="BM189" s="96" t="n"/>
      <c r="BN189" s="96" t="n"/>
      <c r="BO189" s="96" t="n"/>
      <c r="BP189" s="96" t="n"/>
      <c r="BQ189" s="96" t="n"/>
      <c r="BR189" s="96" t="n"/>
      <c r="BS189" s="96" t="n"/>
      <c r="BT189" s="96" t="n"/>
      <c r="BU189" s="96" t="n"/>
      <c r="BV189" s="96" t="n"/>
      <c r="BW189" s="96" t="n"/>
      <c r="BX189" s="96" t="n"/>
      <c r="BY189" s="96" t="n"/>
      <c r="BZ189" s="96" t="n"/>
      <c r="CA189" s="96" t="n"/>
      <c r="CB189" s="96" t="n"/>
      <c r="CC189" s="96" t="n"/>
      <c r="CD189" s="96" t="n"/>
      <c r="CE189" s="96" t="n"/>
      <c r="CF189" s="96" t="n"/>
      <c r="CG189" s="96" t="n"/>
      <c r="CH189" s="96" t="n"/>
      <c r="CI189" s="96" t="n"/>
      <c r="CJ189" s="96" t="n"/>
      <c r="CK189" s="96" t="n"/>
      <c r="CL189" s="96" t="n"/>
      <c r="CM189" s="96" t="n"/>
      <c r="CN189" s="96" t="n"/>
      <c r="CO189" s="96" t="n"/>
      <c r="CP189" s="96" t="n"/>
      <c r="CQ189" s="96" t="n"/>
      <c r="CR189" s="96" t="n"/>
      <c r="CS189" s="96" t="n"/>
      <c r="CT189" s="96" t="n"/>
      <c r="CU189" s="96" t="n"/>
      <c r="CV189" s="96" t="n"/>
      <c r="CW189" s="96" t="n"/>
      <c r="CX189" s="96" t="n"/>
      <c r="CY189" s="96" t="n"/>
      <c r="CZ189" s="96" t="n"/>
      <c r="DA189" s="96" t="n"/>
      <c r="DB189" s="96" t="n"/>
      <c r="DC189" s="96" t="n"/>
      <c r="DD189" s="96" t="n"/>
      <c r="DE189" s="96" t="n"/>
      <c r="DF189" s="96" t="n"/>
      <c r="DG189" s="96" t="n"/>
      <c r="DH189" s="96" t="n"/>
      <c r="DI189" s="96" t="n"/>
      <c r="DJ189" s="96" t="n"/>
      <c r="DK189" s="96" t="n"/>
      <c r="DL189" s="96" t="n"/>
      <c r="DM189" s="96" t="n"/>
      <c r="DN189" s="96" t="n"/>
      <c r="DO189" s="96" t="n"/>
      <c r="DP189" s="96" t="n"/>
      <c r="DQ189" s="96" t="n"/>
      <c r="DR189" s="96" t="n"/>
    </row>
    <row r="190" ht="15.75" customHeight="1">
      <c r="B190" s="5" t="inlineStr">
        <is>
          <t>Licensing Revenue</t>
        </is>
      </c>
      <c r="E190" s="46">
        <f>+E84</f>
        <v/>
      </c>
      <c r="F190" s="46">
        <f>+F84</f>
        <v/>
      </c>
      <c r="G190" s="46">
        <f>+G84</f>
        <v/>
      </c>
      <c r="H190" s="46">
        <f>+H84</f>
        <v/>
      </c>
      <c r="I190" s="46">
        <f>+I84</f>
        <v/>
      </c>
      <c r="J190" s="46">
        <f>+J84</f>
        <v/>
      </c>
      <c r="K190" s="46">
        <f>+K84</f>
        <v/>
      </c>
      <c r="L190" s="46">
        <f>+L84</f>
        <v/>
      </c>
      <c r="M190" s="46">
        <f>+M84</f>
        <v/>
      </c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  <c r="AA190" s="96" t="n"/>
      <c r="AB190" s="96" t="n"/>
      <c r="AC190" s="96" t="n"/>
      <c r="AD190" s="96" t="n"/>
      <c r="AE190" s="96" t="n"/>
      <c r="AF190" s="96" t="n"/>
      <c r="AG190" s="96" t="n"/>
      <c r="AH190" s="96" t="n"/>
      <c r="AI190" s="96" t="n"/>
      <c r="AJ190" s="96" t="n"/>
      <c r="AK190" s="96" t="n"/>
      <c r="AL190" s="96" t="n"/>
      <c r="AM190" s="96" t="n"/>
      <c r="AN190" s="96" t="n"/>
      <c r="AO190" s="96" t="n"/>
      <c r="AP190" s="96" t="n"/>
      <c r="AQ190" s="96" t="n"/>
      <c r="AR190" s="96" t="n"/>
      <c r="AS190" s="96" t="n"/>
      <c r="AT190" s="96" t="n"/>
      <c r="AU190" s="96" t="n"/>
      <c r="AV190" s="96" t="n"/>
      <c r="AW190" s="96" t="n"/>
      <c r="AX190" s="96" t="n"/>
      <c r="AY190" s="96" t="n"/>
      <c r="AZ190" s="96" t="n"/>
      <c r="BA190" s="96" t="n"/>
      <c r="BB190" s="96" t="n"/>
      <c r="BC190" s="96" t="n"/>
      <c r="BD190" s="96" t="n"/>
      <c r="BE190" s="96" t="n"/>
      <c r="BF190" s="96" t="n"/>
      <c r="BG190" s="96" t="n"/>
      <c r="BH190" s="96" t="n"/>
      <c r="BI190" s="96" t="n"/>
      <c r="BJ190" s="96" t="n"/>
      <c r="BK190" s="96" t="n"/>
      <c r="BL190" s="96" t="n"/>
      <c r="BM190" s="96" t="n"/>
      <c r="BN190" s="96" t="n"/>
      <c r="BO190" s="96" t="n"/>
      <c r="BP190" s="96" t="n"/>
      <c r="BQ190" s="96" t="n"/>
      <c r="BR190" s="96" t="n"/>
      <c r="BS190" s="96" t="n"/>
      <c r="BT190" s="96" t="n"/>
      <c r="BU190" s="96" t="n"/>
      <c r="BV190" s="96" t="n"/>
      <c r="BW190" s="96" t="n"/>
      <c r="BX190" s="96" t="n"/>
      <c r="BY190" s="96" t="n"/>
      <c r="BZ190" s="96" t="n"/>
      <c r="CA190" s="96" t="n"/>
      <c r="CB190" s="96" t="n"/>
      <c r="CC190" s="96" t="n"/>
      <c r="CD190" s="96" t="n"/>
      <c r="CE190" s="96" t="n"/>
      <c r="CF190" s="96" t="n"/>
      <c r="CG190" s="96" t="n"/>
      <c r="CH190" s="96" t="n"/>
      <c r="CI190" s="96" t="n"/>
      <c r="CJ190" s="96" t="n"/>
      <c r="CK190" s="96" t="n"/>
      <c r="CL190" s="96" t="n"/>
      <c r="CM190" s="96" t="n"/>
      <c r="CN190" s="96" t="n"/>
      <c r="CO190" s="96" t="n"/>
      <c r="CP190" s="96" t="n"/>
      <c r="CQ190" s="96" t="n"/>
      <c r="CR190" s="96" t="n"/>
      <c r="CS190" s="96" t="n"/>
      <c r="CT190" s="96" t="n"/>
      <c r="CU190" s="96" t="n"/>
      <c r="CV190" s="96" t="n"/>
      <c r="CW190" s="96" t="n"/>
      <c r="CX190" s="96" t="n"/>
      <c r="CY190" s="96" t="n"/>
      <c r="CZ190" s="96" t="n"/>
      <c r="DA190" s="96" t="n"/>
      <c r="DB190" s="96" t="n"/>
      <c r="DC190" s="96" t="n"/>
      <c r="DD190" s="96" t="n"/>
      <c r="DE190" s="96" t="n"/>
      <c r="DF190" s="96" t="n"/>
      <c r="DG190" s="96" t="n"/>
      <c r="DH190" s="96" t="n"/>
      <c r="DI190" s="96" t="n"/>
      <c r="DJ190" s="96" t="n"/>
      <c r="DK190" s="96" t="n"/>
      <c r="DL190" s="96" t="n"/>
      <c r="DM190" s="96" t="n"/>
      <c r="DN190" s="96" t="n"/>
      <c r="DO190" s="96" t="n"/>
      <c r="DP190" s="96" t="n"/>
      <c r="DQ190" s="96" t="n"/>
      <c r="DR190" s="96" t="n"/>
    </row>
    <row r="191" ht="15.75" customHeight="1">
      <c r="B191" s="5" t="inlineStr">
        <is>
          <t>Percentage of Licensing</t>
        </is>
      </c>
      <c r="E191" s="45">
        <f>+E192/E190</f>
        <v/>
      </c>
      <c r="F191" s="45">
        <f>+F192/F190</f>
        <v/>
      </c>
      <c r="G191" s="45">
        <f>+G192/G190</f>
        <v/>
      </c>
      <c r="H191" s="45">
        <f>+H192/H190</f>
        <v/>
      </c>
      <c r="I191" s="45">
        <f>+I192/I190</f>
        <v/>
      </c>
      <c r="J191" s="105">
        <f>+Revenue_Assumptions!J43</f>
        <v/>
      </c>
      <c r="K191" s="105">
        <f>+Revenue_Assumptions!K43</f>
        <v/>
      </c>
      <c r="L191" s="105">
        <f>+Revenue_Assumptions!L43</f>
        <v/>
      </c>
      <c r="M191" s="105">
        <f>+Revenue_Assumptions!M43</f>
        <v/>
      </c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  <c r="AA191" s="96" t="n"/>
      <c r="AB191" s="96" t="n"/>
      <c r="AC191" s="96" t="n"/>
      <c r="AD191" s="96" t="n"/>
      <c r="AE191" s="96" t="n"/>
      <c r="AF191" s="96" t="n"/>
      <c r="AG191" s="96" t="n"/>
      <c r="AH191" s="96" t="n"/>
      <c r="AI191" s="96" t="n"/>
      <c r="AJ191" s="96" t="n"/>
      <c r="AK191" s="96" t="n"/>
      <c r="AL191" s="96" t="n"/>
      <c r="AM191" s="96" t="n"/>
      <c r="AN191" s="96" t="n"/>
      <c r="AO191" s="96" t="n"/>
      <c r="AP191" s="96" t="n"/>
      <c r="AQ191" s="96" t="n"/>
      <c r="AR191" s="96" t="n"/>
      <c r="AS191" s="96" t="n"/>
      <c r="AT191" s="96" t="n"/>
      <c r="AU191" s="96" t="n"/>
      <c r="AV191" s="96" t="n"/>
      <c r="AW191" s="96" t="n"/>
      <c r="AX191" s="96" t="n"/>
      <c r="AY191" s="96" t="n"/>
      <c r="AZ191" s="96" t="n"/>
      <c r="BA191" s="96" t="n"/>
      <c r="BB191" s="96" t="n"/>
      <c r="BC191" s="96" t="n"/>
      <c r="BD191" s="96" t="n"/>
      <c r="BE191" s="96" t="n"/>
      <c r="BF191" s="96" t="n"/>
      <c r="BG191" s="96" t="n"/>
      <c r="BH191" s="96" t="n"/>
      <c r="BI191" s="96" t="n"/>
      <c r="BJ191" s="96" t="n"/>
      <c r="BK191" s="96" t="n"/>
      <c r="BL191" s="96" t="n"/>
      <c r="BM191" s="96" t="n"/>
      <c r="BN191" s="96" t="n"/>
      <c r="BO191" s="96" t="n"/>
      <c r="BP191" s="96" t="n"/>
      <c r="BQ191" s="96" t="n"/>
      <c r="BR191" s="96" t="n"/>
      <c r="BS191" s="96" t="n"/>
      <c r="BT191" s="96" t="n"/>
      <c r="BU191" s="96" t="n"/>
      <c r="BV191" s="96" t="n"/>
      <c r="BW191" s="96" t="n"/>
      <c r="BX191" s="96" t="n"/>
      <c r="BY191" s="96" t="n"/>
      <c r="BZ191" s="96" t="n"/>
      <c r="CA191" s="96" t="n"/>
      <c r="CB191" s="96" t="n"/>
      <c r="CC191" s="96" t="n"/>
      <c r="CD191" s="96" t="n"/>
      <c r="CE191" s="96" t="n"/>
      <c r="CF191" s="96" t="n"/>
      <c r="CG191" s="96" t="n"/>
      <c r="CH191" s="96" t="n"/>
      <c r="CI191" s="96" t="n"/>
      <c r="CJ191" s="96" t="n"/>
      <c r="CK191" s="96" t="n"/>
      <c r="CL191" s="96" t="n"/>
      <c r="CM191" s="96" t="n"/>
      <c r="CN191" s="96" t="n"/>
      <c r="CO191" s="96" t="n"/>
      <c r="CP191" s="96" t="n"/>
      <c r="CQ191" s="96" t="n"/>
      <c r="CR191" s="96" t="n"/>
      <c r="CS191" s="96" t="n"/>
      <c r="CT191" s="96" t="n"/>
      <c r="CU191" s="96" t="n"/>
      <c r="CV191" s="96" t="n"/>
      <c r="CW191" s="96" t="n"/>
      <c r="CX191" s="96" t="n"/>
      <c r="CY191" s="96" t="n"/>
      <c r="CZ191" s="96" t="n"/>
      <c r="DA191" s="96" t="n"/>
      <c r="DB191" s="96" t="n"/>
      <c r="DC191" s="96" t="n"/>
      <c r="DD191" s="96" t="n"/>
      <c r="DE191" s="96" t="n"/>
      <c r="DF191" s="96" t="n"/>
      <c r="DG191" s="96" t="n"/>
      <c r="DH191" s="96" t="n"/>
      <c r="DI191" s="96" t="n"/>
      <c r="DJ191" s="96" t="n"/>
      <c r="DK191" s="96" t="n"/>
      <c r="DL191" s="96" t="n"/>
      <c r="DM191" s="96" t="n"/>
      <c r="DN191" s="96" t="n"/>
      <c r="DO191" s="96" t="n"/>
      <c r="DP191" s="96" t="n"/>
      <c r="DQ191" s="96" t="n"/>
      <c r="DR191" s="96" t="n"/>
    </row>
    <row r="192" ht="15.75" customHeight="1">
      <c r="B192" s="50" t="inlineStr">
        <is>
          <t>Managed Services Revenue</t>
        </is>
      </c>
      <c r="C192" s="50" t="n"/>
      <c r="E192" s="51">
        <f>+SUMIFS(E$128:E$173,$C$128:$C$173,$B189)</f>
        <v/>
      </c>
      <c r="F192" s="51">
        <f>+SUMIFS(F$128:F$173,$C$128:$C$173,$B189)</f>
        <v/>
      </c>
      <c r="G192" s="51">
        <f>+SUMIFS(G$128:G$173,$C$128:$C$173,$B189)</f>
        <v/>
      </c>
      <c r="H192" s="51">
        <f>+SUMIFS(H$128:H$173,$C$128:$C$173,$B189)</f>
        <v/>
      </c>
      <c r="I192" s="51">
        <f>+SUMIFS(I$128:I$173,$C$128:$C$173,$B189)</f>
        <v/>
      </c>
      <c r="J192" s="51">
        <f>+J190*J191</f>
        <v/>
      </c>
      <c r="K192" s="51">
        <f>+K190*K191</f>
        <v/>
      </c>
      <c r="L192" s="51">
        <f>+L190*L191</f>
        <v/>
      </c>
      <c r="M192" s="51">
        <f>+M190*M191</f>
        <v/>
      </c>
      <c r="N192" s="4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  <c r="AA192" s="96" t="n"/>
      <c r="AB192" s="96" t="n"/>
      <c r="AC192" s="96" t="n"/>
      <c r="AD192" s="96" t="n"/>
      <c r="AE192" s="96" t="n"/>
      <c r="AF192" s="96" t="n"/>
      <c r="AG192" s="96" t="n"/>
      <c r="AH192" s="96" t="n"/>
      <c r="AI192" s="96" t="n"/>
      <c r="AJ192" s="96" t="n"/>
      <c r="AK192" s="96" t="n"/>
      <c r="AL192" s="96" t="n"/>
      <c r="AM192" s="96" t="n"/>
      <c r="AN192" s="96" t="n"/>
      <c r="AO192" s="96" t="n"/>
      <c r="AP192" s="96" t="n"/>
      <c r="AQ192" s="96" t="n"/>
      <c r="AR192" s="96" t="n"/>
      <c r="AS192" s="96" t="n"/>
      <c r="AT192" s="96" t="n"/>
      <c r="AU192" s="96" t="n"/>
      <c r="AV192" s="96" t="n"/>
      <c r="AW192" s="96" t="n"/>
      <c r="AX192" s="96" t="n"/>
      <c r="AY192" s="96" t="n"/>
      <c r="AZ192" s="96" t="n"/>
      <c r="BA192" s="96" t="n"/>
      <c r="BB192" s="96" t="n"/>
      <c r="BC192" s="96" t="n"/>
      <c r="BD192" s="96" t="n"/>
      <c r="BE192" s="96" t="n"/>
      <c r="BF192" s="96" t="n"/>
      <c r="BG192" s="96" t="n"/>
      <c r="BH192" s="96" t="n"/>
      <c r="BI192" s="96" t="n"/>
      <c r="BJ192" s="96" t="n"/>
      <c r="BK192" s="96" t="n"/>
      <c r="BL192" s="96" t="n"/>
      <c r="BM192" s="96" t="n"/>
      <c r="BN192" s="96" t="n"/>
      <c r="BO192" s="96" t="n"/>
      <c r="BP192" s="96" t="n"/>
      <c r="BQ192" s="96" t="n"/>
      <c r="BR192" s="96" t="n"/>
      <c r="BS192" s="96" t="n"/>
      <c r="BT192" s="96" t="n"/>
      <c r="BU192" s="96" t="n"/>
      <c r="BV192" s="96" t="n"/>
      <c r="BW192" s="96" t="n"/>
      <c r="BX192" s="96" t="n"/>
      <c r="BY192" s="96" t="n"/>
      <c r="BZ192" s="96" t="n"/>
      <c r="CA192" s="96" t="n"/>
      <c r="CB192" s="96" t="n"/>
      <c r="CC192" s="96" t="n"/>
      <c r="CD192" s="96" t="n"/>
      <c r="CE192" s="96" t="n"/>
      <c r="CF192" s="96" t="n"/>
      <c r="CG192" s="96" t="n"/>
      <c r="CH192" s="96" t="n"/>
      <c r="CI192" s="96" t="n"/>
      <c r="CJ192" s="96" t="n"/>
      <c r="CK192" s="96" t="n"/>
      <c r="CL192" s="96" t="n"/>
      <c r="CM192" s="96" t="n"/>
      <c r="CN192" s="96" t="n"/>
      <c r="CO192" s="96" t="n"/>
      <c r="CP192" s="96" t="n"/>
      <c r="CQ192" s="96" t="n"/>
      <c r="CR192" s="96" t="n"/>
      <c r="CS192" s="96" t="n"/>
      <c r="CT192" s="96" t="n"/>
      <c r="CU192" s="96" t="n"/>
      <c r="CV192" s="96" t="n"/>
      <c r="CW192" s="96" t="n"/>
      <c r="CX192" s="96" t="n"/>
      <c r="CY192" s="96" t="n"/>
      <c r="CZ192" s="96" t="n"/>
      <c r="DA192" s="96" t="n"/>
      <c r="DB192" s="96" t="n"/>
      <c r="DC192" s="96" t="n"/>
      <c r="DD192" s="96" t="n"/>
      <c r="DE192" s="96" t="n"/>
      <c r="DF192" s="96" t="n"/>
      <c r="DG192" s="96" t="n"/>
      <c r="DH192" s="96" t="n"/>
      <c r="DI192" s="96" t="n"/>
      <c r="DJ192" s="96" t="n"/>
      <c r="DK192" s="96" t="n"/>
      <c r="DL192" s="96" t="n"/>
      <c r="DM192" s="96" t="n"/>
      <c r="DN192" s="96" t="n"/>
      <c r="DO192" s="96" t="n"/>
      <c r="DP192" s="96" t="n"/>
      <c r="DQ192" s="96" t="n"/>
      <c r="DR192" s="96" t="n"/>
    </row>
    <row r="193" ht="4.5" customHeight="1"/>
    <row r="194" ht="15.75" customHeight="1">
      <c r="B194" s="95" t="inlineStr">
        <is>
          <t>Major</t>
        </is>
      </c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  <c r="AA194" s="96" t="n"/>
      <c r="AB194" s="96" t="n"/>
      <c r="AC194" s="96" t="n"/>
      <c r="AD194" s="96" t="n"/>
      <c r="AE194" s="96" t="n"/>
      <c r="AF194" s="96" t="n"/>
      <c r="AG194" s="96" t="n"/>
      <c r="AH194" s="96" t="n"/>
      <c r="AI194" s="96" t="n"/>
      <c r="AJ194" s="96" t="n"/>
      <c r="AK194" s="96" t="n"/>
      <c r="AL194" s="96" t="n"/>
      <c r="AM194" s="96" t="n"/>
      <c r="AN194" s="96" t="n"/>
      <c r="AO194" s="96" t="n"/>
      <c r="AP194" s="96" t="n"/>
      <c r="AQ194" s="96" t="n"/>
      <c r="AR194" s="96" t="n"/>
      <c r="AS194" s="96" t="n"/>
      <c r="AT194" s="96" t="n"/>
      <c r="AU194" s="96" t="n"/>
      <c r="AV194" s="96" t="n"/>
      <c r="AW194" s="96" t="n"/>
      <c r="AX194" s="96" t="n"/>
      <c r="AY194" s="96" t="n"/>
      <c r="AZ194" s="96" t="n"/>
      <c r="BA194" s="96" t="n"/>
      <c r="BB194" s="96" t="n"/>
      <c r="BC194" s="96" t="n"/>
      <c r="BD194" s="96" t="n"/>
      <c r="BE194" s="96" t="n"/>
      <c r="BF194" s="96" t="n"/>
      <c r="BG194" s="96" t="n"/>
      <c r="BH194" s="96" t="n"/>
      <c r="BI194" s="96" t="n"/>
      <c r="BJ194" s="96" t="n"/>
      <c r="BK194" s="96" t="n"/>
      <c r="BL194" s="96" t="n"/>
      <c r="BM194" s="96" t="n"/>
      <c r="BN194" s="96" t="n"/>
      <c r="BO194" s="96" t="n"/>
      <c r="BP194" s="96" t="n"/>
      <c r="BQ194" s="96" t="n"/>
      <c r="BR194" s="96" t="n"/>
      <c r="BS194" s="96" t="n"/>
      <c r="BT194" s="96" t="n"/>
      <c r="BU194" s="96" t="n"/>
      <c r="BV194" s="96" t="n"/>
      <c r="BW194" s="96" t="n"/>
      <c r="BX194" s="96" t="n"/>
      <c r="BY194" s="96" t="n"/>
      <c r="BZ194" s="96" t="n"/>
      <c r="CA194" s="96" t="n"/>
      <c r="CB194" s="96" t="n"/>
      <c r="CC194" s="96" t="n"/>
      <c r="CD194" s="96" t="n"/>
      <c r="CE194" s="96" t="n"/>
      <c r="CF194" s="96" t="n"/>
      <c r="CG194" s="96" t="n"/>
      <c r="CH194" s="96" t="n"/>
      <c r="CI194" s="96" t="n"/>
      <c r="CJ194" s="96" t="n"/>
      <c r="CK194" s="96" t="n"/>
      <c r="CL194" s="96" t="n"/>
      <c r="CM194" s="96" t="n"/>
      <c r="CN194" s="96" t="n"/>
      <c r="CO194" s="96" t="n"/>
      <c r="CP194" s="96" t="n"/>
      <c r="CQ194" s="96" t="n"/>
      <c r="CR194" s="96" t="n"/>
      <c r="CS194" s="96" t="n"/>
      <c r="CT194" s="96" t="n"/>
      <c r="CU194" s="96" t="n"/>
      <c r="CV194" s="96" t="n"/>
      <c r="CW194" s="96" t="n"/>
      <c r="CX194" s="96" t="n"/>
      <c r="CY194" s="96" t="n"/>
      <c r="CZ194" s="96" t="n"/>
      <c r="DA194" s="96" t="n"/>
      <c r="DB194" s="96" t="n"/>
      <c r="DC194" s="96" t="n"/>
      <c r="DD194" s="96" t="n"/>
      <c r="DE194" s="96" t="n"/>
      <c r="DF194" s="96" t="n"/>
      <c r="DG194" s="96" t="n"/>
      <c r="DH194" s="96" t="n"/>
      <c r="DI194" s="96" t="n"/>
      <c r="DJ194" s="96" t="n"/>
      <c r="DK194" s="96" t="n"/>
      <c r="DL194" s="96" t="n"/>
      <c r="DM194" s="96" t="n"/>
      <c r="DN194" s="96" t="n"/>
      <c r="DO194" s="96" t="n"/>
      <c r="DP194" s="96" t="n"/>
      <c r="DQ194" s="96" t="n"/>
      <c r="DR194" s="96" t="n"/>
    </row>
    <row r="195" ht="15.75" customHeight="1">
      <c r="B195" s="5" t="inlineStr">
        <is>
          <t>Licensing Revenue</t>
        </is>
      </c>
      <c r="E195" s="46">
        <f>+E96</f>
        <v/>
      </c>
      <c r="F195" s="46">
        <f>+F96</f>
        <v/>
      </c>
      <c r="G195" s="46">
        <f>+G96</f>
        <v/>
      </c>
      <c r="H195" s="46">
        <f>+H96</f>
        <v/>
      </c>
      <c r="I195" s="46">
        <f>+I96</f>
        <v/>
      </c>
      <c r="J195" s="46">
        <f>+J96</f>
        <v/>
      </c>
      <c r="K195" s="46">
        <f>+K96</f>
        <v/>
      </c>
      <c r="L195" s="46">
        <f>+L96</f>
        <v/>
      </c>
      <c r="M195" s="46">
        <f>+M96</f>
        <v/>
      </c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  <c r="AA195" s="96" t="n"/>
      <c r="AB195" s="96" t="n"/>
      <c r="AC195" s="96" t="n"/>
      <c r="AD195" s="96" t="n"/>
      <c r="AE195" s="96" t="n"/>
      <c r="AF195" s="96" t="n"/>
      <c r="AG195" s="96" t="n"/>
      <c r="AH195" s="96" t="n"/>
      <c r="AI195" s="96" t="n"/>
      <c r="AJ195" s="96" t="n"/>
      <c r="AK195" s="96" t="n"/>
      <c r="AL195" s="96" t="n"/>
      <c r="AM195" s="96" t="n"/>
      <c r="AN195" s="96" t="n"/>
      <c r="AO195" s="96" t="n"/>
      <c r="AP195" s="96" t="n"/>
      <c r="AQ195" s="96" t="n"/>
      <c r="AR195" s="96" t="n"/>
      <c r="AS195" s="96" t="n"/>
      <c r="AT195" s="96" t="n"/>
      <c r="AU195" s="96" t="n"/>
      <c r="AV195" s="96" t="n"/>
      <c r="AW195" s="96" t="n"/>
      <c r="AX195" s="96" t="n"/>
      <c r="AY195" s="96" t="n"/>
      <c r="AZ195" s="96" t="n"/>
      <c r="BA195" s="96" t="n"/>
      <c r="BB195" s="96" t="n"/>
      <c r="BC195" s="96" t="n"/>
      <c r="BD195" s="96" t="n"/>
      <c r="BE195" s="96" t="n"/>
      <c r="BF195" s="96" t="n"/>
      <c r="BG195" s="96" t="n"/>
      <c r="BH195" s="96" t="n"/>
      <c r="BI195" s="96" t="n"/>
      <c r="BJ195" s="96" t="n"/>
      <c r="BK195" s="96" t="n"/>
      <c r="BL195" s="96" t="n"/>
      <c r="BM195" s="96" t="n"/>
      <c r="BN195" s="96" t="n"/>
      <c r="BO195" s="96" t="n"/>
      <c r="BP195" s="96" t="n"/>
      <c r="BQ195" s="96" t="n"/>
      <c r="BR195" s="96" t="n"/>
      <c r="BS195" s="96" t="n"/>
      <c r="BT195" s="96" t="n"/>
      <c r="BU195" s="96" t="n"/>
      <c r="BV195" s="96" t="n"/>
      <c r="BW195" s="96" t="n"/>
      <c r="BX195" s="96" t="n"/>
      <c r="BY195" s="96" t="n"/>
      <c r="BZ195" s="96" t="n"/>
      <c r="CA195" s="96" t="n"/>
      <c r="CB195" s="96" t="n"/>
      <c r="CC195" s="96" t="n"/>
      <c r="CD195" s="96" t="n"/>
      <c r="CE195" s="96" t="n"/>
      <c r="CF195" s="96" t="n"/>
      <c r="CG195" s="96" t="n"/>
      <c r="CH195" s="96" t="n"/>
      <c r="CI195" s="96" t="n"/>
      <c r="CJ195" s="96" t="n"/>
      <c r="CK195" s="96" t="n"/>
      <c r="CL195" s="96" t="n"/>
      <c r="CM195" s="96" t="n"/>
      <c r="CN195" s="96" t="n"/>
      <c r="CO195" s="96" t="n"/>
      <c r="CP195" s="96" t="n"/>
      <c r="CQ195" s="96" t="n"/>
      <c r="CR195" s="96" t="n"/>
      <c r="CS195" s="96" t="n"/>
      <c r="CT195" s="96" t="n"/>
      <c r="CU195" s="96" t="n"/>
      <c r="CV195" s="96" t="n"/>
      <c r="CW195" s="96" t="n"/>
      <c r="CX195" s="96" t="n"/>
      <c r="CY195" s="96" t="n"/>
      <c r="CZ195" s="96" t="n"/>
      <c r="DA195" s="96" t="n"/>
      <c r="DB195" s="96" t="n"/>
      <c r="DC195" s="96" t="n"/>
      <c r="DD195" s="96" t="n"/>
      <c r="DE195" s="96" t="n"/>
      <c r="DF195" s="96" t="n"/>
      <c r="DG195" s="96" t="n"/>
      <c r="DH195" s="96" t="n"/>
      <c r="DI195" s="96" t="n"/>
      <c r="DJ195" s="96" t="n"/>
      <c r="DK195" s="96" t="n"/>
      <c r="DL195" s="96" t="n"/>
      <c r="DM195" s="96" t="n"/>
      <c r="DN195" s="96" t="n"/>
      <c r="DO195" s="96" t="n"/>
      <c r="DP195" s="96" t="n"/>
      <c r="DQ195" s="96" t="n"/>
      <c r="DR195" s="96" t="n"/>
    </row>
    <row r="196" ht="15.75" customHeight="1">
      <c r="B196" s="5" t="inlineStr">
        <is>
          <t>Percentage of Licensing</t>
        </is>
      </c>
      <c r="E196" s="45">
        <f>+E197/E195</f>
        <v/>
      </c>
      <c r="F196" s="45">
        <f>+F197/F195</f>
        <v/>
      </c>
      <c r="G196" s="45">
        <f>+G197/G195</f>
        <v/>
      </c>
      <c r="H196" s="45">
        <f>+H197/H195</f>
        <v/>
      </c>
      <c r="I196" s="45">
        <f>+I197/I195</f>
        <v/>
      </c>
      <c r="J196" s="105">
        <f>+Revenue_Assumptions!J44</f>
        <v/>
      </c>
      <c r="K196" s="105">
        <f>+Revenue_Assumptions!K44</f>
        <v/>
      </c>
      <c r="L196" s="105">
        <f>+Revenue_Assumptions!L44</f>
        <v/>
      </c>
      <c r="M196" s="105">
        <f>+Revenue_Assumptions!M44</f>
        <v/>
      </c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  <c r="AA196" s="96" t="n"/>
      <c r="AB196" s="96" t="n"/>
      <c r="AC196" s="96" t="n"/>
      <c r="AD196" s="96" t="n"/>
      <c r="AE196" s="96" t="n"/>
      <c r="AF196" s="96" t="n"/>
      <c r="AG196" s="96" t="n"/>
      <c r="AH196" s="96" t="n"/>
      <c r="AI196" s="96" t="n"/>
      <c r="AJ196" s="96" t="n"/>
      <c r="AK196" s="96" t="n"/>
      <c r="AL196" s="96" t="n"/>
      <c r="AM196" s="96" t="n"/>
      <c r="AN196" s="96" t="n"/>
      <c r="AO196" s="96" t="n"/>
      <c r="AP196" s="96" t="n"/>
      <c r="AQ196" s="96" t="n"/>
      <c r="AR196" s="96" t="n"/>
      <c r="AS196" s="96" t="n"/>
      <c r="AT196" s="96" t="n"/>
      <c r="AU196" s="96" t="n"/>
      <c r="AV196" s="96" t="n"/>
      <c r="AW196" s="96" t="n"/>
      <c r="AX196" s="96" t="n"/>
      <c r="AY196" s="96" t="n"/>
      <c r="AZ196" s="96" t="n"/>
      <c r="BA196" s="96" t="n"/>
      <c r="BB196" s="96" t="n"/>
      <c r="BC196" s="96" t="n"/>
      <c r="BD196" s="96" t="n"/>
      <c r="BE196" s="96" t="n"/>
      <c r="BF196" s="96" t="n"/>
      <c r="BG196" s="96" t="n"/>
      <c r="BH196" s="96" t="n"/>
      <c r="BI196" s="96" t="n"/>
      <c r="BJ196" s="96" t="n"/>
      <c r="BK196" s="96" t="n"/>
      <c r="BL196" s="96" t="n"/>
      <c r="BM196" s="96" t="n"/>
      <c r="BN196" s="96" t="n"/>
      <c r="BO196" s="96" t="n"/>
      <c r="BP196" s="96" t="n"/>
      <c r="BQ196" s="96" t="n"/>
      <c r="BR196" s="96" t="n"/>
      <c r="BS196" s="96" t="n"/>
      <c r="BT196" s="96" t="n"/>
      <c r="BU196" s="96" t="n"/>
      <c r="BV196" s="96" t="n"/>
      <c r="BW196" s="96" t="n"/>
      <c r="BX196" s="96" t="n"/>
      <c r="BY196" s="96" t="n"/>
      <c r="BZ196" s="96" t="n"/>
      <c r="CA196" s="96" t="n"/>
      <c r="CB196" s="96" t="n"/>
      <c r="CC196" s="96" t="n"/>
      <c r="CD196" s="96" t="n"/>
      <c r="CE196" s="96" t="n"/>
      <c r="CF196" s="96" t="n"/>
      <c r="CG196" s="96" t="n"/>
      <c r="CH196" s="96" t="n"/>
      <c r="CI196" s="96" t="n"/>
      <c r="CJ196" s="96" t="n"/>
      <c r="CK196" s="96" t="n"/>
      <c r="CL196" s="96" t="n"/>
      <c r="CM196" s="96" t="n"/>
      <c r="CN196" s="96" t="n"/>
      <c r="CO196" s="96" t="n"/>
      <c r="CP196" s="96" t="n"/>
      <c r="CQ196" s="96" t="n"/>
      <c r="CR196" s="96" t="n"/>
      <c r="CS196" s="96" t="n"/>
      <c r="CT196" s="96" t="n"/>
      <c r="CU196" s="96" t="n"/>
      <c r="CV196" s="96" t="n"/>
      <c r="CW196" s="96" t="n"/>
      <c r="CX196" s="96" t="n"/>
      <c r="CY196" s="96" t="n"/>
      <c r="CZ196" s="96" t="n"/>
      <c r="DA196" s="96" t="n"/>
      <c r="DB196" s="96" t="n"/>
      <c r="DC196" s="96" t="n"/>
      <c r="DD196" s="96" t="n"/>
      <c r="DE196" s="96" t="n"/>
      <c r="DF196" s="96" t="n"/>
      <c r="DG196" s="96" t="n"/>
      <c r="DH196" s="96" t="n"/>
      <c r="DI196" s="96" t="n"/>
      <c r="DJ196" s="96" t="n"/>
      <c r="DK196" s="96" t="n"/>
      <c r="DL196" s="96" t="n"/>
      <c r="DM196" s="96" t="n"/>
      <c r="DN196" s="96" t="n"/>
      <c r="DO196" s="96" t="n"/>
      <c r="DP196" s="96" t="n"/>
      <c r="DQ196" s="96" t="n"/>
      <c r="DR196" s="96" t="n"/>
    </row>
    <row r="197" ht="15.75" customHeight="1">
      <c r="B197" s="50" t="inlineStr">
        <is>
          <t>Managed Services Revenue</t>
        </is>
      </c>
      <c r="C197" s="50" t="n"/>
      <c r="E197" s="51">
        <f>+SUMIFS(E$128:E$173,$C$128:$C$173,$B194)</f>
        <v/>
      </c>
      <c r="F197" s="51">
        <f>+SUMIFS(F$128:F$173,$C$128:$C$173,$B194)</f>
        <v/>
      </c>
      <c r="G197" s="51">
        <f>+SUMIFS(G$128:G$173,$C$128:$C$173,$B194)</f>
        <v/>
      </c>
      <c r="H197" s="51">
        <f>+SUMIFS(H$128:H$173,$C$128:$C$173,$B194)</f>
        <v/>
      </c>
      <c r="I197" s="51">
        <f>+SUMIFS(I$128:I$173,$C$128:$C$173,$B194)</f>
        <v/>
      </c>
      <c r="J197" s="51">
        <f>+J195*J196</f>
        <v/>
      </c>
      <c r="K197" s="51">
        <f>+K195*K196</f>
        <v/>
      </c>
      <c r="L197" s="51">
        <f>+L195*L196</f>
        <v/>
      </c>
      <c r="M197" s="51">
        <f>+M195*M196</f>
        <v/>
      </c>
      <c r="N197" s="4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  <c r="AA197" s="96" t="n"/>
      <c r="AB197" s="96" t="n"/>
      <c r="AC197" s="96" t="n"/>
      <c r="AD197" s="96" t="n"/>
      <c r="AE197" s="96" t="n"/>
      <c r="AF197" s="96" t="n"/>
      <c r="AG197" s="96" t="n"/>
      <c r="AH197" s="96" t="n"/>
      <c r="AI197" s="96" t="n"/>
      <c r="AJ197" s="96" t="n"/>
      <c r="AK197" s="96" t="n"/>
      <c r="AL197" s="96" t="n"/>
      <c r="AM197" s="96" t="n"/>
      <c r="AN197" s="96" t="n"/>
      <c r="AO197" s="96" t="n"/>
      <c r="AP197" s="96" t="n"/>
      <c r="AQ197" s="96" t="n"/>
      <c r="AR197" s="96" t="n"/>
      <c r="AS197" s="96" t="n"/>
      <c r="AT197" s="96" t="n"/>
      <c r="AU197" s="96" t="n"/>
      <c r="AV197" s="96" t="n"/>
      <c r="AW197" s="96" t="n"/>
      <c r="AX197" s="96" t="n"/>
      <c r="AY197" s="96" t="n"/>
      <c r="AZ197" s="96" t="n"/>
      <c r="BA197" s="96" t="n"/>
      <c r="BB197" s="96" t="n"/>
      <c r="BC197" s="96" t="n"/>
      <c r="BD197" s="96" t="n"/>
      <c r="BE197" s="96" t="n"/>
      <c r="BF197" s="96" t="n"/>
      <c r="BG197" s="96" t="n"/>
      <c r="BH197" s="96" t="n"/>
      <c r="BI197" s="96" t="n"/>
      <c r="BJ197" s="96" t="n"/>
      <c r="BK197" s="96" t="n"/>
      <c r="BL197" s="96" t="n"/>
      <c r="BM197" s="96" t="n"/>
      <c r="BN197" s="96" t="n"/>
      <c r="BO197" s="96" t="n"/>
      <c r="BP197" s="96" t="n"/>
      <c r="BQ197" s="96" t="n"/>
      <c r="BR197" s="96" t="n"/>
      <c r="BS197" s="96" t="n"/>
      <c r="BT197" s="96" t="n"/>
      <c r="BU197" s="96" t="n"/>
      <c r="BV197" s="96" t="n"/>
      <c r="BW197" s="96" t="n"/>
      <c r="BX197" s="96" t="n"/>
      <c r="BY197" s="96" t="n"/>
      <c r="BZ197" s="96" t="n"/>
      <c r="CA197" s="96" t="n"/>
      <c r="CB197" s="96" t="n"/>
      <c r="CC197" s="96" t="n"/>
      <c r="CD197" s="96" t="n"/>
      <c r="CE197" s="96" t="n"/>
      <c r="CF197" s="96" t="n"/>
      <c r="CG197" s="96" t="n"/>
      <c r="CH197" s="96" t="n"/>
      <c r="CI197" s="96" t="n"/>
      <c r="CJ197" s="96" t="n"/>
      <c r="CK197" s="96" t="n"/>
      <c r="CL197" s="96" t="n"/>
      <c r="CM197" s="96" t="n"/>
      <c r="CN197" s="96" t="n"/>
      <c r="CO197" s="96" t="n"/>
      <c r="CP197" s="96" t="n"/>
      <c r="CQ197" s="96" t="n"/>
      <c r="CR197" s="96" t="n"/>
      <c r="CS197" s="96" t="n"/>
      <c r="CT197" s="96" t="n"/>
      <c r="CU197" s="96" t="n"/>
      <c r="CV197" s="96" t="n"/>
      <c r="CW197" s="96" t="n"/>
      <c r="CX197" s="96" t="n"/>
      <c r="CY197" s="96" t="n"/>
      <c r="CZ197" s="96" t="n"/>
      <c r="DA197" s="96" t="n"/>
      <c r="DB197" s="96" t="n"/>
      <c r="DC197" s="96" t="n"/>
      <c r="DD197" s="96" t="n"/>
      <c r="DE197" s="96" t="n"/>
      <c r="DF197" s="96" t="n"/>
      <c r="DG197" s="96" t="n"/>
      <c r="DH197" s="96" t="n"/>
      <c r="DI197" s="96" t="n"/>
      <c r="DJ197" s="96" t="n"/>
      <c r="DK197" s="96" t="n"/>
      <c r="DL197" s="96" t="n"/>
      <c r="DM197" s="96" t="n"/>
      <c r="DN197" s="96" t="n"/>
      <c r="DO197" s="96" t="n"/>
      <c r="DP197" s="96" t="n"/>
      <c r="DQ197" s="96" t="n"/>
      <c r="DR197" s="96" t="n"/>
    </row>
    <row r="198" ht="4.5" customHeight="1"/>
    <row r="199" ht="15.75" customHeight="1">
      <c r="B199" s="95" t="inlineStr">
        <is>
          <t>Upper Middle Market</t>
        </is>
      </c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  <c r="AA199" s="96" t="n"/>
      <c r="AB199" s="96" t="n"/>
      <c r="AC199" s="96" t="n"/>
      <c r="AD199" s="96" t="n"/>
      <c r="AE199" s="96" t="n"/>
      <c r="AF199" s="96" t="n"/>
      <c r="AG199" s="96" t="n"/>
      <c r="AH199" s="96" t="n"/>
      <c r="AI199" s="96" t="n"/>
      <c r="AJ199" s="96" t="n"/>
      <c r="AK199" s="96" t="n"/>
      <c r="AL199" s="96" t="n"/>
      <c r="AM199" s="96" t="n"/>
      <c r="AN199" s="96" t="n"/>
      <c r="AO199" s="96" t="n"/>
      <c r="AP199" s="96" t="n"/>
      <c r="AQ199" s="96" t="n"/>
      <c r="AR199" s="96" t="n"/>
      <c r="AS199" s="96" t="n"/>
      <c r="AT199" s="96" t="n"/>
      <c r="AU199" s="96" t="n"/>
      <c r="AV199" s="96" t="n"/>
      <c r="AW199" s="96" t="n"/>
      <c r="AX199" s="96" t="n"/>
      <c r="AY199" s="96" t="n"/>
      <c r="AZ199" s="96" t="n"/>
      <c r="BA199" s="96" t="n"/>
      <c r="BB199" s="96" t="n"/>
      <c r="BC199" s="96" t="n"/>
      <c r="BD199" s="96" t="n"/>
      <c r="BE199" s="96" t="n"/>
      <c r="BF199" s="96" t="n"/>
      <c r="BG199" s="96" t="n"/>
      <c r="BH199" s="96" t="n"/>
      <c r="BI199" s="96" t="n"/>
      <c r="BJ199" s="96" t="n"/>
      <c r="BK199" s="96" t="n"/>
      <c r="BL199" s="96" t="n"/>
      <c r="BM199" s="96" t="n"/>
      <c r="BN199" s="96" t="n"/>
      <c r="BO199" s="96" t="n"/>
      <c r="BP199" s="96" t="n"/>
      <c r="BQ199" s="96" t="n"/>
      <c r="BR199" s="96" t="n"/>
      <c r="BS199" s="96" t="n"/>
      <c r="BT199" s="96" t="n"/>
      <c r="BU199" s="96" t="n"/>
      <c r="BV199" s="96" t="n"/>
      <c r="BW199" s="96" t="n"/>
      <c r="BX199" s="96" t="n"/>
      <c r="BY199" s="96" t="n"/>
      <c r="BZ199" s="96" t="n"/>
      <c r="CA199" s="96" t="n"/>
      <c r="CB199" s="96" t="n"/>
      <c r="CC199" s="96" t="n"/>
      <c r="CD199" s="96" t="n"/>
      <c r="CE199" s="96" t="n"/>
      <c r="CF199" s="96" t="n"/>
      <c r="CG199" s="96" t="n"/>
      <c r="CH199" s="96" t="n"/>
      <c r="CI199" s="96" t="n"/>
      <c r="CJ199" s="96" t="n"/>
      <c r="CK199" s="96" t="n"/>
      <c r="CL199" s="96" t="n"/>
      <c r="CM199" s="96" t="n"/>
      <c r="CN199" s="96" t="n"/>
      <c r="CO199" s="96" t="n"/>
      <c r="CP199" s="96" t="n"/>
      <c r="CQ199" s="96" t="n"/>
      <c r="CR199" s="96" t="n"/>
      <c r="CS199" s="96" t="n"/>
      <c r="CT199" s="96" t="n"/>
      <c r="CU199" s="96" t="n"/>
      <c r="CV199" s="96" t="n"/>
      <c r="CW199" s="96" t="n"/>
      <c r="CX199" s="96" t="n"/>
      <c r="CY199" s="96" t="n"/>
      <c r="CZ199" s="96" t="n"/>
      <c r="DA199" s="96" t="n"/>
      <c r="DB199" s="96" t="n"/>
      <c r="DC199" s="96" t="n"/>
      <c r="DD199" s="96" t="n"/>
      <c r="DE199" s="96" t="n"/>
      <c r="DF199" s="96" t="n"/>
      <c r="DG199" s="96" t="n"/>
      <c r="DH199" s="96" t="n"/>
      <c r="DI199" s="96" t="n"/>
      <c r="DJ199" s="96" t="n"/>
      <c r="DK199" s="96" t="n"/>
      <c r="DL199" s="96" t="n"/>
      <c r="DM199" s="96" t="n"/>
      <c r="DN199" s="96" t="n"/>
      <c r="DO199" s="96" t="n"/>
      <c r="DP199" s="96" t="n"/>
      <c r="DQ199" s="96" t="n"/>
      <c r="DR199" s="96" t="n"/>
    </row>
    <row r="200" ht="15.75" customHeight="1">
      <c r="B200" s="5" t="inlineStr">
        <is>
          <t>Licensing Revenue</t>
        </is>
      </c>
      <c r="E200" s="46">
        <f>+E108</f>
        <v/>
      </c>
      <c r="F200" s="46">
        <f>+F108</f>
        <v/>
      </c>
      <c r="G200" s="46">
        <f>+G108</f>
        <v/>
      </c>
      <c r="H200" s="46">
        <f>+H108</f>
        <v/>
      </c>
      <c r="I200" s="46">
        <f>+I108</f>
        <v/>
      </c>
      <c r="J200" s="46">
        <f>+J108</f>
        <v/>
      </c>
      <c r="K200" s="46">
        <f>+K108</f>
        <v/>
      </c>
      <c r="L200" s="46">
        <f>+L108</f>
        <v/>
      </c>
      <c r="M200" s="46">
        <f>+M108</f>
        <v/>
      </c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  <c r="AA200" s="96" t="n"/>
      <c r="AB200" s="96" t="n"/>
      <c r="AC200" s="96" t="n"/>
      <c r="AD200" s="96" t="n"/>
      <c r="AE200" s="96" t="n"/>
      <c r="AF200" s="96" t="n"/>
      <c r="AG200" s="96" t="n"/>
      <c r="AH200" s="96" t="n"/>
      <c r="AI200" s="96" t="n"/>
      <c r="AJ200" s="96" t="n"/>
      <c r="AK200" s="96" t="n"/>
      <c r="AL200" s="96" t="n"/>
      <c r="AM200" s="96" t="n"/>
      <c r="AN200" s="96" t="n"/>
      <c r="AO200" s="96" t="n"/>
      <c r="AP200" s="96" t="n"/>
      <c r="AQ200" s="96" t="n"/>
      <c r="AR200" s="96" t="n"/>
      <c r="AS200" s="96" t="n"/>
      <c r="AT200" s="96" t="n"/>
      <c r="AU200" s="96" t="n"/>
      <c r="AV200" s="96" t="n"/>
      <c r="AW200" s="96" t="n"/>
      <c r="AX200" s="96" t="n"/>
      <c r="AY200" s="96" t="n"/>
      <c r="AZ200" s="96" t="n"/>
      <c r="BA200" s="96" t="n"/>
      <c r="BB200" s="96" t="n"/>
      <c r="BC200" s="96" t="n"/>
      <c r="BD200" s="96" t="n"/>
      <c r="BE200" s="96" t="n"/>
      <c r="BF200" s="96" t="n"/>
      <c r="BG200" s="96" t="n"/>
      <c r="BH200" s="96" t="n"/>
      <c r="BI200" s="96" t="n"/>
      <c r="BJ200" s="96" t="n"/>
      <c r="BK200" s="96" t="n"/>
      <c r="BL200" s="96" t="n"/>
      <c r="BM200" s="96" t="n"/>
      <c r="BN200" s="96" t="n"/>
      <c r="BO200" s="96" t="n"/>
      <c r="BP200" s="96" t="n"/>
      <c r="BQ200" s="96" t="n"/>
      <c r="BR200" s="96" t="n"/>
      <c r="BS200" s="96" t="n"/>
      <c r="BT200" s="96" t="n"/>
      <c r="BU200" s="96" t="n"/>
      <c r="BV200" s="96" t="n"/>
      <c r="BW200" s="96" t="n"/>
      <c r="BX200" s="96" t="n"/>
      <c r="BY200" s="96" t="n"/>
      <c r="BZ200" s="96" t="n"/>
      <c r="CA200" s="96" t="n"/>
      <c r="CB200" s="96" t="n"/>
      <c r="CC200" s="96" t="n"/>
      <c r="CD200" s="96" t="n"/>
      <c r="CE200" s="96" t="n"/>
      <c r="CF200" s="96" t="n"/>
      <c r="CG200" s="96" t="n"/>
      <c r="CH200" s="96" t="n"/>
      <c r="CI200" s="96" t="n"/>
      <c r="CJ200" s="96" t="n"/>
      <c r="CK200" s="96" t="n"/>
      <c r="CL200" s="96" t="n"/>
      <c r="CM200" s="96" t="n"/>
      <c r="CN200" s="96" t="n"/>
      <c r="CO200" s="96" t="n"/>
      <c r="CP200" s="96" t="n"/>
      <c r="CQ200" s="96" t="n"/>
      <c r="CR200" s="96" t="n"/>
      <c r="CS200" s="96" t="n"/>
      <c r="CT200" s="96" t="n"/>
      <c r="CU200" s="96" t="n"/>
      <c r="CV200" s="96" t="n"/>
      <c r="CW200" s="96" t="n"/>
      <c r="CX200" s="96" t="n"/>
      <c r="CY200" s="96" t="n"/>
      <c r="CZ200" s="96" t="n"/>
      <c r="DA200" s="96" t="n"/>
      <c r="DB200" s="96" t="n"/>
      <c r="DC200" s="96" t="n"/>
      <c r="DD200" s="96" t="n"/>
      <c r="DE200" s="96" t="n"/>
      <c r="DF200" s="96" t="n"/>
      <c r="DG200" s="96" t="n"/>
      <c r="DH200" s="96" t="n"/>
      <c r="DI200" s="96" t="n"/>
      <c r="DJ200" s="96" t="n"/>
      <c r="DK200" s="96" t="n"/>
      <c r="DL200" s="96" t="n"/>
      <c r="DM200" s="96" t="n"/>
      <c r="DN200" s="96" t="n"/>
      <c r="DO200" s="96" t="n"/>
      <c r="DP200" s="96" t="n"/>
      <c r="DQ200" s="96" t="n"/>
      <c r="DR200" s="96" t="n"/>
    </row>
    <row r="201" ht="15.75" customHeight="1">
      <c r="B201" s="5" t="inlineStr">
        <is>
          <t>Percentage of Licensing</t>
        </is>
      </c>
      <c r="E201" s="45">
        <f>+E202/E200</f>
        <v/>
      </c>
      <c r="F201" s="45">
        <f>+F202/F200</f>
        <v/>
      </c>
      <c r="G201" s="45">
        <f>+G202/G200</f>
        <v/>
      </c>
      <c r="H201" s="45">
        <f>+H202/H200</f>
        <v/>
      </c>
      <c r="I201" s="45">
        <f>+I202/I200</f>
        <v/>
      </c>
      <c r="J201" s="105">
        <f>+Revenue_Assumptions!J45</f>
        <v/>
      </c>
      <c r="K201" s="105">
        <f>+Revenue_Assumptions!K45</f>
        <v/>
      </c>
      <c r="L201" s="105">
        <f>+Revenue_Assumptions!L45</f>
        <v/>
      </c>
      <c r="M201" s="105">
        <f>+Revenue_Assumptions!M45</f>
        <v/>
      </c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  <c r="AA201" s="96" t="n"/>
      <c r="AB201" s="96" t="n"/>
      <c r="AC201" s="96" t="n"/>
      <c r="AD201" s="96" t="n"/>
      <c r="AE201" s="96" t="n"/>
      <c r="AF201" s="96" t="n"/>
      <c r="AG201" s="96" t="n"/>
      <c r="AH201" s="96" t="n"/>
      <c r="AI201" s="96" t="n"/>
      <c r="AJ201" s="96" t="n"/>
      <c r="AK201" s="96" t="n"/>
      <c r="AL201" s="96" t="n"/>
      <c r="AM201" s="96" t="n"/>
      <c r="AN201" s="96" t="n"/>
      <c r="AO201" s="96" t="n"/>
      <c r="AP201" s="96" t="n"/>
      <c r="AQ201" s="96" t="n"/>
      <c r="AR201" s="96" t="n"/>
      <c r="AS201" s="96" t="n"/>
      <c r="AT201" s="96" t="n"/>
      <c r="AU201" s="96" t="n"/>
      <c r="AV201" s="96" t="n"/>
      <c r="AW201" s="96" t="n"/>
      <c r="AX201" s="96" t="n"/>
      <c r="AY201" s="96" t="n"/>
      <c r="AZ201" s="96" t="n"/>
      <c r="BA201" s="96" t="n"/>
      <c r="BB201" s="96" t="n"/>
      <c r="BC201" s="96" t="n"/>
      <c r="BD201" s="96" t="n"/>
      <c r="BE201" s="96" t="n"/>
      <c r="BF201" s="96" t="n"/>
      <c r="BG201" s="96" t="n"/>
      <c r="BH201" s="96" t="n"/>
      <c r="BI201" s="96" t="n"/>
      <c r="BJ201" s="96" t="n"/>
      <c r="BK201" s="96" t="n"/>
      <c r="BL201" s="96" t="n"/>
      <c r="BM201" s="96" t="n"/>
      <c r="BN201" s="96" t="n"/>
      <c r="BO201" s="96" t="n"/>
      <c r="BP201" s="96" t="n"/>
      <c r="BQ201" s="96" t="n"/>
      <c r="BR201" s="96" t="n"/>
      <c r="BS201" s="96" t="n"/>
      <c r="BT201" s="96" t="n"/>
      <c r="BU201" s="96" t="n"/>
      <c r="BV201" s="96" t="n"/>
      <c r="BW201" s="96" t="n"/>
      <c r="BX201" s="96" t="n"/>
      <c r="BY201" s="96" t="n"/>
      <c r="BZ201" s="96" t="n"/>
      <c r="CA201" s="96" t="n"/>
      <c r="CB201" s="96" t="n"/>
      <c r="CC201" s="96" t="n"/>
      <c r="CD201" s="96" t="n"/>
      <c r="CE201" s="96" t="n"/>
      <c r="CF201" s="96" t="n"/>
      <c r="CG201" s="96" t="n"/>
      <c r="CH201" s="96" t="n"/>
      <c r="CI201" s="96" t="n"/>
      <c r="CJ201" s="96" t="n"/>
      <c r="CK201" s="96" t="n"/>
      <c r="CL201" s="96" t="n"/>
      <c r="CM201" s="96" t="n"/>
      <c r="CN201" s="96" t="n"/>
      <c r="CO201" s="96" t="n"/>
      <c r="CP201" s="96" t="n"/>
      <c r="CQ201" s="96" t="n"/>
      <c r="CR201" s="96" t="n"/>
      <c r="CS201" s="96" t="n"/>
      <c r="CT201" s="96" t="n"/>
      <c r="CU201" s="96" t="n"/>
      <c r="CV201" s="96" t="n"/>
      <c r="CW201" s="96" t="n"/>
      <c r="CX201" s="96" t="n"/>
      <c r="CY201" s="96" t="n"/>
      <c r="CZ201" s="96" t="n"/>
      <c r="DA201" s="96" t="n"/>
      <c r="DB201" s="96" t="n"/>
      <c r="DC201" s="96" t="n"/>
      <c r="DD201" s="96" t="n"/>
      <c r="DE201" s="96" t="n"/>
      <c r="DF201" s="96" t="n"/>
      <c r="DG201" s="96" t="n"/>
      <c r="DH201" s="96" t="n"/>
      <c r="DI201" s="96" t="n"/>
      <c r="DJ201" s="96" t="n"/>
      <c r="DK201" s="96" t="n"/>
      <c r="DL201" s="96" t="n"/>
      <c r="DM201" s="96" t="n"/>
      <c r="DN201" s="96" t="n"/>
      <c r="DO201" s="96" t="n"/>
      <c r="DP201" s="96" t="n"/>
      <c r="DQ201" s="96" t="n"/>
      <c r="DR201" s="96" t="n"/>
    </row>
    <row r="202" ht="15.75" customHeight="1">
      <c r="B202" s="50" t="inlineStr">
        <is>
          <t>Managed Services Revenue</t>
        </is>
      </c>
      <c r="C202" s="50" t="n"/>
      <c r="E202" s="51">
        <f>+SUMIFS(E$128:E$173,$C$128:$C$173,$B199)</f>
        <v/>
      </c>
      <c r="F202" s="51">
        <f>+SUMIFS(F$128:F$173,$C$128:$C$173,$B199)</f>
        <v/>
      </c>
      <c r="G202" s="51">
        <f>+SUMIFS(G$128:G$173,$C$128:$C$173,$B199)</f>
        <v/>
      </c>
      <c r="H202" s="51">
        <f>+SUMIFS(H$128:H$173,$C$128:$C$173,$B199)</f>
        <v/>
      </c>
      <c r="I202" s="51">
        <f>+SUMIFS(I$128:I$173,$C$128:$C$173,$B199)</f>
        <v/>
      </c>
      <c r="J202" s="51">
        <f>+J200*J201</f>
        <v/>
      </c>
      <c r="K202" s="51">
        <f>+K200*K201</f>
        <v/>
      </c>
      <c r="L202" s="51">
        <f>+L200*L201</f>
        <v/>
      </c>
      <c r="M202" s="51">
        <f>+M200*M201</f>
        <v/>
      </c>
      <c r="N202" s="4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  <c r="AA202" s="96" t="n"/>
      <c r="AB202" s="96" t="n"/>
      <c r="AC202" s="96" t="n"/>
      <c r="AD202" s="96" t="n"/>
      <c r="AE202" s="96" t="n"/>
      <c r="AF202" s="96" t="n"/>
      <c r="AG202" s="96" t="n"/>
      <c r="AH202" s="96" t="n"/>
      <c r="AI202" s="96" t="n"/>
      <c r="AJ202" s="96" t="n"/>
      <c r="AK202" s="96" t="n"/>
      <c r="AL202" s="96" t="n"/>
      <c r="AM202" s="96" t="n"/>
      <c r="AN202" s="96" t="n"/>
      <c r="AO202" s="96" t="n"/>
      <c r="AP202" s="96" t="n"/>
      <c r="AQ202" s="96" t="n"/>
      <c r="AR202" s="96" t="n"/>
      <c r="AS202" s="96" t="n"/>
      <c r="AT202" s="96" t="n"/>
      <c r="AU202" s="96" t="n"/>
      <c r="AV202" s="96" t="n"/>
      <c r="AW202" s="96" t="n"/>
      <c r="AX202" s="96" t="n"/>
      <c r="AY202" s="96" t="n"/>
      <c r="AZ202" s="96" t="n"/>
      <c r="BA202" s="96" t="n"/>
      <c r="BB202" s="96" t="n"/>
      <c r="BC202" s="96" t="n"/>
      <c r="BD202" s="96" t="n"/>
      <c r="BE202" s="96" t="n"/>
      <c r="BF202" s="96" t="n"/>
      <c r="BG202" s="96" t="n"/>
      <c r="BH202" s="96" t="n"/>
      <c r="BI202" s="96" t="n"/>
      <c r="BJ202" s="96" t="n"/>
      <c r="BK202" s="96" t="n"/>
      <c r="BL202" s="96" t="n"/>
      <c r="BM202" s="96" t="n"/>
      <c r="BN202" s="96" t="n"/>
      <c r="BO202" s="96" t="n"/>
      <c r="BP202" s="96" t="n"/>
      <c r="BQ202" s="96" t="n"/>
      <c r="BR202" s="96" t="n"/>
      <c r="BS202" s="96" t="n"/>
      <c r="BT202" s="96" t="n"/>
      <c r="BU202" s="96" t="n"/>
      <c r="BV202" s="96" t="n"/>
      <c r="BW202" s="96" t="n"/>
      <c r="BX202" s="96" t="n"/>
      <c r="BY202" s="96" t="n"/>
      <c r="BZ202" s="96" t="n"/>
      <c r="CA202" s="96" t="n"/>
      <c r="CB202" s="96" t="n"/>
      <c r="CC202" s="96" t="n"/>
      <c r="CD202" s="96" t="n"/>
      <c r="CE202" s="96" t="n"/>
      <c r="CF202" s="96" t="n"/>
      <c r="CG202" s="96" t="n"/>
      <c r="CH202" s="96" t="n"/>
      <c r="CI202" s="96" t="n"/>
      <c r="CJ202" s="96" t="n"/>
      <c r="CK202" s="96" t="n"/>
      <c r="CL202" s="96" t="n"/>
      <c r="CM202" s="96" t="n"/>
      <c r="CN202" s="96" t="n"/>
      <c r="CO202" s="96" t="n"/>
      <c r="CP202" s="96" t="n"/>
      <c r="CQ202" s="96" t="n"/>
      <c r="CR202" s="96" t="n"/>
      <c r="CS202" s="96" t="n"/>
      <c r="CT202" s="96" t="n"/>
      <c r="CU202" s="96" t="n"/>
      <c r="CV202" s="96" t="n"/>
      <c r="CW202" s="96" t="n"/>
      <c r="CX202" s="96" t="n"/>
      <c r="CY202" s="96" t="n"/>
      <c r="CZ202" s="96" t="n"/>
      <c r="DA202" s="96" t="n"/>
      <c r="DB202" s="96" t="n"/>
      <c r="DC202" s="96" t="n"/>
      <c r="DD202" s="96" t="n"/>
      <c r="DE202" s="96" t="n"/>
      <c r="DF202" s="96" t="n"/>
      <c r="DG202" s="96" t="n"/>
      <c r="DH202" s="96" t="n"/>
      <c r="DI202" s="96" t="n"/>
      <c r="DJ202" s="96" t="n"/>
      <c r="DK202" s="96" t="n"/>
      <c r="DL202" s="96" t="n"/>
      <c r="DM202" s="96" t="n"/>
      <c r="DN202" s="96" t="n"/>
      <c r="DO202" s="96" t="n"/>
      <c r="DP202" s="96" t="n"/>
      <c r="DQ202" s="96" t="n"/>
      <c r="DR202" s="96" t="n"/>
    </row>
    <row r="203" ht="4.5" customHeight="1"/>
    <row r="204" ht="15.75" customHeight="1">
      <c r="B204" s="95" t="inlineStr">
        <is>
          <t>Lower Middle Market</t>
        </is>
      </c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  <c r="AA204" s="96" t="n"/>
      <c r="AB204" s="96" t="n"/>
      <c r="AC204" s="96" t="n"/>
      <c r="AD204" s="96" t="n"/>
      <c r="AE204" s="96" t="n"/>
      <c r="AF204" s="96" t="n"/>
      <c r="AG204" s="96" t="n"/>
      <c r="AH204" s="96" t="n"/>
      <c r="AI204" s="96" t="n"/>
      <c r="AJ204" s="96" t="n"/>
      <c r="AK204" s="96" t="n"/>
      <c r="AL204" s="96" t="n"/>
      <c r="AM204" s="96" t="n"/>
      <c r="AN204" s="96" t="n"/>
      <c r="AO204" s="96" t="n"/>
      <c r="AP204" s="96" t="n"/>
      <c r="AQ204" s="96" t="n"/>
      <c r="AR204" s="96" t="n"/>
      <c r="AS204" s="96" t="n"/>
      <c r="AT204" s="96" t="n"/>
      <c r="AU204" s="96" t="n"/>
      <c r="AV204" s="96" t="n"/>
      <c r="AW204" s="96" t="n"/>
      <c r="AX204" s="96" t="n"/>
      <c r="AY204" s="96" t="n"/>
      <c r="AZ204" s="96" t="n"/>
      <c r="BA204" s="96" t="n"/>
      <c r="BB204" s="96" t="n"/>
      <c r="BC204" s="96" t="n"/>
      <c r="BD204" s="96" t="n"/>
      <c r="BE204" s="96" t="n"/>
      <c r="BF204" s="96" t="n"/>
      <c r="BG204" s="96" t="n"/>
      <c r="BH204" s="96" t="n"/>
      <c r="BI204" s="96" t="n"/>
      <c r="BJ204" s="96" t="n"/>
      <c r="BK204" s="96" t="n"/>
      <c r="BL204" s="96" t="n"/>
      <c r="BM204" s="96" t="n"/>
      <c r="BN204" s="96" t="n"/>
      <c r="BO204" s="96" t="n"/>
      <c r="BP204" s="96" t="n"/>
      <c r="BQ204" s="96" t="n"/>
      <c r="BR204" s="96" t="n"/>
      <c r="BS204" s="96" t="n"/>
      <c r="BT204" s="96" t="n"/>
      <c r="BU204" s="96" t="n"/>
      <c r="BV204" s="96" t="n"/>
      <c r="BW204" s="96" t="n"/>
      <c r="BX204" s="96" t="n"/>
      <c r="BY204" s="96" t="n"/>
      <c r="BZ204" s="96" t="n"/>
      <c r="CA204" s="96" t="n"/>
      <c r="CB204" s="96" t="n"/>
      <c r="CC204" s="96" t="n"/>
      <c r="CD204" s="96" t="n"/>
      <c r="CE204" s="96" t="n"/>
      <c r="CF204" s="96" t="n"/>
      <c r="CG204" s="96" t="n"/>
      <c r="CH204" s="96" t="n"/>
      <c r="CI204" s="96" t="n"/>
      <c r="CJ204" s="96" t="n"/>
      <c r="CK204" s="96" t="n"/>
      <c r="CL204" s="96" t="n"/>
      <c r="CM204" s="96" t="n"/>
      <c r="CN204" s="96" t="n"/>
      <c r="CO204" s="96" t="n"/>
      <c r="CP204" s="96" t="n"/>
      <c r="CQ204" s="96" t="n"/>
      <c r="CR204" s="96" t="n"/>
      <c r="CS204" s="96" t="n"/>
      <c r="CT204" s="96" t="n"/>
      <c r="CU204" s="96" t="n"/>
      <c r="CV204" s="96" t="n"/>
      <c r="CW204" s="96" t="n"/>
      <c r="CX204" s="96" t="n"/>
      <c r="CY204" s="96" t="n"/>
      <c r="CZ204" s="96" t="n"/>
      <c r="DA204" s="96" t="n"/>
      <c r="DB204" s="96" t="n"/>
      <c r="DC204" s="96" t="n"/>
      <c r="DD204" s="96" t="n"/>
      <c r="DE204" s="96" t="n"/>
      <c r="DF204" s="96" t="n"/>
      <c r="DG204" s="96" t="n"/>
      <c r="DH204" s="96" t="n"/>
      <c r="DI204" s="96" t="n"/>
      <c r="DJ204" s="96" t="n"/>
      <c r="DK204" s="96" t="n"/>
      <c r="DL204" s="96" t="n"/>
      <c r="DM204" s="96" t="n"/>
      <c r="DN204" s="96" t="n"/>
      <c r="DO204" s="96" t="n"/>
      <c r="DP204" s="96" t="n"/>
      <c r="DQ204" s="96" t="n"/>
      <c r="DR204" s="96" t="n"/>
    </row>
    <row r="205" ht="15.75" customHeight="1">
      <c r="B205" s="5" t="inlineStr">
        <is>
          <t>Licensing Revenue</t>
        </is>
      </c>
      <c r="E205" s="46">
        <f>+E120</f>
        <v/>
      </c>
      <c r="F205" s="46">
        <f>+F120</f>
        <v/>
      </c>
      <c r="G205" s="46">
        <f>+G120</f>
        <v/>
      </c>
      <c r="H205" s="46">
        <f>+H120</f>
        <v/>
      </c>
      <c r="I205" s="46">
        <f>+I120</f>
        <v/>
      </c>
      <c r="J205" s="46">
        <f>+J120</f>
        <v/>
      </c>
      <c r="K205" s="46">
        <f>+K120</f>
        <v/>
      </c>
      <c r="L205" s="46">
        <f>+L120</f>
        <v/>
      </c>
      <c r="M205" s="46">
        <f>+M120</f>
        <v/>
      </c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  <c r="AA205" s="96" t="n"/>
      <c r="AB205" s="96" t="n"/>
      <c r="AC205" s="96" t="n"/>
      <c r="AD205" s="96" t="n"/>
      <c r="AE205" s="96" t="n"/>
      <c r="AF205" s="96" t="n"/>
      <c r="AG205" s="96" t="n"/>
      <c r="AH205" s="96" t="n"/>
      <c r="AI205" s="96" t="n"/>
      <c r="AJ205" s="96" t="n"/>
      <c r="AK205" s="96" t="n"/>
      <c r="AL205" s="96" t="n"/>
      <c r="AM205" s="96" t="n"/>
      <c r="AN205" s="96" t="n"/>
      <c r="AO205" s="96" t="n"/>
      <c r="AP205" s="96" t="n"/>
      <c r="AQ205" s="96" t="n"/>
      <c r="AR205" s="96" t="n"/>
      <c r="AS205" s="96" t="n"/>
      <c r="AT205" s="96" t="n"/>
      <c r="AU205" s="96" t="n"/>
      <c r="AV205" s="96" t="n"/>
      <c r="AW205" s="96" t="n"/>
      <c r="AX205" s="96" t="n"/>
      <c r="AY205" s="96" t="n"/>
      <c r="AZ205" s="96" t="n"/>
      <c r="BA205" s="96" t="n"/>
      <c r="BB205" s="96" t="n"/>
      <c r="BC205" s="96" t="n"/>
      <c r="BD205" s="96" t="n"/>
      <c r="BE205" s="96" t="n"/>
      <c r="BF205" s="96" t="n"/>
      <c r="BG205" s="96" t="n"/>
      <c r="BH205" s="96" t="n"/>
      <c r="BI205" s="96" t="n"/>
      <c r="BJ205" s="96" t="n"/>
      <c r="BK205" s="96" t="n"/>
      <c r="BL205" s="96" t="n"/>
      <c r="BM205" s="96" t="n"/>
      <c r="BN205" s="96" t="n"/>
      <c r="BO205" s="96" t="n"/>
      <c r="BP205" s="96" t="n"/>
      <c r="BQ205" s="96" t="n"/>
      <c r="BR205" s="96" t="n"/>
      <c r="BS205" s="96" t="n"/>
      <c r="BT205" s="96" t="n"/>
      <c r="BU205" s="96" t="n"/>
      <c r="BV205" s="96" t="n"/>
      <c r="BW205" s="96" t="n"/>
      <c r="BX205" s="96" t="n"/>
      <c r="BY205" s="96" t="n"/>
      <c r="BZ205" s="96" t="n"/>
      <c r="CA205" s="96" t="n"/>
      <c r="CB205" s="96" t="n"/>
      <c r="CC205" s="96" t="n"/>
      <c r="CD205" s="96" t="n"/>
      <c r="CE205" s="96" t="n"/>
      <c r="CF205" s="96" t="n"/>
      <c r="CG205" s="96" t="n"/>
      <c r="CH205" s="96" t="n"/>
      <c r="CI205" s="96" t="n"/>
      <c r="CJ205" s="96" t="n"/>
      <c r="CK205" s="96" t="n"/>
      <c r="CL205" s="96" t="n"/>
      <c r="CM205" s="96" t="n"/>
      <c r="CN205" s="96" t="n"/>
      <c r="CO205" s="96" t="n"/>
      <c r="CP205" s="96" t="n"/>
      <c r="CQ205" s="96" t="n"/>
      <c r="CR205" s="96" t="n"/>
      <c r="CS205" s="96" t="n"/>
      <c r="CT205" s="96" t="n"/>
      <c r="CU205" s="96" t="n"/>
      <c r="CV205" s="96" t="n"/>
      <c r="CW205" s="96" t="n"/>
      <c r="CX205" s="96" t="n"/>
      <c r="CY205" s="96" t="n"/>
      <c r="CZ205" s="96" t="n"/>
      <c r="DA205" s="96" t="n"/>
      <c r="DB205" s="96" t="n"/>
      <c r="DC205" s="96" t="n"/>
      <c r="DD205" s="96" t="n"/>
      <c r="DE205" s="96" t="n"/>
      <c r="DF205" s="96" t="n"/>
      <c r="DG205" s="96" t="n"/>
      <c r="DH205" s="96" t="n"/>
      <c r="DI205" s="96" t="n"/>
      <c r="DJ205" s="96" t="n"/>
      <c r="DK205" s="96" t="n"/>
      <c r="DL205" s="96" t="n"/>
      <c r="DM205" s="96" t="n"/>
      <c r="DN205" s="96" t="n"/>
      <c r="DO205" s="96" t="n"/>
      <c r="DP205" s="96" t="n"/>
      <c r="DQ205" s="96" t="n"/>
      <c r="DR205" s="96" t="n"/>
    </row>
    <row r="206" ht="15.75" customHeight="1">
      <c r="B206" s="5" t="inlineStr">
        <is>
          <t>Percentage of Licensing</t>
        </is>
      </c>
      <c r="E206" s="45">
        <f>+E207/E205</f>
        <v/>
      </c>
      <c r="F206" s="45">
        <f>+F207/F205</f>
        <v/>
      </c>
      <c r="G206" s="45">
        <f>+G207/G205</f>
        <v/>
      </c>
      <c r="H206" s="45">
        <f>+H207/H205</f>
        <v/>
      </c>
      <c r="I206" s="45">
        <f>+I207/I205</f>
        <v/>
      </c>
      <c r="J206" s="105">
        <f>+Revenue_Assumptions!J46</f>
        <v/>
      </c>
      <c r="K206" s="105">
        <f>+Revenue_Assumptions!K46</f>
        <v/>
      </c>
      <c r="L206" s="105">
        <f>+Revenue_Assumptions!L46</f>
        <v/>
      </c>
      <c r="M206" s="105">
        <f>+Revenue_Assumptions!M46</f>
        <v/>
      </c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  <c r="AA206" s="96" t="n"/>
      <c r="AB206" s="96" t="n"/>
      <c r="AC206" s="96" t="n"/>
      <c r="AD206" s="96" t="n"/>
      <c r="AE206" s="96" t="n"/>
      <c r="AF206" s="96" t="n"/>
      <c r="AG206" s="96" t="n"/>
      <c r="AH206" s="96" t="n"/>
      <c r="AI206" s="96" t="n"/>
      <c r="AJ206" s="96" t="n"/>
      <c r="AK206" s="96" t="n"/>
      <c r="AL206" s="96" t="n"/>
      <c r="AM206" s="96" t="n"/>
      <c r="AN206" s="96" t="n"/>
      <c r="AO206" s="96" t="n"/>
      <c r="AP206" s="96" t="n"/>
      <c r="AQ206" s="96" t="n"/>
      <c r="AR206" s="96" t="n"/>
      <c r="AS206" s="96" t="n"/>
      <c r="AT206" s="96" t="n"/>
      <c r="AU206" s="96" t="n"/>
      <c r="AV206" s="96" t="n"/>
      <c r="AW206" s="96" t="n"/>
      <c r="AX206" s="96" t="n"/>
      <c r="AY206" s="96" t="n"/>
      <c r="AZ206" s="96" t="n"/>
      <c r="BA206" s="96" t="n"/>
      <c r="BB206" s="96" t="n"/>
      <c r="BC206" s="96" t="n"/>
      <c r="BD206" s="96" t="n"/>
      <c r="BE206" s="96" t="n"/>
      <c r="BF206" s="96" t="n"/>
      <c r="BG206" s="96" t="n"/>
      <c r="BH206" s="96" t="n"/>
      <c r="BI206" s="96" t="n"/>
      <c r="BJ206" s="96" t="n"/>
      <c r="BK206" s="96" t="n"/>
      <c r="BL206" s="96" t="n"/>
      <c r="BM206" s="96" t="n"/>
      <c r="BN206" s="96" t="n"/>
      <c r="BO206" s="96" t="n"/>
      <c r="BP206" s="96" t="n"/>
      <c r="BQ206" s="96" t="n"/>
      <c r="BR206" s="96" t="n"/>
      <c r="BS206" s="96" t="n"/>
      <c r="BT206" s="96" t="n"/>
      <c r="BU206" s="96" t="n"/>
      <c r="BV206" s="96" t="n"/>
      <c r="BW206" s="96" t="n"/>
      <c r="BX206" s="96" t="n"/>
      <c r="BY206" s="96" t="n"/>
      <c r="BZ206" s="96" t="n"/>
      <c r="CA206" s="96" t="n"/>
      <c r="CB206" s="96" t="n"/>
      <c r="CC206" s="96" t="n"/>
      <c r="CD206" s="96" t="n"/>
      <c r="CE206" s="96" t="n"/>
      <c r="CF206" s="96" t="n"/>
      <c r="CG206" s="96" t="n"/>
      <c r="CH206" s="96" t="n"/>
      <c r="CI206" s="96" t="n"/>
      <c r="CJ206" s="96" t="n"/>
      <c r="CK206" s="96" t="n"/>
      <c r="CL206" s="96" t="n"/>
      <c r="CM206" s="96" t="n"/>
      <c r="CN206" s="96" t="n"/>
      <c r="CO206" s="96" t="n"/>
      <c r="CP206" s="96" t="n"/>
      <c r="CQ206" s="96" t="n"/>
      <c r="CR206" s="96" t="n"/>
      <c r="CS206" s="96" t="n"/>
      <c r="CT206" s="96" t="n"/>
      <c r="CU206" s="96" t="n"/>
      <c r="CV206" s="96" t="n"/>
      <c r="CW206" s="96" t="n"/>
      <c r="CX206" s="96" t="n"/>
      <c r="CY206" s="96" t="n"/>
      <c r="CZ206" s="96" t="n"/>
      <c r="DA206" s="96" t="n"/>
      <c r="DB206" s="96" t="n"/>
      <c r="DC206" s="96" t="n"/>
      <c r="DD206" s="96" t="n"/>
      <c r="DE206" s="96" t="n"/>
      <c r="DF206" s="96" t="n"/>
      <c r="DG206" s="96" t="n"/>
      <c r="DH206" s="96" t="n"/>
      <c r="DI206" s="96" t="n"/>
      <c r="DJ206" s="96" t="n"/>
      <c r="DK206" s="96" t="n"/>
      <c r="DL206" s="96" t="n"/>
      <c r="DM206" s="96" t="n"/>
      <c r="DN206" s="96" t="n"/>
      <c r="DO206" s="96" t="n"/>
      <c r="DP206" s="96" t="n"/>
      <c r="DQ206" s="96" t="n"/>
      <c r="DR206" s="96" t="n"/>
    </row>
    <row r="207" ht="15.75" customHeight="1">
      <c r="B207" s="50" t="inlineStr">
        <is>
          <t>Managed Services Revenue</t>
        </is>
      </c>
      <c r="C207" s="50" t="n"/>
      <c r="E207" s="51">
        <f>+SUMIFS(E$128:E$173,$C$128:$C$173,$B204)</f>
        <v/>
      </c>
      <c r="F207" s="51">
        <f>+SUMIFS(F$128:F$173,$C$128:$C$173,$B204)</f>
        <v/>
      </c>
      <c r="G207" s="51">
        <f>+SUMIFS(G$128:G$173,$C$128:$C$173,$B204)</f>
        <v/>
      </c>
      <c r="H207" s="51">
        <f>+SUMIFS(H$128:H$173,$C$128:$C$173,$B204)</f>
        <v/>
      </c>
      <c r="I207" s="51">
        <f>+SUMIFS(I$128:I$173,$C$128:$C$173,$B204)</f>
        <v/>
      </c>
      <c r="J207" s="51">
        <f>+J205*J206</f>
        <v/>
      </c>
      <c r="K207" s="51">
        <f>+K205*K206</f>
        <v/>
      </c>
      <c r="L207" s="51">
        <f>+L205*L206</f>
        <v/>
      </c>
      <c r="M207" s="51">
        <f>+M205*M206</f>
        <v/>
      </c>
      <c r="N207" s="4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  <c r="AA207" s="96" t="n"/>
      <c r="AB207" s="96" t="n"/>
      <c r="AC207" s="96" t="n"/>
      <c r="AD207" s="96" t="n"/>
      <c r="AE207" s="96" t="n"/>
      <c r="AF207" s="96" t="n"/>
      <c r="AG207" s="96" t="n"/>
      <c r="AH207" s="96" t="n"/>
      <c r="AI207" s="96" t="n"/>
      <c r="AJ207" s="96" t="n"/>
      <c r="AK207" s="96" t="n"/>
      <c r="AL207" s="96" t="n"/>
      <c r="AM207" s="96" t="n"/>
      <c r="AN207" s="96" t="n"/>
      <c r="AO207" s="96" t="n"/>
      <c r="AP207" s="96" t="n"/>
      <c r="AQ207" s="96" t="n"/>
      <c r="AR207" s="96" t="n"/>
      <c r="AS207" s="96" t="n"/>
      <c r="AT207" s="96" t="n"/>
      <c r="AU207" s="96" t="n"/>
      <c r="AV207" s="96" t="n"/>
      <c r="AW207" s="96" t="n"/>
      <c r="AX207" s="96" t="n"/>
      <c r="AY207" s="96" t="n"/>
      <c r="AZ207" s="96" t="n"/>
      <c r="BA207" s="96" t="n"/>
      <c r="BB207" s="96" t="n"/>
      <c r="BC207" s="96" t="n"/>
      <c r="BD207" s="96" t="n"/>
      <c r="BE207" s="96" t="n"/>
      <c r="BF207" s="96" t="n"/>
      <c r="BG207" s="96" t="n"/>
      <c r="BH207" s="96" t="n"/>
      <c r="BI207" s="96" t="n"/>
      <c r="BJ207" s="96" t="n"/>
      <c r="BK207" s="96" t="n"/>
      <c r="BL207" s="96" t="n"/>
      <c r="BM207" s="96" t="n"/>
      <c r="BN207" s="96" t="n"/>
      <c r="BO207" s="96" t="n"/>
      <c r="BP207" s="96" t="n"/>
      <c r="BQ207" s="96" t="n"/>
      <c r="BR207" s="96" t="n"/>
      <c r="BS207" s="96" t="n"/>
      <c r="BT207" s="96" t="n"/>
      <c r="BU207" s="96" t="n"/>
      <c r="BV207" s="96" t="n"/>
      <c r="BW207" s="96" t="n"/>
      <c r="BX207" s="96" t="n"/>
      <c r="BY207" s="96" t="n"/>
      <c r="BZ207" s="96" t="n"/>
      <c r="CA207" s="96" t="n"/>
      <c r="CB207" s="96" t="n"/>
      <c r="CC207" s="96" t="n"/>
      <c r="CD207" s="96" t="n"/>
      <c r="CE207" s="96" t="n"/>
      <c r="CF207" s="96" t="n"/>
      <c r="CG207" s="96" t="n"/>
      <c r="CH207" s="96" t="n"/>
      <c r="CI207" s="96" t="n"/>
      <c r="CJ207" s="96" t="n"/>
      <c r="CK207" s="96" t="n"/>
      <c r="CL207" s="96" t="n"/>
      <c r="CM207" s="96" t="n"/>
      <c r="CN207" s="96" t="n"/>
      <c r="CO207" s="96" t="n"/>
      <c r="CP207" s="96" t="n"/>
      <c r="CQ207" s="96" t="n"/>
      <c r="CR207" s="96" t="n"/>
      <c r="CS207" s="96" t="n"/>
      <c r="CT207" s="96" t="n"/>
      <c r="CU207" s="96" t="n"/>
      <c r="CV207" s="96" t="n"/>
      <c r="CW207" s="96" t="n"/>
      <c r="CX207" s="96" t="n"/>
      <c r="CY207" s="96" t="n"/>
      <c r="CZ207" s="96" t="n"/>
      <c r="DA207" s="96" t="n"/>
      <c r="DB207" s="96" t="n"/>
      <c r="DC207" s="96" t="n"/>
      <c r="DD207" s="96" t="n"/>
      <c r="DE207" s="96" t="n"/>
      <c r="DF207" s="96" t="n"/>
      <c r="DG207" s="96" t="n"/>
      <c r="DH207" s="96" t="n"/>
      <c r="DI207" s="96" t="n"/>
      <c r="DJ207" s="96" t="n"/>
      <c r="DK207" s="96" t="n"/>
      <c r="DL207" s="96" t="n"/>
      <c r="DM207" s="96" t="n"/>
      <c r="DN207" s="96" t="n"/>
      <c r="DO207" s="96" t="n"/>
      <c r="DP207" s="96" t="n"/>
      <c r="DQ207" s="96" t="n"/>
      <c r="DR207" s="96" t="n"/>
    </row>
    <row r="208" ht="4.5" customHeight="1"/>
    <row r="209" ht="15.75" customHeight="1">
      <c r="B209" s="56" t="inlineStr">
        <is>
          <t>Total Managed Services Revenue</t>
        </is>
      </c>
      <c r="C209" s="56" t="n"/>
      <c r="E209" s="57">
        <f>+SUM(E192,E197,E202,E207)</f>
        <v/>
      </c>
      <c r="F209" s="57">
        <f>+SUM(F192,F197,F202,F207)</f>
        <v/>
      </c>
      <c r="G209" s="57">
        <f>+SUM(G192,G197,G202,G207)</f>
        <v/>
      </c>
      <c r="H209" s="57">
        <f>+SUM(H192,H197,H202,H207)</f>
        <v/>
      </c>
      <c r="I209" s="99">
        <f>+SUMIFS($O209:$DR209,$O$7:$DR$7,I$7)</f>
        <v/>
      </c>
      <c r="J209" s="57">
        <f>+SUM(J192,J197,J202,J207)</f>
        <v/>
      </c>
      <c r="K209" s="57">
        <f>+SUM(K192,K197,K202,K207)</f>
        <v/>
      </c>
      <c r="L209" s="57">
        <f>+SUM(L192,L197,L202,L207)</f>
        <v/>
      </c>
      <c r="M209" s="57">
        <f>+SUM(M192,M197,M202,M207)</f>
        <v/>
      </c>
      <c r="O209" s="57">
        <f>+O175</f>
        <v/>
      </c>
      <c r="P209" s="57">
        <f>+P175</f>
        <v/>
      </c>
      <c r="Q209" s="57">
        <f>+Q175</f>
        <v/>
      </c>
      <c r="R209" s="57">
        <f>+R175</f>
        <v/>
      </c>
      <c r="S209" s="57">
        <f>+S175</f>
        <v/>
      </c>
      <c r="T209" s="57">
        <f>+T175</f>
        <v/>
      </c>
      <c r="U209" s="57">
        <f>+U175</f>
        <v/>
      </c>
      <c r="V209" s="57">
        <f>+V175</f>
        <v/>
      </c>
      <c r="W209" s="57">
        <f>+W175</f>
        <v/>
      </c>
      <c r="X209" s="57">
        <f>+X175</f>
        <v/>
      </c>
      <c r="Y209" s="57">
        <f>+Y175</f>
        <v/>
      </c>
      <c r="Z209" s="57">
        <f>+Z175</f>
        <v/>
      </c>
      <c r="AA209" s="57">
        <f>+AA175</f>
        <v/>
      </c>
      <c r="AB209" s="57">
        <f>+AB175</f>
        <v/>
      </c>
      <c r="AC209" s="57">
        <f>+AC175</f>
        <v/>
      </c>
      <c r="AD209" s="57">
        <f>+AD175</f>
        <v/>
      </c>
      <c r="AE209" s="57">
        <f>+AE175</f>
        <v/>
      </c>
      <c r="AF209" s="57">
        <f>+AF175</f>
        <v/>
      </c>
      <c r="AG209" s="57">
        <f>+AG175</f>
        <v/>
      </c>
      <c r="AH209" s="57">
        <f>+AH175</f>
        <v/>
      </c>
      <c r="AI209" s="57">
        <f>+AI175</f>
        <v/>
      </c>
      <c r="AJ209" s="57">
        <f>+AJ175</f>
        <v/>
      </c>
      <c r="AK209" s="57">
        <f>+AK175</f>
        <v/>
      </c>
      <c r="AL209" s="57">
        <f>+AL175</f>
        <v/>
      </c>
      <c r="AM209" s="57">
        <f>+AM175</f>
        <v/>
      </c>
      <c r="AN209" s="57">
        <f>+AN175</f>
        <v/>
      </c>
      <c r="AO209" s="57">
        <f>+AO175</f>
        <v/>
      </c>
      <c r="AP209" s="57">
        <f>+AP175</f>
        <v/>
      </c>
      <c r="AQ209" s="57">
        <f>+AQ175</f>
        <v/>
      </c>
      <c r="AR209" s="57">
        <f>+AR175</f>
        <v/>
      </c>
      <c r="AS209" s="57">
        <f>+AS175</f>
        <v/>
      </c>
      <c r="AT209" s="57">
        <f>+AT175</f>
        <v/>
      </c>
      <c r="AU209" s="57">
        <f>+AU175</f>
        <v/>
      </c>
      <c r="AV209" s="57">
        <f>+AV175</f>
        <v/>
      </c>
      <c r="AW209" s="57">
        <f>+AW175</f>
        <v/>
      </c>
      <c r="AX209" s="57">
        <f>+AX175</f>
        <v/>
      </c>
      <c r="AY209" s="57">
        <f>+AY175</f>
        <v/>
      </c>
      <c r="AZ209" s="57">
        <f>+AZ175</f>
        <v/>
      </c>
      <c r="BA209" s="57">
        <f>+BA175</f>
        <v/>
      </c>
      <c r="BB209" s="57">
        <f>+BB175</f>
        <v/>
      </c>
      <c r="BC209" s="57">
        <f>+BC175</f>
        <v/>
      </c>
      <c r="BD209" s="57">
        <f>+BD175</f>
        <v/>
      </c>
      <c r="BE209" s="57">
        <f>+BE175</f>
        <v/>
      </c>
      <c r="BF209" s="57">
        <f>+BF175</f>
        <v/>
      </c>
      <c r="BG209" s="57">
        <f>+BG175</f>
        <v/>
      </c>
      <c r="BH209" s="57">
        <f>+BH175</f>
        <v/>
      </c>
      <c r="BI209" s="57">
        <f>+BI175</f>
        <v/>
      </c>
      <c r="BJ209" s="57">
        <f>+BJ175</f>
        <v/>
      </c>
      <c r="BK209" s="57">
        <f>+BK175</f>
        <v/>
      </c>
      <c r="BL209" s="57">
        <f>+BL175</f>
        <v/>
      </c>
      <c r="BM209" s="57">
        <f>+BM175</f>
        <v/>
      </c>
      <c r="BN209" s="57">
        <f>+BN175</f>
        <v/>
      </c>
      <c r="BO209" s="57">
        <f>+BO175</f>
        <v/>
      </c>
      <c r="BP209" s="57">
        <f>+BP175</f>
        <v/>
      </c>
      <c r="BQ209" s="57">
        <f>+BQ175</f>
        <v/>
      </c>
      <c r="BR209" s="57">
        <f>+BR175</f>
        <v/>
      </c>
      <c r="BS209" s="57">
        <f>+BS175</f>
        <v/>
      </c>
      <c r="BT209" s="57">
        <f>+BT175</f>
        <v/>
      </c>
      <c r="BU209" s="57">
        <f>+BU175</f>
        <v/>
      </c>
      <c r="BV209" s="57">
        <f>+BV175</f>
        <v/>
      </c>
      <c r="BW209" s="99">
        <f>+SUMIFS($E209:$M209,$E$7:$M$7,BW$7)*BW210</f>
        <v/>
      </c>
      <c r="BX209" s="99">
        <f>+SUMIFS($E209:$M209,$E$7:$M$7,BX$7)*BX210</f>
        <v/>
      </c>
      <c r="BY209" s="99">
        <f>+SUMIFS($E209:$M209,$E$7:$M$7,BY$7)*BY210</f>
        <v/>
      </c>
      <c r="BZ209" s="99">
        <f>+SUMIFS($E209:$M209,$E$7:$M$7,BZ$7)*BZ210</f>
        <v/>
      </c>
      <c r="CA209" s="99">
        <f>+SUMIFS($E209:$M209,$E$7:$M$7,CA$7)*CA210</f>
        <v/>
      </c>
      <c r="CB209" s="99">
        <f>+SUMIFS($E209:$M209,$E$7:$M$7,CB$7)*CB210</f>
        <v/>
      </c>
      <c r="CC209" s="99">
        <f>+SUMIFS($E209:$M209,$E$7:$M$7,CC$7)*CC210</f>
        <v/>
      </c>
      <c r="CD209" s="99">
        <f>+SUMIFS($E209:$M209,$E$7:$M$7,CD$7)*CD210</f>
        <v/>
      </c>
      <c r="CE209" s="99">
        <f>+SUMIFS($E209:$M209,$E$7:$M$7,CE$7)*CE210</f>
        <v/>
      </c>
      <c r="CF209" s="99">
        <f>+SUMIFS($E209:$M209,$E$7:$M$7,CF$7)*CF210</f>
        <v/>
      </c>
      <c r="CG209" s="99">
        <f>+SUMIFS($E209:$M209,$E$7:$M$7,CG$7)*CG210</f>
        <v/>
      </c>
      <c r="CH209" s="99">
        <f>+SUMIFS($E209:$M209,$E$7:$M$7,CH$7)*CH210</f>
        <v/>
      </c>
      <c r="CI209" s="99">
        <f>+SUMIFS($E209:$M209,$E$7:$M$7,CI$7)*CI210</f>
        <v/>
      </c>
      <c r="CJ209" s="99">
        <f>+SUMIFS($E209:$M209,$E$7:$M$7,CJ$7)*CJ210</f>
        <v/>
      </c>
      <c r="CK209" s="99">
        <f>+SUMIFS($E209:$M209,$E$7:$M$7,CK$7)*CK210</f>
        <v/>
      </c>
      <c r="CL209" s="99">
        <f>+SUMIFS($E209:$M209,$E$7:$M$7,CL$7)*CL210</f>
        <v/>
      </c>
      <c r="CM209" s="99">
        <f>+SUMIFS($E209:$M209,$E$7:$M$7,CM$7)*CM210</f>
        <v/>
      </c>
      <c r="CN209" s="99">
        <f>+SUMIFS($E209:$M209,$E$7:$M$7,CN$7)*CN210</f>
        <v/>
      </c>
      <c r="CO209" s="99">
        <f>+SUMIFS($E209:$M209,$E$7:$M$7,CO$7)*CO210</f>
        <v/>
      </c>
      <c r="CP209" s="99">
        <f>+SUMIFS($E209:$M209,$E$7:$M$7,CP$7)*CP210</f>
        <v/>
      </c>
      <c r="CQ209" s="99">
        <f>+SUMIFS($E209:$M209,$E$7:$M$7,CQ$7)*CQ210</f>
        <v/>
      </c>
      <c r="CR209" s="99">
        <f>+SUMIFS($E209:$M209,$E$7:$M$7,CR$7)*CR210</f>
        <v/>
      </c>
      <c r="CS209" s="99">
        <f>+SUMIFS($E209:$M209,$E$7:$M$7,CS$7)*CS210</f>
        <v/>
      </c>
      <c r="CT209" s="99">
        <f>+SUMIFS($E209:$M209,$E$7:$M$7,CT$7)*CT210</f>
        <v/>
      </c>
      <c r="CU209" s="99">
        <f>+SUMIFS($E209:$M209,$E$7:$M$7,CU$7)*CU210</f>
        <v/>
      </c>
      <c r="CV209" s="99">
        <f>+SUMIFS($E209:$M209,$E$7:$M$7,CV$7)*CV210</f>
        <v/>
      </c>
      <c r="CW209" s="99">
        <f>+SUMIFS($E209:$M209,$E$7:$M$7,CW$7)*CW210</f>
        <v/>
      </c>
      <c r="CX209" s="99">
        <f>+SUMIFS($E209:$M209,$E$7:$M$7,CX$7)*CX210</f>
        <v/>
      </c>
      <c r="CY209" s="99">
        <f>+SUMIFS($E209:$M209,$E$7:$M$7,CY$7)*CY210</f>
        <v/>
      </c>
      <c r="CZ209" s="99">
        <f>+SUMIFS($E209:$M209,$E$7:$M$7,CZ$7)*CZ210</f>
        <v/>
      </c>
      <c r="DA209" s="99">
        <f>+SUMIFS($E209:$M209,$E$7:$M$7,DA$7)*DA210</f>
        <v/>
      </c>
      <c r="DB209" s="99">
        <f>+SUMIFS($E209:$M209,$E$7:$M$7,DB$7)*DB210</f>
        <v/>
      </c>
      <c r="DC209" s="99">
        <f>+SUMIFS($E209:$M209,$E$7:$M$7,DC$7)*DC210</f>
        <v/>
      </c>
      <c r="DD209" s="99">
        <f>+SUMIFS($E209:$M209,$E$7:$M$7,DD$7)*DD210</f>
        <v/>
      </c>
      <c r="DE209" s="99">
        <f>+SUMIFS($E209:$M209,$E$7:$M$7,DE$7)*DE210</f>
        <v/>
      </c>
      <c r="DF209" s="99">
        <f>+SUMIFS($E209:$M209,$E$7:$M$7,DF$7)*DF210</f>
        <v/>
      </c>
      <c r="DG209" s="99">
        <f>+SUMIFS($E209:$M209,$E$7:$M$7,DG$7)*DG210</f>
        <v/>
      </c>
      <c r="DH209" s="99">
        <f>+SUMIFS($E209:$M209,$E$7:$M$7,DH$7)*DH210</f>
        <v/>
      </c>
      <c r="DI209" s="99">
        <f>+SUMIFS($E209:$M209,$E$7:$M$7,DI$7)*DI210</f>
        <v/>
      </c>
      <c r="DJ209" s="99">
        <f>+SUMIFS($E209:$M209,$E$7:$M$7,DJ$7)*DJ210</f>
        <v/>
      </c>
      <c r="DK209" s="99">
        <f>+SUMIFS($E209:$M209,$E$7:$M$7,DK$7)*DK210</f>
        <v/>
      </c>
      <c r="DL209" s="99">
        <f>+SUMIFS($E209:$M209,$E$7:$M$7,DL$7)*DL210</f>
        <v/>
      </c>
      <c r="DM209" s="99">
        <f>+SUMIFS($E209:$M209,$E$7:$M$7,DM$7)*DM210</f>
        <v/>
      </c>
      <c r="DN209" s="99">
        <f>+SUMIFS($E209:$M209,$E$7:$M$7,DN$7)*DN210</f>
        <v/>
      </c>
      <c r="DO209" s="99">
        <f>+SUMIFS($E209:$M209,$E$7:$M$7,DO$7)*DO210</f>
        <v/>
      </c>
      <c r="DP209" s="99">
        <f>+SUMIFS($E209:$M209,$E$7:$M$7,DP$7)*DP210</f>
        <v/>
      </c>
      <c r="DQ209" s="99">
        <f>+SUMIFS($E209:$M209,$E$7:$M$7,DQ$7)*DQ210</f>
        <v/>
      </c>
      <c r="DR209" s="99">
        <f>+SUMIFS($E209:$M209,$E$7:$M$7,DR$7)*DR210</f>
        <v/>
      </c>
    </row>
    <row r="210" ht="15.75" customHeight="1">
      <c r="B210" s="66" t="inlineStr">
        <is>
          <t>% Seasonality</t>
        </is>
      </c>
      <c r="E210" s="100">
        <f>+E209/SUMIFS($O209:$DR209,$O$7:$DR$7,E$7)</f>
        <v/>
      </c>
      <c r="F210" s="100">
        <f>+F209/SUMIFS($O209:$DR209,$O$7:$DR$7,F$7)</f>
        <v/>
      </c>
      <c r="G210" s="100">
        <f>+G209/SUMIFS($O209:$DR209,$O$7:$DR$7,G$7)</f>
        <v/>
      </c>
      <c r="H210" s="100">
        <f>+H209/SUMIFS($O209:$DR209,$O$7:$DR$7,H$7)</f>
        <v/>
      </c>
      <c r="I210" s="100">
        <f>+I209/SUMIFS($O209:$DR209,$O$7:$DR$7,I$7)</f>
        <v/>
      </c>
      <c r="J210" s="100">
        <f>+J209/SUMIFS($O209:$DR209,$O$7:$DR$7,J$7)</f>
        <v/>
      </c>
      <c r="K210" s="100">
        <f>+K209/SUMIFS($O209:$DR209,$O$7:$DR$7,K$7)</f>
        <v/>
      </c>
      <c r="L210" s="100">
        <f>+L209/SUMIFS($O209:$DR209,$O$7:$DR$7,L$7)</f>
        <v/>
      </c>
      <c r="M210" s="100">
        <f>+M209/SUMIFS($O209:$DR209,$O$7:$DR$7,M$7)</f>
        <v/>
      </c>
      <c r="O210" s="100">
        <f>+O209/SUMIFS($O209:$DR209,$O$7:$DR$7,O$7)</f>
        <v/>
      </c>
      <c r="P210" s="100">
        <f>+P209/SUMIFS($O209:$DR209,$O$7:$DR$7,P$7)</f>
        <v/>
      </c>
      <c r="Q210" s="100">
        <f>+Q209/SUMIFS($O209:$DR209,$O$7:$DR$7,Q$7)</f>
        <v/>
      </c>
      <c r="R210" s="100">
        <f>+R209/SUMIFS($O209:$DR209,$O$7:$DR$7,R$7)</f>
        <v/>
      </c>
      <c r="S210" s="100">
        <f>+S209/SUMIFS($O209:$DR209,$O$7:$DR$7,S$7)</f>
        <v/>
      </c>
      <c r="T210" s="100">
        <f>+T209/SUMIFS($O209:$DR209,$O$7:$DR$7,T$7)</f>
        <v/>
      </c>
      <c r="U210" s="100">
        <f>+U209/SUMIFS($O209:$DR209,$O$7:$DR$7,U$7)</f>
        <v/>
      </c>
      <c r="V210" s="100">
        <f>+V209/SUMIFS($O209:$DR209,$O$7:$DR$7,V$7)</f>
        <v/>
      </c>
      <c r="W210" s="100">
        <f>+W209/SUMIFS($O209:$DR209,$O$7:$DR$7,W$7)</f>
        <v/>
      </c>
      <c r="X210" s="100">
        <f>+X209/SUMIFS($O209:$DR209,$O$7:$DR$7,X$7)</f>
        <v/>
      </c>
      <c r="Y210" s="100">
        <f>+Y209/SUMIFS($O209:$DR209,$O$7:$DR$7,Y$7)</f>
        <v/>
      </c>
      <c r="Z210" s="100">
        <f>+Z209/SUMIFS($O209:$DR209,$O$7:$DR$7,Z$7)</f>
        <v/>
      </c>
      <c r="AA210" s="100">
        <f>+AA209/SUMIFS($O209:$DR209,$O$7:$DR$7,AA$7)</f>
        <v/>
      </c>
      <c r="AB210" s="100">
        <f>+AB209/SUMIFS($O209:$DR209,$O$7:$DR$7,AB$7)</f>
        <v/>
      </c>
      <c r="AC210" s="100">
        <f>+AC209/SUMIFS($O209:$DR209,$O$7:$DR$7,AC$7)</f>
        <v/>
      </c>
      <c r="AD210" s="100">
        <f>+AD209/SUMIFS($O209:$DR209,$O$7:$DR$7,AD$7)</f>
        <v/>
      </c>
      <c r="AE210" s="100">
        <f>+AE209/SUMIFS($O209:$DR209,$O$7:$DR$7,AE$7)</f>
        <v/>
      </c>
      <c r="AF210" s="100">
        <f>+AF209/SUMIFS($O209:$DR209,$O$7:$DR$7,AF$7)</f>
        <v/>
      </c>
      <c r="AG210" s="100">
        <f>+AG209/SUMIFS($O209:$DR209,$O$7:$DR$7,AG$7)</f>
        <v/>
      </c>
      <c r="AH210" s="100">
        <f>+AH209/SUMIFS($O209:$DR209,$O$7:$DR$7,AH$7)</f>
        <v/>
      </c>
      <c r="AI210" s="100">
        <f>+AI209/SUMIFS($O209:$DR209,$O$7:$DR$7,AI$7)</f>
        <v/>
      </c>
      <c r="AJ210" s="100">
        <f>+AJ209/SUMIFS($O209:$DR209,$O$7:$DR$7,AJ$7)</f>
        <v/>
      </c>
      <c r="AK210" s="100">
        <f>+AK209/SUMIFS($O209:$DR209,$O$7:$DR$7,AK$7)</f>
        <v/>
      </c>
      <c r="AL210" s="100">
        <f>+AL209/SUMIFS($O209:$DR209,$O$7:$DR$7,AL$7)</f>
        <v/>
      </c>
      <c r="AM210" s="100">
        <f>+AM209/SUMIFS($O209:$DR209,$O$7:$DR$7,AM$7)</f>
        <v/>
      </c>
      <c r="AN210" s="100">
        <f>+AN209/SUMIFS($O209:$DR209,$O$7:$DR$7,AN$7)</f>
        <v/>
      </c>
      <c r="AO210" s="100">
        <f>+AO209/SUMIFS($O209:$DR209,$O$7:$DR$7,AO$7)</f>
        <v/>
      </c>
      <c r="AP210" s="100">
        <f>+AP209/SUMIFS($O209:$DR209,$O$7:$DR$7,AP$7)</f>
        <v/>
      </c>
      <c r="AQ210" s="100">
        <f>+AQ209/SUMIFS($O209:$DR209,$O$7:$DR$7,AQ$7)</f>
        <v/>
      </c>
      <c r="AR210" s="100">
        <f>+AR209/SUMIFS($O209:$DR209,$O$7:$DR$7,AR$7)</f>
        <v/>
      </c>
      <c r="AS210" s="100">
        <f>+AS209/SUMIFS($O209:$DR209,$O$7:$DR$7,AS$7)</f>
        <v/>
      </c>
      <c r="AT210" s="100">
        <f>+AT209/SUMIFS($O209:$DR209,$O$7:$DR$7,AT$7)</f>
        <v/>
      </c>
      <c r="AU210" s="100">
        <f>+AU209/SUMIFS($O209:$DR209,$O$7:$DR$7,AU$7)</f>
        <v/>
      </c>
      <c r="AV210" s="100">
        <f>+AV209/SUMIFS($O209:$DR209,$O$7:$DR$7,AV$7)</f>
        <v/>
      </c>
      <c r="AW210" s="100">
        <f>+AW209/SUMIFS($O209:$DR209,$O$7:$DR$7,AW$7)</f>
        <v/>
      </c>
      <c r="AX210" s="100">
        <f>+AX209/SUMIFS($O209:$DR209,$O$7:$DR$7,AX$7)</f>
        <v/>
      </c>
      <c r="AY210" s="100">
        <f>+AY209/SUMIFS($O209:$DR209,$O$7:$DR$7,AY$7)</f>
        <v/>
      </c>
      <c r="AZ210" s="100">
        <f>+AZ209/SUMIFS($O209:$DR209,$O$7:$DR$7,AZ$7)</f>
        <v/>
      </c>
      <c r="BA210" s="100">
        <f>+BA209/SUMIFS($O209:$DR209,$O$7:$DR$7,BA$7)</f>
        <v/>
      </c>
      <c r="BB210" s="100">
        <f>+BB209/SUMIFS($O209:$DR209,$O$7:$DR$7,BB$7)</f>
        <v/>
      </c>
      <c r="BC210" s="100">
        <f>+BC209/SUMIFS($O209:$DR209,$O$7:$DR$7,BC$7)</f>
        <v/>
      </c>
      <c r="BD210" s="100">
        <f>+BD209/SUMIFS($O209:$DR209,$O$7:$DR$7,BD$7)</f>
        <v/>
      </c>
      <c r="BE210" s="100">
        <f>+BE209/SUMIFS($O209:$DR209,$O$7:$DR$7,BE$7)</f>
        <v/>
      </c>
      <c r="BF210" s="100">
        <f>+BF209/SUMIFS($O209:$DR209,$O$7:$DR$7,BF$7)</f>
        <v/>
      </c>
      <c r="BG210" s="100">
        <f>+BG209/SUMIFS($O209:$DR209,$O$7:$DR$7,BG$7)</f>
        <v/>
      </c>
      <c r="BH210" s="100">
        <f>+BH209/SUMIFS($O209:$DR209,$O$7:$DR$7,BH$7)</f>
        <v/>
      </c>
      <c r="BI210" s="100">
        <f>+BI209/SUMIFS($O209:$DR209,$O$7:$DR$7,BI$7)</f>
        <v/>
      </c>
      <c r="BJ210" s="100">
        <f>+BJ209/SUMIFS($O209:$DR209,$O$7:$DR$7,BJ$7)</f>
        <v/>
      </c>
      <c r="BK210" s="100">
        <f>+BK209/SUMIFS($O209:$DR209,$O$7:$DR$7,BK$7)</f>
        <v/>
      </c>
      <c r="BL210" s="100">
        <f>+BL209/SUMIFS($O209:$DR209,$O$7:$DR$7,BL$7)</f>
        <v/>
      </c>
      <c r="BM210" s="100">
        <f>+BM209/SUMIFS($O209:$DR209,$O$7:$DR$7,BM$7)</f>
        <v/>
      </c>
      <c r="BN210" s="100">
        <f>+BN209/SUMIFS($O209:$DR209,$O$7:$DR$7,BN$7)</f>
        <v/>
      </c>
      <c r="BO210" s="100">
        <f>+BO209/SUMIFS($O209:$DR209,$O$7:$DR$7,BO$7)</f>
        <v/>
      </c>
      <c r="BP210" s="100">
        <f>+BP209/SUMIFS($O209:$DR209,$O$7:$DR$7,BP$7)</f>
        <v/>
      </c>
      <c r="BQ210" s="100">
        <f>+BQ209/SUMIFS($O209:$DR209,$O$7:$DR$7,BQ$7)</f>
        <v/>
      </c>
      <c r="BR210" s="100">
        <f>+BR209/SUMIFS($O209:$DR209,$O$7:$DR$7,BR$7)</f>
        <v/>
      </c>
      <c r="BS210" s="100">
        <f>+BS209/SUMIFS($O209:$DR209,$O$7:$DR$7,BS$7)</f>
        <v/>
      </c>
      <c r="BT210" s="100">
        <f>+BT209/SUMIFS($O209:$DR209,$O$7:$DR$7,BT$7)</f>
        <v/>
      </c>
      <c r="BU210" s="100">
        <f>+BU209/SUMIFS($O209:$DR209,$O$7:$DR$7,BU$7)</f>
        <v/>
      </c>
      <c r="BV210" s="100">
        <f>+BV209/SUMIFS($O209:$DR209,$O$7:$DR$7,BV$7)</f>
        <v/>
      </c>
      <c r="BW210" s="101">
        <f>+AVERAGE(O210,AA210,AM210,BK210)</f>
        <v/>
      </c>
      <c r="BX210" s="101">
        <f>+AVERAGE(P210,AB210,AN210,BL210)</f>
        <v/>
      </c>
      <c r="BY210" s="101">
        <f>+AVERAGE(Q210,AC210,AO210,BM210)</f>
        <v/>
      </c>
      <c r="BZ210" s="101">
        <f>+AVERAGE(R210,AD210,AP210,BN210)</f>
        <v/>
      </c>
      <c r="CA210" s="101">
        <f>+AVERAGE(S210,AE210,AQ210,BO210)</f>
        <v/>
      </c>
      <c r="CB210" s="101">
        <f>+AVERAGE(T210,AF210,AR210,BP210)</f>
        <v/>
      </c>
      <c r="CC210" s="101">
        <f>+AVERAGE(U210,AG210,AS210,BQ210)</f>
        <v/>
      </c>
      <c r="CD210" s="101">
        <f>+AVERAGE(V210,AH210,AT210,BR210)</f>
        <v/>
      </c>
      <c r="CE210" s="101">
        <f>+AVERAGE(W210,AI210,AU210,BS210)</f>
        <v/>
      </c>
      <c r="CF210" s="101">
        <f>+AVERAGE(X210,AJ210,AV210,BT210)</f>
        <v/>
      </c>
      <c r="CG210" s="101">
        <f>+AVERAGE(Y210,AK210,AW210,BU210)</f>
        <v/>
      </c>
      <c r="CH210" s="101">
        <f>+AVERAGE(Z210,AL210,AX210,BV210)</f>
        <v/>
      </c>
      <c r="CI210" s="101">
        <f>+AVERAGE(AA210,AM210,AY210,BW210)</f>
        <v/>
      </c>
      <c r="CJ210" s="101">
        <f>+AVERAGE(AB210,AN210,AZ210,BX210)</f>
        <v/>
      </c>
      <c r="CK210" s="101">
        <f>+AVERAGE(AC210,AO210,BA210,BY210)</f>
        <v/>
      </c>
      <c r="CL210" s="101">
        <f>+AVERAGE(AD210,AP210,BB210,BZ210)</f>
        <v/>
      </c>
      <c r="CM210" s="101">
        <f>+AVERAGE(AE210,AQ210,BC210,CA210)</f>
        <v/>
      </c>
      <c r="CN210" s="101">
        <f>+AVERAGE(AF210,AR210,BD210,CB210)</f>
        <v/>
      </c>
      <c r="CO210" s="101">
        <f>+AVERAGE(AG210,AS210,BE210,CC210)</f>
        <v/>
      </c>
      <c r="CP210" s="101">
        <f>+AVERAGE(AH210,AT210,BF210,CD210)</f>
        <v/>
      </c>
      <c r="CQ210" s="101">
        <f>+AVERAGE(AI210,AU210,BG210,CE210)</f>
        <v/>
      </c>
      <c r="CR210" s="101">
        <f>+AVERAGE(AJ210,AV210,BH210,CF210)</f>
        <v/>
      </c>
      <c r="CS210" s="101">
        <f>+AVERAGE(AK210,AW210,BI210,CG210)</f>
        <v/>
      </c>
      <c r="CT210" s="101">
        <f>+AVERAGE(AL210,AX210,BJ210,CH210)</f>
        <v/>
      </c>
      <c r="CU210" s="101">
        <f>+AVERAGE(AM210,AY210,BK210,CI210)</f>
        <v/>
      </c>
      <c r="CV210" s="101">
        <f>+AVERAGE(AN210,AZ210,BL210,CJ210)</f>
        <v/>
      </c>
      <c r="CW210" s="101">
        <f>+AVERAGE(AO210,BA210,BM210,CK210)</f>
        <v/>
      </c>
      <c r="CX210" s="101">
        <f>+AVERAGE(AP210,BB210,BN210,CL210)</f>
        <v/>
      </c>
      <c r="CY210" s="101">
        <f>+AVERAGE(AQ210,BC210,BO210,CM210)</f>
        <v/>
      </c>
      <c r="CZ210" s="101">
        <f>+AVERAGE(AR210,BD210,BP210,CN210)</f>
        <v/>
      </c>
      <c r="DA210" s="101">
        <f>+AVERAGE(AS210,BE210,BQ210,CO210)</f>
        <v/>
      </c>
      <c r="DB210" s="101">
        <f>+AVERAGE(AT210,BF210,BR210,CP210)</f>
        <v/>
      </c>
      <c r="DC210" s="101">
        <f>+AVERAGE(AU210,BG210,BS210,CQ210)</f>
        <v/>
      </c>
      <c r="DD210" s="101">
        <f>+AVERAGE(AV210,BH210,BT210,CR210)</f>
        <v/>
      </c>
      <c r="DE210" s="101">
        <f>+AVERAGE(AW210,BI210,BU210,CS210)</f>
        <v/>
      </c>
      <c r="DF210" s="101">
        <f>+AVERAGE(AX210,BJ210,BV210,CT210)</f>
        <v/>
      </c>
      <c r="DG210" s="101">
        <f>+AVERAGE(AY210,BK210,BW210,CU210)</f>
        <v/>
      </c>
      <c r="DH210" s="101">
        <f>+AVERAGE(AZ210,BL210,BX210,CV210)</f>
        <v/>
      </c>
      <c r="DI210" s="101">
        <f>+AVERAGE(BA210,BM210,BY210,CW210)</f>
        <v/>
      </c>
      <c r="DJ210" s="101">
        <f>+AVERAGE(BB210,BN210,BZ210,CX210)</f>
        <v/>
      </c>
      <c r="DK210" s="101">
        <f>+AVERAGE(BC210,BO210,CA210,CY210)</f>
        <v/>
      </c>
      <c r="DL210" s="101">
        <f>+AVERAGE(BD210,BP210,CB210,CZ210)</f>
        <v/>
      </c>
      <c r="DM210" s="101">
        <f>+AVERAGE(BE210,BQ210,CC210,DA210)</f>
        <v/>
      </c>
      <c r="DN210" s="101">
        <f>+AVERAGE(BF210,BR210,CD210,DB210)</f>
        <v/>
      </c>
      <c r="DO210" s="101">
        <f>+AVERAGE(BG210,BS210,CE210,DC210)</f>
        <v/>
      </c>
      <c r="DP210" s="101">
        <f>+AVERAGE(BH210,BT210,CF210,DD210)</f>
        <v/>
      </c>
      <c r="DQ210" s="101">
        <f>+AVERAGE(BI210,BU210,CG210,DE210)</f>
        <v/>
      </c>
      <c r="DR210" s="101">
        <f>+AVERAGE(BJ210,BV210,CH210,DF210)</f>
        <v/>
      </c>
    </row>
    <row r="211" ht="4.5" customHeight="1"/>
    <row r="212" ht="15.75" customHeight="1">
      <c r="B212" s="67" t="inlineStr">
        <is>
          <t>Implementation</t>
        </is>
      </c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  <c r="AA212" s="67" t="n"/>
      <c r="AB212" s="67" t="n"/>
      <c r="AC212" s="67" t="n"/>
      <c r="AD212" s="67" t="n"/>
      <c r="AE212" s="67" t="n"/>
      <c r="AF212" s="67" t="n"/>
      <c r="AG212" s="67" t="n"/>
      <c r="AH212" s="67" t="n"/>
      <c r="AI212" s="67" t="n"/>
      <c r="AJ212" s="67" t="n"/>
      <c r="AK212" s="67" t="n"/>
      <c r="AL212" s="67" t="n"/>
      <c r="AM212" s="67" t="n"/>
      <c r="AN212" s="67" t="n"/>
      <c r="AO212" s="67" t="n"/>
      <c r="AP212" s="67" t="n"/>
      <c r="AQ212" s="67" t="n"/>
      <c r="AR212" s="67" t="n"/>
      <c r="AS212" s="67" t="n"/>
      <c r="AT212" s="67" t="n"/>
      <c r="AU212" s="67" t="n"/>
      <c r="AV212" s="67" t="n"/>
      <c r="AW212" s="67" t="n"/>
      <c r="AX212" s="67" t="n"/>
      <c r="AY212" s="67" t="n"/>
      <c r="AZ212" s="67" t="n"/>
      <c r="BA212" s="67" t="n"/>
      <c r="BB212" s="67" t="n"/>
      <c r="BC212" s="67" t="n"/>
      <c r="BD212" s="67" t="n"/>
      <c r="BE212" s="67" t="n"/>
      <c r="BF212" s="67" t="n"/>
      <c r="BG212" s="67" t="n"/>
      <c r="BH212" s="67" t="n"/>
      <c r="BI212" s="67" t="n"/>
      <c r="BJ212" s="67" t="n"/>
      <c r="BK212" s="67" t="n"/>
      <c r="BL212" s="67" t="n"/>
      <c r="BM212" s="67" t="n"/>
      <c r="BN212" s="67" t="n"/>
      <c r="BO212" s="67" t="n"/>
      <c r="BP212" s="67" t="n"/>
      <c r="BQ212" s="67" t="n"/>
      <c r="BR212" s="67" t="n"/>
      <c r="BS212" s="67" t="n"/>
      <c r="BT212" s="67" t="n"/>
      <c r="BU212" s="67" t="n"/>
      <c r="BV212" s="67" t="n"/>
      <c r="BW212" s="67" t="n"/>
      <c r="BX212" s="67" t="n"/>
      <c r="BY212" s="67" t="n"/>
      <c r="BZ212" s="67" t="n"/>
      <c r="CA212" s="67" t="n"/>
      <c r="CB212" s="67" t="n"/>
      <c r="CC212" s="67" t="n"/>
      <c r="CD212" s="67" t="n"/>
      <c r="CE212" s="67" t="n"/>
      <c r="CF212" s="67" t="n"/>
      <c r="CG212" s="67" t="n"/>
      <c r="CH212" s="67" t="n"/>
      <c r="CI212" s="67" t="n"/>
      <c r="CJ212" s="67" t="n"/>
      <c r="CK212" s="67" t="n"/>
      <c r="CL212" s="67" t="n"/>
      <c r="CM212" s="67" t="n"/>
      <c r="CN212" s="67" t="n"/>
      <c r="CO212" s="67" t="n"/>
      <c r="CP212" s="67" t="n"/>
      <c r="CQ212" s="67" t="n"/>
      <c r="CR212" s="67" t="n"/>
      <c r="CS212" s="67" t="n"/>
      <c r="CT212" s="67" t="n"/>
      <c r="CU212" s="67" t="n"/>
      <c r="CV212" s="67" t="n"/>
      <c r="CW212" s="67" t="n"/>
      <c r="CX212" s="67" t="n"/>
      <c r="CY212" s="67" t="n"/>
      <c r="CZ212" s="67" t="n"/>
      <c r="DA212" s="67" t="n"/>
      <c r="DB212" s="67" t="n"/>
      <c r="DC212" s="67" t="n"/>
      <c r="DD212" s="67" t="n"/>
      <c r="DE212" s="67" t="n"/>
      <c r="DF212" s="67" t="n"/>
      <c r="DG212" s="67" t="n"/>
      <c r="DH212" s="67" t="n"/>
      <c r="DI212" s="67" t="n"/>
      <c r="DJ212" s="67" t="n"/>
      <c r="DK212" s="67" t="n"/>
      <c r="DL212" s="67" t="n"/>
      <c r="DM212" s="67" t="n"/>
      <c r="DN212" s="67" t="n"/>
      <c r="DO212" s="67" t="n"/>
      <c r="DP212" s="67" t="n"/>
      <c r="DQ212" s="67" t="n"/>
      <c r="DR212" s="67" t="n"/>
      <c r="DS212" s="67" t="n"/>
      <c r="DT212" s="67" t="n"/>
      <c r="DU212" s="67" t="n"/>
      <c r="DV212" s="67" t="n"/>
      <c r="DW212" s="67" t="n"/>
    </row>
    <row r="213" ht="4.5" customHeight="1"/>
    <row r="214" hidden="1" outlineLevel="1" ht="15.75" customHeight="1">
      <c r="B214" s="5" t="inlineStr">
        <is>
          <t>AACN</t>
        </is>
      </c>
      <c r="C214" s="68" t="inlineStr">
        <is>
          <t>Lower Middle Market</t>
        </is>
      </c>
      <c r="E214" s="46">
        <f>+SUMIFS($O214:$DR214,$O$7:$DR$7,E$7)</f>
        <v/>
      </c>
      <c r="F214" s="46">
        <f>+SUMIFS($O214:$DR214,$O$7:$DR$7,F$7)</f>
        <v/>
      </c>
      <c r="G214" s="46">
        <f>+SUMIFS($O214:$DR214,$O$7:$DR$7,G$7)</f>
        <v/>
      </c>
      <c r="H214" s="46">
        <f>+SUMIFS($O214:$DR214,$O$7:$DR$7,H$7)</f>
        <v/>
      </c>
      <c r="I214" s="46">
        <f>+SUMIFS($O214:$DR214,$O$7:$DR$7,I$7)</f>
        <v/>
      </c>
      <c r="J214" s="46">
        <f>+SUMIFS($O214:$DR214,$O$7:$DR$7,J$7)</f>
        <v/>
      </c>
      <c r="K214" s="46">
        <f>+SUMIFS($O214:$DR214,$O$7:$DR$7,K$7)</f>
        <v/>
      </c>
      <c r="L214" s="46">
        <f>+SUMIFS($O214:$DR214,$O$7:$DR$7,L$7)</f>
        <v/>
      </c>
      <c r="M214" s="46">
        <f>+SUMIFS($O214:$DR214,$O$7:$DR$7,M$7)</f>
        <v/>
      </c>
      <c r="O214" s="47" t="n">
        <v>0</v>
      </c>
      <c r="P214" s="47" t="n">
        <v>0</v>
      </c>
      <c r="Q214" s="47" t="n">
        <v>0</v>
      </c>
      <c r="R214" s="47" t="n">
        <v>0</v>
      </c>
      <c r="S214" s="47" t="n">
        <v>0</v>
      </c>
      <c r="T214" s="47" t="n">
        <v>0</v>
      </c>
      <c r="U214" s="47" t="n">
        <v>0</v>
      </c>
      <c r="V214" s="47" t="n">
        <v>0</v>
      </c>
      <c r="W214" s="47" t="n">
        <v>0</v>
      </c>
      <c r="X214" s="47" t="n">
        <v>0</v>
      </c>
      <c r="Y214" s="47" t="n">
        <v>0</v>
      </c>
      <c r="Z214" s="47" t="n">
        <v>0</v>
      </c>
      <c r="AA214" s="47" t="n">
        <v>0</v>
      </c>
      <c r="AB214" s="47" t="n">
        <v>0</v>
      </c>
      <c r="AC214" s="47" t="n">
        <v>0</v>
      </c>
      <c r="AD214" s="47" t="n">
        <v>0</v>
      </c>
      <c r="AE214" s="47" t="n">
        <v>0</v>
      </c>
      <c r="AF214" s="47" t="n">
        <v>0</v>
      </c>
      <c r="AG214" s="47" t="n">
        <v>0</v>
      </c>
      <c r="AH214" s="47" t="n">
        <v>0</v>
      </c>
      <c r="AI214" s="47" t="n">
        <v>4.973</v>
      </c>
      <c r="AJ214" s="47" t="n">
        <v>1.657</v>
      </c>
      <c r="AK214" s="47" t="n">
        <v>1.658</v>
      </c>
      <c r="AL214" s="47" t="n">
        <v>1.161</v>
      </c>
      <c r="AM214" s="47" t="n">
        <v>0.497</v>
      </c>
      <c r="AN214" s="47" t="n">
        <v>0</v>
      </c>
      <c r="AO214" s="47" t="n">
        <v>0</v>
      </c>
      <c r="AP214" s="47" t="n">
        <v>0</v>
      </c>
      <c r="AQ214" s="47" t="n">
        <v>0</v>
      </c>
      <c r="AR214" s="47" t="n">
        <v>0</v>
      </c>
      <c r="AS214" s="47" t="n">
        <v>0</v>
      </c>
      <c r="AT214" s="47" t="n">
        <v>0</v>
      </c>
      <c r="AU214" s="47" t="n">
        <v>0</v>
      </c>
      <c r="AV214" s="47" t="n">
        <v>0</v>
      </c>
      <c r="AW214" s="47" t="n">
        <v>0</v>
      </c>
      <c r="AX214" s="47" t="n">
        <v>0</v>
      </c>
      <c r="AY214" s="47" t="n">
        <v>0</v>
      </c>
      <c r="AZ214" s="47" t="n">
        <v>0</v>
      </c>
      <c r="BA214" s="47" t="n">
        <v>0</v>
      </c>
      <c r="BB214" s="47" t="n">
        <v>0</v>
      </c>
      <c r="BC214" s="47" t="n">
        <v>0</v>
      </c>
      <c r="BD214" s="47" t="n">
        <v>0</v>
      </c>
      <c r="BE214" s="47" t="n">
        <v>0</v>
      </c>
      <c r="BF214" s="47" t="n">
        <v>0</v>
      </c>
      <c r="BG214" s="47" t="n">
        <v>0</v>
      </c>
      <c r="BH214" s="47" t="n">
        <v>0</v>
      </c>
      <c r="BI214" s="47" t="n">
        <v>0</v>
      </c>
      <c r="BJ214" s="47" t="n">
        <v>0</v>
      </c>
      <c r="BK214" s="47" t="n">
        <v>0</v>
      </c>
      <c r="BL214" s="47" t="n">
        <v>0</v>
      </c>
      <c r="BM214" s="47" t="n">
        <v>0</v>
      </c>
      <c r="BN214" s="47" t="n">
        <v>0</v>
      </c>
      <c r="BO214" s="47" t="n">
        <v>0</v>
      </c>
      <c r="BP214" s="47" t="n">
        <v>0</v>
      </c>
      <c r="BQ214" s="47" t="n">
        <v>0</v>
      </c>
      <c r="BR214" s="47" t="n">
        <v>0</v>
      </c>
      <c r="BS214" s="47" t="n">
        <v>0</v>
      </c>
      <c r="BT214" s="47" t="n">
        <v>0</v>
      </c>
      <c r="BU214" s="47" t="n">
        <v>0</v>
      </c>
      <c r="BV214" s="47" t="n">
        <v>0</v>
      </c>
      <c r="BW214" s="102" t="n"/>
      <c r="BX214" s="102" t="n"/>
      <c r="BY214" s="102" t="n"/>
      <c r="BZ214" s="102" t="n"/>
      <c r="CA214" s="102" t="n"/>
      <c r="CB214" s="102" t="n"/>
      <c r="CC214" s="102" t="n"/>
      <c r="CD214" s="102" t="n"/>
      <c r="CE214" s="102" t="n"/>
      <c r="CF214" s="102" t="n"/>
      <c r="CG214" s="102" t="n"/>
      <c r="CH214" s="102" t="n"/>
      <c r="CI214" s="102" t="n"/>
      <c r="CJ214" s="102" t="n"/>
      <c r="CK214" s="102" t="n"/>
      <c r="CL214" s="102" t="n"/>
      <c r="CM214" s="102" t="n"/>
      <c r="CN214" s="102" t="n"/>
      <c r="CO214" s="102" t="n"/>
      <c r="CP214" s="102" t="n"/>
      <c r="CQ214" s="102" t="n"/>
      <c r="CR214" s="102" t="n"/>
      <c r="CS214" s="102" t="n"/>
      <c r="CT214" s="102" t="n"/>
      <c r="CU214" s="102" t="n"/>
      <c r="CV214" s="102" t="n"/>
      <c r="CW214" s="102" t="n"/>
      <c r="CX214" s="102" t="n"/>
      <c r="CY214" s="102" t="n"/>
      <c r="CZ214" s="102" t="n"/>
      <c r="DA214" s="102" t="n"/>
      <c r="DB214" s="102" t="n"/>
      <c r="DC214" s="102" t="n"/>
      <c r="DD214" s="102" t="n"/>
      <c r="DE214" s="102" t="n"/>
      <c r="DF214" s="102" t="n"/>
      <c r="DG214" s="102" t="n"/>
      <c r="DH214" s="102" t="n"/>
      <c r="DI214" s="102" t="n"/>
      <c r="DJ214" s="102" t="n"/>
      <c r="DK214" s="102" t="n"/>
      <c r="DL214" s="102" t="n"/>
      <c r="DM214" s="102" t="n"/>
      <c r="DN214" s="102" t="n"/>
      <c r="DO214" s="102" t="n"/>
      <c r="DP214" s="102" t="n"/>
      <c r="DQ214" s="102" t="n"/>
      <c r="DR214" s="102" t="n"/>
      <c r="DT214" s="46" t="n"/>
      <c r="DU214" s="46" t="n"/>
      <c r="DV214" s="46" t="n"/>
      <c r="DW214" s="46" t="n"/>
    </row>
    <row r="215" hidden="1" outlineLevel="1" ht="15.75" customHeight="1">
      <c r="B215" s="5" t="inlineStr">
        <is>
          <t>AACR</t>
        </is>
      </c>
      <c r="C215" s="68" t="inlineStr">
        <is>
          <t>Lower Middle Market</t>
        </is>
      </c>
      <c r="E215" s="46">
        <f>+SUMIFS($O215:$DR215,$O$7:$DR$7,E$7)</f>
        <v/>
      </c>
      <c r="F215" s="46">
        <f>+SUMIFS($O215:$DR215,$O$7:$DR$7,F$7)</f>
        <v/>
      </c>
      <c r="G215" s="46">
        <f>+SUMIFS($O215:$DR215,$O$7:$DR$7,G$7)</f>
        <v/>
      </c>
      <c r="H215" s="46">
        <f>+SUMIFS($O215:$DR215,$O$7:$DR$7,H$7)</f>
        <v/>
      </c>
      <c r="I215" s="46">
        <f>+SUMIFS($O215:$DR215,$O$7:$DR$7,I$7)</f>
        <v/>
      </c>
      <c r="J215" s="46">
        <f>+SUMIFS($O215:$DR215,$O$7:$DR$7,J$7)</f>
        <v/>
      </c>
      <c r="K215" s="46">
        <f>+SUMIFS($O215:$DR215,$O$7:$DR$7,K$7)</f>
        <v/>
      </c>
      <c r="L215" s="46">
        <f>+SUMIFS($O215:$DR215,$O$7:$DR$7,L$7)</f>
        <v/>
      </c>
      <c r="M215" s="46">
        <f>+SUMIFS($O215:$DR215,$O$7:$DR$7,M$7)</f>
        <v/>
      </c>
      <c r="O215" s="47" t="n">
        <v>0</v>
      </c>
      <c r="P215" s="47" t="n">
        <v>0</v>
      </c>
      <c r="Q215" s="47" t="n">
        <v>0</v>
      </c>
      <c r="R215" s="47" t="n">
        <v>0</v>
      </c>
      <c r="S215" s="47" t="n">
        <v>0</v>
      </c>
      <c r="T215" s="47" t="n">
        <v>0</v>
      </c>
      <c r="U215" s="47" t="n">
        <v>0</v>
      </c>
      <c r="V215" s="47" t="n">
        <v>0</v>
      </c>
      <c r="W215" s="47" t="n">
        <v>0</v>
      </c>
      <c r="X215" s="47" t="n">
        <v>0</v>
      </c>
      <c r="Y215" s="47" t="n">
        <v>0</v>
      </c>
      <c r="Z215" s="47" t="n">
        <v>0</v>
      </c>
      <c r="AA215" s="47" t="n">
        <v>0</v>
      </c>
      <c r="AB215" s="47" t="n">
        <v>0</v>
      </c>
      <c r="AC215" s="47" t="n">
        <v>0</v>
      </c>
      <c r="AD215" s="47" t="n">
        <v>0</v>
      </c>
      <c r="AE215" s="47" t="n">
        <v>0</v>
      </c>
      <c r="AF215" s="47" t="n">
        <v>0</v>
      </c>
      <c r="AG215" s="47" t="n">
        <v>0</v>
      </c>
      <c r="AH215" s="47" t="n">
        <v>0</v>
      </c>
      <c r="AI215" s="47" t="n">
        <v>0</v>
      </c>
      <c r="AJ215" s="47" t="n">
        <v>0</v>
      </c>
      <c r="AK215" s="47" t="n">
        <v>0</v>
      </c>
      <c r="AL215" s="47" t="n">
        <v>0</v>
      </c>
      <c r="AM215" s="47" t="n">
        <v>0</v>
      </c>
      <c r="AN215" s="47" t="n">
        <v>0</v>
      </c>
      <c r="AO215" s="47" t="n">
        <v>0</v>
      </c>
      <c r="AP215" s="47" t="n">
        <v>0</v>
      </c>
      <c r="AQ215" s="47" t="n">
        <v>0</v>
      </c>
      <c r="AR215" s="47" t="n">
        <v>0</v>
      </c>
      <c r="AS215" s="47" t="n">
        <v>0</v>
      </c>
      <c r="AT215" s="47" t="n">
        <v>0</v>
      </c>
      <c r="AU215" s="47" t="n">
        <v>0</v>
      </c>
      <c r="AV215" s="47" t="n">
        <v>0</v>
      </c>
      <c r="AW215" s="47" t="n">
        <v>0</v>
      </c>
      <c r="AX215" s="47" t="n">
        <v>0</v>
      </c>
      <c r="AY215" s="47" t="n">
        <v>0</v>
      </c>
      <c r="AZ215" s="47" t="n">
        <v>0</v>
      </c>
      <c r="BA215" s="47" t="n">
        <v>0</v>
      </c>
      <c r="BB215" s="47" t="n">
        <v>33.033</v>
      </c>
      <c r="BC215" s="47" t="n">
        <v>13.234</v>
      </c>
      <c r="BD215" s="47" t="n">
        <v>26.07</v>
      </c>
      <c r="BE215" s="47" t="n">
        <v>37.15</v>
      </c>
      <c r="BF215" s="47" t="n">
        <v>12.516</v>
      </c>
      <c r="BG215" s="47" t="n">
        <v>20.727</v>
      </c>
      <c r="BH215" s="47" t="n">
        <v>19.227</v>
      </c>
      <c r="BI215" s="47" t="n">
        <v>11.017</v>
      </c>
      <c r="BJ215" s="47" t="n">
        <v>2.805</v>
      </c>
      <c r="BK215" s="47" t="n">
        <v>8.211</v>
      </c>
      <c r="BL215" s="47" t="n">
        <v>16.422</v>
      </c>
      <c r="BM215" s="47" t="n">
        <v>0</v>
      </c>
      <c r="BN215" s="47" t="n">
        <v>0</v>
      </c>
      <c r="BO215" s="47" t="n">
        <v>0</v>
      </c>
      <c r="BP215" s="47" t="n">
        <v>0</v>
      </c>
      <c r="BQ215" s="47" t="n">
        <v>0</v>
      </c>
      <c r="BR215" s="47" t="n">
        <v>0</v>
      </c>
      <c r="BS215" s="47" t="n">
        <v>0</v>
      </c>
      <c r="BT215" s="47" t="n">
        <v>0</v>
      </c>
      <c r="BU215" s="47" t="n">
        <v>0</v>
      </c>
      <c r="BV215" s="47" t="n">
        <v>0</v>
      </c>
      <c r="BW215" s="102" t="n"/>
      <c r="BX215" s="102" t="n"/>
      <c r="BY215" s="102" t="n"/>
      <c r="BZ215" s="102" t="n"/>
      <c r="CA215" s="102" t="n"/>
      <c r="CB215" s="102" t="n"/>
      <c r="CC215" s="102" t="n"/>
      <c r="CD215" s="102" t="n"/>
      <c r="CE215" s="102" t="n"/>
      <c r="CF215" s="102" t="n"/>
      <c r="CG215" s="102" t="n"/>
      <c r="CH215" s="102" t="n"/>
      <c r="CI215" s="102" t="n"/>
      <c r="CJ215" s="102" t="n"/>
      <c r="CK215" s="102" t="n"/>
      <c r="CL215" s="102" t="n"/>
      <c r="CM215" s="102" t="n"/>
      <c r="CN215" s="102" t="n"/>
      <c r="CO215" s="102" t="n"/>
      <c r="CP215" s="102" t="n"/>
      <c r="CQ215" s="102" t="n"/>
      <c r="CR215" s="102" t="n"/>
      <c r="CS215" s="102" t="n"/>
      <c r="CT215" s="102" t="n"/>
      <c r="CU215" s="102" t="n"/>
      <c r="CV215" s="102" t="n"/>
      <c r="CW215" s="102" t="n"/>
      <c r="CX215" s="102" t="n"/>
      <c r="CY215" s="102" t="n"/>
      <c r="CZ215" s="102" t="n"/>
      <c r="DA215" s="102" t="n"/>
      <c r="DB215" s="102" t="n"/>
      <c r="DC215" s="102" t="n"/>
      <c r="DD215" s="102" t="n"/>
      <c r="DE215" s="102" t="n"/>
      <c r="DF215" s="102" t="n"/>
      <c r="DG215" s="102" t="n"/>
      <c r="DH215" s="102" t="n"/>
      <c r="DI215" s="102" t="n"/>
      <c r="DJ215" s="102" t="n"/>
      <c r="DK215" s="102" t="n"/>
      <c r="DL215" s="102" t="n"/>
      <c r="DM215" s="102" t="n"/>
      <c r="DN215" s="102" t="n"/>
      <c r="DO215" s="102" t="n"/>
      <c r="DP215" s="102" t="n"/>
      <c r="DQ215" s="102" t="n"/>
      <c r="DR215" s="102" t="n"/>
      <c r="DT215" s="46" t="n"/>
      <c r="DU215" s="46" t="n"/>
      <c r="DV215" s="46" t="n"/>
      <c r="DW215" s="46" t="n"/>
    </row>
    <row r="216" hidden="1" outlineLevel="1" ht="15.75" customHeight="1">
      <c r="B216" s="5" t="inlineStr">
        <is>
          <t>AAI</t>
        </is>
      </c>
      <c r="C216" s="68" t="inlineStr">
        <is>
          <t>Lower Middle Market</t>
        </is>
      </c>
      <c r="E216" s="46">
        <f>+SUMIFS($O216:$DR216,$O$7:$DR$7,E$7)</f>
        <v/>
      </c>
      <c r="F216" s="46">
        <f>+SUMIFS($O216:$DR216,$O$7:$DR$7,F$7)</f>
        <v/>
      </c>
      <c r="G216" s="46">
        <f>+SUMIFS($O216:$DR216,$O$7:$DR$7,G$7)</f>
        <v/>
      </c>
      <c r="H216" s="46">
        <f>+SUMIFS($O216:$DR216,$O$7:$DR$7,H$7)</f>
        <v/>
      </c>
      <c r="I216" s="46">
        <f>+SUMIFS($O216:$DR216,$O$7:$DR$7,I$7)</f>
        <v/>
      </c>
      <c r="J216" s="46">
        <f>+SUMIFS($O216:$DR216,$O$7:$DR$7,J$7)</f>
        <v/>
      </c>
      <c r="K216" s="46">
        <f>+SUMIFS($O216:$DR216,$O$7:$DR$7,K$7)</f>
        <v/>
      </c>
      <c r="L216" s="46">
        <f>+SUMIFS($O216:$DR216,$O$7:$DR$7,L$7)</f>
        <v/>
      </c>
      <c r="M216" s="46">
        <f>+SUMIFS($O216:$DR216,$O$7:$DR$7,M$7)</f>
        <v/>
      </c>
      <c r="O216" s="47" t="n">
        <v>0</v>
      </c>
      <c r="P216" s="47" t="n">
        <v>0</v>
      </c>
      <c r="Q216" s="47" t="n">
        <v>0</v>
      </c>
      <c r="R216" s="47" t="n">
        <v>0</v>
      </c>
      <c r="S216" s="47" t="n">
        <v>0</v>
      </c>
      <c r="T216" s="47" t="n">
        <v>0</v>
      </c>
      <c r="U216" s="47" t="n">
        <v>0</v>
      </c>
      <c r="V216" s="47" t="n">
        <v>0</v>
      </c>
      <c r="W216" s="47" t="n">
        <v>0</v>
      </c>
      <c r="X216" s="47" t="n">
        <v>0</v>
      </c>
      <c r="Y216" s="47" t="n">
        <v>0</v>
      </c>
      <c r="Z216" s="47" t="n">
        <v>0</v>
      </c>
      <c r="AA216" s="47" t="n">
        <v>0</v>
      </c>
      <c r="AB216" s="47" t="n">
        <v>0</v>
      </c>
      <c r="AC216" s="47" t="n">
        <v>0</v>
      </c>
      <c r="AD216" s="47" t="n">
        <v>0</v>
      </c>
      <c r="AE216" s="47" t="n">
        <v>0</v>
      </c>
      <c r="AF216" s="47" t="n">
        <v>0</v>
      </c>
      <c r="AG216" s="47" t="n">
        <v>0</v>
      </c>
      <c r="AH216" s="47" t="n">
        <v>0</v>
      </c>
      <c r="AI216" s="47" t="n">
        <v>0</v>
      </c>
      <c r="AJ216" s="47" t="n">
        <v>0</v>
      </c>
      <c r="AK216" s="47" t="n">
        <v>0</v>
      </c>
      <c r="AL216" s="47" t="n">
        <v>0</v>
      </c>
      <c r="AM216" s="47" t="n">
        <v>0</v>
      </c>
      <c r="AN216" s="47" t="n">
        <v>0</v>
      </c>
      <c r="AO216" s="47" t="n">
        <v>0</v>
      </c>
      <c r="AP216" s="47" t="n">
        <v>0</v>
      </c>
      <c r="AQ216" s="47" t="n">
        <v>0</v>
      </c>
      <c r="AR216" s="47" t="n">
        <v>0</v>
      </c>
      <c r="AS216" s="47" t="n">
        <v>0</v>
      </c>
      <c r="AT216" s="47" t="n">
        <v>0</v>
      </c>
      <c r="AU216" s="47" t="n">
        <v>0</v>
      </c>
      <c r="AV216" s="47" t="n">
        <v>0</v>
      </c>
      <c r="AW216" s="47" t="n">
        <v>0</v>
      </c>
      <c r="AX216" s="47" t="n">
        <v>0</v>
      </c>
      <c r="AY216" s="47" t="n">
        <v>0</v>
      </c>
      <c r="AZ216" s="47" t="n">
        <v>0</v>
      </c>
      <c r="BA216" s="47" t="n">
        <v>0</v>
      </c>
      <c r="BB216" s="47" t="n">
        <v>0</v>
      </c>
      <c r="BC216" s="47" t="n">
        <v>0</v>
      </c>
      <c r="BD216" s="47" t="n">
        <v>0</v>
      </c>
      <c r="BE216" s="47" t="n">
        <v>0</v>
      </c>
      <c r="BF216" s="47" t="n">
        <v>0</v>
      </c>
      <c r="BG216" s="47" t="n">
        <v>0</v>
      </c>
      <c r="BH216" s="47" t="n">
        <v>0</v>
      </c>
      <c r="BI216" s="47" t="n">
        <v>0</v>
      </c>
      <c r="BJ216" s="47" t="n">
        <v>0</v>
      </c>
      <c r="BK216" s="47" t="n">
        <v>0</v>
      </c>
      <c r="BL216" s="47" t="n">
        <v>0</v>
      </c>
      <c r="BM216" s="47" t="n">
        <v>33.251</v>
      </c>
      <c r="BN216" s="47" t="n">
        <v>25.12306666666667</v>
      </c>
      <c r="BO216" s="47" t="n">
        <v>24.49499</v>
      </c>
      <c r="BP216" s="47" t="n">
        <v>23.79513314285714</v>
      </c>
      <c r="BQ216" s="47" t="n">
        <v>23.00196203809524</v>
      </c>
      <c r="BR216" s="47" t="n">
        <v>22.08188355657143</v>
      </c>
      <c r="BS216" s="47" t="n">
        <v>20.97778937874286</v>
      </c>
      <c r="BT216" s="47" t="n">
        <v>19.57927008682666</v>
      </c>
      <c r="BU216" s="47" t="n">
        <v>17.62134307814399</v>
      </c>
      <c r="BV216" s="47" t="n">
        <v>11.74756205209601</v>
      </c>
      <c r="BW216" s="102" t="n"/>
      <c r="BX216" s="102" t="n"/>
      <c r="BY216" s="102" t="n"/>
      <c r="BZ216" s="102" t="n"/>
      <c r="CA216" s="102" t="n"/>
      <c r="CB216" s="102" t="n"/>
      <c r="CC216" s="102" t="n"/>
      <c r="CD216" s="102" t="n"/>
      <c r="CE216" s="102" t="n"/>
      <c r="CF216" s="102" t="n"/>
      <c r="CG216" s="102" t="n"/>
      <c r="CH216" s="102" t="n"/>
      <c r="CI216" s="102" t="n"/>
      <c r="CJ216" s="102" t="n"/>
      <c r="CK216" s="102" t="n"/>
      <c r="CL216" s="102" t="n"/>
      <c r="CM216" s="102" t="n"/>
      <c r="CN216" s="102" t="n"/>
      <c r="CO216" s="102" t="n"/>
      <c r="CP216" s="102" t="n"/>
      <c r="CQ216" s="102" t="n"/>
      <c r="CR216" s="102" t="n"/>
      <c r="CS216" s="102" t="n"/>
      <c r="CT216" s="102" t="n"/>
      <c r="CU216" s="102" t="n"/>
      <c r="CV216" s="102" t="n"/>
      <c r="CW216" s="102" t="n"/>
      <c r="CX216" s="102" t="n"/>
      <c r="CY216" s="102" t="n"/>
      <c r="CZ216" s="102" t="n"/>
      <c r="DA216" s="102" t="n"/>
      <c r="DB216" s="102" t="n"/>
      <c r="DC216" s="102" t="n"/>
      <c r="DD216" s="102" t="n"/>
      <c r="DE216" s="102" t="n"/>
      <c r="DF216" s="102" t="n"/>
      <c r="DG216" s="102" t="n"/>
      <c r="DH216" s="102" t="n"/>
      <c r="DI216" s="102" t="n"/>
      <c r="DJ216" s="102" t="n"/>
      <c r="DK216" s="102" t="n"/>
      <c r="DL216" s="102" t="n"/>
      <c r="DM216" s="102" t="n"/>
      <c r="DN216" s="102" t="n"/>
      <c r="DO216" s="102" t="n"/>
      <c r="DP216" s="102" t="n"/>
      <c r="DQ216" s="102" t="n"/>
      <c r="DR216" s="102" t="n"/>
      <c r="DT216" s="46" t="n"/>
      <c r="DU216" s="46" t="n"/>
      <c r="DV216" s="46" t="n"/>
      <c r="DW216" s="46" t="n"/>
    </row>
    <row r="217" hidden="1" outlineLevel="1" ht="15.75" customHeight="1">
      <c r="B217" s="5" t="inlineStr">
        <is>
          <t>AAOS</t>
        </is>
      </c>
      <c r="C217" s="68" t="inlineStr">
        <is>
          <t>Upper Middle Market</t>
        </is>
      </c>
      <c r="E217" s="46">
        <f>+SUMIFS($O217:$DR217,$O$7:$DR$7,E$7)</f>
        <v/>
      </c>
      <c r="F217" s="46">
        <f>+SUMIFS($O217:$DR217,$O$7:$DR$7,F$7)</f>
        <v/>
      </c>
      <c r="G217" s="46">
        <f>+SUMIFS($O217:$DR217,$O$7:$DR$7,G$7)</f>
        <v/>
      </c>
      <c r="H217" s="46">
        <f>+SUMIFS($O217:$DR217,$O$7:$DR$7,H$7)</f>
        <v/>
      </c>
      <c r="I217" s="46">
        <f>+SUMIFS($O217:$DR217,$O$7:$DR$7,I$7)</f>
        <v/>
      </c>
      <c r="J217" s="46">
        <f>+SUMIFS($O217:$DR217,$O$7:$DR$7,J$7)</f>
        <v/>
      </c>
      <c r="K217" s="46">
        <f>+SUMIFS($O217:$DR217,$O$7:$DR$7,K$7)</f>
        <v/>
      </c>
      <c r="L217" s="46">
        <f>+SUMIFS($O217:$DR217,$O$7:$DR$7,L$7)</f>
        <v/>
      </c>
      <c r="M217" s="46">
        <f>+SUMIFS($O217:$DR217,$O$7:$DR$7,M$7)</f>
        <v/>
      </c>
      <c r="O217" s="47" t="n">
        <v>0</v>
      </c>
      <c r="P217" s="47" t="n">
        <v>0</v>
      </c>
      <c r="Q217" s="47" t="n">
        <v>0</v>
      </c>
      <c r="R217" s="47" t="n">
        <v>0</v>
      </c>
      <c r="S217" s="47" t="n">
        <v>0</v>
      </c>
      <c r="T217" s="47" t="n">
        <v>0</v>
      </c>
      <c r="U217" s="47" t="n">
        <v>0</v>
      </c>
      <c r="V217" s="47" t="n">
        <v>0</v>
      </c>
      <c r="W217" s="47" t="n">
        <v>0</v>
      </c>
      <c r="X217" s="47" t="n">
        <v>0</v>
      </c>
      <c r="Y217" s="47" t="n">
        <v>0</v>
      </c>
      <c r="Z217" s="47" t="n">
        <v>0</v>
      </c>
      <c r="AA217" s="47" t="n">
        <v>0</v>
      </c>
      <c r="AB217" s="47" t="n">
        <v>0</v>
      </c>
      <c r="AC217" s="47" t="n">
        <v>0</v>
      </c>
      <c r="AD217" s="47" t="n">
        <v>0</v>
      </c>
      <c r="AE217" s="47" t="n">
        <v>0</v>
      </c>
      <c r="AF217" s="47" t="n">
        <v>0</v>
      </c>
      <c r="AG217" s="47" t="n">
        <v>0</v>
      </c>
      <c r="AH217" s="47" t="n">
        <v>0</v>
      </c>
      <c r="AI217" s="47" t="n">
        <v>0</v>
      </c>
      <c r="AJ217" s="47" t="n">
        <v>0</v>
      </c>
      <c r="AK217" s="47" t="n">
        <v>0</v>
      </c>
      <c r="AL217" s="47" t="n">
        <v>0</v>
      </c>
      <c r="AM217" s="47" t="n">
        <v>0</v>
      </c>
      <c r="AN217" s="47" t="n">
        <v>0</v>
      </c>
      <c r="AO217" s="47" t="n">
        <v>0</v>
      </c>
      <c r="AP217" s="47" t="n">
        <v>0</v>
      </c>
      <c r="AQ217" s="47" t="n">
        <v>0</v>
      </c>
      <c r="AR217" s="47" t="n">
        <v>17.285</v>
      </c>
      <c r="AS217" s="47" t="n">
        <v>8.641999999999999</v>
      </c>
      <c r="AT217" s="47" t="n">
        <v>0</v>
      </c>
      <c r="AU217" s="47" t="n">
        <v>43.212</v>
      </c>
      <c r="AV217" s="47" t="n">
        <v>34.57</v>
      </c>
      <c r="AW217" s="47" t="n">
        <v>0</v>
      </c>
      <c r="AX217" s="47" t="n">
        <v>43.212</v>
      </c>
      <c r="AY217" s="47" t="n">
        <v>0</v>
      </c>
      <c r="AZ217" s="47" t="n">
        <v>0</v>
      </c>
      <c r="BA217" s="47" t="n">
        <v>0</v>
      </c>
      <c r="BB217" s="47" t="n">
        <v>8.641999999999999</v>
      </c>
      <c r="BC217" s="47" t="n">
        <v>8.643000000000001</v>
      </c>
      <c r="BD217" s="47" t="n">
        <v>8.641999999999999</v>
      </c>
      <c r="BE217" s="47" t="n">
        <v>0</v>
      </c>
      <c r="BF217" s="47" t="n">
        <v>0</v>
      </c>
      <c r="BG217" s="47" t="n">
        <v>0</v>
      </c>
      <c r="BH217" s="47" t="n">
        <v>0</v>
      </c>
      <c r="BI217" s="47" t="n">
        <v>0</v>
      </c>
      <c r="BJ217" s="47" t="n">
        <v>0</v>
      </c>
      <c r="BK217" s="47" t="n">
        <v>0</v>
      </c>
      <c r="BL217" s="47" t="n">
        <v>0</v>
      </c>
      <c r="BM217" s="47" t="n">
        <v>0</v>
      </c>
      <c r="BN217" s="47" t="n">
        <v>0</v>
      </c>
      <c r="BO217" s="47" t="n">
        <v>0</v>
      </c>
      <c r="BP217" s="47" t="n">
        <v>0</v>
      </c>
      <c r="BQ217" s="47" t="n">
        <v>0</v>
      </c>
      <c r="BR217" s="47" t="n">
        <v>0</v>
      </c>
      <c r="BS217" s="47" t="n">
        <v>0</v>
      </c>
      <c r="BT217" s="47" t="n">
        <v>0</v>
      </c>
      <c r="BU217" s="47" t="n">
        <v>0</v>
      </c>
      <c r="BV217" s="47" t="n">
        <v>0</v>
      </c>
      <c r="BW217" s="102" t="n"/>
      <c r="BX217" s="102" t="n"/>
      <c r="BY217" s="102" t="n"/>
      <c r="BZ217" s="102" t="n"/>
      <c r="CA217" s="102" t="n"/>
      <c r="CB217" s="102" t="n"/>
      <c r="CC217" s="102" t="n"/>
      <c r="CD217" s="102" t="n"/>
      <c r="CE217" s="102" t="n"/>
      <c r="CF217" s="102" t="n"/>
      <c r="CG217" s="102" t="n"/>
      <c r="CH217" s="102" t="n"/>
      <c r="CI217" s="102" t="n"/>
      <c r="CJ217" s="102" t="n"/>
      <c r="CK217" s="102" t="n"/>
      <c r="CL217" s="102" t="n"/>
      <c r="CM217" s="102" t="n"/>
      <c r="CN217" s="102" t="n"/>
      <c r="CO217" s="102" t="n"/>
      <c r="CP217" s="102" t="n"/>
      <c r="CQ217" s="102" t="n"/>
      <c r="CR217" s="102" t="n"/>
      <c r="CS217" s="102" t="n"/>
      <c r="CT217" s="102" t="n"/>
      <c r="CU217" s="102" t="n"/>
      <c r="CV217" s="102" t="n"/>
      <c r="CW217" s="102" t="n"/>
      <c r="CX217" s="102" t="n"/>
      <c r="CY217" s="102" t="n"/>
      <c r="CZ217" s="102" t="n"/>
      <c r="DA217" s="102" t="n"/>
      <c r="DB217" s="102" t="n"/>
      <c r="DC217" s="102" t="n"/>
      <c r="DD217" s="102" t="n"/>
      <c r="DE217" s="102" t="n"/>
      <c r="DF217" s="102" t="n"/>
      <c r="DG217" s="102" t="n"/>
      <c r="DH217" s="102" t="n"/>
      <c r="DI217" s="102" t="n"/>
      <c r="DJ217" s="102" t="n"/>
      <c r="DK217" s="102" t="n"/>
      <c r="DL217" s="102" t="n"/>
      <c r="DM217" s="102" t="n"/>
      <c r="DN217" s="102" t="n"/>
      <c r="DO217" s="102" t="n"/>
      <c r="DP217" s="102" t="n"/>
      <c r="DQ217" s="102" t="n"/>
      <c r="DR217" s="102" t="n"/>
      <c r="DT217" s="46" t="n"/>
      <c r="DU217" s="46" t="n"/>
      <c r="DV217" s="46" t="n"/>
      <c r="DW217" s="46" t="n"/>
    </row>
    <row r="218" hidden="1" outlineLevel="1" ht="15.75" customHeight="1">
      <c r="B218" s="5" t="inlineStr">
        <is>
          <t>AAP</t>
        </is>
      </c>
      <c r="C218" s="68" t="inlineStr">
        <is>
          <t>Major</t>
        </is>
      </c>
      <c r="E218" s="46">
        <f>+SUMIFS($O218:$DR218,$O$7:$DR$7,E$7)</f>
        <v/>
      </c>
      <c r="F218" s="46">
        <f>+SUMIFS($O218:$DR218,$O$7:$DR$7,F$7)</f>
        <v/>
      </c>
      <c r="G218" s="46">
        <f>+SUMIFS($O218:$DR218,$O$7:$DR$7,G$7)</f>
        <v/>
      </c>
      <c r="H218" s="46">
        <f>+SUMIFS($O218:$DR218,$O$7:$DR$7,H$7)</f>
        <v/>
      </c>
      <c r="I218" s="46">
        <f>+SUMIFS($O218:$DR218,$O$7:$DR$7,I$7)</f>
        <v/>
      </c>
      <c r="J218" s="46">
        <f>+SUMIFS($O218:$DR218,$O$7:$DR$7,J$7)</f>
        <v/>
      </c>
      <c r="K218" s="46">
        <f>+SUMIFS($O218:$DR218,$O$7:$DR$7,K$7)</f>
        <v/>
      </c>
      <c r="L218" s="46">
        <f>+SUMIFS($O218:$DR218,$O$7:$DR$7,L$7)</f>
        <v/>
      </c>
      <c r="M218" s="46">
        <f>+SUMIFS($O218:$DR218,$O$7:$DR$7,M$7)</f>
        <v/>
      </c>
      <c r="O218" s="47" t="n">
        <v>0</v>
      </c>
      <c r="P218" s="47" t="n">
        <v>0</v>
      </c>
      <c r="Q218" s="47" t="n">
        <v>0</v>
      </c>
      <c r="R218" s="47" t="n">
        <v>0</v>
      </c>
      <c r="S218" s="47" t="n">
        <v>0</v>
      </c>
      <c r="T218" s="47" t="n">
        <v>0</v>
      </c>
      <c r="U218" s="47" t="n">
        <v>0</v>
      </c>
      <c r="V218" s="47" t="n">
        <v>0</v>
      </c>
      <c r="W218" s="47" t="n">
        <v>0</v>
      </c>
      <c r="X218" s="47" t="n">
        <v>0</v>
      </c>
      <c r="Y218" s="47" t="n">
        <v>0</v>
      </c>
      <c r="Z218" s="47" t="n">
        <v>0</v>
      </c>
      <c r="AA218" s="47" t="n">
        <v>0</v>
      </c>
      <c r="AB218" s="47" t="n">
        <v>0</v>
      </c>
      <c r="AC218" s="47" t="n">
        <v>0</v>
      </c>
      <c r="AD218" s="47" t="n">
        <v>0</v>
      </c>
      <c r="AE218" s="47" t="n">
        <v>0</v>
      </c>
      <c r="AF218" s="47" t="n">
        <v>0</v>
      </c>
      <c r="AG218" s="47" t="n">
        <v>0</v>
      </c>
      <c r="AH218" s="47" t="n">
        <v>0</v>
      </c>
      <c r="AI218" s="47" t="n">
        <v>0</v>
      </c>
      <c r="AJ218" s="47" t="n">
        <v>0</v>
      </c>
      <c r="AK218" s="47" t="n">
        <v>0</v>
      </c>
      <c r="AL218" s="47" t="n">
        <v>0</v>
      </c>
      <c r="AM218" s="47" t="n">
        <v>0</v>
      </c>
      <c r="AN218" s="47" t="n">
        <v>0</v>
      </c>
      <c r="AO218" s="47" t="n">
        <v>0</v>
      </c>
      <c r="AP218" s="47" t="n">
        <v>0</v>
      </c>
      <c r="AQ218" s="47" t="n">
        <v>0</v>
      </c>
      <c r="AR218" s="47" t="n">
        <v>0</v>
      </c>
      <c r="AS218" s="47" t="n">
        <v>0</v>
      </c>
      <c r="AT218" s="47" t="n">
        <v>0</v>
      </c>
      <c r="AU218" s="47" t="n">
        <v>0</v>
      </c>
      <c r="AV218" s="47" t="n">
        <v>0</v>
      </c>
      <c r="AW218" s="47" t="n">
        <v>0</v>
      </c>
      <c r="AX218" s="47" t="n">
        <v>0</v>
      </c>
      <c r="AY218" s="47" t="n">
        <v>0</v>
      </c>
      <c r="AZ218" s="47" t="n">
        <v>14.4</v>
      </c>
      <c r="BA218" s="47" t="n">
        <v>43.2</v>
      </c>
      <c r="BB218" s="47" t="n">
        <v>28.8</v>
      </c>
      <c r="BC218" s="47" t="n">
        <v>0</v>
      </c>
      <c r="BD218" s="47" t="n">
        <v>57.6</v>
      </c>
      <c r="BE218" s="47" t="n">
        <v>43.2</v>
      </c>
      <c r="BF218" s="47" t="n">
        <v>0</v>
      </c>
      <c r="BG218" s="47" t="n">
        <v>28.8</v>
      </c>
      <c r="BH218" s="47" t="n">
        <v>28.8</v>
      </c>
      <c r="BI218" s="47" t="n">
        <v>43.2</v>
      </c>
      <c r="BJ218" s="47" t="n">
        <v>0</v>
      </c>
      <c r="BK218" s="47" t="n">
        <v>0</v>
      </c>
      <c r="BL218" s="47" t="n">
        <v>0</v>
      </c>
      <c r="BM218" s="47" t="n">
        <v>0</v>
      </c>
      <c r="BN218" s="47" t="n">
        <v>0</v>
      </c>
      <c r="BO218" s="47" t="n">
        <v>0</v>
      </c>
      <c r="BP218" s="47" t="n">
        <v>0</v>
      </c>
      <c r="BQ218" s="47" t="n">
        <v>0</v>
      </c>
      <c r="BR218" s="47" t="n">
        <v>0</v>
      </c>
      <c r="BS218" s="47" t="n">
        <v>0</v>
      </c>
      <c r="BT218" s="47" t="n">
        <v>0</v>
      </c>
      <c r="BU218" s="47" t="n">
        <v>0</v>
      </c>
      <c r="BV218" s="47" t="n">
        <v>0</v>
      </c>
      <c r="BW218" s="102" t="n"/>
      <c r="BX218" s="102" t="n"/>
      <c r="BY218" s="102" t="n"/>
      <c r="BZ218" s="102" t="n"/>
      <c r="CA218" s="102" t="n"/>
      <c r="CB218" s="102" t="n"/>
      <c r="CC218" s="102" t="n"/>
      <c r="CD218" s="102" t="n"/>
      <c r="CE218" s="102" t="n"/>
      <c r="CF218" s="102" t="n"/>
      <c r="CG218" s="102" t="n"/>
      <c r="CH218" s="102" t="n"/>
      <c r="CI218" s="102" t="n"/>
      <c r="CJ218" s="102" t="n"/>
      <c r="CK218" s="102" t="n"/>
      <c r="CL218" s="102" t="n"/>
      <c r="CM218" s="102" t="n"/>
      <c r="CN218" s="102" t="n"/>
      <c r="CO218" s="102" t="n"/>
      <c r="CP218" s="102" t="n"/>
      <c r="CQ218" s="102" t="n"/>
      <c r="CR218" s="102" t="n"/>
      <c r="CS218" s="102" t="n"/>
      <c r="CT218" s="102" t="n"/>
      <c r="CU218" s="102" t="n"/>
      <c r="CV218" s="102" t="n"/>
      <c r="CW218" s="102" t="n"/>
      <c r="CX218" s="102" t="n"/>
      <c r="CY218" s="102" t="n"/>
      <c r="CZ218" s="102" t="n"/>
      <c r="DA218" s="102" t="n"/>
      <c r="DB218" s="102" t="n"/>
      <c r="DC218" s="102" t="n"/>
      <c r="DD218" s="102" t="n"/>
      <c r="DE218" s="102" t="n"/>
      <c r="DF218" s="102" t="n"/>
      <c r="DG218" s="102" t="n"/>
      <c r="DH218" s="102" t="n"/>
      <c r="DI218" s="102" t="n"/>
      <c r="DJ218" s="102" t="n"/>
      <c r="DK218" s="102" t="n"/>
      <c r="DL218" s="102" t="n"/>
      <c r="DM218" s="102" t="n"/>
      <c r="DN218" s="102" t="n"/>
      <c r="DO218" s="102" t="n"/>
      <c r="DP218" s="102" t="n"/>
      <c r="DQ218" s="102" t="n"/>
      <c r="DR218" s="102" t="n"/>
      <c r="DT218" s="46" t="n"/>
      <c r="DU218" s="46" t="n"/>
      <c r="DV218" s="46" t="n"/>
      <c r="DW218" s="46" t="n"/>
    </row>
    <row r="219" hidden="1" outlineLevel="1" ht="15.75" customHeight="1">
      <c r="B219" s="5" t="inlineStr">
        <is>
          <t>ADA</t>
        </is>
      </c>
      <c r="C219" s="68" t="inlineStr">
        <is>
          <t>Lower Middle Market</t>
        </is>
      </c>
      <c r="E219" s="46">
        <f>+SUMIFS($O219:$DR219,$O$7:$DR$7,E$7)</f>
        <v/>
      </c>
      <c r="F219" s="46">
        <f>+SUMIFS($O219:$DR219,$O$7:$DR$7,F$7)</f>
        <v/>
      </c>
      <c r="G219" s="46">
        <f>+SUMIFS($O219:$DR219,$O$7:$DR$7,G$7)</f>
        <v/>
      </c>
      <c r="H219" s="46">
        <f>+SUMIFS($O219:$DR219,$O$7:$DR$7,H$7)</f>
        <v/>
      </c>
      <c r="I219" s="46">
        <f>+SUMIFS($O219:$DR219,$O$7:$DR$7,I$7)</f>
        <v/>
      </c>
      <c r="J219" s="46">
        <f>+SUMIFS($O219:$DR219,$O$7:$DR$7,J$7)</f>
        <v/>
      </c>
      <c r="K219" s="46">
        <f>+SUMIFS($O219:$DR219,$O$7:$DR$7,K$7)</f>
        <v/>
      </c>
      <c r="L219" s="46">
        <f>+SUMIFS($O219:$DR219,$O$7:$DR$7,L$7)</f>
        <v/>
      </c>
      <c r="M219" s="46">
        <f>+SUMIFS($O219:$DR219,$O$7:$DR$7,M$7)</f>
        <v/>
      </c>
      <c r="O219" s="47" t="n">
        <v>0</v>
      </c>
      <c r="P219" s="47" t="n">
        <v>0</v>
      </c>
      <c r="Q219" s="47" t="n">
        <v>0</v>
      </c>
      <c r="R219" s="47" t="n">
        <v>0</v>
      </c>
      <c r="S219" s="47" t="n">
        <v>0</v>
      </c>
      <c r="T219" s="47" t="n">
        <v>0</v>
      </c>
      <c r="U219" s="47" t="n">
        <v>0</v>
      </c>
      <c r="V219" s="47" t="n">
        <v>0</v>
      </c>
      <c r="W219" s="47" t="n">
        <v>0</v>
      </c>
      <c r="X219" s="47" t="n">
        <v>0</v>
      </c>
      <c r="Y219" s="47" t="n">
        <v>0</v>
      </c>
      <c r="Z219" s="47" t="n">
        <v>0</v>
      </c>
      <c r="AA219" s="47" t="n">
        <v>0</v>
      </c>
      <c r="AB219" s="47" t="n">
        <v>0</v>
      </c>
      <c r="AC219" s="47" t="n">
        <v>0</v>
      </c>
      <c r="AD219" s="47" t="n">
        <v>0</v>
      </c>
      <c r="AE219" s="47" t="n">
        <v>0</v>
      </c>
      <c r="AF219" s="47" t="n">
        <v>0</v>
      </c>
      <c r="AG219" s="47" t="n">
        <v>0</v>
      </c>
      <c r="AH219" s="47" t="n">
        <v>0</v>
      </c>
      <c r="AI219" s="47" t="n">
        <v>0</v>
      </c>
      <c r="AJ219" s="47" t="n">
        <v>0</v>
      </c>
      <c r="AK219" s="47" t="n">
        <v>0</v>
      </c>
      <c r="AL219" s="47" t="n">
        <v>0</v>
      </c>
      <c r="AM219" s="47" t="n">
        <v>0</v>
      </c>
      <c r="AN219" s="47" t="n">
        <v>0</v>
      </c>
      <c r="AO219" s="47" t="n">
        <v>0</v>
      </c>
      <c r="AP219" s="47" t="n">
        <v>0</v>
      </c>
      <c r="AQ219" s="47" t="n">
        <v>0</v>
      </c>
      <c r="AR219" s="47" t="n">
        <v>0</v>
      </c>
      <c r="AS219" s="47" t="n">
        <v>0</v>
      </c>
      <c r="AT219" s="47" t="n">
        <v>0</v>
      </c>
      <c r="AU219" s="47" t="n">
        <v>0</v>
      </c>
      <c r="AV219" s="47" t="n">
        <v>0</v>
      </c>
      <c r="AW219" s="47" t="n">
        <v>0</v>
      </c>
      <c r="AX219" s="47" t="n">
        <v>0</v>
      </c>
      <c r="AY219" s="47" t="n">
        <v>0</v>
      </c>
      <c r="AZ219" s="47" t="n">
        <v>0</v>
      </c>
      <c r="BA219" s="47" t="n">
        <v>0</v>
      </c>
      <c r="BB219" s="47" t="n">
        <v>10.193</v>
      </c>
      <c r="BC219" s="47" t="n">
        <v>0</v>
      </c>
      <c r="BD219" s="47" t="n">
        <v>10.193</v>
      </c>
      <c r="BE219" s="47" t="n">
        <v>20.387</v>
      </c>
      <c r="BF219" s="47" t="n">
        <v>30.579</v>
      </c>
      <c r="BG219" s="47" t="n">
        <v>30.579</v>
      </c>
      <c r="BH219" s="47" t="n">
        <v>10.193</v>
      </c>
      <c r="BI219" s="47" t="n">
        <v>20.386</v>
      </c>
      <c r="BJ219" s="47" t="n">
        <v>10.193</v>
      </c>
      <c r="BK219" s="47" t="n">
        <v>10.193</v>
      </c>
      <c r="BL219" s="47" t="n">
        <v>20.386</v>
      </c>
      <c r="BM219" s="47" t="n">
        <v>10.193</v>
      </c>
      <c r="BN219" s="47" t="n">
        <v>10.193</v>
      </c>
      <c r="BO219" s="47" t="n">
        <v>10.193</v>
      </c>
      <c r="BP219" s="47" t="n">
        <v>0</v>
      </c>
      <c r="BQ219" s="47" t="n">
        <v>0</v>
      </c>
      <c r="BR219" s="47" t="n">
        <v>0</v>
      </c>
      <c r="BS219" s="47" t="n">
        <v>0</v>
      </c>
      <c r="BT219" s="47" t="n">
        <v>0</v>
      </c>
      <c r="BU219" s="47" t="n">
        <v>0</v>
      </c>
      <c r="BV219" s="47" t="n">
        <v>0</v>
      </c>
      <c r="BW219" s="102" t="n"/>
      <c r="BX219" s="102" t="n"/>
      <c r="BY219" s="102" t="n"/>
      <c r="BZ219" s="102" t="n"/>
      <c r="CA219" s="102" t="n"/>
      <c r="CB219" s="102" t="n"/>
      <c r="CC219" s="102" t="n"/>
      <c r="CD219" s="102" t="n"/>
      <c r="CE219" s="102" t="n"/>
      <c r="CF219" s="102" t="n"/>
      <c r="CG219" s="102" t="n"/>
      <c r="CH219" s="102" t="n"/>
      <c r="CI219" s="102" t="n"/>
      <c r="CJ219" s="102" t="n"/>
      <c r="CK219" s="102" t="n"/>
      <c r="CL219" s="102" t="n"/>
      <c r="CM219" s="102" t="n"/>
      <c r="CN219" s="102" t="n"/>
      <c r="CO219" s="102" t="n"/>
      <c r="CP219" s="102" t="n"/>
      <c r="CQ219" s="102" t="n"/>
      <c r="CR219" s="102" t="n"/>
      <c r="CS219" s="102" t="n"/>
      <c r="CT219" s="102" t="n"/>
      <c r="CU219" s="102" t="n"/>
      <c r="CV219" s="102" t="n"/>
      <c r="CW219" s="102" t="n"/>
      <c r="CX219" s="102" t="n"/>
      <c r="CY219" s="102" t="n"/>
      <c r="CZ219" s="102" t="n"/>
      <c r="DA219" s="102" t="n"/>
      <c r="DB219" s="102" t="n"/>
      <c r="DC219" s="102" t="n"/>
      <c r="DD219" s="102" t="n"/>
      <c r="DE219" s="102" t="n"/>
      <c r="DF219" s="102" t="n"/>
      <c r="DG219" s="102" t="n"/>
      <c r="DH219" s="102" t="n"/>
      <c r="DI219" s="102" t="n"/>
      <c r="DJ219" s="102" t="n"/>
      <c r="DK219" s="102" t="n"/>
      <c r="DL219" s="102" t="n"/>
      <c r="DM219" s="102" t="n"/>
      <c r="DN219" s="102" t="n"/>
      <c r="DO219" s="102" t="n"/>
      <c r="DP219" s="102" t="n"/>
      <c r="DQ219" s="102" t="n"/>
      <c r="DR219" s="102" t="n"/>
      <c r="DT219" s="46" t="n"/>
      <c r="DU219" s="46" t="n"/>
      <c r="DV219" s="46" t="n"/>
      <c r="DW219" s="46" t="n"/>
    </row>
    <row r="220" hidden="1" outlineLevel="1" ht="15.75" customHeight="1">
      <c r="B220" s="5" t="inlineStr">
        <is>
          <t>AHRQ</t>
        </is>
      </c>
      <c r="C220" s="68" t="inlineStr">
        <is>
          <t>Lower Middle Market</t>
        </is>
      </c>
      <c r="E220" s="46">
        <f>+SUMIFS($O220:$DR220,$O$7:$DR$7,E$7)</f>
        <v/>
      </c>
      <c r="F220" s="46">
        <f>+SUMIFS($O220:$DR220,$O$7:$DR$7,F$7)</f>
        <v/>
      </c>
      <c r="G220" s="46">
        <f>+SUMIFS($O220:$DR220,$O$7:$DR$7,G$7)</f>
        <v/>
      </c>
      <c r="H220" s="46">
        <f>+SUMIFS($O220:$DR220,$O$7:$DR$7,H$7)</f>
        <v/>
      </c>
      <c r="I220" s="46">
        <f>+SUMIFS($O220:$DR220,$O$7:$DR$7,I$7)</f>
        <v/>
      </c>
      <c r="J220" s="46">
        <f>+SUMIFS($O220:$DR220,$O$7:$DR$7,J$7)</f>
        <v/>
      </c>
      <c r="K220" s="46">
        <f>+SUMIFS($O220:$DR220,$O$7:$DR$7,K$7)</f>
        <v/>
      </c>
      <c r="L220" s="46">
        <f>+SUMIFS($O220:$DR220,$O$7:$DR$7,L$7)</f>
        <v/>
      </c>
      <c r="M220" s="46">
        <f>+SUMIFS($O220:$DR220,$O$7:$DR$7,M$7)</f>
        <v/>
      </c>
      <c r="O220" s="47" t="n">
        <v>0</v>
      </c>
      <c r="P220" s="47" t="n">
        <v>0</v>
      </c>
      <c r="Q220" s="47" t="n">
        <v>0</v>
      </c>
      <c r="R220" s="47" t="n">
        <v>0</v>
      </c>
      <c r="S220" s="47" t="n">
        <v>0</v>
      </c>
      <c r="T220" s="47" t="n">
        <v>0</v>
      </c>
      <c r="U220" s="47" t="n">
        <v>0</v>
      </c>
      <c r="V220" s="47" t="n">
        <v>0</v>
      </c>
      <c r="W220" s="47" t="n">
        <v>0</v>
      </c>
      <c r="X220" s="47" t="n">
        <v>0</v>
      </c>
      <c r="Y220" s="47" t="n">
        <v>0</v>
      </c>
      <c r="Z220" s="47" t="n">
        <v>0</v>
      </c>
      <c r="AA220" s="47" t="n">
        <v>0</v>
      </c>
      <c r="AB220" s="47" t="n">
        <v>0</v>
      </c>
      <c r="AC220" s="47" t="n">
        <v>0</v>
      </c>
      <c r="AD220" s="47" t="n">
        <v>0</v>
      </c>
      <c r="AE220" s="47" t="n">
        <v>0</v>
      </c>
      <c r="AF220" s="47" t="n">
        <v>0</v>
      </c>
      <c r="AG220" s="47" t="n">
        <v>0</v>
      </c>
      <c r="AH220" s="47" t="n">
        <v>0</v>
      </c>
      <c r="AI220" s="47" t="n">
        <v>0</v>
      </c>
      <c r="AJ220" s="47" t="n">
        <v>0</v>
      </c>
      <c r="AK220" s="47" t="n">
        <v>0</v>
      </c>
      <c r="AL220" s="47" t="n">
        <v>0</v>
      </c>
      <c r="AM220" s="47" t="n">
        <v>0</v>
      </c>
      <c r="AN220" s="47" t="n">
        <v>0</v>
      </c>
      <c r="AO220" s="47" t="n">
        <v>0</v>
      </c>
      <c r="AP220" s="47" t="n">
        <v>0</v>
      </c>
      <c r="AQ220" s="47" t="n">
        <v>0</v>
      </c>
      <c r="AR220" s="47" t="n">
        <v>0</v>
      </c>
      <c r="AS220" s="47" t="n">
        <v>0</v>
      </c>
      <c r="AT220" s="47" t="n">
        <v>0</v>
      </c>
      <c r="AU220" s="47" t="n">
        <v>0</v>
      </c>
      <c r="AV220" s="47" t="n">
        <v>0</v>
      </c>
      <c r="AW220" s="47" t="n">
        <v>0</v>
      </c>
      <c r="AX220" s="47" t="n">
        <v>0</v>
      </c>
      <c r="AY220" s="47" t="n">
        <v>0</v>
      </c>
      <c r="AZ220" s="47" t="n">
        <v>0</v>
      </c>
      <c r="BA220" s="47" t="n">
        <v>0</v>
      </c>
      <c r="BB220" s="47" t="n">
        <v>0</v>
      </c>
      <c r="BC220" s="47" t="n">
        <v>0</v>
      </c>
      <c r="BD220" s="47" t="n">
        <v>0</v>
      </c>
      <c r="BE220" s="47" t="n">
        <v>0</v>
      </c>
      <c r="BF220" s="47" t="n">
        <v>0</v>
      </c>
      <c r="BG220" s="47" t="n">
        <v>0</v>
      </c>
      <c r="BH220" s="47" t="n">
        <v>0</v>
      </c>
      <c r="BI220" s="47" t="n">
        <v>0</v>
      </c>
      <c r="BJ220" s="47" t="n">
        <v>0</v>
      </c>
      <c r="BK220" s="47" t="n">
        <v>0</v>
      </c>
      <c r="BL220" s="47" t="n">
        <v>0</v>
      </c>
      <c r="BM220" s="47" t="n">
        <v>0</v>
      </c>
      <c r="BN220" s="47" t="n">
        <v>0</v>
      </c>
      <c r="BO220" s="47" t="n">
        <v>0</v>
      </c>
      <c r="BP220" s="47" t="n">
        <v>0</v>
      </c>
      <c r="BQ220" s="47" t="n">
        <v>0</v>
      </c>
      <c r="BR220" s="47" t="n">
        <v>0</v>
      </c>
      <c r="BS220" s="47" t="n">
        <v>0</v>
      </c>
      <c r="BT220" s="47" t="n">
        <v>0</v>
      </c>
      <c r="BU220" s="47" t="n">
        <v>0</v>
      </c>
      <c r="BV220" s="47" t="n">
        <v>0</v>
      </c>
      <c r="BW220" s="102" t="n"/>
      <c r="BX220" s="102" t="n"/>
      <c r="BY220" s="102" t="n"/>
      <c r="BZ220" s="102" t="n"/>
      <c r="CA220" s="102" t="n"/>
      <c r="CB220" s="102" t="n"/>
      <c r="CC220" s="102" t="n"/>
      <c r="CD220" s="102" t="n"/>
      <c r="CE220" s="102" t="n"/>
      <c r="CF220" s="102" t="n"/>
      <c r="CG220" s="102" t="n"/>
      <c r="CH220" s="102" t="n"/>
      <c r="CI220" s="102" t="n"/>
      <c r="CJ220" s="102" t="n"/>
      <c r="CK220" s="102" t="n"/>
      <c r="CL220" s="102" t="n"/>
      <c r="CM220" s="102" t="n"/>
      <c r="CN220" s="102" t="n"/>
      <c r="CO220" s="102" t="n"/>
      <c r="CP220" s="102" t="n"/>
      <c r="CQ220" s="102" t="n"/>
      <c r="CR220" s="102" t="n"/>
      <c r="CS220" s="102" t="n"/>
      <c r="CT220" s="102" t="n"/>
      <c r="CU220" s="102" t="n"/>
      <c r="CV220" s="102" t="n"/>
      <c r="CW220" s="102" t="n"/>
      <c r="CX220" s="102" t="n"/>
      <c r="CY220" s="102" t="n"/>
      <c r="CZ220" s="102" t="n"/>
      <c r="DA220" s="102" t="n"/>
      <c r="DB220" s="102" t="n"/>
      <c r="DC220" s="102" t="n"/>
      <c r="DD220" s="102" t="n"/>
      <c r="DE220" s="102" t="n"/>
      <c r="DF220" s="102" t="n"/>
      <c r="DG220" s="102" t="n"/>
      <c r="DH220" s="102" t="n"/>
      <c r="DI220" s="102" t="n"/>
      <c r="DJ220" s="102" t="n"/>
      <c r="DK220" s="102" t="n"/>
      <c r="DL220" s="102" t="n"/>
      <c r="DM220" s="102" t="n"/>
      <c r="DN220" s="102" t="n"/>
      <c r="DO220" s="102" t="n"/>
      <c r="DP220" s="102" t="n"/>
      <c r="DQ220" s="102" t="n"/>
      <c r="DR220" s="102" t="n"/>
      <c r="DT220" s="46" t="n"/>
      <c r="DU220" s="46" t="n"/>
      <c r="DV220" s="46" t="n"/>
      <c r="DW220" s="46" t="n"/>
    </row>
    <row r="221" hidden="1" outlineLevel="1" ht="15.75" customHeight="1">
      <c r="B221" s="5" t="inlineStr">
        <is>
          <t>AIPP</t>
        </is>
      </c>
      <c r="C221" s="68" t="inlineStr">
        <is>
          <t>Major</t>
        </is>
      </c>
      <c r="E221" s="46">
        <f>+SUMIFS($O221:$DR221,$O$7:$DR$7,E$7)</f>
        <v/>
      </c>
      <c r="F221" s="46">
        <f>+SUMIFS($O221:$DR221,$O$7:$DR$7,F$7)</f>
        <v/>
      </c>
      <c r="G221" s="46">
        <f>+SUMIFS($O221:$DR221,$O$7:$DR$7,G$7)</f>
        <v/>
      </c>
      <c r="H221" s="46">
        <f>+SUMIFS($O221:$DR221,$O$7:$DR$7,H$7)</f>
        <v/>
      </c>
      <c r="I221" s="46">
        <f>+SUMIFS($O221:$DR221,$O$7:$DR$7,I$7)</f>
        <v/>
      </c>
      <c r="J221" s="46">
        <f>+SUMIFS($O221:$DR221,$O$7:$DR$7,J$7)</f>
        <v/>
      </c>
      <c r="K221" s="46">
        <f>+SUMIFS($O221:$DR221,$O$7:$DR$7,K$7)</f>
        <v/>
      </c>
      <c r="L221" s="46">
        <f>+SUMIFS($O221:$DR221,$O$7:$DR$7,L$7)</f>
        <v/>
      </c>
      <c r="M221" s="46">
        <f>+SUMIFS($O221:$DR221,$O$7:$DR$7,M$7)</f>
        <v/>
      </c>
      <c r="O221" s="47" t="n">
        <v>0</v>
      </c>
      <c r="P221" s="47" t="n">
        <v>0</v>
      </c>
      <c r="Q221" s="47" t="n">
        <v>0</v>
      </c>
      <c r="R221" s="47" t="n">
        <v>0</v>
      </c>
      <c r="S221" s="47" t="n">
        <v>0</v>
      </c>
      <c r="T221" s="47" t="n">
        <v>0</v>
      </c>
      <c r="U221" s="47" t="n">
        <v>0</v>
      </c>
      <c r="V221" s="47" t="n">
        <v>0</v>
      </c>
      <c r="W221" s="47" t="n">
        <v>0</v>
      </c>
      <c r="X221" s="47" t="n">
        <v>0</v>
      </c>
      <c r="Y221" s="47" t="n">
        <v>0</v>
      </c>
      <c r="Z221" s="47" t="n">
        <v>0</v>
      </c>
      <c r="AA221" s="47" t="n">
        <v>0</v>
      </c>
      <c r="AB221" s="47" t="n">
        <v>0</v>
      </c>
      <c r="AC221" s="47" t="n">
        <v>0</v>
      </c>
      <c r="AD221" s="47" t="n">
        <v>0</v>
      </c>
      <c r="AE221" s="47" t="n">
        <v>0</v>
      </c>
      <c r="AF221" s="47" t="n">
        <v>0</v>
      </c>
      <c r="AG221" s="47" t="n">
        <v>0</v>
      </c>
      <c r="AH221" s="47" t="n">
        <v>0</v>
      </c>
      <c r="AI221" s="47" t="n">
        <v>0</v>
      </c>
      <c r="AJ221" s="47" t="n">
        <v>0</v>
      </c>
      <c r="AK221" s="47" t="n">
        <v>0</v>
      </c>
      <c r="AL221" s="47" t="n">
        <v>0</v>
      </c>
      <c r="AM221" s="47" t="n">
        <v>0</v>
      </c>
      <c r="AN221" s="47" t="n">
        <v>0</v>
      </c>
      <c r="AO221" s="47" t="n">
        <v>0</v>
      </c>
      <c r="AP221" s="47" t="n">
        <v>0</v>
      </c>
      <c r="AQ221" s="47" t="n">
        <v>0</v>
      </c>
      <c r="AR221" s="47" t="n">
        <v>0</v>
      </c>
      <c r="AS221" s="47" t="n">
        <v>0</v>
      </c>
      <c r="AT221" s="47" t="n">
        <v>0</v>
      </c>
      <c r="AU221" s="47" t="n">
        <v>0</v>
      </c>
      <c r="AV221" s="47" t="n">
        <v>0</v>
      </c>
      <c r="AW221" s="47" t="n">
        <v>0</v>
      </c>
      <c r="AX221" s="47" t="n">
        <v>0</v>
      </c>
      <c r="AY221" s="47" t="n">
        <v>0</v>
      </c>
      <c r="AZ221" s="47" t="n">
        <v>0</v>
      </c>
      <c r="BA221" s="47" t="n">
        <v>0</v>
      </c>
      <c r="BB221" s="47" t="n">
        <v>0</v>
      </c>
      <c r="BC221" s="47" t="n">
        <v>0</v>
      </c>
      <c r="BD221" s="47" t="n">
        <v>0</v>
      </c>
      <c r="BE221" s="47" t="n">
        <v>0</v>
      </c>
      <c r="BF221" s="47" t="n">
        <v>0</v>
      </c>
      <c r="BG221" s="47" t="n">
        <v>0</v>
      </c>
      <c r="BH221" s="47" t="n">
        <v>0</v>
      </c>
      <c r="BI221" s="47" t="n">
        <v>0</v>
      </c>
      <c r="BJ221" s="47" t="n">
        <v>0</v>
      </c>
      <c r="BK221" s="47" t="n">
        <v>0</v>
      </c>
      <c r="BL221" s="47" t="n">
        <v>0</v>
      </c>
      <c r="BM221" s="47" t="n">
        <v>0</v>
      </c>
      <c r="BN221" s="47" t="n">
        <v>9.758818181818182</v>
      </c>
      <c r="BO221" s="47" t="n">
        <v>9.758818181818182</v>
      </c>
      <c r="BP221" s="47" t="n">
        <v>9.758818181818182</v>
      </c>
      <c r="BQ221" s="47" t="n">
        <v>9.758818181818182</v>
      </c>
      <c r="BR221" s="47" t="n">
        <v>9.758818181818182</v>
      </c>
      <c r="BS221" s="47" t="n">
        <v>9.758818181818182</v>
      </c>
      <c r="BT221" s="47" t="n">
        <v>9.758818181818182</v>
      </c>
      <c r="BU221" s="47" t="n">
        <v>9.758818181818182</v>
      </c>
      <c r="BV221" s="47" t="n">
        <v>9.758818181818182</v>
      </c>
      <c r="BW221" s="102" t="n"/>
      <c r="BX221" s="102" t="n"/>
      <c r="BY221" s="102" t="n"/>
      <c r="BZ221" s="102" t="n"/>
      <c r="CA221" s="102" t="n"/>
      <c r="CB221" s="102" t="n"/>
      <c r="CC221" s="102" t="n"/>
      <c r="CD221" s="102" t="n"/>
      <c r="CE221" s="102" t="n"/>
      <c r="CF221" s="102" t="n"/>
      <c r="CG221" s="102" t="n"/>
      <c r="CH221" s="102" t="n"/>
      <c r="CI221" s="102" t="n"/>
      <c r="CJ221" s="102" t="n"/>
      <c r="CK221" s="102" t="n"/>
      <c r="CL221" s="102" t="n"/>
      <c r="CM221" s="102" t="n"/>
      <c r="CN221" s="102" t="n"/>
      <c r="CO221" s="102" t="n"/>
      <c r="CP221" s="102" t="n"/>
      <c r="CQ221" s="102" t="n"/>
      <c r="CR221" s="102" t="n"/>
      <c r="CS221" s="102" t="n"/>
      <c r="CT221" s="102" t="n"/>
      <c r="CU221" s="102" t="n"/>
      <c r="CV221" s="102" t="n"/>
      <c r="CW221" s="102" t="n"/>
      <c r="CX221" s="102" t="n"/>
      <c r="CY221" s="102" t="n"/>
      <c r="CZ221" s="102" t="n"/>
      <c r="DA221" s="102" t="n"/>
      <c r="DB221" s="102" t="n"/>
      <c r="DC221" s="102" t="n"/>
      <c r="DD221" s="102" t="n"/>
      <c r="DE221" s="102" t="n"/>
      <c r="DF221" s="102" t="n"/>
      <c r="DG221" s="102" t="n"/>
      <c r="DH221" s="102" t="n"/>
      <c r="DI221" s="102" t="n"/>
      <c r="DJ221" s="102" t="n"/>
      <c r="DK221" s="102" t="n"/>
      <c r="DL221" s="102" t="n"/>
      <c r="DM221" s="102" t="n"/>
      <c r="DN221" s="102" t="n"/>
      <c r="DO221" s="102" t="n"/>
      <c r="DP221" s="102" t="n"/>
      <c r="DQ221" s="102" t="n"/>
      <c r="DR221" s="102" t="n"/>
      <c r="DT221" s="46" t="n"/>
      <c r="DU221" s="46" t="n"/>
      <c r="DV221" s="46" t="n"/>
      <c r="DW221" s="46" t="n"/>
    </row>
    <row r="222" hidden="1" outlineLevel="1" ht="15.75" customHeight="1">
      <c r="B222" s="5" t="inlineStr">
        <is>
          <t>ALLEN</t>
        </is>
      </c>
      <c r="C222" s="68" t="inlineStr">
        <is>
          <t>Upper Middle Market</t>
        </is>
      </c>
      <c r="E222" s="46">
        <f>+SUMIFS($O222:$DR222,$O$7:$DR$7,E$7)</f>
        <v/>
      </c>
      <c r="F222" s="46">
        <f>+SUMIFS($O222:$DR222,$O$7:$DR$7,F$7)</f>
        <v/>
      </c>
      <c r="G222" s="46">
        <f>+SUMIFS($O222:$DR222,$O$7:$DR$7,G$7)</f>
        <v/>
      </c>
      <c r="H222" s="46">
        <f>+SUMIFS($O222:$DR222,$O$7:$DR$7,H$7)</f>
        <v/>
      </c>
      <c r="I222" s="46">
        <f>+SUMIFS($O222:$DR222,$O$7:$DR$7,I$7)</f>
        <v/>
      </c>
      <c r="J222" s="46">
        <f>+SUMIFS($O222:$DR222,$O$7:$DR$7,J$7)</f>
        <v/>
      </c>
      <c r="K222" s="46">
        <f>+SUMIFS($O222:$DR222,$O$7:$DR$7,K$7)</f>
        <v/>
      </c>
      <c r="L222" s="46">
        <f>+SUMIFS($O222:$DR222,$O$7:$DR$7,L$7)</f>
        <v/>
      </c>
      <c r="M222" s="46">
        <f>+SUMIFS($O222:$DR222,$O$7:$DR$7,M$7)</f>
        <v/>
      </c>
      <c r="O222" s="47" t="n">
        <v>0</v>
      </c>
      <c r="P222" s="47" t="n">
        <v>0</v>
      </c>
      <c r="Q222" s="47" t="n">
        <v>0</v>
      </c>
      <c r="R222" s="47" t="n">
        <v>0</v>
      </c>
      <c r="S222" s="47" t="n">
        <v>0</v>
      </c>
      <c r="T222" s="47" t="n">
        <v>0</v>
      </c>
      <c r="U222" s="47" t="n">
        <v>0</v>
      </c>
      <c r="V222" s="47" t="n">
        <v>0</v>
      </c>
      <c r="W222" s="47" t="n">
        <v>0</v>
      </c>
      <c r="X222" s="47" t="n">
        <v>0</v>
      </c>
      <c r="Y222" s="47" t="n">
        <v>0</v>
      </c>
      <c r="Z222" s="47" t="n">
        <v>0</v>
      </c>
      <c r="AA222" s="47" t="n">
        <v>0</v>
      </c>
      <c r="AB222" s="47" t="n">
        <v>0</v>
      </c>
      <c r="AC222" s="47" t="n">
        <v>0</v>
      </c>
      <c r="AD222" s="47" t="n">
        <v>0</v>
      </c>
      <c r="AE222" s="47" t="n">
        <v>0</v>
      </c>
      <c r="AF222" s="47" t="n">
        <v>0</v>
      </c>
      <c r="AG222" s="47" t="n">
        <v>0</v>
      </c>
      <c r="AH222" s="47" t="n">
        <v>0</v>
      </c>
      <c r="AI222" s="47" t="n">
        <v>0</v>
      </c>
      <c r="AJ222" s="47" t="n">
        <v>0</v>
      </c>
      <c r="AK222" s="47" t="n">
        <v>0</v>
      </c>
      <c r="AL222" s="47" t="n">
        <v>49.188</v>
      </c>
      <c r="AM222" s="47" t="n">
        <v>0.001</v>
      </c>
      <c r="AN222" s="47" t="n">
        <v>3.509</v>
      </c>
      <c r="AO222" s="47" t="n">
        <v>0</v>
      </c>
      <c r="AP222" s="47" t="n">
        <v>24.997</v>
      </c>
      <c r="AQ222" s="47" t="n">
        <v>3.513</v>
      </c>
      <c r="AR222" s="47" t="n">
        <v>3.791</v>
      </c>
      <c r="AS222" s="47" t="n">
        <v>0</v>
      </c>
      <c r="AT222" s="47" t="n">
        <v>0</v>
      </c>
      <c r="AU222" s="47" t="n">
        <v>0</v>
      </c>
      <c r="AV222" s="47" t="n">
        <v>3.582</v>
      </c>
      <c r="AW222" s="47" t="n">
        <v>10.54</v>
      </c>
      <c r="AX222" s="47" t="n">
        <v>0</v>
      </c>
      <c r="AY222" s="47" t="n">
        <v>0</v>
      </c>
      <c r="AZ222" s="47" t="n">
        <v>0</v>
      </c>
      <c r="BA222" s="47" t="n">
        <v>0</v>
      </c>
      <c r="BB222" s="47" t="n">
        <v>0</v>
      </c>
      <c r="BC222" s="47" t="n">
        <v>0</v>
      </c>
      <c r="BD222" s="47" t="n">
        <v>0</v>
      </c>
      <c r="BE222" s="47" t="n">
        <v>0</v>
      </c>
      <c r="BF222" s="47" t="n">
        <v>0</v>
      </c>
      <c r="BG222" s="47" t="n">
        <v>0</v>
      </c>
      <c r="BH222" s="47" t="n">
        <v>0</v>
      </c>
      <c r="BI222" s="47" t="n">
        <v>0</v>
      </c>
      <c r="BJ222" s="47" t="n">
        <v>0</v>
      </c>
      <c r="BK222" s="47" t="n">
        <v>0</v>
      </c>
      <c r="BL222" s="47" t="n">
        <v>0</v>
      </c>
      <c r="BM222" s="47" t="n">
        <v>0</v>
      </c>
      <c r="BN222" s="47" t="n">
        <v>0</v>
      </c>
      <c r="BO222" s="47" t="n">
        <v>0</v>
      </c>
      <c r="BP222" s="47" t="n">
        <v>0</v>
      </c>
      <c r="BQ222" s="47" t="n">
        <v>0</v>
      </c>
      <c r="BR222" s="47" t="n">
        <v>0</v>
      </c>
      <c r="BS222" s="47" t="n">
        <v>0</v>
      </c>
      <c r="BT222" s="47" t="n">
        <v>0</v>
      </c>
      <c r="BU222" s="47" t="n">
        <v>0</v>
      </c>
      <c r="BV222" s="47" t="n">
        <v>0</v>
      </c>
      <c r="BW222" s="102" t="n"/>
      <c r="BX222" s="102" t="n"/>
      <c r="BY222" s="102" t="n"/>
      <c r="BZ222" s="102" t="n"/>
      <c r="CA222" s="102" t="n"/>
      <c r="CB222" s="102" t="n"/>
      <c r="CC222" s="102" t="n"/>
      <c r="CD222" s="102" t="n"/>
      <c r="CE222" s="102" t="n"/>
      <c r="CF222" s="102" t="n"/>
      <c r="CG222" s="102" t="n"/>
      <c r="CH222" s="102" t="n"/>
      <c r="CI222" s="102" t="n"/>
      <c r="CJ222" s="102" t="n"/>
      <c r="CK222" s="102" t="n"/>
      <c r="CL222" s="102" t="n"/>
      <c r="CM222" s="102" t="n"/>
      <c r="CN222" s="102" t="n"/>
      <c r="CO222" s="102" t="n"/>
      <c r="CP222" s="102" t="n"/>
      <c r="CQ222" s="102" t="n"/>
      <c r="CR222" s="102" t="n"/>
      <c r="CS222" s="102" t="n"/>
      <c r="CT222" s="102" t="n"/>
      <c r="CU222" s="102" t="n"/>
      <c r="CV222" s="102" t="n"/>
      <c r="CW222" s="102" t="n"/>
      <c r="CX222" s="102" t="n"/>
      <c r="CY222" s="102" t="n"/>
      <c r="CZ222" s="102" t="n"/>
      <c r="DA222" s="102" t="n"/>
      <c r="DB222" s="102" t="n"/>
      <c r="DC222" s="102" t="n"/>
      <c r="DD222" s="102" t="n"/>
      <c r="DE222" s="102" t="n"/>
      <c r="DF222" s="102" t="n"/>
      <c r="DG222" s="102" t="n"/>
      <c r="DH222" s="102" t="n"/>
      <c r="DI222" s="102" t="n"/>
      <c r="DJ222" s="102" t="n"/>
      <c r="DK222" s="102" t="n"/>
      <c r="DL222" s="102" t="n"/>
      <c r="DM222" s="102" t="n"/>
      <c r="DN222" s="102" t="n"/>
      <c r="DO222" s="102" t="n"/>
      <c r="DP222" s="102" t="n"/>
      <c r="DQ222" s="102" t="n"/>
      <c r="DR222" s="102" t="n"/>
      <c r="DT222" s="46" t="n"/>
      <c r="DU222" s="46" t="n"/>
      <c r="DV222" s="46" t="n"/>
      <c r="DW222" s="46" t="n"/>
    </row>
    <row r="223" hidden="1" outlineLevel="1" ht="15.75" customHeight="1">
      <c r="B223" s="5" t="inlineStr">
        <is>
          <t>AMA</t>
        </is>
      </c>
      <c r="C223" s="68" t="inlineStr">
        <is>
          <t>Mega</t>
        </is>
      </c>
      <c r="E223" s="46">
        <f>+SUMIFS($O223:$DR223,$O$7:$DR$7,E$7)</f>
        <v/>
      </c>
      <c r="F223" s="46">
        <f>+SUMIFS($O223:$DR223,$O$7:$DR$7,F$7)</f>
        <v/>
      </c>
      <c r="G223" s="46">
        <f>+SUMIFS($O223:$DR223,$O$7:$DR$7,G$7)</f>
        <v/>
      </c>
      <c r="H223" s="46">
        <f>+SUMIFS($O223:$DR223,$O$7:$DR$7,H$7)</f>
        <v/>
      </c>
      <c r="I223" s="46">
        <f>+SUMIFS($O223:$DR223,$O$7:$DR$7,I$7)</f>
        <v/>
      </c>
      <c r="J223" s="46">
        <f>+SUMIFS($O223:$DR223,$O$7:$DR$7,J$7)</f>
        <v/>
      </c>
      <c r="K223" s="46">
        <f>+SUMIFS($O223:$DR223,$O$7:$DR$7,K$7)</f>
        <v/>
      </c>
      <c r="L223" s="46">
        <f>+SUMIFS($O223:$DR223,$O$7:$DR$7,L$7)</f>
        <v/>
      </c>
      <c r="M223" s="46">
        <f>+SUMIFS($O223:$DR223,$O$7:$DR$7,M$7)</f>
        <v/>
      </c>
      <c r="O223" s="47" t="n">
        <v>0</v>
      </c>
      <c r="P223" s="47" t="n">
        <v>0</v>
      </c>
      <c r="Q223" s="47" t="n">
        <v>0</v>
      </c>
      <c r="R223" s="47" t="n">
        <v>0</v>
      </c>
      <c r="S223" s="47" t="n">
        <v>0</v>
      </c>
      <c r="T223" s="47" t="n">
        <v>0</v>
      </c>
      <c r="U223" s="47" t="n">
        <v>0</v>
      </c>
      <c r="V223" s="47" t="n">
        <v>0</v>
      </c>
      <c r="W223" s="47" t="n">
        <v>0</v>
      </c>
      <c r="X223" s="47" t="n">
        <v>0</v>
      </c>
      <c r="Y223" s="47" t="n">
        <v>0</v>
      </c>
      <c r="Z223" s="47" t="n">
        <v>0</v>
      </c>
      <c r="AA223" s="47" t="n">
        <v>0</v>
      </c>
      <c r="AB223" s="47" t="n">
        <v>0</v>
      </c>
      <c r="AC223" s="47" t="n">
        <v>0</v>
      </c>
      <c r="AD223" s="47" t="n">
        <v>0</v>
      </c>
      <c r="AE223" s="47" t="n">
        <v>0</v>
      </c>
      <c r="AF223" s="47" t="n">
        <v>0</v>
      </c>
      <c r="AG223" s="47" t="n">
        <v>0</v>
      </c>
      <c r="AH223" s="47" t="n">
        <v>0</v>
      </c>
      <c r="AI223" s="47" t="n">
        <v>0</v>
      </c>
      <c r="AJ223" s="47" t="n">
        <v>35</v>
      </c>
      <c r="AK223" s="47" t="n">
        <v>0</v>
      </c>
      <c r="AL223" s="47" t="n">
        <v>0</v>
      </c>
      <c r="AM223" s="47" t="n">
        <v>0</v>
      </c>
      <c r="AN223" s="47" t="n">
        <v>0</v>
      </c>
      <c r="AO223" s="47" t="n">
        <v>0</v>
      </c>
      <c r="AP223" s="47" t="n">
        <v>0</v>
      </c>
      <c r="AQ223" s="47" t="n">
        <v>0</v>
      </c>
      <c r="AR223" s="47" t="n">
        <v>0</v>
      </c>
      <c r="AS223" s="47" t="n">
        <v>15</v>
      </c>
      <c r="AT223" s="47" t="n">
        <v>37.5</v>
      </c>
      <c r="AU223" s="47" t="n">
        <v>15</v>
      </c>
      <c r="AV223" s="47" t="n">
        <v>37.5</v>
      </c>
      <c r="AW223" s="47" t="n">
        <v>45</v>
      </c>
      <c r="AX223" s="47" t="n">
        <v>0</v>
      </c>
      <c r="AY223" s="47" t="n">
        <v>0</v>
      </c>
      <c r="AZ223" s="47" t="n">
        <v>0</v>
      </c>
      <c r="BA223" s="47" t="n">
        <v>0</v>
      </c>
      <c r="BB223" s="47" t="n">
        <v>0</v>
      </c>
      <c r="BC223" s="47" t="n">
        <v>0</v>
      </c>
      <c r="BD223" s="47" t="n">
        <v>0</v>
      </c>
      <c r="BE223" s="47" t="n">
        <v>0</v>
      </c>
      <c r="BF223" s="47" t="n">
        <v>0</v>
      </c>
      <c r="BG223" s="47" t="n">
        <v>0</v>
      </c>
      <c r="BH223" s="47" t="n">
        <v>0</v>
      </c>
      <c r="BI223" s="47" t="n">
        <v>0</v>
      </c>
      <c r="BJ223" s="47" t="n">
        <v>0</v>
      </c>
      <c r="BK223" s="47" t="n">
        <v>0</v>
      </c>
      <c r="BL223" s="47" t="n">
        <v>0</v>
      </c>
      <c r="BM223" s="47" t="n">
        <v>0</v>
      </c>
      <c r="BN223" s="47" t="n">
        <v>0</v>
      </c>
      <c r="BO223" s="47" t="n">
        <v>0</v>
      </c>
      <c r="BP223" s="47" t="n">
        <v>0</v>
      </c>
      <c r="BQ223" s="47" t="n">
        <v>0</v>
      </c>
      <c r="BR223" s="47" t="n">
        <v>0</v>
      </c>
      <c r="BS223" s="47" t="n">
        <v>0</v>
      </c>
      <c r="BT223" s="47" t="n">
        <v>0</v>
      </c>
      <c r="BU223" s="47" t="n">
        <v>0</v>
      </c>
      <c r="BV223" s="47" t="n">
        <v>0</v>
      </c>
      <c r="BW223" s="102" t="n"/>
      <c r="BX223" s="102" t="n"/>
      <c r="BY223" s="102" t="n"/>
      <c r="BZ223" s="102" t="n"/>
      <c r="CA223" s="102" t="n"/>
      <c r="CB223" s="102" t="n"/>
      <c r="CC223" s="102" t="n"/>
      <c r="CD223" s="102" t="n"/>
      <c r="CE223" s="102" t="n"/>
      <c r="CF223" s="102" t="n"/>
      <c r="CG223" s="102" t="n"/>
      <c r="CH223" s="102" t="n"/>
      <c r="CI223" s="102" t="n"/>
      <c r="CJ223" s="102" t="n"/>
      <c r="CK223" s="102" t="n"/>
      <c r="CL223" s="102" t="n"/>
      <c r="CM223" s="102" t="n"/>
      <c r="CN223" s="102" t="n"/>
      <c r="CO223" s="102" t="n"/>
      <c r="CP223" s="102" t="n"/>
      <c r="CQ223" s="102" t="n"/>
      <c r="CR223" s="102" t="n"/>
      <c r="CS223" s="102" t="n"/>
      <c r="CT223" s="102" t="n"/>
      <c r="CU223" s="102" t="n"/>
      <c r="CV223" s="102" t="n"/>
      <c r="CW223" s="102" t="n"/>
      <c r="CX223" s="102" t="n"/>
      <c r="CY223" s="102" t="n"/>
      <c r="CZ223" s="102" t="n"/>
      <c r="DA223" s="102" t="n"/>
      <c r="DB223" s="102" t="n"/>
      <c r="DC223" s="102" t="n"/>
      <c r="DD223" s="102" t="n"/>
      <c r="DE223" s="102" t="n"/>
      <c r="DF223" s="102" t="n"/>
      <c r="DG223" s="102" t="n"/>
      <c r="DH223" s="102" t="n"/>
      <c r="DI223" s="102" t="n"/>
      <c r="DJ223" s="102" t="n"/>
      <c r="DK223" s="102" t="n"/>
      <c r="DL223" s="102" t="n"/>
      <c r="DM223" s="102" t="n"/>
      <c r="DN223" s="102" t="n"/>
      <c r="DO223" s="102" t="n"/>
      <c r="DP223" s="102" t="n"/>
      <c r="DQ223" s="102" t="n"/>
      <c r="DR223" s="102" t="n"/>
      <c r="DT223" s="46" t="n"/>
      <c r="DU223" s="46" t="n"/>
      <c r="DV223" s="46" t="n"/>
      <c r="DW223" s="46" t="n"/>
    </row>
    <row r="224" hidden="1" outlineLevel="1" ht="15.75" customHeight="1">
      <c r="B224" s="5" t="inlineStr">
        <is>
          <t>AORN</t>
        </is>
      </c>
      <c r="C224" s="68" t="inlineStr">
        <is>
          <t>Lower Middle Market</t>
        </is>
      </c>
      <c r="E224" s="46">
        <f>+SUMIFS($O224:$DR224,$O$7:$DR$7,E$7)</f>
        <v/>
      </c>
      <c r="F224" s="46">
        <f>+SUMIFS($O224:$DR224,$O$7:$DR$7,F$7)</f>
        <v/>
      </c>
      <c r="G224" s="46">
        <f>+SUMIFS($O224:$DR224,$O$7:$DR$7,G$7)</f>
        <v/>
      </c>
      <c r="H224" s="46">
        <f>+SUMIFS($O224:$DR224,$O$7:$DR$7,H$7)</f>
        <v/>
      </c>
      <c r="I224" s="46">
        <f>+SUMIFS($O224:$DR224,$O$7:$DR$7,I$7)</f>
        <v/>
      </c>
      <c r="J224" s="46">
        <f>+SUMIFS($O224:$DR224,$O$7:$DR$7,J$7)</f>
        <v/>
      </c>
      <c r="K224" s="46">
        <f>+SUMIFS($O224:$DR224,$O$7:$DR$7,K$7)</f>
        <v/>
      </c>
      <c r="L224" s="46">
        <f>+SUMIFS($O224:$DR224,$O$7:$DR$7,L$7)</f>
        <v/>
      </c>
      <c r="M224" s="46">
        <f>+SUMIFS($O224:$DR224,$O$7:$DR$7,M$7)</f>
        <v/>
      </c>
      <c r="O224" s="47" t="n">
        <v>5.625</v>
      </c>
      <c r="P224" s="47" t="n">
        <v>3.375</v>
      </c>
      <c r="Q224" s="47" t="n">
        <v>2.25</v>
      </c>
      <c r="R224" s="47" t="n">
        <v>0</v>
      </c>
      <c r="S224" s="47" t="n">
        <v>0</v>
      </c>
      <c r="T224" s="47" t="n">
        <v>0</v>
      </c>
      <c r="U224" s="47" t="n">
        <v>0</v>
      </c>
      <c r="V224" s="47" t="n">
        <v>0</v>
      </c>
      <c r="W224" s="47" t="n">
        <v>0</v>
      </c>
      <c r="X224" s="47" t="n">
        <v>0</v>
      </c>
      <c r="Y224" s="47" t="n">
        <v>0</v>
      </c>
      <c r="Z224" s="47" t="n">
        <v>0</v>
      </c>
      <c r="AA224" s="47" t="n">
        <v>0</v>
      </c>
      <c r="AB224" s="47" t="n">
        <v>0</v>
      </c>
      <c r="AC224" s="47" t="n">
        <v>0</v>
      </c>
      <c r="AD224" s="47" t="n">
        <v>0</v>
      </c>
      <c r="AE224" s="47" t="n">
        <v>0</v>
      </c>
      <c r="AF224" s="47" t="n">
        <v>0</v>
      </c>
      <c r="AG224" s="47" t="n">
        <v>0</v>
      </c>
      <c r="AH224" s="47" t="n">
        <v>0</v>
      </c>
      <c r="AI224" s="47" t="n">
        <v>0</v>
      </c>
      <c r="AJ224" s="47" t="n">
        <v>0</v>
      </c>
      <c r="AK224" s="47" t="n">
        <v>0</v>
      </c>
      <c r="AL224" s="47" t="n">
        <v>0</v>
      </c>
      <c r="AM224" s="47" t="n">
        <v>0</v>
      </c>
      <c r="AN224" s="47" t="n">
        <v>0</v>
      </c>
      <c r="AO224" s="47" t="n">
        <v>0</v>
      </c>
      <c r="AP224" s="47" t="n">
        <v>0</v>
      </c>
      <c r="AQ224" s="47" t="n">
        <v>0</v>
      </c>
      <c r="AR224" s="47" t="n">
        <v>0</v>
      </c>
      <c r="AS224" s="47" t="n">
        <v>0</v>
      </c>
      <c r="AT224" s="47" t="n">
        <v>0</v>
      </c>
      <c r="AU224" s="47" t="n">
        <v>0</v>
      </c>
      <c r="AV224" s="47" t="n">
        <v>0</v>
      </c>
      <c r="AW224" s="47" t="n">
        <v>0</v>
      </c>
      <c r="AX224" s="47" t="n">
        <v>0</v>
      </c>
      <c r="AY224" s="47" t="n">
        <v>0</v>
      </c>
      <c r="AZ224" s="47" t="n">
        <v>0</v>
      </c>
      <c r="BA224" s="47" t="n">
        <v>0</v>
      </c>
      <c r="BB224" s="47" t="n">
        <v>0</v>
      </c>
      <c r="BC224" s="47" t="n">
        <v>0</v>
      </c>
      <c r="BD224" s="47" t="n">
        <v>0</v>
      </c>
      <c r="BE224" s="47" t="n">
        <v>0</v>
      </c>
      <c r="BF224" s="47" t="n">
        <v>0</v>
      </c>
      <c r="BG224" s="47" t="n">
        <v>0</v>
      </c>
      <c r="BH224" s="47" t="n">
        <v>0</v>
      </c>
      <c r="BI224" s="47" t="n">
        <v>0</v>
      </c>
      <c r="BJ224" s="47" t="n">
        <v>0</v>
      </c>
      <c r="BK224" s="47" t="n">
        <v>0</v>
      </c>
      <c r="BL224" s="47" t="n">
        <v>0</v>
      </c>
      <c r="BM224" s="47" t="n">
        <v>0</v>
      </c>
      <c r="BN224" s="47" t="n">
        <v>0</v>
      </c>
      <c r="BO224" s="47" t="n">
        <v>0</v>
      </c>
      <c r="BP224" s="47" t="n">
        <v>0</v>
      </c>
      <c r="BQ224" s="47" t="n">
        <v>0</v>
      </c>
      <c r="BR224" s="47" t="n">
        <v>0</v>
      </c>
      <c r="BS224" s="47" t="n">
        <v>0</v>
      </c>
      <c r="BT224" s="47" t="n">
        <v>0</v>
      </c>
      <c r="BU224" s="47" t="n">
        <v>0</v>
      </c>
      <c r="BV224" s="47" t="n">
        <v>0</v>
      </c>
      <c r="BW224" s="102" t="n"/>
      <c r="BX224" s="102" t="n"/>
      <c r="BY224" s="102" t="n"/>
      <c r="BZ224" s="102" t="n"/>
      <c r="CA224" s="102" t="n"/>
      <c r="CB224" s="102" t="n"/>
      <c r="CC224" s="102" t="n"/>
      <c r="CD224" s="102" t="n"/>
      <c r="CE224" s="102" t="n"/>
      <c r="CF224" s="102" t="n"/>
      <c r="CG224" s="102" t="n"/>
      <c r="CH224" s="102" t="n"/>
      <c r="CI224" s="102" t="n"/>
      <c r="CJ224" s="102" t="n"/>
      <c r="CK224" s="102" t="n"/>
      <c r="CL224" s="102" t="n"/>
      <c r="CM224" s="102" t="n"/>
      <c r="CN224" s="102" t="n"/>
      <c r="CO224" s="102" t="n"/>
      <c r="CP224" s="102" t="n"/>
      <c r="CQ224" s="102" t="n"/>
      <c r="CR224" s="102" t="n"/>
      <c r="CS224" s="102" t="n"/>
      <c r="CT224" s="102" t="n"/>
      <c r="CU224" s="102" t="n"/>
      <c r="CV224" s="102" t="n"/>
      <c r="CW224" s="102" t="n"/>
      <c r="CX224" s="102" t="n"/>
      <c r="CY224" s="102" t="n"/>
      <c r="CZ224" s="102" t="n"/>
      <c r="DA224" s="102" t="n"/>
      <c r="DB224" s="102" t="n"/>
      <c r="DC224" s="102" t="n"/>
      <c r="DD224" s="102" t="n"/>
      <c r="DE224" s="102" t="n"/>
      <c r="DF224" s="102" t="n"/>
      <c r="DG224" s="102" t="n"/>
      <c r="DH224" s="102" t="n"/>
      <c r="DI224" s="102" t="n"/>
      <c r="DJ224" s="102" t="n"/>
      <c r="DK224" s="102" t="n"/>
      <c r="DL224" s="102" t="n"/>
      <c r="DM224" s="102" t="n"/>
      <c r="DN224" s="102" t="n"/>
      <c r="DO224" s="102" t="n"/>
      <c r="DP224" s="102" t="n"/>
      <c r="DQ224" s="102" t="n"/>
      <c r="DR224" s="102" t="n"/>
      <c r="DT224" s="46" t="n"/>
      <c r="DU224" s="46" t="n"/>
      <c r="DV224" s="46" t="n"/>
      <c r="DW224" s="46" t="n"/>
    </row>
    <row r="225" hidden="1" outlineLevel="1" ht="15.75" customHeight="1">
      <c r="B225" s="5" t="inlineStr">
        <is>
          <t>AOTA</t>
        </is>
      </c>
      <c r="C225" s="68" t="inlineStr">
        <is>
          <t>Lower Middle Market</t>
        </is>
      </c>
      <c r="E225" s="46">
        <f>+SUMIFS($O225:$DR225,$O$7:$DR$7,E$7)</f>
        <v/>
      </c>
      <c r="F225" s="46">
        <f>+SUMIFS($O225:$DR225,$O$7:$DR$7,F$7)</f>
        <v/>
      </c>
      <c r="G225" s="46">
        <f>+SUMIFS($O225:$DR225,$O$7:$DR$7,G$7)</f>
        <v/>
      </c>
      <c r="H225" s="46">
        <f>+SUMIFS($O225:$DR225,$O$7:$DR$7,H$7)</f>
        <v/>
      </c>
      <c r="I225" s="46">
        <f>+SUMIFS($O225:$DR225,$O$7:$DR$7,I$7)</f>
        <v/>
      </c>
      <c r="J225" s="46">
        <f>+SUMIFS($O225:$DR225,$O$7:$DR$7,J$7)</f>
        <v/>
      </c>
      <c r="K225" s="46">
        <f>+SUMIFS($O225:$DR225,$O$7:$DR$7,K$7)</f>
        <v/>
      </c>
      <c r="L225" s="46">
        <f>+SUMIFS($O225:$DR225,$O$7:$DR$7,L$7)</f>
        <v/>
      </c>
      <c r="M225" s="46">
        <f>+SUMIFS($O225:$DR225,$O$7:$DR$7,M$7)</f>
        <v/>
      </c>
      <c r="O225" s="47" t="n">
        <v>0</v>
      </c>
      <c r="P225" s="47" t="n">
        <v>0</v>
      </c>
      <c r="Q225" s="47" t="n">
        <v>0</v>
      </c>
      <c r="R225" s="47" t="n">
        <v>0</v>
      </c>
      <c r="S225" s="47" t="n">
        <v>0</v>
      </c>
      <c r="T225" s="47" t="n">
        <v>0</v>
      </c>
      <c r="U225" s="47" t="n">
        <v>0</v>
      </c>
      <c r="V225" s="47" t="n">
        <v>0</v>
      </c>
      <c r="W225" s="47" t="n">
        <v>0</v>
      </c>
      <c r="X225" s="47" t="n">
        <v>0</v>
      </c>
      <c r="Y225" s="47" t="n">
        <v>0</v>
      </c>
      <c r="Z225" s="47" t="n">
        <v>0</v>
      </c>
      <c r="AA225" s="47" t="n">
        <v>0</v>
      </c>
      <c r="AB225" s="47" t="n">
        <v>0</v>
      </c>
      <c r="AC225" s="47" t="n">
        <v>0</v>
      </c>
      <c r="AD225" s="47" t="n">
        <v>0</v>
      </c>
      <c r="AE225" s="47" t="n">
        <v>0</v>
      </c>
      <c r="AF225" s="47" t="n">
        <v>0</v>
      </c>
      <c r="AG225" s="47" t="n">
        <v>0</v>
      </c>
      <c r="AH225" s="47" t="n">
        <v>0</v>
      </c>
      <c r="AI225" s="47" t="n">
        <v>0</v>
      </c>
      <c r="AJ225" s="47" t="n">
        <v>0</v>
      </c>
      <c r="AK225" s="47" t="n">
        <v>0</v>
      </c>
      <c r="AL225" s="47" t="n">
        <v>0</v>
      </c>
      <c r="AM225" s="47" t="n">
        <v>0</v>
      </c>
      <c r="AN225" s="47" t="n">
        <v>0</v>
      </c>
      <c r="AO225" s="47" t="n">
        <v>0</v>
      </c>
      <c r="AP225" s="47" t="n">
        <v>0</v>
      </c>
      <c r="AQ225" s="47" t="n">
        <v>0</v>
      </c>
      <c r="AR225" s="47" t="n">
        <v>0</v>
      </c>
      <c r="AS225" s="47" t="n">
        <v>0</v>
      </c>
      <c r="AT225" s="47" t="n">
        <v>0</v>
      </c>
      <c r="AU225" s="47" t="n">
        <v>0</v>
      </c>
      <c r="AV225" s="47" t="n">
        <v>0</v>
      </c>
      <c r="AW225" s="47" t="n">
        <v>0</v>
      </c>
      <c r="AX225" s="47" t="n">
        <v>0</v>
      </c>
      <c r="AY225" s="47" t="n">
        <v>0</v>
      </c>
      <c r="AZ225" s="47" t="n">
        <v>6.803</v>
      </c>
      <c r="BA225" s="47" t="n">
        <v>10.802</v>
      </c>
      <c r="BB225" s="47" t="n">
        <v>6.804</v>
      </c>
      <c r="BC225" s="47" t="n">
        <v>14.8</v>
      </c>
      <c r="BD225" s="47" t="n">
        <v>18.798</v>
      </c>
      <c r="BE225" s="47" t="n">
        <v>6.804</v>
      </c>
      <c r="BF225" s="47" t="n">
        <v>10.802</v>
      </c>
      <c r="BG225" s="47" t="n">
        <v>26.795</v>
      </c>
      <c r="BH225" s="47" t="n">
        <v>0</v>
      </c>
      <c r="BI225" s="47" t="n">
        <v>0</v>
      </c>
      <c r="BJ225" s="47" t="n">
        <v>0</v>
      </c>
      <c r="BK225" s="47" t="n">
        <v>0</v>
      </c>
      <c r="BL225" s="47" t="n">
        <v>0</v>
      </c>
      <c r="BM225" s="47" t="n">
        <v>0</v>
      </c>
      <c r="BN225" s="47" t="n">
        <v>0</v>
      </c>
      <c r="BO225" s="47" t="n">
        <v>0</v>
      </c>
      <c r="BP225" s="47" t="n">
        <v>0</v>
      </c>
      <c r="BQ225" s="47" t="n">
        <v>0</v>
      </c>
      <c r="BR225" s="47" t="n">
        <v>0</v>
      </c>
      <c r="BS225" s="47" t="n">
        <v>0</v>
      </c>
      <c r="BT225" s="47" t="n">
        <v>0</v>
      </c>
      <c r="BU225" s="47" t="n">
        <v>0</v>
      </c>
      <c r="BV225" s="47" t="n">
        <v>0</v>
      </c>
      <c r="BW225" s="102" t="n"/>
      <c r="BX225" s="102" t="n"/>
      <c r="BY225" s="102" t="n"/>
      <c r="BZ225" s="102" t="n"/>
      <c r="CA225" s="102" t="n"/>
      <c r="CB225" s="102" t="n"/>
      <c r="CC225" s="102" t="n"/>
      <c r="CD225" s="102" t="n"/>
      <c r="CE225" s="102" t="n"/>
      <c r="CF225" s="102" t="n"/>
      <c r="CG225" s="102" t="n"/>
      <c r="CH225" s="102" t="n"/>
      <c r="CI225" s="102" t="n"/>
      <c r="CJ225" s="102" t="n"/>
      <c r="CK225" s="102" t="n"/>
      <c r="CL225" s="102" t="n"/>
      <c r="CM225" s="102" t="n"/>
      <c r="CN225" s="102" t="n"/>
      <c r="CO225" s="102" t="n"/>
      <c r="CP225" s="102" t="n"/>
      <c r="CQ225" s="102" t="n"/>
      <c r="CR225" s="102" t="n"/>
      <c r="CS225" s="102" t="n"/>
      <c r="CT225" s="102" t="n"/>
      <c r="CU225" s="102" t="n"/>
      <c r="CV225" s="102" t="n"/>
      <c r="CW225" s="102" t="n"/>
      <c r="CX225" s="102" t="n"/>
      <c r="CY225" s="102" t="n"/>
      <c r="CZ225" s="102" t="n"/>
      <c r="DA225" s="102" t="n"/>
      <c r="DB225" s="102" t="n"/>
      <c r="DC225" s="102" t="n"/>
      <c r="DD225" s="102" t="n"/>
      <c r="DE225" s="102" t="n"/>
      <c r="DF225" s="102" t="n"/>
      <c r="DG225" s="102" t="n"/>
      <c r="DH225" s="102" t="n"/>
      <c r="DI225" s="102" t="n"/>
      <c r="DJ225" s="102" t="n"/>
      <c r="DK225" s="102" t="n"/>
      <c r="DL225" s="102" t="n"/>
      <c r="DM225" s="102" t="n"/>
      <c r="DN225" s="102" t="n"/>
      <c r="DO225" s="102" t="n"/>
      <c r="DP225" s="102" t="n"/>
      <c r="DQ225" s="102" t="n"/>
      <c r="DR225" s="102" t="n"/>
      <c r="DT225" s="46" t="n"/>
      <c r="DU225" s="46" t="n"/>
      <c r="DV225" s="46" t="n"/>
      <c r="DW225" s="46" t="n"/>
    </row>
    <row r="226" hidden="1" outlineLevel="1" ht="15.75" customHeight="1">
      <c r="B226" s="5" t="inlineStr">
        <is>
          <t>ARP</t>
        </is>
      </c>
      <c r="C226" s="68" t="inlineStr">
        <is>
          <t>Lower Middle Market</t>
        </is>
      </c>
      <c r="E226" s="46">
        <f>+SUMIFS($O226:$DR226,$O$7:$DR$7,E$7)</f>
        <v/>
      </c>
      <c r="F226" s="46">
        <f>+SUMIFS($O226:$DR226,$O$7:$DR$7,F$7)</f>
        <v/>
      </c>
      <c r="G226" s="46">
        <f>+SUMIFS($O226:$DR226,$O$7:$DR$7,G$7)</f>
        <v/>
      </c>
      <c r="H226" s="46">
        <f>+SUMIFS($O226:$DR226,$O$7:$DR$7,H$7)</f>
        <v/>
      </c>
      <c r="I226" s="46">
        <f>+SUMIFS($O226:$DR226,$O$7:$DR$7,I$7)</f>
        <v/>
      </c>
      <c r="J226" s="46">
        <f>+SUMIFS($O226:$DR226,$O$7:$DR$7,J$7)</f>
        <v/>
      </c>
      <c r="K226" s="46">
        <f>+SUMIFS($O226:$DR226,$O$7:$DR$7,K$7)</f>
        <v/>
      </c>
      <c r="L226" s="46">
        <f>+SUMIFS($O226:$DR226,$O$7:$DR$7,L$7)</f>
        <v/>
      </c>
      <c r="M226" s="46">
        <f>+SUMIFS($O226:$DR226,$O$7:$DR$7,M$7)</f>
        <v/>
      </c>
      <c r="O226" s="47" t="n">
        <v>0</v>
      </c>
      <c r="P226" s="47" t="n">
        <v>0</v>
      </c>
      <c r="Q226" s="47" t="n">
        <v>0</v>
      </c>
      <c r="R226" s="47" t="n">
        <v>0</v>
      </c>
      <c r="S226" s="47" t="n">
        <v>0</v>
      </c>
      <c r="T226" s="47" t="n">
        <v>0</v>
      </c>
      <c r="U226" s="47" t="n">
        <v>0</v>
      </c>
      <c r="V226" s="47" t="n">
        <v>0</v>
      </c>
      <c r="W226" s="47" t="n">
        <v>0</v>
      </c>
      <c r="X226" s="47" t="n">
        <v>0</v>
      </c>
      <c r="Y226" s="47" t="n">
        <v>0</v>
      </c>
      <c r="Z226" s="47" t="n">
        <v>0</v>
      </c>
      <c r="AA226" s="47" t="n">
        <v>0</v>
      </c>
      <c r="AB226" s="47" t="n">
        <v>0</v>
      </c>
      <c r="AC226" s="47" t="n">
        <v>0</v>
      </c>
      <c r="AD226" s="47" t="n">
        <v>0</v>
      </c>
      <c r="AE226" s="47" t="n">
        <v>0</v>
      </c>
      <c r="AF226" s="47" t="n">
        <v>0</v>
      </c>
      <c r="AG226" s="47" t="n">
        <v>0</v>
      </c>
      <c r="AH226" s="47" t="n">
        <v>0</v>
      </c>
      <c r="AI226" s="47" t="n">
        <v>0</v>
      </c>
      <c r="AJ226" s="47" t="n">
        <v>0</v>
      </c>
      <c r="AK226" s="47" t="n">
        <v>0</v>
      </c>
      <c r="AL226" s="47" t="n">
        <v>0</v>
      </c>
      <c r="AM226" s="47" t="n">
        <v>0</v>
      </c>
      <c r="AN226" s="47" t="n">
        <v>0</v>
      </c>
      <c r="AO226" s="47" t="n">
        <v>0</v>
      </c>
      <c r="AP226" s="47" t="n">
        <v>0</v>
      </c>
      <c r="AQ226" s="47" t="n">
        <v>0</v>
      </c>
      <c r="AR226" s="47" t="n">
        <v>0</v>
      </c>
      <c r="AS226" s="47" t="n">
        <v>0</v>
      </c>
      <c r="AT226" s="47" t="n">
        <v>0</v>
      </c>
      <c r="AU226" s="47" t="n">
        <v>0</v>
      </c>
      <c r="AV226" s="47" t="n">
        <v>0</v>
      </c>
      <c r="AW226" s="47" t="n">
        <v>0</v>
      </c>
      <c r="AX226" s="47" t="n">
        <v>0</v>
      </c>
      <c r="AY226" s="47" t="n">
        <v>0</v>
      </c>
      <c r="AZ226" s="47" t="n">
        <v>0</v>
      </c>
      <c r="BA226" s="47" t="n">
        <v>0</v>
      </c>
      <c r="BB226" s="47" t="n">
        <v>0</v>
      </c>
      <c r="BC226" s="47" t="n">
        <v>0</v>
      </c>
      <c r="BD226" s="47" t="n">
        <v>0</v>
      </c>
      <c r="BE226" s="47" t="n">
        <v>0</v>
      </c>
      <c r="BF226" s="47" t="n">
        <v>0</v>
      </c>
      <c r="BG226" s="47" t="n">
        <v>0</v>
      </c>
      <c r="BH226" s="47" t="n">
        <v>11.022</v>
      </c>
      <c r="BI226" s="47" t="n">
        <v>5.512</v>
      </c>
      <c r="BJ226" s="47" t="n">
        <v>5.511</v>
      </c>
      <c r="BK226" s="47" t="n">
        <v>16.533</v>
      </c>
      <c r="BL226" s="47" t="n">
        <v>27.556</v>
      </c>
      <c r="BM226" s="47" t="n">
        <v>22.045</v>
      </c>
      <c r="BN226" s="47" t="n">
        <v>11.0225</v>
      </c>
      <c r="BO226" s="47" t="n">
        <v>11.0225</v>
      </c>
      <c r="BP226" s="47" t="n">
        <v>0</v>
      </c>
      <c r="BQ226" s="47" t="n">
        <v>0</v>
      </c>
      <c r="BR226" s="47" t="n">
        <v>0</v>
      </c>
      <c r="BS226" s="47" t="n">
        <v>0</v>
      </c>
      <c r="BT226" s="47" t="n">
        <v>0</v>
      </c>
      <c r="BU226" s="47" t="n">
        <v>0</v>
      </c>
      <c r="BV226" s="47" t="n">
        <v>0</v>
      </c>
      <c r="BW226" s="102" t="n"/>
      <c r="BX226" s="102" t="n"/>
      <c r="BY226" s="102" t="n"/>
      <c r="BZ226" s="102" t="n"/>
      <c r="CA226" s="102" t="n"/>
      <c r="CB226" s="102" t="n"/>
      <c r="CC226" s="102" t="n"/>
      <c r="CD226" s="102" t="n"/>
      <c r="CE226" s="102" t="n"/>
      <c r="CF226" s="102" t="n"/>
      <c r="CG226" s="102" t="n"/>
      <c r="CH226" s="102" t="n"/>
      <c r="CI226" s="102" t="n"/>
      <c r="CJ226" s="102" t="n"/>
      <c r="CK226" s="102" t="n"/>
      <c r="CL226" s="102" t="n"/>
      <c r="CM226" s="102" t="n"/>
      <c r="CN226" s="102" t="n"/>
      <c r="CO226" s="102" t="n"/>
      <c r="CP226" s="102" t="n"/>
      <c r="CQ226" s="102" t="n"/>
      <c r="CR226" s="102" t="n"/>
      <c r="CS226" s="102" t="n"/>
      <c r="CT226" s="102" t="n"/>
      <c r="CU226" s="102" t="n"/>
      <c r="CV226" s="102" t="n"/>
      <c r="CW226" s="102" t="n"/>
      <c r="CX226" s="102" t="n"/>
      <c r="CY226" s="102" t="n"/>
      <c r="CZ226" s="102" t="n"/>
      <c r="DA226" s="102" t="n"/>
      <c r="DB226" s="102" t="n"/>
      <c r="DC226" s="102" t="n"/>
      <c r="DD226" s="102" t="n"/>
      <c r="DE226" s="102" t="n"/>
      <c r="DF226" s="102" t="n"/>
      <c r="DG226" s="102" t="n"/>
      <c r="DH226" s="102" t="n"/>
      <c r="DI226" s="102" t="n"/>
      <c r="DJ226" s="102" t="n"/>
      <c r="DK226" s="102" t="n"/>
      <c r="DL226" s="102" t="n"/>
      <c r="DM226" s="102" t="n"/>
      <c r="DN226" s="102" t="n"/>
      <c r="DO226" s="102" t="n"/>
      <c r="DP226" s="102" t="n"/>
      <c r="DQ226" s="102" t="n"/>
      <c r="DR226" s="102" t="n"/>
      <c r="DT226" s="46" t="n"/>
      <c r="DU226" s="46" t="n"/>
      <c r="DV226" s="46" t="n"/>
      <c r="DW226" s="46" t="n"/>
    </row>
    <row r="227" hidden="1" outlineLevel="1" ht="15.75" customHeight="1">
      <c r="B227" s="5" t="inlineStr">
        <is>
          <t>ARVO</t>
        </is>
      </c>
      <c r="C227" s="68" t="inlineStr">
        <is>
          <t>Lower Middle Market</t>
        </is>
      </c>
      <c r="E227" s="46">
        <f>+SUMIFS($O227:$DR227,$O$7:$DR$7,E$7)</f>
        <v/>
      </c>
      <c r="F227" s="46">
        <f>+SUMIFS($O227:$DR227,$O$7:$DR$7,F$7)</f>
        <v/>
      </c>
      <c r="G227" s="46">
        <f>+SUMIFS($O227:$DR227,$O$7:$DR$7,G$7)</f>
        <v/>
      </c>
      <c r="H227" s="46">
        <f>+SUMIFS($O227:$DR227,$O$7:$DR$7,H$7)</f>
        <v/>
      </c>
      <c r="I227" s="46">
        <f>+SUMIFS($O227:$DR227,$O$7:$DR$7,I$7)</f>
        <v/>
      </c>
      <c r="J227" s="46">
        <f>+SUMIFS($O227:$DR227,$O$7:$DR$7,J$7)</f>
        <v/>
      </c>
      <c r="K227" s="46">
        <f>+SUMIFS($O227:$DR227,$O$7:$DR$7,K$7)</f>
        <v/>
      </c>
      <c r="L227" s="46">
        <f>+SUMIFS($O227:$DR227,$O$7:$DR$7,L$7)</f>
        <v/>
      </c>
      <c r="M227" s="46">
        <f>+SUMIFS($O227:$DR227,$O$7:$DR$7,M$7)</f>
        <v/>
      </c>
      <c r="O227" s="47" t="n">
        <v>0</v>
      </c>
      <c r="P227" s="47" t="n">
        <v>0</v>
      </c>
      <c r="Q227" s="47" t="n">
        <v>0</v>
      </c>
      <c r="R227" s="47" t="n">
        <v>0</v>
      </c>
      <c r="S227" s="47" t="n">
        <v>0</v>
      </c>
      <c r="T227" s="47" t="n">
        <v>0</v>
      </c>
      <c r="U227" s="47" t="n">
        <v>0</v>
      </c>
      <c r="V227" s="47" t="n">
        <v>0</v>
      </c>
      <c r="W227" s="47" t="n">
        <v>0</v>
      </c>
      <c r="X227" s="47" t="n">
        <v>0</v>
      </c>
      <c r="Y227" s="47" t="n">
        <v>0</v>
      </c>
      <c r="Z227" s="47" t="n">
        <v>0</v>
      </c>
      <c r="AA227" s="47" t="n">
        <v>0</v>
      </c>
      <c r="AB227" s="47" t="n">
        <v>0</v>
      </c>
      <c r="AC227" s="47" t="n">
        <v>0</v>
      </c>
      <c r="AD227" s="47" t="n">
        <v>0</v>
      </c>
      <c r="AE227" s="47" t="n">
        <v>0</v>
      </c>
      <c r="AF227" s="47" t="n">
        <v>0</v>
      </c>
      <c r="AG227" s="47" t="n">
        <v>0</v>
      </c>
      <c r="AH227" s="47" t="n">
        <v>0</v>
      </c>
      <c r="AI227" s="47" t="n">
        <v>0</v>
      </c>
      <c r="AJ227" s="47" t="n">
        <v>0</v>
      </c>
      <c r="AK227" s="47" t="n">
        <v>0</v>
      </c>
      <c r="AL227" s="47" t="n">
        <v>0</v>
      </c>
      <c r="AM227" s="47" t="n">
        <v>0</v>
      </c>
      <c r="AN227" s="47" t="n">
        <v>0</v>
      </c>
      <c r="AO227" s="47" t="n">
        <v>0</v>
      </c>
      <c r="AP227" s="47" t="n">
        <v>0</v>
      </c>
      <c r="AQ227" s="47" t="n">
        <v>0</v>
      </c>
      <c r="AR227" s="47" t="n">
        <v>0</v>
      </c>
      <c r="AS227" s="47" t="n">
        <v>0</v>
      </c>
      <c r="AT227" s="47" t="n">
        <v>0</v>
      </c>
      <c r="AU227" s="47" t="n">
        <v>0</v>
      </c>
      <c r="AV227" s="47" t="n">
        <v>0</v>
      </c>
      <c r="AW227" s="47" t="n">
        <v>0</v>
      </c>
      <c r="AX227" s="47" t="n">
        <v>0</v>
      </c>
      <c r="AY227" s="47" t="n">
        <v>0</v>
      </c>
      <c r="AZ227" s="47" t="n">
        <v>0</v>
      </c>
      <c r="BA227" s="47" t="n">
        <v>0</v>
      </c>
      <c r="BB227" s="47" t="n">
        <v>0</v>
      </c>
      <c r="BC227" s="47" t="n">
        <v>0</v>
      </c>
      <c r="BD227" s="47" t="n">
        <v>0</v>
      </c>
      <c r="BE227" s="47" t="n">
        <v>0</v>
      </c>
      <c r="BF227" s="47" t="n">
        <v>0</v>
      </c>
      <c r="BG227" s="47" t="n">
        <v>0</v>
      </c>
      <c r="BH227" s="47" t="n">
        <v>0</v>
      </c>
      <c r="BI227" s="47" t="n">
        <v>0</v>
      </c>
      <c r="BJ227" s="47" t="n">
        <v>0</v>
      </c>
      <c r="BK227" s="47" t="n">
        <v>0</v>
      </c>
      <c r="BL227" s="47" t="n">
        <v>0</v>
      </c>
      <c r="BM227" s="47" t="n">
        <v>0</v>
      </c>
      <c r="BN227" s="47" t="n">
        <v>0</v>
      </c>
      <c r="BO227" s="47" t="n">
        <v>0</v>
      </c>
      <c r="BP227" s="47" t="n">
        <v>0</v>
      </c>
      <c r="BQ227" s="47" t="n">
        <v>0</v>
      </c>
      <c r="BR227" s="47" t="n">
        <v>0</v>
      </c>
      <c r="BS227" s="47" t="n">
        <v>0</v>
      </c>
      <c r="BT227" s="47" t="n">
        <v>0</v>
      </c>
      <c r="BU227" s="47" t="n">
        <v>0</v>
      </c>
      <c r="BV227" s="47" t="n">
        <v>0</v>
      </c>
      <c r="BW227" s="102" t="n"/>
      <c r="BX227" s="102" t="n"/>
      <c r="BY227" s="102" t="n"/>
      <c r="BZ227" s="102" t="n"/>
      <c r="CA227" s="102" t="n"/>
      <c r="CB227" s="102" t="n"/>
      <c r="CC227" s="102" t="n"/>
      <c r="CD227" s="102" t="n"/>
      <c r="CE227" s="102" t="n"/>
      <c r="CF227" s="102" t="n"/>
      <c r="CG227" s="102" t="n"/>
      <c r="CH227" s="102" t="n"/>
      <c r="CI227" s="102" t="n"/>
      <c r="CJ227" s="102" t="n"/>
      <c r="CK227" s="102" t="n"/>
      <c r="CL227" s="102" t="n"/>
      <c r="CM227" s="102" t="n"/>
      <c r="CN227" s="102" t="n"/>
      <c r="CO227" s="102" t="n"/>
      <c r="CP227" s="102" t="n"/>
      <c r="CQ227" s="102" t="n"/>
      <c r="CR227" s="102" t="n"/>
      <c r="CS227" s="102" t="n"/>
      <c r="CT227" s="102" t="n"/>
      <c r="CU227" s="102" t="n"/>
      <c r="CV227" s="102" t="n"/>
      <c r="CW227" s="102" t="n"/>
      <c r="CX227" s="102" t="n"/>
      <c r="CY227" s="102" t="n"/>
      <c r="CZ227" s="102" t="n"/>
      <c r="DA227" s="102" t="n"/>
      <c r="DB227" s="102" t="n"/>
      <c r="DC227" s="102" t="n"/>
      <c r="DD227" s="102" t="n"/>
      <c r="DE227" s="102" t="n"/>
      <c r="DF227" s="102" t="n"/>
      <c r="DG227" s="102" t="n"/>
      <c r="DH227" s="102" t="n"/>
      <c r="DI227" s="102" t="n"/>
      <c r="DJ227" s="102" t="n"/>
      <c r="DK227" s="102" t="n"/>
      <c r="DL227" s="102" t="n"/>
      <c r="DM227" s="102" t="n"/>
      <c r="DN227" s="102" t="n"/>
      <c r="DO227" s="102" t="n"/>
      <c r="DP227" s="102" t="n"/>
      <c r="DQ227" s="102" t="n"/>
      <c r="DR227" s="102" t="n"/>
      <c r="DT227" s="46" t="n"/>
      <c r="DU227" s="46" t="n"/>
      <c r="DV227" s="46" t="n"/>
      <c r="DW227" s="46" t="n"/>
    </row>
    <row r="228" hidden="1" outlineLevel="1" ht="15.75" customHeight="1">
      <c r="B228" s="5" t="inlineStr">
        <is>
          <t>ASA</t>
        </is>
      </c>
      <c r="C228" s="68" t="inlineStr">
        <is>
          <t>Upper Middle Market</t>
        </is>
      </c>
      <c r="E228" s="46">
        <f>+SUMIFS($O228:$DR228,$O$7:$DR$7,E$7)</f>
        <v/>
      </c>
      <c r="F228" s="46">
        <f>+SUMIFS($O228:$DR228,$O$7:$DR$7,F$7)</f>
        <v/>
      </c>
      <c r="G228" s="46">
        <f>+SUMIFS($O228:$DR228,$O$7:$DR$7,G$7)</f>
        <v/>
      </c>
      <c r="H228" s="46">
        <f>+SUMIFS($O228:$DR228,$O$7:$DR$7,H$7)</f>
        <v/>
      </c>
      <c r="I228" s="46">
        <f>+SUMIFS($O228:$DR228,$O$7:$DR$7,I$7)</f>
        <v/>
      </c>
      <c r="J228" s="46">
        <f>+SUMIFS($O228:$DR228,$O$7:$DR$7,J$7)</f>
        <v/>
      </c>
      <c r="K228" s="46">
        <f>+SUMIFS($O228:$DR228,$O$7:$DR$7,K$7)</f>
        <v/>
      </c>
      <c r="L228" s="46">
        <f>+SUMIFS($O228:$DR228,$O$7:$DR$7,L$7)</f>
        <v/>
      </c>
      <c r="M228" s="46">
        <f>+SUMIFS($O228:$DR228,$O$7:$DR$7,M$7)</f>
        <v/>
      </c>
      <c r="O228" s="47" t="n">
        <v>0</v>
      </c>
      <c r="P228" s="47" t="n">
        <v>0</v>
      </c>
      <c r="Q228" s="47" t="n">
        <v>0</v>
      </c>
      <c r="R228" s="47" t="n">
        <v>0</v>
      </c>
      <c r="S228" s="47" t="n">
        <v>0</v>
      </c>
      <c r="T228" s="47" t="n">
        <v>0</v>
      </c>
      <c r="U228" s="47" t="n">
        <v>0</v>
      </c>
      <c r="V228" s="47" t="n">
        <v>0</v>
      </c>
      <c r="W228" s="47" t="n">
        <v>0</v>
      </c>
      <c r="X228" s="47" t="n">
        <v>0</v>
      </c>
      <c r="Y228" s="47" t="n">
        <v>0</v>
      </c>
      <c r="Z228" s="47" t="n">
        <v>0</v>
      </c>
      <c r="AA228" s="47" t="n">
        <v>0</v>
      </c>
      <c r="AB228" s="47" t="n">
        <v>0</v>
      </c>
      <c r="AC228" s="47" t="n">
        <v>0</v>
      </c>
      <c r="AD228" s="47" t="n">
        <v>0</v>
      </c>
      <c r="AE228" s="47" t="n">
        <v>0</v>
      </c>
      <c r="AF228" s="47" t="n">
        <v>0</v>
      </c>
      <c r="AG228" s="47" t="n">
        <v>0</v>
      </c>
      <c r="AH228" s="47" t="n">
        <v>0</v>
      </c>
      <c r="AI228" s="47" t="n">
        <v>0</v>
      </c>
      <c r="AJ228" s="47" t="n">
        <v>0</v>
      </c>
      <c r="AK228" s="47" t="n">
        <v>0</v>
      </c>
      <c r="AL228" s="47" t="n">
        <v>0</v>
      </c>
      <c r="AM228" s="47" t="n">
        <v>0</v>
      </c>
      <c r="AN228" s="47" t="n">
        <v>0</v>
      </c>
      <c r="AO228" s="47" t="n">
        <v>0</v>
      </c>
      <c r="AP228" s="47" t="n">
        <v>0</v>
      </c>
      <c r="AQ228" s="47" t="n">
        <v>0</v>
      </c>
      <c r="AR228" s="47" t="n">
        <v>0</v>
      </c>
      <c r="AS228" s="47" t="n">
        <v>0</v>
      </c>
      <c r="AT228" s="47" t="n">
        <v>0</v>
      </c>
      <c r="AU228" s="47" t="n">
        <v>0</v>
      </c>
      <c r="AV228" s="47" t="n">
        <v>0</v>
      </c>
      <c r="AW228" s="47" t="n">
        <v>0</v>
      </c>
      <c r="AX228" s="47" t="n">
        <v>0</v>
      </c>
      <c r="AY228" s="47" t="n">
        <v>0</v>
      </c>
      <c r="AZ228" s="47" t="n">
        <v>0</v>
      </c>
      <c r="BA228" s="47" t="n">
        <v>0</v>
      </c>
      <c r="BB228" s="47" t="n">
        <v>0</v>
      </c>
      <c r="BC228" s="47" t="n">
        <v>0</v>
      </c>
      <c r="BD228" s="47" t="n">
        <v>0</v>
      </c>
      <c r="BE228" s="47" t="n">
        <v>0</v>
      </c>
      <c r="BF228" s="47" t="n">
        <v>0</v>
      </c>
      <c r="BG228" s="47" t="n">
        <v>0</v>
      </c>
      <c r="BH228" s="47" t="n">
        <v>0</v>
      </c>
      <c r="BI228" s="47" t="n">
        <v>0</v>
      </c>
      <c r="BJ228" s="47" t="n">
        <v>0</v>
      </c>
      <c r="BK228" s="47" t="n">
        <v>0</v>
      </c>
      <c r="BL228" s="47" t="n">
        <v>0</v>
      </c>
      <c r="BM228" s="47" t="n">
        <v>0</v>
      </c>
      <c r="BN228" s="47" t="n">
        <v>0</v>
      </c>
      <c r="BO228" s="47" t="n">
        <v>0</v>
      </c>
      <c r="BP228" s="47" t="n">
        <v>0</v>
      </c>
      <c r="BQ228" s="47" t="n">
        <v>0</v>
      </c>
      <c r="BR228" s="47" t="n">
        <v>0</v>
      </c>
      <c r="BS228" s="47" t="n">
        <v>0</v>
      </c>
      <c r="BT228" s="47" t="n">
        <v>0</v>
      </c>
      <c r="BU228" s="47" t="n">
        <v>0</v>
      </c>
      <c r="BV228" s="47" t="n">
        <v>0</v>
      </c>
      <c r="BW228" s="102" t="n"/>
      <c r="BX228" s="102" t="n"/>
      <c r="BY228" s="102" t="n"/>
      <c r="BZ228" s="102" t="n"/>
      <c r="CA228" s="102" t="n"/>
      <c r="CB228" s="102" t="n"/>
      <c r="CC228" s="102" t="n"/>
      <c r="CD228" s="102" t="n"/>
      <c r="CE228" s="102" t="n"/>
      <c r="CF228" s="102" t="n"/>
      <c r="CG228" s="102" t="n"/>
      <c r="CH228" s="102" t="n"/>
      <c r="CI228" s="102" t="n"/>
      <c r="CJ228" s="102" t="n"/>
      <c r="CK228" s="102" t="n"/>
      <c r="CL228" s="102" t="n"/>
      <c r="CM228" s="102" t="n"/>
      <c r="CN228" s="102" t="n"/>
      <c r="CO228" s="102" t="n"/>
      <c r="CP228" s="102" t="n"/>
      <c r="CQ228" s="102" t="n"/>
      <c r="CR228" s="102" t="n"/>
      <c r="CS228" s="102" t="n"/>
      <c r="CT228" s="102" t="n"/>
      <c r="CU228" s="102" t="n"/>
      <c r="CV228" s="102" t="n"/>
      <c r="CW228" s="102" t="n"/>
      <c r="CX228" s="102" t="n"/>
      <c r="CY228" s="102" t="n"/>
      <c r="CZ228" s="102" t="n"/>
      <c r="DA228" s="102" t="n"/>
      <c r="DB228" s="102" t="n"/>
      <c r="DC228" s="102" t="n"/>
      <c r="DD228" s="102" t="n"/>
      <c r="DE228" s="102" t="n"/>
      <c r="DF228" s="102" t="n"/>
      <c r="DG228" s="102" t="n"/>
      <c r="DH228" s="102" t="n"/>
      <c r="DI228" s="102" t="n"/>
      <c r="DJ228" s="102" t="n"/>
      <c r="DK228" s="102" t="n"/>
      <c r="DL228" s="102" t="n"/>
      <c r="DM228" s="102" t="n"/>
      <c r="DN228" s="102" t="n"/>
      <c r="DO228" s="102" t="n"/>
      <c r="DP228" s="102" t="n"/>
      <c r="DQ228" s="102" t="n"/>
      <c r="DR228" s="102" t="n"/>
      <c r="DT228" s="46" t="n"/>
      <c r="DU228" s="46" t="n"/>
      <c r="DV228" s="46" t="n"/>
      <c r="DW228" s="46" t="n"/>
    </row>
    <row r="229" hidden="1" outlineLevel="1" ht="15.75" customHeight="1">
      <c r="B229" s="5" t="inlineStr">
        <is>
          <t>ASM</t>
        </is>
      </c>
      <c r="C229" s="68" t="inlineStr">
        <is>
          <t>Upper Middle Market</t>
        </is>
      </c>
      <c r="E229" s="46">
        <f>+SUMIFS($O229:$DR229,$O$7:$DR$7,E$7)</f>
        <v/>
      </c>
      <c r="F229" s="46">
        <f>+SUMIFS($O229:$DR229,$O$7:$DR$7,F$7)</f>
        <v/>
      </c>
      <c r="G229" s="46">
        <f>+SUMIFS($O229:$DR229,$O$7:$DR$7,G$7)</f>
        <v/>
      </c>
      <c r="H229" s="46">
        <f>+SUMIFS($O229:$DR229,$O$7:$DR$7,H$7)</f>
        <v/>
      </c>
      <c r="I229" s="46">
        <f>+SUMIFS($O229:$DR229,$O$7:$DR$7,I$7)</f>
        <v/>
      </c>
      <c r="J229" s="46">
        <f>+SUMIFS($O229:$DR229,$O$7:$DR$7,J$7)</f>
        <v/>
      </c>
      <c r="K229" s="46">
        <f>+SUMIFS($O229:$DR229,$O$7:$DR$7,K$7)</f>
        <v/>
      </c>
      <c r="L229" s="46">
        <f>+SUMIFS($O229:$DR229,$O$7:$DR$7,L$7)</f>
        <v/>
      </c>
      <c r="M229" s="46">
        <f>+SUMIFS($O229:$DR229,$O$7:$DR$7,M$7)</f>
        <v/>
      </c>
      <c r="O229" s="47" t="n">
        <v>0</v>
      </c>
      <c r="P229" s="47" t="n">
        <v>0</v>
      </c>
      <c r="Q229" s="47" t="n">
        <v>0</v>
      </c>
      <c r="R229" s="47" t="n">
        <v>0</v>
      </c>
      <c r="S229" s="47" t="n">
        <v>0</v>
      </c>
      <c r="T229" s="47" t="n">
        <v>5</v>
      </c>
      <c r="U229" s="47" t="n">
        <v>20</v>
      </c>
      <c r="V229" s="47" t="n">
        <v>5</v>
      </c>
      <c r="W229" s="47" t="n">
        <v>15</v>
      </c>
      <c r="X229" s="47" t="n">
        <v>25</v>
      </c>
      <c r="Y229" s="47" t="n">
        <v>25</v>
      </c>
      <c r="Z229" s="47" t="n">
        <v>5</v>
      </c>
      <c r="AA229" s="47" t="n">
        <v>0</v>
      </c>
      <c r="AB229" s="47" t="n">
        <v>0</v>
      </c>
      <c r="AC229" s="47" t="n">
        <v>0</v>
      </c>
      <c r="AD229" s="47" t="n">
        <v>0</v>
      </c>
      <c r="AE229" s="47" t="n">
        <v>0</v>
      </c>
      <c r="AF229" s="47" t="n">
        <v>0</v>
      </c>
      <c r="AG229" s="47" t="n">
        <v>0</v>
      </c>
      <c r="AH229" s="47" t="n">
        <v>0</v>
      </c>
      <c r="AI229" s="47" t="n">
        <v>0</v>
      </c>
      <c r="AJ229" s="47" t="n">
        <v>0</v>
      </c>
      <c r="AK229" s="47" t="n">
        <v>0</v>
      </c>
      <c r="AL229" s="47" t="n">
        <v>0</v>
      </c>
      <c r="AM229" s="47" t="n">
        <v>0</v>
      </c>
      <c r="AN229" s="47" t="n">
        <v>0</v>
      </c>
      <c r="AO229" s="47" t="n">
        <v>0</v>
      </c>
      <c r="AP229" s="47" t="n">
        <v>0</v>
      </c>
      <c r="AQ229" s="47" t="n">
        <v>0</v>
      </c>
      <c r="AR229" s="47" t="n">
        <v>0</v>
      </c>
      <c r="AS229" s="47" t="n">
        <v>0</v>
      </c>
      <c r="AT229" s="47" t="n">
        <v>0</v>
      </c>
      <c r="AU229" s="47" t="n">
        <v>0</v>
      </c>
      <c r="AV229" s="47" t="n">
        <v>0</v>
      </c>
      <c r="AW229" s="47" t="n">
        <v>0</v>
      </c>
      <c r="AX229" s="47" t="n">
        <v>0</v>
      </c>
      <c r="AY229" s="47" t="n">
        <v>0</v>
      </c>
      <c r="AZ229" s="47" t="n">
        <v>0</v>
      </c>
      <c r="BA229" s="47" t="n">
        <v>0</v>
      </c>
      <c r="BB229" s="47" t="n">
        <v>0</v>
      </c>
      <c r="BC229" s="47" t="n">
        <v>0</v>
      </c>
      <c r="BD229" s="47" t="n">
        <v>0</v>
      </c>
      <c r="BE229" s="47" t="n">
        <v>0</v>
      </c>
      <c r="BF229" s="47" t="n">
        <v>0</v>
      </c>
      <c r="BG229" s="47" t="n">
        <v>0</v>
      </c>
      <c r="BH229" s="47" t="n">
        <v>0</v>
      </c>
      <c r="BI229" s="47" t="n">
        <v>0</v>
      </c>
      <c r="BJ229" s="47" t="n">
        <v>0</v>
      </c>
      <c r="BK229" s="47" t="n">
        <v>0</v>
      </c>
      <c r="BL229" s="47" t="n">
        <v>0</v>
      </c>
      <c r="BM229" s="47" t="n">
        <v>0</v>
      </c>
      <c r="BN229" s="47" t="n">
        <v>0</v>
      </c>
      <c r="BO229" s="47" t="n">
        <v>0</v>
      </c>
      <c r="BP229" s="47" t="n">
        <v>0</v>
      </c>
      <c r="BQ229" s="47" t="n">
        <v>0</v>
      </c>
      <c r="BR229" s="47" t="n">
        <v>0</v>
      </c>
      <c r="BS229" s="47" t="n">
        <v>0</v>
      </c>
      <c r="BT229" s="47" t="n">
        <v>0</v>
      </c>
      <c r="BU229" s="47" t="n">
        <v>0</v>
      </c>
      <c r="BV229" s="47" t="n">
        <v>0</v>
      </c>
      <c r="BW229" s="102" t="n"/>
      <c r="BX229" s="102" t="n"/>
      <c r="BY229" s="102" t="n"/>
      <c r="BZ229" s="102" t="n"/>
      <c r="CA229" s="102" t="n"/>
      <c r="CB229" s="102" t="n"/>
      <c r="CC229" s="102" t="n"/>
      <c r="CD229" s="102" t="n"/>
      <c r="CE229" s="102" t="n"/>
      <c r="CF229" s="102" t="n"/>
      <c r="CG229" s="102" t="n"/>
      <c r="CH229" s="102" t="n"/>
      <c r="CI229" s="102" t="n"/>
      <c r="CJ229" s="102" t="n"/>
      <c r="CK229" s="102" t="n"/>
      <c r="CL229" s="102" t="n"/>
      <c r="CM229" s="102" t="n"/>
      <c r="CN229" s="102" t="n"/>
      <c r="CO229" s="102" t="n"/>
      <c r="CP229" s="102" t="n"/>
      <c r="CQ229" s="102" t="n"/>
      <c r="CR229" s="102" t="n"/>
      <c r="CS229" s="102" t="n"/>
      <c r="CT229" s="102" t="n"/>
      <c r="CU229" s="102" t="n"/>
      <c r="CV229" s="102" t="n"/>
      <c r="CW229" s="102" t="n"/>
      <c r="CX229" s="102" t="n"/>
      <c r="CY229" s="102" t="n"/>
      <c r="CZ229" s="102" t="n"/>
      <c r="DA229" s="102" t="n"/>
      <c r="DB229" s="102" t="n"/>
      <c r="DC229" s="102" t="n"/>
      <c r="DD229" s="102" t="n"/>
      <c r="DE229" s="102" t="n"/>
      <c r="DF229" s="102" t="n"/>
      <c r="DG229" s="102" t="n"/>
      <c r="DH229" s="102" t="n"/>
      <c r="DI229" s="102" t="n"/>
      <c r="DJ229" s="102" t="n"/>
      <c r="DK229" s="102" t="n"/>
      <c r="DL229" s="102" t="n"/>
      <c r="DM229" s="102" t="n"/>
      <c r="DN229" s="102" t="n"/>
      <c r="DO229" s="102" t="n"/>
      <c r="DP229" s="102" t="n"/>
      <c r="DQ229" s="102" t="n"/>
      <c r="DR229" s="102" t="n"/>
      <c r="DT229" s="46" t="n"/>
      <c r="DU229" s="46" t="n"/>
      <c r="DV229" s="46" t="n"/>
      <c r="DW229" s="46" t="n"/>
    </row>
    <row r="230" hidden="1" outlineLevel="1" ht="15.75" customHeight="1">
      <c r="B230" s="5" t="inlineStr">
        <is>
          <t>ASME</t>
        </is>
      </c>
      <c r="C230" s="68" t="inlineStr">
        <is>
          <t>Major</t>
        </is>
      </c>
      <c r="E230" s="46">
        <f>+SUMIFS($O230:$DR230,$O$7:$DR$7,E$7)</f>
        <v/>
      </c>
      <c r="F230" s="46">
        <f>+SUMIFS($O230:$DR230,$O$7:$DR$7,F$7)</f>
        <v/>
      </c>
      <c r="G230" s="46">
        <f>+SUMIFS($O230:$DR230,$O$7:$DR$7,G$7)</f>
        <v/>
      </c>
      <c r="H230" s="46">
        <f>+SUMIFS($O230:$DR230,$O$7:$DR$7,H$7)</f>
        <v/>
      </c>
      <c r="I230" s="46">
        <f>+SUMIFS($O230:$DR230,$O$7:$DR$7,I$7)</f>
        <v/>
      </c>
      <c r="J230" s="46">
        <f>+SUMIFS($O230:$DR230,$O$7:$DR$7,J$7)</f>
        <v/>
      </c>
      <c r="K230" s="46">
        <f>+SUMIFS($O230:$DR230,$O$7:$DR$7,K$7)</f>
        <v/>
      </c>
      <c r="L230" s="46">
        <f>+SUMIFS($O230:$DR230,$O$7:$DR$7,L$7)</f>
        <v/>
      </c>
      <c r="M230" s="46">
        <f>+SUMIFS($O230:$DR230,$O$7:$DR$7,M$7)</f>
        <v/>
      </c>
      <c r="O230" s="47" t="n">
        <v>0</v>
      </c>
      <c r="P230" s="47" t="n">
        <v>0</v>
      </c>
      <c r="Q230" s="47" t="n">
        <v>0</v>
      </c>
      <c r="R230" s="47" t="n">
        <v>0</v>
      </c>
      <c r="S230" s="47" t="n">
        <v>0</v>
      </c>
      <c r="T230" s="47" t="n">
        <v>0</v>
      </c>
      <c r="U230" s="47" t="n">
        <v>16.951</v>
      </c>
      <c r="V230" s="47" t="n">
        <v>16.951</v>
      </c>
      <c r="W230" s="47" t="n">
        <v>33.902</v>
      </c>
      <c r="X230" s="47" t="n">
        <v>16.951</v>
      </c>
      <c r="Y230" s="47" t="n">
        <v>33.903</v>
      </c>
      <c r="Z230" s="47" t="n">
        <v>0</v>
      </c>
      <c r="AA230" s="47" t="n">
        <v>50.853</v>
      </c>
      <c r="AB230" s="47" t="n">
        <v>28.252</v>
      </c>
      <c r="AC230" s="47" t="n">
        <v>0</v>
      </c>
      <c r="AD230" s="47" t="n">
        <v>28.23</v>
      </c>
      <c r="AE230" s="47" t="n">
        <v>28.274</v>
      </c>
      <c r="AF230" s="47" t="n">
        <v>0</v>
      </c>
      <c r="AG230" s="47" t="n">
        <v>16.952</v>
      </c>
      <c r="AH230" s="47" t="n">
        <v>16.946</v>
      </c>
      <c r="AI230" s="47" t="n">
        <v>16.951</v>
      </c>
      <c r="AJ230" s="47" t="n">
        <v>16.951</v>
      </c>
      <c r="AK230" s="47" t="n">
        <v>16.951</v>
      </c>
      <c r="AL230" s="47" t="n">
        <v>0</v>
      </c>
      <c r="AM230" s="47" t="n">
        <v>0</v>
      </c>
      <c r="AN230" s="47" t="n">
        <v>0</v>
      </c>
      <c r="AO230" s="47" t="n">
        <v>0</v>
      </c>
      <c r="AP230" s="47" t="n">
        <v>0</v>
      </c>
      <c r="AQ230" s="47" t="n">
        <v>0</v>
      </c>
      <c r="AR230" s="47" t="n">
        <v>0</v>
      </c>
      <c r="AS230" s="47" t="n">
        <v>0</v>
      </c>
      <c r="AT230" s="47" t="n">
        <v>0</v>
      </c>
      <c r="AU230" s="47" t="n">
        <v>0</v>
      </c>
      <c r="AV230" s="47" t="n">
        <v>0</v>
      </c>
      <c r="AW230" s="47" t="n">
        <v>0</v>
      </c>
      <c r="AX230" s="47" t="n">
        <v>0</v>
      </c>
      <c r="AY230" s="47" t="n">
        <v>0</v>
      </c>
      <c r="AZ230" s="47" t="n">
        <v>0</v>
      </c>
      <c r="BA230" s="47" t="n">
        <v>0</v>
      </c>
      <c r="BB230" s="47" t="n">
        <v>0</v>
      </c>
      <c r="BC230" s="47" t="n">
        <v>0</v>
      </c>
      <c r="BD230" s="47" t="n">
        <v>0</v>
      </c>
      <c r="BE230" s="47" t="n">
        <v>0</v>
      </c>
      <c r="BF230" s="47" t="n">
        <v>0</v>
      </c>
      <c r="BG230" s="47" t="n">
        <v>0</v>
      </c>
      <c r="BH230" s="47" t="n">
        <v>0</v>
      </c>
      <c r="BI230" s="47" t="n">
        <v>0</v>
      </c>
      <c r="BJ230" s="47" t="n">
        <v>0</v>
      </c>
      <c r="BK230" s="47" t="n">
        <v>0</v>
      </c>
      <c r="BL230" s="47" t="n">
        <v>0</v>
      </c>
      <c r="BM230" s="47" t="n">
        <v>0</v>
      </c>
      <c r="BN230" s="47" t="n">
        <v>0</v>
      </c>
      <c r="BO230" s="47" t="n">
        <v>0</v>
      </c>
      <c r="BP230" s="47" t="n">
        <v>0</v>
      </c>
      <c r="BQ230" s="47" t="n">
        <v>0</v>
      </c>
      <c r="BR230" s="47" t="n">
        <v>0</v>
      </c>
      <c r="BS230" s="47" t="n">
        <v>0</v>
      </c>
      <c r="BT230" s="47" t="n">
        <v>0</v>
      </c>
      <c r="BU230" s="47" t="n">
        <v>0</v>
      </c>
      <c r="BV230" s="47" t="n">
        <v>0</v>
      </c>
      <c r="BW230" s="102" t="n"/>
      <c r="BX230" s="102" t="n"/>
      <c r="BY230" s="102" t="n"/>
      <c r="BZ230" s="102" t="n"/>
      <c r="CA230" s="102" t="n"/>
      <c r="CB230" s="102" t="n"/>
      <c r="CC230" s="102" t="n"/>
      <c r="CD230" s="102" t="n"/>
      <c r="CE230" s="102" t="n"/>
      <c r="CF230" s="102" t="n"/>
      <c r="CG230" s="102" t="n"/>
      <c r="CH230" s="102" t="n"/>
      <c r="CI230" s="102" t="n"/>
      <c r="CJ230" s="102" t="n"/>
      <c r="CK230" s="102" t="n"/>
      <c r="CL230" s="102" t="n"/>
      <c r="CM230" s="102" t="n"/>
      <c r="CN230" s="102" t="n"/>
      <c r="CO230" s="102" t="n"/>
      <c r="CP230" s="102" t="n"/>
      <c r="CQ230" s="102" t="n"/>
      <c r="CR230" s="102" t="n"/>
      <c r="CS230" s="102" t="n"/>
      <c r="CT230" s="102" t="n"/>
      <c r="CU230" s="102" t="n"/>
      <c r="CV230" s="102" t="n"/>
      <c r="CW230" s="102" t="n"/>
      <c r="CX230" s="102" t="n"/>
      <c r="CY230" s="102" t="n"/>
      <c r="CZ230" s="102" t="n"/>
      <c r="DA230" s="102" t="n"/>
      <c r="DB230" s="102" t="n"/>
      <c r="DC230" s="102" t="n"/>
      <c r="DD230" s="102" t="n"/>
      <c r="DE230" s="102" t="n"/>
      <c r="DF230" s="102" t="n"/>
      <c r="DG230" s="102" t="n"/>
      <c r="DH230" s="102" t="n"/>
      <c r="DI230" s="102" t="n"/>
      <c r="DJ230" s="102" t="n"/>
      <c r="DK230" s="102" t="n"/>
      <c r="DL230" s="102" t="n"/>
      <c r="DM230" s="102" t="n"/>
      <c r="DN230" s="102" t="n"/>
      <c r="DO230" s="102" t="n"/>
      <c r="DP230" s="102" t="n"/>
      <c r="DQ230" s="102" t="n"/>
      <c r="DR230" s="102" t="n"/>
      <c r="DT230" s="46" t="n"/>
      <c r="DU230" s="46" t="n"/>
      <c r="DV230" s="46" t="n"/>
      <c r="DW230" s="46" t="n"/>
    </row>
    <row r="231" hidden="1" outlineLevel="1" ht="15.75" customHeight="1">
      <c r="B231" s="5" t="inlineStr">
        <is>
          <t>COB</t>
        </is>
      </c>
      <c r="C231" s="68" t="inlineStr">
        <is>
          <t>Upper Middle Market</t>
        </is>
      </c>
      <c r="E231" s="46">
        <f>+SUMIFS($O231:$DR231,$O$7:$DR$7,E$7)</f>
        <v/>
      </c>
      <c r="F231" s="46">
        <f>+SUMIFS($O231:$DR231,$O$7:$DR$7,F$7)</f>
        <v/>
      </c>
      <c r="G231" s="46">
        <f>+SUMIFS($O231:$DR231,$O$7:$DR$7,G$7)</f>
        <v/>
      </c>
      <c r="H231" s="46">
        <f>+SUMIFS($O231:$DR231,$O$7:$DR$7,H$7)</f>
        <v/>
      </c>
      <c r="I231" s="46">
        <f>+SUMIFS($O231:$DR231,$O$7:$DR$7,I$7)</f>
        <v/>
      </c>
      <c r="J231" s="46">
        <f>+SUMIFS($O231:$DR231,$O$7:$DR$7,J$7)</f>
        <v/>
      </c>
      <c r="K231" s="46">
        <f>+SUMIFS($O231:$DR231,$O$7:$DR$7,K$7)</f>
        <v/>
      </c>
      <c r="L231" s="46">
        <f>+SUMIFS($O231:$DR231,$O$7:$DR$7,L$7)</f>
        <v/>
      </c>
      <c r="M231" s="46">
        <f>+SUMIFS($O231:$DR231,$O$7:$DR$7,M$7)</f>
        <v/>
      </c>
      <c r="O231" s="47" t="n">
        <v>0</v>
      </c>
      <c r="P231" s="47" t="n">
        <v>0</v>
      </c>
      <c r="Q231" s="47" t="n">
        <v>0</v>
      </c>
      <c r="R231" s="47" t="n">
        <v>0</v>
      </c>
      <c r="S231" s="47" t="n">
        <v>0</v>
      </c>
      <c r="T231" s="47" t="n">
        <v>0</v>
      </c>
      <c r="U231" s="47" t="n">
        <v>0</v>
      </c>
      <c r="V231" s="47" t="n">
        <v>0</v>
      </c>
      <c r="W231" s="47" t="n">
        <v>0</v>
      </c>
      <c r="X231" s="47" t="n">
        <v>0</v>
      </c>
      <c r="Y231" s="47" t="n">
        <v>0</v>
      </c>
      <c r="Z231" s="47" t="n">
        <v>0</v>
      </c>
      <c r="AA231" s="47" t="n">
        <v>0</v>
      </c>
      <c r="AB231" s="47" t="n">
        <v>0</v>
      </c>
      <c r="AC231" s="47" t="n">
        <v>0</v>
      </c>
      <c r="AD231" s="47" t="n">
        <v>0</v>
      </c>
      <c r="AE231" s="47" t="n">
        <v>0</v>
      </c>
      <c r="AF231" s="47" t="n">
        <v>0</v>
      </c>
      <c r="AG231" s="47" t="n">
        <v>0</v>
      </c>
      <c r="AH231" s="47" t="n">
        <v>0</v>
      </c>
      <c r="AI231" s="47" t="n">
        <v>0</v>
      </c>
      <c r="AJ231" s="47" t="n">
        <v>0</v>
      </c>
      <c r="AK231" s="47" t="n">
        <v>0</v>
      </c>
      <c r="AL231" s="47" t="n">
        <v>0</v>
      </c>
      <c r="AM231" s="47" t="n">
        <v>0</v>
      </c>
      <c r="AN231" s="47" t="n">
        <v>0</v>
      </c>
      <c r="AO231" s="47" t="n">
        <v>0</v>
      </c>
      <c r="AP231" s="47" t="n">
        <v>0</v>
      </c>
      <c r="AQ231" s="47" t="n">
        <v>0</v>
      </c>
      <c r="AR231" s="47" t="n">
        <v>0</v>
      </c>
      <c r="AS231" s="47" t="n">
        <v>0</v>
      </c>
      <c r="AT231" s="47" t="n">
        <v>0</v>
      </c>
      <c r="AU231" s="47" t="n">
        <v>30.53</v>
      </c>
      <c r="AV231" s="47" t="n">
        <v>30.531</v>
      </c>
      <c r="AW231" s="47" t="n">
        <v>0</v>
      </c>
      <c r="AX231" s="47" t="n">
        <v>0</v>
      </c>
      <c r="AY231" s="47" t="n">
        <v>3.055</v>
      </c>
      <c r="AZ231" s="47" t="n">
        <v>9.864000000000001</v>
      </c>
      <c r="BA231" s="47" t="n">
        <v>2.756</v>
      </c>
      <c r="BB231" s="47" t="n">
        <v>19.184</v>
      </c>
      <c r="BC231" s="47" t="n">
        <v>0</v>
      </c>
      <c r="BD231" s="47" t="n">
        <v>0</v>
      </c>
      <c r="BE231" s="47" t="n">
        <v>0</v>
      </c>
      <c r="BF231" s="47" t="n">
        <v>0</v>
      </c>
      <c r="BG231" s="47" t="n">
        <v>0</v>
      </c>
      <c r="BH231" s="47" t="n">
        <v>0</v>
      </c>
      <c r="BI231" s="47" t="n">
        <v>0</v>
      </c>
      <c r="BJ231" s="47" t="n">
        <v>0</v>
      </c>
      <c r="BK231" s="47" t="n">
        <v>0</v>
      </c>
      <c r="BL231" s="47" t="n">
        <v>0</v>
      </c>
      <c r="BM231" s="47" t="n">
        <v>0</v>
      </c>
      <c r="BN231" s="47" t="n">
        <v>0</v>
      </c>
      <c r="BO231" s="47" t="n">
        <v>0</v>
      </c>
      <c r="BP231" s="47" t="n">
        <v>0</v>
      </c>
      <c r="BQ231" s="47" t="n">
        <v>0</v>
      </c>
      <c r="BR231" s="47" t="n">
        <v>0</v>
      </c>
      <c r="BS231" s="47" t="n">
        <v>0</v>
      </c>
      <c r="BT231" s="47" t="n">
        <v>0</v>
      </c>
      <c r="BU231" s="47" t="n">
        <v>0</v>
      </c>
      <c r="BV231" s="47" t="n">
        <v>0</v>
      </c>
      <c r="BW231" s="102" t="n"/>
      <c r="BX231" s="102" t="n"/>
      <c r="BY231" s="102" t="n"/>
      <c r="BZ231" s="102" t="n"/>
      <c r="CA231" s="102" t="n"/>
      <c r="CB231" s="102" t="n"/>
      <c r="CC231" s="102" t="n"/>
      <c r="CD231" s="102" t="n"/>
      <c r="CE231" s="102" t="n"/>
      <c r="CF231" s="102" t="n"/>
      <c r="CG231" s="102" t="n"/>
      <c r="CH231" s="102" t="n"/>
      <c r="CI231" s="102" t="n"/>
      <c r="CJ231" s="102" t="n"/>
      <c r="CK231" s="102" t="n"/>
      <c r="CL231" s="102" t="n"/>
      <c r="CM231" s="102" t="n"/>
      <c r="CN231" s="102" t="n"/>
      <c r="CO231" s="102" t="n"/>
      <c r="CP231" s="102" t="n"/>
      <c r="CQ231" s="102" t="n"/>
      <c r="CR231" s="102" t="n"/>
      <c r="CS231" s="102" t="n"/>
      <c r="CT231" s="102" t="n"/>
      <c r="CU231" s="102" t="n"/>
      <c r="CV231" s="102" t="n"/>
      <c r="CW231" s="102" t="n"/>
      <c r="CX231" s="102" t="n"/>
      <c r="CY231" s="102" t="n"/>
      <c r="CZ231" s="102" t="n"/>
      <c r="DA231" s="102" t="n"/>
      <c r="DB231" s="102" t="n"/>
      <c r="DC231" s="102" t="n"/>
      <c r="DD231" s="102" t="n"/>
      <c r="DE231" s="102" t="n"/>
      <c r="DF231" s="102" t="n"/>
      <c r="DG231" s="102" t="n"/>
      <c r="DH231" s="102" t="n"/>
      <c r="DI231" s="102" t="n"/>
      <c r="DJ231" s="102" t="n"/>
      <c r="DK231" s="102" t="n"/>
      <c r="DL231" s="102" t="n"/>
      <c r="DM231" s="102" t="n"/>
      <c r="DN231" s="102" t="n"/>
      <c r="DO231" s="102" t="n"/>
      <c r="DP231" s="102" t="n"/>
      <c r="DQ231" s="102" t="n"/>
      <c r="DR231" s="102" t="n"/>
      <c r="DT231" s="46" t="n"/>
      <c r="DU231" s="46" t="n"/>
      <c r="DV231" s="46" t="n"/>
      <c r="DW231" s="46" t="n"/>
    </row>
    <row r="232" hidden="1" outlineLevel="1" ht="15.75" customHeight="1">
      <c r="B232" s="5" t="inlineStr">
        <is>
          <t>DUP</t>
        </is>
      </c>
      <c r="C232" s="68" t="inlineStr">
        <is>
          <t>Upper Middle Market</t>
        </is>
      </c>
      <c r="E232" s="46">
        <f>+SUMIFS($O232:$DR232,$O$7:$DR$7,E$7)</f>
        <v/>
      </c>
      <c r="F232" s="46">
        <f>+SUMIFS($O232:$DR232,$O$7:$DR$7,F$7)</f>
        <v/>
      </c>
      <c r="G232" s="46">
        <f>+SUMIFS($O232:$DR232,$O$7:$DR$7,G$7)</f>
        <v/>
      </c>
      <c r="H232" s="46">
        <f>+SUMIFS($O232:$DR232,$O$7:$DR$7,H$7)</f>
        <v/>
      </c>
      <c r="I232" s="46">
        <f>+SUMIFS($O232:$DR232,$O$7:$DR$7,I$7)</f>
        <v/>
      </c>
      <c r="J232" s="46">
        <f>+SUMIFS($O232:$DR232,$O$7:$DR$7,J$7)</f>
        <v/>
      </c>
      <c r="K232" s="46">
        <f>+SUMIFS($O232:$DR232,$O$7:$DR$7,K$7)</f>
        <v/>
      </c>
      <c r="L232" s="46">
        <f>+SUMIFS($O232:$DR232,$O$7:$DR$7,L$7)</f>
        <v/>
      </c>
      <c r="M232" s="46">
        <f>+SUMIFS($O232:$DR232,$O$7:$DR$7,M$7)</f>
        <v/>
      </c>
      <c r="O232" s="47" t="n">
        <v>17.5</v>
      </c>
      <c r="P232" s="47" t="n">
        <v>0</v>
      </c>
      <c r="Q232" s="47" t="n">
        <v>14</v>
      </c>
      <c r="R232" s="47" t="n">
        <v>3.5</v>
      </c>
      <c r="S232" s="47" t="n">
        <v>-9.968</v>
      </c>
      <c r="T232" s="47" t="n">
        <v>0</v>
      </c>
      <c r="U232" s="47" t="n">
        <v>0</v>
      </c>
      <c r="V232" s="47" t="n">
        <v>0</v>
      </c>
      <c r="W232" s="47" t="n">
        <v>0</v>
      </c>
      <c r="X232" s="47" t="n">
        <v>0</v>
      </c>
      <c r="Y232" s="47" t="n">
        <v>0</v>
      </c>
      <c r="Z232" s="47" t="n">
        <v>0</v>
      </c>
      <c r="AA232" s="47" t="n">
        <v>0</v>
      </c>
      <c r="AB232" s="47" t="n">
        <v>0</v>
      </c>
      <c r="AC232" s="47" t="n">
        <v>0</v>
      </c>
      <c r="AD232" s="47" t="n">
        <v>0</v>
      </c>
      <c r="AE232" s="47" t="n">
        <v>0</v>
      </c>
      <c r="AF232" s="47" t="n">
        <v>0</v>
      </c>
      <c r="AG232" s="47" t="n">
        <v>0</v>
      </c>
      <c r="AH232" s="47" t="n">
        <v>0</v>
      </c>
      <c r="AI232" s="47" t="n">
        <v>0</v>
      </c>
      <c r="AJ232" s="47" t="n">
        <v>0</v>
      </c>
      <c r="AK232" s="47" t="n">
        <v>0</v>
      </c>
      <c r="AL232" s="47" t="n">
        <v>0</v>
      </c>
      <c r="AM232" s="47" t="n">
        <v>0</v>
      </c>
      <c r="AN232" s="47" t="n">
        <v>0</v>
      </c>
      <c r="AO232" s="47" t="n">
        <v>0</v>
      </c>
      <c r="AP232" s="47" t="n">
        <v>0</v>
      </c>
      <c r="AQ232" s="47" t="n">
        <v>0</v>
      </c>
      <c r="AR232" s="47" t="n">
        <v>0</v>
      </c>
      <c r="AS232" s="47" t="n">
        <v>0</v>
      </c>
      <c r="AT232" s="47" t="n">
        <v>0</v>
      </c>
      <c r="AU232" s="47" t="n">
        <v>0</v>
      </c>
      <c r="AV232" s="47" t="n">
        <v>0</v>
      </c>
      <c r="AW232" s="47" t="n">
        <v>0</v>
      </c>
      <c r="AX232" s="47" t="n">
        <v>0</v>
      </c>
      <c r="AY232" s="47" t="n">
        <v>0</v>
      </c>
      <c r="AZ232" s="47" t="n">
        <v>0</v>
      </c>
      <c r="BA232" s="47" t="n">
        <v>0</v>
      </c>
      <c r="BB232" s="47" t="n">
        <v>0</v>
      </c>
      <c r="BC232" s="47" t="n">
        <v>0</v>
      </c>
      <c r="BD232" s="47" t="n">
        <v>0</v>
      </c>
      <c r="BE232" s="47" t="n">
        <v>0</v>
      </c>
      <c r="BF232" s="47" t="n">
        <v>0</v>
      </c>
      <c r="BG232" s="47" t="n">
        <v>0</v>
      </c>
      <c r="BH232" s="47" t="n">
        <v>0</v>
      </c>
      <c r="BI232" s="47" t="n">
        <v>0</v>
      </c>
      <c r="BJ232" s="47" t="n">
        <v>0</v>
      </c>
      <c r="BK232" s="47" t="n">
        <v>0</v>
      </c>
      <c r="BL232" s="47" t="n">
        <v>0</v>
      </c>
      <c r="BM232" s="47" t="n">
        <v>0</v>
      </c>
      <c r="BN232" s="47" t="n">
        <v>0</v>
      </c>
      <c r="BO232" s="47" t="n">
        <v>0</v>
      </c>
      <c r="BP232" s="47" t="n">
        <v>0</v>
      </c>
      <c r="BQ232" s="47" t="n">
        <v>0</v>
      </c>
      <c r="BR232" s="47" t="n">
        <v>0</v>
      </c>
      <c r="BS232" s="47" t="n">
        <v>0</v>
      </c>
      <c r="BT232" s="47" t="n">
        <v>0</v>
      </c>
      <c r="BU232" s="47" t="n">
        <v>0</v>
      </c>
      <c r="BV232" s="47" t="n">
        <v>0</v>
      </c>
      <c r="BW232" s="102" t="n"/>
      <c r="BX232" s="102" t="n"/>
      <c r="BY232" s="102" t="n"/>
      <c r="BZ232" s="102" t="n"/>
      <c r="CA232" s="102" t="n"/>
      <c r="CB232" s="102" t="n"/>
      <c r="CC232" s="102" t="n"/>
      <c r="CD232" s="102" t="n"/>
      <c r="CE232" s="102" t="n"/>
      <c r="CF232" s="102" t="n"/>
      <c r="CG232" s="102" t="n"/>
      <c r="CH232" s="102" t="n"/>
      <c r="CI232" s="102" t="n"/>
      <c r="CJ232" s="102" t="n"/>
      <c r="CK232" s="102" t="n"/>
      <c r="CL232" s="102" t="n"/>
      <c r="CM232" s="102" t="n"/>
      <c r="CN232" s="102" t="n"/>
      <c r="CO232" s="102" t="n"/>
      <c r="CP232" s="102" t="n"/>
      <c r="CQ232" s="102" t="n"/>
      <c r="CR232" s="102" t="n"/>
      <c r="CS232" s="102" t="n"/>
      <c r="CT232" s="102" t="n"/>
      <c r="CU232" s="102" t="n"/>
      <c r="CV232" s="102" t="n"/>
      <c r="CW232" s="102" t="n"/>
      <c r="CX232" s="102" t="n"/>
      <c r="CY232" s="102" t="n"/>
      <c r="CZ232" s="102" t="n"/>
      <c r="DA232" s="102" t="n"/>
      <c r="DB232" s="102" t="n"/>
      <c r="DC232" s="102" t="n"/>
      <c r="DD232" s="102" t="n"/>
      <c r="DE232" s="102" t="n"/>
      <c r="DF232" s="102" t="n"/>
      <c r="DG232" s="102" t="n"/>
      <c r="DH232" s="102" t="n"/>
      <c r="DI232" s="102" t="n"/>
      <c r="DJ232" s="102" t="n"/>
      <c r="DK232" s="102" t="n"/>
      <c r="DL232" s="102" t="n"/>
      <c r="DM232" s="102" t="n"/>
      <c r="DN232" s="102" t="n"/>
      <c r="DO232" s="102" t="n"/>
      <c r="DP232" s="102" t="n"/>
      <c r="DQ232" s="102" t="n"/>
      <c r="DR232" s="102" t="n"/>
      <c r="DT232" s="46" t="n"/>
      <c r="DU232" s="46" t="n"/>
      <c r="DV232" s="46" t="n"/>
      <c r="DW232" s="46" t="n"/>
    </row>
    <row r="233" hidden="1" outlineLevel="1" ht="15.75" customHeight="1">
      <c r="B233" s="5" t="inlineStr">
        <is>
          <t>GSW</t>
        </is>
      </c>
      <c r="C233" s="68" t="inlineStr">
        <is>
          <t>Major</t>
        </is>
      </c>
      <c r="E233" s="46">
        <f>+SUMIFS($O233:$DR233,$O$7:$DR$7,E$7)</f>
        <v/>
      </c>
      <c r="F233" s="46">
        <f>+SUMIFS($O233:$DR233,$O$7:$DR$7,F$7)</f>
        <v/>
      </c>
      <c r="G233" s="46">
        <f>+SUMIFS($O233:$DR233,$O$7:$DR$7,G$7)</f>
        <v/>
      </c>
      <c r="H233" s="46">
        <f>+SUMIFS($O233:$DR233,$O$7:$DR$7,H$7)</f>
        <v/>
      </c>
      <c r="I233" s="46">
        <f>+SUMIFS($O233:$DR233,$O$7:$DR$7,I$7)</f>
        <v/>
      </c>
      <c r="J233" s="46">
        <f>+SUMIFS($O233:$DR233,$O$7:$DR$7,J$7)</f>
        <v/>
      </c>
      <c r="K233" s="46">
        <f>+SUMIFS($O233:$DR233,$O$7:$DR$7,K$7)</f>
        <v/>
      </c>
      <c r="L233" s="46">
        <f>+SUMIFS($O233:$DR233,$O$7:$DR$7,L$7)</f>
        <v/>
      </c>
      <c r="M233" s="46">
        <f>+SUMIFS($O233:$DR233,$O$7:$DR$7,M$7)</f>
        <v/>
      </c>
      <c r="O233" s="47" t="n">
        <v>15.76</v>
      </c>
      <c r="P233" s="47" t="n">
        <v>6.379</v>
      </c>
      <c r="Q233" s="47" t="n">
        <v>29.519</v>
      </c>
      <c r="R233" s="47" t="n">
        <v>7.379</v>
      </c>
      <c r="S233" s="47" t="n">
        <v>0</v>
      </c>
      <c r="T233" s="47" t="n">
        <v>0</v>
      </c>
      <c r="U233" s="47" t="n">
        <v>0</v>
      </c>
      <c r="V233" s="47" t="n">
        <v>0</v>
      </c>
      <c r="W233" s="47" t="n">
        <v>0</v>
      </c>
      <c r="X233" s="47" t="n">
        <v>0</v>
      </c>
      <c r="Y233" s="47" t="n">
        <v>0</v>
      </c>
      <c r="Z233" s="47" t="n">
        <v>0</v>
      </c>
      <c r="AA233" s="47" t="n">
        <v>0</v>
      </c>
      <c r="AB233" s="47" t="n">
        <v>0</v>
      </c>
      <c r="AC233" s="47" t="n">
        <v>0</v>
      </c>
      <c r="AD233" s="47" t="n">
        <v>0</v>
      </c>
      <c r="AE233" s="47" t="n">
        <v>0</v>
      </c>
      <c r="AF233" s="47" t="n">
        <v>0</v>
      </c>
      <c r="AG233" s="47" t="n">
        <v>0</v>
      </c>
      <c r="AH233" s="47" t="n">
        <v>-0.006</v>
      </c>
      <c r="AI233" s="47" t="n">
        <v>0</v>
      </c>
      <c r="AJ233" s="47" t="n">
        <v>0.001</v>
      </c>
      <c r="AK233" s="47" t="n">
        <v>0</v>
      </c>
      <c r="AL233" s="47" t="n">
        <v>0</v>
      </c>
      <c r="AM233" s="47" t="n">
        <v>0</v>
      </c>
      <c r="AN233" s="47" t="n">
        <v>0.001</v>
      </c>
      <c r="AO233" s="47" t="n">
        <v>-0.001</v>
      </c>
      <c r="AP233" s="47" t="n">
        <v>-0.001</v>
      </c>
      <c r="AQ233" s="47" t="n">
        <v>0.001</v>
      </c>
      <c r="AR233" s="47" t="n">
        <v>0</v>
      </c>
      <c r="AS233" s="47" t="n">
        <v>0</v>
      </c>
      <c r="AT233" s="47" t="n">
        <v>0.001</v>
      </c>
      <c r="AU233" s="47" t="n">
        <v>0</v>
      </c>
      <c r="AV233" s="47" t="n">
        <v>-0.001</v>
      </c>
      <c r="AW233" s="47" t="n">
        <v>0.001</v>
      </c>
      <c r="AX233" s="47" t="n">
        <v>0</v>
      </c>
      <c r="AY233" s="47" t="n">
        <v>0</v>
      </c>
      <c r="AZ233" s="47" t="n">
        <v>0</v>
      </c>
      <c r="BA233" s="47" t="n">
        <v>0</v>
      </c>
      <c r="BB233" s="47" t="n">
        <v>0</v>
      </c>
      <c r="BC233" s="47" t="n">
        <v>0</v>
      </c>
      <c r="BD233" s="47" t="n">
        <v>0</v>
      </c>
      <c r="BE233" s="47" t="n">
        <v>0</v>
      </c>
      <c r="BF233" s="47" t="n">
        <v>0</v>
      </c>
      <c r="BG233" s="47" t="n">
        <v>0</v>
      </c>
      <c r="BH233" s="47" t="n">
        <v>0</v>
      </c>
      <c r="BI233" s="47" t="n">
        <v>0</v>
      </c>
      <c r="BJ233" s="47" t="n">
        <v>0</v>
      </c>
      <c r="BK233" s="47" t="n">
        <v>0</v>
      </c>
      <c r="BL233" s="47" t="n">
        <v>0</v>
      </c>
      <c r="BM233" s="47" t="n">
        <v>0</v>
      </c>
      <c r="BN233" s="47" t="n">
        <v>0</v>
      </c>
      <c r="BO233" s="47" t="n">
        <v>0</v>
      </c>
      <c r="BP233" s="47" t="n">
        <v>0</v>
      </c>
      <c r="BQ233" s="47" t="n">
        <v>0</v>
      </c>
      <c r="BR233" s="47" t="n">
        <v>0</v>
      </c>
      <c r="BS233" s="47" t="n">
        <v>0</v>
      </c>
      <c r="BT233" s="47" t="n">
        <v>0</v>
      </c>
      <c r="BU233" s="47" t="n">
        <v>0</v>
      </c>
      <c r="BV233" s="47" t="n">
        <v>0</v>
      </c>
      <c r="BW233" s="102" t="n"/>
      <c r="BX233" s="102" t="n"/>
      <c r="BY233" s="102" t="n"/>
      <c r="BZ233" s="102" t="n"/>
      <c r="CA233" s="102" t="n"/>
      <c r="CB233" s="102" t="n"/>
      <c r="CC233" s="102" t="n"/>
      <c r="CD233" s="102" t="n"/>
      <c r="CE233" s="102" t="n"/>
      <c r="CF233" s="102" t="n"/>
      <c r="CG233" s="102" t="n"/>
      <c r="CH233" s="102" t="n"/>
      <c r="CI233" s="102" t="n"/>
      <c r="CJ233" s="102" t="n"/>
      <c r="CK233" s="102" t="n"/>
      <c r="CL233" s="102" t="n"/>
      <c r="CM233" s="102" t="n"/>
      <c r="CN233" s="102" t="n"/>
      <c r="CO233" s="102" t="n"/>
      <c r="CP233" s="102" t="n"/>
      <c r="CQ233" s="102" t="n"/>
      <c r="CR233" s="102" t="n"/>
      <c r="CS233" s="102" t="n"/>
      <c r="CT233" s="102" t="n"/>
      <c r="CU233" s="102" t="n"/>
      <c r="CV233" s="102" t="n"/>
      <c r="CW233" s="102" t="n"/>
      <c r="CX233" s="102" t="n"/>
      <c r="CY233" s="102" t="n"/>
      <c r="CZ233" s="102" t="n"/>
      <c r="DA233" s="102" t="n"/>
      <c r="DB233" s="102" t="n"/>
      <c r="DC233" s="102" t="n"/>
      <c r="DD233" s="102" t="n"/>
      <c r="DE233" s="102" t="n"/>
      <c r="DF233" s="102" t="n"/>
      <c r="DG233" s="102" t="n"/>
      <c r="DH233" s="102" t="n"/>
      <c r="DI233" s="102" t="n"/>
      <c r="DJ233" s="102" t="n"/>
      <c r="DK233" s="102" t="n"/>
      <c r="DL233" s="102" t="n"/>
      <c r="DM233" s="102" t="n"/>
      <c r="DN233" s="102" t="n"/>
      <c r="DO233" s="102" t="n"/>
      <c r="DP233" s="102" t="n"/>
      <c r="DQ233" s="102" t="n"/>
      <c r="DR233" s="102" t="n"/>
      <c r="DT233" s="46" t="n"/>
      <c r="DU233" s="46" t="n"/>
      <c r="DV233" s="46" t="n"/>
      <c r="DW233" s="46" t="n"/>
    </row>
    <row r="234" hidden="1" outlineLevel="1" ht="15.75" customHeight="1">
      <c r="B234" s="5" t="inlineStr">
        <is>
          <t>HEM</t>
        </is>
      </c>
      <c r="C234" s="68" t="inlineStr">
        <is>
          <t>Upper Middle Market</t>
        </is>
      </c>
      <c r="E234" s="46">
        <f>+SUMIFS($O234:$DR234,$O$7:$DR$7,E$7)</f>
        <v/>
      </c>
      <c r="F234" s="46">
        <f>+SUMIFS($O234:$DR234,$O$7:$DR$7,F$7)</f>
        <v/>
      </c>
      <c r="G234" s="46">
        <f>+SUMIFS($O234:$DR234,$O$7:$DR$7,G$7)</f>
        <v/>
      </c>
      <c r="H234" s="46">
        <f>+SUMIFS($O234:$DR234,$O$7:$DR$7,H$7)</f>
        <v/>
      </c>
      <c r="I234" s="46">
        <f>+SUMIFS($O234:$DR234,$O$7:$DR$7,I$7)</f>
        <v/>
      </c>
      <c r="J234" s="46">
        <f>+SUMIFS($O234:$DR234,$O$7:$DR$7,J$7)</f>
        <v/>
      </c>
      <c r="K234" s="46">
        <f>+SUMIFS($O234:$DR234,$O$7:$DR$7,K$7)</f>
        <v/>
      </c>
      <c r="L234" s="46">
        <f>+SUMIFS($O234:$DR234,$O$7:$DR$7,L$7)</f>
        <v/>
      </c>
      <c r="M234" s="46">
        <f>+SUMIFS($O234:$DR234,$O$7:$DR$7,M$7)</f>
        <v/>
      </c>
      <c r="O234" s="47" t="n">
        <v>0</v>
      </c>
      <c r="P234" s="47" t="n">
        <v>0</v>
      </c>
      <c r="Q234" s="47" t="n">
        <v>0</v>
      </c>
      <c r="R234" s="47" t="n">
        <v>0</v>
      </c>
      <c r="S234" s="47" t="n">
        <v>0</v>
      </c>
      <c r="T234" s="47" t="n">
        <v>0</v>
      </c>
      <c r="U234" s="47" t="n">
        <v>0</v>
      </c>
      <c r="V234" s="47" t="n">
        <v>0</v>
      </c>
      <c r="W234" s="47" t="n">
        <v>0</v>
      </c>
      <c r="X234" s="47" t="n">
        <v>0</v>
      </c>
      <c r="Y234" s="47" t="n">
        <v>0</v>
      </c>
      <c r="Z234" s="47" t="n">
        <v>0</v>
      </c>
      <c r="AA234" s="47" t="n">
        <v>0</v>
      </c>
      <c r="AB234" s="47" t="n">
        <v>0</v>
      </c>
      <c r="AC234" s="47" t="n">
        <v>18</v>
      </c>
      <c r="AD234" s="47" t="n">
        <v>12.756</v>
      </c>
      <c r="AE234" s="47" t="n">
        <v>12.744</v>
      </c>
      <c r="AF234" s="47" t="n">
        <v>13.512</v>
      </c>
      <c r="AG234" s="47" t="n">
        <v>8.988</v>
      </c>
      <c r="AH234" s="47" t="n">
        <v>18.084</v>
      </c>
      <c r="AI234" s="47" t="n">
        <v>14.014</v>
      </c>
      <c r="AJ234" s="47" t="n">
        <v>21.663</v>
      </c>
      <c r="AK234" s="47" t="n">
        <v>17.724</v>
      </c>
      <c r="AL234" s="47" t="n">
        <v>15.276</v>
      </c>
      <c r="AM234" s="47" t="n">
        <v>0</v>
      </c>
      <c r="AN234" s="47" t="n">
        <v>0</v>
      </c>
      <c r="AO234" s="47" t="n">
        <v>0</v>
      </c>
      <c r="AP234" s="47" t="n">
        <v>0</v>
      </c>
      <c r="AQ234" s="47" t="n">
        <v>0</v>
      </c>
      <c r="AR234" s="47" t="n">
        <v>0</v>
      </c>
      <c r="AS234" s="47" t="n">
        <v>0</v>
      </c>
      <c r="AT234" s="47" t="n">
        <v>0</v>
      </c>
      <c r="AU234" s="47" t="n">
        <v>0</v>
      </c>
      <c r="AV234" s="47" t="n">
        <v>0</v>
      </c>
      <c r="AW234" s="47" t="n">
        <v>0</v>
      </c>
      <c r="AX234" s="47" t="n">
        <v>0</v>
      </c>
      <c r="AY234" s="47" t="n">
        <v>0</v>
      </c>
      <c r="AZ234" s="47" t="n">
        <v>0</v>
      </c>
      <c r="BA234" s="47" t="n">
        <v>0</v>
      </c>
      <c r="BB234" s="47" t="n">
        <v>0</v>
      </c>
      <c r="BC234" s="47" t="n">
        <v>0</v>
      </c>
      <c r="BD234" s="47" t="n">
        <v>0</v>
      </c>
      <c r="BE234" s="47" t="n">
        <v>0</v>
      </c>
      <c r="BF234" s="47" t="n">
        <v>0</v>
      </c>
      <c r="BG234" s="47" t="n">
        <v>0</v>
      </c>
      <c r="BH234" s="47" t="n">
        <v>0</v>
      </c>
      <c r="BI234" s="47" t="n">
        <v>0</v>
      </c>
      <c r="BJ234" s="47" t="n">
        <v>0</v>
      </c>
      <c r="BK234" s="47" t="n">
        <v>0</v>
      </c>
      <c r="BL234" s="47" t="n">
        <v>0</v>
      </c>
      <c r="BM234" s="47" t="n">
        <v>0</v>
      </c>
      <c r="BN234" s="47" t="n">
        <v>0</v>
      </c>
      <c r="BO234" s="47" t="n">
        <v>0</v>
      </c>
      <c r="BP234" s="47" t="n">
        <v>0</v>
      </c>
      <c r="BQ234" s="47" t="n">
        <v>0</v>
      </c>
      <c r="BR234" s="47" t="n">
        <v>0</v>
      </c>
      <c r="BS234" s="47" t="n">
        <v>0</v>
      </c>
      <c r="BT234" s="47" t="n">
        <v>0</v>
      </c>
      <c r="BU234" s="47" t="n">
        <v>0</v>
      </c>
      <c r="BV234" s="47" t="n">
        <v>0</v>
      </c>
      <c r="BW234" s="102" t="n"/>
      <c r="BX234" s="102" t="n"/>
      <c r="BY234" s="102" t="n"/>
      <c r="BZ234" s="102" t="n"/>
      <c r="CA234" s="102" t="n"/>
      <c r="CB234" s="102" t="n"/>
      <c r="CC234" s="102" t="n"/>
      <c r="CD234" s="102" t="n"/>
      <c r="CE234" s="102" t="n"/>
      <c r="CF234" s="102" t="n"/>
      <c r="CG234" s="102" t="n"/>
      <c r="CH234" s="102" t="n"/>
      <c r="CI234" s="102" t="n"/>
      <c r="CJ234" s="102" t="n"/>
      <c r="CK234" s="102" t="n"/>
      <c r="CL234" s="102" t="n"/>
      <c r="CM234" s="102" t="n"/>
      <c r="CN234" s="102" t="n"/>
      <c r="CO234" s="102" t="n"/>
      <c r="CP234" s="102" t="n"/>
      <c r="CQ234" s="102" t="n"/>
      <c r="CR234" s="102" t="n"/>
      <c r="CS234" s="102" t="n"/>
      <c r="CT234" s="102" t="n"/>
      <c r="CU234" s="102" t="n"/>
      <c r="CV234" s="102" t="n"/>
      <c r="CW234" s="102" t="n"/>
      <c r="CX234" s="102" t="n"/>
      <c r="CY234" s="102" t="n"/>
      <c r="CZ234" s="102" t="n"/>
      <c r="DA234" s="102" t="n"/>
      <c r="DB234" s="102" t="n"/>
      <c r="DC234" s="102" t="n"/>
      <c r="DD234" s="102" t="n"/>
      <c r="DE234" s="102" t="n"/>
      <c r="DF234" s="102" t="n"/>
      <c r="DG234" s="102" t="n"/>
      <c r="DH234" s="102" t="n"/>
      <c r="DI234" s="102" t="n"/>
      <c r="DJ234" s="102" t="n"/>
      <c r="DK234" s="102" t="n"/>
      <c r="DL234" s="102" t="n"/>
      <c r="DM234" s="102" t="n"/>
      <c r="DN234" s="102" t="n"/>
      <c r="DO234" s="102" t="n"/>
      <c r="DP234" s="102" t="n"/>
      <c r="DQ234" s="102" t="n"/>
      <c r="DR234" s="102" t="n"/>
      <c r="DT234" s="46" t="n"/>
      <c r="DU234" s="46" t="n"/>
      <c r="DV234" s="46" t="n"/>
      <c r="DW234" s="46" t="n"/>
    </row>
    <row r="235" hidden="1" outlineLevel="1" ht="15.75" customHeight="1">
      <c r="B235" s="5" t="inlineStr">
        <is>
          <t>IFIS</t>
        </is>
      </c>
      <c r="C235" s="68" t="inlineStr">
        <is>
          <t>Lower Middle Market</t>
        </is>
      </c>
      <c r="E235" s="46">
        <f>+SUMIFS($O235:$DR235,$O$7:$DR$7,E$7)</f>
        <v/>
      </c>
      <c r="F235" s="46">
        <f>+SUMIFS($O235:$DR235,$O$7:$DR$7,F$7)</f>
        <v/>
      </c>
      <c r="G235" s="46">
        <f>+SUMIFS($O235:$DR235,$O$7:$DR$7,G$7)</f>
        <v/>
      </c>
      <c r="H235" s="46">
        <f>+SUMIFS($O235:$DR235,$O$7:$DR$7,H$7)</f>
        <v/>
      </c>
      <c r="I235" s="46">
        <f>+SUMIFS($O235:$DR235,$O$7:$DR$7,I$7)</f>
        <v/>
      </c>
      <c r="J235" s="46">
        <f>+SUMIFS($O235:$DR235,$O$7:$DR$7,J$7)</f>
        <v/>
      </c>
      <c r="K235" s="46">
        <f>+SUMIFS($O235:$DR235,$O$7:$DR$7,K$7)</f>
        <v/>
      </c>
      <c r="L235" s="46">
        <f>+SUMIFS($O235:$DR235,$O$7:$DR$7,L$7)</f>
        <v/>
      </c>
      <c r="M235" s="46">
        <f>+SUMIFS($O235:$DR235,$O$7:$DR$7,M$7)</f>
        <v/>
      </c>
      <c r="O235" s="47" t="n">
        <v>0</v>
      </c>
      <c r="P235" s="47" t="n">
        <v>0</v>
      </c>
      <c r="Q235" s="47" t="n">
        <v>0</v>
      </c>
      <c r="R235" s="47" t="n">
        <v>0</v>
      </c>
      <c r="S235" s="47" t="n">
        <v>0</v>
      </c>
      <c r="T235" s="47" t="n">
        <v>0</v>
      </c>
      <c r="U235" s="47" t="n">
        <v>0</v>
      </c>
      <c r="V235" s="47" t="n">
        <v>0</v>
      </c>
      <c r="W235" s="47" t="n">
        <v>0</v>
      </c>
      <c r="X235" s="47" t="n">
        <v>0</v>
      </c>
      <c r="Y235" s="47" t="n">
        <v>0</v>
      </c>
      <c r="Z235" s="47" t="n">
        <v>0</v>
      </c>
      <c r="AA235" s="47" t="n">
        <v>0</v>
      </c>
      <c r="AB235" s="47" t="n">
        <v>0</v>
      </c>
      <c r="AC235" s="47" t="n">
        <v>0</v>
      </c>
      <c r="AD235" s="47" t="n">
        <v>0</v>
      </c>
      <c r="AE235" s="47" t="n">
        <v>0</v>
      </c>
      <c r="AF235" s="47" t="n">
        <v>0</v>
      </c>
      <c r="AG235" s="47" t="n">
        <v>0</v>
      </c>
      <c r="AH235" s="47" t="n">
        <v>0</v>
      </c>
      <c r="AI235" s="47" t="n">
        <v>0</v>
      </c>
      <c r="AJ235" s="47" t="n">
        <v>0</v>
      </c>
      <c r="AK235" s="47" t="n">
        <v>0</v>
      </c>
      <c r="AL235" s="47" t="n">
        <v>0</v>
      </c>
      <c r="AM235" s="47" t="n">
        <v>0</v>
      </c>
      <c r="AN235" s="47" t="n">
        <v>0</v>
      </c>
      <c r="AO235" s="47" t="n">
        <v>0</v>
      </c>
      <c r="AP235" s="47" t="n">
        <v>0</v>
      </c>
      <c r="AQ235" s="47" t="n">
        <v>0</v>
      </c>
      <c r="AR235" s="47" t="n">
        <v>0</v>
      </c>
      <c r="AS235" s="47" t="n">
        <v>0</v>
      </c>
      <c r="AT235" s="47" t="n">
        <v>0</v>
      </c>
      <c r="AU235" s="47" t="n">
        <v>14</v>
      </c>
      <c r="AV235" s="47" t="n">
        <v>28</v>
      </c>
      <c r="AW235" s="47" t="n">
        <v>7</v>
      </c>
      <c r="AX235" s="47" t="n">
        <v>21</v>
      </c>
      <c r="AY235" s="47" t="n">
        <v>0</v>
      </c>
      <c r="AZ235" s="47" t="n">
        <v>0</v>
      </c>
      <c r="BA235" s="47" t="n">
        <v>0</v>
      </c>
      <c r="BB235" s="47" t="n">
        <v>0</v>
      </c>
      <c r="BC235" s="47" t="n">
        <v>0</v>
      </c>
      <c r="BD235" s="47" t="n">
        <v>0</v>
      </c>
      <c r="BE235" s="47" t="n">
        <v>0</v>
      </c>
      <c r="BF235" s="47" t="n">
        <v>0</v>
      </c>
      <c r="BG235" s="47" t="n">
        <v>0</v>
      </c>
      <c r="BH235" s="47" t="n">
        <v>0</v>
      </c>
      <c r="BI235" s="47" t="n">
        <v>0</v>
      </c>
      <c r="BJ235" s="47" t="n">
        <v>0</v>
      </c>
      <c r="BK235" s="47" t="n">
        <v>0</v>
      </c>
      <c r="BL235" s="47" t="n">
        <v>0</v>
      </c>
      <c r="BM235" s="47" t="n">
        <v>0</v>
      </c>
      <c r="BN235" s="47" t="n">
        <v>0</v>
      </c>
      <c r="BO235" s="47" t="n">
        <v>0</v>
      </c>
      <c r="BP235" s="47" t="n">
        <v>0</v>
      </c>
      <c r="BQ235" s="47" t="n">
        <v>0</v>
      </c>
      <c r="BR235" s="47" t="n">
        <v>0</v>
      </c>
      <c r="BS235" s="47" t="n">
        <v>0</v>
      </c>
      <c r="BT235" s="47" t="n">
        <v>0</v>
      </c>
      <c r="BU235" s="47" t="n">
        <v>0</v>
      </c>
      <c r="BV235" s="47" t="n">
        <v>0</v>
      </c>
      <c r="BW235" s="102" t="n"/>
      <c r="BX235" s="102" t="n"/>
      <c r="BY235" s="102" t="n"/>
      <c r="BZ235" s="102" t="n"/>
      <c r="CA235" s="102" t="n"/>
      <c r="CB235" s="102" t="n"/>
      <c r="CC235" s="102" t="n"/>
      <c r="CD235" s="102" t="n"/>
      <c r="CE235" s="102" t="n"/>
      <c r="CF235" s="102" t="n"/>
      <c r="CG235" s="102" t="n"/>
      <c r="CH235" s="102" t="n"/>
      <c r="CI235" s="102" t="n"/>
      <c r="CJ235" s="102" t="n"/>
      <c r="CK235" s="102" t="n"/>
      <c r="CL235" s="102" t="n"/>
      <c r="CM235" s="102" t="n"/>
      <c r="CN235" s="102" t="n"/>
      <c r="CO235" s="102" t="n"/>
      <c r="CP235" s="102" t="n"/>
      <c r="CQ235" s="102" t="n"/>
      <c r="CR235" s="102" t="n"/>
      <c r="CS235" s="102" t="n"/>
      <c r="CT235" s="102" t="n"/>
      <c r="CU235" s="102" t="n"/>
      <c r="CV235" s="102" t="n"/>
      <c r="CW235" s="102" t="n"/>
      <c r="CX235" s="102" t="n"/>
      <c r="CY235" s="102" t="n"/>
      <c r="CZ235" s="102" t="n"/>
      <c r="DA235" s="102" t="n"/>
      <c r="DB235" s="102" t="n"/>
      <c r="DC235" s="102" t="n"/>
      <c r="DD235" s="102" t="n"/>
      <c r="DE235" s="102" t="n"/>
      <c r="DF235" s="102" t="n"/>
      <c r="DG235" s="102" t="n"/>
      <c r="DH235" s="102" t="n"/>
      <c r="DI235" s="102" t="n"/>
      <c r="DJ235" s="102" t="n"/>
      <c r="DK235" s="102" t="n"/>
      <c r="DL235" s="102" t="n"/>
      <c r="DM235" s="102" t="n"/>
      <c r="DN235" s="102" t="n"/>
      <c r="DO235" s="102" t="n"/>
      <c r="DP235" s="102" t="n"/>
      <c r="DQ235" s="102" t="n"/>
      <c r="DR235" s="102" t="n"/>
      <c r="DT235" s="46" t="n"/>
      <c r="DU235" s="46" t="n"/>
      <c r="DV235" s="46" t="n"/>
      <c r="DW235" s="46" t="n"/>
    </row>
    <row r="236" hidden="1" outlineLevel="1" ht="15.75" customHeight="1">
      <c r="B236" s="5" t="inlineStr">
        <is>
          <t>IWA</t>
        </is>
      </c>
      <c r="C236" s="68" t="inlineStr">
        <is>
          <t>Lower Middle Market</t>
        </is>
      </c>
      <c r="E236" s="46">
        <f>+SUMIFS($O236:$DR236,$O$7:$DR$7,E$7)</f>
        <v/>
      </c>
      <c r="F236" s="46">
        <f>+SUMIFS($O236:$DR236,$O$7:$DR$7,F$7)</f>
        <v/>
      </c>
      <c r="G236" s="46">
        <f>+SUMIFS($O236:$DR236,$O$7:$DR$7,G$7)</f>
        <v/>
      </c>
      <c r="H236" s="46">
        <f>+SUMIFS($O236:$DR236,$O$7:$DR$7,H$7)</f>
        <v/>
      </c>
      <c r="I236" s="46">
        <f>+SUMIFS($O236:$DR236,$O$7:$DR$7,I$7)</f>
        <v/>
      </c>
      <c r="J236" s="46">
        <f>+SUMIFS($O236:$DR236,$O$7:$DR$7,J$7)</f>
        <v/>
      </c>
      <c r="K236" s="46">
        <f>+SUMIFS($O236:$DR236,$O$7:$DR$7,K$7)</f>
        <v/>
      </c>
      <c r="L236" s="46">
        <f>+SUMIFS($O236:$DR236,$O$7:$DR$7,L$7)</f>
        <v/>
      </c>
      <c r="M236" s="46">
        <f>+SUMIFS($O236:$DR236,$O$7:$DR$7,M$7)</f>
        <v/>
      </c>
      <c r="O236" s="47" t="n">
        <v>17.026</v>
      </c>
      <c r="P236" s="47" t="n">
        <v>42.565</v>
      </c>
      <c r="Q236" s="47" t="n">
        <v>78.02200000000001</v>
      </c>
      <c r="R236" s="47" t="n">
        <v>113.521</v>
      </c>
      <c r="S236" s="47" t="n">
        <v>63.848</v>
      </c>
      <c r="T236" s="47" t="n">
        <v>63.848</v>
      </c>
      <c r="U236" s="47" t="n">
        <v>21.282</v>
      </c>
      <c r="V236" s="47" t="n">
        <v>0.001</v>
      </c>
      <c r="W236" s="47" t="n">
        <v>0.001</v>
      </c>
      <c r="X236" s="47" t="n">
        <v>0.001</v>
      </c>
      <c r="Y236" s="47" t="n">
        <v>0.001</v>
      </c>
      <c r="Z236" s="47" t="n">
        <v>21.281</v>
      </c>
      <c r="AA236" s="47" t="n">
        <v>0</v>
      </c>
      <c r="AB236" s="47" t="n">
        <v>0</v>
      </c>
      <c r="AC236" s="47" t="n">
        <v>0</v>
      </c>
      <c r="AD236" s="47" t="n">
        <v>0</v>
      </c>
      <c r="AE236" s="47" t="n">
        <v>0</v>
      </c>
      <c r="AF236" s="47" t="n">
        <v>0</v>
      </c>
      <c r="AG236" s="47" t="n">
        <v>0</v>
      </c>
      <c r="AH236" s="47" t="n">
        <v>-0.004</v>
      </c>
      <c r="AI236" s="47" t="n">
        <v>0.001</v>
      </c>
      <c r="AJ236" s="47" t="n">
        <v>0</v>
      </c>
      <c r="AK236" s="47" t="n">
        <v>0</v>
      </c>
      <c r="AL236" s="47" t="n">
        <v>0</v>
      </c>
      <c r="AM236" s="47" t="n">
        <v>0</v>
      </c>
      <c r="AN236" s="47" t="n">
        <v>0</v>
      </c>
      <c r="AO236" s="47" t="n">
        <v>0</v>
      </c>
      <c r="AP236" s="47" t="n">
        <v>0</v>
      </c>
      <c r="AQ236" s="47" t="n">
        <v>0.001</v>
      </c>
      <c r="AR236" s="47" t="n">
        <v>0</v>
      </c>
      <c r="AS236" s="47" t="n">
        <v>0</v>
      </c>
      <c r="AT236" s="47" t="n">
        <v>0</v>
      </c>
      <c r="AU236" s="47" t="n">
        <v>0</v>
      </c>
      <c r="AV236" s="47" t="n">
        <v>0</v>
      </c>
      <c r="AW236" s="47" t="n">
        <v>0</v>
      </c>
      <c r="AX236" s="47" t="n">
        <v>0</v>
      </c>
      <c r="AY236" s="47" t="n">
        <v>0</v>
      </c>
      <c r="AZ236" s="47" t="n">
        <v>0</v>
      </c>
      <c r="BA236" s="47" t="n">
        <v>0</v>
      </c>
      <c r="BB236" s="47" t="n">
        <v>0</v>
      </c>
      <c r="BC236" s="47" t="n">
        <v>0</v>
      </c>
      <c r="BD236" s="47" t="n">
        <v>0</v>
      </c>
      <c r="BE236" s="47" t="n">
        <v>0</v>
      </c>
      <c r="BF236" s="47" t="n">
        <v>0</v>
      </c>
      <c r="BG236" s="47" t="n">
        <v>0</v>
      </c>
      <c r="BH236" s="47" t="n">
        <v>0</v>
      </c>
      <c r="BI236" s="47" t="n">
        <v>0</v>
      </c>
      <c r="BJ236" s="47" t="n">
        <v>0</v>
      </c>
      <c r="BK236" s="47" t="n">
        <v>0</v>
      </c>
      <c r="BL236" s="47" t="n">
        <v>0</v>
      </c>
      <c r="BM236" s="47" t="n">
        <v>0</v>
      </c>
      <c r="BN236" s="47" t="n">
        <v>0</v>
      </c>
      <c r="BO236" s="47" t="n">
        <v>0</v>
      </c>
      <c r="BP236" s="47" t="n">
        <v>0</v>
      </c>
      <c r="BQ236" s="47" t="n">
        <v>0</v>
      </c>
      <c r="BR236" s="47" t="n">
        <v>0</v>
      </c>
      <c r="BS236" s="47" t="n">
        <v>0</v>
      </c>
      <c r="BT236" s="47" t="n">
        <v>0</v>
      </c>
      <c r="BU236" s="47" t="n">
        <v>0</v>
      </c>
      <c r="BV236" s="47" t="n">
        <v>0</v>
      </c>
      <c r="BW236" s="102" t="n"/>
      <c r="BX236" s="102" t="n"/>
      <c r="BY236" s="102" t="n"/>
      <c r="BZ236" s="102" t="n"/>
      <c r="CA236" s="102" t="n"/>
      <c r="CB236" s="102" t="n"/>
      <c r="CC236" s="102" t="n"/>
      <c r="CD236" s="102" t="n"/>
      <c r="CE236" s="102" t="n"/>
      <c r="CF236" s="102" t="n"/>
      <c r="CG236" s="102" t="n"/>
      <c r="CH236" s="102" t="n"/>
      <c r="CI236" s="102" t="n"/>
      <c r="CJ236" s="102" t="n"/>
      <c r="CK236" s="102" t="n"/>
      <c r="CL236" s="102" t="n"/>
      <c r="CM236" s="102" t="n"/>
      <c r="CN236" s="102" t="n"/>
      <c r="CO236" s="102" t="n"/>
      <c r="CP236" s="102" t="n"/>
      <c r="CQ236" s="102" t="n"/>
      <c r="CR236" s="102" t="n"/>
      <c r="CS236" s="102" t="n"/>
      <c r="CT236" s="102" t="n"/>
      <c r="CU236" s="102" t="n"/>
      <c r="CV236" s="102" t="n"/>
      <c r="CW236" s="102" t="n"/>
      <c r="CX236" s="102" t="n"/>
      <c r="CY236" s="102" t="n"/>
      <c r="CZ236" s="102" t="n"/>
      <c r="DA236" s="102" t="n"/>
      <c r="DB236" s="102" t="n"/>
      <c r="DC236" s="102" t="n"/>
      <c r="DD236" s="102" t="n"/>
      <c r="DE236" s="102" t="n"/>
      <c r="DF236" s="102" t="n"/>
      <c r="DG236" s="102" t="n"/>
      <c r="DH236" s="102" t="n"/>
      <c r="DI236" s="102" t="n"/>
      <c r="DJ236" s="102" t="n"/>
      <c r="DK236" s="102" t="n"/>
      <c r="DL236" s="102" t="n"/>
      <c r="DM236" s="102" t="n"/>
      <c r="DN236" s="102" t="n"/>
      <c r="DO236" s="102" t="n"/>
      <c r="DP236" s="102" t="n"/>
      <c r="DQ236" s="102" t="n"/>
      <c r="DR236" s="102" t="n"/>
      <c r="DT236" s="46" t="n"/>
      <c r="DU236" s="46" t="n"/>
      <c r="DV236" s="46" t="n"/>
      <c r="DW236" s="46" t="n"/>
    </row>
    <row r="237" hidden="1" outlineLevel="1" ht="15.75" customHeight="1">
      <c r="B237" s="5" t="inlineStr">
        <is>
          <t>KARGER</t>
        </is>
      </c>
      <c r="C237" s="68" t="inlineStr">
        <is>
          <t>Upper Middle Market</t>
        </is>
      </c>
      <c r="E237" s="46">
        <f>+SUMIFS($O237:$DR237,$O$7:$DR$7,E$7)</f>
        <v/>
      </c>
      <c r="F237" s="46">
        <f>+SUMIFS($O237:$DR237,$O$7:$DR$7,F$7)</f>
        <v/>
      </c>
      <c r="G237" s="46">
        <f>+SUMIFS($O237:$DR237,$O$7:$DR$7,G$7)</f>
        <v/>
      </c>
      <c r="H237" s="46">
        <f>+SUMIFS($O237:$DR237,$O$7:$DR$7,H$7)</f>
        <v/>
      </c>
      <c r="I237" s="46">
        <f>+SUMIFS($O237:$DR237,$O$7:$DR$7,I$7)</f>
        <v/>
      </c>
      <c r="J237" s="46">
        <f>+SUMIFS($O237:$DR237,$O$7:$DR$7,J$7)</f>
        <v/>
      </c>
      <c r="K237" s="46">
        <f>+SUMIFS($O237:$DR237,$O$7:$DR$7,K$7)</f>
        <v/>
      </c>
      <c r="L237" s="46">
        <f>+SUMIFS($O237:$DR237,$O$7:$DR$7,L$7)</f>
        <v/>
      </c>
      <c r="M237" s="46">
        <f>+SUMIFS($O237:$DR237,$O$7:$DR$7,M$7)</f>
        <v/>
      </c>
      <c r="O237" s="47" t="n">
        <v>0</v>
      </c>
      <c r="P237" s="47" t="n">
        <v>0</v>
      </c>
      <c r="Q237" s="47" t="n">
        <v>0</v>
      </c>
      <c r="R237" s="47" t="n">
        <v>0</v>
      </c>
      <c r="S237" s="47" t="n">
        <v>0</v>
      </c>
      <c r="T237" s="47" t="n">
        <v>0</v>
      </c>
      <c r="U237" s="47" t="n">
        <v>0</v>
      </c>
      <c r="V237" s="47" t="n">
        <v>0</v>
      </c>
      <c r="W237" s="47" t="n">
        <v>0</v>
      </c>
      <c r="X237" s="47" t="n">
        <v>0</v>
      </c>
      <c r="Y237" s="47" t="n">
        <v>0</v>
      </c>
      <c r="Z237" s="47" t="n">
        <v>0</v>
      </c>
      <c r="AA237" s="47" t="n">
        <v>0</v>
      </c>
      <c r="AB237" s="47" t="n">
        <v>0</v>
      </c>
      <c r="AC237" s="47" t="n">
        <v>0</v>
      </c>
      <c r="AD237" s="47" t="n">
        <v>0</v>
      </c>
      <c r="AE237" s="47" t="n">
        <v>0</v>
      </c>
      <c r="AF237" s="47" t="n">
        <v>0</v>
      </c>
      <c r="AG237" s="47" t="n">
        <v>0</v>
      </c>
      <c r="AH237" s="47" t="n">
        <v>0</v>
      </c>
      <c r="AI237" s="47" t="n">
        <v>0</v>
      </c>
      <c r="AJ237" s="47" t="n">
        <v>0</v>
      </c>
      <c r="AK237" s="47" t="n">
        <v>0</v>
      </c>
      <c r="AL237" s="47" t="n">
        <v>0</v>
      </c>
      <c r="AM237" s="47" t="n">
        <v>0</v>
      </c>
      <c r="AN237" s="47" t="n">
        <v>0</v>
      </c>
      <c r="AO237" s="47" t="n">
        <v>0</v>
      </c>
      <c r="AP237" s="47" t="n">
        <v>0</v>
      </c>
      <c r="AQ237" s="47" t="n">
        <v>0</v>
      </c>
      <c r="AR237" s="47" t="n">
        <v>0</v>
      </c>
      <c r="AS237" s="47" t="n">
        <v>0</v>
      </c>
      <c r="AT237" s="47" t="n">
        <v>0</v>
      </c>
      <c r="AU237" s="47" t="n">
        <v>0</v>
      </c>
      <c r="AV237" s="47" t="n">
        <v>0</v>
      </c>
      <c r="AW237" s="47" t="n">
        <v>0</v>
      </c>
      <c r="AX237" s="47" t="n">
        <v>0</v>
      </c>
      <c r="AY237" s="47" t="n">
        <v>0</v>
      </c>
      <c r="AZ237" s="47" t="n">
        <v>0</v>
      </c>
      <c r="BA237" s="47" t="n">
        <v>0</v>
      </c>
      <c r="BB237" s="47" t="n">
        <v>0</v>
      </c>
      <c r="BC237" s="47" t="n">
        <v>0</v>
      </c>
      <c r="BD237" s="47" t="n">
        <v>0</v>
      </c>
      <c r="BE237" s="47" t="n">
        <v>22.335</v>
      </c>
      <c r="BF237" s="47" t="n">
        <v>0</v>
      </c>
      <c r="BG237" s="47" t="n">
        <v>0</v>
      </c>
      <c r="BH237" s="47" t="n">
        <v>22.334</v>
      </c>
      <c r="BI237" s="47" t="n">
        <v>22.335</v>
      </c>
      <c r="BJ237" s="47" t="n">
        <v>0</v>
      </c>
      <c r="BK237" s="47" t="n">
        <v>22.334</v>
      </c>
      <c r="BL237" s="47" t="n">
        <v>25.526</v>
      </c>
      <c r="BM237" s="47" t="n">
        <v>63.813</v>
      </c>
      <c r="BN237" s="47" t="n">
        <v>28.34776153846154</v>
      </c>
      <c r="BO237" s="47" t="n">
        <v>30.66712384615385</v>
      </c>
      <c r="BP237" s="47" t="n">
        <v>30.10953977622378</v>
      </c>
      <c r="BQ237" s="47" t="n">
        <v>29.5073489806993</v>
      </c>
      <c r="BR237" s="47" t="n">
        <v>31.255932624</v>
      </c>
      <c r="BS237" s="47" t="n">
        <v>30.0838351506</v>
      </c>
      <c r="BT237" s="47" t="n">
        <v>26.57956424294768</v>
      </c>
      <c r="BU237" s="47" t="n">
        <v>19.27018407613707</v>
      </c>
      <c r="BV237" s="47" t="n">
        <v>17.47163356236428</v>
      </c>
      <c r="BW237" s="102" t="n"/>
      <c r="BX237" s="102" t="n"/>
      <c r="BY237" s="102" t="n"/>
      <c r="BZ237" s="102" t="n"/>
      <c r="CA237" s="102" t="n"/>
      <c r="CB237" s="102" t="n"/>
      <c r="CC237" s="102" t="n"/>
      <c r="CD237" s="102" t="n"/>
      <c r="CE237" s="102" t="n"/>
      <c r="CF237" s="102" t="n"/>
      <c r="CG237" s="102" t="n"/>
      <c r="CH237" s="102" t="n"/>
      <c r="CI237" s="102" t="n"/>
      <c r="CJ237" s="102" t="n"/>
      <c r="CK237" s="102" t="n"/>
      <c r="CL237" s="102" t="n"/>
      <c r="CM237" s="102" t="n"/>
      <c r="CN237" s="102" t="n"/>
      <c r="CO237" s="102" t="n"/>
      <c r="CP237" s="102" t="n"/>
      <c r="CQ237" s="102" t="n"/>
      <c r="CR237" s="102" t="n"/>
      <c r="CS237" s="102" t="n"/>
      <c r="CT237" s="102" t="n"/>
      <c r="CU237" s="102" t="n"/>
      <c r="CV237" s="102" t="n"/>
      <c r="CW237" s="102" t="n"/>
      <c r="CX237" s="102" t="n"/>
      <c r="CY237" s="102" t="n"/>
      <c r="CZ237" s="102" t="n"/>
      <c r="DA237" s="102" t="n"/>
      <c r="DB237" s="102" t="n"/>
      <c r="DC237" s="102" t="n"/>
      <c r="DD237" s="102" t="n"/>
      <c r="DE237" s="102" t="n"/>
      <c r="DF237" s="102" t="n"/>
      <c r="DG237" s="102" t="n"/>
      <c r="DH237" s="102" t="n"/>
      <c r="DI237" s="102" t="n"/>
      <c r="DJ237" s="102" t="n"/>
      <c r="DK237" s="102" t="n"/>
      <c r="DL237" s="102" t="n"/>
      <c r="DM237" s="102" t="n"/>
      <c r="DN237" s="102" t="n"/>
      <c r="DO237" s="102" t="n"/>
      <c r="DP237" s="102" t="n"/>
      <c r="DQ237" s="102" t="n"/>
      <c r="DR237" s="102" t="n"/>
      <c r="DT237" s="46" t="n"/>
      <c r="DU237" s="46" t="n"/>
      <c r="DV237" s="46" t="n"/>
      <c r="DW237" s="46" t="n"/>
    </row>
    <row r="238" hidden="1" outlineLevel="1" ht="15.75" customHeight="1">
      <c r="B238" s="5" t="inlineStr">
        <is>
          <t>MGH</t>
        </is>
      </c>
      <c r="C238" s="68" t="inlineStr">
        <is>
          <t>Mega</t>
        </is>
      </c>
      <c r="E238" s="46">
        <f>+SUMIFS($O238:$DR238,$O$7:$DR$7,E$7)</f>
        <v/>
      </c>
      <c r="F238" s="46">
        <f>+SUMIFS($O238:$DR238,$O$7:$DR$7,F$7)</f>
        <v/>
      </c>
      <c r="G238" s="46">
        <f>+SUMIFS($O238:$DR238,$O$7:$DR$7,G$7)</f>
        <v/>
      </c>
      <c r="H238" s="46">
        <f>+SUMIFS($O238:$DR238,$O$7:$DR$7,H$7)</f>
        <v/>
      </c>
      <c r="I238" s="46">
        <f>+SUMIFS($O238:$DR238,$O$7:$DR$7,I$7)</f>
        <v/>
      </c>
      <c r="J238" s="46">
        <f>+SUMIFS($O238:$DR238,$O$7:$DR$7,J$7)</f>
        <v/>
      </c>
      <c r="K238" s="46">
        <f>+SUMIFS($O238:$DR238,$O$7:$DR$7,K$7)</f>
        <v/>
      </c>
      <c r="L238" s="46">
        <f>+SUMIFS($O238:$DR238,$O$7:$DR$7,L$7)</f>
        <v/>
      </c>
      <c r="M238" s="46">
        <f>+SUMIFS($O238:$DR238,$O$7:$DR$7,M$7)</f>
        <v/>
      </c>
      <c r="O238" s="47" t="n">
        <v>0</v>
      </c>
      <c r="P238" s="47" t="n">
        <v>0</v>
      </c>
      <c r="Q238" s="47" t="n">
        <v>0</v>
      </c>
      <c r="R238" s="47" t="n">
        <v>0</v>
      </c>
      <c r="S238" s="47" t="n">
        <v>0</v>
      </c>
      <c r="T238" s="47" t="n">
        <v>0</v>
      </c>
      <c r="U238" s="47" t="n">
        <v>0</v>
      </c>
      <c r="V238" s="47" t="n">
        <v>0</v>
      </c>
      <c r="W238" s="47" t="n">
        <v>0</v>
      </c>
      <c r="X238" s="47" t="n">
        <v>0</v>
      </c>
      <c r="Y238" s="47" t="n">
        <v>0</v>
      </c>
      <c r="Z238" s="47" t="n">
        <v>0</v>
      </c>
      <c r="AA238" s="47" t="n">
        <v>0</v>
      </c>
      <c r="AB238" s="47" t="n">
        <v>0</v>
      </c>
      <c r="AC238" s="47" t="n">
        <v>0</v>
      </c>
      <c r="AD238" s="47" t="n">
        <v>0</v>
      </c>
      <c r="AE238" s="47" t="n">
        <v>0</v>
      </c>
      <c r="AF238" s="47" t="n">
        <v>0</v>
      </c>
      <c r="AG238" s="47" t="n">
        <v>0</v>
      </c>
      <c r="AH238" s="47" t="n">
        <v>0</v>
      </c>
      <c r="AI238" s="47" t="n">
        <v>0</v>
      </c>
      <c r="AJ238" s="47" t="n">
        <v>0</v>
      </c>
      <c r="AK238" s="47" t="n">
        <v>0</v>
      </c>
      <c r="AL238" s="47" t="n">
        <v>0</v>
      </c>
      <c r="AM238" s="47" t="n">
        <v>0</v>
      </c>
      <c r="AN238" s="47" t="n">
        <v>0</v>
      </c>
      <c r="AO238" s="47" t="n">
        <v>0</v>
      </c>
      <c r="AP238" s="47" t="n">
        <v>0</v>
      </c>
      <c r="AQ238" s="47" t="n">
        <v>0</v>
      </c>
      <c r="AR238" s="47" t="n">
        <v>0</v>
      </c>
      <c r="AS238" s="47" t="n">
        <v>0</v>
      </c>
      <c r="AT238" s="47" t="n">
        <v>0</v>
      </c>
      <c r="AU238" s="47" t="n">
        <v>0</v>
      </c>
      <c r="AV238" s="47" t="n">
        <v>0</v>
      </c>
      <c r="AW238" s="47" t="n">
        <v>0</v>
      </c>
      <c r="AX238" s="47" t="n">
        <v>0</v>
      </c>
      <c r="AY238" s="47" t="n">
        <v>0</v>
      </c>
      <c r="AZ238" s="47" t="n">
        <v>0</v>
      </c>
      <c r="BA238" s="47" t="n">
        <v>0</v>
      </c>
      <c r="BB238" s="47" t="n">
        <v>0</v>
      </c>
      <c r="BC238" s="47" t="n">
        <v>0</v>
      </c>
      <c r="BD238" s="47" t="n">
        <v>0</v>
      </c>
      <c r="BE238" s="47" t="n">
        <v>0</v>
      </c>
      <c r="BF238" s="47" t="n">
        <v>0</v>
      </c>
      <c r="BG238" s="47" t="n">
        <v>0</v>
      </c>
      <c r="BH238" s="47" t="n">
        <v>0</v>
      </c>
      <c r="BI238" s="47" t="n">
        <v>0</v>
      </c>
      <c r="BJ238" s="47" t="n">
        <v>0</v>
      </c>
      <c r="BK238" s="47" t="n">
        <v>0</v>
      </c>
      <c r="BL238" s="47" t="n">
        <v>0</v>
      </c>
      <c r="BM238" s="47" t="n">
        <v>0</v>
      </c>
      <c r="BN238" s="47" t="n">
        <v>0</v>
      </c>
      <c r="BO238" s="47" t="n">
        <v>0</v>
      </c>
      <c r="BP238" s="47" t="n">
        <v>0</v>
      </c>
      <c r="BQ238" s="47" t="n">
        <v>0</v>
      </c>
      <c r="BR238" s="47" t="n">
        <v>0</v>
      </c>
      <c r="BS238" s="47" t="n">
        <v>0</v>
      </c>
      <c r="BT238" s="47" t="n">
        <v>0</v>
      </c>
      <c r="BU238" s="47" t="n">
        <v>0</v>
      </c>
      <c r="BV238" s="47" t="n">
        <v>0</v>
      </c>
      <c r="BW238" s="102" t="n"/>
      <c r="BX238" s="102" t="n"/>
      <c r="BY238" s="102" t="n"/>
      <c r="BZ238" s="102" t="n"/>
      <c r="CA238" s="102" t="n"/>
      <c r="CB238" s="102" t="n"/>
      <c r="CC238" s="102" t="n"/>
      <c r="CD238" s="102" t="n"/>
      <c r="CE238" s="102" t="n"/>
      <c r="CF238" s="102" t="n"/>
      <c r="CG238" s="102" t="n"/>
      <c r="CH238" s="102" t="n"/>
      <c r="CI238" s="102" t="n"/>
      <c r="CJ238" s="102" t="n"/>
      <c r="CK238" s="102" t="n"/>
      <c r="CL238" s="102" t="n"/>
      <c r="CM238" s="102" t="n"/>
      <c r="CN238" s="102" t="n"/>
      <c r="CO238" s="102" t="n"/>
      <c r="CP238" s="102" t="n"/>
      <c r="CQ238" s="102" t="n"/>
      <c r="CR238" s="102" t="n"/>
      <c r="CS238" s="102" t="n"/>
      <c r="CT238" s="102" t="n"/>
      <c r="CU238" s="102" t="n"/>
      <c r="CV238" s="102" t="n"/>
      <c r="CW238" s="102" t="n"/>
      <c r="CX238" s="102" t="n"/>
      <c r="CY238" s="102" t="n"/>
      <c r="CZ238" s="102" t="n"/>
      <c r="DA238" s="102" t="n"/>
      <c r="DB238" s="102" t="n"/>
      <c r="DC238" s="102" t="n"/>
      <c r="DD238" s="102" t="n"/>
      <c r="DE238" s="102" t="n"/>
      <c r="DF238" s="102" t="n"/>
      <c r="DG238" s="102" t="n"/>
      <c r="DH238" s="102" t="n"/>
      <c r="DI238" s="102" t="n"/>
      <c r="DJ238" s="102" t="n"/>
      <c r="DK238" s="102" t="n"/>
      <c r="DL238" s="102" t="n"/>
      <c r="DM238" s="102" t="n"/>
      <c r="DN238" s="102" t="n"/>
      <c r="DO238" s="102" t="n"/>
      <c r="DP238" s="102" t="n"/>
      <c r="DQ238" s="102" t="n"/>
      <c r="DR238" s="102" t="n"/>
      <c r="DT238" s="46" t="n"/>
      <c r="DU238" s="46" t="n"/>
      <c r="DV238" s="46" t="n"/>
      <c r="DW238" s="46" t="n"/>
    </row>
    <row r="239" hidden="1" outlineLevel="1" ht="15.75" customHeight="1">
      <c r="B239" s="5" t="inlineStr">
        <is>
          <t>MIT</t>
        </is>
      </c>
      <c r="C239" s="68" t="inlineStr">
        <is>
          <t>Upper Middle Market</t>
        </is>
      </c>
      <c r="E239" s="46">
        <f>+SUMIFS($O239:$DR239,$O$7:$DR$7,E$7)</f>
        <v/>
      </c>
      <c r="F239" s="46">
        <f>+SUMIFS($O239:$DR239,$O$7:$DR$7,F$7)</f>
        <v/>
      </c>
      <c r="G239" s="46">
        <f>+SUMIFS($O239:$DR239,$O$7:$DR$7,G$7)</f>
        <v/>
      </c>
      <c r="H239" s="46">
        <f>+SUMIFS($O239:$DR239,$O$7:$DR$7,H$7)</f>
        <v/>
      </c>
      <c r="I239" s="46">
        <f>+SUMIFS($O239:$DR239,$O$7:$DR$7,I$7)</f>
        <v/>
      </c>
      <c r="J239" s="46">
        <f>+SUMIFS($O239:$DR239,$O$7:$DR$7,J$7)</f>
        <v/>
      </c>
      <c r="K239" s="46">
        <f>+SUMIFS($O239:$DR239,$O$7:$DR$7,K$7)</f>
        <v/>
      </c>
      <c r="L239" s="46">
        <f>+SUMIFS($O239:$DR239,$O$7:$DR$7,L$7)</f>
        <v/>
      </c>
      <c r="M239" s="46">
        <f>+SUMIFS($O239:$DR239,$O$7:$DR$7,M$7)</f>
        <v/>
      </c>
      <c r="O239" s="47" t="n">
        <v>0</v>
      </c>
      <c r="P239" s="47" t="n">
        <v>0</v>
      </c>
      <c r="Q239" s="47" t="n">
        <v>0</v>
      </c>
      <c r="R239" s="47" t="n">
        <v>0</v>
      </c>
      <c r="S239" s="47" t="n">
        <v>0</v>
      </c>
      <c r="T239" s="47" t="n">
        <v>0</v>
      </c>
      <c r="U239" s="47" t="n">
        <v>0</v>
      </c>
      <c r="V239" s="47" t="n">
        <v>0</v>
      </c>
      <c r="W239" s="47" t="n">
        <v>60</v>
      </c>
      <c r="X239" s="47" t="n">
        <v>15</v>
      </c>
      <c r="Y239" s="47" t="n">
        <v>22.5</v>
      </c>
      <c r="Z239" s="47" t="n">
        <v>0</v>
      </c>
      <c r="AA239" s="47" t="n">
        <v>0</v>
      </c>
      <c r="AB239" s="47" t="n">
        <v>0</v>
      </c>
      <c r="AC239" s="47" t="n">
        <v>0</v>
      </c>
      <c r="AD239" s="47" t="n">
        <v>0</v>
      </c>
      <c r="AE239" s="47" t="n">
        <v>2.5</v>
      </c>
      <c r="AF239" s="47" t="n">
        <v>0</v>
      </c>
      <c r="AG239" s="47" t="n">
        <v>0</v>
      </c>
      <c r="AH239" s="47" t="n">
        <v>0</v>
      </c>
      <c r="AI239" s="47" t="n">
        <v>0</v>
      </c>
      <c r="AJ239" s="47" t="n">
        <v>0</v>
      </c>
      <c r="AK239" s="47" t="n">
        <v>0</v>
      </c>
      <c r="AL239" s="47" t="n">
        <v>12</v>
      </c>
      <c r="AM239" s="47" t="n">
        <v>4</v>
      </c>
      <c r="AN239" s="47" t="n">
        <v>7.95</v>
      </c>
      <c r="AO239" s="47" t="n">
        <v>4.3</v>
      </c>
      <c r="AP239" s="47" t="n">
        <v>3.3</v>
      </c>
      <c r="AQ239" s="47" t="n">
        <v>0.825</v>
      </c>
      <c r="AR239" s="47" t="n">
        <v>24.525</v>
      </c>
      <c r="AS239" s="47" t="n">
        <v>0</v>
      </c>
      <c r="AT239" s="47" t="n">
        <v>2.55</v>
      </c>
      <c r="AU239" s="47" t="n">
        <v>7.65</v>
      </c>
      <c r="AV239" s="47" t="n">
        <v>0</v>
      </c>
      <c r="AW239" s="47" t="n">
        <v>5.1</v>
      </c>
      <c r="AX239" s="47" t="n">
        <v>2.55</v>
      </c>
      <c r="AY239" s="47" t="n">
        <v>5.1</v>
      </c>
      <c r="AZ239" s="47" t="n">
        <v>0</v>
      </c>
      <c r="BA239" s="47" t="n">
        <v>7.65</v>
      </c>
      <c r="BB239" s="47" t="n">
        <v>0</v>
      </c>
      <c r="BC239" s="47" t="n">
        <v>0</v>
      </c>
      <c r="BD239" s="47" t="n">
        <v>0</v>
      </c>
      <c r="BE239" s="47" t="n">
        <v>0</v>
      </c>
      <c r="BF239" s="47" t="n">
        <v>0</v>
      </c>
      <c r="BG239" s="47" t="n">
        <v>0</v>
      </c>
      <c r="BH239" s="47" t="n">
        <v>0</v>
      </c>
      <c r="BI239" s="47" t="n">
        <v>0</v>
      </c>
      <c r="BJ239" s="47" t="n">
        <v>0</v>
      </c>
      <c r="BK239" s="47" t="n">
        <v>0</v>
      </c>
      <c r="BL239" s="47" t="n">
        <v>0</v>
      </c>
      <c r="BM239" s="47" t="n">
        <v>0</v>
      </c>
      <c r="BN239" s="47" t="n">
        <v>0</v>
      </c>
      <c r="BO239" s="47" t="n">
        <v>0</v>
      </c>
      <c r="BP239" s="47" t="n">
        <v>0</v>
      </c>
      <c r="BQ239" s="47" t="n">
        <v>0</v>
      </c>
      <c r="BR239" s="47" t="n">
        <v>0</v>
      </c>
      <c r="BS239" s="47" t="n">
        <v>0</v>
      </c>
      <c r="BT239" s="47" t="n">
        <v>0</v>
      </c>
      <c r="BU239" s="47" t="n">
        <v>0</v>
      </c>
      <c r="BV239" s="47" t="n">
        <v>0</v>
      </c>
      <c r="BW239" s="102" t="n"/>
      <c r="BX239" s="102" t="n"/>
      <c r="BY239" s="102" t="n"/>
      <c r="BZ239" s="102" t="n"/>
      <c r="CA239" s="102" t="n"/>
      <c r="CB239" s="102" t="n"/>
      <c r="CC239" s="102" t="n"/>
      <c r="CD239" s="102" t="n"/>
      <c r="CE239" s="102" t="n"/>
      <c r="CF239" s="102" t="n"/>
      <c r="CG239" s="102" t="n"/>
      <c r="CH239" s="102" t="n"/>
      <c r="CI239" s="102" t="n"/>
      <c r="CJ239" s="102" t="n"/>
      <c r="CK239" s="102" t="n"/>
      <c r="CL239" s="102" t="n"/>
      <c r="CM239" s="102" t="n"/>
      <c r="CN239" s="102" t="n"/>
      <c r="CO239" s="102" t="n"/>
      <c r="CP239" s="102" t="n"/>
      <c r="CQ239" s="102" t="n"/>
      <c r="CR239" s="102" t="n"/>
      <c r="CS239" s="102" t="n"/>
      <c r="CT239" s="102" t="n"/>
      <c r="CU239" s="102" t="n"/>
      <c r="CV239" s="102" t="n"/>
      <c r="CW239" s="102" t="n"/>
      <c r="CX239" s="102" t="n"/>
      <c r="CY239" s="102" t="n"/>
      <c r="CZ239" s="102" t="n"/>
      <c r="DA239" s="102" t="n"/>
      <c r="DB239" s="102" t="n"/>
      <c r="DC239" s="102" t="n"/>
      <c r="DD239" s="102" t="n"/>
      <c r="DE239" s="102" t="n"/>
      <c r="DF239" s="102" t="n"/>
      <c r="DG239" s="102" t="n"/>
      <c r="DH239" s="102" t="n"/>
      <c r="DI239" s="102" t="n"/>
      <c r="DJ239" s="102" t="n"/>
      <c r="DK239" s="102" t="n"/>
      <c r="DL239" s="102" t="n"/>
      <c r="DM239" s="102" t="n"/>
      <c r="DN239" s="102" t="n"/>
      <c r="DO239" s="102" t="n"/>
      <c r="DP239" s="102" t="n"/>
      <c r="DQ239" s="102" t="n"/>
      <c r="DR239" s="102" t="n"/>
      <c r="DT239" s="46" t="n"/>
      <c r="DU239" s="46" t="n"/>
      <c r="DV239" s="46" t="n"/>
      <c r="DW239" s="46" t="n"/>
    </row>
    <row r="240" hidden="1" outlineLevel="1" ht="15.75" customHeight="1">
      <c r="B240" s="5" t="inlineStr">
        <is>
          <t>MLA</t>
        </is>
      </c>
      <c r="C240" s="68" t="inlineStr">
        <is>
          <t>Lower Middle Market</t>
        </is>
      </c>
      <c r="E240" s="46">
        <f>+SUMIFS($O240:$DR240,$O$7:$DR$7,E$7)</f>
        <v/>
      </c>
      <c r="F240" s="46">
        <f>+SUMIFS($O240:$DR240,$O$7:$DR$7,F$7)</f>
        <v/>
      </c>
      <c r="G240" s="46">
        <f>+SUMIFS($O240:$DR240,$O$7:$DR$7,G$7)</f>
        <v/>
      </c>
      <c r="H240" s="46">
        <f>+SUMIFS($O240:$DR240,$O$7:$DR$7,H$7)</f>
        <v/>
      </c>
      <c r="I240" s="46">
        <f>+SUMIFS($O240:$DR240,$O$7:$DR$7,I$7)</f>
        <v/>
      </c>
      <c r="J240" s="46">
        <f>+SUMIFS($O240:$DR240,$O$7:$DR$7,J$7)</f>
        <v/>
      </c>
      <c r="K240" s="46">
        <f>+SUMIFS($O240:$DR240,$O$7:$DR$7,K$7)</f>
        <v/>
      </c>
      <c r="L240" s="46">
        <f>+SUMIFS($O240:$DR240,$O$7:$DR$7,L$7)</f>
        <v/>
      </c>
      <c r="M240" s="46">
        <f>+SUMIFS($O240:$DR240,$O$7:$DR$7,M$7)</f>
        <v/>
      </c>
      <c r="O240" s="47" t="n">
        <v>0</v>
      </c>
      <c r="P240" s="47" t="n">
        <v>0</v>
      </c>
      <c r="Q240" s="47" t="n">
        <v>0</v>
      </c>
      <c r="R240" s="47" t="n">
        <v>0</v>
      </c>
      <c r="S240" s="47" t="n">
        <v>0</v>
      </c>
      <c r="T240" s="47" t="n">
        <v>0</v>
      </c>
      <c r="U240" s="47" t="n">
        <v>0</v>
      </c>
      <c r="V240" s="47" t="n">
        <v>0</v>
      </c>
      <c r="W240" s="47" t="n">
        <v>0</v>
      </c>
      <c r="X240" s="47" t="n">
        <v>0</v>
      </c>
      <c r="Y240" s="47" t="n">
        <v>0</v>
      </c>
      <c r="Z240" s="47" t="n">
        <v>0</v>
      </c>
      <c r="AA240" s="47" t="n">
        <v>0</v>
      </c>
      <c r="AB240" s="47" t="n">
        <v>0</v>
      </c>
      <c r="AC240" s="47" t="n">
        <v>0</v>
      </c>
      <c r="AD240" s="47" t="n">
        <v>0</v>
      </c>
      <c r="AE240" s="47" t="n">
        <v>0</v>
      </c>
      <c r="AF240" s="47" t="n">
        <v>0</v>
      </c>
      <c r="AG240" s="47" t="n">
        <v>0</v>
      </c>
      <c r="AH240" s="47" t="n">
        <v>0</v>
      </c>
      <c r="AI240" s="47" t="n">
        <v>0</v>
      </c>
      <c r="AJ240" s="47" t="n">
        <v>0</v>
      </c>
      <c r="AK240" s="47" t="n">
        <v>0</v>
      </c>
      <c r="AL240" s="47" t="n">
        <v>0</v>
      </c>
      <c r="AM240" s="47" t="n">
        <v>0</v>
      </c>
      <c r="AN240" s="47" t="n">
        <v>0</v>
      </c>
      <c r="AO240" s="47" t="n">
        <v>0</v>
      </c>
      <c r="AP240" s="47" t="n">
        <v>0</v>
      </c>
      <c r="AQ240" s="47" t="n">
        <v>0</v>
      </c>
      <c r="AR240" s="47" t="n">
        <v>0</v>
      </c>
      <c r="AS240" s="47" t="n">
        <v>0</v>
      </c>
      <c r="AT240" s="47" t="n">
        <v>0</v>
      </c>
      <c r="AU240" s="47" t="n">
        <v>0</v>
      </c>
      <c r="AV240" s="47" t="n">
        <v>0</v>
      </c>
      <c r="AW240" s="47" t="n">
        <v>0</v>
      </c>
      <c r="AX240" s="47" t="n">
        <v>0</v>
      </c>
      <c r="AY240" s="47" t="n">
        <v>0</v>
      </c>
      <c r="AZ240" s="47" t="n">
        <v>0</v>
      </c>
      <c r="BA240" s="47" t="n">
        <v>0</v>
      </c>
      <c r="BB240" s="47" t="n">
        <v>8.334</v>
      </c>
      <c r="BC240" s="47" t="n">
        <v>20.834</v>
      </c>
      <c r="BD240" s="47" t="n">
        <v>16.668</v>
      </c>
      <c r="BE240" s="47" t="n">
        <v>12.501</v>
      </c>
      <c r="BF240" s="47" t="n">
        <v>4.167</v>
      </c>
      <c r="BG240" s="47" t="n">
        <v>20.834</v>
      </c>
      <c r="BH240" s="47" t="n">
        <v>0</v>
      </c>
      <c r="BI240" s="47" t="n">
        <v>0</v>
      </c>
      <c r="BJ240" s="47" t="n">
        <v>0</v>
      </c>
      <c r="BK240" s="47" t="n">
        <v>0</v>
      </c>
      <c r="BL240" s="47" t="n">
        <v>0</v>
      </c>
      <c r="BM240" s="47" t="n">
        <v>0</v>
      </c>
      <c r="BN240" s="47" t="n">
        <v>0</v>
      </c>
      <c r="BO240" s="47" t="n">
        <v>0</v>
      </c>
      <c r="BP240" s="47" t="n">
        <v>0</v>
      </c>
      <c r="BQ240" s="47" t="n">
        <v>0</v>
      </c>
      <c r="BR240" s="47" t="n">
        <v>0</v>
      </c>
      <c r="BS240" s="47" t="n">
        <v>0</v>
      </c>
      <c r="BT240" s="47" t="n">
        <v>0</v>
      </c>
      <c r="BU240" s="47" t="n">
        <v>0</v>
      </c>
      <c r="BV240" s="47" t="n">
        <v>0</v>
      </c>
      <c r="BW240" s="102" t="n"/>
      <c r="BX240" s="102" t="n"/>
      <c r="BY240" s="102" t="n"/>
      <c r="BZ240" s="102" t="n"/>
      <c r="CA240" s="102" t="n"/>
      <c r="CB240" s="102" t="n"/>
      <c r="CC240" s="102" t="n"/>
      <c r="CD240" s="102" t="n"/>
      <c r="CE240" s="102" t="n"/>
      <c r="CF240" s="102" t="n"/>
      <c r="CG240" s="102" t="n"/>
      <c r="CH240" s="102" t="n"/>
      <c r="CI240" s="102" t="n"/>
      <c r="CJ240" s="102" t="n"/>
      <c r="CK240" s="102" t="n"/>
      <c r="CL240" s="102" t="n"/>
      <c r="CM240" s="102" t="n"/>
      <c r="CN240" s="102" t="n"/>
      <c r="CO240" s="102" t="n"/>
      <c r="CP240" s="102" t="n"/>
      <c r="CQ240" s="102" t="n"/>
      <c r="CR240" s="102" t="n"/>
      <c r="CS240" s="102" t="n"/>
      <c r="CT240" s="102" t="n"/>
      <c r="CU240" s="102" t="n"/>
      <c r="CV240" s="102" t="n"/>
      <c r="CW240" s="102" t="n"/>
      <c r="CX240" s="102" t="n"/>
      <c r="CY240" s="102" t="n"/>
      <c r="CZ240" s="102" t="n"/>
      <c r="DA240" s="102" t="n"/>
      <c r="DB240" s="102" t="n"/>
      <c r="DC240" s="102" t="n"/>
      <c r="DD240" s="102" t="n"/>
      <c r="DE240" s="102" t="n"/>
      <c r="DF240" s="102" t="n"/>
      <c r="DG240" s="102" t="n"/>
      <c r="DH240" s="102" t="n"/>
      <c r="DI240" s="102" t="n"/>
      <c r="DJ240" s="102" t="n"/>
      <c r="DK240" s="102" t="n"/>
      <c r="DL240" s="102" t="n"/>
      <c r="DM240" s="102" t="n"/>
      <c r="DN240" s="102" t="n"/>
      <c r="DO240" s="102" t="n"/>
      <c r="DP240" s="102" t="n"/>
      <c r="DQ240" s="102" t="n"/>
      <c r="DR240" s="102" t="n"/>
      <c r="DT240" s="46" t="n"/>
      <c r="DU240" s="46" t="n"/>
      <c r="DV240" s="46" t="n"/>
      <c r="DW240" s="46" t="n"/>
    </row>
    <row r="241" hidden="1" outlineLevel="1" ht="15.75" customHeight="1">
      <c r="B241" s="5" t="inlineStr">
        <is>
          <t>OUP</t>
        </is>
      </c>
      <c r="C241" s="68" t="inlineStr">
        <is>
          <t>Mega</t>
        </is>
      </c>
      <c r="E241" s="46">
        <f>+SUMIFS($O241:$DR241,$O$7:$DR$7,E$7)</f>
        <v/>
      </c>
      <c r="F241" s="46">
        <f>+SUMIFS($O241:$DR241,$O$7:$DR$7,F$7)</f>
        <v/>
      </c>
      <c r="G241" s="46">
        <f>+SUMIFS($O241:$DR241,$O$7:$DR$7,G$7)</f>
        <v/>
      </c>
      <c r="H241" s="46">
        <f>+SUMIFS($O241:$DR241,$O$7:$DR$7,H$7)</f>
        <v/>
      </c>
      <c r="I241" s="46">
        <f>+SUMIFS($O241:$DR241,$O$7:$DR$7,I$7)</f>
        <v/>
      </c>
      <c r="J241" s="46">
        <f>+SUMIFS($O241:$DR241,$O$7:$DR$7,J$7)</f>
        <v/>
      </c>
      <c r="K241" s="46">
        <f>+SUMIFS($O241:$DR241,$O$7:$DR$7,K$7)</f>
        <v/>
      </c>
      <c r="L241" s="46">
        <f>+SUMIFS($O241:$DR241,$O$7:$DR$7,L$7)</f>
        <v/>
      </c>
      <c r="M241" s="46">
        <f>+SUMIFS($O241:$DR241,$O$7:$DR$7,M$7)</f>
        <v/>
      </c>
      <c r="O241" s="47" t="n">
        <v>13.701</v>
      </c>
      <c r="P241" s="47" t="n">
        <v>40.949</v>
      </c>
      <c r="Q241" s="47" t="n">
        <v>0</v>
      </c>
      <c r="R241" s="47" t="n">
        <v>0</v>
      </c>
      <c r="S241" s="47" t="n">
        <v>0</v>
      </c>
      <c r="T241" s="47" t="n">
        <v>0</v>
      </c>
      <c r="U241" s="47" t="n">
        <v>0</v>
      </c>
      <c r="V241" s="47" t="n">
        <v>0</v>
      </c>
      <c r="W241" s="47" t="n">
        <v>0</v>
      </c>
      <c r="X241" s="47" t="n">
        <v>0</v>
      </c>
      <c r="Y241" s="47" t="n">
        <v>0</v>
      </c>
      <c r="Z241" s="47" t="n">
        <v>-37.797</v>
      </c>
      <c r="AA241" s="47" t="n">
        <v>12.5</v>
      </c>
      <c r="AB241" s="47" t="n">
        <v>12.5</v>
      </c>
      <c r="AC241" s="47" t="n">
        <v>12.5</v>
      </c>
      <c r="AD241" s="47" t="n">
        <v>12.5</v>
      </c>
      <c r="AE241" s="47" t="n">
        <v>12.5</v>
      </c>
      <c r="AF241" s="47" t="n">
        <v>12.971</v>
      </c>
      <c r="AG241" s="47" t="n">
        <v>12.5</v>
      </c>
      <c r="AH241" s="47" t="n">
        <v>21.468</v>
      </c>
      <c r="AI241" s="47" t="n">
        <v>12.5</v>
      </c>
      <c r="AJ241" s="47" t="n">
        <v>12.5</v>
      </c>
      <c r="AK241" s="47" t="n">
        <v>12.5</v>
      </c>
      <c r="AL241" s="47" t="n">
        <v>12.5</v>
      </c>
      <c r="AM241" s="47" t="n">
        <v>25</v>
      </c>
      <c r="AN241" s="47" t="n">
        <v>25</v>
      </c>
      <c r="AO241" s="47" t="n">
        <v>25</v>
      </c>
      <c r="AP241" s="47" t="n">
        <v>25</v>
      </c>
      <c r="AQ241" s="47" t="n">
        <v>25</v>
      </c>
      <c r="AR241" s="47" t="n">
        <v>25</v>
      </c>
      <c r="AS241" s="47" t="n">
        <v>41.667</v>
      </c>
      <c r="AT241" s="47" t="n">
        <v>41.667</v>
      </c>
      <c r="AU241" s="47" t="n">
        <v>41.667</v>
      </c>
      <c r="AV241" s="47" t="n">
        <v>41.667</v>
      </c>
      <c r="AW241" s="47" t="n">
        <v>41.667</v>
      </c>
      <c r="AX241" s="47" t="n">
        <v>10.574</v>
      </c>
      <c r="AY241" s="47" t="n">
        <v>1.71</v>
      </c>
      <c r="AZ241" s="47" t="n">
        <v>20.511</v>
      </c>
      <c r="BA241" s="47" t="n">
        <v>20.512</v>
      </c>
      <c r="BB241" s="47" t="n">
        <v>20.511</v>
      </c>
      <c r="BC241" s="47" t="n">
        <v>23.929</v>
      </c>
      <c r="BD241" s="47" t="n">
        <v>17.283</v>
      </c>
      <c r="BE241" s="47" t="n">
        <v>20.125</v>
      </c>
      <c r="BF241" s="47" t="n">
        <v>8.362</v>
      </c>
      <c r="BG241" s="47" t="n">
        <v>9.496</v>
      </c>
      <c r="BH241" s="47" t="n">
        <v>9.494999999999999</v>
      </c>
      <c r="BI241" s="47" t="n">
        <v>0</v>
      </c>
      <c r="BJ241" s="47" t="n">
        <v>0</v>
      </c>
      <c r="BK241" s="47" t="n">
        <v>0</v>
      </c>
      <c r="BL241" s="47" t="n">
        <v>0</v>
      </c>
      <c r="BM241" s="47" t="n">
        <v>0</v>
      </c>
      <c r="BN241" s="47" t="n">
        <v>0</v>
      </c>
      <c r="BO241" s="47" t="n">
        <v>12.46933333333333</v>
      </c>
      <c r="BP241" s="47" t="n">
        <v>12.46933333333333</v>
      </c>
      <c r="BQ241" s="47" t="n">
        <v>12.46933333333333</v>
      </c>
      <c r="BR241" s="47" t="n">
        <v>0</v>
      </c>
      <c r="BS241" s="47" t="n">
        <v>0</v>
      </c>
      <c r="BT241" s="47" t="n">
        <v>0</v>
      </c>
      <c r="BU241" s="47" t="n">
        <v>0</v>
      </c>
      <c r="BV241" s="47" t="n">
        <v>0</v>
      </c>
      <c r="BW241" s="102" t="n"/>
      <c r="BX241" s="102" t="n"/>
      <c r="BY241" s="102" t="n"/>
      <c r="BZ241" s="102" t="n"/>
      <c r="CA241" s="102" t="n"/>
      <c r="CB241" s="102" t="n"/>
      <c r="CC241" s="102" t="n"/>
      <c r="CD241" s="102" t="n"/>
      <c r="CE241" s="102" t="n"/>
      <c r="CF241" s="102" t="n"/>
      <c r="CG241" s="102" t="n"/>
      <c r="CH241" s="102" t="n"/>
      <c r="CI241" s="102" t="n"/>
      <c r="CJ241" s="102" t="n"/>
      <c r="CK241" s="102" t="n"/>
      <c r="CL241" s="102" t="n"/>
      <c r="CM241" s="102" t="n"/>
      <c r="CN241" s="102" t="n"/>
      <c r="CO241" s="102" t="n"/>
      <c r="CP241" s="102" t="n"/>
      <c r="CQ241" s="102" t="n"/>
      <c r="CR241" s="102" t="n"/>
      <c r="CS241" s="102" t="n"/>
      <c r="CT241" s="102" t="n"/>
      <c r="CU241" s="102" t="n"/>
      <c r="CV241" s="102" t="n"/>
      <c r="CW241" s="102" t="n"/>
      <c r="CX241" s="102" t="n"/>
      <c r="CY241" s="102" t="n"/>
      <c r="CZ241" s="102" t="n"/>
      <c r="DA241" s="102" t="n"/>
      <c r="DB241" s="102" t="n"/>
      <c r="DC241" s="102" t="n"/>
      <c r="DD241" s="102" t="n"/>
      <c r="DE241" s="102" t="n"/>
      <c r="DF241" s="102" t="n"/>
      <c r="DG241" s="102" t="n"/>
      <c r="DH241" s="102" t="n"/>
      <c r="DI241" s="102" t="n"/>
      <c r="DJ241" s="102" t="n"/>
      <c r="DK241" s="102" t="n"/>
      <c r="DL241" s="102" t="n"/>
      <c r="DM241" s="102" t="n"/>
      <c r="DN241" s="102" t="n"/>
      <c r="DO241" s="102" t="n"/>
      <c r="DP241" s="102" t="n"/>
      <c r="DQ241" s="102" t="n"/>
      <c r="DR241" s="102" t="n"/>
      <c r="DT241" s="46" t="n"/>
      <c r="DU241" s="46" t="n"/>
      <c r="DV241" s="46" t="n"/>
      <c r="DW241" s="46" t="n"/>
    </row>
    <row r="242" hidden="1" outlineLevel="1" ht="15.75" customHeight="1">
      <c r="B242" s="5" t="inlineStr">
        <is>
          <t>PORT</t>
        </is>
      </c>
      <c r="C242" s="68" t="inlineStr">
        <is>
          <t>Lower Middle Market</t>
        </is>
      </c>
      <c r="E242" s="46">
        <f>+SUMIFS($O242:$DR242,$O$7:$DR$7,E$7)</f>
        <v/>
      </c>
      <c r="F242" s="46">
        <f>+SUMIFS($O242:$DR242,$O$7:$DR$7,F$7)</f>
        <v/>
      </c>
      <c r="G242" s="46">
        <f>+SUMIFS($O242:$DR242,$O$7:$DR$7,G$7)</f>
        <v/>
      </c>
      <c r="H242" s="46">
        <f>+SUMIFS($O242:$DR242,$O$7:$DR$7,H$7)</f>
        <v/>
      </c>
      <c r="I242" s="46">
        <f>+SUMIFS($O242:$DR242,$O$7:$DR$7,I$7)</f>
        <v/>
      </c>
      <c r="J242" s="46">
        <f>+SUMIFS($O242:$DR242,$O$7:$DR$7,J$7)</f>
        <v/>
      </c>
      <c r="K242" s="46">
        <f>+SUMIFS($O242:$DR242,$O$7:$DR$7,K$7)</f>
        <v/>
      </c>
      <c r="L242" s="46">
        <f>+SUMIFS($O242:$DR242,$O$7:$DR$7,L$7)</f>
        <v/>
      </c>
      <c r="M242" s="46">
        <f>+SUMIFS($O242:$DR242,$O$7:$DR$7,M$7)</f>
        <v/>
      </c>
      <c r="O242" s="47" t="n">
        <v>0</v>
      </c>
      <c r="P242" s="47" t="n">
        <v>0</v>
      </c>
      <c r="Q242" s="47" t="n">
        <v>0</v>
      </c>
      <c r="R242" s="47" t="n">
        <v>0</v>
      </c>
      <c r="S242" s="47" t="n">
        <v>0</v>
      </c>
      <c r="T242" s="47" t="n">
        <v>0</v>
      </c>
      <c r="U242" s="47" t="n">
        <v>0</v>
      </c>
      <c r="V242" s="47" t="n">
        <v>0</v>
      </c>
      <c r="W242" s="47" t="n">
        <v>0</v>
      </c>
      <c r="X242" s="47" t="n">
        <v>0</v>
      </c>
      <c r="Y242" s="47" t="n">
        <v>0</v>
      </c>
      <c r="Z242" s="47" t="n">
        <v>0</v>
      </c>
      <c r="AA242" s="47" t="n">
        <v>0</v>
      </c>
      <c r="AB242" s="47" t="n">
        <v>0</v>
      </c>
      <c r="AC242" s="47" t="n">
        <v>0</v>
      </c>
      <c r="AD242" s="47" t="n">
        <v>4.732</v>
      </c>
      <c r="AE242" s="47" t="n">
        <v>4.751</v>
      </c>
      <c r="AF242" s="47" t="n">
        <v>14.174</v>
      </c>
      <c r="AG242" s="47" t="n">
        <v>9.462999999999999</v>
      </c>
      <c r="AH242" s="47" t="n">
        <v>12.302</v>
      </c>
      <c r="AI242" s="47" t="n">
        <v>12.301</v>
      </c>
      <c r="AJ242" s="47" t="n">
        <v>12.301</v>
      </c>
      <c r="AK242" s="47" t="n">
        <v>12.301</v>
      </c>
      <c r="AL242" s="47" t="n">
        <v>7.571</v>
      </c>
      <c r="AM242" s="47" t="n">
        <v>0</v>
      </c>
      <c r="AN242" s="47" t="n">
        <v>4.731</v>
      </c>
      <c r="AO242" s="47" t="n">
        <v>0</v>
      </c>
      <c r="AP242" s="47" t="n">
        <v>0</v>
      </c>
      <c r="AQ242" s="47" t="n">
        <v>0</v>
      </c>
      <c r="AR242" s="47" t="n">
        <v>0</v>
      </c>
      <c r="AS242" s="47" t="n">
        <v>0</v>
      </c>
      <c r="AT242" s="47" t="n">
        <v>0</v>
      </c>
      <c r="AU242" s="47" t="n">
        <v>0</v>
      </c>
      <c r="AV242" s="47" t="n">
        <v>0</v>
      </c>
      <c r="AW242" s="47" t="n">
        <v>0</v>
      </c>
      <c r="AX242" s="47" t="n">
        <v>0</v>
      </c>
      <c r="AY242" s="47" t="n">
        <v>0</v>
      </c>
      <c r="AZ242" s="47" t="n">
        <v>0</v>
      </c>
      <c r="BA242" s="47" t="n">
        <v>0</v>
      </c>
      <c r="BB242" s="47" t="n">
        <v>0</v>
      </c>
      <c r="BC242" s="47" t="n">
        <v>0</v>
      </c>
      <c r="BD242" s="47" t="n">
        <v>0</v>
      </c>
      <c r="BE242" s="47" t="n">
        <v>0</v>
      </c>
      <c r="BF242" s="47" t="n">
        <v>0</v>
      </c>
      <c r="BG242" s="47" t="n">
        <v>0</v>
      </c>
      <c r="BH242" s="47" t="n">
        <v>0</v>
      </c>
      <c r="BI242" s="47" t="n">
        <v>0</v>
      </c>
      <c r="BJ242" s="47" t="n">
        <v>0</v>
      </c>
      <c r="BK242" s="47" t="n">
        <v>0</v>
      </c>
      <c r="BL242" s="47" t="n">
        <v>0</v>
      </c>
      <c r="BM242" s="47" t="n">
        <v>0</v>
      </c>
      <c r="BN242" s="47" t="n">
        <v>0</v>
      </c>
      <c r="BO242" s="47" t="n">
        <v>0</v>
      </c>
      <c r="BP242" s="47" t="n">
        <v>0</v>
      </c>
      <c r="BQ242" s="47" t="n">
        <v>0</v>
      </c>
      <c r="BR242" s="47" t="n">
        <v>0</v>
      </c>
      <c r="BS242" s="47" t="n">
        <v>0</v>
      </c>
      <c r="BT242" s="47" t="n">
        <v>0</v>
      </c>
      <c r="BU242" s="47" t="n">
        <v>0</v>
      </c>
      <c r="BV242" s="47" t="n">
        <v>0</v>
      </c>
      <c r="BW242" s="102" t="n"/>
      <c r="BX242" s="102" t="n"/>
      <c r="BY242" s="102" t="n"/>
      <c r="BZ242" s="102" t="n"/>
      <c r="CA242" s="102" t="n"/>
      <c r="CB242" s="102" t="n"/>
      <c r="CC242" s="102" t="n"/>
      <c r="CD242" s="102" t="n"/>
      <c r="CE242" s="102" t="n"/>
      <c r="CF242" s="102" t="n"/>
      <c r="CG242" s="102" t="n"/>
      <c r="CH242" s="102" t="n"/>
      <c r="CI242" s="102" t="n"/>
      <c r="CJ242" s="102" t="n"/>
      <c r="CK242" s="102" t="n"/>
      <c r="CL242" s="102" t="n"/>
      <c r="CM242" s="102" t="n"/>
      <c r="CN242" s="102" t="n"/>
      <c r="CO242" s="102" t="n"/>
      <c r="CP242" s="102" t="n"/>
      <c r="CQ242" s="102" t="n"/>
      <c r="CR242" s="102" t="n"/>
      <c r="CS242" s="102" t="n"/>
      <c r="CT242" s="102" t="n"/>
      <c r="CU242" s="102" t="n"/>
      <c r="CV242" s="102" t="n"/>
      <c r="CW242" s="102" t="n"/>
      <c r="CX242" s="102" t="n"/>
      <c r="CY242" s="102" t="n"/>
      <c r="CZ242" s="102" t="n"/>
      <c r="DA242" s="102" t="n"/>
      <c r="DB242" s="102" t="n"/>
      <c r="DC242" s="102" t="n"/>
      <c r="DD242" s="102" t="n"/>
      <c r="DE242" s="102" t="n"/>
      <c r="DF242" s="102" t="n"/>
      <c r="DG242" s="102" t="n"/>
      <c r="DH242" s="102" t="n"/>
      <c r="DI242" s="102" t="n"/>
      <c r="DJ242" s="102" t="n"/>
      <c r="DK242" s="102" t="n"/>
      <c r="DL242" s="102" t="n"/>
      <c r="DM242" s="102" t="n"/>
      <c r="DN242" s="102" t="n"/>
      <c r="DO242" s="102" t="n"/>
      <c r="DP242" s="102" t="n"/>
      <c r="DQ242" s="102" t="n"/>
      <c r="DR242" s="102" t="n"/>
      <c r="DT242" s="46" t="n"/>
      <c r="DU242" s="46" t="n"/>
      <c r="DV242" s="46" t="n"/>
      <c r="DW242" s="46" t="n"/>
    </row>
    <row r="243" hidden="1" outlineLevel="1" ht="15.75" customHeight="1">
      <c r="B243" s="5" t="inlineStr">
        <is>
          <t>RSC</t>
        </is>
      </c>
      <c r="C243" s="68" t="inlineStr">
        <is>
          <t>Lower Middle Market</t>
        </is>
      </c>
      <c r="E243" s="46">
        <f>+SUMIFS($O243:$DR243,$O$7:$DR$7,E$7)</f>
        <v/>
      </c>
      <c r="F243" s="46">
        <f>+SUMIFS($O243:$DR243,$O$7:$DR$7,F$7)</f>
        <v/>
      </c>
      <c r="G243" s="46">
        <f>+SUMIFS($O243:$DR243,$O$7:$DR$7,G$7)</f>
        <v/>
      </c>
      <c r="H243" s="46">
        <f>+SUMIFS($O243:$DR243,$O$7:$DR$7,H$7)</f>
        <v/>
      </c>
      <c r="I243" s="46">
        <f>+SUMIFS($O243:$DR243,$O$7:$DR$7,I$7)</f>
        <v/>
      </c>
      <c r="J243" s="46">
        <f>+SUMIFS($O243:$DR243,$O$7:$DR$7,J$7)</f>
        <v/>
      </c>
      <c r="K243" s="46">
        <f>+SUMIFS($O243:$DR243,$O$7:$DR$7,K$7)</f>
        <v/>
      </c>
      <c r="L243" s="46">
        <f>+SUMIFS($O243:$DR243,$O$7:$DR$7,L$7)</f>
        <v/>
      </c>
      <c r="M243" s="46">
        <f>+SUMIFS($O243:$DR243,$O$7:$DR$7,M$7)</f>
        <v/>
      </c>
      <c r="O243" s="47" t="n">
        <v>0</v>
      </c>
      <c r="P243" s="47" t="n">
        <v>0</v>
      </c>
      <c r="Q243" s="47" t="n">
        <v>0</v>
      </c>
      <c r="R243" s="47" t="n">
        <v>0</v>
      </c>
      <c r="S243" s="47" t="n">
        <v>0</v>
      </c>
      <c r="T243" s="47" t="n">
        <v>0</v>
      </c>
      <c r="U243" s="47" t="n">
        <v>0</v>
      </c>
      <c r="V243" s="47" t="n">
        <v>0</v>
      </c>
      <c r="W243" s="47" t="n">
        <v>0</v>
      </c>
      <c r="X243" s="47" t="n">
        <v>0</v>
      </c>
      <c r="Y243" s="47" t="n">
        <v>0</v>
      </c>
      <c r="Z243" s="47" t="n">
        <v>0</v>
      </c>
      <c r="AA243" s="47" t="n">
        <v>0</v>
      </c>
      <c r="AB243" s="47" t="n">
        <v>0</v>
      </c>
      <c r="AC243" s="47" t="n">
        <v>0</v>
      </c>
      <c r="AD243" s="47" t="n">
        <v>0</v>
      </c>
      <c r="AE243" s="47" t="n">
        <v>0</v>
      </c>
      <c r="AF243" s="47" t="n">
        <v>0</v>
      </c>
      <c r="AG243" s="47" t="n">
        <v>0</v>
      </c>
      <c r="AH243" s="47" t="n">
        <v>0</v>
      </c>
      <c r="AI243" s="47" t="n">
        <v>0</v>
      </c>
      <c r="AJ243" s="47" t="n">
        <v>0</v>
      </c>
      <c r="AK243" s="47" t="n">
        <v>0</v>
      </c>
      <c r="AL243" s="47" t="n">
        <v>0</v>
      </c>
      <c r="AM243" s="47" t="n">
        <v>0</v>
      </c>
      <c r="AN243" s="47" t="n">
        <v>0</v>
      </c>
      <c r="AO243" s="47" t="n">
        <v>0</v>
      </c>
      <c r="AP243" s="47" t="n">
        <v>0</v>
      </c>
      <c r="AQ243" s="47" t="n">
        <v>0</v>
      </c>
      <c r="AR243" s="47" t="n">
        <v>0</v>
      </c>
      <c r="AS243" s="47" t="n">
        <v>0</v>
      </c>
      <c r="AT243" s="47" t="n">
        <v>0</v>
      </c>
      <c r="AU243" s="47" t="n">
        <v>0</v>
      </c>
      <c r="AV243" s="47" t="n">
        <v>0</v>
      </c>
      <c r="AW243" s="47" t="n">
        <v>0</v>
      </c>
      <c r="AX243" s="47" t="n">
        <v>0</v>
      </c>
      <c r="AY243" s="47" t="n">
        <v>0</v>
      </c>
      <c r="AZ243" s="47" t="n">
        <v>0</v>
      </c>
      <c r="BA243" s="47" t="n">
        <v>0</v>
      </c>
      <c r="BB243" s="47" t="n">
        <v>0</v>
      </c>
      <c r="BC243" s="47" t="n">
        <v>0</v>
      </c>
      <c r="BD243" s="47" t="n">
        <v>0</v>
      </c>
      <c r="BE243" s="47" t="n">
        <v>0</v>
      </c>
      <c r="BF243" s="47" t="n">
        <v>0</v>
      </c>
      <c r="BG243" s="47" t="n">
        <v>0</v>
      </c>
      <c r="BH243" s="47" t="n">
        <v>0</v>
      </c>
      <c r="BI243" s="47" t="n">
        <v>0</v>
      </c>
      <c r="BJ243" s="47" t="n">
        <v>0</v>
      </c>
      <c r="BK243" s="47" t="n">
        <v>0</v>
      </c>
      <c r="BL243" s="47" t="n">
        <v>0</v>
      </c>
      <c r="BM243" s="47" t="n">
        <v>0</v>
      </c>
      <c r="BN243" s="47" t="n">
        <v>8.352444444444446</v>
      </c>
      <c r="BO243" s="47" t="n">
        <v>33.40977777777778</v>
      </c>
      <c r="BP243" s="47" t="n">
        <v>33.40977777777778</v>
      </c>
      <c r="BQ243" s="47" t="n">
        <v>36.75075555555556</v>
      </c>
      <c r="BR243" s="47" t="n">
        <v>38.42124444444445</v>
      </c>
      <c r="BS243" s="47" t="n">
        <v>38.42124444444445</v>
      </c>
      <c r="BT243" s="47" t="n">
        <v>38.42124444444445</v>
      </c>
      <c r="BU243" s="47" t="n">
        <v>36.75075555555556</v>
      </c>
      <c r="BV243" s="47" t="n">
        <v>36.75075555555556</v>
      </c>
      <c r="BW243" s="102" t="n"/>
      <c r="BX243" s="102" t="n"/>
      <c r="BY243" s="102" t="n"/>
      <c r="BZ243" s="102" t="n"/>
      <c r="CA243" s="102" t="n"/>
      <c r="CB243" s="102" t="n"/>
      <c r="CC243" s="102" t="n"/>
      <c r="CD243" s="102" t="n"/>
      <c r="CE243" s="102" t="n"/>
      <c r="CF243" s="102" t="n"/>
      <c r="CG243" s="102" t="n"/>
      <c r="CH243" s="102" t="n"/>
      <c r="CI243" s="102" t="n"/>
      <c r="CJ243" s="102" t="n"/>
      <c r="CK243" s="102" t="n"/>
      <c r="CL243" s="102" t="n"/>
      <c r="CM243" s="102" t="n"/>
      <c r="CN243" s="102" t="n"/>
      <c r="CO243" s="102" t="n"/>
      <c r="CP243" s="102" t="n"/>
      <c r="CQ243" s="102" t="n"/>
      <c r="CR243" s="102" t="n"/>
      <c r="CS243" s="102" t="n"/>
      <c r="CT243" s="102" t="n"/>
      <c r="CU243" s="102" t="n"/>
      <c r="CV243" s="102" t="n"/>
      <c r="CW243" s="102" t="n"/>
      <c r="CX243" s="102" t="n"/>
      <c r="CY243" s="102" t="n"/>
      <c r="CZ243" s="102" t="n"/>
      <c r="DA243" s="102" t="n"/>
      <c r="DB243" s="102" t="n"/>
      <c r="DC243" s="102" t="n"/>
      <c r="DD243" s="102" t="n"/>
      <c r="DE243" s="102" t="n"/>
      <c r="DF243" s="102" t="n"/>
      <c r="DG243" s="102" t="n"/>
      <c r="DH243" s="102" t="n"/>
      <c r="DI243" s="102" t="n"/>
      <c r="DJ243" s="102" t="n"/>
      <c r="DK243" s="102" t="n"/>
      <c r="DL243" s="102" t="n"/>
      <c r="DM243" s="102" t="n"/>
      <c r="DN243" s="102" t="n"/>
      <c r="DO243" s="102" t="n"/>
      <c r="DP243" s="102" t="n"/>
      <c r="DQ243" s="102" t="n"/>
      <c r="DR243" s="102" t="n"/>
      <c r="DT243" s="46" t="n"/>
      <c r="DU243" s="46" t="n"/>
      <c r="DV243" s="46" t="n"/>
      <c r="DW243" s="46" t="n"/>
    </row>
    <row r="244" hidden="1" outlineLevel="1" ht="15.75" customHeight="1">
      <c r="B244" s="5" t="inlineStr">
        <is>
          <t>RUP</t>
        </is>
      </c>
      <c r="C244" s="68" t="inlineStr">
        <is>
          <t>Lower Middle Market</t>
        </is>
      </c>
      <c r="E244" s="46">
        <f>+SUMIFS($O244:$DR244,$O$7:$DR$7,E$7)</f>
        <v/>
      </c>
      <c r="F244" s="46">
        <f>+SUMIFS($O244:$DR244,$O$7:$DR$7,F$7)</f>
        <v/>
      </c>
      <c r="G244" s="46">
        <f>+SUMIFS($O244:$DR244,$O$7:$DR$7,G$7)</f>
        <v/>
      </c>
      <c r="H244" s="46">
        <f>+SUMIFS($O244:$DR244,$O$7:$DR$7,H$7)</f>
        <v/>
      </c>
      <c r="I244" s="46">
        <f>+SUMIFS($O244:$DR244,$O$7:$DR$7,I$7)</f>
        <v/>
      </c>
      <c r="J244" s="46">
        <f>+SUMIFS($O244:$DR244,$O$7:$DR$7,J$7)</f>
        <v/>
      </c>
      <c r="K244" s="46">
        <f>+SUMIFS($O244:$DR244,$O$7:$DR$7,K$7)</f>
        <v/>
      </c>
      <c r="L244" s="46">
        <f>+SUMIFS($O244:$DR244,$O$7:$DR$7,L$7)</f>
        <v/>
      </c>
      <c r="M244" s="46">
        <f>+SUMIFS($O244:$DR244,$O$7:$DR$7,M$7)</f>
        <v/>
      </c>
      <c r="O244" s="47" t="n">
        <v>0</v>
      </c>
      <c r="P244" s="47" t="n">
        <v>0</v>
      </c>
      <c r="Q244" s="47" t="n">
        <v>0</v>
      </c>
      <c r="R244" s="47" t="n">
        <v>0</v>
      </c>
      <c r="S244" s="47" t="n">
        <v>0</v>
      </c>
      <c r="T244" s="47" t="n">
        <v>0</v>
      </c>
      <c r="U244" s="47" t="n">
        <v>0</v>
      </c>
      <c r="V244" s="47" t="n">
        <v>0</v>
      </c>
      <c r="W244" s="47" t="n">
        <v>0</v>
      </c>
      <c r="X244" s="47" t="n">
        <v>0</v>
      </c>
      <c r="Y244" s="47" t="n">
        <v>0</v>
      </c>
      <c r="Z244" s="47" t="n">
        <v>0</v>
      </c>
      <c r="AA244" s="47" t="n">
        <v>0</v>
      </c>
      <c r="AB244" s="47" t="n">
        <v>0</v>
      </c>
      <c r="AC244" s="47" t="n">
        <v>0</v>
      </c>
      <c r="AD244" s="47" t="n">
        <v>0</v>
      </c>
      <c r="AE244" s="47" t="n">
        <v>0.679</v>
      </c>
      <c r="AF244" s="47" t="n">
        <v>6.981</v>
      </c>
      <c r="AG244" s="47" t="n">
        <v>0.529</v>
      </c>
      <c r="AH244" s="47" t="n">
        <v>6.558</v>
      </c>
      <c r="AI244" s="47" t="n">
        <v>6.558</v>
      </c>
      <c r="AJ244" s="47" t="n">
        <v>6.558</v>
      </c>
      <c r="AK244" s="47" t="n">
        <v>0.826</v>
      </c>
      <c r="AL244" s="47" t="n">
        <v>11.407</v>
      </c>
      <c r="AM244" s="47" t="n">
        <v>2.506</v>
      </c>
      <c r="AN244" s="47" t="n">
        <v>5.012</v>
      </c>
      <c r="AO244" s="47" t="n">
        <v>2.506</v>
      </c>
      <c r="AP244" s="47" t="n">
        <v>0</v>
      </c>
      <c r="AQ244" s="47" t="n">
        <v>0</v>
      </c>
      <c r="AR244" s="47" t="n">
        <v>0</v>
      </c>
      <c r="AS244" s="47" t="n">
        <v>0</v>
      </c>
      <c r="AT244" s="47" t="n">
        <v>0</v>
      </c>
      <c r="AU244" s="47" t="n">
        <v>0</v>
      </c>
      <c r="AV244" s="47" t="n">
        <v>0</v>
      </c>
      <c r="AW244" s="47" t="n">
        <v>0</v>
      </c>
      <c r="AX244" s="47" t="n">
        <v>0</v>
      </c>
      <c r="AY244" s="47" t="n">
        <v>0</v>
      </c>
      <c r="AZ244" s="47" t="n">
        <v>0</v>
      </c>
      <c r="BA244" s="47" t="n">
        <v>0</v>
      </c>
      <c r="BB244" s="47" t="n">
        <v>0</v>
      </c>
      <c r="BC244" s="47" t="n">
        <v>0</v>
      </c>
      <c r="BD244" s="47" t="n">
        <v>0</v>
      </c>
      <c r="BE244" s="47" t="n">
        <v>0</v>
      </c>
      <c r="BF244" s="47" t="n">
        <v>0</v>
      </c>
      <c r="BG244" s="47" t="n">
        <v>0</v>
      </c>
      <c r="BH244" s="47" t="n">
        <v>0</v>
      </c>
      <c r="BI244" s="47" t="n">
        <v>0</v>
      </c>
      <c r="BJ244" s="47" t="n">
        <v>0</v>
      </c>
      <c r="BK244" s="47" t="n">
        <v>0</v>
      </c>
      <c r="BL244" s="47" t="n">
        <v>0</v>
      </c>
      <c r="BM244" s="47" t="n">
        <v>0</v>
      </c>
      <c r="BN244" s="47" t="n">
        <v>0</v>
      </c>
      <c r="BO244" s="47" t="n">
        <v>0</v>
      </c>
      <c r="BP244" s="47" t="n">
        <v>0</v>
      </c>
      <c r="BQ244" s="47" t="n">
        <v>0</v>
      </c>
      <c r="BR244" s="47" t="n">
        <v>0</v>
      </c>
      <c r="BS244" s="47" t="n">
        <v>0</v>
      </c>
      <c r="BT244" s="47" t="n">
        <v>0</v>
      </c>
      <c r="BU244" s="47" t="n">
        <v>0</v>
      </c>
      <c r="BV244" s="47" t="n">
        <v>0</v>
      </c>
      <c r="BW244" s="102" t="n"/>
      <c r="BX244" s="102" t="n"/>
      <c r="BY244" s="102" t="n"/>
      <c r="BZ244" s="102" t="n"/>
      <c r="CA244" s="102" t="n"/>
      <c r="CB244" s="102" t="n"/>
      <c r="CC244" s="102" t="n"/>
      <c r="CD244" s="102" t="n"/>
      <c r="CE244" s="102" t="n"/>
      <c r="CF244" s="102" t="n"/>
      <c r="CG244" s="102" t="n"/>
      <c r="CH244" s="102" t="n"/>
      <c r="CI244" s="102" t="n"/>
      <c r="CJ244" s="102" t="n"/>
      <c r="CK244" s="102" t="n"/>
      <c r="CL244" s="102" t="n"/>
      <c r="CM244" s="102" t="n"/>
      <c r="CN244" s="102" t="n"/>
      <c r="CO244" s="102" t="n"/>
      <c r="CP244" s="102" t="n"/>
      <c r="CQ244" s="102" t="n"/>
      <c r="CR244" s="102" t="n"/>
      <c r="CS244" s="102" t="n"/>
      <c r="CT244" s="102" t="n"/>
      <c r="CU244" s="102" t="n"/>
      <c r="CV244" s="102" t="n"/>
      <c r="CW244" s="102" t="n"/>
      <c r="CX244" s="102" t="n"/>
      <c r="CY244" s="102" t="n"/>
      <c r="CZ244" s="102" t="n"/>
      <c r="DA244" s="102" t="n"/>
      <c r="DB244" s="102" t="n"/>
      <c r="DC244" s="102" t="n"/>
      <c r="DD244" s="102" t="n"/>
      <c r="DE244" s="102" t="n"/>
      <c r="DF244" s="102" t="n"/>
      <c r="DG244" s="102" t="n"/>
      <c r="DH244" s="102" t="n"/>
      <c r="DI244" s="102" t="n"/>
      <c r="DJ244" s="102" t="n"/>
      <c r="DK244" s="102" t="n"/>
      <c r="DL244" s="102" t="n"/>
      <c r="DM244" s="102" t="n"/>
      <c r="DN244" s="102" t="n"/>
      <c r="DO244" s="102" t="n"/>
      <c r="DP244" s="102" t="n"/>
      <c r="DQ244" s="102" t="n"/>
      <c r="DR244" s="102" t="n"/>
      <c r="DT244" s="46" t="n"/>
      <c r="DU244" s="46" t="n"/>
      <c r="DV244" s="46" t="n"/>
      <c r="DW244" s="46" t="n"/>
    </row>
    <row r="245" hidden="1" outlineLevel="1" ht="15.75" customHeight="1">
      <c r="B245" s="5" t="inlineStr">
        <is>
          <t>SCORE</t>
        </is>
      </c>
      <c r="C245" s="68" t="inlineStr">
        <is>
          <t>Major</t>
        </is>
      </c>
      <c r="E245" s="46">
        <f>+SUMIFS($O245:$DR245,$O$7:$DR$7,E$7)</f>
        <v/>
      </c>
      <c r="F245" s="46">
        <f>+SUMIFS($O245:$DR245,$O$7:$DR$7,F$7)</f>
        <v/>
      </c>
      <c r="G245" s="46">
        <f>+SUMIFS($O245:$DR245,$O$7:$DR$7,G$7)</f>
        <v/>
      </c>
      <c r="H245" s="46">
        <f>+SUMIFS($O245:$DR245,$O$7:$DR$7,H$7)</f>
        <v/>
      </c>
      <c r="I245" s="46">
        <f>+SUMIFS($O245:$DR245,$O$7:$DR$7,I$7)</f>
        <v/>
      </c>
      <c r="J245" s="46">
        <f>+SUMIFS($O245:$DR245,$O$7:$DR$7,J$7)</f>
        <v/>
      </c>
      <c r="K245" s="46">
        <f>+SUMIFS($O245:$DR245,$O$7:$DR$7,K$7)</f>
        <v/>
      </c>
      <c r="L245" s="46">
        <f>+SUMIFS($O245:$DR245,$O$7:$DR$7,L$7)</f>
        <v/>
      </c>
      <c r="M245" s="46">
        <f>+SUMIFS($O245:$DR245,$O$7:$DR$7,M$7)</f>
        <v/>
      </c>
      <c r="O245" s="47" t="n">
        <v>0</v>
      </c>
      <c r="P245" s="47" t="n">
        <v>0</v>
      </c>
      <c r="Q245" s="47" t="n">
        <v>0</v>
      </c>
      <c r="R245" s="47" t="n">
        <v>0</v>
      </c>
      <c r="S245" s="47" t="n">
        <v>0</v>
      </c>
      <c r="T245" s="47" t="n">
        <v>0</v>
      </c>
      <c r="U245" s="47" t="n">
        <v>0</v>
      </c>
      <c r="V245" s="47" t="n">
        <v>0</v>
      </c>
      <c r="W245" s="47" t="n">
        <v>0</v>
      </c>
      <c r="X245" s="47" t="n">
        <v>0</v>
      </c>
      <c r="Y245" s="47" t="n">
        <v>0</v>
      </c>
      <c r="Z245" s="47" t="n">
        <v>0</v>
      </c>
      <c r="AA245" s="47" t="n">
        <v>0</v>
      </c>
      <c r="AB245" s="47" t="n">
        <v>0</v>
      </c>
      <c r="AC245" s="47" t="n">
        <v>0</v>
      </c>
      <c r="AD245" s="47" t="n">
        <v>0</v>
      </c>
      <c r="AE245" s="47" t="n">
        <v>0</v>
      </c>
      <c r="AF245" s="47" t="n">
        <v>0</v>
      </c>
      <c r="AG245" s="47" t="n">
        <v>0</v>
      </c>
      <c r="AH245" s="47" t="n">
        <v>0</v>
      </c>
      <c r="AI245" s="47" t="n">
        <v>0</v>
      </c>
      <c r="AJ245" s="47" t="n">
        <v>0</v>
      </c>
      <c r="AK245" s="47" t="n">
        <v>0</v>
      </c>
      <c r="AL245" s="47" t="n">
        <v>0</v>
      </c>
      <c r="AM245" s="47" t="n">
        <v>0</v>
      </c>
      <c r="AN245" s="47" t="n">
        <v>0</v>
      </c>
      <c r="AO245" s="47" t="n">
        <v>0</v>
      </c>
      <c r="AP245" s="47" t="n">
        <v>0</v>
      </c>
      <c r="AQ245" s="47" t="n">
        <v>0</v>
      </c>
      <c r="AR245" s="47" t="n">
        <v>0</v>
      </c>
      <c r="AS245" s="47" t="n">
        <v>0</v>
      </c>
      <c r="AT245" s="47" t="n">
        <v>0</v>
      </c>
      <c r="AU245" s="47" t="n">
        <v>0</v>
      </c>
      <c r="AV245" s="47" t="n">
        <v>0</v>
      </c>
      <c r="AW245" s="47" t="n">
        <v>0</v>
      </c>
      <c r="AX245" s="47" t="n">
        <v>0</v>
      </c>
      <c r="AY245" s="47" t="n">
        <v>0</v>
      </c>
      <c r="AZ245" s="47" t="n">
        <v>0</v>
      </c>
      <c r="BA245" s="47" t="n">
        <v>0</v>
      </c>
      <c r="BB245" s="47" t="n">
        <v>0</v>
      </c>
      <c r="BC245" s="47" t="n">
        <v>0</v>
      </c>
      <c r="BD245" s="47" t="n">
        <v>0</v>
      </c>
      <c r="BE245" s="47" t="n">
        <v>0</v>
      </c>
      <c r="BF245" s="47" t="n">
        <v>0</v>
      </c>
      <c r="BG245" s="47" t="n">
        <v>0</v>
      </c>
      <c r="BH245" s="47" t="n">
        <v>0</v>
      </c>
      <c r="BI245" s="47" t="n">
        <v>0</v>
      </c>
      <c r="BJ245" s="47" t="n">
        <v>0</v>
      </c>
      <c r="BK245" s="47" t="n">
        <v>0</v>
      </c>
      <c r="BL245" s="47" t="n">
        <v>0</v>
      </c>
      <c r="BM245" s="47" t="n">
        <v>0</v>
      </c>
      <c r="BN245" s="47" t="n">
        <v>0</v>
      </c>
      <c r="BO245" s="47" t="n">
        <v>0</v>
      </c>
      <c r="BP245" s="47" t="n">
        <v>0</v>
      </c>
      <c r="BQ245" s="47" t="n">
        <v>0</v>
      </c>
      <c r="BR245" s="47" t="n">
        <v>0</v>
      </c>
      <c r="BS245" s="47" t="n">
        <v>0</v>
      </c>
      <c r="BT245" s="47" t="n">
        <v>0</v>
      </c>
      <c r="BU245" s="47" t="n">
        <v>0</v>
      </c>
      <c r="BV245" s="47" t="n">
        <v>0</v>
      </c>
      <c r="BW245" s="102" t="n"/>
      <c r="BX245" s="102" t="n"/>
      <c r="BY245" s="102" t="n"/>
      <c r="BZ245" s="102" t="n"/>
      <c r="CA245" s="102" t="n"/>
      <c r="CB245" s="102" t="n"/>
      <c r="CC245" s="102" t="n"/>
      <c r="CD245" s="102" t="n"/>
      <c r="CE245" s="102" t="n"/>
      <c r="CF245" s="102" t="n"/>
      <c r="CG245" s="102" t="n"/>
      <c r="CH245" s="102" t="n"/>
      <c r="CI245" s="102" t="n"/>
      <c r="CJ245" s="102" t="n"/>
      <c r="CK245" s="102" t="n"/>
      <c r="CL245" s="102" t="n"/>
      <c r="CM245" s="102" t="n"/>
      <c r="CN245" s="102" t="n"/>
      <c r="CO245" s="102" t="n"/>
      <c r="CP245" s="102" t="n"/>
      <c r="CQ245" s="102" t="n"/>
      <c r="CR245" s="102" t="n"/>
      <c r="CS245" s="102" t="n"/>
      <c r="CT245" s="102" t="n"/>
      <c r="CU245" s="102" t="n"/>
      <c r="CV245" s="102" t="n"/>
      <c r="CW245" s="102" t="n"/>
      <c r="CX245" s="102" t="n"/>
      <c r="CY245" s="102" t="n"/>
      <c r="CZ245" s="102" t="n"/>
      <c r="DA245" s="102" t="n"/>
      <c r="DB245" s="102" t="n"/>
      <c r="DC245" s="102" t="n"/>
      <c r="DD245" s="102" t="n"/>
      <c r="DE245" s="102" t="n"/>
      <c r="DF245" s="102" t="n"/>
      <c r="DG245" s="102" t="n"/>
      <c r="DH245" s="102" t="n"/>
      <c r="DI245" s="102" t="n"/>
      <c r="DJ245" s="102" t="n"/>
      <c r="DK245" s="102" t="n"/>
      <c r="DL245" s="102" t="n"/>
      <c r="DM245" s="102" t="n"/>
      <c r="DN245" s="102" t="n"/>
      <c r="DO245" s="102" t="n"/>
      <c r="DP245" s="102" t="n"/>
      <c r="DQ245" s="102" t="n"/>
      <c r="DR245" s="102" t="n"/>
      <c r="DT245" s="46" t="n"/>
      <c r="DU245" s="46" t="n"/>
      <c r="DV245" s="46" t="n"/>
      <c r="DW245" s="46" t="n"/>
    </row>
    <row r="246" hidden="1" outlineLevel="1" ht="15.75" customHeight="1">
      <c r="B246" s="5" t="inlineStr">
        <is>
          <t>SPE</t>
        </is>
      </c>
      <c r="C246" s="68" t="inlineStr">
        <is>
          <t>Upper Middle Market</t>
        </is>
      </c>
      <c r="E246" s="46">
        <f>+SUMIFS($O246:$DR246,$O$7:$DR$7,E$7)</f>
        <v/>
      </c>
      <c r="F246" s="46">
        <f>+SUMIFS($O246:$DR246,$O$7:$DR$7,F$7)</f>
        <v/>
      </c>
      <c r="G246" s="46">
        <f>+SUMIFS($O246:$DR246,$O$7:$DR$7,G$7)</f>
        <v/>
      </c>
      <c r="H246" s="46">
        <f>+SUMIFS($O246:$DR246,$O$7:$DR$7,H$7)</f>
        <v/>
      </c>
      <c r="I246" s="46">
        <f>+SUMIFS($O246:$DR246,$O$7:$DR$7,I$7)</f>
        <v/>
      </c>
      <c r="J246" s="46">
        <f>+SUMIFS($O246:$DR246,$O$7:$DR$7,J$7)</f>
        <v/>
      </c>
      <c r="K246" s="46">
        <f>+SUMIFS($O246:$DR246,$O$7:$DR$7,K$7)</f>
        <v/>
      </c>
      <c r="L246" s="46">
        <f>+SUMIFS($O246:$DR246,$O$7:$DR$7,L$7)</f>
        <v/>
      </c>
      <c r="M246" s="46">
        <f>+SUMIFS($O246:$DR246,$O$7:$DR$7,M$7)</f>
        <v/>
      </c>
      <c r="O246" s="47" t="n">
        <v>0</v>
      </c>
      <c r="P246" s="47" t="n">
        <v>0</v>
      </c>
      <c r="Q246" s="47" t="n">
        <v>0</v>
      </c>
      <c r="R246" s="47" t="n">
        <v>0</v>
      </c>
      <c r="S246" s="47" t="n">
        <v>0</v>
      </c>
      <c r="T246" s="47" t="n">
        <v>0</v>
      </c>
      <c r="U246" s="47" t="n">
        <v>0</v>
      </c>
      <c r="V246" s="47" t="n">
        <v>0</v>
      </c>
      <c r="W246" s="47" t="n">
        <v>0</v>
      </c>
      <c r="X246" s="47" t="n">
        <v>0</v>
      </c>
      <c r="Y246" s="47" t="n">
        <v>0</v>
      </c>
      <c r="Z246" s="47" t="n">
        <v>0</v>
      </c>
      <c r="AA246" s="47" t="n">
        <v>0</v>
      </c>
      <c r="AB246" s="47" t="n">
        <v>0</v>
      </c>
      <c r="AC246" s="47" t="n">
        <v>0</v>
      </c>
      <c r="AD246" s="47" t="n">
        <v>0</v>
      </c>
      <c r="AE246" s="47" t="n">
        <v>0</v>
      </c>
      <c r="AF246" s="47" t="n">
        <v>0</v>
      </c>
      <c r="AG246" s="47" t="n">
        <v>0</v>
      </c>
      <c r="AH246" s="47" t="n">
        <v>0</v>
      </c>
      <c r="AI246" s="47" t="n">
        <v>0</v>
      </c>
      <c r="AJ246" s="47" t="n">
        <v>0</v>
      </c>
      <c r="AK246" s="47" t="n">
        <v>4.782</v>
      </c>
      <c r="AL246" s="47" t="n">
        <v>0</v>
      </c>
      <c r="AM246" s="47" t="n">
        <v>4.783</v>
      </c>
      <c r="AN246" s="47" t="n">
        <v>0</v>
      </c>
      <c r="AO246" s="47" t="n">
        <v>4.782</v>
      </c>
      <c r="AP246" s="47" t="n">
        <v>42.406</v>
      </c>
      <c r="AQ246" s="47" t="n">
        <v>17.324</v>
      </c>
      <c r="AR246" s="47" t="n">
        <v>17.323</v>
      </c>
      <c r="AS246" s="47" t="n">
        <v>17.324</v>
      </c>
      <c r="AT246" s="47" t="n">
        <v>8.662000000000001</v>
      </c>
      <c r="AU246" s="47" t="n">
        <v>8.662000000000001</v>
      </c>
      <c r="AV246" s="47" t="n">
        <v>8.661</v>
      </c>
      <c r="AW246" s="47" t="n">
        <v>17.324</v>
      </c>
      <c r="AX246" s="47" t="n">
        <v>8.662000000000001</v>
      </c>
      <c r="AY246" s="47" t="n">
        <v>12.541</v>
      </c>
      <c r="AZ246" s="47" t="n">
        <v>0</v>
      </c>
      <c r="BA246" s="47" t="n">
        <v>0</v>
      </c>
      <c r="BB246" s="47" t="n">
        <v>0</v>
      </c>
      <c r="BC246" s="47" t="n">
        <v>0</v>
      </c>
      <c r="BD246" s="47" t="n">
        <v>0</v>
      </c>
      <c r="BE246" s="47" t="n">
        <v>0</v>
      </c>
      <c r="BF246" s="47" t="n">
        <v>0</v>
      </c>
      <c r="BG246" s="47" t="n">
        <v>0</v>
      </c>
      <c r="BH246" s="47" t="n">
        <v>0</v>
      </c>
      <c r="BI246" s="47" t="n">
        <v>0</v>
      </c>
      <c r="BJ246" s="47" t="n">
        <v>0</v>
      </c>
      <c r="BK246" s="47" t="n">
        <v>0</v>
      </c>
      <c r="BL246" s="47" t="n">
        <v>0</v>
      </c>
      <c r="BM246" s="47" t="n">
        <v>0</v>
      </c>
      <c r="BN246" s="47" t="n">
        <v>0</v>
      </c>
      <c r="BO246" s="47" t="n">
        <v>0</v>
      </c>
      <c r="BP246" s="47" t="n">
        <v>0</v>
      </c>
      <c r="BQ246" s="47" t="n">
        <v>0</v>
      </c>
      <c r="BR246" s="47" t="n">
        <v>0</v>
      </c>
      <c r="BS246" s="47" t="n">
        <v>0</v>
      </c>
      <c r="BT246" s="47" t="n">
        <v>0</v>
      </c>
      <c r="BU246" s="47" t="n">
        <v>0</v>
      </c>
      <c r="BV246" s="47" t="n">
        <v>0</v>
      </c>
      <c r="BW246" s="102" t="n"/>
      <c r="BX246" s="102" t="n"/>
      <c r="BY246" s="102" t="n"/>
      <c r="BZ246" s="102" t="n"/>
      <c r="CA246" s="102" t="n"/>
      <c r="CB246" s="102" t="n"/>
      <c r="CC246" s="102" t="n"/>
      <c r="CD246" s="102" t="n"/>
      <c r="CE246" s="102" t="n"/>
      <c r="CF246" s="102" t="n"/>
      <c r="CG246" s="102" t="n"/>
      <c r="CH246" s="102" t="n"/>
      <c r="CI246" s="102" t="n"/>
      <c r="CJ246" s="102" t="n"/>
      <c r="CK246" s="102" t="n"/>
      <c r="CL246" s="102" t="n"/>
      <c r="CM246" s="102" t="n"/>
      <c r="CN246" s="102" t="n"/>
      <c r="CO246" s="102" t="n"/>
      <c r="CP246" s="102" t="n"/>
      <c r="CQ246" s="102" t="n"/>
      <c r="CR246" s="102" t="n"/>
      <c r="CS246" s="102" t="n"/>
      <c r="CT246" s="102" t="n"/>
      <c r="CU246" s="102" t="n"/>
      <c r="CV246" s="102" t="n"/>
      <c r="CW246" s="102" t="n"/>
      <c r="CX246" s="102" t="n"/>
      <c r="CY246" s="102" t="n"/>
      <c r="CZ246" s="102" t="n"/>
      <c r="DA246" s="102" t="n"/>
      <c r="DB246" s="102" t="n"/>
      <c r="DC246" s="102" t="n"/>
      <c r="DD246" s="102" t="n"/>
      <c r="DE246" s="102" t="n"/>
      <c r="DF246" s="102" t="n"/>
      <c r="DG246" s="102" t="n"/>
      <c r="DH246" s="102" t="n"/>
      <c r="DI246" s="102" t="n"/>
      <c r="DJ246" s="102" t="n"/>
      <c r="DK246" s="102" t="n"/>
      <c r="DL246" s="102" t="n"/>
      <c r="DM246" s="102" t="n"/>
      <c r="DN246" s="102" t="n"/>
      <c r="DO246" s="102" t="n"/>
      <c r="DP246" s="102" t="n"/>
      <c r="DQ246" s="102" t="n"/>
      <c r="DR246" s="102" t="n"/>
      <c r="DT246" s="46" t="n"/>
      <c r="DU246" s="46" t="n"/>
      <c r="DV246" s="46" t="n"/>
      <c r="DW246" s="46" t="n"/>
    </row>
    <row r="247" hidden="1" outlineLevel="1" ht="15.75" customHeight="1">
      <c r="B247" s="5" t="inlineStr">
        <is>
          <t>UCP</t>
        </is>
      </c>
      <c r="C247" s="68" t="inlineStr">
        <is>
          <t>Lower Middle Market</t>
        </is>
      </c>
      <c r="E247" s="46">
        <f>+SUMIFS($O247:$DR247,$O$7:$DR$7,E$7)</f>
        <v/>
      </c>
      <c r="F247" s="46">
        <f>+SUMIFS($O247:$DR247,$O$7:$DR$7,F$7)</f>
        <v/>
      </c>
      <c r="G247" s="46">
        <f>+SUMIFS($O247:$DR247,$O$7:$DR$7,G$7)</f>
        <v/>
      </c>
      <c r="H247" s="46">
        <f>+SUMIFS($O247:$DR247,$O$7:$DR$7,H$7)</f>
        <v/>
      </c>
      <c r="I247" s="46">
        <f>+SUMIFS($O247:$DR247,$O$7:$DR$7,I$7)</f>
        <v/>
      </c>
      <c r="J247" s="46">
        <f>+SUMIFS($O247:$DR247,$O$7:$DR$7,J$7)</f>
        <v/>
      </c>
      <c r="K247" s="46">
        <f>+SUMIFS($O247:$DR247,$O$7:$DR$7,K$7)</f>
        <v/>
      </c>
      <c r="L247" s="46">
        <f>+SUMIFS($O247:$DR247,$O$7:$DR$7,L$7)</f>
        <v/>
      </c>
      <c r="M247" s="46">
        <f>+SUMIFS($O247:$DR247,$O$7:$DR$7,M$7)</f>
        <v/>
      </c>
      <c r="O247" s="47" t="n">
        <v>0</v>
      </c>
      <c r="P247" s="47" t="n">
        <v>0</v>
      </c>
      <c r="Q247" s="47" t="n">
        <v>0</v>
      </c>
      <c r="R247" s="47" t="n">
        <v>0</v>
      </c>
      <c r="S247" s="47" t="n">
        <v>0</v>
      </c>
      <c r="T247" s="47" t="n">
        <v>0</v>
      </c>
      <c r="U247" s="47" t="n">
        <v>0</v>
      </c>
      <c r="V247" s="47" t="n">
        <v>0</v>
      </c>
      <c r="W247" s="47" t="n">
        <v>0</v>
      </c>
      <c r="X247" s="47" t="n">
        <v>0</v>
      </c>
      <c r="Y247" s="47" t="n">
        <v>0</v>
      </c>
      <c r="Z247" s="47" t="n">
        <v>0</v>
      </c>
      <c r="AA247" s="47" t="n">
        <v>0</v>
      </c>
      <c r="AB247" s="47" t="n">
        <v>0</v>
      </c>
      <c r="AC247" s="47" t="n">
        <v>0</v>
      </c>
      <c r="AD247" s="47" t="n">
        <v>0</v>
      </c>
      <c r="AE247" s="47" t="n">
        <v>0</v>
      </c>
      <c r="AF247" s="47" t="n">
        <v>0</v>
      </c>
      <c r="AG247" s="47" t="n">
        <v>0</v>
      </c>
      <c r="AH247" s="47" t="n">
        <v>0</v>
      </c>
      <c r="AI247" s="47" t="n">
        <v>0</v>
      </c>
      <c r="AJ247" s="47" t="n">
        <v>20.235</v>
      </c>
      <c r="AK247" s="47" t="n">
        <v>20.235</v>
      </c>
      <c r="AL247" s="47" t="n">
        <v>4.047</v>
      </c>
      <c r="AM247" s="47" t="n">
        <v>4.047</v>
      </c>
      <c r="AN247" s="47" t="n">
        <v>13.566</v>
      </c>
      <c r="AO247" s="47" t="n">
        <v>1.094</v>
      </c>
      <c r="AP247" s="47" t="n">
        <v>3.456</v>
      </c>
      <c r="AQ247" s="47" t="n">
        <v>3.456</v>
      </c>
      <c r="AR247" s="47" t="n">
        <v>3.457</v>
      </c>
      <c r="AS247" s="47" t="n">
        <v>0</v>
      </c>
      <c r="AT247" s="47" t="n">
        <v>0</v>
      </c>
      <c r="AU247" s="47" t="n">
        <v>0</v>
      </c>
      <c r="AV247" s="47" t="n">
        <v>-6.497</v>
      </c>
      <c r="AW247" s="47" t="n">
        <v>0</v>
      </c>
      <c r="AX247" s="47" t="n">
        <v>3.456</v>
      </c>
      <c r="AY247" s="47" t="n">
        <v>0</v>
      </c>
      <c r="AZ247" s="47" t="n">
        <v>0</v>
      </c>
      <c r="BA247" s="47" t="n">
        <v>0</v>
      </c>
      <c r="BB247" s="47" t="n">
        <v>0</v>
      </c>
      <c r="BC247" s="47" t="n">
        <v>0</v>
      </c>
      <c r="BD247" s="47" t="n">
        <v>0</v>
      </c>
      <c r="BE247" s="47" t="n">
        <v>0</v>
      </c>
      <c r="BF247" s="47" t="n">
        <v>0</v>
      </c>
      <c r="BG247" s="47" t="n">
        <v>0</v>
      </c>
      <c r="BH247" s="47" t="n">
        <v>0</v>
      </c>
      <c r="BI247" s="47" t="n">
        <v>0</v>
      </c>
      <c r="BJ247" s="47" t="n">
        <v>0</v>
      </c>
      <c r="BK247" s="47" t="n">
        <v>0</v>
      </c>
      <c r="BL247" s="47" t="n">
        <v>0</v>
      </c>
      <c r="BM247" s="47" t="n">
        <v>0</v>
      </c>
      <c r="BN247" s="47" t="n">
        <v>0</v>
      </c>
      <c r="BO247" s="47" t="n">
        <v>0</v>
      </c>
      <c r="BP247" s="47" t="n">
        <v>0</v>
      </c>
      <c r="BQ247" s="47" t="n">
        <v>0</v>
      </c>
      <c r="BR247" s="47" t="n">
        <v>0</v>
      </c>
      <c r="BS247" s="47" t="n">
        <v>0</v>
      </c>
      <c r="BT247" s="47" t="n">
        <v>0</v>
      </c>
      <c r="BU247" s="47" t="n">
        <v>0</v>
      </c>
      <c r="BV247" s="47" t="n">
        <v>0</v>
      </c>
      <c r="BW247" s="102" t="n"/>
      <c r="BX247" s="102" t="n"/>
      <c r="BY247" s="102" t="n"/>
      <c r="BZ247" s="102" t="n"/>
      <c r="CA247" s="102" t="n"/>
      <c r="CB247" s="102" t="n"/>
      <c r="CC247" s="102" t="n"/>
      <c r="CD247" s="102" t="n"/>
      <c r="CE247" s="102" t="n"/>
      <c r="CF247" s="102" t="n"/>
      <c r="CG247" s="102" t="n"/>
      <c r="CH247" s="102" t="n"/>
      <c r="CI247" s="102" t="n"/>
      <c r="CJ247" s="102" t="n"/>
      <c r="CK247" s="102" t="n"/>
      <c r="CL247" s="102" t="n"/>
      <c r="CM247" s="102" t="n"/>
      <c r="CN247" s="102" t="n"/>
      <c r="CO247" s="102" t="n"/>
      <c r="CP247" s="102" t="n"/>
      <c r="CQ247" s="102" t="n"/>
      <c r="CR247" s="102" t="n"/>
      <c r="CS247" s="102" t="n"/>
      <c r="CT247" s="102" t="n"/>
      <c r="CU247" s="102" t="n"/>
      <c r="CV247" s="102" t="n"/>
      <c r="CW247" s="102" t="n"/>
      <c r="CX247" s="102" t="n"/>
      <c r="CY247" s="102" t="n"/>
      <c r="CZ247" s="102" t="n"/>
      <c r="DA247" s="102" t="n"/>
      <c r="DB247" s="102" t="n"/>
      <c r="DC247" s="102" t="n"/>
      <c r="DD247" s="102" t="n"/>
      <c r="DE247" s="102" t="n"/>
      <c r="DF247" s="102" t="n"/>
      <c r="DG247" s="102" t="n"/>
      <c r="DH247" s="102" t="n"/>
      <c r="DI247" s="102" t="n"/>
      <c r="DJ247" s="102" t="n"/>
      <c r="DK247" s="102" t="n"/>
      <c r="DL247" s="102" t="n"/>
      <c r="DM247" s="102" t="n"/>
      <c r="DN247" s="102" t="n"/>
      <c r="DO247" s="102" t="n"/>
      <c r="DP247" s="102" t="n"/>
      <c r="DQ247" s="102" t="n"/>
      <c r="DR247" s="102" t="n"/>
      <c r="DT247" s="46" t="n"/>
      <c r="DU247" s="46" t="n"/>
      <c r="DV247" s="46" t="n"/>
      <c r="DW247" s="46" t="n"/>
    </row>
    <row r="248" hidden="1" outlineLevel="1" ht="15.75" customHeight="1">
      <c r="B248" s="5" t="inlineStr">
        <is>
          <t>WK</t>
        </is>
      </c>
      <c r="C248" s="68" t="inlineStr">
        <is>
          <t>Mega</t>
        </is>
      </c>
      <c r="E248" s="46">
        <f>+SUMIFS($O248:$DR248,$O$7:$DR$7,E$7)</f>
        <v/>
      </c>
      <c r="F248" s="46">
        <f>+SUMIFS($O248:$DR248,$O$7:$DR$7,F$7)</f>
        <v/>
      </c>
      <c r="G248" s="46">
        <f>+SUMIFS($O248:$DR248,$O$7:$DR$7,G$7)</f>
        <v/>
      </c>
      <c r="H248" s="46">
        <f>+SUMIFS($O248:$DR248,$O$7:$DR$7,H$7)</f>
        <v/>
      </c>
      <c r="I248" s="46">
        <f>+SUMIFS($O248:$DR248,$O$7:$DR$7,I$7)</f>
        <v/>
      </c>
      <c r="J248" s="46">
        <f>+SUMIFS($O248:$DR248,$O$7:$DR$7,J$7)</f>
        <v/>
      </c>
      <c r="K248" s="46">
        <f>+SUMIFS($O248:$DR248,$O$7:$DR$7,K$7)</f>
        <v/>
      </c>
      <c r="L248" s="46">
        <f>+SUMIFS($O248:$DR248,$O$7:$DR$7,L$7)</f>
        <v/>
      </c>
      <c r="M248" s="46">
        <f>+SUMIFS($O248:$DR248,$O$7:$DR$7,M$7)</f>
        <v/>
      </c>
      <c r="O248" s="47" t="n">
        <v>0</v>
      </c>
      <c r="P248" s="47" t="n">
        <v>0</v>
      </c>
      <c r="Q248" s="47" t="n">
        <v>0</v>
      </c>
      <c r="R248" s="47" t="n">
        <v>0</v>
      </c>
      <c r="S248" s="47" t="n">
        <v>0</v>
      </c>
      <c r="T248" s="47" t="n">
        <v>0</v>
      </c>
      <c r="U248" s="47" t="n">
        <v>0</v>
      </c>
      <c r="V248" s="47" t="n">
        <v>0</v>
      </c>
      <c r="W248" s="47" t="n">
        <v>0</v>
      </c>
      <c r="X248" s="47" t="n">
        <v>0</v>
      </c>
      <c r="Y248" s="47" t="n">
        <v>0</v>
      </c>
      <c r="Z248" s="47" t="n">
        <v>0</v>
      </c>
      <c r="AA248" s="47" t="n">
        <v>0</v>
      </c>
      <c r="AB248" s="47" t="n">
        <v>0</v>
      </c>
      <c r="AC248" s="47" t="n">
        <v>0</v>
      </c>
      <c r="AD248" s="47" t="n">
        <v>0</v>
      </c>
      <c r="AE248" s="47" t="n">
        <v>0</v>
      </c>
      <c r="AF248" s="47" t="n">
        <v>0</v>
      </c>
      <c r="AG248" s="47" t="n">
        <v>0</v>
      </c>
      <c r="AH248" s="47" t="n">
        <v>0</v>
      </c>
      <c r="AI248" s="47" t="n">
        <v>0</v>
      </c>
      <c r="AJ248" s="47" t="n">
        <v>0</v>
      </c>
      <c r="AK248" s="47" t="n">
        <v>0</v>
      </c>
      <c r="AL248" s="47" t="n">
        <v>0</v>
      </c>
      <c r="AM248" s="47" t="n">
        <v>0</v>
      </c>
      <c r="AN248" s="47" t="n">
        <v>0</v>
      </c>
      <c r="AO248" s="47" t="n">
        <v>0</v>
      </c>
      <c r="AP248" s="47" t="n">
        <v>0</v>
      </c>
      <c r="AQ248" s="47" t="n">
        <v>0</v>
      </c>
      <c r="AR248" s="47" t="n">
        <v>0</v>
      </c>
      <c r="AS248" s="47" t="n">
        <v>0</v>
      </c>
      <c r="AT248" s="47" t="n">
        <v>0</v>
      </c>
      <c r="AU248" s="47" t="n">
        <v>0</v>
      </c>
      <c r="AV248" s="47" t="n">
        <v>0</v>
      </c>
      <c r="AW248" s="47" t="n">
        <v>0</v>
      </c>
      <c r="AX248" s="47" t="n">
        <v>0</v>
      </c>
      <c r="AY248" s="47" t="n">
        <v>0</v>
      </c>
      <c r="AZ248" s="47" t="n">
        <v>0</v>
      </c>
      <c r="BA248" s="47" t="n">
        <v>0</v>
      </c>
      <c r="BB248" s="47" t="n">
        <v>0</v>
      </c>
      <c r="BC248" s="47" t="n">
        <v>0</v>
      </c>
      <c r="BD248" s="47" t="n">
        <v>0</v>
      </c>
      <c r="BE248" s="47" t="n">
        <v>0</v>
      </c>
      <c r="BF248" s="47" t="n">
        <v>0</v>
      </c>
      <c r="BG248" s="47" t="n">
        <v>0</v>
      </c>
      <c r="BH248" s="47" t="n">
        <v>0</v>
      </c>
      <c r="BI248" s="47" t="n">
        <v>0</v>
      </c>
      <c r="BJ248" s="47" t="n">
        <v>0</v>
      </c>
      <c r="BK248" s="47" t="n">
        <v>0</v>
      </c>
      <c r="BL248" s="47" t="n">
        <v>0</v>
      </c>
      <c r="BM248" s="47" t="n">
        <v>0</v>
      </c>
      <c r="BN248" s="47" t="n">
        <v>0</v>
      </c>
      <c r="BO248" s="47" t="n">
        <v>0</v>
      </c>
      <c r="BP248" s="47" t="n">
        <v>0</v>
      </c>
      <c r="BQ248" s="47" t="n">
        <v>0</v>
      </c>
      <c r="BR248" s="47" t="n">
        <v>0</v>
      </c>
      <c r="BS248" s="47" t="n">
        <v>0</v>
      </c>
      <c r="BT248" s="47" t="n">
        <v>0</v>
      </c>
      <c r="BU248" s="47" t="n">
        <v>0</v>
      </c>
      <c r="BV248" s="47" t="n">
        <v>0</v>
      </c>
      <c r="BW248" s="102" t="n"/>
      <c r="BX248" s="102" t="n"/>
      <c r="BY248" s="102" t="n"/>
      <c r="BZ248" s="102" t="n"/>
      <c r="CA248" s="102" t="n"/>
      <c r="CB248" s="102" t="n"/>
      <c r="CC248" s="102" t="n"/>
      <c r="CD248" s="102" t="n"/>
      <c r="CE248" s="102" t="n"/>
      <c r="CF248" s="102" t="n"/>
      <c r="CG248" s="102" t="n"/>
      <c r="CH248" s="102" t="n"/>
      <c r="CI248" s="102" t="n"/>
      <c r="CJ248" s="102" t="n"/>
      <c r="CK248" s="102" t="n"/>
      <c r="CL248" s="102" t="n"/>
      <c r="CM248" s="102" t="n"/>
      <c r="CN248" s="102" t="n"/>
      <c r="CO248" s="102" t="n"/>
      <c r="CP248" s="102" t="n"/>
      <c r="CQ248" s="102" t="n"/>
      <c r="CR248" s="102" t="n"/>
      <c r="CS248" s="102" t="n"/>
      <c r="CT248" s="102" t="n"/>
      <c r="CU248" s="102" t="n"/>
      <c r="CV248" s="102" t="n"/>
      <c r="CW248" s="102" t="n"/>
      <c r="CX248" s="102" t="n"/>
      <c r="CY248" s="102" t="n"/>
      <c r="CZ248" s="102" t="n"/>
      <c r="DA248" s="102" t="n"/>
      <c r="DB248" s="102" t="n"/>
      <c r="DC248" s="102" t="n"/>
      <c r="DD248" s="102" t="n"/>
      <c r="DE248" s="102" t="n"/>
      <c r="DF248" s="102" t="n"/>
      <c r="DG248" s="102" t="n"/>
      <c r="DH248" s="102" t="n"/>
      <c r="DI248" s="102" t="n"/>
      <c r="DJ248" s="102" t="n"/>
      <c r="DK248" s="102" t="n"/>
      <c r="DL248" s="102" t="n"/>
      <c r="DM248" s="102" t="n"/>
      <c r="DN248" s="102" t="n"/>
      <c r="DO248" s="102" t="n"/>
      <c r="DP248" s="102" t="n"/>
      <c r="DQ248" s="102" t="n"/>
      <c r="DR248" s="102" t="n"/>
      <c r="DT248" s="46" t="n"/>
      <c r="DU248" s="46" t="n"/>
      <c r="DV248" s="46" t="n"/>
      <c r="DW248" s="46" t="n"/>
    </row>
    <row r="249" hidden="1" outlineLevel="1" ht="15.75" customHeight="1">
      <c r="B249" s="5" t="inlineStr">
        <is>
          <t>AAD</t>
        </is>
      </c>
      <c r="C249" s="68" t="inlineStr">
        <is>
          <t>Lower Middle Market</t>
        </is>
      </c>
      <c r="E249" s="46">
        <f>+SUMIFS($O249:$DR249,$O$7:$DR$7,E$7)</f>
        <v/>
      </c>
      <c r="F249" s="46">
        <f>+SUMIFS($O249:$DR249,$O$7:$DR$7,F$7)</f>
        <v/>
      </c>
      <c r="G249" s="46">
        <f>+SUMIFS($O249:$DR249,$O$7:$DR$7,G$7)</f>
        <v/>
      </c>
      <c r="H249" s="46">
        <f>+SUMIFS($O249:$DR249,$O$7:$DR$7,H$7)</f>
        <v/>
      </c>
      <c r="I249" s="46">
        <f>+SUMIFS($O249:$DR249,$O$7:$DR$7,I$7)</f>
        <v/>
      </c>
      <c r="J249" s="46">
        <f>+SUMIFS($O249:$DR249,$O$7:$DR$7,J$7)</f>
        <v/>
      </c>
      <c r="K249" s="46">
        <f>+SUMIFS($O249:$DR249,$O$7:$DR$7,K$7)</f>
        <v/>
      </c>
      <c r="L249" s="46">
        <f>+SUMIFS($O249:$DR249,$O$7:$DR$7,L$7)</f>
        <v/>
      </c>
      <c r="M249" s="46">
        <f>+SUMIFS($O249:$DR249,$O$7:$DR$7,M$7)</f>
        <v/>
      </c>
      <c r="O249" s="47" t="n">
        <v>0</v>
      </c>
      <c r="P249" s="47" t="n">
        <v>0</v>
      </c>
      <c r="Q249" s="47" t="n">
        <v>0</v>
      </c>
      <c r="R249" s="47" t="n">
        <v>0</v>
      </c>
      <c r="S249" s="47" t="n">
        <v>0</v>
      </c>
      <c r="T249" s="47" t="n">
        <v>0</v>
      </c>
      <c r="U249" s="47" t="n">
        <v>0</v>
      </c>
      <c r="V249" s="47" t="n">
        <v>0</v>
      </c>
      <c r="W249" s="47" t="n">
        <v>0</v>
      </c>
      <c r="X249" s="47" t="n">
        <v>0</v>
      </c>
      <c r="Y249" s="47" t="n">
        <v>0</v>
      </c>
      <c r="Z249" s="47" t="n">
        <v>0</v>
      </c>
      <c r="AA249" s="47" t="n">
        <v>0</v>
      </c>
      <c r="AB249" s="47" t="n">
        <v>0</v>
      </c>
      <c r="AC249" s="47" t="n">
        <v>0</v>
      </c>
      <c r="AD249" s="47" t="n">
        <v>0</v>
      </c>
      <c r="AE249" s="47" t="n">
        <v>0</v>
      </c>
      <c r="AF249" s="47" t="n">
        <v>0</v>
      </c>
      <c r="AG249" s="47" t="n">
        <v>0</v>
      </c>
      <c r="AH249" s="47" t="n">
        <v>0</v>
      </c>
      <c r="AI249" s="47" t="n">
        <v>0</v>
      </c>
      <c r="AJ249" s="47" t="n">
        <v>0</v>
      </c>
      <c r="AK249" s="47" t="n">
        <v>0</v>
      </c>
      <c r="AL249" s="47" t="n">
        <v>0</v>
      </c>
      <c r="AM249" s="47" t="n">
        <v>0</v>
      </c>
      <c r="AN249" s="47" t="n">
        <v>0</v>
      </c>
      <c r="AO249" s="47" t="n">
        <v>0</v>
      </c>
      <c r="AP249" s="47" t="n">
        <v>0</v>
      </c>
      <c r="AQ249" s="47" t="n">
        <v>0</v>
      </c>
      <c r="AR249" s="47" t="n">
        <v>0</v>
      </c>
      <c r="AS249" s="47" t="n">
        <v>0</v>
      </c>
      <c r="AT249" s="47" t="n">
        <v>0</v>
      </c>
      <c r="AU249" s="47" t="n">
        <v>0</v>
      </c>
      <c r="AV249" s="47" t="n">
        <v>0</v>
      </c>
      <c r="AW249" s="47" t="n">
        <v>0</v>
      </c>
      <c r="AX249" s="47" t="n">
        <v>0</v>
      </c>
      <c r="AY249" s="47" t="n">
        <v>0</v>
      </c>
      <c r="AZ249" s="47" t="n">
        <v>0</v>
      </c>
      <c r="BA249" s="47" t="n">
        <v>0</v>
      </c>
      <c r="BB249" s="47" t="n">
        <v>0</v>
      </c>
      <c r="BC249" s="47" t="n">
        <v>0</v>
      </c>
      <c r="BD249" s="47" t="n">
        <v>0</v>
      </c>
      <c r="BE249" s="47" t="n">
        <v>0</v>
      </c>
      <c r="BF249" s="47" t="n">
        <v>0</v>
      </c>
      <c r="BG249" s="47" t="n">
        <v>0</v>
      </c>
      <c r="BH249" s="47" t="n">
        <v>0</v>
      </c>
      <c r="BI249" s="47" t="n">
        <v>0</v>
      </c>
      <c r="BJ249" s="47" t="n">
        <v>0</v>
      </c>
      <c r="BK249" s="47" t="n">
        <v>0</v>
      </c>
      <c r="BL249" s="47" t="n">
        <v>0</v>
      </c>
      <c r="BM249" s="47" t="n">
        <v>0</v>
      </c>
      <c r="BN249" s="47" t="n">
        <v>0</v>
      </c>
      <c r="BO249" s="47" t="n">
        <v>0</v>
      </c>
      <c r="BP249" s="47" t="n">
        <v>0</v>
      </c>
      <c r="BQ249" s="47" t="n">
        <v>0</v>
      </c>
      <c r="BR249" s="47" t="n">
        <v>0</v>
      </c>
      <c r="BS249" s="47" t="n">
        <v>0</v>
      </c>
      <c r="BT249" s="47" t="n">
        <v>0</v>
      </c>
      <c r="BU249" s="47" t="n">
        <v>0</v>
      </c>
      <c r="BV249" s="47" t="n">
        <v>0</v>
      </c>
      <c r="BW249" s="102" t="n"/>
      <c r="BX249" s="102" t="n"/>
      <c r="BY249" s="102" t="n"/>
      <c r="BZ249" s="102" t="n"/>
      <c r="CA249" s="102" t="n"/>
      <c r="CB249" s="102" t="n"/>
      <c r="CC249" s="102" t="n"/>
      <c r="CD249" s="102" t="n"/>
      <c r="CE249" s="102" t="n"/>
      <c r="CF249" s="102" t="n"/>
      <c r="CG249" s="102" t="n"/>
      <c r="CH249" s="102" t="n"/>
      <c r="CI249" s="102" t="n"/>
      <c r="CJ249" s="102" t="n"/>
      <c r="CK249" s="102" t="n"/>
      <c r="CL249" s="102" t="n"/>
      <c r="CM249" s="102" t="n"/>
      <c r="CN249" s="102" t="n"/>
      <c r="CO249" s="102" t="n"/>
      <c r="CP249" s="102" t="n"/>
      <c r="CQ249" s="102" t="n"/>
      <c r="CR249" s="102" t="n"/>
      <c r="CS249" s="102" t="n"/>
      <c r="CT249" s="102" t="n"/>
      <c r="CU249" s="102" t="n"/>
      <c r="CV249" s="102" t="n"/>
      <c r="CW249" s="102" t="n"/>
      <c r="CX249" s="102" t="n"/>
      <c r="CY249" s="102" t="n"/>
      <c r="CZ249" s="102" t="n"/>
      <c r="DA249" s="102" t="n"/>
      <c r="DB249" s="102" t="n"/>
      <c r="DC249" s="102" t="n"/>
      <c r="DD249" s="102" t="n"/>
      <c r="DE249" s="102" t="n"/>
      <c r="DF249" s="102" t="n"/>
      <c r="DG249" s="102" t="n"/>
      <c r="DH249" s="102" t="n"/>
      <c r="DI249" s="102" t="n"/>
      <c r="DJ249" s="102" t="n"/>
      <c r="DK249" s="102" t="n"/>
      <c r="DL249" s="102" t="n"/>
      <c r="DM249" s="102" t="n"/>
      <c r="DN249" s="102" t="n"/>
      <c r="DO249" s="102" t="n"/>
      <c r="DP249" s="102" t="n"/>
      <c r="DQ249" s="102" t="n"/>
      <c r="DR249" s="102" t="n"/>
      <c r="DT249" s="46" t="n"/>
      <c r="DU249" s="46" t="n"/>
      <c r="DV249" s="46" t="n"/>
      <c r="DW249" s="46" t="n"/>
    </row>
    <row r="250" hidden="1" outlineLevel="1" ht="15.75" customHeight="1">
      <c r="B250" s="5" t="inlineStr">
        <is>
          <t>ACP</t>
        </is>
      </c>
      <c r="C250" s="68" t="inlineStr">
        <is>
          <t>Lower Middle Market</t>
        </is>
      </c>
      <c r="E250" s="46">
        <f>+SUMIFS($O250:$DR250,$O$7:$DR$7,E$7)</f>
        <v/>
      </c>
      <c r="F250" s="46">
        <f>+SUMIFS($O250:$DR250,$O$7:$DR$7,F$7)</f>
        <v/>
      </c>
      <c r="G250" s="46">
        <f>+SUMIFS($O250:$DR250,$O$7:$DR$7,G$7)</f>
        <v/>
      </c>
      <c r="H250" s="46">
        <f>+SUMIFS($O250:$DR250,$O$7:$DR$7,H$7)</f>
        <v/>
      </c>
      <c r="I250" s="46">
        <f>+SUMIFS($O250:$DR250,$O$7:$DR$7,I$7)</f>
        <v/>
      </c>
      <c r="J250" s="46">
        <f>+SUMIFS($O250:$DR250,$O$7:$DR$7,J$7)</f>
        <v/>
      </c>
      <c r="K250" s="46">
        <f>+SUMIFS($O250:$DR250,$O$7:$DR$7,K$7)</f>
        <v/>
      </c>
      <c r="L250" s="46">
        <f>+SUMIFS($O250:$DR250,$O$7:$DR$7,L$7)</f>
        <v/>
      </c>
      <c r="M250" s="46">
        <f>+SUMIFS($O250:$DR250,$O$7:$DR$7,M$7)</f>
        <v/>
      </c>
      <c r="O250" s="47" t="n">
        <v>0</v>
      </c>
      <c r="P250" s="47" t="n">
        <v>0</v>
      </c>
      <c r="Q250" s="47" t="n">
        <v>0</v>
      </c>
      <c r="R250" s="47" t="n">
        <v>0</v>
      </c>
      <c r="S250" s="47" t="n">
        <v>0</v>
      </c>
      <c r="T250" s="47" t="n">
        <v>0</v>
      </c>
      <c r="U250" s="47" t="n">
        <v>0</v>
      </c>
      <c r="V250" s="47" t="n">
        <v>0</v>
      </c>
      <c r="W250" s="47" t="n">
        <v>0</v>
      </c>
      <c r="X250" s="47" t="n">
        <v>0</v>
      </c>
      <c r="Y250" s="47" t="n">
        <v>0</v>
      </c>
      <c r="Z250" s="47" t="n">
        <v>0</v>
      </c>
      <c r="AA250" s="47" t="n">
        <v>0</v>
      </c>
      <c r="AB250" s="47" t="n">
        <v>0</v>
      </c>
      <c r="AC250" s="47" t="n">
        <v>0</v>
      </c>
      <c r="AD250" s="47" t="n">
        <v>0</v>
      </c>
      <c r="AE250" s="47" t="n">
        <v>0</v>
      </c>
      <c r="AF250" s="47" t="n">
        <v>0</v>
      </c>
      <c r="AG250" s="47" t="n">
        <v>0</v>
      </c>
      <c r="AH250" s="47" t="n">
        <v>0</v>
      </c>
      <c r="AI250" s="47" t="n">
        <v>0</v>
      </c>
      <c r="AJ250" s="47" t="n">
        <v>0</v>
      </c>
      <c r="AK250" s="47" t="n">
        <v>0</v>
      </c>
      <c r="AL250" s="47" t="n">
        <v>0</v>
      </c>
      <c r="AM250" s="47" t="n">
        <v>0</v>
      </c>
      <c r="AN250" s="47" t="n">
        <v>0</v>
      </c>
      <c r="AO250" s="47" t="n">
        <v>0</v>
      </c>
      <c r="AP250" s="47" t="n">
        <v>0</v>
      </c>
      <c r="AQ250" s="47" t="n">
        <v>0</v>
      </c>
      <c r="AR250" s="47" t="n">
        <v>0</v>
      </c>
      <c r="AS250" s="47" t="n">
        <v>0</v>
      </c>
      <c r="AT250" s="47" t="n">
        <v>0</v>
      </c>
      <c r="AU250" s="47" t="n">
        <v>0</v>
      </c>
      <c r="AV250" s="47" t="n">
        <v>0</v>
      </c>
      <c r="AW250" s="47" t="n">
        <v>0</v>
      </c>
      <c r="AX250" s="47" t="n">
        <v>0</v>
      </c>
      <c r="AY250" s="47" t="n">
        <v>0</v>
      </c>
      <c r="AZ250" s="47" t="n">
        <v>0</v>
      </c>
      <c r="BA250" s="47" t="n">
        <v>0</v>
      </c>
      <c r="BB250" s="47" t="n">
        <v>0</v>
      </c>
      <c r="BC250" s="47" t="n">
        <v>0</v>
      </c>
      <c r="BD250" s="47" t="n">
        <v>0</v>
      </c>
      <c r="BE250" s="47" t="n">
        <v>0</v>
      </c>
      <c r="BF250" s="47" t="n">
        <v>0</v>
      </c>
      <c r="BG250" s="47" t="n">
        <v>0</v>
      </c>
      <c r="BH250" s="47" t="n">
        <v>0</v>
      </c>
      <c r="BI250" s="47" t="n">
        <v>0</v>
      </c>
      <c r="BJ250" s="47" t="n">
        <v>0</v>
      </c>
      <c r="BK250" s="47" t="n">
        <v>0</v>
      </c>
      <c r="BL250" s="47" t="n">
        <v>0</v>
      </c>
      <c r="BM250" s="47" t="n">
        <v>0</v>
      </c>
      <c r="BN250" s="47" t="n">
        <v>0</v>
      </c>
      <c r="BO250" s="47" t="n">
        <v>0</v>
      </c>
      <c r="BP250" s="47" t="n">
        <v>0</v>
      </c>
      <c r="BQ250" s="47" t="n">
        <v>0</v>
      </c>
      <c r="BR250" s="47" t="n">
        <v>0</v>
      </c>
      <c r="BS250" s="47" t="n">
        <v>0</v>
      </c>
      <c r="BT250" s="47" t="n">
        <v>0</v>
      </c>
      <c r="BU250" s="47" t="n">
        <v>0</v>
      </c>
      <c r="BV250" s="47" t="n">
        <v>0</v>
      </c>
      <c r="BW250" s="102" t="n"/>
      <c r="BX250" s="102" t="n"/>
      <c r="BY250" s="102" t="n"/>
      <c r="BZ250" s="102" t="n"/>
      <c r="CA250" s="102" t="n"/>
      <c r="CB250" s="102" t="n"/>
      <c r="CC250" s="102" t="n"/>
      <c r="CD250" s="102" t="n"/>
      <c r="CE250" s="102" t="n"/>
      <c r="CF250" s="102" t="n"/>
      <c r="CG250" s="102" t="n"/>
      <c r="CH250" s="102" t="n"/>
      <c r="CI250" s="102" t="n"/>
      <c r="CJ250" s="102" t="n"/>
      <c r="CK250" s="102" t="n"/>
      <c r="CL250" s="102" t="n"/>
      <c r="CM250" s="102" t="n"/>
      <c r="CN250" s="102" t="n"/>
      <c r="CO250" s="102" t="n"/>
      <c r="CP250" s="102" t="n"/>
      <c r="CQ250" s="102" t="n"/>
      <c r="CR250" s="102" t="n"/>
      <c r="CS250" s="102" t="n"/>
      <c r="CT250" s="102" t="n"/>
      <c r="CU250" s="102" t="n"/>
      <c r="CV250" s="102" t="n"/>
      <c r="CW250" s="102" t="n"/>
      <c r="CX250" s="102" t="n"/>
      <c r="CY250" s="102" t="n"/>
      <c r="CZ250" s="102" t="n"/>
      <c r="DA250" s="102" t="n"/>
      <c r="DB250" s="102" t="n"/>
      <c r="DC250" s="102" t="n"/>
      <c r="DD250" s="102" t="n"/>
      <c r="DE250" s="102" t="n"/>
      <c r="DF250" s="102" t="n"/>
      <c r="DG250" s="102" t="n"/>
      <c r="DH250" s="102" t="n"/>
      <c r="DI250" s="102" t="n"/>
      <c r="DJ250" s="102" t="n"/>
      <c r="DK250" s="102" t="n"/>
      <c r="DL250" s="102" t="n"/>
      <c r="DM250" s="102" t="n"/>
      <c r="DN250" s="102" t="n"/>
      <c r="DO250" s="102" t="n"/>
      <c r="DP250" s="102" t="n"/>
      <c r="DQ250" s="102" t="n"/>
      <c r="DR250" s="102" t="n"/>
      <c r="DT250" s="46" t="n"/>
      <c r="DU250" s="46" t="n"/>
      <c r="DV250" s="46" t="n"/>
      <c r="DW250" s="46" t="n"/>
    </row>
    <row r="251" hidden="1" outlineLevel="1" ht="15.75" customHeight="1">
      <c r="B251" s="5" t="inlineStr">
        <is>
          <t>AOA</t>
        </is>
      </c>
      <c r="C251" s="68" t="inlineStr">
        <is>
          <t>Lower Middle Market</t>
        </is>
      </c>
      <c r="E251" s="46">
        <f>+SUMIFS($O251:$DR251,$O$7:$DR$7,E$7)</f>
        <v/>
      </c>
      <c r="F251" s="46">
        <f>+SUMIFS($O251:$DR251,$O$7:$DR$7,F$7)</f>
        <v/>
      </c>
      <c r="G251" s="46">
        <f>+SUMIFS($O251:$DR251,$O$7:$DR$7,G$7)</f>
        <v/>
      </c>
      <c r="H251" s="46">
        <f>+SUMIFS($O251:$DR251,$O$7:$DR$7,H$7)</f>
        <v/>
      </c>
      <c r="I251" s="46">
        <f>+SUMIFS($O251:$DR251,$O$7:$DR$7,I$7)</f>
        <v/>
      </c>
      <c r="J251" s="46">
        <f>+SUMIFS($O251:$DR251,$O$7:$DR$7,J$7)</f>
        <v/>
      </c>
      <c r="K251" s="46">
        <f>+SUMIFS($O251:$DR251,$O$7:$DR$7,K$7)</f>
        <v/>
      </c>
      <c r="L251" s="46">
        <f>+SUMIFS($O251:$DR251,$O$7:$DR$7,L$7)</f>
        <v/>
      </c>
      <c r="M251" s="46">
        <f>+SUMIFS($O251:$DR251,$O$7:$DR$7,M$7)</f>
        <v/>
      </c>
      <c r="O251" s="47" t="n">
        <v>0</v>
      </c>
      <c r="P251" s="47" t="n">
        <v>0</v>
      </c>
      <c r="Q251" s="47" t="n">
        <v>0</v>
      </c>
      <c r="R251" s="47" t="n">
        <v>0</v>
      </c>
      <c r="S251" s="47" t="n">
        <v>0</v>
      </c>
      <c r="T251" s="47" t="n">
        <v>0</v>
      </c>
      <c r="U251" s="47" t="n">
        <v>0</v>
      </c>
      <c r="V251" s="47" t="n">
        <v>0</v>
      </c>
      <c r="W251" s="47" t="n">
        <v>0</v>
      </c>
      <c r="X251" s="47" t="n">
        <v>0</v>
      </c>
      <c r="Y251" s="47" t="n">
        <v>0</v>
      </c>
      <c r="Z251" s="47" t="n">
        <v>0</v>
      </c>
      <c r="AA251" s="47" t="n">
        <v>0</v>
      </c>
      <c r="AB251" s="47" t="n">
        <v>0</v>
      </c>
      <c r="AC251" s="47" t="n">
        <v>0</v>
      </c>
      <c r="AD251" s="47" t="n">
        <v>0</v>
      </c>
      <c r="AE251" s="47" t="n">
        <v>0</v>
      </c>
      <c r="AF251" s="47" t="n">
        <v>0</v>
      </c>
      <c r="AG251" s="47" t="n">
        <v>0</v>
      </c>
      <c r="AH251" s="47" t="n">
        <v>0</v>
      </c>
      <c r="AI251" s="47" t="n">
        <v>0</v>
      </c>
      <c r="AJ251" s="47" t="n">
        <v>0</v>
      </c>
      <c r="AK251" s="47" t="n">
        <v>0</v>
      </c>
      <c r="AL251" s="47" t="n">
        <v>0</v>
      </c>
      <c r="AM251" s="47" t="n">
        <v>0</v>
      </c>
      <c r="AN251" s="47" t="n">
        <v>0</v>
      </c>
      <c r="AO251" s="47" t="n">
        <v>0</v>
      </c>
      <c r="AP251" s="47" t="n">
        <v>0</v>
      </c>
      <c r="AQ251" s="47" t="n">
        <v>0</v>
      </c>
      <c r="AR251" s="47" t="n">
        <v>0</v>
      </c>
      <c r="AS251" s="47" t="n">
        <v>0</v>
      </c>
      <c r="AT251" s="47" t="n">
        <v>0</v>
      </c>
      <c r="AU251" s="47" t="n">
        <v>0</v>
      </c>
      <c r="AV251" s="47" t="n">
        <v>0</v>
      </c>
      <c r="AW251" s="47" t="n">
        <v>0</v>
      </c>
      <c r="AX251" s="47" t="n">
        <v>0</v>
      </c>
      <c r="AY251" s="47" t="n">
        <v>0</v>
      </c>
      <c r="AZ251" s="47" t="n">
        <v>0</v>
      </c>
      <c r="BA251" s="47" t="n">
        <v>0</v>
      </c>
      <c r="BB251" s="47" t="n">
        <v>0</v>
      </c>
      <c r="BC251" s="47" t="n">
        <v>0</v>
      </c>
      <c r="BD251" s="47" t="n">
        <v>0</v>
      </c>
      <c r="BE251" s="47" t="n">
        <v>0</v>
      </c>
      <c r="BF251" s="47" t="n">
        <v>0</v>
      </c>
      <c r="BG251" s="47" t="n">
        <v>0</v>
      </c>
      <c r="BH251" s="47" t="n">
        <v>0</v>
      </c>
      <c r="BI251" s="47" t="n">
        <v>0</v>
      </c>
      <c r="BJ251" s="47" t="n">
        <v>0</v>
      </c>
      <c r="BK251" s="47" t="n">
        <v>0</v>
      </c>
      <c r="BL251" s="47" t="n">
        <v>0</v>
      </c>
      <c r="BM251" s="47" t="n">
        <v>0</v>
      </c>
      <c r="BN251" s="47" t="n">
        <v>0</v>
      </c>
      <c r="BO251" s="47" t="n">
        <v>0</v>
      </c>
      <c r="BP251" s="47" t="n">
        <v>0</v>
      </c>
      <c r="BQ251" s="47" t="n">
        <v>0</v>
      </c>
      <c r="BR251" s="47" t="n">
        <v>0</v>
      </c>
      <c r="BS251" s="47" t="n">
        <v>0</v>
      </c>
      <c r="BT251" s="47" t="n">
        <v>0</v>
      </c>
      <c r="BU251" s="47" t="n">
        <v>0</v>
      </c>
      <c r="BV251" s="47" t="n">
        <v>0</v>
      </c>
      <c r="BW251" s="102" t="n"/>
      <c r="BX251" s="102" t="n"/>
      <c r="BY251" s="102" t="n"/>
      <c r="BZ251" s="102" t="n"/>
      <c r="CA251" s="102" t="n"/>
      <c r="CB251" s="102" t="n"/>
      <c r="CC251" s="102" t="n"/>
      <c r="CD251" s="102" t="n"/>
      <c r="CE251" s="102" t="n"/>
      <c r="CF251" s="102" t="n"/>
      <c r="CG251" s="102" t="n"/>
      <c r="CH251" s="102" t="n"/>
      <c r="CI251" s="102" t="n"/>
      <c r="CJ251" s="102" t="n"/>
      <c r="CK251" s="102" t="n"/>
      <c r="CL251" s="102" t="n"/>
      <c r="CM251" s="102" t="n"/>
      <c r="CN251" s="102" t="n"/>
      <c r="CO251" s="102" t="n"/>
      <c r="CP251" s="102" t="n"/>
      <c r="CQ251" s="102" t="n"/>
      <c r="CR251" s="102" t="n"/>
      <c r="CS251" s="102" t="n"/>
      <c r="CT251" s="102" t="n"/>
      <c r="CU251" s="102" t="n"/>
      <c r="CV251" s="102" t="n"/>
      <c r="CW251" s="102" t="n"/>
      <c r="CX251" s="102" t="n"/>
      <c r="CY251" s="102" t="n"/>
      <c r="CZ251" s="102" t="n"/>
      <c r="DA251" s="102" t="n"/>
      <c r="DB251" s="102" t="n"/>
      <c r="DC251" s="102" t="n"/>
      <c r="DD251" s="102" t="n"/>
      <c r="DE251" s="102" t="n"/>
      <c r="DF251" s="102" t="n"/>
      <c r="DG251" s="102" t="n"/>
      <c r="DH251" s="102" t="n"/>
      <c r="DI251" s="102" t="n"/>
      <c r="DJ251" s="102" t="n"/>
      <c r="DK251" s="102" t="n"/>
      <c r="DL251" s="102" t="n"/>
      <c r="DM251" s="102" t="n"/>
      <c r="DN251" s="102" t="n"/>
      <c r="DO251" s="102" t="n"/>
      <c r="DP251" s="102" t="n"/>
      <c r="DQ251" s="102" t="n"/>
      <c r="DR251" s="102" t="n"/>
      <c r="DT251" s="46" t="n"/>
      <c r="DU251" s="46" t="n"/>
      <c r="DV251" s="46" t="n"/>
      <c r="DW251" s="46" t="n"/>
    </row>
    <row r="252" hidden="1" outlineLevel="1" ht="15.75" customHeight="1">
      <c r="B252" s="5" t="inlineStr">
        <is>
          <t>ASHA</t>
        </is>
      </c>
      <c r="C252" s="68" t="inlineStr">
        <is>
          <t>Lower Middle Market</t>
        </is>
      </c>
      <c r="E252" s="46">
        <f>+SUMIFS($O252:$DR252,$O$7:$DR$7,E$7)</f>
        <v/>
      </c>
      <c r="F252" s="46">
        <f>+SUMIFS($O252:$DR252,$O$7:$DR$7,F$7)</f>
        <v/>
      </c>
      <c r="G252" s="46">
        <f>+SUMIFS($O252:$DR252,$O$7:$DR$7,G$7)</f>
        <v/>
      </c>
      <c r="H252" s="46">
        <f>+SUMIFS($O252:$DR252,$O$7:$DR$7,H$7)</f>
        <v/>
      </c>
      <c r="I252" s="46">
        <f>+SUMIFS($O252:$DR252,$O$7:$DR$7,I$7)</f>
        <v/>
      </c>
      <c r="J252" s="46">
        <f>+SUMIFS($O252:$DR252,$O$7:$DR$7,J$7)</f>
        <v/>
      </c>
      <c r="K252" s="46">
        <f>+SUMIFS($O252:$DR252,$O$7:$DR$7,K$7)</f>
        <v/>
      </c>
      <c r="L252" s="46">
        <f>+SUMIFS($O252:$DR252,$O$7:$DR$7,L$7)</f>
        <v/>
      </c>
      <c r="M252" s="46">
        <f>+SUMIFS($O252:$DR252,$O$7:$DR$7,M$7)</f>
        <v/>
      </c>
      <c r="O252" s="47" t="n">
        <v>0</v>
      </c>
      <c r="P252" s="47" t="n">
        <v>0</v>
      </c>
      <c r="Q252" s="47" t="n">
        <v>0</v>
      </c>
      <c r="R252" s="47" t="n">
        <v>0</v>
      </c>
      <c r="S252" s="47" t="n">
        <v>0</v>
      </c>
      <c r="T252" s="47" t="n">
        <v>0</v>
      </c>
      <c r="U252" s="47" t="n">
        <v>0</v>
      </c>
      <c r="V252" s="47" t="n">
        <v>0</v>
      </c>
      <c r="W252" s="47" t="n">
        <v>0</v>
      </c>
      <c r="X252" s="47" t="n">
        <v>0</v>
      </c>
      <c r="Y252" s="47" t="n">
        <v>0</v>
      </c>
      <c r="Z252" s="47" t="n">
        <v>0</v>
      </c>
      <c r="AA252" s="47" t="n">
        <v>0</v>
      </c>
      <c r="AB252" s="47" t="n">
        <v>0</v>
      </c>
      <c r="AC252" s="47" t="n">
        <v>0</v>
      </c>
      <c r="AD252" s="47" t="n">
        <v>0</v>
      </c>
      <c r="AE252" s="47" t="n">
        <v>0</v>
      </c>
      <c r="AF252" s="47" t="n">
        <v>0</v>
      </c>
      <c r="AG252" s="47" t="n">
        <v>0</v>
      </c>
      <c r="AH252" s="47" t="n">
        <v>0</v>
      </c>
      <c r="AI252" s="47" t="n">
        <v>0</v>
      </c>
      <c r="AJ252" s="47" t="n">
        <v>0</v>
      </c>
      <c r="AK252" s="47" t="n">
        <v>0</v>
      </c>
      <c r="AL252" s="47" t="n">
        <v>0</v>
      </c>
      <c r="AM252" s="47" t="n">
        <v>0</v>
      </c>
      <c r="AN252" s="47" t="n">
        <v>0</v>
      </c>
      <c r="AO252" s="47" t="n">
        <v>0</v>
      </c>
      <c r="AP252" s="47" t="n">
        <v>0</v>
      </c>
      <c r="AQ252" s="47" t="n">
        <v>0</v>
      </c>
      <c r="AR252" s="47" t="n">
        <v>0</v>
      </c>
      <c r="AS252" s="47" t="n">
        <v>0</v>
      </c>
      <c r="AT252" s="47" t="n">
        <v>0</v>
      </c>
      <c r="AU252" s="47" t="n">
        <v>0</v>
      </c>
      <c r="AV252" s="47" t="n">
        <v>0</v>
      </c>
      <c r="AW252" s="47" t="n">
        <v>0</v>
      </c>
      <c r="AX252" s="47" t="n">
        <v>0</v>
      </c>
      <c r="AY252" s="47" t="n">
        <v>0</v>
      </c>
      <c r="AZ252" s="47" t="n">
        <v>0</v>
      </c>
      <c r="BA252" s="47" t="n">
        <v>0</v>
      </c>
      <c r="BB252" s="47" t="n">
        <v>0</v>
      </c>
      <c r="BC252" s="47" t="n">
        <v>0</v>
      </c>
      <c r="BD252" s="47" t="n">
        <v>0</v>
      </c>
      <c r="BE252" s="47" t="n">
        <v>0</v>
      </c>
      <c r="BF252" s="47" t="n">
        <v>0</v>
      </c>
      <c r="BG252" s="47" t="n">
        <v>0</v>
      </c>
      <c r="BH252" s="47" t="n">
        <v>0</v>
      </c>
      <c r="BI252" s="47" t="n">
        <v>0</v>
      </c>
      <c r="BJ252" s="47" t="n">
        <v>0</v>
      </c>
      <c r="BK252" s="47" t="n">
        <v>0</v>
      </c>
      <c r="BL252" s="47" t="n">
        <v>0</v>
      </c>
      <c r="BM252" s="47" t="n">
        <v>0</v>
      </c>
      <c r="BN252" s="47" t="n">
        <v>0</v>
      </c>
      <c r="BO252" s="47" t="n">
        <v>0</v>
      </c>
      <c r="BP252" s="47" t="n">
        <v>0</v>
      </c>
      <c r="BQ252" s="47" t="n">
        <v>0</v>
      </c>
      <c r="BR252" s="47" t="n">
        <v>0</v>
      </c>
      <c r="BS252" s="47" t="n">
        <v>0</v>
      </c>
      <c r="BT252" s="47" t="n">
        <v>0</v>
      </c>
      <c r="BU252" s="47" t="n">
        <v>0</v>
      </c>
      <c r="BV252" s="47" t="n">
        <v>0</v>
      </c>
      <c r="BW252" s="102" t="n"/>
      <c r="BX252" s="102" t="n"/>
      <c r="BY252" s="102" t="n"/>
      <c r="BZ252" s="102" t="n"/>
      <c r="CA252" s="102" t="n"/>
      <c r="CB252" s="102" t="n"/>
      <c r="CC252" s="102" t="n"/>
      <c r="CD252" s="102" t="n"/>
      <c r="CE252" s="102" t="n"/>
      <c r="CF252" s="102" t="n"/>
      <c r="CG252" s="102" t="n"/>
      <c r="CH252" s="102" t="n"/>
      <c r="CI252" s="102" t="n"/>
      <c r="CJ252" s="102" t="n"/>
      <c r="CK252" s="102" t="n"/>
      <c r="CL252" s="102" t="n"/>
      <c r="CM252" s="102" t="n"/>
      <c r="CN252" s="102" t="n"/>
      <c r="CO252" s="102" t="n"/>
      <c r="CP252" s="102" t="n"/>
      <c r="CQ252" s="102" t="n"/>
      <c r="CR252" s="102" t="n"/>
      <c r="CS252" s="102" t="n"/>
      <c r="CT252" s="102" t="n"/>
      <c r="CU252" s="102" t="n"/>
      <c r="CV252" s="102" t="n"/>
      <c r="CW252" s="102" t="n"/>
      <c r="CX252" s="102" t="n"/>
      <c r="CY252" s="102" t="n"/>
      <c r="CZ252" s="102" t="n"/>
      <c r="DA252" s="102" t="n"/>
      <c r="DB252" s="102" t="n"/>
      <c r="DC252" s="102" t="n"/>
      <c r="DD252" s="102" t="n"/>
      <c r="DE252" s="102" t="n"/>
      <c r="DF252" s="102" t="n"/>
      <c r="DG252" s="102" t="n"/>
      <c r="DH252" s="102" t="n"/>
      <c r="DI252" s="102" t="n"/>
      <c r="DJ252" s="102" t="n"/>
      <c r="DK252" s="102" t="n"/>
      <c r="DL252" s="102" t="n"/>
      <c r="DM252" s="102" t="n"/>
      <c r="DN252" s="102" t="n"/>
      <c r="DO252" s="102" t="n"/>
      <c r="DP252" s="102" t="n"/>
      <c r="DQ252" s="102" t="n"/>
      <c r="DR252" s="102" t="n"/>
      <c r="DT252" s="46" t="n"/>
      <c r="DU252" s="46" t="n"/>
      <c r="DV252" s="46" t="n"/>
      <c r="DW252" s="46" t="n"/>
    </row>
    <row r="253" hidden="1" outlineLevel="1" ht="15.75" customHeight="1">
      <c r="B253" s="5" t="inlineStr">
        <is>
          <t>ECRI</t>
        </is>
      </c>
      <c r="C253" s="68" t="inlineStr">
        <is>
          <t>Lower Middle Market</t>
        </is>
      </c>
      <c r="E253" s="46">
        <f>+SUMIFS($O253:$DR253,$O$7:$DR$7,E$7)</f>
        <v/>
      </c>
      <c r="F253" s="46">
        <f>+SUMIFS($O253:$DR253,$O$7:$DR$7,F$7)</f>
        <v/>
      </c>
      <c r="G253" s="46">
        <f>+SUMIFS($O253:$DR253,$O$7:$DR$7,G$7)</f>
        <v/>
      </c>
      <c r="H253" s="46">
        <f>+SUMIFS($O253:$DR253,$O$7:$DR$7,H$7)</f>
        <v/>
      </c>
      <c r="I253" s="46">
        <f>+SUMIFS($O253:$DR253,$O$7:$DR$7,I$7)</f>
        <v/>
      </c>
      <c r="J253" s="46">
        <f>+SUMIFS($O253:$DR253,$O$7:$DR$7,J$7)</f>
        <v/>
      </c>
      <c r="K253" s="46">
        <f>+SUMIFS($O253:$DR253,$O$7:$DR$7,K$7)</f>
        <v/>
      </c>
      <c r="L253" s="46">
        <f>+SUMIFS($O253:$DR253,$O$7:$DR$7,L$7)</f>
        <v/>
      </c>
      <c r="M253" s="46">
        <f>+SUMIFS($O253:$DR253,$O$7:$DR$7,M$7)</f>
        <v/>
      </c>
      <c r="O253" s="47" t="n">
        <v>0</v>
      </c>
      <c r="P253" s="47" t="n">
        <v>0</v>
      </c>
      <c r="Q253" s="47" t="n">
        <v>0</v>
      </c>
      <c r="R253" s="47" t="n">
        <v>0</v>
      </c>
      <c r="S253" s="47" t="n">
        <v>0</v>
      </c>
      <c r="T253" s="47" t="n">
        <v>0</v>
      </c>
      <c r="U253" s="47" t="n">
        <v>0</v>
      </c>
      <c r="V253" s="47" t="n">
        <v>0</v>
      </c>
      <c r="W253" s="47" t="n">
        <v>0</v>
      </c>
      <c r="X253" s="47" t="n">
        <v>0</v>
      </c>
      <c r="Y253" s="47" t="n">
        <v>0</v>
      </c>
      <c r="Z253" s="47" t="n">
        <v>0</v>
      </c>
      <c r="AA253" s="47" t="n">
        <v>0</v>
      </c>
      <c r="AB253" s="47" t="n">
        <v>0</v>
      </c>
      <c r="AC253" s="47" t="n">
        <v>0</v>
      </c>
      <c r="AD253" s="47" t="n">
        <v>0</v>
      </c>
      <c r="AE253" s="47" t="n">
        <v>0</v>
      </c>
      <c r="AF253" s="47" t="n">
        <v>0</v>
      </c>
      <c r="AG253" s="47" t="n">
        <v>0</v>
      </c>
      <c r="AH253" s="47" t="n">
        <v>0</v>
      </c>
      <c r="AI253" s="47" t="n">
        <v>0</v>
      </c>
      <c r="AJ253" s="47" t="n">
        <v>0</v>
      </c>
      <c r="AK253" s="47" t="n">
        <v>0</v>
      </c>
      <c r="AL253" s="47" t="n">
        <v>0</v>
      </c>
      <c r="AM253" s="47" t="n">
        <v>0</v>
      </c>
      <c r="AN253" s="47" t="n">
        <v>0</v>
      </c>
      <c r="AO253" s="47" t="n">
        <v>0</v>
      </c>
      <c r="AP253" s="47" t="n">
        <v>0</v>
      </c>
      <c r="AQ253" s="47" t="n">
        <v>0</v>
      </c>
      <c r="AR253" s="47" t="n">
        <v>0</v>
      </c>
      <c r="AS253" s="47" t="n">
        <v>0</v>
      </c>
      <c r="AT253" s="47" t="n">
        <v>0</v>
      </c>
      <c r="AU253" s="47" t="n">
        <v>0</v>
      </c>
      <c r="AV253" s="47" t="n">
        <v>0</v>
      </c>
      <c r="AW253" s="47" t="n">
        <v>0</v>
      </c>
      <c r="AX253" s="47" t="n">
        <v>0</v>
      </c>
      <c r="AY253" s="47" t="n">
        <v>0</v>
      </c>
      <c r="AZ253" s="47" t="n">
        <v>0</v>
      </c>
      <c r="BA253" s="47" t="n">
        <v>0</v>
      </c>
      <c r="BB253" s="47" t="n">
        <v>0</v>
      </c>
      <c r="BC253" s="47" t="n">
        <v>0</v>
      </c>
      <c r="BD253" s="47" t="n">
        <v>0</v>
      </c>
      <c r="BE253" s="47" t="n">
        <v>0</v>
      </c>
      <c r="BF253" s="47" t="n">
        <v>0</v>
      </c>
      <c r="BG253" s="47" t="n">
        <v>0</v>
      </c>
      <c r="BH253" s="47" t="n">
        <v>0</v>
      </c>
      <c r="BI253" s="47" t="n">
        <v>0</v>
      </c>
      <c r="BJ253" s="47" t="n">
        <v>0</v>
      </c>
      <c r="BK253" s="47" t="n">
        <v>0</v>
      </c>
      <c r="BL253" s="47" t="n">
        <v>0</v>
      </c>
      <c r="BM253" s="47" t="n">
        <v>0</v>
      </c>
      <c r="BN253" s="47" t="n">
        <v>0</v>
      </c>
      <c r="BO253" s="47" t="n">
        <v>0</v>
      </c>
      <c r="BP253" s="47" t="n">
        <v>0</v>
      </c>
      <c r="BQ253" s="47" t="n">
        <v>0</v>
      </c>
      <c r="BR253" s="47" t="n">
        <v>0</v>
      </c>
      <c r="BS253" s="47" t="n">
        <v>0</v>
      </c>
      <c r="BT253" s="47" t="n">
        <v>0</v>
      </c>
      <c r="BU253" s="47" t="n">
        <v>0</v>
      </c>
      <c r="BV253" s="47" t="n">
        <v>0</v>
      </c>
      <c r="BW253" s="102" t="n"/>
      <c r="BX253" s="102" t="n"/>
      <c r="BY253" s="102" t="n"/>
      <c r="BZ253" s="102" t="n"/>
      <c r="CA253" s="102" t="n"/>
      <c r="CB253" s="102" t="n"/>
      <c r="CC253" s="102" t="n"/>
      <c r="CD253" s="102" t="n"/>
      <c r="CE253" s="102" t="n"/>
      <c r="CF253" s="102" t="n"/>
      <c r="CG253" s="102" t="n"/>
      <c r="CH253" s="102" t="n"/>
      <c r="CI253" s="102" t="n"/>
      <c r="CJ253" s="102" t="n"/>
      <c r="CK253" s="102" t="n"/>
      <c r="CL253" s="102" t="n"/>
      <c r="CM253" s="102" t="n"/>
      <c r="CN253" s="102" t="n"/>
      <c r="CO253" s="102" t="n"/>
      <c r="CP253" s="102" t="n"/>
      <c r="CQ253" s="102" t="n"/>
      <c r="CR253" s="102" t="n"/>
      <c r="CS253" s="102" t="n"/>
      <c r="CT253" s="102" t="n"/>
      <c r="CU253" s="102" t="n"/>
      <c r="CV253" s="102" t="n"/>
      <c r="CW253" s="102" t="n"/>
      <c r="CX253" s="102" t="n"/>
      <c r="CY253" s="102" t="n"/>
      <c r="CZ253" s="102" t="n"/>
      <c r="DA253" s="102" t="n"/>
      <c r="DB253" s="102" t="n"/>
      <c r="DC253" s="102" t="n"/>
      <c r="DD253" s="102" t="n"/>
      <c r="DE253" s="102" t="n"/>
      <c r="DF253" s="102" t="n"/>
      <c r="DG253" s="102" t="n"/>
      <c r="DH253" s="102" t="n"/>
      <c r="DI253" s="102" t="n"/>
      <c r="DJ253" s="102" t="n"/>
      <c r="DK253" s="102" t="n"/>
      <c r="DL253" s="102" t="n"/>
      <c r="DM253" s="102" t="n"/>
      <c r="DN253" s="102" t="n"/>
      <c r="DO253" s="102" t="n"/>
      <c r="DP253" s="102" t="n"/>
      <c r="DQ253" s="102" t="n"/>
      <c r="DR253" s="102" t="n"/>
      <c r="DT253" s="46" t="n"/>
      <c r="DU253" s="46" t="n"/>
      <c r="DV253" s="46" t="n"/>
      <c r="DW253" s="46" t="n"/>
    </row>
    <row r="254" hidden="1" outlineLevel="1" ht="15.75" customHeight="1">
      <c r="B254" s="5" t="inlineStr">
        <is>
          <t>PCOUK</t>
        </is>
      </c>
      <c r="C254" s="68" t="inlineStr">
        <is>
          <t>Lower Middle Market</t>
        </is>
      </c>
      <c r="E254" s="46">
        <f>+SUMIFS($O254:$DR254,$O$7:$DR$7,E$7)</f>
        <v/>
      </c>
      <c r="F254" s="46">
        <f>+SUMIFS($O254:$DR254,$O$7:$DR$7,F$7)</f>
        <v/>
      </c>
      <c r="G254" s="46">
        <f>+SUMIFS($O254:$DR254,$O$7:$DR$7,G$7)</f>
        <v/>
      </c>
      <c r="H254" s="46">
        <f>+SUMIFS($O254:$DR254,$O$7:$DR$7,H$7)</f>
        <v/>
      </c>
      <c r="I254" s="46">
        <f>+SUMIFS($O254:$DR254,$O$7:$DR$7,I$7)</f>
        <v/>
      </c>
      <c r="J254" s="46">
        <f>+SUMIFS($O254:$DR254,$O$7:$DR$7,J$7)</f>
        <v/>
      </c>
      <c r="K254" s="46">
        <f>+SUMIFS($O254:$DR254,$O$7:$DR$7,K$7)</f>
        <v/>
      </c>
      <c r="L254" s="46">
        <f>+SUMIFS($O254:$DR254,$O$7:$DR$7,L$7)</f>
        <v/>
      </c>
      <c r="M254" s="46">
        <f>+SUMIFS($O254:$DR254,$O$7:$DR$7,M$7)</f>
        <v/>
      </c>
      <c r="O254" s="47" t="n">
        <v>0</v>
      </c>
      <c r="P254" s="47" t="n">
        <v>0</v>
      </c>
      <c r="Q254" s="47" t="n">
        <v>0</v>
      </c>
      <c r="R254" s="47" t="n">
        <v>0</v>
      </c>
      <c r="S254" s="47" t="n">
        <v>0</v>
      </c>
      <c r="T254" s="47" t="n">
        <v>0</v>
      </c>
      <c r="U254" s="47" t="n">
        <v>0</v>
      </c>
      <c r="V254" s="47" t="n">
        <v>0</v>
      </c>
      <c r="W254" s="47" t="n">
        <v>0</v>
      </c>
      <c r="X254" s="47" t="n">
        <v>0</v>
      </c>
      <c r="Y254" s="47" t="n">
        <v>0</v>
      </c>
      <c r="Z254" s="47" t="n">
        <v>0</v>
      </c>
      <c r="AA254" s="47" t="n">
        <v>0</v>
      </c>
      <c r="AB254" s="47" t="n">
        <v>0</v>
      </c>
      <c r="AC254" s="47" t="n">
        <v>0</v>
      </c>
      <c r="AD254" s="47" t="n">
        <v>0</v>
      </c>
      <c r="AE254" s="47" t="n">
        <v>0</v>
      </c>
      <c r="AF254" s="47" t="n">
        <v>0</v>
      </c>
      <c r="AG254" s="47" t="n">
        <v>0</v>
      </c>
      <c r="AH254" s="47" t="n">
        <v>0</v>
      </c>
      <c r="AI254" s="47" t="n">
        <v>0</v>
      </c>
      <c r="AJ254" s="47" t="n">
        <v>0</v>
      </c>
      <c r="AK254" s="47" t="n">
        <v>0</v>
      </c>
      <c r="AL254" s="47" t="n">
        <v>0</v>
      </c>
      <c r="AM254" s="47" t="n">
        <v>0</v>
      </c>
      <c r="AN254" s="47" t="n">
        <v>0</v>
      </c>
      <c r="AO254" s="47" t="n">
        <v>0</v>
      </c>
      <c r="AP254" s="47" t="n">
        <v>0</v>
      </c>
      <c r="AQ254" s="47" t="n">
        <v>0</v>
      </c>
      <c r="AR254" s="47" t="n">
        <v>0</v>
      </c>
      <c r="AS254" s="47" t="n">
        <v>0</v>
      </c>
      <c r="AT254" s="47" t="n">
        <v>0</v>
      </c>
      <c r="AU254" s="47" t="n">
        <v>0</v>
      </c>
      <c r="AV254" s="47" t="n">
        <v>0</v>
      </c>
      <c r="AW254" s="47" t="n">
        <v>0</v>
      </c>
      <c r="AX254" s="47" t="n">
        <v>0</v>
      </c>
      <c r="AY254" s="47" t="n">
        <v>0</v>
      </c>
      <c r="AZ254" s="47" t="n">
        <v>0</v>
      </c>
      <c r="BA254" s="47" t="n">
        <v>0</v>
      </c>
      <c r="BB254" s="47" t="n">
        <v>0</v>
      </c>
      <c r="BC254" s="47" t="n">
        <v>0</v>
      </c>
      <c r="BD254" s="47" t="n">
        <v>0</v>
      </c>
      <c r="BE254" s="47" t="n">
        <v>0</v>
      </c>
      <c r="BF254" s="47" t="n">
        <v>0</v>
      </c>
      <c r="BG254" s="47" t="n">
        <v>0</v>
      </c>
      <c r="BH254" s="47" t="n">
        <v>0</v>
      </c>
      <c r="BI254" s="47" t="n">
        <v>0</v>
      </c>
      <c r="BJ254" s="47" t="n">
        <v>0</v>
      </c>
      <c r="BK254" s="47" t="n">
        <v>0</v>
      </c>
      <c r="BL254" s="47" t="n">
        <v>0</v>
      </c>
      <c r="BM254" s="47" t="n">
        <v>0</v>
      </c>
      <c r="BN254" s="47" t="n">
        <v>0</v>
      </c>
      <c r="BO254" s="47" t="n">
        <v>0</v>
      </c>
      <c r="BP254" s="47" t="n">
        <v>0</v>
      </c>
      <c r="BQ254" s="47" t="n">
        <v>0</v>
      </c>
      <c r="BR254" s="47" t="n">
        <v>0</v>
      </c>
      <c r="BS254" s="47" t="n">
        <v>0</v>
      </c>
      <c r="BT254" s="47" t="n">
        <v>0</v>
      </c>
      <c r="BU254" s="47" t="n">
        <v>0</v>
      </c>
      <c r="BV254" s="47" t="n">
        <v>0</v>
      </c>
      <c r="BW254" s="102" t="n"/>
      <c r="BX254" s="102" t="n"/>
      <c r="BY254" s="102" t="n"/>
      <c r="BZ254" s="102" t="n"/>
      <c r="CA254" s="102" t="n"/>
      <c r="CB254" s="102" t="n"/>
      <c r="CC254" s="102" t="n"/>
      <c r="CD254" s="102" t="n"/>
      <c r="CE254" s="102" t="n"/>
      <c r="CF254" s="102" t="n"/>
      <c r="CG254" s="102" t="n"/>
      <c r="CH254" s="102" t="n"/>
      <c r="CI254" s="102" t="n"/>
      <c r="CJ254" s="102" t="n"/>
      <c r="CK254" s="102" t="n"/>
      <c r="CL254" s="102" t="n"/>
      <c r="CM254" s="102" t="n"/>
      <c r="CN254" s="102" t="n"/>
      <c r="CO254" s="102" t="n"/>
      <c r="CP254" s="102" t="n"/>
      <c r="CQ254" s="102" t="n"/>
      <c r="CR254" s="102" t="n"/>
      <c r="CS254" s="102" t="n"/>
      <c r="CT254" s="102" t="n"/>
      <c r="CU254" s="102" t="n"/>
      <c r="CV254" s="102" t="n"/>
      <c r="CW254" s="102" t="n"/>
      <c r="CX254" s="102" t="n"/>
      <c r="CY254" s="102" t="n"/>
      <c r="CZ254" s="102" t="n"/>
      <c r="DA254" s="102" t="n"/>
      <c r="DB254" s="102" t="n"/>
      <c r="DC254" s="102" t="n"/>
      <c r="DD254" s="102" t="n"/>
      <c r="DE254" s="102" t="n"/>
      <c r="DF254" s="102" t="n"/>
      <c r="DG254" s="102" t="n"/>
      <c r="DH254" s="102" t="n"/>
      <c r="DI254" s="102" t="n"/>
      <c r="DJ254" s="102" t="n"/>
      <c r="DK254" s="102" t="n"/>
      <c r="DL254" s="102" t="n"/>
      <c r="DM254" s="102" t="n"/>
      <c r="DN254" s="102" t="n"/>
      <c r="DO254" s="102" t="n"/>
      <c r="DP254" s="102" t="n"/>
      <c r="DQ254" s="102" t="n"/>
      <c r="DR254" s="102" t="n"/>
      <c r="DT254" s="46" t="n"/>
      <c r="DU254" s="46" t="n"/>
      <c r="DV254" s="46" t="n"/>
      <c r="DW254" s="46" t="n"/>
    </row>
    <row r="255" hidden="1" outlineLevel="1" ht="15.75" customHeight="1">
      <c r="B255" s="5" t="inlineStr">
        <is>
          <t>TISTA</t>
        </is>
      </c>
      <c r="C255" s="68" t="inlineStr">
        <is>
          <t>Lower Middle Market</t>
        </is>
      </c>
      <c r="E255" s="46">
        <f>+SUMIFS($O255:$DR255,$O$7:$DR$7,E$7)</f>
        <v/>
      </c>
      <c r="F255" s="46">
        <f>+SUMIFS($O255:$DR255,$O$7:$DR$7,F$7)</f>
        <v/>
      </c>
      <c r="G255" s="46">
        <f>+SUMIFS($O255:$DR255,$O$7:$DR$7,G$7)</f>
        <v/>
      </c>
      <c r="H255" s="46">
        <f>+SUMIFS($O255:$DR255,$O$7:$DR$7,H$7)</f>
        <v/>
      </c>
      <c r="I255" s="46">
        <f>+SUMIFS($O255:$DR255,$O$7:$DR$7,I$7)</f>
        <v/>
      </c>
      <c r="J255" s="46">
        <f>+SUMIFS($O255:$DR255,$O$7:$DR$7,J$7)</f>
        <v/>
      </c>
      <c r="K255" s="46">
        <f>+SUMIFS($O255:$DR255,$O$7:$DR$7,K$7)</f>
        <v/>
      </c>
      <c r="L255" s="46">
        <f>+SUMIFS($O255:$DR255,$O$7:$DR$7,L$7)</f>
        <v/>
      </c>
      <c r="M255" s="46">
        <f>+SUMIFS($O255:$DR255,$O$7:$DR$7,M$7)</f>
        <v/>
      </c>
      <c r="O255" s="47" t="n">
        <v>0</v>
      </c>
      <c r="P255" s="47" t="n">
        <v>0</v>
      </c>
      <c r="Q255" s="47" t="n">
        <v>0</v>
      </c>
      <c r="R255" s="47" t="n">
        <v>0</v>
      </c>
      <c r="S255" s="47" t="n">
        <v>0</v>
      </c>
      <c r="T255" s="47" t="n">
        <v>0</v>
      </c>
      <c r="U255" s="47" t="n">
        <v>0</v>
      </c>
      <c r="V255" s="47" t="n">
        <v>0</v>
      </c>
      <c r="W255" s="47" t="n">
        <v>0</v>
      </c>
      <c r="X255" s="47" t="n">
        <v>0</v>
      </c>
      <c r="Y255" s="47" t="n">
        <v>0</v>
      </c>
      <c r="Z255" s="47" t="n">
        <v>0</v>
      </c>
      <c r="AA255" s="47" t="n">
        <v>0</v>
      </c>
      <c r="AB255" s="47" t="n">
        <v>0</v>
      </c>
      <c r="AC255" s="47" t="n">
        <v>0</v>
      </c>
      <c r="AD255" s="47" t="n">
        <v>0</v>
      </c>
      <c r="AE255" s="47" t="n">
        <v>0</v>
      </c>
      <c r="AF255" s="47" t="n">
        <v>0</v>
      </c>
      <c r="AG255" s="47" t="n">
        <v>0</v>
      </c>
      <c r="AH255" s="47" t="n">
        <v>0</v>
      </c>
      <c r="AI255" s="47" t="n">
        <v>0</v>
      </c>
      <c r="AJ255" s="47" t="n">
        <v>0</v>
      </c>
      <c r="AK255" s="47" t="n">
        <v>0</v>
      </c>
      <c r="AL255" s="47" t="n">
        <v>0</v>
      </c>
      <c r="AM255" s="47" t="n">
        <v>0</v>
      </c>
      <c r="AN255" s="47" t="n">
        <v>0</v>
      </c>
      <c r="AO255" s="47" t="n">
        <v>0</v>
      </c>
      <c r="AP255" s="47" t="n">
        <v>0</v>
      </c>
      <c r="AQ255" s="47" t="n">
        <v>0</v>
      </c>
      <c r="AR255" s="47" t="n">
        <v>0</v>
      </c>
      <c r="AS255" s="47" t="n">
        <v>0</v>
      </c>
      <c r="AT255" s="47" t="n">
        <v>0</v>
      </c>
      <c r="AU255" s="47" t="n">
        <v>0</v>
      </c>
      <c r="AV255" s="47" t="n">
        <v>0</v>
      </c>
      <c r="AW255" s="47" t="n">
        <v>0</v>
      </c>
      <c r="AX255" s="47" t="n">
        <v>0</v>
      </c>
      <c r="AY255" s="47" t="n">
        <v>0</v>
      </c>
      <c r="AZ255" s="47" t="n">
        <v>0</v>
      </c>
      <c r="BA255" s="47" t="n">
        <v>0</v>
      </c>
      <c r="BB255" s="47" t="n">
        <v>0</v>
      </c>
      <c r="BC255" s="47" t="n">
        <v>0</v>
      </c>
      <c r="BD255" s="47" t="n">
        <v>0</v>
      </c>
      <c r="BE255" s="47" t="n">
        <v>0</v>
      </c>
      <c r="BF255" s="47" t="n">
        <v>0</v>
      </c>
      <c r="BG255" s="47" t="n">
        <v>0</v>
      </c>
      <c r="BH255" s="47" t="n">
        <v>0</v>
      </c>
      <c r="BI255" s="47" t="n">
        <v>0</v>
      </c>
      <c r="BJ255" s="47" t="n">
        <v>0</v>
      </c>
      <c r="BK255" s="47" t="n">
        <v>0</v>
      </c>
      <c r="BL255" s="47" t="n">
        <v>0</v>
      </c>
      <c r="BM255" s="47" t="n">
        <v>0</v>
      </c>
      <c r="BN255" s="47" t="n">
        <v>0</v>
      </c>
      <c r="BO255" s="47" t="n">
        <v>0</v>
      </c>
      <c r="BP255" s="47" t="n">
        <v>0</v>
      </c>
      <c r="BQ255" s="47" t="n">
        <v>0</v>
      </c>
      <c r="BR255" s="47" t="n">
        <v>0</v>
      </c>
      <c r="BS255" s="47" t="n">
        <v>0</v>
      </c>
      <c r="BT255" s="47" t="n">
        <v>0</v>
      </c>
      <c r="BU255" s="47" t="n">
        <v>0</v>
      </c>
      <c r="BV255" s="47" t="n">
        <v>0</v>
      </c>
      <c r="BW255" s="102" t="n"/>
      <c r="BX255" s="102" t="n"/>
      <c r="BY255" s="102" t="n"/>
      <c r="BZ255" s="102" t="n"/>
      <c r="CA255" s="102" t="n"/>
      <c r="CB255" s="102" t="n"/>
      <c r="CC255" s="102" t="n"/>
      <c r="CD255" s="102" t="n"/>
      <c r="CE255" s="102" t="n"/>
      <c r="CF255" s="102" t="n"/>
      <c r="CG255" s="102" t="n"/>
      <c r="CH255" s="102" t="n"/>
      <c r="CI255" s="102" t="n"/>
      <c r="CJ255" s="102" t="n"/>
      <c r="CK255" s="102" t="n"/>
      <c r="CL255" s="102" t="n"/>
      <c r="CM255" s="102" t="n"/>
      <c r="CN255" s="102" t="n"/>
      <c r="CO255" s="102" t="n"/>
      <c r="CP255" s="102" t="n"/>
      <c r="CQ255" s="102" t="n"/>
      <c r="CR255" s="102" t="n"/>
      <c r="CS255" s="102" t="n"/>
      <c r="CT255" s="102" t="n"/>
      <c r="CU255" s="102" t="n"/>
      <c r="CV255" s="102" t="n"/>
      <c r="CW255" s="102" t="n"/>
      <c r="CX255" s="102" t="n"/>
      <c r="CY255" s="102" t="n"/>
      <c r="CZ255" s="102" t="n"/>
      <c r="DA255" s="102" t="n"/>
      <c r="DB255" s="102" t="n"/>
      <c r="DC255" s="102" t="n"/>
      <c r="DD255" s="102" t="n"/>
      <c r="DE255" s="102" t="n"/>
      <c r="DF255" s="102" t="n"/>
      <c r="DG255" s="102" t="n"/>
      <c r="DH255" s="102" t="n"/>
      <c r="DI255" s="102" t="n"/>
      <c r="DJ255" s="102" t="n"/>
      <c r="DK255" s="102" t="n"/>
      <c r="DL255" s="102" t="n"/>
      <c r="DM255" s="102" t="n"/>
      <c r="DN255" s="102" t="n"/>
      <c r="DO255" s="102" t="n"/>
      <c r="DP255" s="102" t="n"/>
      <c r="DQ255" s="102" t="n"/>
      <c r="DR255" s="102" t="n"/>
      <c r="DT255" s="46" t="n"/>
      <c r="DU255" s="46" t="n"/>
      <c r="DV255" s="46" t="n"/>
      <c r="DW255" s="46" t="n"/>
    </row>
    <row r="256" hidden="1" outlineLevel="1" ht="15.75" customHeight="1">
      <c r="B256" s="5" t="inlineStr">
        <is>
          <t>UCSF</t>
        </is>
      </c>
      <c r="C256" s="68" t="inlineStr">
        <is>
          <t>Upper Middle Market</t>
        </is>
      </c>
      <c r="E256" s="46">
        <f>+SUMIFS($O256:$DR256,$O$7:$DR$7,E$7)</f>
        <v/>
      </c>
      <c r="F256" s="46">
        <f>+SUMIFS($O256:$DR256,$O$7:$DR$7,F$7)</f>
        <v/>
      </c>
      <c r="G256" s="46">
        <f>+SUMIFS($O256:$DR256,$O$7:$DR$7,G$7)</f>
        <v/>
      </c>
      <c r="H256" s="46">
        <f>+SUMIFS($O256:$DR256,$O$7:$DR$7,H$7)</f>
        <v/>
      </c>
      <c r="I256" s="46">
        <f>+SUMIFS($O256:$DR256,$O$7:$DR$7,I$7)</f>
        <v/>
      </c>
      <c r="J256" s="46">
        <f>+SUMIFS($O256:$DR256,$O$7:$DR$7,J$7)</f>
        <v/>
      </c>
      <c r="K256" s="46">
        <f>+SUMIFS($O256:$DR256,$O$7:$DR$7,K$7)</f>
        <v/>
      </c>
      <c r="L256" s="46">
        <f>+SUMIFS($O256:$DR256,$O$7:$DR$7,L$7)</f>
        <v/>
      </c>
      <c r="M256" s="46">
        <f>+SUMIFS($O256:$DR256,$O$7:$DR$7,M$7)</f>
        <v/>
      </c>
      <c r="O256" s="47" t="n">
        <v>0</v>
      </c>
      <c r="P256" s="47" t="n">
        <v>0</v>
      </c>
      <c r="Q256" s="47" t="n">
        <v>0</v>
      </c>
      <c r="R256" s="47" t="n">
        <v>0</v>
      </c>
      <c r="S256" s="47" t="n">
        <v>0</v>
      </c>
      <c r="T256" s="47" t="n">
        <v>0</v>
      </c>
      <c r="U256" s="47" t="n">
        <v>0</v>
      </c>
      <c r="V256" s="47" t="n">
        <v>0</v>
      </c>
      <c r="W256" s="47" t="n">
        <v>0</v>
      </c>
      <c r="X256" s="47" t="n">
        <v>0</v>
      </c>
      <c r="Y256" s="47" t="n">
        <v>0</v>
      </c>
      <c r="Z256" s="47" t="n">
        <v>0</v>
      </c>
      <c r="AA256" s="47" t="n">
        <v>0</v>
      </c>
      <c r="AB256" s="47" t="n">
        <v>0</v>
      </c>
      <c r="AC256" s="47" t="n">
        <v>0</v>
      </c>
      <c r="AD256" s="47" t="n">
        <v>0</v>
      </c>
      <c r="AE256" s="47" t="n">
        <v>0</v>
      </c>
      <c r="AF256" s="47" t="n">
        <v>0</v>
      </c>
      <c r="AG256" s="47" t="n">
        <v>0</v>
      </c>
      <c r="AH256" s="47" t="n">
        <v>0</v>
      </c>
      <c r="AI256" s="47" t="n">
        <v>0</v>
      </c>
      <c r="AJ256" s="47" t="n">
        <v>0</v>
      </c>
      <c r="AK256" s="47" t="n">
        <v>0</v>
      </c>
      <c r="AL256" s="47" t="n">
        <v>0</v>
      </c>
      <c r="AM256" s="47" t="n">
        <v>0</v>
      </c>
      <c r="AN256" s="47" t="n">
        <v>0</v>
      </c>
      <c r="AO256" s="47" t="n">
        <v>0</v>
      </c>
      <c r="AP256" s="47" t="n">
        <v>0</v>
      </c>
      <c r="AQ256" s="47" t="n">
        <v>0</v>
      </c>
      <c r="AR256" s="47" t="n">
        <v>0</v>
      </c>
      <c r="AS256" s="47" t="n">
        <v>0</v>
      </c>
      <c r="AT256" s="47" t="n">
        <v>0</v>
      </c>
      <c r="AU256" s="47" t="n">
        <v>0</v>
      </c>
      <c r="AV256" s="47" t="n">
        <v>0</v>
      </c>
      <c r="AW256" s="47" t="n">
        <v>0</v>
      </c>
      <c r="AX256" s="47" t="n">
        <v>0</v>
      </c>
      <c r="AY256" s="47" t="n">
        <v>0</v>
      </c>
      <c r="AZ256" s="47" t="n">
        <v>0</v>
      </c>
      <c r="BA256" s="47" t="n">
        <v>0</v>
      </c>
      <c r="BB256" s="47" t="n">
        <v>0</v>
      </c>
      <c r="BC256" s="47" t="n">
        <v>0</v>
      </c>
      <c r="BD256" s="47" t="n">
        <v>0</v>
      </c>
      <c r="BE256" s="47" t="n">
        <v>0</v>
      </c>
      <c r="BF256" s="47" t="n">
        <v>0</v>
      </c>
      <c r="BG256" s="47" t="n">
        <v>0</v>
      </c>
      <c r="BH256" s="47" t="n">
        <v>0</v>
      </c>
      <c r="BI256" s="47" t="n">
        <v>0</v>
      </c>
      <c r="BJ256" s="47" t="n">
        <v>0</v>
      </c>
      <c r="BK256" s="47" t="n">
        <v>0</v>
      </c>
      <c r="BL256" s="47" t="n">
        <v>0</v>
      </c>
      <c r="BM256" s="47" t="n">
        <v>0</v>
      </c>
      <c r="BN256" s="47" t="n">
        <v>0</v>
      </c>
      <c r="BO256" s="47" t="n">
        <v>0</v>
      </c>
      <c r="BP256" s="47" t="n">
        <v>0</v>
      </c>
      <c r="BQ256" s="47" t="n">
        <v>0</v>
      </c>
      <c r="BR256" s="47" t="n">
        <v>0</v>
      </c>
      <c r="BS256" s="47" t="n">
        <v>0</v>
      </c>
      <c r="BT256" s="47" t="n">
        <v>0</v>
      </c>
      <c r="BU256" s="47" t="n">
        <v>0</v>
      </c>
      <c r="BV256" s="47" t="n">
        <v>0</v>
      </c>
      <c r="BW256" s="102" t="n"/>
      <c r="BX256" s="102" t="n"/>
      <c r="BY256" s="102" t="n"/>
      <c r="BZ256" s="102" t="n"/>
      <c r="CA256" s="102" t="n"/>
      <c r="CB256" s="102" t="n"/>
      <c r="CC256" s="102" t="n"/>
      <c r="CD256" s="102" t="n"/>
      <c r="CE256" s="102" t="n"/>
      <c r="CF256" s="102" t="n"/>
      <c r="CG256" s="102" t="n"/>
      <c r="CH256" s="102" t="n"/>
      <c r="CI256" s="102" t="n"/>
      <c r="CJ256" s="102" t="n"/>
      <c r="CK256" s="102" t="n"/>
      <c r="CL256" s="102" t="n"/>
      <c r="CM256" s="102" t="n"/>
      <c r="CN256" s="102" t="n"/>
      <c r="CO256" s="102" t="n"/>
      <c r="CP256" s="102" t="n"/>
      <c r="CQ256" s="102" t="n"/>
      <c r="CR256" s="102" t="n"/>
      <c r="CS256" s="102" t="n"/>
      <c r="CT256" s="102" t="n"/>
      <c r="CU256" s="102" t="n"/>
      <c r="CV256" s="102" t="n"/>
      <c r="CW256" s="102" t="n"/>
      <c r="CX256" s="102" t="n"/>
      <c r="CY256" s="102" t="n"/>
      <c r="CZ256" s="102" t="n"/>
      <c r="DA256" s="102" t="n"/>
      <c r="DB256" s="102" t="n"/>
      <c r="DC256" s="102" t="n"/>
      <c r="DD256" s="102" t="n"/>
      <c r="DE256" s="102" t="n"/>
      <c r="DF256" s="102" t="n"/>
      <c r="DG256" s="102" t="n"/>
      <c r="DH256" s="102" t="n"/>
      <c r="DI256" s="102" t="n"/>
      <c r="DJ256" s="102" t="n"/>
      <c r="DK256" s="102" t="n"/>
      <c r="DL256" s="102" t="n"/>
      <c r="DM256" s="102" t="n"/>
      <c r="DN256" s="102" t="n"/>
      <c r="DO256" s="102" t="n"/>
      <c r="DP256" s="102" t="n"/>
      <c r="DQ256" s="102" t="n"/>
      <c r="DR256" s="102" t="n"/>
      <c r="DT256" s="46" t="n"/>
      <c r="DU256" s="46" t="n"/>
      <c r="DV256" s="46" t="n"/>
      <c r="DW256" s="46" t="n"/>
    </row>
    <row r="257" hidden="1" outlineLevel="1" ht="15.75" customHeight="1">
      <c r="B257" s="5" t="inlineStr">
        <is>
          <t>OTHER</t>
        </is>
      </c>
      <c r="C257" s="68" t="inlineStr">
        <is>
          <t>Lower Middle Market</t>
        </is>
      </c>
      <c r="E257" s="46">
        <f>+SUMIFS($O257:$DR257,$O$7:$DR$7,E$7)</f>
        <v/>
      </c>
      <c r="F257" s="46">
        <f>+SUMIFS($O257:$DR257,$O$7:$DR$7,F$7)</f>
        <v/>
      </c>
      <c r="G257" s="46">
        <f>+SUMIFS($O257:$DR257,$O$7:$DR$7,G$7)</f>
        <v/>
      </c>
      <c r="H257" s="46">
        <f>+SUMIFS($O257:$DR257,$O$7:$DR$7,H$7)</f>
        <v/>
      </c>
      <c r="I257" s="46">
        <f>+SUMIFS($O257:$DR257,$O$7:$DR$7,I$7)</f>
        <v/>
      </c>
      <c r="J257" s="46">
        <f>+SUMIFS($O257:$DR257,$O$7:$DR$7,J$7)</f>
        <v/>
      </c>
      <c r="K257" s="46">
        <f>+SUMIFS($O257:$DR257,$O$7:$DR$7,K$7)</f>
        <v/>
      </c>
      <c r="L257" s="46">
        <f>+SUMIFS($O257:$DR257,$O$7:$DR$7,L$7)</f>
        <v/>
      </c>
      <c r="M257" s="46">
        <f>+SUMIFS($O257:$DR257,$O$7:$DR$7,M$7)</f>
        <v/>
      </c>
      <c r="O257" s="47" t="n">
        <v>0</v>
      </c>
      <c r="P257" s="47" t="n">
        <v>0</v>
      </c>
      <c r="Q257" s="47" t="n">
        <v>0</v>
      </c>
      <c r="R257" s="47" t="n">
        <v>0</v>
      </c>
      <c r="S257" s="47" t="n">
        <v>0</v>
      </c>
      <c r="T257" s="47" t="n">
        <v>0</v>
      </c>
      <c r="U257" s="47" t="n">
        <v>0</v>
      </c>
      <c r="V257" s="47" t="n">
        <v>0</v>
      </c>
      <c r="W257" s="47" t="n">
        <v>0</v>
      </c>
      <c r="X257" s="47" t="n">
        <v>0</v>
      </c>
      <c r="Y257" s="47" t="n">
        <v>0</v>
      </c>
      <c r="Z257" s="47" t="n">
        <v>0</v>
      </c>
      <c r="AA257" s="47" t="n">
        <v>0</v>
      </c>
      <c r="AB257" s="47" t="n">
        <v>0</v>
      </c>
      <c r="AC257" s="47" t="n">
        <v>0</v>
      </c>
      <c r="AD257" s="47" t="n">
        <v>0</v>
      </c>
      <c r="AE257" s="47" t="n">
        <v>0</v>
      </c>
      <c r="AF257" s="47" t="n">
        <v>0</v>
      </c>
      <c r="AG257" s="47" t="n">
        <v>0</v>
      </c>
      <c r="AH257" s="47" t="n">
        <v>0</v>
      </c>
      <c r="AI257" s="47" t="n">
        <v>0</v>
      </c>
      <c r="AJ257" s="47" t="n">
        <v>0</v>
      </c>
      <c r="AK257" s="47" t="n">
        <v>0</v>
      </c>
      <c r="AL257" s="47" t="n">
        <v>0</v>
      </c>
      <c r="AM257" s="47" t="n">
        <v>0</v>
      </c>
      <c r="AN257" s="47" t="n">
        <v>0</v>
      </c>
      <c r="AO257" s="47" t="n">
        <v>0</v>
      </c>
      <c r="AP257" s="47" t="n">
        <v>0</v>
      </c>
      <c r="AQ257" s="47" t="n">
        <v>0</v>
      </c>
      <c r="AR257" s="47" t="n">
        <v>0</v>
      </c>
      <c r="AS257" s="47" t="n">
        <v>0</v>
      </c>
      <c r="AT257" s="47" t="n">
        <v>0</v>
      </c>
      <c r="AU257" s="47" t="n">
        <v>0</v>
      </c>
      <c r="AV257" s="47" t="n">
        <v>0</v>
      </c>
      <c r="AW257" s="47" t="n">
        <v>0</v>
      </c>
      <c r="AX257" s="47" t="n">
        <v>0</v>
      </c>
      <c r="AY257" s="47" t="n">
        <v>0</v>
      </c>
      <c r="AZ257" s="47" t="n">
        <v>0</v>
      </c>
      <c r="BA257" s="47" t="n">
        <v>0</v>
      </c>
      <c r="BB257" s="47" t="n">
        <v>0</v>
      </c>
      <c r="BC257" s="47" t="n">
        <v>0</v>
      </c>
      <c r="BD257" s="47" t="n">
        <v>0</v>
      </c>
      <c r="BE257" s="47" t="n">
        <v>0</v>
      </c>
      <c r="BF257" s="47" t="n">
        <v>0</v>
      </c>
      <c r="BG257" s="47" t="n">
        <v>0</v>
      </c>
      <c r="BH257" s="47" t="n">
        <v>0</v>
      </c>
      <c r="BI257" s="47" t="n">
        <v>0</v>
      </c>
      <c r="BJ257" s="47" t="n">
        <v>0</v>
      </c>
      <c r="BK257" s="47" t="n">
        <v>0</v>
      </c>
      <c r="BL257" s="47" t="n">
        <v>0</v>
      </c>
      <c r="BM257" s="47" t="n">
        <v>0</v>
      </c>
      <c r="BN257" s="47" t="n">
        <v>0</v>
      </c>
      <c r="BO257" s="47" t="n">
        <v>0</v>
      </c>
      <c r="BP257" s="47" t="n">
        <v>0</v>
      </c>
      <c r="BQ257" s="47" t="n">
        <v>0</v>
      </c>
      <c r="BR257" s="47" t="n">
        <v>0</v>
      </c>
      <c r="BS257" s="47" t="n">
        <v>0</v>
      </c>
      <c r="BT257" s="47" t="n">
        <v>0</v>
      </c>
      <c r="BU257" s="47" t="n">
        <v>0</v>
      </c>
      <c r="BV257" s="47" t="n">
        <v>0</v>
      </c>
      <c r="BW257" s="102" t="n"/>
      <c r="BX257" s="102" t="n"/>
      <c r="BY257" s="102" t="n"/>
      <c r="BZ257" s="102" t="n"/>
      <c r="CA257" s="102" t="n"/>
      <c r="CB257" s="102" t="n"/>
      <c r="CC257" s="102" t="n"/>
      <c r="CD257" s="102" t="n"/>
      <c r="CE257" s="102" t="n"/>
      <c r="CF257" s="102" t="n"/>
      <c r="CG257" s="102" t="n"/>
      <c r="CH257" s="102" t="n"/>
      <c r="CI257" s="102" t="n"/>
      <c r="CJ257" s="102" t="n"/>
      <c r="CK257" s="102" t="n"/>
      <c r="CL257" s="102" t="n"/>
      <c r="CM257" s="102" t="n"/>
      <c r="CN257" s="102" t="n"/>
      <c r="CO257" s="102" t="n"/>
      <c r="CP257" s="102" t="n"/>
      <c r="CQ257" s="102" t="n"/>
      <c r="CR257" s="102" t="n"/>
      <c r="CS257" s="102" t="n"/>
      <c r="CT257" s="102" t="n"/>
      <c r="CU257" s="102" t="n"/>
      <c r="CV257" s="102" t="n"/>
      <c r="CW257" s="102" t="n"/>
      <c r="CX257" s="102" t="n"/>
      <c r="CY257" s="102" t="n"/>
      <c r="CZ257" s="102" t="n"/>
      <c r="DA257" s="102" t="n"/>
      <c r="DB257" s="102" t="n"/>
      <c r="DC257" s="102" t="n"/>
      <c r="DD257" s="102" t="n"/>
      <c r="DE257" s="102" t="n"/>
      <c r="DF257" s="102" t="n"/>
      <c r="DG257" s="102" t="n"/>
      <c r="DH257" s="102" t="n"/>
      <c r="DI257" s="102" t="n"/>
      <c r="DJ257" s="102" t="n"/>
      <c r="DK257" s="102" t="n"/>
      <c r="DL257" s="102" t="n"/>
      <c r="DM257" s="102" t="n"/>
      <c r="DN257" s="102" t="n"/>
      <c r="DO257" s="102" t="n"/>
      <c r="DP257" s="102" t="n"/>
      <c r="DQ257" s="102" t="n"/>
      <c r="DR257" s="102" t="n"/>
      <c r="DT257" s="46" t="n"/>
      <c r="DU257" s="46" t="n"/>
      <c r="DV257" s="46" t="n"/>
      <c r="DW257" s="46" t="n"/>
    </row>
    <row r="258" hidden="1" outlineLevel="1" ht="15.75" customHeight="1">
      <c r="B258" s="5" t="inlineStr">
        <is>
          <t>AAAS</t>
        </is>
      </c>
      <c r="C258" s="68" t="inlineStr">
        <is>
          <t>Lower Middle Market</t>
        </is>
      </c>
      <c r="E258" s="46">
        <f>+SUMIFS($O258:$DR258,$O$7:$DR$7,E$7)</f>
        <v/>
      </c>
      <c r="F258" s="46">
        <f>+SUMIFS($O258:$DR258,$O$7:$DR$7,F$7)</f>
        <v/>
      </c>
      <c r="G258" s="46">
        <f>+SUMIFS($O258:$DR258,$O$7:$DR$7,G$7)</f>
        <v/>
      </c>
      <c r="H258" s="46">
        <f>+SUMIFS($O258:$DR258,$O$7:$DR$7,H$7)</f>
        <v/>
      </c>
      <c r="I258" s="46">
        <f>+SUMIFS($O258:$DR258,$O$7:$DR$7,I$7)</f>
        <v/>
      </c>
      <c r="J258" s="46">
        <f>+SUMIFS($O258:$DR258,$O$7:$DR$7,J$7)</f>
        <v/>
      </c>
      <c r="K258" s="46">
        <f>+SUMIFS($O258:$DR258,$O$7:$DR$7,K$7)</f>
        <v/>
      </c>
      <c r="L258" s="46">
        <f>+SUMIFS($O258:$DR258,$O$7:$DR$7,L$7)</f>
        <v/>
      </c>
      <c r="M258" s="46">
        <f>+SUMIFS($O258:$DR258,$O$7:$DR$7,M$7)</f>
        <v/>
      </c>
      <c r="O258" s="47" t="n">
        <v>0</v>
      </c>
      <c r="P258" s="47" t="n">
        <v>0</v>
      </c>
      <c r="Q258" s="47" t="n">
        <v>0</v>
      </c>
      <c r="R258" s="47" t="n">
        <v>0</v>
      </c>
      <c r="S258" s="47" t="n">
        <v>0</v>
      </c>
      <c r="T258" s="47" t="n">
        <v>0</v>
      </c>
      <c r="U258" s="47" t="n">
        <v>0</v>
      </c>
      <c r="V258" s="47" t="n">
        <v>0</v>
      </c>
      <c r="W258" s="47" t="n">
        <v>0</v>
      </c>
      <c r="X258" s="47" t="n">
        <v>0</v>
      </c>
      <c r="Y258" s="47" t="n">
        <v>0</v>
      </c>
      <c r="Z258" s="47" t="n">
        <v>0</v>
      </c>
      <c r="AA258" s="47" t="n">
        <v>0</v>
      </c>
      <c r="AB258" s="47" t="n">
        <v>0</v>
      </c>
      <c r="AC258" s="47" t="n">
        <v>0</v>
      </c>
      <c r="AD258" s="47" t="n">
        <v>0</v>
      </c>
      <c r="AE258" s="47" t="n">
        <v>0</v>
      </c>
      <c r="AF258" s="47" t="n">
        <v>0</v>
      </c>
      <c r="AG258" s="47" t="n">
        <v>0</v>
      </c>
      <c r="AH258" s="47" t="n">
        <v>0</v>
      </c>
      <c r="AI258" s="47" t="n">
        <v>0</v>
      </c>
      <c r="AJ258" s="47" t="n">
        <v>0</v>
      </c>
      <c r="AK258" s="47" t="n">
        <v>0</v>
      </c>
      <c r="AL258" s="47" t="n">
        <v>8.07</v>
      </c>
      <c r="AM258" s="47" t="n">
        <v>12.106</v>
      </c>
      <c r="AN258" s="47" t="n">
        <v>0</v>
      </c>
      <c r="AO258" s="47" t="n">
        <v>0</v>
      </c>
      <c r="AP258" s="47" t="n">
        <v>0</v>
      </c>
      <c r="AQ258" s="47" t="n">
        <v>-0.176</v>
      </c>
      <c r="AR258" s="47" t="n">
        <v>0</v>
      </c>
      <c r="AS258" s="47" t="n">
        <v>0</v>
      </c>
      <c r="AT258" s="47" t="n">
        <v>0</v>
      </c>
      <c r="AU258" s="47" t="n">
        <v>0</v>
      </c>
      <c r="AV258" s="47" t="n">
        <v>0</v>
      </c>
      <c r="AW258" s="47" t="n">
        <v>0</v>
      </c>
      <c r="AX258" s="47" t="n">
        <v>0</v>
      </c>
      <c r="AY258" s="47" t="n">
        <v>0</v>
      </c>
      <c r="AZ258" s="47" t="n">
        <v>0</v>
      </c>
      <c r="BA258" s="47" t="n">
        <v>0</v>
      </c>
      <c r="BB258" s="47" t="n">
        <v>0</v>
      </c>
      <c r="BC258" s="47" t="n">
        <v>0</v>
      </c>
      <c r="BD258" s="47" t="n">
        <v>0</v>
      </c>
      <c r="BE258" s="47" t="n">
        <v>0</v>
      </c>
      <c r="BF258" s="47" t="n">
        <v>0</v>
      </c>
      <c r="BG258" s="47" t="n">
        <v>0</v>
      </c>
      <c r="BH258" s="47" t="n">
        <v>0</v>
      </c>
      <c r="BI258" s="47" t="n">
        <v>0</v>
      </c>
      <c r="BJ258" s="47" t="n">
        <v>0</v>
      </c>
      <c r="BK258" s="47" t="n">
        <v>0</v>
      </c>
      <c r="BL258" s="47" t="n">
        <v>0</v>
      </c>
      <c r="BM258" s="47" t="n">
        <v>0</v>
      </c>
      <c r="BN258" s="47" t="n">
        <v>0</v>
      </c>
      <c r="BO258" s="47" t="n">
        <v>0</v>
      </c>
      <c r="BP258" s="47" t="n">
        <v>0</v>
      </c>
      <c r="BQ258" s="47" t="n">
        <v>0</v>
      </c>
      <c r="BR258" s="47" t="n">
        <v>0</v>
      </c>
      <c r="BS258" s="47" t="n">
        <v>0</v>
      </c>
      <c r="BT258" s="47" t="n">
        <v>0</v>
      </c>
      <c r="BU258" s="47" t="n">
        <v>0</v>
      </c>
      <c r="BV258" s="47" t="n">
        <v>0</v>
      </c>
      <c r="BW258" s="102" t="n"/>
      <c r="BX258" s="102" t="n"/>
      <c r="BY258" s="102" t="n"/>
      <c r="BZ258" s="102" t="n"/>
      <c r="CA258" s="102" t="n"/>
      <c r="CB258" s="102" t="n"/>
      <c r="CC258" s="102" t="n"/>
      <c r="CD258" s="102" t="n"/>
      <c r="CE258" s="102" t="n"/>
      <c r="CF258" s="102" t="n"/>
      <c r="CG258" s="102" t="n"/>
      <c r="CH258" s="102" t="n"/>
      <c r="CI258" s="102" t="n"/>
      <c r="CJ258" s="102" t="n"/>
      <c r="CK258" s="102" t="n"/>
      <c r="CL258" s="102" t="n"/>
      <c r="CM258" s="102" t="n"/>
      <c r="CN258" s="102" t="n"/>
      <c r="CO258" s="102" t="n"/>
      <c r="CP258" s="102" t="n"/>
      <c r="CQ258" s="102" t="n"/>
      <c r="CR258" s="102" t="n"/>
      <c r="CS258" s="102" t="n"/>
      <c r="CT258" s="102" t="n"/>
      <c r="CU258" s="102" t="n"/>
      <c r="CV258" s="102" t="n"/>
      <c r="CW258" s="102" t="n"/>
      <c r="CX258" s="102" t="n"/>
      <c r="CY258" s="102" t="n"/>
      <c r="CZ258" s="102" t="n"/>
      <c r="DA258" s="102" t="n"/>
      <c r="DB258" s="102" t="n"/>
      <c r="DC258" s="102" t="n"/>
      <c r="DD258" s="102" t="n"/>
      <c r="DE258" s="102" t="n"/>
      <c r="DF258" s="102" t="n"/>
      <c r="DG258" s="102" t="n"/>
      <c r="DH258" s="102" t="n"/>
      <c r="DI258" s="102" t="n"/>
      <c r="DJ258" s="102" t="n"/>
      <c r="DK258" s="102" t="n"/>
      <c r="DL258" s="102" t="n"/>
      <c r="DM258" s="102" t="n"/>
      <c r="DN258" s="102" t="n"/>
      <c r="DO258" s="102" t="n"/>
      <c r="DP258" s="102" t="n"/>
      <c r="DQ258" s="102" t="n"/>
      <c r="DR258" s="102" t="n"/>
      <c r="DT258" s="46" t="n"/>
      <c r="DU258" s="46" t="n"/>
      <c r="DV258" s="46" t="n"/>
      <c r="DW258" s="46" t="n"/>
    </row>
    <row r="259" hidden="1" outlineLevel="1" ht="15.75" customHeight="1">
      <c r="B259" s="5" t="inlineStr">
        <is>
          <t>EL</t>
        </is>
      </c>
      <c r="C259" s="68" t="inlineStr">
        <is>
          <t>Lower Middle Market</t>
        </is>
      </c>
      <c r="E259" s="46">
        <f>+SUMIFS($O259:$DR259,$O$7:$DR$7,E$7)</f>
        <v/>
      </c>
      <c r="F259" s="46">
        <f>+SUMIFS($O259:$DR259,$O$7:$DR$7,F$7)</f>
        <v/>
      </c>
      <c r="G259" s="46">
        <f>+SUMIFS($O259:$DR259,$O$7:$DR$7,G$7)</f>
        <v/>
      </c>
      <c r="H259" s="46">
        <f>+SUMIFS($O259:$DR259,$O$7:$DR$7,H$7)</f>
        <v/>
      </c>
      <c r="I259" s="46">
        <f>+SUMIFS($O259:$DR259,$O$7:$DR$7,I$7)</f>
        <v/>
      </c>
      <c r="J259" s="46">
        <f>+SUMIFS($O259:$DR259,$O$7:$DR$7,J$7)</f>
        <v/>
      </c>
      <c r="K259" s="46">
        <f>+SUMIFS($O259:$DR259,$O$7:$DR$7,K$7)</f>
        <v/>
      </c>
      <c r="L259" s="46">
        <f>+SUMIFS($O259:$DR259,$O$7:$DR$7,L$7)</f>
        <v/>
      </c>
      <c r="M259" s="46">
        <f>+SUMIFS($O259:$DR259,$O$7:$DR$7,M$7)</f>
        <v/>
      </c>
      <c r="O259" s="47" t="n">
        <v>13.345</v>
      </c>
      <c r="P259" s="47" t="n">
        <v>13.333</v>
      </c>
      <c r="Q259" s="47" t="n">
        <v>3.334</v>
      </c>
      <c r="R259" s="47" t="n">
        <v>3.333</v>
      </c>
      <c r="S259" s="47" t="n">
        <v>3.546</v>
      </c>
      <c r="T259" s="47" t="n">
        <v>3.545</v>
      </c>
      <c r="U259" s="47" t="n">
        <v>3.545</v>
      </c>
      <c r="V259" s="47" t="n">
        <v>3.545</v>
      </c>
      <c r="W259" s="47" t="n">
        <v>3.545</v>
      </c>
      <c r="X259" s="47" t="n">
        <v>3.545</v>
      </c>
      <c r="Y259" s="47" t="n">
        <v>3.545</v>
      </c>
      <c r="Z259" s="47" t="n">
        <v>3.545</v>
      </c>
      <c r="AA259" s="47" t="n">
        <v>3.545</v>
      </c>
      <c r="AB259" s="47" t="n">
        <v>3.545</v>
      </c>
      <c r="AC259" s="47" t="n">
        <v>3.545</v>
      </c>
      <c r="AD259" s="47" t="n">
        <v>3.545</v>
      </c>
      <c r="AE259" s="47" t="n">
        <v>3.545</v>
      </c>
      <c r="AF259" s="47" t="n">
        <v>3.545</v>
      </c>
      <c r="AG259" s="47" t="n">
        <v>3.545</v>
      </c>
      <c r="AH259" s="47" t="n">
        <v>3.545</v>
      </c>
      <c r="AI259" s="47" t="n">
        <v>3.545</v>
      </c>
      <c r="AJ259" s="47" t="n">
        <v>3.545</v>
      </c>
      <c r="AK259" s="47" t="n">
        <v>3.545</v>
      </c>
      <c r="AL259" s="47" t="n">
        <v>3.545</v>
      </c>
      <c r="AM259" s="47" t="n">
        <v>3.545</v>
      </c>
      <c r="AN259" s="47" t="n">
        <v>3.545</v>
      </c>
      <c r="AO259" s="47" t="n">
        <v>3.545</v>
      </c>
      <c r="AP259" s="47" t="n">
        <v>3.545</v>
      </c>
      <c r="AQ259" s="47" t="n">
        <v>3.545</v>
      </c>
      <c r="AR259" s="47" t="n">
        <v>3.545</v>
      </c>
      <c r="AS259" s="47" t="n">
        <v>3.545</v>
      </c>
      <c r="AT259" s="47" t="n">
        <v>3.545</v>
      </c>
      <c r="AU259" s="47" t="n">
        <v>3.545</v>
      </c>
      <c r="AV259" s="47" t="n">
        <v>3.545</v>
      </c>
      <c r="AW259" s="47" t="n">
        <v>3.545</v>
      </c>
      <c r="AX259" s="47" t="n">
        <v>3.56</v>
      </c>
      <c r="AY259" s="47" t="n">
        <v>0</v>
      </c>
      <c r="AZ259" s="47" t="n">
        <v>0</v>
      </c>
      <c r="BA259" s="47" t="n">
        <v>0</v>
      </c>
      <c r="BB259" s="47" t="n">
        <v>0</v>
      </c>
      <c r="BC259" s="47" t="n">
        <v>0</v>
      </c>
      <c r="BD259" s="47" t="n">
        <v>0</v>
      </c>
      <c r="BE259" s="47" t="n">
        <v>0</v>
      </c>
      <c r="BF259" s="47" t="n">
        <v>0</v>
      </c>
      <c r="BG259" s="47" t="n">
        <v>0</v>
      </c>
      <c r="BH259" s="47" t="n">
        <v>0</v>
      </c>
      <c r="BI259" s="47" t="n">
        <v>0</v>
      </c>
      <c r="BJ259" s="47" t="n">
        <v>0</v>
      </c>
      <c r="BK259" s="47" t="n">
        <v>0</v>
      </c>
      <c r="BL259" s="47" t="n">
        <v>0</v>
      </c>
      <c r="BM259" s="47" t="n">
        <v>0</v>
      </c>
      <c r="BN259" s="47" t="n">
        <v>0</v>
      </c>
      <c r="BO259" s="47" t="n">
        <v>0</v>
      </c>
      <c r="BP259" s="47" t="n">
        <v>0</v>
      </c>
      <c r="BQ259" s="47" t="n">
        <v>0</v>
      </c>
      <c r="BR259" s="47" t="n">
        <v>0</v>
      </c>
      <c r="BS259" s="47" t="n">
        <v>0</v>
      </c>
      <c r="BT259" s="47" t="n">
        <v>0</v>
      </c>
      <c r="BU259" s="47" t="n">
        <v>0</v>
      </c>
      <c r="BV259" s="47" t="n">
        <v>0</v>
      </c>
      <c r="BW259" s="102" t="n"/>
      <c r="BX259" s="102" t="n"/>
      <c r="BY259" s="102" t="n"/>
      <c r="BZ259" s="102" t="n"/>
      <c r="CA259" s="102" t="n"/>
      <c r="CB259" s="102" t="n"/>
      <c r="CC259" s="102" t="n"/>
      <c r="CD259" s="102" t="n"/>
      <c r="CE259" s="102" t="n"/>
      <c r="CF259" s="102" t="n"/>
      <c r="CG259" s="102" t="n"/>
      <c r="CH259" s="102" t="n"/>
      <c r="CI259" s="102" t="n"/>
      <c r="CJ259" s="102" t="n"/>
      <c r="CK259" s="102" t="n"/>
      <c r="CL259" s="102" t="n"/>
      <c r="CM259" s="102" t="n"/>
      <c r="CN259" s="102" t="n"/>
      <c r="CO259" s="102" t="n"/>
      <c r="CP259" s="102" t="n"/>
      <c r="CQ259" s="102" t="n"/>
      <c r="CR259" s="102" t="n"/>
      <c r="CS259" s="102" t="n"/>
      <c r="CT259" s="102" t="n"/>
      <c r="CU259" s="102" t="n"/>
      <c r="CV259" s="102" t="n"/>
      <c r="CW259" s="102" t="n"/>
      <c r="CX259" s="102" t="n"/>
      <c r="CY259" s="102" t="n"/>
      <c r="CZ259" s="102" t="n"/>
      <c r="DA259" s="102" t="n"/>
      <c r="DB259" s="102" t="n"/>
      <c r="DC259" s="102" t="n"/>
      <c r="DD259" s="102" t="n"/>
      <c r="DE259" s="102" t="n"/>
      <c r="DF259" s="102" t="n"/>
      <c r="DG259" s="102" t="n"/>
      <c r="DH259" s="102" t="n"/>
      <c r="DI259" s="102" t="n"/>
      <c r="DJ259" s="102" t="n"/>
      <c r="DK259" s="102" t="n"/>
      <c r="DL259" s="102" t="n"/>
      <c r="DM259" s="102" t="n"/>
      <c r="DN259" s="102" t="n"/>
      <c r="DO259" s="102" t="n"/>
      <c r="DP259" s="102" t="n"/>
      <c r="DQ259" s="102" t="n"/>
      <c r="DR259" s="102" t="n"/>
      <c r="DT259" s="46" t="n"/>
      <c r="DU259" s="46" t="n"/>
      <c r="DV259" s="46" t="n"/>
      <c r="DW259" s="46" t="n"/>
    </row>
    <row r="260" hidden="1" outlineLevel="1" ht="4.5" customHeight="1"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  <c r="AQ260" s="47" t="n"/>
      <c r="AR260" s="47" t="n"/>
      <c r="AS260" s="47" t="n"/>
      <c r="AT260" s="47" t="n"/>
      <c r="AU260" s="47" t="n"/>
      <c r="AV260" s="47" t="n"/>
      <c r="AW260" s="47" t="n"/>
      <c r="AX260" s="47" t="n"/>
      <c r="AY260" s="47" t="n"/>
      <c r="AZ260" s="47" t="n"/>
      <c r="BA260" s="47" t="n"/>
      <c r="BB260" s="47" t="n"/>
      <c r="BC260" s="47" t="n"/>
      <c r="BD260" s="47" t="n"/>
      <c r="BE260" s="47" t="n"/>
      <c r="BF260" s="47" t="n"/>
      <c r="BG260" s="47" t="n"/>
      <c r="BH260" s="47" t="n"/>
      <c r="BI260" s="47" t="n"/>
      <c r="BJ260" s="47" t="n"/>
      <c r="BK260" s="47" t="n"/>
      <c r="BL260" s="47" t="n"/>
      <c r="BM260" s="47" t="n"/>
      <c r="BN260" s="47" t="n"/>
      <c r="BO260" s="47" t="n"/>
      <c r="BP260" s="47" t="n"/>
      <c r="BQ260" s="47" t="n"/>
      <c r="BR260" s="47" t="n"/>
      <c r="BS260" s="47" t="n"/>
      <c r="BT260" s="47" t="n"/>
      <c r="BU260" s="47" t="n"/>
      <c r="BV260" s="47" t="n"/>
      <c r="BW260" s="69" t="n"/>
      <c r="BX260" s="69" t="n"/>
      <c r="BY260" s="69" t="n"/>
      <c r="BZ260" s="69" t="n"/>
      <c r="CA260" s="69" t="n"/>
      <c r="CB260" s="69" t="n"/>
      <c r="CC260" s="69" t="n"/>
      <c r="CD260" s="69" t="n"/>
      <c r="CE260" s="69" t="n"/>
      <c r="CF260" s="69" t="n"/>
      <c r="CG260" s="69" t="n"/>
      <c r="CH260" s="69" t="n"/>
      <c r="CI260" s="69" t="n"/>
      <c r="CJ260" s="69" t="n"/>
      <c r="CK260" s="69" t="n"/>
      <c r="CL260" s="69" t="n"/>
      <c r="CM260" s="69" t="n"/>
      <c r="CN260" s="69" t="n"/>
      <c r="CO260" s="69" t="n"/>
      <c r="CP260" s="69" t="n"/>
      <c r="CQ260" s="69" t="n"/>
      <c r="CR260" s="69" t="n"/>
      <c r="CS260" s="69" t="n"/>
      <c r="CT260" s="69" t="n"/>
      <c r="CU260" s="69" t="n"/>
      <c r="CV260" s="69" t="n"/>
      <c r="CW260" s="69" t="n"/>
      <c r="CX260" s="69" t="n"/>
      <c r="CY260" s="69" t="n"/>
      <c r="CZ260" s="69" t="n"/>
      <c r="DA260" s="69" t="n"/>
      <c r="DB260" s="69" t="n"/>
      <c r="DC260" s="69" t="n"/>
      <c r="DD260" s="69" t="n"/>
      <c r="DE260" s="69" t="n"/>
      <c r="DF260" s="69" t="n"/>
      <c r="DG260" s="69" t="n"/>
      <c r="DH260" s="69" t="n"/>
      <c r="DI260" s="69" t="n"/>
      <c r="DJ260" s="69" t="n"/>
      <c r="DK260" s="69" t="n"/>
      <c r="DL260" s="69" t="n"/>
      <c r="DM260" s="69" t="n"/>
      <c r="DN260" s="69" t="n"/>
      <c r="DO260" s="69" t="n"/>
      <c r="DP260" s="69" t="n"/>
      <c r="DQ260" s="69" t="n"/>
      <c r="DR260" s="69" t="n"/>
      <c r="DT260" s="69" t="n"/>
      <c r="DU260" s="69" t="n"/>
      <c r="DV260" s="69" t="n"/>
      <c r="DW260" s="69" t="n"/>
    </row>
    <row r="261" hidden="1" outlineLevel="1" ht="15.75" customHeight="1">
      <c r="A261" s="4" t="n"/>
      <c r="B261" s="70" t="inlineStr">
        <is>
          <t>Forecast Revenue</t>
        </is>
      </c>
      <c r="C261" s="70" t="n"/>
      <c r="D261" s="4" t="n"/>
      <c r="E261" s="51">
        <f>+SUMIFS($O261:$DR261,$O$7:$DR$7,E$7)</f>
        <v/>
      </c>
      <c r="F261" s="51">
        <f>+SUMIFS($O261:$DR261,$O$7:$DR$7,F$7)</f>
        <v/>
      </c>
      <c r="G261" s="51">
        <f>+SUMIFS($O261:$DR261,$O$7:$DR$7,G$7)</f>
        <v/>
      </c>
      <c r="H261" s="51">
        <f>+SUMIFS($O261:$DR261,$O$7:$DR$7,H$7)</f>
        <v/>
      </c>
      <c r="I261" s="51">
        <f>+SUMIFS($O261:$DR261,$O$7:$DR$7,I$7)</f>
        <v/>
      </c>
      <c r="J261" s="51">
        <f>+SUMIFS($O261:$DR261,$O$7:$DR$7,J$7)</f>
        <v/>
      </c>
      <c r="K261" s="51">
        <f>+SUMIFS($O261:$DR261,$O$7:$DR$7,K$7)</f>
        <v/>
      </c>
      <c r="L261" s="51">
        <f>+SUMIFS($O261:$DR261,$O$7:$DR$7,L$7)</f>
        <v/>
      </c>
      <c r="M261" s="51">
        <f>+SUMIFS($O261:$DR261,$O$7:$DR$7,M$7)</f>
        <v/>
      </c>
      <c r="N261" s="4" t="n"/>
      <c r="O261" s="71">
        <f>SUM(O214:O260)</f>
        <v/>
      </c>
      <c r="P261" s="71">
        <f>SUM(P214:P260)</f>
        <v/>
      </c>
      <c r="Q261" s="71">
        <f>SUM(Q214:Q260)</f>
        <v/>
      </c>
      <c r="R261" s="71">
        <f>SUM(R214:R260)</f>
        <v/>
      </c>
      <c r="S261" s="71">
        <f>SUM(S214:S260)</f>
        <v/>
      </c>
      <c r="T261" s="71">
        <f>SUM(T214:T260)</f>
        <v/>
      </c>
      <c r="U261" s="71">
        <f>SUM(U214:U260)</f>
        <v/>
      </c>
      <c r="V261" s="71">
        <f>SUM(V214:V260)</f>
        <v/>
      </c>
      <c r="W261" s="71">
        <f>SUM(W214:W260)</f>
        <v/>
      </c>
      <c r="X261" s="71">
        <f>SUM(X214:X260)</f>
        <v/>
      </c>
      <c r="Y261" s="71">
        <f>SUM(Y214:Y260)</f>
        <v/>
      </c>
      <c r="Z261" s="71">
        <f>SUM(Z214:Z260)</f>
        <v/>
      </c>
      <c r="AA261" s="71">
        <f>SUM(AA214:AA260)</f>
        <v/>
      </c>
      <c r="AB261" s="71">
        <f>SUM(AB214:AB260)</f>
        <v/>
      </c>
      <c r="AC261" s="71">
        <f>SUM(AC214:AC260)</f>
        <v/>
      </c>
      <c r="AD261" s="71">
        <f>SUM(AD214:AD260)</f>
        <v/>
      </c>
      <c r="AE261" s="71">
        <f>SUM(AE214:AE260)</f>
        <v/>
      </c>
      <c r="AF261" s="71">
        <f>SUM(AF214:AF260)</f>
        <v/>
      </c>
      <c r="AG261" s="71">
        <f>SUM(AG214:AG260)</f>
        <v/>
      </c>
      <c r="AH261" s="71">
        <f>SUM(AH214:AH260)</f>
        <v/>
      </c>
      <c r="AI261" s="71">
        <f>SUM(AI214:AI260)</f>
        <v/>
      </c>
      <c r="AJ261" s="71">
        <f>SUM(AJ214:AJ260)</f>
        <v/>
      </c>
      <c r="AK261" s="71">
        <f>SUM(AK214:AK260)</f>
        <v/>
      </c>
      <c r="AL261" s="71">
        <f>SUM(AL214:AL260)</f>
        <v/>
      </c>
      <c r="AM261" s="71">
        <f>SUM(AM214:AM260)</f>
        <v/>
      </c>
      <c r="AN261" s="71">
        <f>SUM(AN214:AN260)</f>
        <v/>
      </c>
      <c r="AO261" s="71">
        <f>SUM(AO214:AO260)</f>
        <v/>
      </c>
      <c r="AP261" s="71">
        <f>SUM(AP214:AP260)</f>
        <v/>
      </c>
      <c r="AQ261" s="71">
        <f>SUM(AQ214:AQ260)</f>
        <v/>
      </c>
      <c r="AR261" s="71">
        <f>SUM(AR214:AR260)</f>
        <v/>
      </c>
      <c r="AS261" s="71">
        <f>SUM(AS214:AS260)</f>
        <v/>
      </c>
      <c r="AT261" s="71">
        <f>SUM(AT214:AT260)</f>
        <v/>
      </c>
      <c r="AU261" s="71">
        <f>SUM(AU214:AU260)</f>
        <v/>
      </c>
      <c r="AV261" s="71">
        <f>SUM(AV214:AV260)</f>
        <v/>
      </c>
      <c r="AW261" s="71">
        <f>SUM(AW214:AW260)</f>
        <v/>
      </c>
      <c r="AX261" s="71">
        <f>SUM(AX214:AX260)</f>
        <v/>
      </c>
      <c r="AY261" s="71">
        <f>SUM(AY214:AY260)</f>
        <v/>
      </c>
      <c r="AZ261" s="71">
        <f>SUM(AZ214:AZ260)</f>
        <v/>
      </c>
      <c r="BA261" s="71">
        <f>SUM(BA214:BA260)</f>
        <v/>
      </c>
      <c r="BB261" s="71">
        <f>SUM(BB214:BB260)</f>
        <v/>
      </c>
      <c r="BC261" s="71">
        <f>SUM(BC214:BC260)</f>
        <v/>
      </c>
      <c r="BD261" s="71">
        <f>SUM(BD214:BD260)</f>
        <v/>
      </c>
      <c r="BE261" s="71">
        <f>SUM(BE214:BE260)</f>
        <v/>
      </c>
      <c r="BF261" s="71">
        <f>SUM(BF214:BF260)</f>
        <v/>
      </c>
      <c r="BG261" s="71">
        <f>SUM(BG214:BG260)</f>
        <v/>
      </c>
      <c r="BH261" s="71">
        <f>SUM(BH214:BH260)</f>
        <v/>
      </c>
      <c r="BI261" s="71">
        <f>SUM(BI214:BI260)</f>
        <v/>
      </c>
      <c r="BJ261" s="71">
        <f>SUM(BJ214:BJ260)</f>
        <v/>
      </c>
      <c r="BK261" s="71">
        <f>SUM(BK214:BK260)</f>
        <v/>
      </c>
      <c r="BL261" s="71">
        <f>SUM(BL214:BL260)</f>
        <v/>
      </c>
      <c r="BM261" s="71">
        <f>SUM(BM214:BM260)</f>
        <v/>
      </c>
      <c r="BN261" s="71">
        <f>SUM(BN214:BN260)</f>
        <v/>
      </c>
      <c r="BO261" s="71">
        <f>SUM(BO214:BO260)</f>
        <v/>
      </c>
      <c r="BP261" s="71">
        <f>SUM(BP214:BP260)</f>
        <v/>
      </c>
      <c r="BQ261" s="71">
        <f>SUM(BQ214:BQ260)</f>
        <v/>
      </c>
      <c r="BR261" s="71">
        <f>SUM(BR214:BR260)</f>
        <v/>
      </c>
      <c r="BS261" s="71">
        <f>SUM(BS214:BS260)</f>
        <v/>
      </c>
      <c r="BT261" s="71">
        <f>SUM(BT214:BT260)</f>
        <v/>
      </c>
      <c r="BU261" s="71">
        <f>SUM(BU214:BU260)</f>
        <v/>
      </c>
      <c r="BV261" s="71">
        <f>SUM(BV214:BV260)</f>
        <v/>
      </c>
      <c r="BW261" s="71">
        <f>SUM(BW214:BW260)</f>
        <v/>
      </c>
      <c r="BX261" s="71">
        <f>SUM(BX214:BX260)</f>
        <v/>
      </c>
      <c r="BY261" s="71">
        <f>SUM(BY214:BY260)</f>
        <v/>
      </c>
      <c r="BZ261" s="71">
        <f>SUM(BZ214:BZ260)</f>
        <v/>
      </c>
      <c r="CA261" s="71">
        <f>SUM(CA214:CA260)</f>
        <v/>
      </c>
      <c r="CB261" s="71">
        <f>SUM(CB214:CB260)</f>
        <v/>
      </c>
      <c r="CC261" s="71">
        <f>SUM(CC214:CC260)</f>
        <v/>
      </c>
      <c r="CD261" s="71">
        <f>SUM(CD214:CD260)</f>
        <v/>
      </c>
      <c r="CE261" s="71">
        <f>SUM(CE214:CE260)</f>
        <v/>
      </c>
      <c r="CF261" s="71">
        <f>SUM(CF214:CF260)</f>
        <v/>
      </c>
      <c r="CG261" s="71">
        <f>SUM(CG214:CG260)</f>
        <v/>
      </c>
      <c r="CH261" s="71">
        <f>SUM(CH214:CH260)</f>
        <v/>
      </c>
      <c r="CI261" s="71">
        <f>SUM(CI214:CI260)</f>
        <v/>
      </c>
      <c r="CJ261" s="71">
        <f>SUM(CJ214:CJ260)</f>
        <v/>
      </c>
      <c r="CK261" s="71">
        <f>SUM(CK214:CK260)</f>
        <v/>
      </c>
      <c r="CL261" s="71">
        <f>SUM(CL214:CL260)</f>
        <v/>
      </c>
      <c r="CM261" s="71">
        <f>SUM(CM214:CM260)</f>
        <v/>
      </c>
      <c r="CN261" s="71">
        <f>SUM(CN214:CN260)</f>
        <v/>
      </c>
      <c r="CO261" s="71">
        <f>SUM(CO214:CO260)</f>
        <v/>
      </c>
      <c r="CP261" s="71">
        <f>SUM(CP214:CP260)</f>
        <v/>
      </c>
      <c r="CQ261" s="71">
        <f>SUM(CQ214:CQ260)</f>
        <v/>
      </c>
      <c r="CR261" s="71">
        <f>SUM(CR214:CR260)</f>
        <v/>
      </c>
      <c r="CS261" s="71">
        <f>SUM(CS214:CS260)</f>
        <v/>
      </c>
      <c r="CT261" s="71">
        <f>SUM(CT214:CT260)</f>
        <v/>
      </c>
      <c r="CU261" s="71">
        <f>SUM(CU214:CU260)</f>
        <v/>
      </c>
      <c r="CV261" s="71">
        <f>SUM(CV214:CV260)</f>
        <v/>
      </c>
      <c r="CW261" s="71">
        <f>SUM(CW214:CW260)</f>
        <v/>
      </c>
      <c r="CX261" s="71">
        <f>SUM(CX214:CX260)</f>
        <v/>
      </c>
      <c r="CY261" s="71">
        <f>SUM(CY214:CY260)</f>
        <v/>
      </c>
      <c r="CZ261" s="71">
        <f>SUM(CZ214:CZ260)</f>
        <v/>
      </c>
      <c r="DA261" s="71">
        <f>SUM(DA214:DA260)</f>
        <v/>
      </c>
      <c r="DB261" s="71">
        <f>SUM(DB214:DB260)</f>
        <v/>
      </c>
      <c r="DC261" s="71">
        <f>SUM(DC214:DC260)</f>
        <v/>
      </c>
      <c r="DD261" s="71">
        <f>SUM(DD214:DD260)</f>
        <v/>
      </c>
      <c r="DE261" s="71">
        <f>SUM(DE214:DE260)</f>
        <v/>
      </c>
      <c r="DF261" s="71">
        <f>SUM(DF214:DF260)</f>
        <v/>
      </c>
      <c r="DG261" s="71">
        <f>SUM(DG214:DG260)</f>
        <v/>
      </c>
      <c r="DH261" s="71">
        <f>SUM(DH214:DH260)</f>
        <v/>
      </c>
      <c r="DI261" s="71">
        <f>SUM(DI214:DI260)</f>
        <v/>
      </c>
      <c r="DJ261" s="71">
        <f>SUM(DJ214:DJ260)</f>
        <v/>
      </c>
      <c r="DK261" s="71">
        <f>SUM(DK214:DK260)</f>
        <v/>
      </c>
      <c r="DL261" s="71">
        <f>SUM(DL214:DL260)</f>
        <v/>
      </c>
      <c r="DM261" s="71">
        <f>SUM(DM214:DM260)</f>
        <v/>
      </c>
      <c r="DN261" s="71">
        <f>SUM(DN214:DN260)</f>
        <v/>
      </c>
      <c r="DO261" s="71">
        <f>SUM(DO214:DO260)</f>
        <v/>
      </c>
      <c r="DP261" s="71">
        <f>SUM(DP214:DP260)</f>
        <v/>
      </c>
      <c r="DQ261" s="71">
        <f>SUM(DQ214:DQ260)</f>
        <v/>
      </c>
      <c r="DR261" s="71">
        <f>SUM(DR214:DR260)</f>
        <v/>
      </c>
      <c r="DS261" s="4" t="n"/>
      <c r="DT261" s="63" t="n"/>
      <c r="DU261" s="63" t="n"/>
      <c r="DV261" s="63" t="n"/>
      <c r="DW261" s="63" t="n"/>
      <c r="DX261" s="4" t="n"/>
    </row>
    <row r="262" hidden="1" outlineLevel="1" ht="4.5" customHeight="1"/>
    <row r="263" collapsed="1" ht="15.75" customHeight="1">
      <c r="B263" s="95" t="inlineStr">
        <is>
          <t>Mega</t>
        </is>
      </c>
      <c r="C263" s="96" t="n"/>
      <c r="D263" s="96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  <c r="AA263" s="96" t="n"/>
      <c r="AB263" s="96" t="n"/>
      <c r="AC263" s="96" t="n"/>
      <c r="AD263" s="96" t="n"/>
      <c r="AE263" s="96" t="n"/>
      <c r="AF263" s="96" t="n"/>
      <c r="AG263" s="96" t="n"/>
      <c r="AH263" s="96" t="n"/>
      <c r="AI263" s="96" t="n"/>
      <c r="AJ263" s="96" t="n"/>
      <c r="AK263" s="96" t="n"/>
      <c r="AL263" s="96" t="n"/>
      <c r="AM263" s="96" t="n"/>
      <c r="AN263" s="96" t="n"/>
      <c r="AO263" s="96" t="n"/>
      <c r="AP263" s="96" t="n"/>
      <c r="AQ263" s="96" t="n"/>
      <c r="AR263" s="96" t="n"/>
      <c r="AS263" s="96" t="n"/>
      <c r="AT263" s="96" t="n"/>
      <c r="AU263" s="96" t="n"/>
      <c r="AV263" s="96" t="n"/>
      <c r="AW263" s="96" t="n"/>
      <c r="AX263" s="96" t="n"/>
      <c r="AY263" s="96" t="n"/>
      <c r="AZ263" s="96" t="n"/>
      <c r="BA263" s="96" t="n"/>
      <c r="BB263" s="96" t="n"/>
      <c r="BC263" s="96" t="n"/>
      <c r="BD263" s="96" t="n"/>
      <c r="BE263" s="96" t="n"/>
      <c r="BF263" s="96" t="n"/>
      <c r="BG263" s="96" t="n"/>
      <c r="BH263" s="96" t="n"/>
      <c r="BI263" s="96" t="n"/>
      <c r="BJ263" s="96" t="n"/>
      <c r="BK263" s="96" t="n"/>
      <c r="BL263" s="96" t="n"/>
      <c r="BM263" s="96" t="n"/>
      <c r="BN263" s="96" t="n"/>
      <c r="BO263" s="96" t="n"/>
      <c r="BP263" s="96" t="n"/>
      <c r="BQ263" s="96" t="n"/>
      <c r="BR263" s="96" t="n"/>
      <c r="BS263" s="96" t="n"/>
      <c r="BT263" s="96" t="n"/>
      <c r="BU263" s="96" t="n"/>
      <c r="BV263" s="96" t="n"/>
      <c r="BW263" s="96" t="n"/>
      <c r="BX263" s="96" t="n"/>
      <c r="BY263" s="96" t="n"/>
      <c r="BZ263" s="96" t="n"/>
      <c r="CA263" s="96" t="n"/>
      <c r="CB263" s="96" t="n"/>
      <c r="CC263" s="96" t="n"/>
      <c r="CD263" s="96" t="n"/>
      <c r="CE263" s="96" t="n"/>
      <c r="CF263" s="96" t="n"/>
      <c r="CG263" s="96" t="n"/>
      <c r="CH263" s="96" t="n"/>
      <c r="CI263" s="96" t="n"/>
      <c r="CJ263" s="96" t="n"/>
      <c r="CK263" s="96" t="n"/>
      <c r="CL263" s="96" t="n"/>
      <c r="CM263" s="96" t="n"/>
      <c r="CN263" s="96" t="n"/>
      <c r="CO263" s="96" t="n"/>
      <c r="CP263" s="96" t="n"/>
      <c r="CQ263" s="96" t="n"/>
      <c r="CR263" s="96" t="n"/>
      <c r="CS263" s="96" t="n"/>
      <c r="CT263" s="96" t="n"/>
      <c r="CU263" s="96" t="n"/>
      <c r="CV263" s="96" t="n"/>
      <c r="CW263" s="96" t="n"/>
      <c r="CX263" s="96" t="n"/>
      <c r="CY263" s="96" t="n"/>
      <c r="CZ263" s="96" t="n"/>
      <c r="DA263" s="96" t="n"/>
      <c r="DB263" s="96" t="n"/>
      <c r="DC263" s="96" t="n"/>
      <c r="DD263" s="96" t="n"/>
      <c r="DE263" s="96" t="n"/>
      <c r="DF263" s="96" t="n"/>
      <c r="DG263" s="96" t="n"/>
      <c r="DH263" s="96" t="n"/>
      <c r="DI263" s="96" t="n"/>
      <c r="DJ263" s="96" t="n"/>
      <c r="DK263" s="96" t="n"/>
      <c r="DL263" s="96" t="n"/>
      <c r="DM263" s="96" t="n"/>
      <c r="DN263" s="96" t="n"/>
      <c r="DO263" s="96" t="n"/>
      <c r="DP263" s="96" t="n"/>
      <c r="DQ263" s="96" t="n"/>
      <c r="DR263" s="96" t="n"/>
    </row>
    <row r="264" ht="15.75" customHeight="1">
      <c r="B264" s="5" t="inlineStr">
        <is>
          <t>Active Bookings</t>
        </is>
      </c>
      <c r="E264" s="106">
        <f>+E266/E265</f>
        <v/>
      </c>
      <c r="F264" s="106">
        <f>+F266/F265</f>
        <v/>
      </c>
      <c r="G264" s="106">
        <f>+G266/G265</f>
        <v/>
      </c>
      <c r="H264" s="106">
        <f>+H266/H265</f>
        <v/>
      </c>
      <c r="I264" s="106">
        <f>+I266/I265</f>
        <v/>
      </c>
      <c r="J264" s="106">
        <f>+J266/J265</f>
        <v/>
      </c>
      <c r="K264" s="106">
        <f>+K266/K265</f>
        <v/>
      </c>
      <c r="L264" s="106">
        <f>+L266/L265</f>
        <v/>
      </c>
      <c r="M264" s="106">
        <f>+M266/M265</f>
        <v/>
      </c>
      <c r="O264" s="107" t="n"/>
      <c r="P264" s="107" t="n"/>
      <c r="Q264" s="107" t="n"/>
      <c r="R264" s="107" t="n"/>
      <c r="S264" s="107" t="n"/>
      <c r="T264" s="107" t="n"/>
      <c r="U264" s="107" t="n"/>
      <c r="V264" s="107" t="n"/>
      <c r="W264" s="107" t="n"/>
      <c r="X264" s="107" t="n"/>
      <c r="Y264" s="107" t="n"/>
      <c r="Z264" s="107" t="n"/>
      <c r="AA264" s="107" t="n"/>
      <c r="AB264" s="107" t="n"/>
      <c r="AC264" s="107" t="n"/>
      <c r="AD264" s="107" t="n"/>
      <c r="AE264" s="107" t="n"/>
      <c r="AF264" s="107" t="n"/>
      <c r="AG264" s="107" t="n"/>
      <c r="AH264" s="107" t="n"/>
      <c r="AI264" s="107" t="n"/>
      <c r="AJ264" s="107" t="n"/>
      <c r="AK264" s="107" t="n"/>
      <c r="AL264" s="107" t="n"/>
      <c r="AM264" s="107" t="n"/>
      <c r="AN264" s="107" t="n"/>
      <c r="AO264" s="107" t="n"/>
      <c r="AP264" s="107" t="n"/>
      <c r="AQ264" s="107" t="n"/>
      <c r="AR264" s="107" t="n"/>
      <c r="AS264" s="107" t="n"/>
      <c r="AT264" s="107" t="n"/>
      <c r="AU264" s="107" t="n"/>
      <c r="AV264" s="107" t="n"/>
      <c r="AW264" s="107" t="n"/>
      <c r="AX264" s="107" t="n"/>
      <c r="AY264" s="107" t="n"/>
      <c r="AZ264" s="107" t="n"/>
      <c r="BA264" s="107" t="n"/>
      <c r="BB264" s="107" t="n"/>
      <c r="BC264" s="107" t="n"/>
      <c r="BD264" s="107" t="n"/>
      <c r="BE264" s="107" t="n"/>
      <c r="BF264" s="107" t="n"/>
      <c r="BG264" s="107" t="n"/>
      <c r="BH264" s="107" t="n"/>
      <c r="BI264" s="107" t="n"/>
      <c r="BJ264" s="107" t="n"/>
      <c r="BK264" s="98">
        <f>+'Bookings to Revenue_Calcs'!BK23</f>
        <v/>
      </c>
      <c r="BL264" s="98">
        <f>+'Bookings to Revenue_Calcs'!BL23</f>
        <v/>
      </c>
      <c r="BM264" s="98">
        <f>+'Bookings to Revenue_Calcs'!BM23</f>
        <v/>
      </c>
      <c r="BN264" s="98">
        <f>+'Bookings to Revenue_Calcs'!BN23</f>
        <v/>
      </c>
      <c r="BO264" s="98">
        <f>+'Bookings to Revenue_Calcs'!BO23</f>
        <v/>
      </c>
      <c r="BP264" s="98">
        <f>+'Bookings to Revenue_Calcs'!BP23</f>
        <v/>
      </c>
      <c r="BQ264" s="98">
        <f>+'Bookings to Revenue_Calcs'!BQ23</f>
        <v/>
      </c>
      <c r="BR264" s="98">
        <f>+'Bookings to Revenue_Calcs'!BR23</f>
        <v/>
      </c>
      <c r="BS264" s="98">
        <f>+'Bookings to Revenue_Calcs'!BS23</f>
        <v/>
      </c>
      <c r="BT264" s="98">
        <f>+'Bookings to Revenue_Calcs'!BT23</f>
        <v/>
      </c>
      <c r="BU264" s="98">
        <f>+'Bookings to Revenue_Calcs'!BU23</f>
        <v/>
      </c>
      <c r="BV264" s="98">
        <f>+'Bookings to Revenue_Calcs'!BV23</f>
        <v/>
      </c>
      <c r="BW264" s="98">
        <f>+'Bookings to Revenue_Calcs'!BW23</f>
        <v/>
      </c>
      <c r="BX264" s="98">
        <f>+'Bookings to Revenue_Calcs'!BX23</f>
        <v/>
      </c>
      <c r="BY264" s="98">
        <f>+'Bookings to Revenue_Calcs'!BY23</f>
        <v/>
      </c>
      <c r="BZ264" s="98">
        <f>+'Bookings to Revenue_Calcs'!BZ23</f>
        <v/>
      </c>
      <c r="CA264" s="98">
        <f>+'Bookings to Revenue_Calcs'!CA23</f>
        <v/>
      </c>
      <c r="CB264" s="98">
        <f>+'Bookings to Revenue_Calcs'!CB23</f>
        <v/>
      </c>
      <c r="CC264" s="98">
        <f>+'Bookings to Revenue_Calcs'!CC23</f>
        <v/>
      </c>
      <c r="CD264" s="98">
        <f>+'Bookings to Revenue_Calcs'!CD23</f>
        <v/>
      </c>
      <c r="CE264" s="98">
        <f>+'Bookings to Revenue_Calcs'!CE23</f>
        <v/>
      </c>
      <c r="CF264" s="98">
        <f>+'Bookings to Revenue_Calcs'!CF23</f>
        <v/>
      </c>
      <c r="CG264" s="98">
        <f>+'Bookings to Revenue_Calcs'!CG23</f>
        <v/>
      </c>
      <c r="CH264" s="98">
        <f>+'Bookings to Revenue_Calcs'!CH23</f>
        <v/>
      </c>
      <c r="CI264" s="98">
        <f>+'Bookings to Revenue_Calcs'!CI23</f>
        <v/>
      </c>
      <c r="CJ264" s="98">
        <f>+'Bookings to Revenue_Calcs'!CJ23</f>
        <v/>
      </c>
      <c r="CK264" s="98">
        <f>+'Bookings to Revenue_Calcs'!CK23</f>
        <v/>
      </c>
      <c r="CL264" s="98">
        <f>+'Bookings to Revenue_Calcs'!CL23</f>
        <v/>
      </c>
      <c r="CM264" s="98">
        <f>+'Bookings to Revenue_Calcs'!CM23</f>
        <v/>
      </c>
      <c r="CN264" s="98">
        <f>+'Bookings to Revenue_Calcs'!CN23</f>
        <v/>
      </c>
      <c r="CO264" s="98">
        <f>+'Bookings to Revenue_Calcs'!CO23</f>
        <v/>
      </c>
      <c r="CP264" s="98">
        <f>+'Bookings to Revenue_Calcs'!CP23</f>
        <v/>
      </c>
      <c r="CQ264" s="98">
        <f>+'Bookings to Revenue_Calcs'!CQ23</f>
        <v/>
      </c>
      <c r="CR264" s="98">
        <f>+'Bookings to Revenue_Calcs'!CR23</f>
        <v/>
      </c>
      <c r="CS264" s="98">
        <f>+'Bookings to Revenue_Calcs'!CS23</f>
        <v/>
      </c>
      <c r="CT264" s="98">
        <f>+'Bookings to Revenue_Calcs'!CT23</f>
        <v/>
      </c>
      <c r="CU264" s="98">
        <f>+'Bookings to Revenue_Calcs'!CU23</f>
        <v/>
      </c>
      <c r="CV264" s="98">
        <f>+'Bookings to Revenue_Calcs'!CV23</f>
        <v/>
      </c>
      <c r="CW264" s="98">
        <f>+'Bookings to Revenue_Calcs'!CW23</f>
        <v/>
      </c>
      <c r="CX264" s="98">
        <f>+'Bookings to Revenue_Calcs'!CX23</f>
        <v/>
      </c>
      <c r="CY264" s="98">
        <f>+'Bookings to Revenue_Calcs'!CY23</f>
        <v/>
      </c>
      <c r="CZ264" s="98">
        <f>+'Bookings to Revenue_Calcs'!CZ23</f>
        <v/>
      </c>
      <c r="DA264" s="98">
        <f>+'Bookings to Revenue_Calcs'!DA23</f>
        <v/>
      </c>
      <c r="DB264" s="98">
        <f>+'Bookings to Revenue_Calcs'!DB23</f>
        <v/>
      </c>
      <c r="DC264" s="98">
        <f>+'Bookings to Revenue_Calcs'!DC23</f>
        <v/>
      </c>
      <c r="DD264" s="98">
        <f>+'Bookings to Revenue_Calcs'!DD23</f>
        <v/>
      </c>
      <c r="DE264" s="98">
        <f>+'Bookings to Revenue_Calcs'!DE23</f>
        <v/>
      </c>
      <c r="DF264" s="98">
        <f>+'Bookings to Revenue_Calcs'!DF23</f>
        <v/>
      </c>
      <c r="DG264" s="98">
        <f>+'Bookings to Revenue_Calcs'!DG23</f>
        <v/>
      </c>
      <c r="DH264" s="98">
        <f>+'Bookings to Revenue_Calcs'!DH23</f>
        <v/>
      </c>
      <c r="DI264" s="98">
        <f>+'Bookings to Revenue_Calcs'!DI23</f>
        <v/>
      </c>
      <c r="DJ264" s="98">
        <f>+'Bookings to Revenue_Calcs'!DJ23</f>
        <v/>
      </c>
      <c r="DK264" s="98">
        <f>+'Bookings to Revenue_Calcs'!DK23</f>
        <v/>
      </c>
      <c r="DL264" s="98">
        <f>+'Bookings to Revenue_Calcs'!DL23</f>
        <v/>
      </c>
      <c r="DM264" s="98">
        <f>+'Bookings to Revenue_Calcs'!DM23</f>
        <v/>
      </c>
      <c r="DN264" s="98">
        <f>+'Bookings to Revenue_Calcs'!DN23</f>
        <v/>
      </c>
      <c r="DO264" s="98">
        <f>+'Bookings to Revenue_Calcs'!DO23</f>
        <v/>
      </c>
      <c r="DP264" s="98">
        <f>+'Bookings to Revenue_Calcs'!DP23</f>
        <v/>
      </c>
      <c r="DQ264" s="98">
        <f>+'Bookings to Revenue_Calcs'!DQ23</f>
        <v/>
      </c>
      <c r="DR264" s="98">
        <f>+'Bookings to Revenue_Calcs'!DR23</f>
        <v/>
      </c>
    </row>
    <row r="265" ht="15.75" customHeight="1">
      <c r="B265" s="5" t="inlineStr">
        <is>
          <t>Average Implementation Spend</t>
        </is>
      </c>
      <c r="E265" s="46">
        <f>+AVERAGEIFS(E$214:E$259,$C$214:$C$259,$B263,E$214:E$259,"&lt;&gt;0")</f>
        <v/>
      </c>
      <c r="F265" s="46">
        <f>+AVERAGEIFS(F$214:F$259,$C$214:$C$259,$B263,F$214:F$259,"&lt;&gt;0")</f>
        <v/>
      </c>
      <c r="G265" s="46">
        <f>+AVERAGEIFS(G$214:G$259,$C$214:$C$259,$B263,G$214:G$259,"&lt;&gt;0")</f>
        <v/>
      </c>
      <c r="H265" s="46">
        <f>+AVERAGEIFS(H$214:H$259,$C$214:$C$259,$B263,H$214:H$259,"&lt;&gt;0")</f>
        <v/>
      </c>
      <c r="I265" s="46">
        <f>+AVERAGEIFS(I$214:I$259,$C$214:$C$259,$B263,I$214:I$259,"&lt;&gt;0")</f>
        <v/>
      </c>
      <c r="J265" s="48">
        <f>+Revenue_Assumptions!J51</f>
        <v/>
      </c>
      <c r="K265" s="48">
        <f>+Revenue_Assumptions!K51</f>
        <v/>
      </c>
      <c r="L265" s="48">
        <f>+Revenue_Assumptions!L51</f>
        <v/>
      </c>
      <c r="M265" s="48">
        <f>+Revenue_Assumptions!M51</f>
        <v/>
      </c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  <c r="AA265" s="108" t="n"/>
      <c r="AB265" s="108" t="n"/>
      <c r="AC265" s="108" t="n"/>
      <c r="AD265" s="108" t="n"/>
      <c r="AE265" s="108" t="n"/>
      <c r="AF265" s="108" t="n"/>
      <c r="AG265" s="108" t="n"/>
      <c r="AH265" s="108" t="n"/>
      <c r="AI265" s="108" t="n"/>
      <c r="AJ265" s="108" t="n"/>
      <c r="AK265" s="108" t="n"/>
      <c r="AL265" s="108" t="n"/>
      <c r="AM265" s="108" t="n"/>
      <c r="AN265" s="108" t="n"/>
      <c r="AO265" s="108" t="n"/>
      <c r="AP265" s="108" t="n"/>
      <c r="AQ265" s="108" t="n"/>
      <c r="AR265" s="108" t="n"/>
      <c r="AS265" s="108" t="n"/>
      <c r="AT265" s="108" t="n"/>
      <c r="AU265" s="108" t="n"/>
      <c r="AV265" s="108" t="n"/>
      <c r="AW265" s="108" t="n"/>
      <c r="AX265" s="108" t="n"/>
      <c r="AY265" s="108" t="n"/>
      <c r="AZ265" s="108" t="n"/>
      <c r="BA265" s="108" t="n"/>
      <c r="BB265" s="108" t="n"/>
      <c r="BC265" s="108" t="n"/>
      <c r="BD265" s="108" t="n"/>
      <c r="BE265" s="108" t="n"/>
      <c r="BF265" s="108" t="n"/>
      <c r="BG265" s="108" t="n"/>
      <c r="BH265" s="108" t="n"/>
      <c r="BI265" s="108" t="n"/>
      <c r="BJ265" s="108" t="n"/>
      <c r="BK265" s="48">
        <f>+SUMIFS($E265:$M265,$E$7:$M$7,BK$7)/'Bookings to Revenue_Calcs'!$C$11</f>
        <v/>
      </c>
      <c r="BL265" s="48">
        <f>+SUMIFS($E265:$M265,$E$7:$M$7,BL$7)/'Bookings to Revenue_Calcs'!$C$11</f>
        <v/>
      </c>
      <c r="BM265" s="48">
        <f>+SUMIFS($E265:$M265,$E$7:$M$7,BM$7)/'Bookings to Revenue_Calcs'!$C$11</f>
        <v/>
      </c>
      <c r="BN265" s="48">
        <f>+SUMIFS($E265:$M265,$E$7:$M$7,BN$7)/'Bookings to Revenue_Calcs'!$C$11</f>
        <v/>
      </c>
      <c r="BO265" s="48">
        <f>+SUMIFS($E265:$M265,$E$7:$M$7,BO$7)/'Bookings to Revenue_Calcs'!$C$11</f>
        <v/>
      </c>
      <c r="BP265" s="48">
        <f>+SUMIFS($E265:$M265,$E$7:$M$7,BP$7)/'Bookings to Revenue_Calcs'!$C$11</f>
        <v/>
      </c>
      <c r="BQ265" s="48">
        <f>+SUMIFS($E265:$M265,$E$7:$M$7,BQ$7)/'Bookings to Revenue_Calcs'!$C$11</f>
        <v/>
      </c>
      <c r="BR265" s="48">
        <f>+SUMIFS($E265:$M265,$E$7:$M$7,BR$7)/'Bookings to Revenue_Calcs'!$C$11</f>
        <v/>
      </c>
      <c r="BS265" s="48">
        <f>+SUMIFS($E265:$M265,$E$7:$M$7,BS$7)/'Bookings to Revenue_Calcs'!$C$11</f>
        <v/>
      </c>
      <c r="BT265" s="48">
        <f>+SUMIFS($E265:$M265,$E$7:$M$7,BT$7)/'Bookings to Revenue_Calcs'!$C$11</f>
        <v/>
      </c>
      <c r="BU265" s="48">
        <f>+SUMIFS($E265:$M265,$E$7:$M$7,BU$7)/'Bookings to Revenue_Calcs'!$C$11</f>
        <v/>
      </c>
      <c r="BV265" s="48">
        <f>+SUMIFS($E265:$M265,$E$7:$M$7,BV$7)/'Bookings to Revenue_Calcs'!$C$11</f>
        <v/>
      </c>
      <c r="BW265" s="48">
        <f>+SUMIFS($E265:$M265,$E$7:$M$7,BW$7)/'Bookings to Revenue_Calcs'!$C$11</f>
        <v/>
      </c>
      <c r="BX265" s="48">
        <f>+SUMIFS($E265:$M265,$E$7:$M$7,BX$7)/'Bookings to Revenue_Calcs'!$C$11</f>
        <v/>
      </c>
      <c r="BY265" s="48">
        <f>+SUMIFS($E265:$M265,$E$7:$M$7,BY$7)/'Bookings to Revenue_Calcs'!$C$11</f>
        <v/>
      </c>
      <c r="BZ265" s="48">
        <f>+SUMIFS($E265:$M265,$E$7:$M$7,BZ$7)/'Bookings to Revenue_Calcs'!$C$11</f>
        <v/>
      </c>
      <c r="CA265" s="48">
        <f>+SUMIFS($E265:$M265,$E$7:$M$7,CA$7)/'Bookings to Revenue_Calcs'!$C$11</f>
        <v/>
      </c>
      <c r="CB265" s="48">
        <f>+SUMIFS($E265:$M265,$E$7:$M$7,CB$7)/'Bookings to Revenue_Calcs'!$C$11</f>
        <v/>
      </c>
      <c r="CC265" s="48">
        <f>+SUMIFS($E265:$M265,$E$7:$M$7,CC$7)/'Bookings to Revenue_Calcs'!$C$11</f>
        <v/>
      </c>
      <c r="CD265" s="48">
        <f>+SUMIFS($E265:$M265,$E$7:$M$7,CD$7)/'Bookings to Revenue_Calcs'!$C$11</f>
        <v/>
      </c>
      <c r="CE265" s="48">
        <f>+SUMIFS($E265:$M265,$E$7:$M$7,CE$7)/'Bookings to Revenue_Calcs'!$C$11</f>
        <v/>
      </c>
      <c r="CF265" s="48">
        <f>+SUMIFS($E265:$M265,$E$7:$M$7,CF$7)/'Bookings to Revenue_Calcs'!$C$11</f>
        <v/>
      </c>
      <c r="CG265" s="48">
        <f>+SUMIFS($E265:$M265,$E$7:$M$7,CG$7)/'Bookings to Revenue_Calcs'!$C$11</f>
        <v/>
      </c>
      <c r="CH265" s="48">
        <f>+SUMIFS($E265:$M265,$E$7:$M$7,CH$7)/'Bookings to Revenue_Calcs'!$C$11</f>
        <v/>
      </c>
      <c r="CI265" s="48">
        <f>+SUMIFS($E265:$M265,$E$7:$M$7,CI$7)/'Bookings to Revenue_Calcs'!$C$11</f>
        <v/>
      </c>
      <c r="CJ265" s="48">
        <f>+SUMIFS($E265:$M265,$E$7:$M$7,CJ$7)/'Bookings to Revenue_Calcs'!$C$11</f>
        <v/>
      </c>
      <c r="CK265" s="48">
        <f>+SUMIFS($E265:$M265,$E$7:$M$7,CK$7)/'Bookings to Revenue_Calcs'!$C$11</f>
        <v/>
      </c>
      <c r="CL265" s="48">
        <f>+SUMIFS($E265:$M265,$E$7:$M$7,CL$7)/'Bookings to Revenue_Calcs'!$C$11</f>
        <v/>
      </c>
      <c r="CM265" s="48">
        <f>+SUMIFS($E265:$M265,$E$7:$M$7,CM$7)/'Bookings to Revenue_Calcs'!$C$11</f>
        <v/>
      </c>
      <c r="CN265" s="48">
        <f>+SUMIFS($E265:$M265,$E$7:$M$7,CN$7)/'Bookings to Revenue_Calcs'!$C$11</f>
        <v/>
      </c>
      <c r="CO265" s="48">
        <f>+SUMIFS($E265:$M265,$E$7:$M$7,CO$7)/'Bookings to Revenue_Calcs'!$C$11</f>
        <v/>
      </c>
      <c r="CP265" s="48">
        <f>+SUMIFS($E265:$M265,$E$7:$M$7,CP$7)/'Bookings to Revenue_Calcs'!$C$11</f>
        <v/>
      </c>
      <c r="CQ265" s="48">
        <f>+SUMIFS($E265:$M265,$E$7:$M$7,CQ$7)/'Bookings to Revenue_Calcs'!$C$11</f>
        <v/>
      </c>
      <c r="CR265" s="48">
        <f>+SUMIFS($E265:$M265,$E$7:$M$7,CR$7)/'Bookings to Revenue_Calcs'!$C$11</f>
        <v/>
      </c>
      <c r="CS265" s="48">
        <f>+SUMIFS($E265:$M265,$E$7:$M$7,CS$7)/'Bookings to Revenue_Calcs'!$C$11</f>
        <v/>
      </c>
      <c r="CT265" s="48">
        <f>+SUMIFS($E265:$M265,$E$7:$M$7,CT$7)/'Bookings to Revenue_Calcs'!$C$11</f>
        <v/>
      </c>
      <c r="CU265" s="48">
        <f>+SUMIFS($E265:$M265,$E$7:$M$7,CU$7)/'Bookings to Revenue_Calcs'!$C$11</f>
        <v/>
      </c>
      <c r="CV265" s="48">
        <f>+SUMIFS($E265:$M265,$E$7:$M$7,CV$7)/'Bookings to Revenue_Calcs'!$C$11</f>
        <v/>
      </c>
      <c r="CW265" s="48">
        <f>+SUMIFS($E265:$M265,$E$7:$M$7,CW$7)/'Bookings to Revenue_Calcs'!$C$11</f>
        <v/>
      </c>
      <c r="CX265" s="48">
        <f>+SUMIFS($E265:$M265,$E$7:$M$7,CX$7)/'Bookings to Revenue_Calcs'!$C$11</f>
        <v/>
      </c>
      <c r="CY265" s="48">
        <f>+SUMIFS($E265:$M265,$E$7:$M$7,CY$7)/'Bookings to Revenue_Calcs'!$C$11</f>
        <v/>
      </c>
      <c r="CZ265" s="48">
        <f>+SUMIFS($E265:$M265,$E$7:$M$7,CZ$7)/'Bookings to Revenue_Calcs'!$C$11</f>
        <v/>
      </c>
      <c r="DA265" s="48">
        <f>+SUMIFS($E265:$M265,$E$7:$M$7,DA$7)/'Bookings to Revenue_Calcs'!$C$11</f>
        <v/>
      </c>
      <c r="DB265" s="48">
        <f>+SUMIFS($E265:$M265,$E$7:$M$7,DB$7)/'Bookings to Revenue_Calcs'!$C$11</f>
        <v/>
      </c>
      <c r="DC265" s="48">
        <f>+SUMIFS($E265:$M265,$E$7:$M$7,DC$7)/'Bookings to Revenue_Calcs'!$C$11</f>
        <v/>
      </c>
      <c r="DD265" s="48">
        <f>+SUMIFS($E265:$M265,$E$7:$M$7,DD$7)/'Bookings to Revenue_Calcs'!$C$11</f>
        <v/>
      </c>
      <c r="DE265" s="48">
        <f>+SUMIFS($E265:$M265,$E$7:$M$7,DE$7)/'Bookings to Revenue_Calcs'!$C$11</f>
        <v/>
      </c>
      <c r="DF265" s="48">
        <f>+SUMIFS($E265:$M265,$E$7:$M$7,DF$7)/'Bookings to Revenue_Calcs'!$C$11</f>
        <v/>
      </c>
      <c r="DG265" s="48">
        <f>+SUMIFS($E265:$M265,$E$7:$M$7,DG$7)/'Bookings to Revenue_Calcs'!$C$11</f>
        <v/>
      </c>
      <c r="DH265" s="48">
        <f>+SUMIFS($E265:$M265,$E$7:$M$7,DH$7)/'Bookings to Revenue_Calcs'!$C$11</f>
        <v/>
      </c>
      <c r="DI265" s="48">
        <f>+SUMIFS($E265:$M265,$E$7:$M$7,DI$7)/'Bookings to Revenue_Calcs'!$C$11</f>
        <v/>
      </c>
      <c r="DJ265" s="48">
        <f>+SUMIFS($E265:$M265,$E$7:$M$7,DJ$7)/'Bookings to Revenue_Calcs'!$C$11</f>
        <v/>
      </c>
      <c r="DK265" s="48">
        <f>+SUMIFS($E265:$M265,$E$7:$M$7,DK$7)/'Bookings to Revenue_Calcs'!$C$11</f>
        <v/>
      </c>
      <c r="DL265" s="48">
        <f>+SUMIFS($E265:$M265,$E$7:$M$7,DL$7)/'Bookings to Revenue_Calcs'!$C$11</f>
        <v/>
      </c>
      <c r="DM265" s="48">
        <f>+SUMIFS($E265:$M265,$E$7:$M$7,DM$7)/'Bookings to Revenue_Calcs'!$C$11</f>
        <v/>
      </c>
      <c r="DN265" s="48">
        <f>+SUMIFS($E265:$M265,$E$7:$M$7,DN$7)/'Bookings to Revenue_Calcs'!$C$11</f>
        <v/>
      </c>
      <c r="DO265" s="48">
        <f>+SUMIFS($E265:$M265,$E$7:$M$7,DO$7)/'Bookings to Revenue_Calcs'!$C$11</f>
        <v/>
      </c>
      <c r="DP265" s="48">
        <f>+SUMIFS($E265:$M265,$E$7:$M$7,DP$7)/'Bookings to Revenue_Calcs'!$C$11</f>
        <v/>
      </c>
      <c r="DQ265" s="48">
        <f>+SUMIFS($E265:$M265,$E$7:$M$7,DQ$7)/'Bookings to Revenue_Calcs'!$C$11</f>
        <v/>
      </c>
      <c r="DR265" s="48">
        <f>+SUMIFS($E265:$M265,$E$7:$M$7,DR$7)/'Bookings to Revenue_Calcs'!$C$11</f>
        <v/>
      </c>
    </row>
    <row r="266" ht="15.75" customHeight="1">
      <c r="B266" s="50" t="inlineStr">
        <is>
          <t>Implementation Reveue</t>
        </is>
      </c>
      <c r="C266" s="50" t="n"/>
      <c r="E266" s="51">
        <f>+SUMIFS(E$214:E$259,$C$214:$C$259,$B263)</f>
        <v/>
      </c>
      <c r="F266" s="51">
        <f>+SUMIFS(F$214:F$259,$C$214:$C$259,$B263)</f>
        <v/>
      </c>
      <c r="G266" s="51">
        <f>+SUMIFS(G$214:G$259,$C$214:$C$259,$B263)</f>
        <v/>
      </c>
      <c r="H266" s="51">
        <f>+SUMIFS(H$214:H$259,$C$214:$C$259,$B263)</f>
        <v/>
      </c>
      <c r="I266" s="51">
        <f>+SUMIFS(I$214:I$259,$C$214:$C$259,$B263)</f>
        <v/>
      </c>
      <c r="J266" s="109">
        <f>+SUMIFS($O266:$DR266,$O$7:$DR$7,J$7)</f>
        <v/>
      </c>
      <c r="K266" s="109">
        <f>+SUMIFS($O266:$DR266,$O$7:$DR$7,K$7)</f>
        <v/>
      </c>
      <c r="L266" s="109">
        <f>+SUMIFS($O266:$DR266,$O$7:$DR$7,L$7)</f>
        <v/>
      </c>
      <c r="M266" s="109">
        <f>+SUMIFS($O266:$DR266,$O$7:$DR$7,M$7)</f>
        <v/>
      </c>
      <c r="N266" s="46" t="n"/>
      <c r="O266" s="51">
        <f>+SUMIFS(O$214:O$259,$C$214:$C$259,$B263)+(O264*O265)</f>
        <v/>
      </c>
      <c r="P266" s="51">
        <f>+SUMIFS(P$214:P$259,$C$214:$C$259,$B263)+(P264*P265)</f>
        <v/>
      </c>
      <c r="Q266" s="51">
        <f>+SUMIFS(Q$214:Q$259,$C$214:$C$259,$B263)+(Q264*Q265)</f>
        <v/>
      </c>
      <c r="R266" s="51">
        <f>+SUMIFS(R$214:R$259,$C$214:$C$259,$B263)+(R264*R265)</f>
        <v/>
      </c>
      <c r="S266" s="51">
        <f>+SUMIFS(S$214:S$259,$C$214:$C$259,$B263)+(S264*S265)</f>
        <v/>
      </c>
      <c r="T266" s="51">
        <f>+SUMIFS(T$214:T$259,$C$214:$C$259,$B263)+(T264*T265)</f>
        <v/>
      </c>
      <c r="U266" s="51">
        <f>+SUMIFS(U$214:U$259,$C$214:$C$259,$B263)+(U264*U265)</f>
        <v/>
      </c>
      <c r="V266" s="51">
        <f>+SUMIFS(V$214:V$259,$C$214:$C$259,$B263)+(V264*V265)</f>
        <v/>
      </c>
      <c r="W266" s="51">
        <f>+SUMIFS(W$214:W$259,$C$214:$C$259,$B263)+(W264*W265)</f>
        <v/>
      </c>
      <c r="X266" s="51">
        <f>+SUMIFS(X$214:X$259,$C$214:$C$259,$B263)+(X264*X265)</f>
        <v/>
      </c>
      <c r="Y266" s="51">
        <f>+SUMIFS(Y$214:Y$259,$C$214:$C$259,$B263)+(Y264*Y265)</f>
        <v/>
      </c>
      <c r="Z266" s="51">
        <f>+SUMIFS(Z$214:Z$259,$C$214:$C$259,$B263)+(Z264*Z265)</f>
        <v/>
      </c>
      <c r="AA266" s="51">
        <f>+SUMIFS(AA$214:AA$259,$C$214:$C$259,$B263)+(AA264*AA265)</f>
        <v/>
      </c>
      <c r="AB266" s="51">
        <f>+SUMIFS(AB$214:AB$259,$C$214:$C$259,$B263)+(AB264*AB265)</f>
        <v/>
      </c>
      <c r="AC266" s="51">
        <f>+SUMIFS(AC$214:AC$259,$C$214:$C$259,$B263)+(AC264*AC265)</f>
        <v/>
      </c>
      <c r="AD266" s="51">
        <f>+SUMIFS(AD$214:AD$259,$C$214:$C$259,$B263)+(AD264*AD265)</f>
        <v/>
      </c>
      <c r="AE266" s="51">
        <f>+SUMIFS(AE$214:AE$259,$C$214:$C$259,$B263)+(AE264*AE265)</f>
        <v/>
      </c>
      <c r="AF266" s="51">
        <f>+SUMIFS(AF$214:AF$259,$C$214:$C$259,$B263)+(AF264*AF265)</f>
        <v/>
      </c>
      <c r="AG266" s="51">
        <f>+SUMIFS(AG$214:AG$259,$C$214:$C$259,$B263)+(AG264*AG265)</f>
        <v/>
      </c>
      <c r="AH266" s="51">
        <f>+SUMIFS(AH$214:AH$259,$C$214:$C$259,$B263)+(AH264*AH265)</f>
        <v/>
      </c>
      <c r="AI266" s="51">
        <f>+SUMIFS(AI$214:AI$259,$C$214:$C$259,$B263)+(AI264*AI265)</f>
        <v/>
      </c>
      <c r="AJ266" s="51">
        <f>+SUMIFS(AJ$214:AJ$259,$C$214:$C$259,$B263)+(AJ264*AJ265)</f>
        <v/>
      </c>
      <c r="AK266" s="51">
        <f>+SUMIFS(AK$214:AK$259,$C$214:$C$259,$B263)+(AK264*AK265)</f>
        <v/>
      </c>
      <c r="AL266" s="51">
        <f>+SUMIFS(AL$214:AL$259,$C$214:$C$259,$B263)+(AL264*AL265)</f>
        <v/>
      </c>
      <c r="AM266" s="51">
        <f>+SUMIFS(AM$214:AM$259,$C$214:$C$259,$B263)+(AM264*AM265)</f>
        <v/>
      </c>
      <c r="AN266" s="51">
        <f>+SUMIFS(AN$214:AN$259,$C$214:$C$259,$B263)+(AN264*AN265)</f>
        <v/>
      </c>
      <c r="AO266" s="51">
        <f>+SUMIFS(AO$214:AO$259,$C$214:$C$259,$B263)+(AO264*AO265)</f>
        <v/>
      </c>
      <c r="AP266" s="51">
        <f>+SUMIFS(AP$214:AP$259,$C$214:$C$259,$B263)+(AP264*AP265)</f>
        <v/>
      </c>
      <c r="AQ266" s="51">
        <f>+SUMIFS(AQ$214:AQ$259,$C$214:$C$259,$B263)+(AQ264*AQ265)</f>
        <v/>
      </c>
      <c r="AR266" s="51">
        <f>+SUMIFS(AR$214:AR$259,$C$214:$C$259,$B263)+(AR264*AR265)</f>
        <v/>
      </c>
      <c r="AS266" s="51">
        <f>+SUMIFS(AS$214:AS$259,$C$214:$C$259,$B263)+(AS264*AS265)</f>
        <v/>
      </c>
      <c r="AT266" s="51">
        <f>+SUMIFS(AT$214:AT$259,$C$214:$C$259,$B263)+(AT264*AT265)</f>
        <v/>
      </c>
      <c r="AU266" s="51">
        <f>+SUMIFS(AU$214:AU$259,$C$214:$C$259,$B263)+(AU264*AU265)</f>
        <v/>
      </c>
      <c r="AV266" s="51">
        <f>+SUMIFS(AV$214:AV$259,$C$214:$C$259,$B263)+(AV264*AV265)</f>
        <v/>
      </c>
      <c r="AW266" s="51">
        <f>+SUMIFS(AW$214:AW$259,$C$214:$C$259,$B263)+(AW264*AW265)</f>
        <v/>
      </c>
      <c r="AX266" s="51">
        <f>+SUMIFS(AX$214:AX$259,$C$214:$C$259,$B263)+(AX264*AX265)</f>
        <v/>
      </c>
      <c r="AY266" s="51">
        <f>+SUMIFS(AY$214:AY$259,$C$214:$C$259,$B263)+(AY264*AY265)</f>
        <v/>
      </c>
      <c r="AZ266" s="51">
        <f>+SUMIFS(AZ$214:AZ$259,$C$214:$C$259,$B263)+(AZ264*AZ265)</f>
        <v/>
      </c>
      <c r="BA266" s="51">
        <f>+SUMIFS(BA$214:BA$259,$C$214:$C$259,$B263)+(BA264*BA265)</f>
        <v/>
      </c>
      <c r="BB266" s="51">
        <f>+SUMIFS(BB$214:BB$259,$C$214:$C$259,$B263)+(BB264*BB265)</f>
        <v/>
      </c>
      <c r="BC266" s="51">
        <f>+SUMIFS(BC$214:BC$259,$C$214:$C$259,$B263)+(BC264*BC265)</f>
        <v/>
      </c>
      <c r="BD266" s="51">
        <f>+SUMIFS(BD$214:BD$259,$C$214:$C$259,$B263)+(BD264*BD265)</f>
        <v/>
      </c>
      <c r="BE266" s="51">
        <f>+SUMIFS(BE$214:BE$259,$C$214:$C$259,$B263)+(BE264*BE265)</f>
        <v/>
      </c>
      <c r="BF266" s="51">
        <f>+SUMIFS(BF$214:BF$259,$C$214:$C$259,$B263)+(BF264*BF265)</f>
        <v/>
      </c>
      <c r="BG266" s="51">
        <f>+SUMIFS(BG$214:BG$259,$C$214:$C$259,$B263)+(BG264*BG265)</f>
        <v/>
      </c>
      <c r="BH266" s="51">
        <f>+SUMIFS(BH$214:BH$259,$C$214:$C$259,$B263)+(BH264*BH265)</f>
        <v/>
      </c>
      <c r="BI266" s="51">
        <f>+SUMIFS(BI$214:BI$259,$C$214:$C$259,$B263)+(BI264*BI265)</f>
        <v/>
      </c>
      <c r="BJ266" s="51">
        <f>+SUMIFS(BJ$214:BJ$259,$C$214:$C$259,$B263)+(BJ264*BJ265)</f>
        <v/>
      </c>
      <c r="BK266" s="51">
        <f>+SUMIFS(BK$214:BK$259,$C$214:$C$259,$B263)+(BK264*BK265)</f>
        <v/>
      </c>
      <c r="BL266" s="51">
        <f>+SUMIFS(BL$214:BL$259,$C$214:$C$259,$B263)+(BL264*BL265)</f>
        <v/>
      </c>
      <c r="BM266" s="51">
        <f>+SUMIFS(BM$214:BM$259,$C$214:$C$259,$B263)+(BM264*BM265)</f>
        <v/>
      </c>
      <c r="BN266" s="51">
        <f>+SUMIFS(BN$214:BN$259,$C$214:$C$259,$B263)+(BN264*BN265)</f>
        <v/>
      </c>
      <c r="BO266" s="51">
        <f>+SUMIFS(BO$214:BO$259,$C$214:$C$259,$B263)+(BO264*BO265)</f>
        <v/>
      </c>
      <c r="BP266" s="51">
        <f>+SUMIFS(BP$214:BP$259,$C$214:$C$259,$B263)+(BP264*BP265)</f>
        <v/>
      </c>
      <c r="BQ266" s="51">
        <f>+SUMIFS(BQ$214:BQ$259,$C$214:$C$259,$B263)+(BQ264*BQ265)</f>
        <v/>
      </c>
      <c r="BR266" s="51">
        <f>+SUMIFS(BR$214:BR$259,$C$214:$C$259,$B263)+(BR264*BR265)</f>
        <v/>
      </c>
      <c r="BS266" s="51">
        <f>+SUMIFS(BS$214:BS$259,$C$214:$C$259,$B263)+(BS264*BS265)</f>
        <v/>
      </c>
      <c r="BT266" s="51">
        <f>+SUMIFS(BT$214:BT$259,$C$214:$C$259,$B263)+(BT264*BT265)</f>
        <v/>
      </c>
      <c r="BU266" s="51">
        <f>+SUMIFS(BU$214:BU$259,$C$214:$C$259,$B263)+(BU264*BU265)</f>
        <v/>
      </c>
      <c r="BV266" s="51">
        <f>+SUMIFS(BV$214:BV$259,$C$214:$C$259,$B263)+(BV264*BV265)</f>
        <v/>
      </c>
      <c r="BW266" s="51">
        <f>+SUMIFS(BW$214:BW$259,$C$214:$C$259,$B263)+(BW264*BW265)</f>
        <v/>
      </c>
      <c r="BX266" s="51">
        <f>+SUMIFS(BX$214:BX$259,$C$214:$C$259,$B263)+(BX264*BX265)</f>
        <v/>
      </c>
      <c r="BY266" s="51">
        <f>+SUMIFS(BY$214:BY$259,$C$214:$C$259,$B263)+(BY264*BY265)</f>
        <v/>
      </c>
      <c r="BZ266" s="51">
        <f>+SUMIFS(BZ$214:BZ$259,$C$214:$C$259,$B263)+(BZ264*BZ265)</f>
        <v/>
      </c>
      <c r="CA266" s="51">
        <f>+SUMIFS(CA$214:CA$259,$C$214:$C$259,$B263)+(CA264*CA265)</f>
        <v/>
      </c>
      <c r="CB266" s="51">
        <f>+SUMIFS(CB$214:CB$259,$C$214:$C$259,$B263)+(CB264*CB265)</f>
        <v/>
      </c>
      <c r="CC266" s="51">
        <f>+SUMIFS(CC$214:CC$259,$C$214:$C$259,$B263)+(CC264*CC265)</f>
        <v/>
      </c>
      <c r="CD266" s="51">
        <f>+SUMIFS(CD$214:CD$259,$C$214:$C$259,$B263)+(CD264*CD265)</f>
        <v/>
      </c>
      <c r="CE266" s="51">
        <f>+SUMIFS(CE$214:CE$259,$C$214:$C$259,$B263)+(CE264*CE265)</f>
        <v/>
      </c>
      <c r="CF266" s="51">
        <f>+SUMIFS(CF$214:CF$259,$C$214:$C$259,$B263)+(CF264*CF265)</f>
        <v/>
      </c>
      <c r="CG266" s="51">
        <f>+SUMIFS(CG$214:CG$259,$C$214:$C$259,$B263)+(CG264*CG265)</f>
        <v/>
      </c>
      <c r="CH266" s="51">
        <f>+SUMIFS(CH$214:CH$259,$C$214:$C$259,$B263)+(CH264*CH265)</f>
        <v/>
      </c>
      <c r="CI266" s="51">
        <f>+SUMIFS(CI$214:CI$259,$C$214:$C$259,$B263)+(CI264*CI265)</f>
        <v/>
      </c>
      <c r="CJ266" s="51">
        <f>+SUMIFS(CJ$214:CJ$259,$C$214:$C$259,$B263)+(CJ264*CJ265)</f>
        <v/>
      </c>
      <c r="CK266" s="51">
        <f>+SUMIFS(CK$214:CK$259,$C$214:$C$259,$B263)+(CK264*CK265)</f>
        <v/>
      </c>
      <c r="CL266" s="51">
        <f>+SUMIFS(CL$214:CL$259,$C$214:$C$259,$B263)+(CL264*CL265)</f>
        <v/>
      </c>
      <c r="CM266" s="51">
        <f>+SUMIFS(CM$214:CM$259,$C$214:$C$259,$B263)+(CM264*CM265)</f>
        <v/>
      </c>
      <c r="CN266" s="51">
        <f>+SUMIFS(CN$214:CN$259,$C$214:$C$259,$B263)+(CN264*CN265)</f>
        <v/>
      </c>
      <c r="CO266" s="51">
        <f>+SUMIFS(CO$214:CO$259,$C$214:$C$259,$B263)+(CO264*CO265)</f>
        <v/>
      </c>
      <c r="CP266" s="51">
        <f>+SUMIFS(CP$214:CP$259,$C$214:$C$259,$B263)+(CP264*CP265)</f>
        <v/>
      </c>
      <c r="CQ266" s="51">
        <f>+SUMIFS(CQ$214:CQ$259,$C$214:$C$259,$B263)+(CQ264*CQ265)</f>
        <v/>
      </c>
      <c r="CR266" s="51">
        <f>+SUMIFS(CR$214:CR$259,$C$214:$C$259,$B263)+(CR264*CR265)</f>
        <v/>
      </c>
      <c r="CS266" s="51">
        <f>+SUMIFS(CS$214:CS$259,$C$214:$C$259,$B263)+(CS264*CS265)</f>
        <v/>
      </c>
      <c r="CT266" s="51">
        <f>+SUMIFS(CT$214:CT$259,$C$214:$C$259,$B263)+(CT264*CT265)</f>
        <v/>
      </c>
      <c r="CU266" s="51">
        <f>+SUMIFS(CU$214:CU$259,$C$214:$C$259,$B263)+(CU264*CU265)</f>
        <v/>
      </c>
      <c r="CV266" s="51">
        <f>+SUMIFS(CV$214:CV$259,$C$214:$C$259,$B263)+(CV264*CV265)</f>
        <v/>
      </c>
      <c r="CW266" s="51">
        <f>+SUMIFS(CW$214:CW$259,$C$214:$C$259,$B263)+(CW264*CW265)</f>
        <v/>
      </c>
      <c r="CX266" s="51">
        <f>+SUMIFS(CX$214:CX$259,$C$214:$C$259,$B263)+(CX264*CX265)</f>
        <v/>
      </c>
      <c r="CY266" s="51">
        <f>+SUMIFS(CY$214:CY$259,$C$214:$C$259,$B263)+(CY264*CY265)</f>
        <v/>
      </c>
      <c r="CZ266" s="51">
        <f>+SUMIFS(CZ$214:CZ$259,$C$214:$C$259,$B263)+(CZ264*CZ265)</f>
        <v/>
      </c>
      <c r="DA266" s="51">
        <f>+SUMIFS(DA$214:DA$259,$C$214:$C$259,$B263)+(DA264*DA265)</f>
        <v/>
      </c>
      <c r="DB266" s="51">
        <f>+SUMIFS(DB$214:DB$259,$C$214:$C$259,$B263)+(DB264*DB265)</f>
        <v/>
      </c>
      <c r="DC266" s="51">
        <f>+SUMIFS(DC$214:DC$259,$C$214:$C$259,$B263)+(DC264*DC265)</f>
        <v/>
      </c>
      <c r="DD266" s="51">
        <f>+SUMIFS(DD$214:DD$259,$C$214:$C$259,$B263)+(DD264*DD265)</f>
        <v/>
      </c>
      <c r="DE266" s="51">
        <f>+SUMIFS(DE$214:DE$259,$C$214:$C$259,$B263)+(DE264*DE265)</f>
        <v/>
      </c>
      <c r="DF266" s="51">
        <f>+SUMIFS(DF$214:DF$259,$C$214:$C$259,$B263)+(DF264*DF265)</f>
        <v/>
      </c>
      <c r="DG266" s="51">
        <f>+SUMIFS(DG$214:DG$259,$C$214:$C$259,$B263)+(DG264*DG265)</f>
        <v/>
      </c>
      <c r="DH266" s="51">
        <f>+SUMIFS(DH$214:DH$259,$C$214:$C$259,$B263)+(DH264*DH265)</f>
        <v/>
      </c>
      <c r="DI266" s="51">
        <f>+SUMIFS(DI$214:DI$259,$C$214:$C$259,$B263)+(DI264*DI265)</f>
        <v/>
      </c>
      <c r="DJ266" s="51">
        <f>+SUMIFS(DJ$214:DJ$259,$C$214:$C$259,$B263)+(DJ264*DJ265)</f>
        <v/>
      </c>
      <c r="DK266" s="51">
        <f>+SUMIFS(DK$214:DK$259,$C$214:$C$259,$B263)+(DK264*DK265)</f>
        <v/>
      </c>
      <c r="DL266" s="51">
        <f>+SUMIFS(DL$214:DL$259,$C$214:$C$259,$B263)+(DL264*DL265)</f>
        <v/>
      </c>
      <c r="DM266" s="51">
        <f>+SUMIFS(DM$214:DM$259,$C$214:$C$259,$B263)+(DM264*DM265)</f>
        <v/>
      </c>
      <c r="DN266" s="51">
        <f>+SUMIFS(DN$214:DN$259,$C$214:$C$259,$B263)+(DN264*DN265)</f>
        <v/>
      </c>
      <c r="DO266" s="51">
        <f>+SUMIFS(DO$214:DO$259,$C$214:$C$259,$B263)+(DO264*DO265)</f>
        <v/>
      </c>
      <c r="DP266" s="51">
        <f>+SUMIFS(DP$214:DP$259,$C$214:$C$259,$B263)+(DP264*DP265)</f>
        <v/>
      </c>
      <c r="DQ266" s="51">
        <f>+SUMIFS(DQ$214:DQ$259,$C$214:$C$259,$B263)+(DQ264*DQ265)</f>
        <v/>
      </c>
      <c r="DR266" s="51">
        <f>+SUMIFS(DR$214:DR$259,$C$214:$C$259,$B263)+(DR264*DR265)</f>
        <v/>
      </c>
    </row>
    <row r="267" ht="4.5" customHeight="1"/>
    <row r="268" ht="15.75" customHeight="1">
      <c r="B268" s="95" t="inlineStr">
        <is>
          <t>Major</t>
        </is>
      </c>
      <c r="C268" s="96" t="n"/>
      <c r="D268" s="96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  <c r="AA268" s="96" t="n"/>
      <c r="AB268" s="96" t="n"/>
      <c r="AC268" s="96" t="n"/>
      <c r="AD268" s="96" t="n"/>
      <c r="AE268" s="96" t="n"/>
      <c r="AF268" s="96" t="n"/>
      <c r="AG268" s="96" t="n"/>
      <c r="AH268" s="96" t="n"/>
      <c r="AI268" s="96" t="n"/>
      <c r="AJ268" s="96" t="n"/>
      <c r="AK268" s="96" t="n"/>
      <c r="AL268" s="96" t="n"/>
      <c r="AM268" s="96" t="n"/>
      <c r="AN268" s="96" t="n"/>
      <c r="AO268" s="96" t="n"/>
      <c r="AP268" s="96" t="n"/>
      <c r="AQ268" s="96" t="n"/>
      <c r="AR268" s="96" t="n"/>
      <c r="AS268" s="96" t="n"/>
      <c r="AT268" s="96" t="n"/>
      <c r="AU268" s="96" t="n"/>
      <c r="AV268" s="96" t="n"/>
      <c r="AW268" s="96" t="n"/>
      <c r="AX268" s="96" t="n"/>
      <c r="AY268" s="96" t="n"/>
      <c r="AZ268" s="96" t="n"/>
      <c r="BA268" s="96" t="n"/>
      <c r="BB268" s="96" t="n"/>
      <c r="BC268" s="96" t="n"/>
      <c r="BD268" s="96" t="n"/>
      <c r="BE268" s="96" t="n"/>
      <c r="BF268" s="96" t="n"/>
      <c r="BG268" s="96" t="n"/>
      <c r="BH268" s="96" t="n"/>
      <c r="BI268" s="96" t="n"/>
      <c r="BJ268" s="96" t="n"/>
      <c r="BK268" s="96" t="n"/>
      <c r="BL268" s="96" t="n"/>
      <c r="BM268" s="96" t="n"/>
      <c r="BN268" s="96" t="n"/>
      <c r="BO268" s="96" t="n"/>
      <c r="BP268" s="96" t="n"/>
      <c r="BQ268" s="96" t="n"/>
      <c r="BR268" s="96" t="n"/>
      <c r="BS268" s="96" t="n"/>
      <c r="BT268" s="96" t="n"/>
      <c r="BU268" s="96" t="n"/>
      <c r="BV268" s="96" t="n"/>
      <c r="BW268" s="96" t="n"/>
      <c r="BX268" s="96" t="n"/>
      <c r="BY268" s="96" t="n"/>
      <c r="BZ268" s="96" t="n"/>
      <c r="CA268" s="96" t="n"/>
      <c r="CB268" s="96" t="n"/>
      <c r="CC268" s="96" t="n"/>
      <c r="CD268" s="96" t="n"/>
      <c r="CE268" s="96" t="n"/>
      <c r="CF268" s="96" t="n"/>
      <c r="CG268" s="96" t="n"/>
      <c r="CH268" s="96" t="n"/>
      <c r="CI268" s="96" t="n"/>
      <c r="CJ268" s="96" t="n"/>
      <c r="CK268" s="96" t="n"/>
      <c r="CL268" s="96" t="n"/>
      <c r="CM268" s="96" t="n"/>
      <c r="CN268" s="96" t="n"/>
      <c r="CO268" s="96" t="n"/>
      <c r="CP268" s="96" t="n"/>
      <c r="CQ268" s="96" t="n"/>
      <c r="CR268" s="96" t="n"/>
      <c r="CS268" s="96" t="n"/>
      <c r="CT268" s="96" t="n"/>
      <c r="CU268" s="96" t="n"/>
      <c r="CV268" s="96" t="n"/>
      <c r="CW268" s="96" t="n"/>
      <c r="CX268" s="96" t="n"/>
      <c r="CY268" s="96" t="n"/>
      <c r="CZ268" s="96" t="n"/>
      <c r="DA268" s="96" t="n"/>
      <c r="DB268" s="96" t="n"/>
      <c r="DC268" s="96" t="n"/>
      <c r="DD268" s="96" t="n"/>
      <c r="DE268" s="96" t="n"/>
      <c r="DF268" s="96" t="n"/>
      <c r="DG268" s="96" t="n"/>
      <c r="DH268" s="96" t="n"/>
      <c r="DI268" s="96" t="n"/>
      <c r="DJ268" s="96" t="n"/>
      <c r="DK268" s="96" t="n"/>
      <c r="DL268" s="96" t="n"/>
      <c r="DM268" s="96" t="n"/>
      <c r="DN268" s="96" t="n"/>
      <c r="DO268" s="96" t="n"/>
      <c r="DP268" s="96" t="n"/>
      <c r="DQ268" s="96" t="n"/>
      <c r="DR268" s="96" t="n"/>
    </row>
    <row r="269" ht="15.75" customHeight="1">
      <c r="B269" s="5" t="inlineStr">
        <is>
          <t>Active Bookings</t>
        </is>
      </c>
      <c r="E269" s="106">
        <f>+E271/E270</f>
        <v/>
      </c>
      <c r="F269" s="106">
        <f>+F271/F270</f>
        <v/>
      </c>
      <c r="G269" s="106">
        <f>+G271/G270</f>
        <v/>
      </c>
      <c r="H269" s="106">
        <f>+H271/H270</f>
        <v/>
      </c>
      <c r="I269" s="106">
        <f>+I271/I270</f>
        <v/>
      </c>
      <c r="J269" s="106">
        <f>+J271/J270</f>
        <v/>
      </c>
      <c r="K269" s="106">
        <f>+K271/K270</f>
        <v/>
      </c>
      <c r="L269" s="106">
        <f>+L271/L270</f>
        <v/>
      </c>
      <c r="M269" s="106">
        <f>+M271/M270</f>
        <v/>
      </c>
      <c r="O269" s="107" t="n"/>
      <c r="P269" s="107" t="n"/>
      <c r="Q269" s="107" t="n"/>
      <c r="R269" s="107" t="n"/>
      <c r="S269" s="107" t="n"/>
      <c r="T269" s="107" t="n"/>
      <c r="U269" s="107" t="n"/>
      <c r="V269" s="107" t="n"/>
      <c r="W269" s="107" t="n"/>
      <c r="X269" s="107" t="n"/>
      <c r="Y269" s="107" t="n"/>
      <c r="Z269" s="107" t="n"/>
      <c r="AA269" s="107" t="n"/>
      <c r="AB269" s="107" t="n"/>
      <c r="AC269" s="107" t="n"/>
      <c r="AD269" s="107" t="n"/>
      <c r="AE269" s="107" t="n"/>
      <c r="AF269" s="107" t="n"/>
      <c r="AG269" s="107" t="n"/>
      <c r="AH269" s="107" t="n"/>
      <c r="AI269" s="107" t="n"/>
      <c r="AJ269" s="107" t="n"/>
      <c r="AK269" s="107" t="n"/>
      <c r="AL269" s="107" t="n"/>
      <c r="AM269" s="107" t="n"/>
      <c r="AN269" s="107" t="n"/>
      <c r="AO269" s="107" t="n"/>
      <c r="AP269" s="107" t="n"/>
      <c r="AQ269" s="107" t="n"/>
      <c r="AR269" s="107" t="n"/>
      <c r="AS269" s="107" t="n"/>
      <c r="AT269" s="107" t="n"/>
      <c r="AU269" s="107" t="n"/>
      <c r="AV269" s="107" t="n"/>
      <c r="AW269" s="107" t="n"/>
      <c r="AX269" s="107" t="n"/>
      <c r="AY269" s="107" t="n"/>
      <c r="AZ269" s="107" t="n"/>
      <c r="BA269" s="107" t="n"/>
      <c r="BB269" s="107" t="n"/>
      <c r="BC269" s="107" t="n"/>
      <c r="BD269" s="107" t="n"/>
      <c r="BE269" s="107" t="n"/>
      <c r="BF269" s="107" t="n"/>
      <c r="BG269" s="107" t="n"/>
      <c r="BH269" s="107" t="n"/>
      <c r="BI269" s="107" t="n"/>
      <c r="BJ269" s="107" t="n"/>
      <c r="BK269" s="98">
        <f>+'Bookings to Revenue_Calcs'!BK30</f>
        <v/>
      </c>
      <c r="BL269" s="98">
        <f>+'Bookings to Revenue_Calcs'!BL30</f>
        <v/>
      </c>
      <c r="BM269" s="98">
        <f>+'Bookings to Revenue_Calcs'!BM30</f>
        <v/>
      </c>
      <c r="BN269" s="98">
        <f>+'Bookings to Revenue_Calcs'!BN30</f>
        <v/>
      </c>
      <c r="BO269" s="98">
        <f>+'Bookings to Revenue_Calcs'!BO30</f>
        <v/>
      </c>
      <c r="BP269" s="98">
        <f>+'Bookings to Revenue_Calcs'!BP30</f>
        <v/>
      </c>
      <c r="BQ269" s="98">
        <f>+'Bookings to Revenue_Calcs'!BQ30</f>
        <v/>
      </c>
      <c r="BR269" s="98">
        <f>+'Bookings to Revenue_Calcs'!BR30</f>
        <v/>
      </c>
      <c r="BS269" s="98">
        <f>+'Bookings to Revenue_Calcs'!BS30</f>
        <v/>
      </c>
      <c r="BT269" s="98">
        <f>+'Bookings to Revenue_Calcs'!BT30</f>
        <v/>
      </c>
      <c r="BU269" s="98">
        <f>+'Bookings to Revenue_Calcs'!BU30</f>
        <v/>
      </c>
      <c r="BV269" s="98">
        <f>+'Bookings to Revenue_Calcs'!BV30</f>
        <v/>
      </c>
      <c r="BW269" s="98">
        <f>+'Bookings to Revenue_Calcs'!BW30</f>
        <v/>
      </c>
      <c r="BX269" s="98">
        <f>+'Bookings to Revenue_Calcs'!BX30</f>
        <v/>
      </c>
      <c r="BY269" s="98">
        <f>+'Bookings to Revenue_Calcs'!BY30</f>
        <v/>
      </c>
      <c r="BZ269" s="98">
        <f>+'Bookings to Revenue_Calcs'!BZ30</f>
        <v/>
      </c>
      <c r="CA269" s="98">
        <f>+'Bookings to Revenue_Calcs'!CA30</f>
        <v/>
      </c>
      <c r="CB269" s="98">
        <f>+'Bookings to Revenue_Calcs'!CB30</f>
        <v/>
      </c>
      <c r="CC269" s="98">
        <f>+'Bookings to Revenue_Calcs'!CC30</f>
        <v/>
      </c>
      <c r="CD269" s="98">
        <f>+'Bookings to Revenue_Calcs'!CD30</f>
        <v/>
      </c>
      <c r="CE269" s="98">
        <f>+'Bookings to Revenue_Calcs'!CE30</f>
        <v/>
      </c>
      <c r="CF269" s="98">
        <f>+'Bookings to Revenue_Calcs'!CF30</f>
        <v/>
      </c>
      <c r="CG269" s="98">
        <f>+'Bookings to Revenue_Calcs'!CG30</f>
        <v/>
      </c>
      <c r="CH269" s="98">
        <f>+'Bookings to Revenue_Calcs'!CH30</f>
        <v/>
      </c>
      <c r="CI269" s="98">
        <f>+'Bookings to Revenue_Calcs'!CI30</f>
        <v/>
      </c>
      <c r="CJ269" s="98">
        <f>+'Bookings to Revenue_Calcs'!CJ30</f>
        <v/>
      </c>
      <c r="CK269" s="98">
        <f>+'Bookings to Revenue_Calcs'!CK30</f>
        <v/>
      </c>
      <c r="CL269" s="98">
        <f>+'Bookings to Revenue_Calcs'!CL30</f>
        <v/>
      </c>
      <c r="CM269" s="98">
        <f>+'Bookings to Revenue_Calcs'!CM30</f>
        <v/>
      </c>
      <c r="CN269" s="98">
        <f>+'Bookings to Revenue_Calcs'!CN30</f>
        <v/>
      </c>
      <c r="CO269" s="98">
        <f>+'Bookings to Revenue_Calcs'!CO30</f>
        <v/>
      </c>
      <c r="CP269" s="98">
        <f>+'Bookings to Revenue_Calcs'!CP30</f>
        <v/>
      </c>
      <c r="CQ269" s="98">
        <f>+'Bookings to Revenue_Calcs'!CQ30</f>
        <v/>
      </c>
      <c r="CR269" s="98">
        <f>+'Bookings to Revenue_Calcs'!CR30</f>
        <v/>
      </c>
      <c r="CS269" s="98">
        <f>+'Bookings to Revenue_Calcs'!CS30</f>
        <v/>
      </c>
      <c r="CT269" s="98">
        <f>+'Bookings to Revenue_Calcs'!CT30</f>
        <v/>
      </c>
      <c r="CU269" s="98">
        <f>+'Bookings to Revenue_Calcs'!CU30</f>
        <v/>
      </c>
      <c r="CV269" s="98">
        <f>+'Bookings to Revenue_Calcs'!CV30</f>
        <v/>
      </c>
      <c r="CW269" s="98">
        <f>+'Bookings to Revenue_Calcs'!CW30</f>
        <v/>
      </c>
      <c r="CX269" s="98">
        <f>+'Bookings to Revenue_Calcs'!CX30</f>
        <v/>
      </c>
      <c r="CY269" s="98">
        <f>+'Bookings to Revenue_Calcs'!CY30</f>
        <v/>
      </c>
      <c r="CZ269" s="98">
        <f>+'Bookings to Revenue_Calcs'!CZ30</f>
        <v/>
      </c>
      <c r="DA269" s="98">
        <f>+'Bookings to Revenue_Calcs'!DA30</f>
        <v/>
      </c>
      <c r="DB269" s="98">
        <f>+'Bookings to Revenue_Calcs'!DB30</f>
        <v/>
      </c>
      <c r="DC269" s="98">
        <f>+'Bookings to Revenue_Calcs'!DC30</f>
        <v/>
      </c>
      <c r="DD269" s="98">
        <f>+'Bookings to Revenue_Calcs'!DD30</f>
        <v/>
      </c>
      <c r="DE269" s="98">
        <f>+'Bookings to Revenue_Calcs'!DE30</f>
        <v/>
      </c>
      <c r="DF269" s="98">
        <f>+'Bookings to Revenue_Calcs'!DF30</f>
        <v/>
      </c>
      <c r="DG269" s="98">
        <f>+'Bookings to Revenue_Calcs'!DG30</f>
        <v/>
      </c>
      <c r="DH269" s="98">
        <f>+'Bookings to Revenue_Calcs'!DH30</f>
        <v/>
      </c>
      <c r="DI269" s="98">
        <f>+'Bookings to Revenue_Calcs'!DI30</f>
        <v/>
      </c>
      <c r="DJ269" s="98">
        <f>+'Bookings to Revenue_Calcs'!DJ30</f>
        <v/>
      </c>
      <c r="DK269" s="98">
        <f>+'Bookings to Revenue_Calcs'!DK30</f>
        <v/>
      </c>
      <c r="DL269" s="98">
        <f>+'Bookings to Revenue_Calcs'!DL30</f>
        <v/>
      </c>
      <c r="DM269" s="98">
        <f>+'Bookings to Revenue_Calcs'!DM30</f>
        <v/>
      </c>
      <c r="DN269" s="98">
        <f>+'Bookings to Revenue_Calcs'!DN30</f>
        <v/>
      </c>
      <c r="DO269" s="98">
        <f>+'Bookings to Revenue_Calcs'!DO30</f>
        <v/>
      </c>
      <c r="DP269" s="98">
        <f>+'Bookings to Revenue_Calcs'!DP30</f>
        <v/>
      </c>
      <c r="DQ269" s="98">
        <f>+'Bookings to Revenue_Calcs'!DQ30</f>
        <v/>
      </c>
      <c r="DR269" s="98">
        <f>+'Bookings to Revenue_Calcs'!DR30</f>
        <v/>
      </c>
    </row>
    <row r="270" ht="15.75" customHeight="1">
      <c r="B270" s="5" t="inlineStr">
        <is>
          <t>Average Implementation Spend</t>
        </is>
      </c>
      <c r="E270" s="46">
        <f>+AVERAGEIFS(E$214:E$259,$C$214:$C$259,$B268,E$214:E$259,"&lt;&gt;0")</f>
        <v/>
      </c>
      <c r="F270" s="46">
        <f>+AVERAGEIFS(F$214:F$259,$C$214:$C$259,$B268,F$214:F$259,"&lt;&gt;0")</f>
        <v/>
      </c>
      <c r="G270" s="46">
        <f>+AVERAGEIFS(G$214:G$259,$C$214:$C$259,$B268,G$214:G$259,"&lt;&gt;0")</f>
        <v/>
      </c>
      <c r="H270" s="46">
        <f>+AVERAGEIFS(H$214:H$259,$C$214:$C$259,$B268,H$214:H$259,"&lt;&gt;0")</f>
        <v/>
      </c>
      <c r="I270" s="46">
        <f>+AVERAGEIFS(I$214:I$259,$C$214:$C$259,$B268,I$214:I$259,"&lt;&gt;0")</f>
        <v/>
      </c>
      <c r="J270" s="48">
        <f>+Revenue_Assumptions!J52</f>
        <v/>
      </c>
      <c r="K270" s="48">
        <f>+Revenue_Assumptions!K52</f>
        <v/>
      </c>
      <c r="L270" s="48">
        <f>+Revenue_Assumptions!L52</f>
        <v/>
      </c>
      <c r="M270" s="48">
        <f>+Revenue_Assumptions!M52</f>
        <v/>
      </c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  <c r="AA270" s="108" t="n"/>
      <c r="AB270" s="108" t="n"/>
      <c r="AC270" s="108" t="n"/>
      <c r="AD270" s="108" t="n"/>
      <c r="AE270" s="108" t="n"/>
      <c r="AF270" s="108" t="n"/>
      <c r="AG270" s="108" t="n"/>
      <c r="AH270" s="108" t="n"/>
      <c r="AI270" s="108" t="n"/>
      <c r="AJ270" s="108" t="n"/>
      <c r="AK270" s="108" t="n"/>
      <c r="AL270" s="108" t="n"/>
      <c r="AM270" s="108" t="n"/>
      <c r="AN270" s="108" t="n"/>
      <c r="AO270" s="108" t="n"/>
      <c r="AP270" s="108" t="n"/>
      <c r="AQ270" s="108" t="n"/>
      <c r="AR270" s="108" t="n"/>
      <c r="AS270" s="108" t="n"/>
      <c r="AT270" s="108" t="n"/>
      <c r="AU270" s="108" t="n"/>
      <c r="AV270" s="108" t="n"/>
      <c r="AW270" s="108" t="n"/>
      <c r="AX270" s="108" t="n"/>
      <c r="AY270" s="108" t="n"/>
      <c r="AZ270" s="108" t="n"/>
      <c r="BA270" s="108" t="n"/>
      <c r="BB270" s="108" t="n"/>
      <c r="BC270" s="108" t="n"/>
      <c r="BD270" s="108" t="n"/>
      <c r="BE270" s="108" t="n"/>
      <c r="BF270" s="108" t="n"/>
      <c r="BG270" s="108" t="n"/>
      <c r="BH270" s="108" t="n"/>
      <c r="BI270" s="108" t="n"/>
      <c r="BJ270" s="108" t="n"/>
      <c r="BK270" s="48">
        <f>+SUMIFS($E270:$M270,$E$7:$M$7,BK$7)/'Bookings to Revenue_Calcs'!$C$12</f>
        <v/>
      </c>
      <c r="BL270" s="48">
        <f>+SUMIFS($E270:$M270,$E$7:$M$7,BL$7)/'Bookings to Revenue_Calcs'!$C$12</f>
        <v/>
      </c>
      <c r="BM270" s="48">
        <f>+SUMIFS($E270:$M270,$E$7:$M$7,BM$7)/'Bookings to Revenue_Calcs'!$C$12</f>
        <v/>
      </c>
      <c r="BN270" s="48">
        <f>+SUMIFS($E270:$M270,$E$7:$M$7,BN$7)/'Bookings to Revenue_Calcs'!$C$12</f>
        <v/>
      </c>
      <c r="BO270" s="48">
        <f>+SUMIFS($E270:$M270,$E$7:$M$7,BO$7)/'Bookings to Revenue_Calcs'!$C$12</f>
        <v/>
      </c>
      <c r="BP270" s="48">
        <f>+SUMIFS($E270:$M270,$E$7:$M$7,BP$7)/'Bookings to Revenue_Calcs'!$C$12</f>
        <v/>
      </c>
      <c r="BQ270" s="48">
        <f>+SUMIFS($E270:$M270,$E$7:$M$7,BQ$7)/'Bookings to Revenue_Calcs'!$C$12</f>
        <v/>
      </c>
      <c r="BR270" s="48">
        <f>+SUMIFS($E270:$M270,$E$7:$M$7,BR$7)/'Bookings to Revenue_Calcs'!$C$12</f>
        <v/>
      </c>
      <c r="BS270" s="48">
        <f>+SUMIFS($E270:$M270,$E$7:$M$7,BS$7)/'Bookings to Revenue_Calcs'!$C$12</f>
        <v/>
      </c>
      <c r="BT270" s="48">
        <f>+SUMIFS($E270:$M270,$E$7:$M$7,BT$7)/'Bookings to Revenue_Calcs'!$C$12</f>
        <v/>
      </c>
      <c r="BU270" s="48">
        <f>+SUMIFS($E270:$M270,$E$7:$M$7,BU$7)/'Bookings to Revenue_Calcs'!$C$12</f>
        <v/>
      </c>
      <c r="BV270" s="48">
        <f>+SUMIFS($E270:$M270,$E$7:$M$7,BV$7)/'Bookings to Revenue_Calcs'!$C$12</f>
        <v/>
      </c>
      <c r="BW270" s="48">
        <f>+SUMIFS($E270:$M270,$E$7:$M$7,BW$7)/'Bookings to Revenue_Calcs'!$C$12</f>
        <v/>
      </c>
      <c r="BX270" s="48">
        <f>+SUMIFS($E270:$M270,$E$7:$M$7,BX$7)/'Bookings to Revenue_Calcs'!$C$12</f>
        <v/>
      </c>
      <c r="BY270" s="48">
        <f>+SUMIFS($E270:$M270,$E$7:$M$7,BY$7)/'Bookings to Revenue_Calcs'!$C$12</f>
        <v/>
      </c>
      <c r="BZ270" s="48">
        <f>+SUMIFS($E270:$M270,$E$7:$M$7,BZ$7)/'Bookings to Revenue_Calcs'!$C$12</f>
        <v/>
      </c>
      <c r="CA270" s="48">
        <f>+SUMIFS($E270:$M270,$E$7:$M$7,CA$7)/'Bookings to Revenue_Calcs'!$C$12</f>
        <v/>
      </c>
      <c r="CB270" s="48">
        <f>+SUMIFS($E270:$M270,$E$7:$M$7,CB$7)/'Bookings to Revenue_Calcs'!$C$12</f>
        <v/>
      </c>
      <c r="CC270" s="48">
        <f>+SUMIFS($E270:$M270,$E$7:$M$7,CC$7)/'Bookings to Revenue_Calcs'!$C$12</f>
        <v/>
      </c>
      <c r="CD270" s="48">
        <f>+SUMIFS($E270:$M270,$E$7:$M$7,CD$7)/'Bookings to Revenue_Calcs'!$C$12</f>
        <v/>
      </c>
      <c r="CE270" s="48">
        <f>+SUMIFS($E270:$M270,$E$7:$M$7,CE$7)/'Bookings to Revenue_Calcs'!$C$12</f>
        <v/>
      </c>
      <c r="CF270" s="48">
        <f>+SUMIFS($E270:$M270,$E$7:$M$7,CF$7)/'Bookings to Revenue_Calcs'!$C$12</f>
        <v/>
      </c>
      <c r="CG270" s="48">
        <f>+SUMIFS($E270:$M270,$E$7:$M$7,CG$7)/'Bookings to Revenue_Calcs'!$C$12</f>
        <v/>
      </c>
      <c r="CH270" s="48">
        <f>+SUMIFS($E270:$M270,$E$7:$M$7,CH$7)/'Bookings to Revenue_Calcs'!$C$12</f>
        <v/>
      </c>
      <c r="CI270" s="48">
        <f>+SUMIFS($E270:$M270,$E$7:$M$7,CI$7)/'Bookings to Revenue_Calcs'!$C$12</f>
        <v/>
      </c>
      <c r="CJ270" s="48">
        <f>+SUMIFS($E270:$M270,$E$7:$M$7,CJ$7)/'Bookings to Revenue_Calcs'!$C$12</f>
        <v/>
      </c>
      <c r="CK270" s="48">
        <f>+SUMIFS($E270:$M270,$E$7:$M$7,CK$7)/'Bookings to Revenue_Calcs'!$C$12</f>
        <v/>
      </c>
      <c r="CL270" s="48">
        <f>+SUMIFS($E270:$M270,$E$7:$M$7,CL$7)/'Bookings to Revenue_Calcs'!$C$12</f>
        <v/>
      </c>
      <c r="CM270" s="48">
        <f>+SUMIFS($E270:$M270,$E$7:$M$7,CM$7)/'Bookings to Revenue_Calcs'!$C$12</f>
        <v/>
      </c>
      <c r="CN270" s="48">
        <f>+SUMIFS($E270:$M270,$E$7:$M$7,CN$7)/'Bookings to Revenue_Calcs'!$C$12</f>
        <v/>
      </c>
      <c r="CO270" s="48">
        <f>+SUMIFS($E270:$M270,$E$7:$M$7,CO$7)/'Bookings to Revenue_Calcs'!$C$12</f>
        <v/>
      </c>
      <c r="CP270" s="48">
        <f>+SUMIFS($E270:$M270,$E$7:$M$7,CP$7)/'Bookings to Revenue_Calcs'!$C$12</f>
        <v/>
      </c>
      <c r="CQ270" s="48">
        <f>+SUMIFS($E270:$M270,$E$7:$M$7,CQ$7)/'Bookings to Revenue_Calcs'!$C$12</f>
        <v/>
      </c>
      <c r="CR270" s="48">
        <f>+SUMIFS($E270:$M270,$E$7:$M$7,CR$7)/'Bookings to Revenue_Calcs'!$C$12</f>
        <v/>
      </c>
      <c r="CS270" s="48">
        <f>+SUMIFS($E270:$M270,$E$7:$M$7,CS$7)/'Bookings to Revenue_Calcs'!$C$12</f>
        <v/>
      </c>
      <c r="CT270" s="48">
        <f>+SUMIFS($E270:$M270,$E$7:$M$7,CT$7)/'Bookings to Revenue_Calcs'!$C$12</f>
        <v/>
      </c>
      <c r="CU270" s="48">
        <f>+SUMIFS($E270:$M270,$E$7:$M$7,CU$7)/'Bookings to Revenue_Calcs'!$C$12</f>
        <v/>
      </c>
      <c r="CV270" s="48">
        <f>+SUMIFS($E270:$M270,$E$7:$M$7,CV$7)/'Bookings to Revenue_Calcs'!$C$12</f>
        <v/>
      </c>
      <c r="CW270" s="48">
        <f>+SUMIFS($E270:$M270,$E$7:$M$7,CW$7)/'Bookings to Revenue_Calcs'!$C$12</f>
        <v/>
      </c>
      <c r="CX270" s="48">
        <f>+SUMIFS($E270:$M270,$E$7:$M$7,CX$7)/'Bookings to Revenue_Calcs'!$C$12</f>
        <v/>
      </c>
      <c r="CY270" s="48">
        <f>+SUMIFS($E270:$M270,$E$7:$M$7,CY$7)/'Bookings to Revenue_Calcs'!$C$12</f>
        <v/>
      </c>
      <c r="CZ270" s="48">
        <f>+SUMIFS($E270:$M270,$E$7:$M$7,CZ$7)/'Bookings to Revenue_Calcs'!$C$12</f>
        <v/>
      </c>
      <c r="DA270" s="48">
        <f>+SUMIFS($E270:$M270,$E$7:$M$7,DA$7)/'Bookings to Revenue_Calcs'!$C$12</f>
        <v/>
      </c>
      <c r="DB270" s="48">
        <f>+SUMIFS($E270:$M270,$E$7:$M$7,DB$7)/'Bookings to Revenue_Calcs'!$C$12</f>
        <v/>
      </c>
      <c r="DC270" s="48">
        <f>+SUMIFS($E270:$M270,$E$7:$M$7,DC$7)/'Bookings to Revenue_Calcs'!$C$12</f>
        <v/>
      </c>
      <c r="DD270" s="48">
        <f>+SUMIFS($E270:$M270,$E$7:$M$7,DD$7)/'Bookings to Revenue_Calcs'!$C$12</f>
        <v/>
      </c>
      <c r="DE270" s="48">
        <f>+SUMIFS($E270:$M270,$E$7:$M$7,DE$7)/'Bookings to Revenue_Calcs'!$C$12</f>
        <v/>
      </c>
      <c r="DF270" s="48">
        <f>+SUMIFS($E270:$M270,$E$7:$M$7,DF$7)/'Bookings to Revenue_Calcs'!$C$12</f>
        <v/>
      </c>
      <c r="DG270" s="48">
        <f>+SUMIFS($E270:$M270,$E$7:$M$7,DG$7)/'Bookings to Revenue_Calcs'!$C$12</f>
        <v/>
      </c>
      <c r="DH270" s="48">
        <f>+SUMIFS($E270:$M270,$E$7:$M$7,DH$7)/'Bookings to Revenue_Calcs'!$C$12</f>
        <v/>
      </c>
      <c r="DI270" s="48">
        <f>+SUMIFS($E270:$M270,$E$7:$M$7,DI$7)/'Bookings to Revenue_Calcs'!$C$12</f>
        <v/>
      </c>
      <c r="DJ270" s="48">
        <f>+SUMIFS($E270:$M270,$E$7:$M$7,DJ$7)/'Bookings to Revenue_Calcs'!$C$12</f>
        <v/>
      </c>
      <c r="DK270" s="48">
        <f>+SUMIFS($E270:$M270,$E$7:$M$7,DK$7)/'Bookings to Revenue_Calcs'!$C$12</f>
        <v/>
      </c>
      <c r="DL270" s="48">
        <f>+SUMIFS($E270:$M270,$E$7:$M$7,DL$7)/'Bookings to Revenue_Calcs'!$C$12</f>
        <v/>
      </c>
      <c r="DM270" s="48">
        <f>+SUMIFS($E270:$M270,$E$7:$M$7,DM$7)/'Bookings to Revenue_Calcs'!$C$12</f>
        <v/>
      </c>
      <c r="DN270" s="48">
        <f>+SUMIFS($E270:$M270,$E$7:$M$7,DN$7)/'Bookings to Revenue_Calcs'!$C$12</f>
        <v/>
      </c>
      <c r="DO270" s="48">
        <f>+SUMIFS($E270:$M270,$E$7:$M$7,DO$7)/'Bookings to Revenue_Calcs'!$C$12</f>
        <v/>
      </c>
      <c r="DP270" s="48">
        <f>+SUMIFS($E270:$M270,$E$7:$M$7,DP$7)/'Bookings to Revenue_Calcs'!$C$12</f>
        <v/>
      </c>
      <c r="DQ270" s="48">
        <f>+SUMIFS($E270:$M270,$E$7:$M$7,DQ$7)/'Bookings to Revenue_Calcs'!$C$12</f>
        <v/>
      </c>
      <c r="DR270" s="48">
        <f>+SUMIFS($E270:$M270,$E$7:$M$7,DR$7)/'Bookings to Revenue_Calcs'!$C$12</f>
        <v/>
      </c>
    </row>
    <row r="271" ht="15.75" customHeight="1">
      <c r="B271" s="50" t="inlineStr">
        <is>
          <t>Implementation Reveue</t>
        </is>
      </c>
      <c r="C271" s="50" t="n"/>
      <c r="E271" s="51">
        <f>+SUMIFS(E$214:E$259,$C$214:$C$259,$B268)</f>
        <v/>
      </c>
      <c r="F271" s="51">
        <f>+SUMIFS(F$214:F$259,$C$214:$C$259,$B268)</f>
        <v/>
      </c>
      <c r="G271" s="51">
        <f>+SUMIFS(G$214:G$259,$C$214:$C$259,$B268)</f>
        <v/>
      </c>
      <c r="H271" s="51">
        <f>+SUMIFS(H$214:H$259,$C$214:$C$259,$B268)</f>
        <v/>
      </c>
      <c r="I271" s="51">
        <f>+SUMIFS(I$214:I$259,$C$214:$C$259,$B268)</f>
        <v/>
      </c>
      <c r="J271" s="109">
        <f>+SUMIFS($O271:$DR271,$O$7:$DR$7,J$7)</f>
        <v/>
      </c>
      <c r="K271" s="109">
        <f>+SUMIFS($O271:$DR271,$O$7:$DR$7,K$7)</f>
        <v/>
      </c>
      <c r="L271" s="109">
        <f>+SUMIFS($O271:$DR271,$O$7:$DR$7,L$7)</f>
        <v/>
      </c>
      <c r="M271" s="109">
        <f>+SUMIFS($O271:$DR271,$O$7:$DR$7,M$7)</f>
        <v/>
      </c>
      <c r="N271" s="46" t="n"/>
      <c r="O271" s="51">
        <f>+SUMIFS(O$214:O$259,$C$214:$C$259,$B268)+(O269*O270)</f>
        <v/>
      </c>
      <c r="P271" s="51">
        <f>+SUMIFS(P$214:P$259,$C$214:$C$259,$B268)+(P269*P270)</f>
        <v/>
      </c>
      <c r="Q271" s="51">
        <f>+SUMIFS(Q$214:Q$259,$C$214:$C$259,$B268)+(Q269*Q270)</f>
        <v/>
      </c>
      <c r="R271" s="51">
        <f>+SUMIFS(R$214:R$259,$C$214:$C$259,$B268)+(R269*R270)</f>
        <v/>
      </c>
      <c r="S271" s="51">
        <f>+SUMIFS(S$214:S$259,$C$214:$C$259,$B268)+(S269*S270)</f>
        <v/>
      </c>
      <c r="T271" s="51">
        <f>+SUMIFS(T$214:T$259,$C$214:$C$259,$B268)+(T269*T270)</f>
        <v/>
      </c>
      <c r="U271" s="51">
        <f>+SUMIFS(U$214:U$259,$C$214:$C$259,$B268)+(U269*U270)</f>
        <v/>
      </c>
      <c r="V271" s="51">
        <f>+SUMIFS(V$214:V$259,$C$214:$C$259,$B268)+(V269*V270)</f>
        <v/>
      </c>
      <c r="W271" s="51">
        <f>+SUMIFS(W$214:W$259,$C$214:$C$259,$B268)+(W269*W270)</f>
        <v/>
      </c>
      <c r="X271" s="51">
        <f>+SUMIFS(X$214:X$259,$C$214:$C$259,$B268)+(X269*X270)</f>
        <v/>
      </c>
      <c r="Y271" s="51">
        <f>+SUMIFS(Y$214:Y$259,$C$214:$C$259,$B268)+(Y269*Y270)</f>
        <v/>
      </c>
      <c r="Z271" s="51">
        <f>+SUMIFS(Z$214:Z$259,$C$214:$C$259,$B268)+(Z269*Z270)</f>
        <v/>
      </c>
      <c r="AA271" s="51">
        <f>+SUMIFS(AA$214:AA$259,$C$214:$C$259,$B268)+(AA269*AA270)</f>
        <v/>
      </c>
      <c r="AB271" s="51">
        <f>+SUMIFS(AB$214:AB$259,$C$214:$C$259,$B268)+(AB269*AB270)</f>
        <v/>
      </c>
      <c r="AC271" s="51">
        <f>+SUMIFS(AC$214:AC$259,$C$214:$C$259,$B268)+(AC269*AC270)</f>
        <v/>
      </c>
      <c r="AD271" s="51">
        <f>+SUMIFS(AD$214:AD$259,$C$214:$C$259,$B268)+(AD269*AD270)</f>
        <v/>
      </c>
      <c r="AE271" s="51">
        <f>+SUMIFS(AE$214:AE$259,$C$214:$C$259,$B268)+(AE269*AE270)</f>
        <v/>
      </c>
      <c r="AF271" s="51">
        <f>+SUMIFS(AF$214:AF$259,$C$214:$C$259,$B268)+(AF269*AF270)</f>
        <v/>
      </c>
      <c r="AG271" s="51">
        <f>+SUMIFS(AG$214:AG$259,$C$214:$C$259,$B268)+(AG269*AG270)</f>
        <v/>
      </c>
      <c r="AH271" s="51">
        <f>+SUMIFS(AH$214:AH$259,$C$214:$C$259,$B268)+(AH269*AH270)</f>
        <v/>
      </c>
      <c r="AI271" s="51">
        <f>+SUMIFS(AI$214:AI$259,$C$214:$C$259,$B268)+(AI269*AI270)</f>
        <v/>
      </c>
      <c r="AJ271" s="51">
        <f>+SUMIFS(AJ$214:AJ$259,$C$214:$C$259,$B268)+(AJ269*AJ270)</f>
        <v/>
      </c>
      <c r="AK271" s="51">
        <f>+SUMIFS(AK$214:AK$259,$C$214:$C$259,$B268)+(AK269*AK270)</f>
        <v/>
      </c>
      <c r="AL271" s="51">
        <f>+SUMIFS(AL$214:AL$259,$C$214:$C$259,$B268)+(AL269*AL270)</f>
        <v/>
      </c>
      <c r="AM271" s="51">
        <f>+SUMIFS(AM$214:AM$259,$C$214:$C$259,$B268)+(AM269*AM270)</f>
        <v/>
      </c>
      <c r="AN271" s="51">
        <f>+SUMIFS(AN$214:AN$259,$C$214:$C$259,$B268)+(AN269*AN270)</f>
        <v/>
      </c>
      <c r="AO271" s="51">
        <f>+SUMIFS(AO$214:AO$259,$C$214:$C$259,$B268)+(AO269*AO270)</f>
        <v/>
      </c>
      <c r="AP271" s="51">
        <f>+SUMIFS(AP$214:AP$259,$C$214:$C$259,$B268)+(AP269*AP270)</f>
        <v/>
      </c>
      <c r="AQ271" s="51">
        <f>+SUMIFS(AQ$214:AQ$259,$C$214:$C$259,$B268)+(AQ269*AQ270)</f>
        <v/>
      </c>
      <c r="AR271" s="51">
        <f>+SUMIFS(AR$214:AR$259,$C$214:$C$259,$B268)+(AR269*AR270)</f>
        <v/>
      </c>
      <c r="AS271" s="51">
        <f>+SUMIFS(AS$214:AS$259,$C$214:$C$259,$B268)+(AS269*AS270)</f>
        <v/>
      </c>
      <c r="AT271" s="51">
        <f>+SUMIFS(AT$214:AT$259,$C$214:$C$259,$B268)+(AT269*AT270)</f>
        <v/>
      </c>
      <c r="AU271" s="51">
        <f>+SUMIFS(AU$214:AU$259,$C$214:$C$259,$B268)+(AU269*AU270)</f>
        <v/>
      </c>
      <c r="AV271" s="51">
        <f>+SUMIFS(AV$214:AV$259,$C$214:$C$259,$B268)+(AV269*AV270)</f>
        <v/>
      </c>
      <c r="AW271" s="51">
        <f>+SUMIFS(AW$214:AW$259,$C$214:$C$259,$B268)+(AW269*AW270)</f>
        <v/>
      </c>
      <c r="AX271" s="51">
        <f>+SUMIFS(AX$214:AX$259,$C$214:$C$259,$B268)+(AX269*AX270)</f>
        <v/>
      </c>
      <c r="AY271" s="51">
        <f>+SUMIFS(AY$214:AY$259,$C$214:$C$259,$B268)+(AY269*AY270)</f>
        <v/>
      </c>
      <c r="AZ271" s="51">
        <f>+SUMIFS(AZ$214:AZ$259,$C$214:$C$259,$B268)+(AZ269*AZ270)</f>
        <v/>
      </c>
      <c r="BA271" s="51">
        <f>+SUMIFS(BA$214:BA$259,$C$214:$C$259,$B268)+(BA269*BA270)</f>
        <v/>
      </c>
      <c r="BB271" s="51">
        <f>+SUMIFS(BB$214:BB$259,$C$214:$C$259,$B268)+(BB269*BB270)</f>
        <v/>
      </c>
      <c r="BC271" s="51">
        <f>+SUMIFS(BC$214:BC$259,$C$214:$C$259,$B268)+(BC269*BC270)</f>
        <v/>
      </c>
      <c r="BD271" s="51">
        <f>+SUMIFS(BD$214:BD$259,$C$214:$C$259,$B268)+(BD269*BD270)</f>
        <v/>
      </c>
      <c r="BE271" s="51">
        <f>+SUMIFS(BE$214:BE$259,$C$214:$C$259,$B268)+(BE269*BE270)</f>
        <v/>
      </c>
      <c r="BF271" s="51">
        <f>+SUMIFS(BF$214:BF$259,$C$214:$C$259,$B268)+(BF269*BF270)</f>
        <v/>
      </c>
      <c r="BG271" s="51">
        <f>+SUMIFS(BG$214:BG$259,$C$214:$C$259,$B268)+(BG269*BG270)</f>
        <v/>
      </c>
      <c r="BH271" s="51">
        <f>+SUMIFS(BH$214:BH$259,$C$214:$C$259,$B268)+(BH269*BH270)</f>
        <v/>
      </c>
      <c r="BI271" s="51">
        <f>+SUMIFS(BI$214:BI$259,$C$214:$C$259,$B268)+(BI269*BI270)</f>
        <v/>
      </c>
      <c r="BJ271" s="51">
        <f>+SUMIFS(BJ$214:BJ$259,$C$214:$C$259,$B268)+(BJ269*BJ270)</f>
        <v/>
      </c>
      <c r="BK271" s="51">
        <f>+SUMIFS(BK$214:BK$259,$C$214:$C$259,$B268)+(BK269*BK270)</f>
        <v/>
      </c>
      <c r="BL271" s="51">
        <f>+SUMIFS(BL$214:BL$259,$C$214:$C$259,$B268)+(BL269*BL270)</f>
        <v/>
      </c>
      <c r="BM271" s="51">
        <f>+SUMIFS(BM$214:BM$259,$C$214:$C$259,$B268)+(BM269*BM270)</f>
        <v/>
      </c>
      <c r="BN271" s="51">
        <f>+SUMIFS(BN$214:BN$259,$C$214:$C$259,$B268)+(BN269*BN270)</f>
        <v/>
      </c>
      <c r="BO271" s="51">
        <f>+SUMIFS(BO$214:BO$259,$C$214:$C$259,$B268)+(BO269*BO270)</f>
        <v/>
      </c>
      <c r="BP271" s="51">
        <f>+SUMIFS(BP$214:BP$259,$C$214:$C$259,$B268)+(BP269*BP270)</f>
        <v/>
      </c>
      <c r="BQ271" s="51">
        <f>+SUMIFS(BQ$214:BQ$259,$C$214:$C$259,$B268)+(BQ269*BQ270)</f>
        <v/>
      </c>
      <c r="BR271" s="51">
        <f>+SUMIFS(BR$214:BR$259,$C$214:$C$259,$B268)+(BR269*BR270)</f>
        <v/>
      </c>
      <c r="BS271" s="51">
        <f>+SUMIFS(BS$214:BS$259,$C$214:$C$259,$B268)+(BS269*BS270)</f>
        <v/>
      </c>
      <c r="BT271" s="51">
        <f>+SUMIFS(BT$214:BT$259,$C$214:$C$259,$B268)+(BT269*BT270)</f>
        <v/>
      </c>
      <c r="BU271" s="51">
        <f>+SUMIFS(BU$214:BU$259,$C$214:$C$259,$B268)+(BU269*BU270)</f>
        <v/>
      </c>
      <c r="BV271" s="51">
        <f>+SUMIFS(BV$214:BV$259,$C$214:$C$259,$B268)+(BV269*BV270)</f>
        <v/>
      </c>
      <c r="BW271" s="51">
        <f>+SUMIFS(BW$214:BW$259,$C$214:$C$259,$B268)+(BW269*BW270)</f>
        <v/>
      </c>
      <c r="BX271" s="51">
        <f>+SUMIFS(BX$214:BX$259,$C$214:$C$259,$B268)+(BX269*BX270)</f>
        <v/>
      </c>
      <c r="BY271" s="51">
        <f>+SUMIFS(BY$214:BY$259,$C$214:$C$259,$B268)+(BY269*BY270)</f>
        <v/>
      </c>
      <c r="BZ271" s="51">
        <f>+SUMIFS(BZ$214:BZ$259,$C$214:$C$259,$B268)+(BZ269*BZ270)</f>
        <v/>
      </c>
      <c r="CA271" s="51">
        <f>+SUMIFS(CA$214:CA$259,$C$214:$C$259,$B268)+(CA269*CA270)</f>
        <v/>
      </c>
      <c r="CB271" s="51">
        <f>+SUMIFS(CB$214:CB$259,$C$214:$C$259,$B268)+(CB269*CB270)</f>
        <v/>
      </c>
      <c r="CC271" s="51">
        <f>+SUMIFS(CC$214:CC$259,$C$214:$C$259,$B268)+(CC269*CC270)</f>
        <v/>
      </c>
      <c r="CD271" s="51">
        <f>+SUMIFS(CD$214:CD$259,$C$214:$C$259,$B268)+(CD269*CD270)</f>
        <v/>
      </c>
      <c r="CE271" s="51">
        <f>+SUMIFS(CE$214:CE$259,$C$214:$C$259,$B268)+(CE269*CE270)</f>
        <v/>
      </c>
      <c r="CF271" s="51">
        <f>+SUMIFS(CF$214:CF$259,$C$214:$C$259,$B268)+(CF269*CF270)</f>
        <v/>
      </c>
      <c r="CG271" s="51">
        <f>+SUMIFS(CG$214:CG$259,$C$214:$C$259,$B268)+(CG269*CG270)</f>
        <v/>
      </c>
      <c r="CH271" s="51">
        <f>+SUMIFS(CH$214:CH$259,$C$214:$C$259,$B268)+(CH269*CH270)</f>
        <v/>
      </c>
      <c r="CI271" s="51">
        <f>+SUMIFS(CI$214:CI$259,$C$214:$C$259,$B268)+(CI269*CI270)</f>
        <v/>
      </c>
      <c r="CJ271" s="51">
        <f>+SUMIFS(CJ$214:CJ$259,$C$214:$C$259,$B268)+(CJ269*CJ270)</f>
        <v/>
      </c>
      <c r="CK271" s="51">
        <f>+SUMIFS(CK$214:CK$259,$C$214:$C$259,$B268)+(CK269*CK270)</f>
        <v/>
      </c>
      <c r="CL271" s="51">
        <f>+SUMIFS(CL$214:CL$259,$C$214:$C$259,$B268)+(CL269*CL270)</f>
        <v/>
      </c>
      <c r="CM271" s="51">
        <f>+SUMIFS(CM$214:CM$259,$C$214:$C$259,$B268)+(CM269*CM270)</f>
        <v/>
      </c>
      <c r="CN271" s="51">
        <f>+SUMIFS(CN$214:CN$259,$C$214:$C$259,$B268)+(CN269*CN270)</f>
        <v/>
      </c>
      <c r="CO271" s="51">
        <f>+SUMIFS(CO$214:CO$259,$C$214:$C$259,$B268)+(CO269*CO270)</f>
        <v/>
      </c>
      <c r="CP271" s="51">
        <f>+SUMIFS(CP$214:CP$259,$C$214:$C$259,$B268)+(CP269*CP270)</f>
        <v/>
      </c>
      <c r="CQ271" s="51">
        <f>+SUMIFS(CQ$214:CQ$259,$C$214:$C$259,$B268)+(CQ269*CQ270)</f>
        <v/>
      </c>
      <c r="CR271" s="51">
        <f>+SUMIFS(CR$214:CR$259,$C$214:$C$259,$B268)+(CR269*CR270)</f>
        <v/>
      </c>
      <c r="CS271" s="51">
        <f>+SUMIFS(CS$214:CS$259,$C$214:$C$259,$B268)+(CS269*CS270)</f>
        <v/>
      </c>
      <c r="CT271" s="51">
        <f>+SUMIFS(CT$214:CT$259,$C$214:$C$259,$B268)+(CT269*CT270)</f>
        <v/>
      </c>
      <c r="CU271" s="51">
        <f>+SUMIFS(CU$214:CU$259,$C$214:$C$259,$B268)+(CU269*CU270)</f>
        <v/>
      </c>
      <c r="CV271" s="51">
        <f>+SUMIFS(CV$214:CV$259,$C$214:$C$259,$B268)+(CV269*CV270)</f>
        <v/>
      </c>
      <c r="CW271" s="51">
        <f>+SUMIFS(CW$214:CW$259,$C$214:$C$259,$B268)+(CW269*CW270)</f>
        <v/>
      </c>
      <c r="CX271" s="51">
        <f>+SUMIFS(CX$214:CX$259,$C$214:$C$259,$B268)+(CX269*CX270)</f>
        <v/>
      </c>
      <c r="CY271" s="51">
        <f>+SUMIFS(CY$214:CY$259,$C$214:$C$259,$B268)+(CY269*CY270)</f>
        <v/>
      </c>
      <c r="CZ271" s="51">
        <f>+SUMIFS(CZ$214:CZ$259,$C$214:$C$259,$B268)+(CZ269*CZ270)</f>
        <v/>
      </c>
      <c r="DA271" s="51">
        <f>+SUMIFS(DA$214:DA$259,$C$214:$C$259,$B268)+(DA269*DA270)</f>
        <v/>
      </c>
      <c r="DB271" s="51">
        <f>+SUMIFS(DB$214:DB$259,$C$214:$C$259,$B268)+(DB269*DB270)</f>
        <v/>
      </c>
      <c r="DC271" s="51">
        <f>+SUMIFS(DC$214:DC$259,$C$214:$C$259,$B268)+(DC269*DC270)</f>
        <v/>
      </c>
      <c r="DD271" s="51">
        <f>+SUMIFS(DD$214:DD$259,$C$214:$C$259,$B268)+(DD269*DD270)</f>
        <v/>
      </c>
      <c r="DE271" s="51">
        <f>+SUMIFS(DE$214:DE$259,$C$214:$C$259,$B268)+(DE269*DE270)</f>
        <v/>
      </c>
      <c r="DF271" s="51">
        <f>+SUMIFS(DF$214:DF$259,$C$214:$C$259,$B268)+(DF269*DF270)</f>
        <v/>
      </c>
      <c r="DG271" s="51">
        <f>+SUMIFS(DG$214:DG$259,$C$214:$C$259,$B268)+(DG269*DG270)</f>
        <v/>
      </c>
      <c r="DH271" s="51">
        <f>+SUMIFS(DH$214:DH$259,$C$214:$C$259,$B268)+(DH269*DH270)</f>
        <v/>
      </c>
      <c r="DI271" s="51">
        <f>+SUMIFS(DI$214:DI$259,$C$214:$C$259,$B268)+(DI269*DI270)</f>
        <v/>
      </c>
      <c r="DJ271" s="51">
        <f>+SUMIFS(DJ$214:DJ$259,$C$214:$C$259,$B268)+(DJ269*DJ270)</f>
        <v/>
      </c>
      <c r="DK271" s="51">
        <f>+SUMIFS(DK$214:DK$259,$C$214:$C$259,$B268)+(DK269*DK270)</f>
        <v/>
      </c>
      <c r="DL271" s="51">
        <f>+SUMIFS(DL$214:DL$259,$C$214:$C$259,$B268)+(DL269*DL270)</f>
        <v/>
      </c>
      <c r="DM271" s="51">
        <f>+SUMIFS(DM$214:DM$259,$C$214:$C$259,$B268)+(DM269*DM270)</f>
        <v/>
      </c>
      <c r="DN271" s="51">
        <f>+SUMIFS(DN$214:DN$259,$C$214:$C$259,$B268)+(DN269*DN270)</f>
        <v/>
      </c>
      <c r="DO271" s="51">
        <f>+SUMIFS(DO$214:DO$259,$C$214:$C$259,$B268)+(DO269*DO270)</f>
        <v/>
      </c>
      <c r="DP271" s="51">
        <f>+SUMIFS(DP$214:DP$259,$C$214:$C$259,$B268)+(DP269*DP270)</f>
        <v/>
      </c>
      <c r="DQ271" s="51">
        <f>+SUMIFS(DQ$214:DQ$259,$C$214:$C$259,$B268)+(DQ269*DQ270)</f>
        <v/>
      </c>
      <c r="DR271" s="51">
        <f>+SUMIFS(DR$214:DR$259,$C$214:$C$259,$B268)+(DR269*DR270)</f>
        <v/>
      </c>
    </row>
    <row r="272" ht="4.5" customHeight="1"/>
    <row r="273" ht="15.75" customHeight="1">
      <c r="B273" s="95" t="inlineStr">
        <is>
          <t>Upper Middle Market</t>
        </is>
      </c>
      <c r="C273" s="96" t="n"/>
      <c r="D273" s="96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  <c r="AA273" s="96" t="n"/>
      <c r="AB273" s="96" t="n"/>
      <c r="AC273" s="96" t="n"/>
      <c r="AD273" s="96" t="n"/>
      <c r="AE273" s="96" t="n"/>
      <c r="AF273" s="96" t="n"/>
      <c r="AG273" s="96" t="n"/>
      <c r="AH273" s="96" t="n"/>
      <c r="AI273" s="96" t="n"/>
      <c r="AJ273" s="96" t="n"/>
      <c r="AK273" s="96" t="n"/>
      <c r="AL273" s="96" t="n"/>
      <c r="AM273" s="96" t="n"/>
      <c r="AN273" s="96" t="n"/>
      <c r="AO273" s="96" t="n"/>
      <c r="AP273" s="96" t="n"/>
      <c r="AQ273" s="96" t="n"/>
      <c r="AR273" s="96" t="n"/>
      <c r="AS273" s="96" t="n"/>
      <c r="AT273" s="96" t="n"/>
      <c r="AU273" s="96" t="n"/>
      <c r="AV273" s="96" t="n"/>
      <c r="AW273" s="96" t="n"/>
      <c r="AX273" s="96" t="n"/>
      <c r="AY273" s="96" t="n"/>
      <c r="AZ273" s="96" t="n"/>
      <c r="BA273" s="96" t="n"/>
      <c r="BB273" s="96" t="n"/>
      <c r="BC273" s="96" t="n"/>
      <c r="BD273" s="96" t="n"/>
      <c r="BE273" s="96" t="n"/>
      <c r="BF273" s="96" t="n"/>
      <c r="BG273" s="96" t="n"/>
      <c r="BH273" s="96" t="n"/>
      <c r="BI273" s="96" t="n"/>
      <c r="BJ273" s="96" t="n"/>
      <c r="BK273" s="96" t="n"/>
      <c r="BL273" s="96" t="n"/>
      <c r="BM273" s="96" t="n"/>
      <c r="BN273" s="96" t="n"/>
      <c r="BO273" s="96" t="n"/>
      <c r="BP273" s="96" t="n"/>
      <c r="BQ273" s="96" t="n"/>
      <c r="BR273" s="96" t="n"/>
      <c r="BS273" s="96" t="n"/>
      <c r="BT273" s="96" t="n"/>
      <c r="BU273" s="96" t="n"/>
      <c r="BV273" s="96" t="n"/>
      <c r="BW273" s="96" t="n"/>
      <c r="BX273" s="96" t="n"/>
      <c r="BY273" s="96" t="n"/>
      <c r="BZ273" s="96" t="n"/>
      <c r="CA273" s="96" t="n"/>
      <c r="CB273" s="96" t="n"/>
      <c r="CC273" s="96" t="n"/>
      <c r="CD273" s="96" t="n"/>
      <c r="CE273" s="96" t="n"/>
      <c r="CF273" s="96" t="n"/>
      <c r="CG273" s="96" t="n"/>
      <c r="CH273" s="96" t="n"/>
      <c r="CI273" s="96" t="n"/>
      <c r="CJ273" s="96" t="n"/>
      <c r="CK273" s="96" t="n"/>
      <c r="CL273" s="96" t="n"/>
      <c r="CM273" s="96" t="n"/>
      <c r="CN273" s="96" t="n"/>
      <c r="CO273" s="96" t="n"/>
      <c r="CP273" s="96" t="n"/>
      <c r="CQ273" s="96" t="n"/>
      <c r="CR273" s="96" t="n"/>
      <c r="CS273" s="96" t="n"/>
      <c r="CT273" s="96" t="n"/>
      <c r="CU273" s="96" t="n"/>
      <c r="CV273" s="96" t="n"/>
      <c r="CW273" s="96" t="n"/>
      <c r="CX273" s="96" t="n"/>
      <c r="CY273" s="96" t="n"/>
      <c r="CZ273" s="96" t="n"/>
      <c r="DA273" s="96" t="n"/>
      <c r="DB273" s="96" t="n"/>
      <c r="DC273" s="96" t="n"/>
      <c r="DD273" s="96" t="n"/>
      <c r="DE273" s="96" t="n"/>
      <c r="DF273" s="96" t="n"/>
      <c r="DG273" s="96" t="n"/>
      <c r="DH273" s="96" t="n"/>
      <c r="DI273" s="96" t="n"/>
      <c r="DJ273" s="96" t="n"/>
      <c r="DK273" s="96" t="n"/>
      <c r="DL273" s="96" t="n"/>
      <c r="DM273" s="96" t="n"/>
      <c r="DN273" s="96" t="n"/>
      <c r="DO273" s="96" t="n"/>
      <c r="DP273" s="96" t="n"/>
      <c r="DQ273" s="96" t="n"/>
      <c r="DR273" s="96" t="n"/>
    </row>
    <row r="274" ht="15.75" customHeight="1">
      <c r="B274" s="5" t="inlineStr">
        <is>
          <t>Active Bookings</t>
        </is>
      </c>
      <c r="E274" s="106">
        <f>+E276/E275</f>
        <v/>
      </c>
      <c r="F274" s="106">
        <f>+F276/F275</f>
        <v/>
      </c>
      <c r="G274" s="106">
        <f>+G276/G275</f>
        <v/>
      </c>
      <c r="H274" s="106">
        <f>+H276/H275</f>
        <v/>
      </c>
      <c r="I274" s="106">
        <f>+I276/I275</f>
        <v/>
      </c>
      <c r="J274" s="106">
        <f>+J276/J275</f>
        <v/>
      </c>
      <c r="K274" s="106">
        <f>+K276/K275</f>
        <v/>
      </c>
      <c r="L274" s="106">
        <f>+L276/L275</f>
        <v/>
      </c>
      <c r="M274" s="106">
        <f>+M276/M275</f>
        <v/>
      </c>
      <c r="O274" s="107" t="n"/>
      <c r="P274" s="107" t="n"/>
      <c r="Q274" s="107" t="n"/>
      <c r="R274" s="107" t="n"/>
      <c r="S274" s="107" t="n"/>
      <c r="T274" s="107" t="n"/>
      <c r="U274" s="107" t="n"/>
      <c r="V274" s="107" t="n"/>
      <c r="W274" s="107" t="n"/>
      <c r="X274" s="107" t="n"/>
      <c r="Y274" s="107" t="n"/>
      <c r="Z274" s="107" t="n"/>
      <c r="AA274" s="107" t="n"/>
      <c r="AB274" s="107" t="n"/>
      <c r="AC274" s="107" t="n"/>
      <c r="AD274" s="107" t="n"/>
      <c r="AE274" s="107" t="n"/>
      <c r="AF274" s="107" t="n"/>
      <c r="AG274" s="107" t="n"/>
      <c r="AH274" s="107" t="n"/>
      <c r="AI274" s="107" t="n"/>
      <c r="AJ274" s="107" t="n"/>
      <c r="AK274" s="107" t="n"/>
      <c r="AL274" s="107" t="n"/>
      <c r="AM274" s="107" t="n"/>
      <c r="AN274" s="107" t="n"/>
      <c r="AO274" s="107" t="n"/>
      <c r="AP274" s="107" t="n"/>
      <c r="AQ274" s="107" t="n"/>
      <c r="AR274" s="107" t="n"/>
      <c r="AS274" s="107" t="n"/>
      <c r="AT274" s="107" t="n"/>
      <c r="AU274" s="107" t="n"/>
      <c r="AV274" s="107" t="n"/>
      <c r="AW274" s="107" t="n"/>
      <c r="AX274" s="107" t="n"/>
      <c r="AY274" s="107" t="n"/>
      <c r="AZ274" s="107" t="n"/>
      <c r="BA274" s="107" t="n"/>
      <c r="BB274" s="107" t="n"/>
      <c r="BC274" s="107" t="n"/>
      <c r="BD274" s="107" t="n"/>
      <c r="BE274" s="107" t="n"/>
      <c r="BF274" s="107" t="n"/>
      <c r="BG274" s="107" t="n"/>
      <c r="BH274" s="107" t="n"/>
      <c r="BI274" s="107" t="n"/>
      <c r="BJ274" s="107" t="n"/>
      <c r="BK274" s="98">
        <f>+'Bookings to Revenue_Calcs'!BK37</f>
        <v/>
      </c>
      <c r="BL274" s="98">
        <f>+'Bookings to Revenue_Calcs'!BL37</f>
        <v/>
      </c>
      <c r="BM274" s="98">
        <f>+'Bookings to Revenue_Calcs'!BM37</f>
        <v/>
      </c>
      <c r="BN274" s="98">
        <f>+'Bookings to Revenue_Calcs'!BN37</f>
        <v/>
      </c>
      <c r="BO274" s="98">
        <f>+'Bookings to Revenue_Calcs'!BO37</f>
        <v/>
      </c>
      <c r="BP274" s="98">
        <f>+'Bookings to Revenue_Calcs'!BP37</f>
        <v/>
      </c>
      <c r="BQ274" s="98">
        <f>+'Bookings to Revenue_Calcs'!BQ37</f>
        <v/>
      </c>
      <c r="BR274" s="98">
        <f>+'Bookings to Revenue_Calcs'!BR37</f>
        <v/>
      </c>
      <c r="BS274" s="98">
        <f>+'Bookings to Revenue_Calcs'!BS37</f>
        <v/>
      </c>
      <c r="BT274" s="98">
        <f>+'Bookings to Revenue_Calcs'!BT37</f>
        <v/>
      </c>
      <c r="BU274" s="98">
        <f>+'Bookings to Revenue_Calcs'!BU37</f>
        <v/>
      </c>
      <c r="BV274" s="98">
        <f>+'Bookings to Revenue_Calcs'!BV37</f>
        <v/>
      </c>
      <c r="BW274" s="98">
        <f>+'Bookings to Revenue_Calcs'!BW37</f>
        <v/>
      </c>
      <c r="BX274" s="98">
        <f>+'Bookings to Revenue_Calcs'!BX37</f>
        <v/>
      </c>
      <c r="BY274" s="98">
        <f>+'Bookings to Revenue_Calcs'!BY37</f>
        <v/>
      </c>
      <c r="BZ274" s="98">
        <f>+'Bookings to Revenue_Calcs'!BZ37</f>
        <v/>
      </c>
      <c r="CA274" s="98">
        <f>+'Bookings to Revenue_Calcs'!CA37</f>
        <v/>
      </c>
      <c r="CB274" s="98">
        <f>+'Bookings to Revenue_Calcs'!CB37</f>
        <v/>
      </c>
      <c r="CC274" s="98">
        <f>+'Bookings to Revenue_Calcs'!CC37</f>
        <v/>
      </c>
      <c r="CD274" s="98">
        <f>+'Bookings to Revenue_Calcs'!CD37</f>
        <v/>
      </c>
      <c r="CE274" s="98">
        <f>+'Bookings to Revenue_Calcs'!CE37</f>
        <v/>
      </c>
      <c r="CF274" s="98">
        <f>+'Bookings to Revenue_Calcs'!CF37</f>
        <v/>
      </c>
      <c r="CG274" s="98">
        <f>+'Bookings to Revenue_Calcs'!CG37</f>
        <v/>
      </c>
      <c r="CH274" s="98">
        <f>+'Bookings to Revenue_Calcs'!CH37</f>
        <v/>
      </c>
      <c r="CI274" s="98">
        <f>+'Bookings to Revenue_Calcs'!CI37</f>
        <v/>
      </c>
      <c r="CJ274" s="98">
        <f>+'Bookings to Revenue_Calcs'!CJ37</f>
        <v/>
      </c>
      <c r="CK274" s="98">
        <f>+'Bookings to Revenue_Calcs'!CK37</f>
        <v/>
      </c>
      <c r="CL274" s="98">
        <f>+'Bookings to Revenue_Calcs'!CL37</f>
        <v/>
      </c>
      <c r="CM274" s="98">
        <f>+'Bookings to Revenue_Calcs'!CM37</f>
        <v/>
      </c>
      <c r="CN274" s="98">
        <f>+'Bookings to Revenue_Calcs'!CN37</f>
        <v/>
      </c>
      <c r="CO274" s="98">
        <f>+'Bookings to Revenue_Calcs'!CO37</f>
        <v/>
      </c>
      <c r="CP274" s="98">
        <f>+'Bookings to Revenue_Calcs'!CP37</f>
        <v/>
      </c>
      <c r="CQ274" s="98">
        <f>+'Bookings to Revenue_Calcs'!CQ37</f>
        <v/>
      </c>
      <c r="CR274" s="98">
        <f>+'Bookings to Revenue_Calcs'!CR37</f>
        <v/>
      </c>
      <c r="CS274" s="98">
        <f>+'Bookings to Revenue_Calcs'!CS37</f>
        <v/>
      </c>
      <c r="CT274" s="98">
        <f>+'Bookings to Revenue_Calcs'!CT37</f>
        <v/>
      </c>
      <c r="CU274" s="98">
        <f>+'Bookings to Revenue_Calcs'!CU37</f>
        <v/>
      </c>
      <c r="CV274" s="98">
        <f>+'Bookings to Revenue_Calcs'!CV37</f>
        <v/>
      </c>
      <c r="CW274" s="98">
        <f>+'Bookings to Revenue_Calcs'!CW37</f>
        <v/>
      </c>
      <c r="CX274" s="98">
        <f>+'Bookings to Revenue_Calcs'!CX37</f>
        <v/>
      </c>
      <c r="CY274" s="98">
        <f>+'Bookings to Revenue_Calcs'!CY37</f>
        <v/>
      </c>
      <c r="CZ274" s="98">
        <f>+'Bookings to Revenue_Calcs'!CZ37</f>
        <v/>
      </c>
      <c r="DA274" s="98">
        <f>+'Bookings to Revenue_Calcs'!DA37</f>
        <v/>
      </c>
      <c r="DB274" s="98">
        <f>+'Bookings to Revenue_Calcs'!DB37</f>
        <v/>
      </c>
      <c r="DC274" s="98">
        <f>+'Bookings to Revenue_Calcs'!DC37</f>
        <v/>
      </c>
      <c r="DD274" s="98">
        <f>+'Bookings to Revenue_Calcs'!DD37</f>
        <v/>
      </c>
      <c r="DE274" s="98">
        <f>+'Bookings to Revenue_Calcs'!DE37</f>
        <v/>
      </c>
      <c r="DF274" s="98">
        <f>+'Bookings to Revenue_Calcs'!DF37</f>
        <v/>
      </c>
      <c r="DG274" s="98">
        <f>+'Bookings to Revenue_Calcs'!DG37</f>
        <v/>
      </c>
      <c r="DH274" s="98">
        <f>+'Bookings to Revenue_Calcs'!DH37</f>
        <v/>
      </c>
      <c r="DI274" s="98">
        <f>+'Bookings to Revenue_Calcs'!DI37</f>
        <v/>
      </c>
      <c r="DJ274" s="98">
        <f>+'Bookings to Revenue_Calcs'!DJ37</f>
        <v/>
      </c>
      <c r="DK274" s="98">
        <f>+'Bookings to Revenue_Calcs'!DK37</f>
        <v/>
      </c>
      <c r="DL274" s="98">
        <f>+'Bookings to Revenue_Calcs'!DL37</f>
        <v/>
      </c>
      <c r="DM274" s="98">
        <f>+'Bookings to Revenue_Calcs'!DM37</f>
        <v/>
      </c>
      <c r="DN274" s="98">
        <f>+'Bookings to Revenue_Calcs'!DN37</f>
        <v/>
      </c>
      <c r="DO274" s="98">
        <f>+'Bookings to Revenue_Calcs'!DO37</f>
        <v/>
      </c>
      <c r="DP274" s="98">
        <f>+'Bookings to Revenue_Calcs'!DP37</f>
        <v/>
      </c>
      <c r="DQ274" s="98">
        <f>+'Bookings to Revenue_Calcs'!DQ37</f>
        <v/>
      </c>
      <c r="DR274" s="98">
        <f>+'Bookings to Revenue_Calcs'!DR37</f>
        <v/>
      </c>
    </row>
    <row r="275" ht="15.75" customHeight="1">
      <c r="B275" s="5" t="inlineStr">
        <is>
          <t>Average Implementation Spend</t>
        </is>
      </c>
      <c r="E275" s="46">
        <f>+AVERAGEIFS(E$214:E$259,$C$214:$C$259,$B273,E$214:E$259,"&lt;&gt;0")</f>
        <v/>
      </c>
      <c r="F275" s="46">
        <f>+AVERAGEIFS(F$214:F$259,$C$214:$C$259,$B273,F$214:F$259,"&lt;&gt;0")</f>
        <v/>
      </c>
      <c r="G275" s="46">
        <f>+AVERAGEIFS(G$214:G$259,$C$214:$C$259,$B273,G$214:G$259,"&lt;&gt;0")</f>
        <v/>
      </c>
      <c r="H275" s="46">
        <f>+AVERAGEIFS(H$214:H$259,$C$214:$C$259,$B273,H$214:H$259,"&lt;&gt;0")</f>
        <v/>
      </c>
      <c r="I275" s="46">
        <f>+AVERAGEIFS(I$214:I$259,$C$214:$C$259,$B273,I$214:I$259,"&lt;&gt;0")</f>
        <v/>
      </c>
      <c r="J275" s="48">
        <f>+Revenue_Assumptions!J53</f>
        <v/>
      </c>
      <c r="K275" s="48">
        <f>+Revenue_Assumptions!K53</f>
        <v/>
      </c>
      <c r="L275" s="48">
        <f>+Revenue_Assumptions!L53</f>
        <v/>
      </c>
      <c r="M275" s="48">
        <f>+Revenue_Assumptions!M53</f>
        <v/>
      </c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  <c r="AA275" s="108" t="n"/>
      <c r="AB275" s="108" t="n"/>
      <c r="AC275" s="108" t="n"/>
      <c r="AD275" s="108" t="n"/>
      <c r="AE275" s="108" t="n"/>
      <c r="AF275" s="108" t="n"/>
      <c r="AG275" s="108" t="n"/>
      <c r="AH275" s="108" t="n"/>
      <c r="AI275" s="108" t="n"/>
      <c r="AJ275" s="108" t="n"/>
      <c r="AK275" s="108" t="n"/>
      <c r="AL275" s="108" t="n"/>
      <c r="AM275" s="108" t="n"/>
      <c r="AN275" s="108" t="n"/>
      <c r="AO275" s="108" t="n"/>
      <c r="AP275" s="108" t="n"/>
      <c r="AQ275" s="108" t="n"/>
      <c r="AR275" s="108" t="n"/>
      <c r="AS275" s="108" t="n"/>
      <c r="AT275" s="108" t="n"/>
      <c r="AU275" s="108" t="n"/>
      <c r="AV275" s="108" t="n"/>
      <c r="AW275" s="108" t="n"/>
      <c r="AX275" s="108" t="n"/>
      <c r="AY275" s="108" t="n"/>
      <c r="AZ275" s="108" t="n"/>
      <c r="BA275" s="108" t="n"/>
      <c r="BB275" s="108" t="n"/>
      <c r="BC275" s="108" t="n"/>
      <c r="BD275" s="108" t="n"/>
      <c r="BE275" s="108" t="n"/>
      <c r="BF275" s="108" t="n"/>
      <c r="BG275" s="108" t="n"/>
      <c r="BH275" s="108" t="n"/>
      <c r="BI275" s="108" t="n"/>
      <c r="BJ275" s="108" t="n"/>
      <c r="BK275" s="48">
        <f>+SUMIFS($E275:$M275,$E$7:$M$7,BK$7)/'Bookings to Revenue_Calcs'!$C$13</f>
        <v/>
      </c>
      <c r="BL275" s="48">
        <f>+SUMIFS($E275:$M275,$E$7:$M$7,BL$7)/'Bookings to Revenue_Calcs'!$C$13</f>
        <v/>
      </c>
      <c r="BM275" s="48">
        <f>+SUMIFS($E275:$M275,$E$7:$M$7,BM$7)/'Bookings to Revenue_Calcs'!$C$13</f>
        <v/>
      </c>
      <c r="BN275" s="48">
        <f>+SUMIFS($E275:$M275,$E$7:$M$7,BN$7)/'Bookings to Revenue_Calcs'!$C$13</f>
        <v/>
      </c>
      <c r="BO275" s="48">
        <f>+SUMIFS($E275:$M275,$E$7:$M$7,BO$7)/'Bookings to Revenue_Calcs'!$C$13</f>
        <v/>
      </c>
      <c r="BP275" s="48">
        <f>+SUMIFS($E275:$M275,$E$7:$M$7,BP$7)/'Bookings to Revenue_Calcs'!$C$13</f>
        <v/>
      </c>
      <c r="BQ275" s="48">
        <f>+SUMIFS($E275:$M275,$E$7:$M$7,BQ$7)/'Bookings to Revenue_Calcs'!$C$13</f>
        <v/>
      </c>
      <c r="BR275" s="48">
        <f>+SUMIFS($E275:$M275,$E$7:$M$7,BR$7)/'Bookings to Revenue_Calcs'!$C$13</f>
        <v/>
      </c>
      <c r="BS275" s="48">
        <f>+SUMIFS($E275:$M275,$E$7:$M$7,BS$7)/'Bookings to Revenue_Calcs'!$C$13</f>
        <v/>
      </c>
      <c r="BT275" s="48">
        <f>+SUMIFS($E275:$M275,$E$7:$M$7,BT$7)/'Bookings to Revenue_Calcs'!$C$13</f>
        <v/>
      </c>
      <c r="BU275" s="48">
        <f>+SUMIFS($E275:$M275,$E$7:$M$7,BU$7)/'Bookings to Revenue_Calcs'!$C$13</f>
        <v/>
      </c>
      <c r="BV275" s="48">
        <f>+SUMIFS($E275:$M275,$E$7:$M$7,BV$7)/'Bookings to Revenue_Calcs'!$C$13</f>
        <v/>
      </c>
      <c r="BW275" s="48">
        <f>+SUMIFS($E275:$M275,$E$7:$M$7,BW$7)/'Bookings to Revenue_Calcs'!$C$13</f>
        <v/>
      </c>
      <c r="BX275" s="48">
        <f>+SUMIFS($E275:$M275,$E$7:$M$7,BX$7)/'Bookings to Revenue_Calcs'!$C$13</f>
        <v/>
      </c>
      <c r="BY275" s="48">
        <f>+SUMIFS($E275:$M275,$E$7:$M$7,BY$7)/'Bookings to Revenue_Calcs'!$C$13</f>
        <v/>
      </c>
      <c r="BZ275" s="48">
        <f>+SUMIFS($E275:$M275,$E$7:$M$7,BZ$7)/'Bookings to Revenue_Calcs'!$C$13</f>
        <v/>
      </c>
      <c r="CA275" s="48">
        <f>+SUMIFS($E275:$M275,$E$7:$M$7,CA$7)/'Bookings to Revenue_Calcs'!$C$13</f>
        <v/>
      </c>
      <c r="CB275" s="48">
        <f>+SUMIFS($E275:$M275,$E$7:$M$7,CB$7)/'Bookings to Revenue_Calcs'!$C$13</f>
        <v/>
      </c>
      <c r="CC275" s="48">
        <f>+SUMIFS($E275:$M275,$E$7:$M$7,CC$7)/'Bookings to Revenue_Calcs'!$C$13</f>
        <v/>
      </c>
      <c r="CD275" s="48">
        <f>+SUMIFS($E275:$M275,$E$7:$M$7,CD$7)/'Bookings to Revenue_Calcs'!$C$13</f>
        <v/>
      </c>
      <c r="CE275" s="48">
        <f>+SUMIFS($E275:$M275,$E$7:$M$7,CE$7)/'Bookings to Revenue_Calcs'!$C$13</f>
        <v/>
      </c>
      <c r="CF275" s="48">
        <f>+SUMIFS($E275:$M275,$E$7:$M$7,CF$7)/'Bookings to Revenue_Calcs'!$C$13</f>
        <v/>
      </c>
      <c r="CG275" s="48">
        <f>+SUMIFS($E275:$M275,$E$7:$M$7,CG$7)/'Bookings to Revenue_Calcs'!$C$13</f>
        <v/>
      </c>
      <c r="CH275" s="48">
        <f>+SUMIFS($E275:$M275,$E$7:$M$7,CH$7)/'Bookings to Revenue_Calcs'!$C$13</f>
        <v/>
      </c>
      <c r="CI275" s="48">
        <f>+SUMIFS($E275:$M275,$E$7:$M$7,CI$7)/'Bookings to Revenue_Calcs'!$C$13</f>
        <v/>
      </c>
      <c r="CJ275" s="48">
        <f>+SUMIFS($E275:$M275,$E$7:$M$7,CJ$7)/'Bookings to Revenue_Calcs'!$C$13</f>
        <v/>
      </c>
      <c r="CK275" s="48">
        <f>+SUMIFS($E275:$M275,$E$7:$M$7,CK$7)/'Bookings to Revenue_Calcs'!$C$13</f>
        <v/>
      </c>
      <c r="CL275" s="48">
        <f>+SUMIFS($E275:$M275,$E$7:$M$7,CL$7)/'Bookings to Revenue_Calcs'!$C$13</f>
        <v/>
      </c>
      <c r="CM275" s="48">
        <f>+SUMIFS($E275:$M275,$E$7:$M$7,CM$7)/'Bookings to Revenue_Calcs'!$C$13</f>
        <v/>
      </c>
      <c r="CN275" s="48">
        <f>+SUMIFS($E275:$M275,$E$7:$M$7,CN$7)/'Bookings to Revenue_Calcs'!$C$13</f>
        <v/>
      </c>
      <c r="CO275" s="48">
        <f>+SUMIFS($E275:$M275,$E$7:$M$7,CO$7)/'Bookings to Revenue_Calcs'!$C$13</f>
        <v/>
      </c>
      <c r="CP275" s="48">
        <f>+SUMIFS($E275:$M275,$E$7:$M$7,CP$7)/'Bookings to Revenue_Calcs'!$C$13</f>
        <v/>
      </c>
      <c r="CQ275" s="48">
        <f>+SUMIFS($E275:$M275,$E$7:$M$7,CQ$7)/'Bookings to Revenue_Calcs'!$C$13</f>
        <v/>
      </c>
      <c r="CR275" s="48">
        <f>+SUMIFS($E275:$M275,$E$7:$M$7,CR$7)/'Bookings to Revenue_Calcs'!$C$13</f>
        <v/>
      </c>
      <c r="CS275" s="48">
        <f>+SUMIFS($E275:$M275,$E$7:$M$7,CS$7)/'Bookings to Revenue_Calcs'!$C$13</f>
        <v/>
      </c>
      <c r="CT275" s="48">
        <f>+SUMIFS($E275:$M275,$E$7:$M$7,CT$7)/'Bookings to Revenue_Calcs'!$C$13</f>
        <v/>
      </c>
      <c r="CU275" s="48">
        <f>+SUMIFS($E275:$M275,$E$7:$M$7,CU$7)/'Bookings to Revenue_Calcs'!$C$13</f>
        <v/>
      </c>
      <c r="CV275" s="48">
        <f>+SUMIFS($E275:$M275,$E$7:$M$7,CV$7)/'Bookings to Revenue_Calcs'!$C$13</f>
        <v/>
      </c>
      <c r="CW275" s="48">
        <f>+SUMIFS($E275:$M275,$E$7:$M$7,CW$7)/'Bookings to Revenue_Calcs'!$C$13</f>
        <v/>
      </c>
      <c r="CX275" s="48">
        <f>+SUMIFS($E275:$M275,$E$7:$M$7,CX$7)/'Bookings to Revenue_Calcs'!$C$13</f>
        <v/>
      </c>
      <c r="CY275" s="48">
        <f>+SUMIFS($E275:$M275,$E$7:$M$7,CY$7)/'Bookings to Revenue_Calcs'!$C$13</f>
        <v/>
      </c>
      <c r="CZ275" s="48">
        <f>+SUMIFS($E275:$M275,$E$7:$M$7,CZ$7)/'Bookings to Revenue_Calcs'!$C$13</f>
        <v/>
      </c>
      <c r="DA275" s="48">
        <f>+SUMIFS($E275:$M275,$E$7:$M$7,DA$7)/'Bookings to Revenue_Calcs'!$C$13</f>
        <v/>
      </c>
      <c r="DB275" s="48">
        <f>+SUMIFS($E275:$M275,$E$7:$M$7,DB$7)/'Bookings to Revenue_Calcs'!$C$13</f>
        <v/>
      </c>
      <c r="DC275" s="48">
        <f>+SUMIFS($E275:$M275,$E$7:$M$7,DC$7)/'Bookings to Revenue_Calcs'!$C$13</f>
        <v/>
      </c>
      <c r="DD275" s="48">
        <f>+SUMIFS($E275:$M275,$E$7:$M$7,DD$7)/'Bookings to Revenue_Calcs'!$C$13</f>
        <v/>
      </c>
      <c r="DE275" s="48">
        <f>+SUMIFS($E275:$M275,$E$7:$M$7,DE$7)/'Bookings to Revenue_Calcs'!$C$13</f>
        <v/>
      </c>
      <c r="DF275" s="48">
        <f>+SUMIFS($E275:$M275,$E$7:$M$7,DF$7)/'Bookings to Revenue_Calcs'!$C$13</f>
        <v/>
      </c>
      <c r="DG275" s="48">
        <f>+SUMIFS($E275:$M275,$E$7:$M$7,DG$7)/'Bookings to Revenue_Calcs'!$C$13</f>
        <v/>
      </c>
      <c r="DH275" s="48">
        <f>+SUMIFS($E275:$M275,$E$7:$M$7,DH$7)/'Bookings to Revenue_Calcs'!$C$13</f>
        <v/>
      </c>
      <c r="DI275" s="48">
        <f>+SUMIFS($E275:$M275,$E$7:$M$7,DI$7)/'Bookings to Revenue_Calcs'!$C$13</f>
        <v/>
      </c>
      <c r="DJ275" s="48">
        <f>+SUMIFS($E275:$M275,$E$7:$M$7,DJ$7)/'Bookings to Revenue_Calcs'!$C$13</f>
        <v/>
      </c>
      <c r="DK275" s="48">
        <f>+SUMIFS($E275:$M275,$E$7:$M$7,DK$7)/'Bookings to Revenue_Calcs'!$C$13</f>
        <v/>
      </c>
      <c r="DL275" s="48">
        <f>+SUMIFS($E275:$M275,$E$7:$M$7,DL$7)/'Bookings to Revenue_Calcs'!$C$13</f>
        <v/>
      </c>
      <c r="DM275" s="48">
        <f>+SUMIFS($E275:$M275,$E$7:$M$7,DM$7)/'Bookings to Revenue_Calcs'!$C$13</f>
        <v/>
      </c>
      <c r="DN275" s="48">
        <f>+SUMIFS($E275:$M275,$E$7:$M$7,DN$7)/'Bookings to Revenue_Calcs'!$C$13</f>
        <v/>
      </c>
      <c r="DO275" s="48">
        <f>+SUMIFS($E275:$M275,$E$7:$M$7,DO$7)/'Bookings to Revenue_Calcs'!$C$13</f>
        <v/>
      </c>
      <c r="DP275" s="48">
        <f>+SUMIFS($E275:$M275,$E$7:$M$7,DP$7)/'Bookings to Revenue_Calcs'!$C$13</f>
        <v/>
      </c>
      <c r="DQ275" s="48">
        <f>+SUMIFS($E275:$M275,$E$7:$M$7,DQ$7)/'Bookings to Revenue_Calcs'!$C$13</f>
        <v/>
      </c>
      <c r="DR275" s="48">
        <f>+SUMIFS($E275:$M275,$E$7:$M$7,DR$7)/'Bookings to Revenue_Calcs'!$C$13</f>
        <v/>
      </c>
    </row>
    <row r="276" ht="15.75" customHeight="1">
      <c r="B276" s="50" t="inlineStr">
        <is>
          <t>Implementation Reveue</t>
        </is>
      </c>
      <c r="C276" s="50" t="n"/>
      <c r="E276" s="51">
        <f>+SUMIFS(E$214:E$259,$C$214:$C$259,$B273)</f>
        <v/>
      </c>
      <c r="F276" s="51">
        <f>+SUMIFS(F$214:F$259,$C$214:$C$259,$B273)</f>
        <v/>
      </c>
      <c r="G276" s="51">
        <f>+SUMIFS(G$214:G$259,$C$214:$C$259,$B273)</f>
        <v/>
      </c>
      <c r="H276" s="51">
        <f>+SUMIFS(H$214:H$259,$C$214:$C$259,$B273)</f>
        <v/>
      </c>
      <c r="I276" s="51">
        <f>+SUMIFS(I$214:I$259,$C$214:$C$259,$B273)</f>
        <v/>
      </c>
      <c r="J276" s="109">
        <f>+SUMIFS($O276:$DR276,$O$7:$DR$7,J$7)</f>
        <v/>
      </c>
      <c r="K276" s="109">
        <f>+SUMIFS($O276:$DR276,$O$7:$DR$7,K$7)</f>
        <v/>
      </c>
      <c r="L276" s="109">
        <f>+SUMIFS($O276:$DR276,$O$7:$DR$7,L$7)</f>
        <v/>
      </c>
      <c r="M276" s="109">
        <f>+SUMIFS($O276:$DR276,$O$7:$DR$7,M$7)</f>
        <v/>
      </c>
      <c r="N276" s="46" t="n"/>
      <c r="O276" s="51">
        <f>+SUMIFS(O$214:O$259,$C$214:$C$259,$B273)+(O274*O275)</f>
        <v/>
      </c>
      <c r="P276" s="51">
        <f>+SUMIFS(P$214:P$259,$C$214:$C$259,$B273)+(P274*P275)</f>
        <v/>
      </c>
      <c r="Q276" s="51">
        <f>+SUMIFS(Q$214:Q$259,$C$214:$C$259,$B273)+(Q274*Q275)</f>
        <v/>
      </c>
      <c r="R276" s="51">
        <f>+SUMIFS(R$214:R$259,$C$214:$C$259,$B273)+(R274*R275)</f>
        <v/>
      </c>
      <c r="S276" s="51">
        <f>+SUMIFS(S$214:S$259,$C$214:$C$259,$B273)+(S274*S275)</f>
        <v/>
      </c>
      <c r="T276" s="51">
        <f>+SUMIFS(T$214:T$259,$C$214:$C$259,$B273)+(T274*T275)</f>
        <v/>
      </c>
      <c r="U276" s="51">
        <f>+SUMIFS(U$214:U$259,$C$214:$C$259,$B273)+(U274*U275)</f>
        <v/>
      </c>
      <c r="V276" s="51">
        <f>+SUMIFS(V$214:V$259,$C$214:$C$259,$B273)+(V274*V275)</f>
        <v/>
      </c>
      <c r="W276" s="51">
        <f>+SUMIFS(W$214:W$259,$C$214:$C$259,$B273)+(W274*W275)</f>
        <v/>
      </c>
      <c r="X276" s="51">
        <f>+SUMIFS(X$214:X$259,$C$214:$C$259,$B273)+(X274*X275)</f>
        <v/>
      </c>
      <c r="Y276" s="51">
        <f>+SUMIFS(Y$214:Y$259,$C$214:$C$259,$B273)+(Y274*Y275)</f>
        <v/>
      </c>
      <c r="Z276" s="51">
        <f>+SUMIFS(Z$214:Z$259,$C$214:$C$259,$B273)+(Z274*Z275)</f>
        <v/>
      </c>
      <c r="AA276" s="51">
        <f>+SUMIFS(AA$214:AA$259,$C$214:$C$259,$B273)+(AA274*AA275)</f>
        <v/>
      </c>
      <c r="AB276" s="51">
        <f>+SUMIFS(AB$214:AB$259,$C$214:$C$259,$B273)+(AB274*AB275)</f>
        <v/>
      </c>
      <c r="AC276" s="51">
        <f>+SUMIFS(AC$214:AC$259,$C$214:$C$259,$B273)+(AC274*AC275)</f>
        <v/>
      </c>
      <c r="AD276" s="51">
        <f>+SUMIFS(AD$214:AD$259,$C$214:$C$259,$B273)+(AD274*AD275)</f>
        <v/>
      </c>
      <c r="AE276" s="51">
        <f>+SUMIFS(AE$214:AE$259,$C$214:$C$259,$B273)+(AE274*AE275)</f>
        <v/>
      </c>
      <c r="AF276" s="51">
        <f>+SUMIFS(AF$214:AF$259,$C$214:$C$259,$B273)+(AF274*AF275)</f>
        <v/>
      </c>
      <c r="AG276" s="51">
        <f>+SUMIFS(AG$214:AG$259,$C$214:$C$259,$B273)+(AG274*AG275)</f>
        <v/>
      </c>
      <c r="AH276" s="51">
        <f>+SUMIFS(AH$214:AH$259,$C$214:$C$259,$B273)+(AH274*AH275)</f>
        <v/>
      </c>
      <c r="AI276" s="51">
        <f>+SUMIFS(AI$214:AI$259,$C$214:$C$259,$B273)+(AI274*AI275)</f>
        <v/>
      </c>
      <c r="AJ276" s="51">
        <f>+SUMIFS(AJ$214:AJ$259,$C$214:$C$259,$B273)+(AJ274*AJ275)</f>
        <v/>
      </c>
      <c r="AK276" s="51">
        <f>+SUMIFS(AK$214:AK$259,$C$214:$C$259,$B273)+(AK274*AK275)</f>
        <v/>
      </c>
      <c r="AL276" s="51">
        <f>+SUMIFS(AL$214:AL$259,$C$214:$C$259,$B273)+(AL274*AL275)</f>
        <v/>
      </c>
      <c r="AM276" s="51">
        <f>+SUMIFS(AM$214:AM$259,$C$214:$C$259,$B273)+(AM274*AM275)</f>
        <v/>
      </c>
      <c r="AN276" s="51">
        <f>+SUMIFS(AN$214:AN$259,$C$214:$C$259,$B273)+(AN274*AN275)</f>
        <v/>
      </c>
      <c r="AO276" s="51">
        <f>+SUMIFS(AO$214:AO$259,$C$214:$C$259,$B273)+(AO274*AO275)</f>
        <v/>
      </c>
      <c r="AP276" s="51">
        <f>+SUMIFS(AP$214:AP$259,$C$214:$C$259,$B273)+(AP274*AP275)</f>
        <v/>
      </c>
      <c r="AQ276" s="51">
        <f>+SUMIFS(AQ$214:AQ$259,$C$214:$C$259,$B273)+(AQ274*AQ275)</f>
        <v/>
      </c>
      <c r="AR276" s="51">
        <f>+SUMIFS(AR$214:AR$259,$C$214:$C$259,$B273)+(AR274*AR275)</f>
        <v/>
      </c>
      <c r="AS276" s="51">
        <f>+SUMIFS(AS$214:AS$259,$C$214:$C$259,$B273)+(AS274*AS275)</f>
        <v/>
      </c>
      <c r="AT276" s="51">
        <f>+SUMIFS(AT$214:AT$259,$C$214:$C$259,$B273)+(AT274*AT275)</f>
        <v/>
      </c>
      <c r="AU276" s="51">
        <f>+SUMIFS(AU$214:AU$259,$C$214:$C$259,$B273)+(AU274*AU275)</f>
        <v/>
      </c>
      <c r="AV276" s="51">
        <f>+SUMIFS(AV$214:AV$259,$C$214:$C$259,$B273)+(AV274*AV275)</f>
        <v/>
      </c>
      <c r="AW276" s="51">
        <f>+SUMIFS(AW$214:AW$259,$C$214:$C$259,$B273)+(AW274*AW275)</f>
        <v/>
      </c>
      <c r="AX276" s="51">
        <f>+SUMIFS(AX$214:AX$259,$C$214:$C$259,$B273)+(AX274*AX275)</f>
        <v/>
      </c>
      <c r="AY276" s="51">
        <f>+SUMIFS(AY$214:AY$259,$C$214:$C$259,$B273)+(AY274*AY275)</f>
        <v/>
      </c>
      <c r="AZ276" s="51">
        <f>+SUMIFS(AZ$214:AZ$259,$C$214:$C$259,$B273)+(AZ274*AZ275)</f>
        <v/>
      </c>
      <c r="BA276" s="51">
        <f>+SUMIFS(BA$214:BA$259,$C$214:$C$259,$B273)+(BA274*BA275)</f>
        <v/>
      </c>
      <c r="BB276" s="51">
        <f>+SUMIFS(BB$214:BB$259,$C$214:$C$259,$B273)+(BB274*BB275)</f>
        <v/>
      </c>
      <c r="BC276" s="51">
        <f>+SUMIFS(BC$214:BC$259,$C$214:$C$259,$B273)+(BC274*BC275)</f>
        <v/>
      </c>
      <c r="BD276" s="51">
        <f>+SUMIFS(BD$214:BD$259,$C$214:$C$259,$B273)+(BD274*BD275)</f>
        <v/>
      </c>
      <c r="BE276" s="51">
        <f>+SUMIFS(BE$214:BE$259,$C$214:$C$259,$B273)+(BE274*BE275)</f>
        <v/>
      </c>
      <c r="BF276" s="51">
        <f>+SUMIFS(BF$214:BF$259,$C$214:$C$259,$B273)+(BF274*BF275)</f>
        <v/>
      </c>
      <c r="BG276" s="51">
        <f>+SUMIFS(BG$214:BG$259,$C$214:$C$259,$B273)+(BG274*BG275)</f>
        <v/>
      </c>
      <c r="BH276" s="51">
        <f>+SUMIFS(BH$214:BH$259,$C$214:$C$259,$B273)+(BH274*BH275)</f>
        <v/>
      </c>
      <c r="BI276" s="51">
        <f>+SUMIFS(BI$214:BI$259,$C$214:$C$259,$B273)+(BI274*BI275)</f>
        <v/>
      </c>
      <c r="BJ276" s="51">
        <f>+SUMIFS(BJ$214:BJ$259,$C$214:$C$259,$B273)+(BJ274*BJ275)</f>
        <v/>
      </c>
      <c r="BK276" s="51">
        <f>+SUMIFS(BK$214:BK$259,$C$214:$C$259,$B273)+(BK274*BK275)</f>
        <v/>
      </c>
      <c r="BL276" s="51">
        <f>+SUMIFS(BL$214:BL$259,$C$214:$C$259,$B273)+(BL274*BL275)</f>
        <v/>
      </c>
      <c r="BM276" s="51">
        <f>+SUMIFS(BM$214:BM$259,$C$214:$C$259,$B273)+(BM274*BM275)</f>
        <v/>
      </c>
      <c r="BN276" s="51">
        <f>+SUMIFS(BN$214:BN$259,$C$214:$C$259,$B273)+(BN274*BN275)</f>
        <v/>
      </c>
      <c r="BO276" s="51">
        <f>+SUMIFS(BO$214:BO$259,$C$214:$C$259,$B273)+(BO274*BO275)</f>
        <v/>
      </c>
      <c r="BP276" s="51">
        <f>+SUMIFS(BP$214:BP$259,$C$214:$C$259,$B273)+(BP274*BP275)</f>
        <v/>
      </c>
      <c r="BQ276" s="51">
        <f>+SUMIFS(BQ$214:BQ$259,$C$214:$C$259,$B273)+(BQ274*BQ275)</f>
        <v/>
      </c>
      <c r="BR276" s="51">
        <f>+SUMIFS(BR$214:BR$259,$C$214:$C$259,$B273)+(BR274*BR275)</f>
        <v/>
      </c>
      <c r="BS276" s="51">
        <f>+SUMIFS(BS$214:BS$259,$C$214:$C$259,$B273)+(BS274*BS275)</f>
        <v/>
      </c>
      <c r="BT276" s="51">
        <f>+SUMIFS(BT$214:BT$259,$C$214:$C$259,$B273)+(BT274*BT275)</f>
        <v/>
      </c>
      <c r="BU276" s="51">
        <f>+SUMIFS(BU$214:BU$259,$C$214:$C$259,$B273)+(BU274*BU275)</f>
        <v/>
      </c>
      <c r="BV276" s="51">
        <f>+SUMIFS(BV$214:BV$259,$C$214:$C$259,$B273)+(BV274*BV275)</f>
        <v/>
      </c>
      <c r="BW276" s="51">
        <f>+SUMIFS(BW$214:BW$259,$C$214:$C$259,$B273)+(BW274*BW275)</f>
        <v/>
      </c>
      <c r="BX276" s="51">
        <f>+SUMIFS(BX$214:BX$259,$C$214:$C$259,$B273)+(BX274*BX275)</f>
        <v/>
      </c>
      <c r="BY276" s="51">
        <f>+SUMIFS(BY$214:BY$259,$C$214:$C$259,$B273)+(BY274*BY275)</f>
        <v/>
      </c>
      <c r="BZ276" s="51">
        <f>+SUMIFS(BZ$214:BZ$259,$C$214:$C$259,$B273)+(BZ274*BZ275)</f>
        <v/>
      </c>
      <c r="CA276" s="51">
        <f>+SUMIFS(CA$214:CA$259,$C$214:$C$259,$B273)+(CA274*CA275)</f>
        <v/>
      </c>
      <c r="CB276" s="51">
        <f>+SUMIFS(CB$214:CB$259,$C$214:$C$259,$B273)+(CB274*CB275)</f>
        <v/>
      </c>
      <c r="CC276" s="51">
        <f>+SUMIFS(CC$214:CC$259,$C$214:$C$259,$B273)+(CC274*CC275)</f>
        <v/>
      </c>
      <c r="CD276" s="51">
        <f>+SUMIFS(CD$214:CD$259,$C$214:$C$259,$B273)+(CD274*CD275)</f>
        <v/>
      </c>
      <c r="CE276" s="51">
        <f>+SUMIFS(CE$214:CE$259,$C$214:$C$259,$B273)+(CE274*CE275)</f>
        <v/>
      </c>
      <c r="CF276" s="51">
        <f>+SUMIFS(CF$214:CF$259,$C$214:$C$259,$B273)+(CF274*CF275)</f>
        <v/>
      </c>
      <c r="CG276" s="51">
        <f>+SUMIFS(CG$214:CG$259,$C$214:$C$259,$B273)+(CG274*CG275)</f>
        <v/>
      </c>
      <c r="CH276" s="51">
        <f>+SUMIFS(CH$214:CH$259,$C$214:$C$259,$B273)+(CH274*CH275)</f>
        <v/>
      </c>
      <c r="CI276" s="51">
        <f>+SUMIFS(CI$214:CI$259,$C$214:$C$259,$B273)+(CI274*CI275)</f>
        <v/>
      </c>
      <c r="CJ276" s="51">
        <f>+SUMIFS(CJ$214:CJ$259,$C$214:$C$259,$B273)+(CJ274*CJ275)</f>
        <v/>
      </c>
      <c r="CK276" s="51">
        <f>+SUMIFS(CK$214:CK$259,$C$214:$C$259,$B273)+(CK274*CK275)</f>
        <v/>
      </c>
      <c r="CL276" s="51">
        <f>+SUMIFS(CL$214:CL$259,$C$214:$C$259,$B273)+(CL274*CL275)</f>
        <v/>
      </c>
      <c r="CM276" s="51">
        <f>+SUMIFS(CM$214:CM$259,$C$214:$C$259,$B273)+(CM274*CM275)</f>
        <v/>
      </c>
      <c r="CN276" s="51">
        <f>+SUMIFS(CN$214:CN$259,$C$214:$C$259,$B273)+(CN274*CN275)</f>
        <v/>
      </c>
      <c r="CO276" s="51">
        <f>+SUMIFS(CO$214:CO$259,$C$214:$C$259,$B273)+(CO274*CO275)</f>
        <v/>
      </c>
      <c r="CP276" s="51">
        <f>+SUMIFS(CP$214:CP$259,$C$214:$C$259,$B273)+(CP274*CP275)</f>
        <v/>
      </c>
      <c r="CQ276" s="51">
        <f>+SUMIFS(CQ$214:CQ$259,$C$214:$C$259,$B273)+(CQ274*CQ275)</f>
        <v/>
      </c>
      <c r="CR276" s="51">
        <f>+SUMIFS(CR$214:CR$259,$C$214:$C$259,$B273)+(CR274*CR275)</f>
        <v/>
      </c>
      <c r="CS276" s="51">
        <f>+SUMIFS(CS$214:CS$259,$C$214:$C$259,$B273)+(CS274*CS275)</f>
        <v/>
      </c>
      <c r="CT276" s="51">
        <f>+SUMIFS(CT$214:CT$259,$C$214:$C$259,$B273)+(CT274*CT275)</f>
        <v/>
      </c>
      <c r="CU276" s="51">
        <f>+SUMIFS(CU$214:CU$259,$C$214:$C$259,$B273)+(CU274*CU275)</f>
        <v/>
      </c>
      <c r="CV276" s="51">
        <f>+SUMIFS(CV$214:CV$259,$C$214:$C$259,$B273)+(CV274*CV275)</f>
        <v/>
      </c>
      <c r="CW276" s="51">
        <f>+SUMIFS(CW$214:CW$259,$C$214:$C$259,$B273)+(CW274*CW275)</f>
        <v/>
      </c>
      <c r="CX276" s="51">
        <f>+SUMIFS(CX$214:CX$259,$C$214:$C$259,$B273)+(CX274*CX275)</f>
        <v/>
      </c>
      <c r="CY276" s="51">
        <f>+SUMIFS(CY$214:CY$259,$C$214:$C$259,$B273)+(CY274*CY275)</f>
        <v/>
      </c>
      <c r="CZ276" s="51">
        <f>+SUMIFS(CZ$214:CZ$259,$C$214:$C$259,$B273)+(CZ274*CZ275)</f>
        <v/>
      </c>
      <c r="DA276" s="51">
        <f>+SUMIFS(DA$214:DA$259,$C$214:$C$259,$B273)+(DA274*DA275)</f>
        <v/>
      </c>
      <c r="DB276" s="51">
        <f>+SUMIFS(DB$214:DB$259,$C$214:$C$259,$B273)+(DB274*DB275)</f>
        <v/>
      </c>
      <c r="DC276" s="51">
        <f>+SUMIFS(DC$214:DC$259,$C$214:$C$259,$B273)+(DC274*DC275)</f>
        <v/>
      </c>
      <c r="DD276" s="51">
        <f>+SUMIFS(DD$214:DD$259,$C$214:$C$259,$B273)+(DD274*DD275)</f>
        <v/>
      </c>
      <c r="DE276" s="51">
        <f>+SUMIFS(DE$214:DE$259,$C$214:$C$259,$B273)+(DE274*DE275)</f>
        <v/>
      </c>
      <c r="DF276" s="51">
        <f>+SUMIFS(DF$214:DF$259,$C$214:$C$259,$B273)+(DF274*DF275)</f>
        <v/>
      </c>
      <c r="DG276" s="51">
        <f>+SUMIFS(DG$214:DG$259,$C$214:$C$259,$B273)+(DG274*DG275)</f>
        <v/>
      </c>
      <c r="DH276" s="51">
        <f>+SUMIFS(DH$214:DH$259,$C$214:$C$259,$B273)+(DH274*DH275)</f>
        <v/>
      </c>
      <c r="DI276" s="51">
        <f>+SUMIFS(DI$214:DI$259,$C$214:$C$259,$B273)+(DI274*DI275)</f>
        <v/>
      </c>
      <c r="DJ276" s="51">
        <f>+SUMIFS(DJ$214:DJ$259,$C$214:$C$259,$B273)+(DJ274*DJ275)</f>
        <v/>
      </c>
      <c r="DK276" s="51">
        <f>+SUMIFS(DK$214:DK$259,$C$214:$C$259,$B273)+(DK274*DK275)</f>
        <v/>
      </c>
      <c r="DL276" s="51">
        <f>+SUMIFS(DL$214:DL$259,$C$214:$C$259,$B273)+(DL274*DL275)</f>
        <v/>
      </c>
      <c r="DM276" s="51">
        <f>+SUMIFS(DM$214:DM$259,$C$214:$C$259,$B273)+(DM274*DM275)</f>
        <v/>
      </c>
      <c r="DN276" s="51">
        <f>+SUMIFS(DN$214:DN$259,$C$214:$C$259,$B273)+(DN274*DN275)</f>
        <v/>
      </c>
      <c r="DO276" s="51">
        <f>+SUMIFS(DO$214:DO$259,$C$214:$C$259,$B273)+(DO274*DO275)</f>
        <v/>
      </c>
      <c r="DP276" s="51">
        <f>+SUMIFS(DP$214:DP$259,$C$214:$C$259,$B273)+(DP274*DP275)</f>
        <v/>
      </c>
      <c r="DQ276" s="51">
        <f>+SUMIFS(DQ$214:DQ$259,$C$214:$C$259,$B273)+(DQ274*DQ275)</f>
        <v/>
      </c>
      <c r="DR276" s="51">
        <f>+SUMIFS(DR$214:DR$259,$C$214:$C$259,$B273)+(DR274*DR275)</f>
        <v/>
      </c>
    </row>
    <row r="277" ht="4.5" customHeight="1"/>
    <row r="278" ht="15.75" customHeight="1">
      <c r="B278" s="95" t="inlineStr">
        <is>
          <t>Lower Middle Market</t>
        </is>
      </c>
      <c r="C278" s="96" t="n"/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  <c r="AA278" s="96" t="n"/>
      <c r="AB278" s="96" t="n"/>
      <c r="AC278" s="96" t="n"/>
      <c r="AD278" s="96" t="n"/>
      <c r="AE278" s="96" t="n"/>
      <c r="AF278" s="96" t="n"/>
      <c r="AG278" s="96" t="n"/>
      <c r="AH278" s="96" t="n"/>
      <c r="AI278" s="96" t="n"/>
      <c r="AJ278" s="96" t="n"/>
      <c r="AK278" s="96" t="n"/>
      <c r="AL278" s="96" t="n"/>
      <c r="AM278" s="96" t="n"/>
      <c r="AN278" s="96" t="n"/>
      <c r="AO278" s="96" t="n"/>
      <c r="AP278" s="96" t="n"/>
      <c r="AQ278" s="96" t="n"/>
      <c r="AR278" s="96" t="n"/>
      <c r="AS278" s="96" t="n"/>
      <c r="AT278" s="96" t="n"/>
      <c r="AU278" s="96" t="n"/>
      <c r="AV278" s="96" t="n"/>
      <c r="AW278" s="96" t="n"/>
      <c r="AX278" s="96" t="n"/>
      <c r="AY278" s="96" t="n"/>
      <c r="AZ278" s="96" t="n"/>
      <c r="BA278" s="96" t="n"/>
      <c r="BB278" s="96" t="n"/>
      <c r="BC278" s="96" t="n"/>
      <c r="BD278" s="96" t="n"/>
      <c r="BE278" s="96" t="n"/>
      <c r="BF278" s="96" t="n"/>
      <c r="BG278" s="96" t="n"/>
      <c r="BH278" s="96" t="n"/>
      <c r="BI278" s="96" t="n"/>
      <c r="BJ278" s="96" t="n"/>
      <c r="BK278" s="96" t="n"/>
      <c r="BL278" s="96" t="n"/>
      <c r="BM278" s="96" t="n"/>
      <c r="BN278" s="96" t="n"/>
      <c r="BO278" s="96" t="n"/>
      <c r="BP278" s="96" t="n"/>
      <c r="BQ278" s="96" t="n"/>
      <c r="BR278" s="96" t="n"/>
      <c r="BS278" s="96" t="n"/>
      <c r="BT278" s="96" t="n"/>
      <c r="BU278" s="96" t="n"/>
      <c r="BV278" s="96" t="n"/>
      <c r="BW278" s="96" t="n"/>
      <c r="BX278" s="96" t="n"/>
      <c r="BY278" s="96" t="n"/>
      <c r="BZ278" s="96" t="n"/>
      <c r="CA278" s="96" t="n"/>
      <c r="CB278" s="96" t="n"/>
      <c r="CC278" s="96" t="n"/>
      <c r="CD278" s="96" t="n"/>
      <c r="CE278" s="96" t="n"/>
      <c r="CF278" s="96" t="n"/>
      <c r="CG278" s="96" t="n"/>
      <c r="CH278" s="96" t="n"/>
      <c r="CI278" s="96" t="n"/>
      <c r="CJ278" s="96" t="n"/>
      <c r="CK278" s="96" t="n"/>
      <c r="CL278" s="96" t="n"/>
      <c r="CM278" s="96" t="n"/>
      <c r="CN278" s="96" t="n"/>
      <c r="CO278" s="96" t="n"/>
      <c r="CP278" s="96" t="n"/>
      <c r="CQ278" s="96" t="n"/>
      <c r="CR278" s="96" t="n"/>
      <c r="CS278" s="96" t="n"/>
      <c r="CT278" s="96" t="n"/>
      <c r="CU278" s="96" t="n"/>
      <c r="CV278" s="96" t="n"/>
      <c r="CW278" s="96" t="n"/>
      <c r="CX278" s="96" t="n"/>
      <c r="CY278" s="96" t="n"/>
      <c r="CZ278" s="96" t="n"/>
      <c r="DA278" s="96" t="n"/>
      <c r="DB278" s="96" t="n"/>
      <c r="DC278" s="96" t="n"/>
      <c r="DD278" s="96" t="n"/>
      <c r="DE278" s="96" t="n"/>
      <c r="DF278" s="96" t="n"/>
      <c r="DG278" s="96" t="n"/>
      <c r="DH278" s="96" t="n"/>
      <c r="DI278" s="96" t="n"/>
      <c r="DJ278" s="96" t="n"/>
      <c r="DK278" s="96" t="n"/>
      <c r="DL278" s="96" t="n"/>
      <c r="DM278" s="96" t="n"/>
      <c r="DN278" s="96" t="n"/>
      <c r="DO278" s="96" t="n"/>
      <c r="DP278" s="96" t="n"/>
      <c r="DQ278" s="96" t="n"/>
      <c r="DR278" s="96" t="n"/>
    </row>
    <row r="279" ht="15.75" customHeight="1">
      <c r="B279" s="5" t="inlineStr">
        <is>
          <t>Active Bookings</t>
        </is>
      </c>
      <c r="E279" s="106">
        <f>+E281/E280</f>
        <v/>
      </c>
      <c r="F279" s="106">
        <f>+F281/F280</f>
        <v/>
      </c>
      <c r="G279" s="106">
        <f>+G281/G280</f>
        <v/>
      </c>
      <c r="H279" s="106">
        <f>+H281/H280</f>
        <v/>
      </c>
      <c r="I279" s="106">
        <f>+I281/I280</f>
        <v/>
      </c>
      <c r="J279" s="106">
        <f>+J281/J280</f>
        <v/>
      </c>
      <c r="K279" s="106">
        <f>+K281/K280</f>
        <v/>
      </c>
      <c r="L279" s="106">
        <f>+L281/L280</f>
        <v/>
      </c>
      <c r="M279" s="106">
        <f>+M281/M280</f>
        <v/>
      </c>
      <c r="O279" s="107" t="n"/>
      <c r="P279" s="107" t="n"/>
      <c r="Q279" s="107" t="n"/>
      <c r="R279" s="107" t="n"/>
      <c r="S279" s="107" t="n"/>
      <c r="T279" s="107" t="n"/>
      <c r="U279" s="107" t="n"/>
      <c r="V279" s="107" t="n"/>
      <c r="W279" s="107" t="n"/>
      <c r="X279" s="107" t="n"/>
      <c r="Y279" s="107" t="n"/>
      <c r="Z279" s="107" t="n"/>
      <c r="AA279" s="107" t="n"/>
      <c r="AB279" s="107" t="n"/>
      <c r="AC279" s="107" t="n"/>
      <c r="AD279" s="107" t="n"/>
      <c r="AE279" s="107" t="n"/>
      <c r="AF279" s="107" t="n"/>
      <c r="AG279" s="107" t="n"/>
      <c r="AH279" s="107" t="n"/>
      <c r="AI279" s="107" t="n"/>
      <c r="AJ279" s="107" t="n"/>
      <c r="AK279" s="107" t="n"/>
      <c r="AL279" s="107" t="n"/>
      <c r="AM279" s="107" t="n"/>
      <c r="AN279" s="107" t="n"/>
      <c r="AO279" s="107" t="n"/>
      <c r="AP279" s="107" t="n"/>
      <c r="AQ279" s="107" t="n"/>
      <c r="AR279" s="107" t="n"/>
      <c r="AS279" s="107" t="n"/>
      <c r="AT279" s="107" t="n"/>
      <c r="AU279" s="107" t="n"/>
      <c r="AV279" s="107" t="n"/>
      <c r="AW279" s="107" t="n"/>
      <c r="AX279" s="107" t="n"/>
      <c r="AY279" s="107" t="n"/>
      <c r="AZ279" s="107" t="n"/>
      <c r="BA279" s="107" t="n"/>
      <c r="BB279" s="107" t="n"/>
      <c r="BC279" s="107" t="n"/>
      <c r="BD279" s="107" t="n"/>
      <c r="BE279" s="107" t="n"/>
      <c r="BF279" s="107" t="n"/>
      <c r="BG279" s="107" t="n"/>
      <c r="BH279" s="107" t="n"/>
      <c r="BI279" s="107" t="n"/>
      <c r="BJ279" s="107" t="n"/>
      <c r="BK279" s="98">
        <f>+'Bookings to Revenue_Calcs'!BK44</f>
        <v/>
      </c>
      <c r="BL279" s="98">
        <f>+'Bookings to Revenue_Calcs'!BL44</f>
        <v/>
      </c>
      <c r="BM279" s="98">
        <f>+'Bookings to Revenue_Calcs'!BM44</f>
        <v/>
      </c>
      <c r="BN279" s="98">
        <f>+'Bookings to Revenue_Calcs'!BN44</f>
        <v/>
      </c>
      <c r="BO279" s="98">
        <f>+'Bookings to Revenue_Calcs'!BO44</f>
        <v/>
      </c>
      <c r="BP279" s="98">
        <f>+'Bookings to Revenue_Calcs'!BP44</f>
        <v/>
      </c>
      <c r="BQ279" s="98">
        <f>+'Bookings to Revenue_Calcs'!BQ44</f>
        <v/>
      </c>
      <c r="BR279" s="98">
        <f>+'Bookings to Revenue_Calcs'!BR44</f>
        <v/>
      </c>
      <c r="BS279" s="98">
        <f>+'Bookings to Revenue_Calcs'!BS44</f>
        <v/>
      </c>
      <c r="BT279" s="98">
        <f>+'Bookings to Revenue_Calcs'!BT44</f>
        <v/>
      </c>
      <c r="BU279" s="98">
        <f>+'Bookings to Revenue_Calcs'!BU44</f>
        <v/>
      </c>
      <c r="BV279" s="98">
        <f>+'Bookings to Revenue_Calcs'!BV44</f>
        <v/>
      </c>
      <c r="BW279" s="98">
        <f>+'Bookings to Revenue_Calcs'!BW44</f>
        <v/>
      </c>
      <c r="BX279" s="98">
        <f>+'Bookings to Revenue_Calcs'!BX44</f>
        <v/>
      </c>
      <c r="BY279" s="98">
        <f>+'Bookings to Revenue_Calcs'!BY44</f>
        <v/>
      </c>
      <c r="BZ279" s="98">
        <f>+'Bookings to Revenue_Calcs'!BZ44</f>
        <v/>
      </c>
      <c r="CA279" s="98">
        <f>+'Bookings to Revenue_Calcs'!CA44</f>
        <v/>
      </c>
      <c r="CB279" s="98">
        <f>+'Bookings to Revenue_Calcs'!CB44</f>
        <v/>
      </c>
      <c r="CC279" s="98">
        <f>+'Bookings to Revenue_Calcs'!CC44</f>
        <v/>
      </c>
      <c r="CD279" s="98">
        <f>+'Bookings to Revenue_Calcs'!CD44</f>
        <v/>
      </c>
      <c r="CE279" s="98">
        <f>+'Bookings to Revenue_Calcs'!CE44</f>
        <v/>
      </c>
      <c r="CF279" s="98">
        <f>+'Bookings to Revenue_Calcs'!CF44</f>
        <v/>
      </c>
      <c r="CG279" s="98">
        <f>+'Bookings to Revenue_Calcs'!CG44</f>
        <v/>
      </c>
      <c r="CH279" s="98">
        <f>+'Bookings to Revenue_Calcs'!CH44</f>
        <v/>
      </c>
      <c r="CI279" s="98">
        <f>+'Bookings to Revenue_Calcs'!CI44</f>
        <v/>
      </c>
      <c r="CJ279" s="98">
        <f>+'Bookings to Revenue_Calcs'!CJ44</f>
        <v/>
      </c>
      <c r="CK279" s="98">
        <f>+'Bookings to Revenue_Calcs'!CK44</f>
        <v/>
      </c>
      <c r="CL279" s="98">
        <f>+'Bookings to Revenue_Calcs'!CL44</f>
        <v/>
      </c>
      <c r="CM279" s="98">
        <f>+'Bookings to Revenue_Calcs'!CM44</f>
        <v/>
      </c>
      <c r="CN279" s="98">
        <f>+'Bookings to Revenue_Calcs'!CN44</f>
        <v/>
      </c>
      <c r="CO279" s="98">
        <f>+'Bookings to Revenue_Calcs'!CO44</f>
        <v/>
      </c>
      <c r="CP279" s="98">
        <f>+'Bookings to Revenue_Calcs'!CP44</f>
        <v/>
      </c>
      <c r="CQ279" s="98">
        <f>+'Bookings to Revenue_Calcs'!CQ44</f>
        <v/>
      </c>
      <c r="CR279" s="98">
        <f>+'Bookings to Revenue_Calcs'!CR44</f>
        <v/>
      </c>
      <c r="CS279" s="98">
        <f>+'Bookings to Revenue_Calcs'!CS44</f>
        <v/>
      </c>
      <c r="CT279" s="98">
        <f>+'Bookings to Revenue_Calcs'!CT44</f>
        <v/>
      </c>
      <c r="CU279" s="98">
        <f>+'Bookings to Revenue_Calcs'!CU44</f>
        <v/>
      </c>
      <c r="CV279" s="98">
        <f>+'Bookings to Revenue_Calcs'!CV44</f>
        <v/>
      </c>
      <c r="CW279" s="98">
        <f>+'Bookings to Revenue_Calcs'!CW44</f>
        <v/>
      </c>
      <c r="CX279" s="98">
        <f>+'Bookings to Revenue_Calcs'!CX44</f>
        <v/>
      </c>
      <c r="CY279" s="98">
        <f>+'Bookings to Revenue_Calcs'!CY44</f>
        <v/>
      </c>
      <c r="CZ279" s="98">
        <f>+'Bookings to Revenue_Calcs'!CZ44</f>
        <v/>
      </c>
      <c r="DA279" s="98">
        <f>+'Bookings to Revenue_Calcs'!DA44</f>
        <v/>
      </c>
      <c r="DB279" s="98">
        <f>+'Bookings to Revenue_Calcs'!DB44</f>
        <v/>
      </c>
      <c r="DC279" s="98">
        <f>+'Bookings to Revenue_Calcs'!DC44</f>
        <v/>
      </c>
      <c r="DD279" s="98">
        <f>+'Bookings to Revenue_Calcs'!DD44</f>
        <v/>
      </c>
      <c r="DE279" s="98">
        <f>+'Bookings to Revenue_Calcs'!DE44</f>
        <v/>
      </c>
      <c r="DF279" s="98">
        <f>+'Bookings to Revenue_Calcs'!DF44</f>
        <v/>
      </c>
      <c r="DG279" s="98">
        <f>+'Bookings to Revenue_Calcs'!DG44</f>
        <v/>
      </c>
      <c r="DH279" s="98">
        <f>+'Bookings to Revenue_Calcs'!DH44</f>
        <v/>
      </c>
      <c r="DI279" s="98">
        <f>+'Bookings to Revenue_Calcs'!DI44</f>
        <v/>
      </c>
      <c r="DJ279" s="98">
        <f>+'Bookings to Revenue_Calcs'!DJ44</f>
        <v/>
      </c>
      <c r="DK279" s="98">
        <f>+'Bookings to Revenue_Calcs'!DK44</f>
        <v/>
      </c>
      <c r="DL279" s="98">
        <f>+'Bookings to Revenue_Calcs'!DL44</f>
        <v/>
      </c>
      <c r="DM279" s="98">
        <f>+'Bookings to Revenue_Calcs'!DM44</f>
        <v/>
      </c>
      <c r="DN279" s="98">
        <f>+'Bookings to Revenue_Calcs'!DN44</f>
        <v/>
      </c>
      <c r="DO279" s="98">
        <f>+'Bookings to Revenue_Calcs'!DO44</f>
        <v/>
      </c>
      <c r="DP279" s="98">
        <f>+'Bookings to Revenue_Calcs'!DP44</f>
        <v/>
      </c>
      <c r="DQ279" s="98">
        <f>+'Bookings to Revenue_Calcs'!DQ44</f>
        <v/>
      </c>
      <c r="DR279" s="98">
        <f>+'Bookings to Revenue_Calcs'!DR44</f>
        <v/>
      </c>
    </row>
    <row r="280" ht="15.75" customHeight="1">
      <c r="B280" s="5" t="inlineStr">
        <is>
          <t>Average Implementation Spend</t>
        </is>
      </c>
      <c r="E280" s="46">
        <f>+AVERAGEIFS(E$214:E$259,$C$214:$C$259,$B278,E$214:E$259,"&lt;&gt;0")</f>
        <v/>
      </c>
      <c r="F280" s="46">
        <f>+AVERAGEIFS(F$214:F$259,$C$214:$C$259,$B278,F$214:F$259,"&lt;&gt;0")</f>
        <v/>
      </c>
      <c r="G280" s="46">
        <f>+AVERAGEIFS(G$214:G$259,$C$214:$C$259,$B278,G$214:G$259,"&lt;&gt;0")</f>
        <v/>
      </c>
      <c r="H280" s="46">
        <f>+AVERAGEIFS(H$214:H$259,$C$214:$C$259,$B278,H$214:H$259,"&lt;&gt;0")</f>
        <v/>
      </c>
      <c r="I280" s="46">
        <f>+AVERAGEIFS(I$214:I$259,$C$214:$C$259,$B278,I$214:I$259,"&lt;&gt;0")</f>
        <v/>
      </c>
      <c r="J280" s="48">
        <f>+Revenue_Assumptions!J54</f>
        <v/>
      </c>
      <c r="K280" s="48">
        <f>+Revenue_Assumptions!K54</f>
        <v/>
      </c>
      <c r="L280" s="48">
        <f>+Revenue_Assumptions!L54</f>
        <v/>
      </c>
      <c r="M280" s="48">
        <f>+Revenue_Assumptions!M54</f>
        <v/>
      </c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  <c r="AA280" s="108" t="n"/>
      <c r="AB280" s="108" t="n"/>
      <c r="AC280" s="108" t="n"/>
      <c r="AD280" s="108" t="n"/>
      <c r="AE280" s="108" t="n"/>
      <c r="AF280" s="108" t="n"/>
      <c r="AG280" s="108" t="n"/>
      <c r="AH280" s="108" t="n"/>
      <c r="AI280" s="108" t="n"/>
      <c r="AJ280" s="108" t="n"/>
      <c r="AK280" s="108" t="n"/>
      <c r="AL280" s="108" t="n"/>
      <c r="AM280" s="108" t="n"/>
      <c r="AN280" s="108" t="n"/>
      <c r="AO280" s="108" t="n"/>
      <c r="AP280" s="108" t="n"/>
      <c r="AQ280" s="108" t="n"/>
      <c r="AR280" s="108" t="n"/>
      <c r="AS280" s="108" t="n"/>
      <c r="AT280" s="108" t="n"/>
      <c r="AU280" s="108" t="n"/>
      <c r="AV280" s="108" t="n"/>
      <c r="AW280" s="108" t="n"/>
      <c r="AX280" s="108" t="n"/>
      <c r="AY280" s="108" t="n"/>
      <c r="AZ280" s="108" t="n"/>
      <c r="BA280" s="108" t="n"/>
      <c r="BB280" s="108" t="n"/>
      <c r="BC280" s="108" t="n"/>
      <c r="BD280" s="108" t="n"/>
      <c r="BE280" s="108" t="n"/>
      <c r="BF280" s="108" t="n"/>
      <c r="BG280" s="108" t="n"/>
      <c r="BH280" s="108" t="n"/>
      <c r="BI280" s="108" t="n"/>
      <c r="BJ280" s="108" t="n"/>
      <c r="BK280" s="48">
        <f>+SUMIFS($E280:$M280,$E$7:$M$7,BK$7)/'Bookings to Revenue_Calcs'!$C$14</f>
        <v/>
      </c>
      <c r="BL280" s="48">
        <f>+SUMIFS($E280:$M280,$E$7:$M$7,BL$7)/'Bookings to Revenue_Calcs'!$C$14</f>
        <v/>
      </c>
      <c r="BM280" s="48">
        <f>+SUMIFS($E280:$M280,$E$7:$M$7,BM$7)/'Bookings to Revenue_Calcs'!$C$14</f>
        <v/>
      </c>
      <c r="BN280" s="48">
        <f>+SUMIFS($E280:$M280,$E$7:$M$7,BN$7)/'Bookings to Revenue_Calcs'!$C$14</f>
        <v/>
      </c>
      <c r="BO280" s="48">
        <f>+SUMIFS($E280:$M280,$E$7:$M$7,BO$7)/'Bookings to Revenue_Calcs'!$C$14</f>
        <v/>
      </c>
      <c r="BP280" s="48">
        <f>+SUMIFS($E280:$M280,$E$7:$M$7,BP$7)/'Bookings to Revenue_Calcs'!$C$14</f>
        <v/>
      </c>
      <c r="BQ280" s="48">
        <f>+SUMIFS($E280:$M280,$E$7:$M$7,BQ$7)/'Bookings to Revenue_Calcs'!$C$14</f>
        <v/>
      </c>
      <c r="BR280" s="48">
        <f>+SUMIFS($E280:$M280,$E$7:$M$7,BR$7)/'Bookings to Revenue_Calcs'!$C$14</f>
        <v/>
      </c>
      <c r="BS280" s="48">
        <f>+SUMIFS($E280:$M280,$E$7:$M$7,BS$7)/'Bookings to Revenue_Calcs'!$C$14</f>
        <v/>
      </c>
      <c r="BT280" s="48">
        <f>+SUMIFS($E280:$M280,$E$7:$M$7,BT$7)/'Bookings to Revenue_Calcs'!$C$14</f>
        <v/>
      </c>
      <c r="BU280" s="48">
        <f>+SUMIFS($E280:$M280,$E$7:$M$7,BU$7)/'Bookings to Revenue_Calcs'!$C$14</f>
        <v/>
      </c>
      <c r="BV280" s="48">
        <f>+SUMIFS($E280:$M280,$E$7:$M$7,BV$7)/'Bookings to Revenue_Calcs'!$C$14</f>
        <v/>
      </c>
      <c r="BW280" s="48">
        <f>+SUMIFS($E280:$M280,$E$7:$M$7,BW$7)/'Bookings to Revenue_Calcs'!$C$14</f>
        <v/>
      </c>
      <c r="BX280" s="48">
        <f>+SUMIFS($E280:$M280,$E$7:$M$7,BX$7)/'Bookings to Revenue_Calcs'!$C$14</f>
        <v/>
      </c>
      <c r="BY280" s="48">
        <f>+SUMIFS($E280:$M280,$E$7:$M$7,BY$7)/'Bookings to Revenue_Calcs'!$C$14</f>
        <v/>
      </c>
      <c r="BZ280" s="48">
        <f>+SUMIFS($E280:$M280,$E$7:$M$7,BZ$7)/'Bookings to Revenue_Calcs'!$C$14</f>
        <v/>
      </c>
      <c r="CA280" s="48">
        <f>+SUMIFS($E280:$M280,$E$7:$M$7,CA$7)/'Bookings to Revenue_Calcs'!$C$14</f>
        <v/>
      </c>
      <c r="CB280" s="48">
        <f>+SUMIFS($E280:$M280,$E$7:$M$7,CB$7)/'Bookings to Revenue_Calcs'!$C$14</f>
        <v/>
      </c>
      <c r="CC280" s="48">
        <f>+SUMIFS($E280:$M280,$E$7:$M$7,CC$7)/'Bookings to Revenue_Calcs'!$C$14</f>
        <v/>
      </c>
      <c r="CD280" s="48">
        <f>+SUMIFS($E280:$M280,$E$7:$M$7,CD$7)/'Bookings to Revenue_Calcs'!$C$14</f>
        <v/>
      </c>
      <c r="CE280" s="48">
        <f>+SUMIFS($E280:$M280,$E$7:$M$7,CE$7)/'Bookings to Revenue_Calcs'!$C$14</f>
        <v/>
      </c>
      <c r="CF280" s="48">
        <f>+SUMIFS($E280:$M280,$E$7:$M$7,CF$7)/'Bookings to Revenue_Calcs'!$C$14</f>
        <v/>
      </c>
      <c r="CG280" s="48">
        <f>+SUMIFS($E280:$M280,$E$7:$M$7,CG$7)/'Bookings to Revenue_Calcs'!$C$14</f>
        <v/>
      </c>
      <c r="CH280" s="48">
        <f>+SUMIFS($E280:$M280,$E$7:$M$7,CH$7)/'Bookings to Revenue_Calcs'!$C$14</f>
        <v/>
      </c>
      <c r="CI280" s="48">
        <f>+SUMIFS($E280:$M280,$E$7:$M$7,CI$7)/'Bookings to Revenue_Calcs'!$C$14</f>
        <v/>
      </c>
      <c r="CJ280" s="48">
        <f>+SUMIFS($E280:$M280,$E$7:$M$7,CJ$7)/'Bookings to Revenue_Calcs'!$C$14</f>
        <v/>
      </c>
      <c r="CK280" s="48">
        <f>+SUMIFS($E280:$M280,$E$7:$M$7,CK$7)/'Bookings to Revenue_Calcs'!$C$14</f>
        <v/>
      </c>
      <c r="CL280" s="48">
        <f>+SUMIFS($E280:$M280,$E$7:$M$7,CL$7)/'Bookings to Revenue_Calcs'!$C$14</f>
        <v/>
      </c>
      <c r="CM280" s="48">
        <f>+SUMIFS($E280:$M280,$E$7:$M$7,CM$7)/'Bookings to Revenue_Calcs'!$C$14</f>
        <v/>
      </c>
      <c r="CN280" s="48">
        <f>+SUMIFS($E280:$M280,$E$7:$M$7,CN$7)/'Bookings to Revenue_Calcs'!$C$14</f>
        <v/>
      </c>
      <c r="CO280" s="48">
        <f>+SUMIFS($E280:$M280,$E$7:$M$7,CO$7)/'Bookings to Revenue_Calcs'!$C$14</f>
        <v/>
      </c>
      <c r="CP280" s="48">
        <f>+SUMIFS($E280:$M280,$E$7:$M$7,CP$7)/'Bookings to Revenue_Calcs'!$C$14</f>
        <v/>
      </c>
      <c r="CQ280" s="48">
        <f>+SUMIFS($E280:$M280,$E$7:$M$7,CQ$7)/'Bookings to Revenue_Calcs'!$C$14</f>
        <v/>
      </c>
      <c r="CR280" s="48">
        <f>+SUMIFS($E280:$M280,$E$7:$M$7,CR$7)/'Bookings to Revenue_Calcs'!$C$14</f>
        <v/>
      </c>
      <c r="CS280" s="48">
        <f>+SUMIFS($E280:$M280,$E$7:$M$7,CS$7)/'Bookings to Revenue_Calcs'!$C$14</f>
        <v/>
      </c>
      <c r="CT280" s="48">
        <f>+SUMIFS($E280:$M280,$E$7:$M$7,CT$7)/'Bookings to Revenue_Calcs'!$C$14</f>
        <v/>
      </c>
      <c r="CU280" s="48">
        <f>+SUMIFS($E280:$M280,$E$7:$M$7,CU$7)/'Bookings to Revenue_Calcs'!$C$14</f>
        <v/>
      </c>
      <c r="CV280" s="48">
        <f>+SUMIFS($E280:$M280,$E$7:$M$7,CV$7)/'Bookings to Revenue_Calcs'!$C$14</f>
        <v/>
      </c>
      <c r="CW280" s="48">
        <f>+SUMIFS($E280:$M280,$E$7:$M$7,CW$7)/'Bookings to Revenue_Calcs'!$C$14</f>
        <v/>
      </c>
      <c r="CX280" s="48">
        <f>+SUMIFS($E280:$M280,$E$7:$M$7,CX$7)/'Bookings to Revenue_Calcs'!$C$14</f>
        <v/>
      </c>
      <c r="CY280" s="48">
        <f>+SUMIFS($E280:$M280,$E$7:$M$7,CY$7)/'Bookings to Revenue_Calcs'!$C$14</f>
        <v/>
      </c>
      <c r="CZ280" s="48">
        <f>+SUMIFS($E280:$M280,$E$7:$M$7,CZ$7)/'Bookings to Revenue_Calcs'!$C$14</f>
        <v/>
      </c>
      <c r="DA280" s="48">
        <f>+SUMIFS($E280:$M280,$E$7:$M$7,DA$7)/'Bookings to Revenue_Calcs'!$C$14</f>
        <v/>
      </c>
      <c r="DB280" s="48">
        <f>+SUMIFS($E280:$M280,$E$7:$M$7,DB$7)/'Bookings to Revenue_Calcs'!$C$14</f>
        <v/>
      </c>
      <c r="DC280" s="48">
        <f>+SUMIFS($E280:$M280,$E$7:$M$7,DC$7)/'Bookings to Revenue_Calcs'!$C$14</f>
        <v/>
      </c>
      <c r="DD280" s="48">
        <f>+SUMIFS($E280:$M280,$E$7:$M$7,DD$7)/'Bookings to Revenue_Calcs'!$C$14</f>
        <v/>
      </c>
      <c r="DE280" s="48">
        <f>+SUMIFS($E280:$M280,$E$7:$M$7,DE$7)/'Bookings to Revenue_Calcs'!$C$14</f>
        <v/>
      </c>
      <c r="DF280" s="48">
        <f>+SUMIFS($E280:$M280,$E$7:$M$7,DF$7)/'Bookings to Revenue_Calcs'!$C$14</f>
        <v/>
      </c>
      <c r="DG280" s="48">
        <f>+SUMIFS($E280:$M280,$E$7:$M$7,DG$7)/'Bookings to Revenue_Calcs'!$C$14</f>
        <v/>
      </c>
      <c r="DH280" s="48">
        <f>+SUMIFS($E280:$M280,$E$7:$M$7,DH$7)/'Bookings to Revenue_Calcs'!$C$14</f>
        <v/>
      </c>
      <c r="DI280" s="48">
        <f>+SUMIFS($E280:$M280,$E$7:$M$7,DI$7)/'Bookings to Revenue_Calcs'!$C$14</f>
        <v/>
      </c>
      <c r="DJ280" s="48">
        <f>+SUMIFS($E280:$M280,$E$7:$M$7,DJ$7)/'Bookings to Revenue_Calcs'!$C$14</f>
        <v/>
      </c>
      <c r="DK280" s="48">
        <f>+SUMIFS($E280:$M280,$E$7:$M$7,DK$7)/'Bookings to Revenue_Calcs'!$C$14</f>
        <v/>
      </c>
      <c r="DL280" s="48">
        <f>+SUMIFS($E280:$M280,$E$7:$M$7,DL$7)/'Bookings to Revenue_Calcs'!$C$14</f>
        <v/>
      </c>
      <c r="DM280" s="48">
        <f>+SUMIFS($E280:$M280,$E$7:$M$7,DM$7)/'Bookings to Revenue_Calcs'!$C$14</f>
        <v/>
      </c>
      <c r="DN280" s="48">
        <f>+SUMIFS($E280:$M280,$E$7:$M$7,DN$7)/'Bookings to Revenue_Calcs'!$C$14</f>
        <v/>
      </c>
      <c r="DO280" s="48">
        <f>+SUMIFS($E280:$M280,$E$7:$M$7,DO$7)/'Bookings to Revenue_Calcs'!$C$14</f>
        <v/>
      </c>
      <c r="DP280" s="48">
        <f>+SUMIFS($E280:$M280,$E$7:$M$7,DP$7)/'Bookings to Revenue_Calcs'!$C$14</f>
        <v/>
      </c>
      <c r="DQ280" s="48">
        <f>+SUMIFS($E280:$M280,$E$7:$M$7,DQ$7)/'Bookings to Revenue_Calcs'!$C$14</f>
        <v/>
      </c>
      <c r="DR280" s="48">
        <f>+SUMIFS($E280:$M280,$E$7:$M$7,DR$7)/'Bookings to Revenue_Calcs'!$C$14</f>
        <v/>
      </c>
    </row>
    <row r="281" ht="15.75" customHeight="1">
      <c r="B281" s="50" t="inlineStr">
        <is>
          <t>Implementation Reveue</t>
        </is>
      </c>
      <c r="C281" s="50" t="n"/>
      <c r="E281" s="51">
        <f>+SUMIFS(E$214:E$259,$C$214:$C$259,$B278)</f>
        <v/>
      </c>
      <c r="F281" s="51">
        <f>+SUMIFS(F$214:F$259,$C$214:$C$259,$B278)</f>
        <v/>
      </c>
      <c r="G281" s="51">
        <f>+SUMIFS(G$214:G$259,$C$214:$C$259,$B278)</f>
        <v/>
      </c>
      <c r="H281" s="51">
        <f>+SUMIFS(H$214:H$259,$C$214:$C$259,$B278)</f>
        <v/>
      </c>
      <c r="I281" s="51">
        <f>+SUMIFS(I$214:I$259,$C$214:$C$259,$B278)</f>
        <v/>
      </c>
      <c r="J281" s="109">
        <f>+SUMIFS($O281:$DR281,$O$7:$DR$7,J$7)</f>
        <v/>
      </c>
      <c r="K281" s="109">
        <f>+SUMIFS($O281:$DR281,$O$7:$DR$7,K$7)</f>
        <v/>
      </c>
      <c r="L281" s="109">
        <f>+SUMIFS($O281:$DR281,$O$7:$DR$7,L$7)</f>
        <v/>
      </c>
      <c r="M281" s="109">
        <f>+SUMIFS($O281:$DR281,$O$7:$DR$7,M$7)</f>
        <v/>
      </c>
      <c r="N281" s="46" t="n"/>
      <c r="O281" s="51">
        <f>+SUMIFS(O$214:O$259,$C$214:$C$259,$B278)+(O279*O280)</f>
        <v/>
      </c>
      <c r="P281" s="51">
        <f>+SUMIFS(P$214:P$259,$C$214:$C$259,$B278)+(P279*P280)</f>
        <v/>
      </c>
      <c r="Q281" s="51">
        <f>+SUMIFS(Q$214:Q$259,$C$214:$C$259,$B278)+(Q279*Q280)</f>
        <v/>
      </c>
      <c r="R281" s="51">
        <f>+SUMIFS(R$214:R$259,$C$214:$C$259,$B278)+(R279*R280)</f>
        <v/>
      </c>
      <c r="S281" s="51">
        <f>+SUMIFS(S$214:S$259,$C$214:$C$259,$B278)+(S279*S280)</f>
        <v/>
      </c>
      <c r="T281" s="51">
        <f>+SUMIFS(T$214:T$259,$C$214:$C$259,$B278)+(T279*T280)</f>
        <v/>
      </c>
      <c r="U281" s="51">
        <f>+SUMIFS(U$214:U$259,$C$214:$C$259,$B278)+(U279*U280)</f>
        <v/>
      </c>
      <c r="V281" s="51">
        <f>+SUMIFS(V$214:V$259,$C$214:$C$259,$B278)+(V279*V280)</f>
        <v/>
      </c>
      <c r="W281" s="51">
        <f>+SUMIFS(W$214:W$259,$C$214:$C$259,$B278)+(W279*W280)</f>
        <v/>
      </c>
      <c r="X281" s="51">
        <f>+SUMIFS(X$214:X$259,$C$214:$C$259,$B278)+(X279*X280)</f>
        <v/>
      </c>
      <c r="Y281" s="51">
        <f>+SUMIFS(Y$214:Y$259,$C$214:$C$259,$B278)+(Y279*Y280)</f>
        <v/>
      </c>
      <c r="Z281" s="51">
        <f>+SUMIFS(Z$214:Z$259,$C$214:$C$259,$B278)+(Z279*Z280)</f>
        <v/>
      </c>
      <c r="AA281" s="51">
        <f>+SUMIFS(AA$214:AA$259,$C$214:$C$259,$B278)+(AA279*AA280)</f>
        <v/>
      </c>
      <c r="AB281" s="51">
        <f>+SUMIFS(AB$214:AB$259,$C$214:$C$259,$B278)+(AB279*AB280)</f>
        <v/>
      </c>
      <c r="AC281" s="51">
        <f>+SUMIFS(AC$214:AC$259,$C$214:$C$259,$B278)+(AC279*AC280)</f>
        <v/>
      </c>
      <c r="AD281" s="51">
        <f>+SUMIFS(AD$214:AD$259,$C$214:$C$259,$B278)+(AD279*AD280)</f>
        <v/>
      </c>
      <c r="AE281" s="51">
        <f>+SUMIFS(AE$214:AE$259,$C$214:$C$259,$B278)+(AE279*AE280)</f>
        <v/>
      </c>
      <c r="AF281" s="51">
        <f>+SUMIFS(AF$214:AF$259,$C$214:$C$259,$B278)+(AF279*AF280)</f>
        <v/>
      </c>
      <c r="AG281" s="51">
        <f>+SUMIFS(AG$214:AG$259,$C$214:$C$259,$B278)+(AG279*AG280)</f>
        <v/>
      </c>
      <c r="AH281" s="51">
        <f>+SUMIFS(AH$214:AH$259,$C$214:$C$259,$B278)+(AH279*AH280)</f>
        <v/>
      </c>
      <c r="AI281" s="51">
        <f>+SUMIFS(AI$214:AI$259,$C$214:$C$259,$B278)+(AI279*AI280)</f>
        <v/>
      </c>
      <c r="AJ281" s="51">
        <f>+SUMIFS(AJ$214:AJ$259,$C$214:$C$259,$B278)+(AJ279*AJ280)</f>
        <v/>
      </c>
      <c r="AK281" s="51">
        <f>+SUMIFS(AK$214:AK$259,$C$214:$C$259,$B278)+(AK279*AK280)</f>
        <v/>
      </c>
      <c r="AL281" s="51">
        <f>+SUMIFS(AL$214:AL$259,$C$214:$C$259,$B278)+(AL279*AL280)</f>
        <v/>
      </c>
      <c r="AM281" s="51">
        <f>+SUMIFS(AM$214:AM$259,$C$214:$C$259,$B278)+(AM279*AM280)</f>
        <v/>
      </c>
      <c r="AN281" s="51">
        <f>+SUMIFS(AN$214:AN$259,$C$214:$C$259,$B278)+(AN279*AN280)</f>
        <v/>
      </c>
      <c r="AO281" s="51">
        <f>+SUMIFS(AO$214:AO$259,$C$214:$C$259,$B278)+(AO279*AO280)</f>
        <v/>
      </c>
      <c r="AP281" s="51">
        <f>+SUMIFS(AP$214:AP$259,$C$214:$C$259,$B278)+(AP279*AP280)</f>
        <v/>
      </c>
      <c r="AQ281" s="51">
        <f>+SUMIFS(AQ$214:AQ$259,$C$214:$C$259,$B278)+(AQ279*AQ280)</f>
        <v/>
      </c>
      <c r="AR281" s="51">
        <f>+SUMIFS(AR$214:AR$259,$C$214:$C$259,$B278)+(AR279*AR280)</f>
        <v/>
      </c>
      <c r="AS281" s="51">
        <f>+SUMIFS(AS$214:AS$259,$C$214:$C$259,$B278)+(AS279*AS280)</f>
        <v/>
      </c>
      <c r="AT281" s="51">
        <f>+SUMIFS(AT$214:AT$259,$C$214:$C$259,$B278)+(AT279*AT280)</f>
        <v/>
      </c>
      <c r="AU281" s="51">
        <f>+SUMIFS(AU$214:AU$259,$C$214:$C$259,$B278)+(AU279*AU280)</f>
        <v/>
      </c>
      <c r="AV281" s="51">
        <f>+SUMIFS(AV$214:AV$259,$C$214:$C$259,$B278)+(AV279*AV280)</f>
        <v/>
      </c>
      <c r="AW281" s="51">
        <f>+SUMIFS(AW$214:AW$259,$C$214:$C$259,$B278)+(AW279*AW280)</f>
        <v/>
      </c>
      <c r="AX281" s="51">
        <f>+SUMIFS(AX$214:AX$259,$C$214:$C$259,$B278)+(AX279*AX280)</f>
        <v/>
      </c>
      <c r="AY281" s="51">
        <f>+SUMIFS(AY$214:AY$259,$C$214:$C$259,$B278)+(AY279*AY280)</f>
        <v/>
      </c>
      <c r="AZ281" s="51">
        <f>+SUMIFS(AZ$214:AZ$259,$C$214:$C$259,$B278)+(AZ279*AZ280)</f>
        <v/>
      </c>
      <c r="BA281" s="51">
        <f>+SUMIFS(BA$214:BA$259,$C$214:$C$259,$B278)+(BA279*BA280)</f>
        <v/>
      </c>
      <c r="BB281" s="51">
        <f>+SUMIFS(BB$214:BB$259,$C$214:$C$259,$B278)+(BB279*BB280)</f>
        <v/>
      </c>
      <c r="BC281" s="51">
        <f>+SUMIFS(BC$214:BC$259,$C$214:$C$259,$B278)+(BC279*BC280)</f>
        <v/>
      </c>
      <c r="BD281" s="51">
        <f>+SUMIFS(BD$214:BD$259,$C$214:$C$259,$B278)+(BD279*BD280)</f>
        <v/>
      </c>
      <c r="BE281" s="51">
        <f>+SUMIFS(BE$214:BE$259,$C$214:$C$259,$B278)+(BE279*BE280)</f>
        <v/>
      </c>
      <c r="BF281" s="51">
        <f>+SUMIFS(BF$214:BF$259,$C$214:$C$259,$B278)+(BF279*BF280)</f>
        <v/>
      </c>
      <c r="BG281" s="51">
        <f>+SUMIFS(BG$214:BG$259,$C$214:$C$259,$B278)+(BG279*BG280)</f>
        <v/>
      </c>
      <c r="BH281" s="51">
        <f>+SUMIFS(BH$214:BH$259,$C$214:$C$259,$B278)+(BH279*BH280)</f>
        <v/>
      </c>
      <c r="BI281" s="51">
        <f>+SUMIFS(BI$214:BI$259,$C$214:$C$259,$B278)+(BI279*BI280)</f>
        <v/>
      </c>
      <c r="BJ281" s="51">
        <f>+SUMIFS(BJ$214:BJ$259,$C$214:$C$259,$B278)+(BJ279*BJ280)</f>
        <v/>
      </c>
      <c r="BK281" s="51">
        <f>+SUMIFS(BK$214:BK$259,$C$214:$C$259,$B278)+(BK279*BK280)</f>
        <v/>
      </c>
      <c r="BL281" s="51">
        <f>+SUMIFS(BL$214:BL$259,$C$214:$C$259,$B278)+(BL279*BL280)</f>
        <v/>
      </c>
      <c r="BM281" s="51">
        <f>+SUMIFS(BM$214:BM$259,$C$214:$C$259,$B278)+(BM279*BM280)</f>
        <v/>
      </c>
      <c r="BN281" s="51">
        <f>+SUMIFS(BN$214:BN$259,$C$214:$C$259,$B278)+(BN279*BN280)</f>
        <v/>
      </c>
      <c r="BO281" s="51">
        <f>+SUMIFS(BO$214:BO$259,$C$214:$C$259,$B278)+(BO279*BO280)</f>
        <v/>
      </c>
      <c r="BP281" s="51">
        <f>+SUMIFS(BP$214:BP$259,$C$214:$C$259,$B278)+(BP279*BP280)</f>
        <v/>
      </c>
      <c r="BQ281" s="51">
        <f>+SUMIFS(BQ$214:BQ$259,$C$214:$C$259,$B278)+(BQ279*BQ280)</f>
        <v/>
      </c>
      <c r="BR281" s="51">
        <f>+SUMIFS(BR$214:BR$259,$C$214:$C$259,$B278)+(BR279*BR280)</f>
        <v/>
      </c>
      <c r="BS281" s="51">
        <f>+SUMIFS(BS$214:BS$259,$C$214:$C$259,$B278)+(BS279*BS280)</f>
        <v/>
      </c>
      <c r="BT281" s="51">
        <f>+SUMIFS(BT$214:BT$259,$C$214:$C$259,$B278)+(BT279*BT280)</f>
        <v/>
      </c>
      <c r="BU281" s="51">
        <f>+SUMIFS(BU$214:BU$259,$C$214:$C$259,$B278)+(BU279*BU280)</f>
        <v/>
      </c>
      <c r="BV281" s="51">
        <f>+SUMIFS(BV$214:BV$259,$C$214:$C$259,$B278)+(BV279*BV280)</f>
        <v/>
      </c>
      <c r="BW281" s="51">
        <f>+SUMIFS(BW$214:BW$259,$C$214:$C$259,$B278)+(BW279*BW280)</f>
        <v/>
      </c>
      <c r="BX281" s="51">
        <f>+SUMIFS(BX$214:BX$259,$C$214:$C$259,$B278)+(BX279*BX280)</f>
        <v/>
      </c>
      <c r="BY281" s="51">
        <f>+SUMIFS(BY$214:BY$259,$C$214:$C$259,$B278)+(BY279*BY280)</f>
        <v/>
      </c>
      <c r="BZ281" s="51">
        <f>+SUMIFS(BZ$214:BZ$259,$C$214:$C$259,$B278)+(BZ279*BZ280)</f>
        <v/>
      </c>
      <c r="CA281" s="51">
        <f>+SUMIFS(CA$214:CA$259,$C$214:$C$259,$B278)+(CA279*CA280)</f>
        <v/>
      </c>
      <c r="CB281" s="51">
        <f>+SUMIFS(CB$214:CB$259,$C$214:$C$259,$B278)+(CB279*CB280)</f>
        <v/>
      </c>
      <c r="CC281" s="51">
        <f>+SUMIFS(CC$214:CC$259,$C$214:$C$259,$B278)+(CC279*CC280)</f>
        <v/>
      </c>
      <c r="CD281" s="51">
        <f>+SUMIFS(CD$214:CD$259,$C$214:$C$259,$B278)+(CD279*CD280)</f>
        <v/>
      </c>
      <c r="CE281" s="51">
        <f>+SUMIFS(CE$214:CE$259,$C$214:$C$259,$B278)+(CE279*CE280)</f>
        <v/>
      </c>
      <c r="CF281" s="51">
        <f>+SUMIFS(CF$214:CF$259,$C$214:$C$259,$B278)+(CF279*CF280)</f>
        <v/>
      </c>
      <c r="CG281" s="51">
        <f>+SUMIFS(CG$214:CG$259,$C$214:$C$259,$B278)+(CG279*CG280)</f>
        <v/>
      </c>
      <c r="CH281" s="51">
        <f>+SUMIFS(CH$214:CH$259,$C$214:$C$259,$B278)+(CH279*CH280)</f>
        <v/>
      </c>
      <c r="CI281" s="51">
        <f>+SUMIFS(CI$214:CI$259,$C$214:$C$259,$B278)+(CI279*CI280)</f>
        <v/>
      </c>
      <c r="CJ281" s="51">
        <f>+SUMIFS(CJ$214:CJ$259,$C$214:$C$259,$B278)+(CJ279*CJ280)</f>
        <v/>
      </c>
      <c r="CK281" s="51">
        <f>+SUMIFS(CK$214:CK$259,$C$214:$C$259,$B278)+(CK279*CK280)</f>
        <v/>
      </c>
      <c r="CL281" s="51">
        <f>+SUMIFS(CL$214:CL$259,$C$214:$C$259,$B278)+(CL279*CL280)</f>
        <v/>
      </c>
      <c r="CM281" s="51">
        <f>+SUMIFS(CM$214:CM$259,$C$214:$C$259,$B278)+(CM279*CM280)</f>
        <v/>
      </c>
      <c r="CN281" s="51">
        <f>+SUMIFS(CN$214:CN$259,$C$214:$C$259,$B278)+(CN279*CN280)</f>
        <v/>
      </c>
      <c r="CO281" s="51">
        <f>+SUMIFS(CO$214:CO$259,$C$214:$C$259,$B278)+(CO279*CO280)</f>
        <v/>
      </c>
      <c r="CP281" s="51">
        <f>+SUMIFS(CP$214:CP$259,$C$214:$C$259,$B278)+(CP279*CP280)</f>
        <v/>
      </c>
      <c r="CQ281" s="51">
        <f>+SUMIFS(CQ$214:CQ$259,$C$214:$C$259,$B278)+(CQ279*CQ280)</f>
        <v/>
      </c>
      <c r="CR281" s="51">
        <f>+SUMIFS(CR$214:CR$259,$C$214:$C$259,$B278)+(CR279*CR280)</f>
        <v/>
      </c>
      <c r="CS281" s="51">
        <f>+SUMIFS(CS$214:CS$259,$C$214:$C$259,$B278)+(CS279*CS280)</f>
        <v/>
      </c>
      <c r="CT281" s="51">
        <f>+SUMIFS(CT$214:CT$259,$C$214:$C$259,$B278)+(CT279*CT280)</f>
        <v/>
      </c>
      <c r="CU281" s="51">
        <f>+SUMIFS(CU$214:CU$259,$C$214:$C$259,$B278)+(CU279*CU280)</f>
        <v/>
      </c>
      <c r="CV281" s="51">
        <f>+SUMIFS(CV$214:CV$259,$C$214:$C$259,$B278)+(CV279*CV280)</f>
        <v/>
      </c>
      <c r="CW281" s="51">
        <f>+SUMIFS(CW$214:CW$259,$C$214:$C$259,$B278)+(CW279*CW280)</f>
        <v/>
      </c>
      <c r="CX281" s="51">
        <f>+SUMIFS(CX$214:CX$259,$C$214:$C$259,$B278)+(CX279*CX280)</f>
        <v/>
      </c>
      <c r="CY281" s="51">
        <f>+SUMIFS(CY$214:CY$259,$C$214:$C$259,$B278)+(CY279*CY280)</f>
        <v/>
      </c>
      <c r="CZ281" s="51">
        <f>+SUMIFS(CZ$214:CZ$259,$C$214:$C$259,$B278)+(CZ279*CZ280)</f>
        <v/>
      </c>
      <c r="DA281" s="51">
        <f>+SUMIFS(DA$214:DA$259,$C$214:$C$259,$B278)+(DA279*DA280)</f>
        <v/>
      </c>
      <c r="DB281" s="51">
        <f>+SUMIFS(DB$214:DB$259,$C$214:$C$259,$B278)+(DB279*DB280)</f>
        <v/>
      </c>
      <c r="DC281" s="51">
        <f>+SUMIFS(DC$214:DC$259,$C$214:$C$259,$B278)+(DC279*DC280)</f>
        <v/>
      </c>
      <c r="DD281" s="51">
        <f>+SUMIFS(DD$214:DD$259,$C$214:$C$259,$B278)+(DD279*DD280)</f>
        <v/>
      </c>
      <c r="DE281" s="51">
        <f>+SUMIFS(DE$214:DE$259,$C$214:$C$259,$B278)+(DE279*DE280)</f>
        <v/>
      </c>
      <c r="DF281" s="51">
        <f>+SUMIFS(DF$214:DF$259,$C$214:$C$259,$B278)+(DF279*DF280)</f>
        <v/>
      </c>
      <c r="DG281" s="51">
        <f>+SUMIFS(DG$214:DG$259,$C$214:$C$259,$B278)+(DG279*DG280)</f>
        <v/>
      </c>
      <c r="DH281" s="51">
        <f>+SUMIFS(DH$214:DH$259,$C$214:$C$259,$B278)+(DH279*DH280)</f>
        <v/>
      </c>
      <c r="DI281" s="51">
        <f>+SUMIFS(DI$214:DI$259,$C$214:$C$259,$B278)+(DI279*DI280)</f>
        <v/>
      </c>
      <c r="DJ281" s="51">
        <f>+SUMIFS(DJ$214:DJ$259,$C$214:$C$259,$B278)+(DJ279*DJ280)</f>
        <v/>
      </c>
      <c r="DK281" s="51">
        <f>+SUMIFS(DK$214:DK$259,$C$214:$C$259,$B278)+(DK279*DK280)</f>
        <v/>
      </c>
      <c r="DL281" s="51">
        <f>+SUMIFS(DL$214:DL$259,$C$214:$C$259,$B278)+(DL279*DL280)</f>
        <v/>
      </c>
      <c r="DM281" s="51">
        <f>+SUMIFS(DM$214:DM$259,$C$214:$C$259,$B278)+(DM279*DM280)</f>
        <v/>
      </c>
      <c r="DN281" s="51">
        <f>+SUMIFS(DN$214:DN$259,$C$214:$C$259,$B278)+(DN279*DN280)</f>
        <v/>
      </c>
      <c r="DO281" s="51">
        <f>+SUMIFS(DO$214:DO$259,$C$214:$C$259,$B278)+(DO279*DO280)</f>
        <v/>
      </c>
      <c r="DP281" s="51">
        <f>+SUMIFS(DP$214:DP$259,$C$214:$C$259,$B278)+(DP279*DP280)</f>
        <v/>
      </c>
      <c r="DQ281" s="51">
        <f>+SUMIFS(DQ$214:DQ$259,$C$214:$C$259,$B278)+(DQ279*DQ280)</f>
        <v/>
      </c>
      <c r="DR281" s="51">
        <f>+SUMIFS(DR$214:DR$259,$C$214:$C$259,$B278)+(DR279*DR280)</f>
        <v/>
      </c>
    </row>
    <row r="282" ht="4.5" customHeight="1"/>
    <row r="283" ht="15.75" customHeight="1">
      <c r="B283" s="56" t="inlineStr">
        <is>
          <t>Total implementation Revenue</t>
        </is>
      </c>
      <c r="C283" s="56" t="n"/>
      <c r="E283" s="57">
        <f>+SUMIFS($O283:$DR283,$O$7:$DR$7,E$7)</f>
        <v/>
      </c>
      <c r="F283" s="57">
        <f>+SUMIFS($O283:$DR283,$O$7:$DR$7,F$7)</f>
        <v/>
      </c>
      <c r="G283" s="57">
        <f>+SUMIFS($O283:$DR283,$O$7:$DR$7,G$7)</f>
        <v/>
      </c>
      <c r="H283" s="57">
        <f>+SUMIFS($O283:$DR283,$O$7:$DR$7,H$7)</f>
        <v/>
      </c>
      <c r="I283" s="57">
        <f>+SUMIFS($O283:$DR283,$O$7:$DR$7,I$7)</f>
        <v/>
      </c>
      <c r="J283" s="57">
        <f>+SUMIFS($O283:$DR283,$O$7:$DR$7,J$7)</f>
        <v/>
      </c>
      <c r="K283" s="57">
        <f>+SUMIFS($O283:$DR283,$O$7:$DR$7,K$7)</f>
        <v/>
      </c>
      <c r="L283" s="57">
        <f>+SUMIFS($O283:$DR283,$O$7:$DR$7,L$7)</f>
        <v/>
      </c>
      <c r="M283" s="57">
        <f>+SUMIFS($O283:$DR283,$O$7:$DR$7,M$7)</f>
        <v/>
      </c>
      <c r="O283" s="57">
        <f>SUM(O261,O266,O271,O276,O281)</f>
        <v/>
      </c>
      <c r="P283" s="57">
        <f>SUM(P261,P266,P271,P276,P281)</f>
        <v/>
      </c>
      <c r="Q283" s="57">
        <f>SUM(Q261,Q266,Q271,Q276,Q281)</f>
        <v/>
      </c>
      <c r="R283" s="57">
        <f>SUM(R261,R266,R271,R276,R281)</f>
        <v/>
      </c>
      <c r="S283" s="57">
        <f>SUM(S261,S266,S271,S276,S281)</f>
        <v/>
      </c>
      <c r="T283" s="57">
        <f>SUM(T261,T266,T271,T276,T281)</f>
        <v/>
      </c>
      <c r="U283" s="57">
        <f>SUM(U261,U266,U271,U276,U281)</f>
        <v/>
      </c>
      <c r="V283" s="57">
        <f>SUM(V261,V266,V271,V276,V281)</f>
        <v/>
      </c>
      <c r="W283" s="57">
        <f>SUM(W261,W266,W271,W276,W281)</f>
        <v/>
      </c>
      <c r="X283" s="57">
        <f>SUM(X261,X266,X271,X276,X281)</f>
        <v/>
      </c>
      <c r="Y283" s="57">
        <f>SUM(Y261,Y266,Y271,Y276,Y281)</f>
        <v/>
      </c>
      <c r="Z283" s="57">
        <f>SUM(Z261,Z266,Z271,Z276,Z281)</f>
        <v/>
      </c>
      <c r="AA283" s="57">
        <f>+SUM(AA266,AA271,AA276,AA281)</f>
        <v/>
      </c>
      <c r="AB283" s="57">
        <f>+SUM(AB266,AB271,AB276,AB281)</f>
        <v/>
      </c>
      <c r="AC283" s="57">
        <f>+SUM(AC266,AC271,AC276,AC281)</f>
        <v/>
      </c>
      <c r="AD283" s="57">
        <f>+SUM(AD266,AD271,AD276,AD281)</f>
        <v/>
      </c>
      <c r="AE283" s="57">
        <f>+SUM(AE266,AE271,AE276,AE281)</f>
        <v/>
      </c>
      <c r="AF283" s="57">
        <f>+SUM(AF266,AF271,AF276,AF281)</f>
        <v/>
      </c>
      <c r="AG283" s="57">
        <f>+SUM(AG266,AG271,AG276,AG281)</f>
        <v/>
      </c>
      <c r="AH283" s="57">
        <f>+SUM(AH266,AH271,AH276,AH281)</f>
        <v/>
      </c>
      <c r="AI283" s="57">
        <f>+SUM(AI266,AI271,AI276,AI281)</f>
        <v/>
      </c>
      <c r="AJ283" s="57">
        <f>+SUM(AJ266,AJ271,AJ276,AJ281)</f>
        <v/>
      </c>
      <c r="AK283" s="57">
        <f>+SUM(AK266,AK271,AK276,AK281)</f>
        <v/>
      </c>
      <c r="AL283" s="57">
        <f>+SUM(AL266,AL271,AL276,AL281)</f>
        <v/>
      </c>
      <c r="AM283" s="57">
        <f>+SUM(AM266,AM271,AM276,AM281)</f>
        <v/>
      </c>
      <c r="AN283" s="57">
        <f>+SUM(AN266,AN271,AN276,AN281)</f>
        <v/>
      </c>
      <c r="AO283" s="57">
        <f>+SUM(AO266,AO271,AO276,AO281)</f>
        <v/>
      </c>
      <c r="AP283" s="57">
        <f>+SUM(AP266,AP271,AP276,AP281)</f>
        <v/>
      </c>
      <c r="AQ283" s="57">
        <f>+SUM(AQ266,AQ271,AQ276,AQ281)</f>
        <v/>
      </c>
      <c r="AR283" s="57">
        <f>+SUM(AR266,AR271,AR276,AR281)</f>
        <v/>
      </c>
      <c r="AS283" s="57">
        <f>+SUM(AS266,AS271,AS276,AS281)</f>
        <v/>
      </c>
      <c r="AT283" s="57">
        <f>+SUM(AT266,AT271,AT276,AT281)</f>
        <v/>
      </c>
      <c r="AU283" s="57">
        <f>+SUM(AU266,AU271,AU276,AU281)</f>
        <v/>
      </c>
      <c r="AV283" s="57">
        <f>+SUM(AV266,AV271,AV276,AV281)</f>
        <v/>
      </c>
      <c r="AW283" s="57">
        <f>+SUM(AW266,AW271,AW276,AW281)</f>
        <v/>
      </c>
      <c r="AX283" s="57">
        <f>+SUM(AX266,AX271,AX276,AX281)</f>
        <v/>
      </c>
      <c r="AY283" s="57">
        <f>+SUM(AY266,AY271,AY276,AY281)</f>
        <v/>
      </c>
      <c r="AZ283" s="57">
        <f>+SUM(AZ266,AZ271,AZ276,AZ281)</f>
        <v/>
      </c>
      <c r="BA283" s="57">
        <f>+SUM(BA266,BA271,BA276,BA281)</f>
        <v/>
      </c>
      <c r="BB283" s="57">
        <f>+SUM(BB266,BB271,BB276,BB281)</f>
        <v/>
      </c>
      <c r="BC283" s="57">
        <f>+SUM(BC266,BC271,BC276,BC281)</f>
        <v/>
      </c>
      <c r="BD283" s="57">
        <f>+SUM(BD266,BD271,BD276,BD281)</f>
        <v/>
      </c>
      <c r="BE283" s="57">
        <f>+SUM(BE266,BE271,BE276,BE281)</f>
        <v/>
      </c>
      <c r="BF283" s="57">
        <f>+SUM(BF266,BF271,BF276,BF281)</f>
        <v/>
      </c>
      <c r="BG283" s="57">
        <f>+SUM(BG266,BG271,BG276,BG281)</f>
        <v/>
      </c>
      <c r="BH283" s="57">
        <f>+SUM(BH266,BH271,BH276,BH281)</f>
        <v/>
      </c>
      <c r="BI283" s="57">
        <f>+SUM(BI266,BI271,BI276,BI281)</f>
        <v/>
      </c>
      <c r="BJ283" s="57">
        <f>+SUM(BJ266,BJ271,BJ276,BJ281)</f>
        <v/>
      </c>
      <c r="BK283" s="57">
        <f>+SUM(BK266,BK271,BK276,BK281)</f>
        <v/>
      </c>
      <c r="BL283" s="57">
        <f>+SUM(BL266,BL271,BL276,BL281)</f>
        <v/>
      </c>
      <c r="BM283" s="57">
        <f>+SUM(BM266,BM271,BM276,BM281)</f>
        <v/>
      </c>
      <c r="BN283" s="57">
        <f>+SUM(BN266,BN271,BN276,BN281)</f>
        <v/>
      </c>
      <c r="BO283" s="57">
        <f>+SUM(BO266,BO271,BO276,BO281)</f>
        <v/>
      </c>
      <c r="BP283" s="57">
        <f>+SUM(BP266,BP271,BP276,BP281)</f>
        <v/>
      </c>
      <c r="BQ283" s="57">
        <f>+SUM(BQ266,BQ271,BQ276,BQ281)</f>
        <v/>
      </c>
      <c r="BR283" s="57">
        <f>+SUM(BR266,BR271,BR276,BR281)</f>
        <v/>
      </c>
      <c r="BS283" s="57">
        <f>+SUM(BS266,BS271,BS276,BS281)</f>
        <v/>
      </c>
      <c r="BT283" s="57">
        <f>+SUM(BT266,BT271,BT276,BT281)</f>
        <v/>
      </c>
      <c r="BU283" s="57">
        <f>+SUM(BU266,BU271,BU276,BU281)</f>
        <v/>
      </c>
      <c r="BV283" s="57">
        <f>+SUM(BV266,BV271,BV276,BV281)</f>
        <v/>
      </c>
      <c r="BW283" s="57">
        <f>SUM(BW261,BW266,BW271,BW276,BW281)</f>
        <v/>
      </c>
      <c r="BX283" s="57">
        <f>SUM(BX261,BX266,BX271,BX276,BX281)</f>
        <v/>
      </c>
      <c r="BY283" s="57">
        <f>SUM(BY261,BY266,BY271,BY276,BY281)</f>
        <v/>
      </c>
      <c r="BZ283" s="57">
        <f>SUM(BZ261,BZ266,BZ271,BZ276,BZ281)</f>
        <v/>
      </c>
      <c r="CA283" s="57">
        <f>SUM(CA261,CA266,CA271,CA276,CA281)</f>
        <v/>
      </c>
      <c r="CB283" s="57">
        <f>SUM(CB261,CB266,CB271,CB276,CB281)</f>
        <v/>
      </c>
      <c r="CC283" s="57">
        <f>SUM(CC261,CC266,CC271,CC276,CC281)</f>
        <v/>
      </c>
      <c r="CD283" s="57">
        <f>SUM(CD261,CD266,CD271,CD276,CD281)</f>
        <v/>
      </c>
      <c r="CE283" s="57">
        <f>SUM(CE261,CE266,CE271,CE276,CE281)</f>
        <v/>
      </c>
      <c r="CF283" s="57">
        <f>SUM(CF261,CF266,CF271,CF276,CF281)</f>
        <v/>
      </c>
      <c r="CG283" s="57">
        <f>SUM(CG261,CG266,CG271,CG276,CG281)</f>
        <v/>
      </c>
      <c r="CH283" s="57">
        <f>SUM(CH261,CH266,CH271,CH276,CH281)</f>
        <v/>
      </c>
      <c r="CI283" s="57">
        <f>SUM(CI261,CI266,CI271,CI276,CI281)</f>
        <v/>
      </c>
      <c r="CJ283" s="57">
        <f>SUM(CJ261,CJ266,CJ271,CJ276,CJ281)</f>
        <v/>
      </c>
      <c r="CK283" s="57">
        <f>SUM(CK261,CK266,CK271,CK276,CK281)</f>
        <v/>
      </c>
      <c r="CL283" s="57">
        <f>SUM(CL261,CL266,CL271,CL276,CL281)</f>
        <v/>
      </c>
      <c r="CM283" s="57">
        <f>SUM(CM261,CM266,CM271,CM276,CM281)</f>
        <v/>
      </c>
      <c r="CN283" s="57">
        <f>SUM(CN261,CN266,CN271,CN276,CN281)</f>
        <v/>
      </c>
      <c r="CO283" s="57">
        <f>SUM(CO261,CO266,CO271,CO276,CO281)</f>
        <v/>
      </c>
      <c r="CP283" s="57">
        <f>SUM(CP261,CP266,CP271,CP276,CP281)</f>
        <v/>
      </c>
      <c r="CQ283" s="57">
        <f>SUM(CQ261,CQ266,CQ271,CQ276,CQ281)</f>
        <v/>
      </c>
      <c r="CR283" s="57">
        <f>SUM(CR261,CR266,CR271,CR276,CR281)</f>
        <v/>
      </c>
      <c r="CS283" s="57">
        <f>SUM(CS261,CS266,CS271,CS276,CS281)</f>
        <v/>
      </c>
      <c r="CT283" s="57">
        <f>SUM(CT261,CT266,CT271,CT276,CT281)</f>
        <v/>
      </c>
      <c r="CU283" s="57">
        <f>SUM(CU261,CU266,CU271,CU276,CU281)</f>
        <v/>
      </c>
      <c r="CV283" s="57">
        <f>SUM(CV261,CV266,CV271,CV276,CV281)</f>
        <v/>
      </c>
      <c r="CW283" s="57">
        <f>SUM(CW261,CW266,CW271,CW276,CW281)</f>
        <v/>
      </c>
      <c r="CX283" s="57">
        <f>SUM(CX261,CX266,CX271,CX276,CX281)</f>
        <v/>
      </c>
      <c r="CY283" s="57">
        <f>SUM(CY261,CY266,CY271,CY276,CY281)</f>
        <v/>
      </c>
      <c r="CZ283" s="57">
        <f>SUM(CZ261,CZ266,CZ271,CZ276,CZ281)</f>
        <v/>
      </c>
      <c r="DA283" s="57">
        <f>SUM(DA261,DA266,DA271,DA276,DA281)</f>
        <v/>
      </c>
      <c r="DB283" s="57">
        <f>SUM(DB261,DB266,DB271,DB276,DB281)</f>
        <v/>
      </c>
      <c r="DC283" s="57">
        <f>SUM(DC261,DC266,DC271,DC276,DC281)</f>
        <v/>
      </c>
      <c r="DD283" s="57">
        <f>SUM(DD261,DD266,DD271,DD276,DD281)</f>
        <v/>
      </c>
      <c r="DE283" s="57">
        <f>SUM(DE261,DE266,DE271,DE276,DE281)</f>
        <v/>
      </c>
      <c r="DF283" s="57">
        <f>SUM(DF261,DF266,DF271,DF276,DF281)</f>
        <v/>
      </c>
      <c r="DG283" s="57">
        <f>SUM(DG261,DG266,DG271,DG276,DG281)</f>
        <v/>
      </c>
      <c r="DH283" s="57">
        <f>SUM(DH261,DH266,DH271,DH276,DH281)</f>
        <v/>
      </c>
      <c r="DI283" s="57">
        <f>SUM(DI261,DI266,DI271,DI276,DI281)</f>
        <v/>
      </c>
      <c r="DJ283" s="57">
        <f>SUM(DJ261,DJ266,DJ271,DJ276,DJ281)</f>
        <v/>
      </c>
      <c r="DK283" s="57">
        <f>SUM(DK261,DK266,DK271,DK276,DK281)</f>
        <v/>
      </c>
      <c r="DL283" s="57">
        <f>SUM(DL261,DL266,DL271,DL276,DL281)</f>
        <v/>
      </c>
      <c r="DM283" s="57">
        <f>SUM(DM261,DM266,DM271,DM276,DM281)</f>
        <v/>
      </c>
      <c r="DN283" s="57">
        <f>SUM(DN261,DN266,DN271,DN276,DN281)</f>
        <v/>
      </c>
      <c r="DO283" s="57">
        <f>SUM(DO261,DO266,DO271,DO276,DO281)</f>
        <v/>
      </c>
      <c r="DP283" s="57">
        <f>SUM(DP261,DP266,DP271,DP276,DP281)</f>
        <v/>
      </c>
      <c r="DQ283" s="57">
        <f>SUM(DQ261,DQ266,DQ271,DQ276,DQ281)</f>
        <v/>
      </c>
      <c r="DR283" s="57">
        <f>SUM(DR261,DR266,DR271,DR276,DR281)</f>
        <v/>
      </c>
    </row>
    <row r="284" ht="15.75" customHeight="1">
      <c r="A284" s="72" t="n"/>
      <c r="B284" s="72" t="n"/>
      <c r="C284" s="72" t="n"/>
      <c r="D284" s="72" t="n"/>
      <c r="E284" s="110" t="n"/>
      <c r="F284" s="110" t="n"/>
      <c r="G284" s="110" t="n"/>
      <c r="H284" s="110" t="n"/>
      <c r="I284" s="110" t="n"/>
      <c r="J284" s="111" t="n"/>
      <c r="K284" s="111" t="n"/>
      <c r="L284" s="111" t="n"/>
      <c r="M284" s="111" t="n"/>
      <c r="N284" s="72" t="n"/>
      <c r="O284" s="111" t="n"/>
      <c r="P284" s="111" t="n"/>
      <c r="Q284" s="111" t="n"/>
      <c r="R284" s="111" t="n"/>
      <c r="S284" s="111" t="n"/>
      <c r="T284" s="111" t="n"/>
      <c r="U284" s="111" t="n"/>
      <c r="V284" s="111" t="n"/>
      <c r="W284" s="111" t="n"/>
      <c r="X284" s="111" t="n"/>
      <c r="Y284" s="111" t="n"/>
      <c r="Z284" s="111" t="n"/>
      <c r="AA284" s="111" t="n"/>
      <c r="AB284" s="111" t="n"/>
      <c r="AC284" s="111" t="n"/>
      <c r="AD284" s="111" t="n"/>
      <c r="AE284" s="111" t="n"/>
      <c r="AF284" s="111" t="n"/>
      <c r="AG284" s="111" t="n"/>
      <c r="AH284" s="111" t="n"/>
      <c r="AI284" s="111" t="n"/>
      <c r="AJ284" s="111" t="n"/>
      <c r="AK284" s="111" t="n"/>
      <c r="AL284" s="111" t="n"/>
      <c r="AM284" s="111" t="n"/>
      <c r="AN284" s="111" t="n"/>
      <c r="AO284" s="111" t="n"/>
      <c r="AP284" s="111" t="n"/>
      <c r="AQ284" s="111" t="n"/>
      <c r="AR284" s="111" t="n"/>
      <c r="AS284" s="111" t="n"/>
      <c r="AT284" s="111" t="n"/>
      <c r="AU284" s="111" t="n"/>
      <c r="AV284" s="111" t="n"/>
      <c r="AW284" s="111" t="n"/>
      <c r="AX284" s="111" t="n"/>
      <c r="AY284" s="111" t="n"/>
      <c r="AZ284" s="111" t="n"/>
      <c r="BA284" s="111" t="n"/>
      <c r="BB284" s="111" t="n"/>
      <c r="BC284" s="111" t="n"/>
      <c r="BD284" s="111" t="n"/>
      <c r="BE284" s="111" t="n"/>
      <c r="BF284" s="111" t="n"/>
      <c r="BG284" s="111" t="n"/>
      <c r="BH284" s="111" t="n"/>
      <c r="BI284" s="111" t="n"/>
      <c r="BJ284" s="111" t="n"/>
      <c r="BK284" s="110" t="n">
        <v>0</v>
      </c>
      <c r="BL284" s="110" t="n">
        <v>0</v>
      </c>
      <c r="BM284" s="110" t="n">
        <v>0</v>
      </c>
      <c r="BN284" s="110" t="n">
        <v>0</v>
      </c>
      <c r="BO284" s="110" t="n">
        <v>0</v>
      </c>
      <c r="BP284" s="110" t="n">
        <v>0</v>
      </c>
      <c r="BQ284" s="110" t="n">
        <v>19.47920375447845</v>
      </c>
      <c r="BR284" s="110" t="n">
        <v>-1.041592491043104</v>
      </c>
      <c r="BS284" s="110" t="n">
        <v>-9.062388736564657</v>
      </c>
      <c r="BT284" s="110" t="n">
        <v>-19.58318498208624</v>
      </c>
      <c r="BU284" s="110" t="n">
        <v>-9.853981227607761</v>
      </c>
      <c r="BV284" s="110" t="n">
        <v>20.42107252687069</v>
      </c>
      <c r="BW284" s="111" t="n"/>
      <c r="BX284" s="111" t="n"/>
      <c r="BY284" s="111" t="n"/>
      <c r="BZ284" s="111" t="n"/>
      <c r="CA284" s="111" t="n"/>
      <c r="CB284" s="111" t="n"/>
      <c r="CC284" s="111" t="n"/>
      <c r="CD284" s="111" t="n"/>
      <c r="CE284" s="111" t="n"/>
      <c r="CF284" s="111" t="n"/>
      <c r="CG284" s="111" t="n"/>
      <c r="CH284" s="111" t="n"/>
      <c r="CI284" s="111" t="n"/>
      <c r="CJ284" s="111" t="n"/>
      <c r="CK284" s="111" t="n"/>
      <c r="CL284" s="111" t="n"/>
      <c r="CM284" s="111" t="n"/>
      <c r="CN284" s="111" t="n"/>
      <c r="CO284" s="111" t="n"/>
      <c r="CP284" s="111" t="n"/>
      <c r="CQ284" s="111" t="n"/>
      <c r="CR284" s="111" t="n"/>
      <c r="CS284" s="111" t="n"/>
      <c r="CT284" s="111" t="n"/>
      <c r="CU284" s="111" t="n"/>
      <c r="CV284" s="111" t="n"/>
      <c r="CW284" s="111" t="n"/>
      <c r="CX284" s="111" t="n"/>
      <c r="CY284" s="111" t="n"/>
      <c r="CZ284" s="111" t="n"/>
      <c r="DA284" s="111" t="n"/>
      <c r="DB284" s="111" t="n"/>
      <c r="DC284" s="111" t="n"/>
      <c r="DD284" s="111" t="n"/>
      <c r="DE284" s="111" t="n"/>
      <c r="DF284" s="111" t="n"/>
      <c r="DG284" s="111" t="n"/>
      <c r="DH284" s="111" t="n"/>
      <c r="DI284" s="111" t="n"/>
      <c r="DJ284" s="111" t="n"/>
      <c r="DK284" s="111" t="n"/>
      <c r="DL284" s="111" t="n"/>
      <c r="DM284" s="111" t="n"/>
      <c r="DN284" s="111" t="n"/>
      <c r="DO284" s="111" t="n"/>
      <c r="DP284" s="111" t="n"/>
      <c r="DQ284" s="111" t="n"/>
      <c r="DR284" s="111" t="n"/>
      <c r="DS284" s="72" t="n"/>
      <c r="DT284" s="72" t="n"/>
      <c r="DU284" s="72" t="n"/>
      <c r="DV284" s="72" t="n"/>
      <c r="DW284" s="72" t="n"/>
      <c r="DX284" s="72" t="n"/>
    </row>
    <row r="285" ht="15.75" customHeight="1">
      <c r="B285" s="67" t="inlineStr">
        <is>
          <t>Other Revenue</t>
        </is>
      </c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  <c r="AA285" s="67" t="n"/>
      <c r="AB285" s="67" t="n"/>
      <c r="AC285" s="67" t="n"/>
      <c r="AD285" s="67" t="n"/>
      <c r="AE285" s="67" t="n"/>
      <c r="AF285" s="67" t="n"/>
      <c r="AG285" s="67" t="n"/>
      <c r="AH285" s="67" t="n"/>
      <c r="AI285" s="67" t="n"/>
      <c r="AJ285" s="67" t="n"/>
      <c r="AK285" s="67" t="n"/>
      <c r="AL285" s="67" t="n"/>
      <c r="AM285" s="67" t="n"/>
      <c r="AN285" s="67" t="n"/>
      <c r="AO285" s="67" t="n"/>
      <c r="AP285" s="67" t="n"/>
      <c r="AQ285" s="67" t="n"/>
      <c r="AR285" s="67" t="n"/>
      <c r="AS285" s="67" t="n"/>
      <c r="AT285" s="67" t="n"/>
      <c r="AU285" s="67" t="n"/>
      <c r="AV285" s="67" t="n"/>
      <c r="AW285" s="67" t="n"/>
      <c r="AX285" s="67" t="n"/>
      <c r="AY285" s="67" t="n"/>
      <c r="AZ285" s="67" t="n"/>
      <c r="BA285" s="67" t="n"/>
      <c r="BB285" s="67" t="n"/>
      <c r="BC285" s="67" t="n"/>
      <c r="BD285" s="67" t="n"/>
      <c r="BE285" s="67" t="n"/>
      <c r="BF285" s="67" t="n"/>
      <c r="BG285" s="67" t="n"/>
      <c r="BH285" s="67" t="n"/>
      <c r="BI285" s="67" t="n"/>
      <c r="BJ285" s="67" t="n"/>
      <c r="BK285" s="67" t="n"/>
      <c r="BL285" s="67" t="n"/>
      <c r="BM285" s="67" t="n"/>
      <c r="BN285" s="67" t="n"/>
      <c r="BO285" s="67" t="n"/>
      <c r="BP285" s="67" t="n"/>
      <c r="BQ285" s="67" t="n"/>
      <c r="BR285" s="67" t="n"/>
      <c r="BS285" s="67" t="n"/>
      <c r="BT285" s="67" t="n"/>
      <c r="BU285" s="67" t="n"/>
      <c r="BV285" s="67" t="n"/>
      <c r="BW285" s="67" t="n"/>
      <c r="BX285" s="67" t="n"/>
      <c r="BY285" s="67" t="n"/>
      <c r="BZ285" s="67" t="n"/>
      <c r="CA285" s="67" t="n"/>
      <c r="CB285" s="67" t="n"/>
      <c r="CC285" s="67" t="n"/>
      <c r="CD285" s="67" t="n"/>
      <c r="CE285" s="67" t="n"/>
      <c r="CF285" s="67" t="n"/>
      <c r="CG285" s="67" t="n"/>
      <c r="CH285" s="67" t="n"/>
      <c r="CI285" s="67" t="n"/>
      <c r="CJ285" s="67" t="n"/>
      <c r="CK285" s="67" t="n"/>
      <c r="CL285" s="67" t="n"/>
      <c r="CM285" s="67" t="n"/>
      <c r="CN285" s="67" t="n"/>
      <c r="CO285" s="67" t="n"/>
      <c r="CP285" s="67" t="n"/>
      <c r="CQ285" s="67" t="n"/>
      <c r="CR285" s="67" t="n"/>
      <c r="CS285" s="67" t="n"/>
      <c r="CT285" s="67" t="n"/>
      <c r="CU285" s="67" t="n"/>
      <c r="CV285" s="67" t="n"/>
      <c r="CW285" s="67" t="n"/>
      <c r="CX285" s="67" t="n"/>
      <c r="CY285" s="67" t="n"/>
      <c r="CZ285" s="67" t="n"/>
      <c r="DA285" s="67" t="n"/>
      <c r="DB285" s="67" t="n"/>
      <c r="DC285" s="67" t="n"/>
      <c r="DD285" s="67" t="n"/>
      <c r="DE285" s="67" t="n"/>
      <c r="DF285" s="67" t="n"/>
      <c r="DG285" s="67" t="n"/>
      <c r="DH285" s="67" t="n"/>
      <c r="DI285" s="67" t="n"/>
      <c r="DJ285" s="67" t="n"/>
      <c r="DK285" s="67" t="n"/>
      <c r="DL285" s="67" t="n"/>
      <c r="DM285" s="67" t="n"/>
      <c r="DN285" s="67" t="n"/>
      <c r="DO285" s="67" t="n"/>
      <c r="DP285" s="67" t="n"/>
      <c r="DQ285" s="67" t="n"/>
      <c r="DR285" s="67" t="n"/>
      <c r="DS285" s="67" t="n"/>
      <c r="DT285" s="67" t="n"/>
      <c r="DU285" s="67" t="n"/>
      <c r="DV285" s="67" t="n"/>
      <c r="DW285" s="67" t="n"/>
    </row>
    <row r="286" ht="4.5" customHeight="1"/>
    <row r="287" ht="15.75" customHeight="1">
      <c r="B287" s="56" t="inlineStr">
        <is>
          <t>Total Other Revenue</t>
        </is>
      </c>
      <c r="C287" s="56" t="n"/>
      <c r="E287" s="112" t="n"/>
      <c r="F287" s="57">
        <f>+SUMIFS($O287:$DR287,$O$7:$DR$7,F$7)</f>
        <v/>
      </c>
      <c r="G287" s="57">
        <f>+SUMIFS($O287:$DR287,$O$7:$DR$7,G$7)</f>
        <v/>
      </c>
      <c r="H287" s="57">
        <f>+SUMIFS($O287:$DR287,$O$7:$DR$7,H$7)</f>
        <v/>
      </c>
      <c r="I287" s="57">
        <f>+SUMIFS($O287:$DR287,$O$7:$DR$7,I$7)</f>
        <v/>
      </c>
      <c r="J287" s="57">
        <f>+SUMIFS($O287:$DR287,$O$7:$DR$7,J$7)</f>
        <v/>
      </c>
      <c r="K287" s="57">
        <f>+SUMIFS($O287:$DR287,$O$7:$DR$7,K$7)</f>
        <v/>
      </c>
      <c r="L287" s="57">
        <f>+SUMIFS($O287:$DR287,$O$7:$DR$7,L$7)</f>
        <v/>
      </c>
      <c r="M287" s="57">
        <f>+SUMIFS($O287:$DR287,$O$7:$DR$7,M$7)</f>
        <v/>
      </c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3" t="n">
        <v>1.75</v>
      </c>
      <c r="AB287" s="113" t="n">
        <v>1.75</v>
      </c>
      <c r="AC287" s="113" t="n">
        <v>1.75</v>
      </c>
      <c r="AD287" s="113" t="n">
        <v>1.75</v>
      </c>
      <c r="AE287" s="113" t="n">
        <v>1.75</v>
      </c>
      <c r="AF287" s="113" t="n">
        <v>1.75</v>
      </c>
      <c r="AG287" s="113" t="n">
        <v>1.75</v>
      </c>
      <c r="AH287" s="113" t="n">
        <v>1.75</v>
      </c>
      <c r="AI287" s="113" t="n">
        <v>2.922</v>
      </c>
      <c r="AJ287" s="113" t="n">
        <v>8.231</v>
      </c>
      <c r="AK287" s="113" t="n">
        <v>1.75</v>
      </c>
      <c r="AL287" s="113" t="n">
        <v>7.487</v>
      </c>
      <c r="AM287" s="113" t="n">
        <v>2.46512</v>
      </c>
      <c r="AN287" s="113" t="n">
        <v>2.466</v>
      </c>
      <c r="AO287" s="113" t="n">
        <v>9.53552</v>
      </c>
      <c r="AP287" s="113" t="n">
        <v>3.29663</v>
      </c>
      <c r="AQ287" s="113" t="n">
        <v>2.466</v>
      </c>
      <c r="AR287" s="113" t="n">
        <v>16.51975</v>
      </c>
      <c r="AS287" s="113" t="n">
        <v>3.34179</v>
      </c>
      <c r="AT287" s="113" t="n">
        <v>2.466</v>
      </c>
      <c r="AU287" s="113" t="n">
        <v>12.663</v>
      </c>
      <c r="AV287" s="113" t="n">
        <v>2.466</v>
      </c>
      <c r="AW287" s="113" t="n">
        <v>2.466</v>
      </c>
      <c r="AX287" s="113" t="n">
        <v>5.95084</v>
      </c>
      <c r="AY287" s="113" t="n">
        <v>2.466</v>
      </c>
      <c r="AZ287" s="113" t="n">
        <v>2.466</v>
      </c>
      <c r="BA287" s="113" t="n">
        <v>11.48221</v>
      </c>
      <c r="BB287" s="113" t="n">
        <v>10.71914</v>
      </c>
      <c r="BC287" s="113" t="n">
        <v>10.88324</v>
      </c>
      <c r="BD287" s="113" t="n">
        <v>2.73574</v>
      </c>
      <c r="BE287" s="113" t="n">
        <v>5.94464</v>
      </c>
      <c r="BF287" s="113" t="n">
        <v>15.229</v>
      </c>
      <c r="BG287" s="113" t="n">
        <v>2.908</v>
      </c>
      <c r="BH287" s="113" t="n">
        <v>28.28978</v>
      </c>
      <c r="BI287" s="113" t="n">
        <v>9.366</v>
      </c>
      <c r="BJ287" s="113" t="n">
        <v>22.45968</v>
      </c>
      <c r="BK287" s="113" t="n">
        <v>18.802</v>
      </c>
      <c r="BL287" s="113" t="n">
        <v>2.466</v>
      </c>
      <c r="BM287" s="113" t="n">
        <v>8.463200000000001</v>
      </c>
      <c r="BN287" s="113" t="n">
        <v>8.463199999999999</v>
      </c>
      <c r="BO287" s="113" t="n">
        <v>8.463200000000001</v>
      </c>
      <c r="BP287" s="113" t="n">
        <v>8.463200000000001</v>
      </c>
      <c r="BQ287" s="113" t="n">
        <v>8.463199999999999</v>
      </c>
      <c r="BR287" s="113" t="n">
        <v>8.463200000000001</v>
      </c>
      <c r="BS287" s="113" t="n">
        <v>8.463199999999999</v>
      </c>
      <c r="BT287" s="113" t="n">
        <v>8.463199999999999</v>
      </c>
      <c r="BU287" s="113" t="n">
        <v>8.463199999999995</v>
      </c>
      <c r="BV287" s="113" t="n">
        <v>8.463199999999988</v>
      </c>
      <c r="BW287" s="114">
        <f>+SUMIFS(Revenue_Assumptions!$E$58:$M$58,Revenue_Assumptions!$E$7:$M$7,BW$7)/12</f>
        <v/>
      </c>
      <c r="BX287" s="114">
        <f>+SUMIFS(Revenue_Assumptions!$E$58:$M$58,Revenue_Assumptions!$E$7:$M$7,BX$7)/12</f>
        <v/>
      </c>
      <c r="BY287" s="114">
        <f>+SUMIFS(Revenue_Assumptions!$E$58:$M$58,Revenue_Assumptions!$E$7:$M$7,BY$7)/12</f>
        <v/>
      </c>
      <c r="BZ287" s="114">
        <f>+SUMIFS(Revenue_Assumptions!$E$58:$M$58,Revenue_Assumptions!$E$7:$M$7,BZ$7)/12</f>
        <v/>
      </c>
      <c r="CA287" s="114">
        <f>+SUMIFS(Revenue_Assumptions!$E$58:$M$58,Revenue_Assumptions!$E$7:$M$7,CA$7)/12</f>
        <v/>
      </c>
      <c r="CB287" s="114">
        <f>+SUMIFS(Revenue_Assumptions!$E$58:$M$58,Revenue_Assumptions!$E$7:$M$7,CB$7)/12</f>
        <v/>
      </c>
      <c r="CC287" s="114">
        <f>+SUMIFS(Revenue_Assumptions!$E$58:$M$58,Revenue_Assumptions!$E$7:$M$7,CC$7)/12</f>
        <v/>
      </c>
      <c r="CD287" s="114">
        <f>+SUMIFS(Revenue_Assumptions!$E$58:$M$58,Revenue_Assumptions!$E$7:$M$7,CD$7)/12</f>
        <v/>
      </c>
      <c r="CE287" s="114">
        <f>+SUMIFS(Revenue_Assumptions!$E$58:$M$58,Revenue_Assumptions!$E$7:$M$7,CE$7)/12</f>
        <v/>
      </c>
      <c r="CF287" s="114">
        <f>+SUMIFS(Revenue_Assumptions!$E$58:$M$58,Revenue_Assumptions!$E$7:$M$7,CF$7)/12</f>
        <v/>
      </c>
      <c r="CG287" s="114">
        <f>+SUMIFS(Revenue_Assumptions!$E$58:$M$58,Revenue_Assumptions!$E$7:$M$7,CG$7)/12</f>
        <v/>
      </c>
      <c r="CH287" s="114">
        <f>+SUMIFS(Revenue_Assumptions!$E$58:$M$58,Revenue_Assumptions!$E$7:$M$7,CH$7)/12</f>
        <v/>
      </c>
      <c r="CI287" s="114">
        <f>+SUMIFS(Revenue_Assumptions!$E$58:$M$58,Revenue_Assumptions!$E$7:$M$7,CI$7)/12</f>
        <v/>
      </c>
      <c r="CJ287" s="114">
        <f>+SUMIFS(Revenue_Assumptions!$E$58:$M$58,Revenue_Assumptions!$E$7:$M$7,CJ$7)/12</f>
        <v/>
      </c>
      <c r="CK287" s="114">
        <f>+SUMIFS(Revenue_Assumptions!$E$58:$M$58,Revenue_Assumptions!$E$7:$M$7,CK$7)/12</f>
        <v/>
      </c>
      <c r="CL287" s="114">
        <f>+SUMIFS(Revenue_Assumptions!$E$58:$M$58,Revenue_Assumptions!$E$7:$M$7,CL$7)/12</f>
        <v/>
      </c>
      <c r="CM287" s="114">
        <f>+SUMIFS(Revenue_Assumptions!$E$58:$M$58,Revenue_Assumptions!$E$7:$M$7,CM$7)/12</f>
        <v/>
      </c>
      <c r="CN287" s="114">
        <f>+SUMIFS(Revenue_Assumptions!$E$58:$M$58,Revenue_Assumptions!$E$7:$M$7,CN$7)/12</f>
        <v/>
      </c>
      <c r="CO287" s="114">
        <f>+SUMIFS(Revenue_Assumptions!$E$58:$M$58,Revenue_Assumptions!$E$7:$M$7,CO$7)/12</f>
        <v/>
      </c>
      <c r="CP287" s="114">
        <f>+SUMIFS(Revenue_Assumptions!$E$58:$M$58,Revenue_Assumptions!$E$7:$M$7,CP$7)/12</f>
        <v/>
      </c>
      <c r="CQ287" s="114">
        <f>+SUMIFS(Revenue_Assumptions!$E$58:$M$58,Revenue_Assumptions!$E$7:$M$7,CQ$7)/12</f>
        <v/>
      </c>
      <c r="CR287" s="114">
        <f>+SUMIFS(Revenue_Assumptions!$E$58:$M$58,Revenue_Assumptions!$E$7:$M$7,CR$7)/12</f>
        <v/>
      </c>
      <c r="CS287" s="114">
        <f>+SUMIFS(Revenue_Assumptions!$E$58:$M$58,Revenue_Assumptions!$E$7:$M$7,CS$7)/12</f>
        <v/>
      </c>
      <c r="CT287" s="114">
        <f>+SUMIFS(Revenue_Assumptions!$E$58:$M$58,Revenue_Assumptions!$E$7:$M$7,CT$7)/12</f>
        <v/>
      </c>
      <c r="CU287" s="114">
        <f>+SUMIFS(Revenue_Assumptions!$E$58:$M$58,Revenue_Assumptions!$E$7:$M$7,CU$7)/12</f>
        <v/>
      </c>
      <c r="CV287" s="114">
        <f>+SUMIFS(Revenue_Assumptions!$E$58:$M$58,Revenue_Assumptions!$E$7:$M$7,CV$7)/12</f>
        <v/>
      </c>
      <c r="CW287" s="114">
        <f>+SUMIFS(Revenue_Assumptions!$E$58:$M$58,Revenue_Assumptions!$E$7:$M$7,CW$7)/12</f>
        <v/>
      </c>
      <c r="CX287" s="114">
        <f>+SUMIFS(Revenue_Assumptions!$E$58:$M$58,Revenue_Assumptions!$E$7:$M$7,CX$7)/12</f>
        <v/>
      </c>
      <c r="CY287" s="114">
        <f>+SUMIFS(Revenue_Assumptions!$E$58:$M$58,Revenue_Assumptions!$E$7:$M$7,CY$7)/12</f>
        <v/>
      </c>
      <c r="CZ287" s="114">
        <f>+SUMIFS(Revenue_Assumptions!$E$58:$M$58,Revenue_Assumptions!$E$7:$M$7,CZ$7)/12</f>
        <v/>
      </c>
      <c r="DA287" s="114">
        <f>+SUMIFS(Revenue_Assumptions!$E$58:$M$58,Revenue_Assumptions!$E$7:$M$7,DA$7)/12</f>
        <v/>
      </c>
      <c r="DB287" s="114">
        <f>+SUMIFS(Revenue_Assumptions!$E$58:$M$58,Revenue_Assumptions!$E$7:$M$7,DB$7)/12</f>
        <v/>
      </c>
      <c r="DC287" s="114">
        <f>+SUMIFS(Revenue_Assumptions!$E$58:$M$58,Revenue_Assumptions!$E$7:$M$7,DC$7)/12</f>
        <v/>
      </c>
      <c r="DD287" s="114">
        <f>+SUMIFS(Revenue_Assumptions!$E$58:$M$58,Revenue_Assumptions!$E$7:$M$7,DD$7)/12</f>
        <v/>
      </c>
      <c r="DE287" s="114">
        <f>+SUMIFS(Revenue_Assumptions!$E$58:$M$58,Revenue_Assumptions!$E$7:$M$7,DE$7)/12</f>
        <v/>
      </c>
      <c r="DF287" s="114">
        <f>+SUMIFS(Revenue_Assumptions!$E$58:$M$58,Revenue_Assumptions!$E$7:$M$7,DF$7)/12</f>
        <v/>
      </c>
      <c r="DG287" s="114">
        <f>+SUMIFS(Revenue_Assumptions!$E$58:$M$58,Revenue_Assumptions!$E$7:$M$7,DG$7)/12</f>
        <v/>
      </c>
      <c r="DH287" s="114">
        <f>+SUMIFS(Revenue_Assumptions!$E$58:$M$58,Revenue_Assumptions!$E$7:$M$7,DH$7)/12</f>
        <v/>
      </c>
      <c r="DI287" s="114">
        <f>+SUMIFS(Revenue_Assumptions!$E$58:$M$58,Revenue_Assumptions!$E$7:$M$7,DI$7)/12</f>
        <v/>
      </c>
      <c r="DJ287" s="114">
        <f>+SUMIFS(Revenue_Assumptions!$E$58:$M$58,Revenue_Assumptions!$E$7:$M$7,DJ$7)/12</f>
        <v/>
      </c>
      <c r="DK287" s="114">
        <f>+SUMIFS(Revenue_Assumptions!$E$58:$M$58,Revenue_Assumptions!$E$7:$M$7,DK$7)/12</f>
        <v/>
      </c>
      <c r="DL287" s="114">
        <f>+SUMIFS(Revenue_Assumptions!$E$58:$M$58,Revenue_Assumptions!$E$7:$M$7,DL$7)/12</f>
        <v/>
      </c>
      <c r="DM287" s="114">
        <f>+SUMIFS(Revenue_Assumptions!$E$58:$M$58,Revenue_Assumptions!$E$7:$M$7,DM$7)/12</f>
        <v/>
      </c>
      <c r="DN287" s="114">
        <f>+SUMIFS(Revenue_Assumptions!$E$58:$M$58,Revenue_Assumptions!$E$7:$M$7,DN$7)/12</f>
        <v/>
      </c>
      <c r="DO287" s="114">
        <f>+SUMIFS(Revenue_Assumptions!$E$58:$M$58,Revenue_Assumptions!$E$7:$M$7,DO$7)/12</f>
        <v/>
      </c>
      <c r="DP287" s="114">
        <f>+SUMIFS(Revenue_Assumptions!$E$58:$M$58,Revenue_Assumptions!$E$7:$M$7,DP$7)/12</f>
        <v/>
      </c>
      <c r="DQ287" s="114">
        <f>+SUMIFS(Revenue_Assumptions!$E$58:$M$58,Revenue_Assumptions!$E$7:$M$7,DQ$7)/12</f>
        <v/>
      </c>
      <c r="DR287" s="114">
        <f>+SUMIFS(Revenue_Assumptions!$E$58:$M$58,Revenue_Assumptions!$E$7:$M$7,DR$7)/12</f>
        <v/>
      </c>
    </row>
    <row r="288" ht="15.75" customHeight="1"/>
    <row r="289" ht="15.75" customHeight="1">
      <c r="B289" s="66" t="inlineStr">
        <is>
          <t>Note: (1) Shows forecasted licensing revenue in 2022, and contracted licensing revenue for remainer of projection period</t>
        </is>
      </c>
      <c r="BT289" s="54" t="n"/>
      <c r="BU289" s="54" t="n"/>
      <c r="BV289" s="54" t="n"/>
    </row>
  </sheetData>
  <mergeCells count="1">
    <mergeCell ref="DT8:DW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S308"/>
  <sheetViews>
    <sheetView showGridLines="0" workbookViewId="0">
      <pane xSplit="4" ySplit="9" topLeftCell="E286" activePane="bottomRight" state="frozen"/>
      <selection pane="topRight" activeCell="E1" sqref="E1"/>
      <selection pane="bottomLeft" activeCell="A10" sqref="A10"/>
      <selection pane="bottomRight" activeCell="E10" sqref="E10"/>
    </sheetView>
  </sheetViews>
  <sheetFormatPr baseColWidth="8" defaultColWidth="14.42578125" defaultRowHeight="15" customHeight="1" outlineLevelRow="1"/>
  <cols>
    <col width="2.5703125" customWidth="1" min="1" max="1"/>
    <col width="25.5703125" customWidth="1" min="2" max="2"/>
    <col width="10.5703125" customWidth="1" min="3" max="3"/>
    <col width="2.5703125" customWidth="1" min="4" max="5"/>
    <col width="12.5703125" customWidth="1" min="6" max="13"/>
    <col width="2.5703125" customWidth="1" min="14" max="14"/>
    <col hidden="1" width="2.5703125" customWidth="1" min="15" max="26"/>
    <col hidden="1" outlineLevel="1" width="12.5703125" customWidth="1" min="27" max="122"/>
    <col collapsed="1" width="2.5703125" customWidth="1" min="123" max="123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  <c r="DS2" s="32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  <c r="DS3" s="32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32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  <c r="DS5" s="32" t="n"/>
    </row>
    <row r="6" ht="4.5" customHeight="1"/>
    <row r="7">
      <c r="B7" s="34" t="n"/>
      <c r="C7" s="34" t="n"/>
      <c r="D7" s="34" t="n"/>
      <c r="E7" s="35" t="n"/>
      <c r="F7" s="36" t="n">
        <v>2019</v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>
        <f>+YEAR(AA8)</f>
        <v/>
      </c>
      <c r="AB7" s="36">
        <f>+YEAR(AB8)</f>
        <v/>
      </c>
      <c r="AC7" s="36">
        <f>+YEAR(AC8)</f>
        <v/>
      </c>
      <c r="AD7" s="36">
        <f>+YEAR(AD8)</f>
        <v/>
      </c>
      <c r="AE7" s="36">
        <f>+YEAR(AE8)</f>
        <v/>
      </c>
      <c r="AF7" s="36">
        <f>+YEAR(AF8)</f>
        <v/>
      </c>
      <c r="AG7" s="36">
        <f>+YEAR(AG8)</f>
        <v/>
      </c>
      <c r="AH7" s="36">
        <f>+YEAR(AH8)</f>
        <v/>
      </c>
      <c r="AI7" s="36">
        <f>+YEAR(AI8)</f>
        <v/>
      </c>
      <c r="AJ7" s="36">
        <f>+YEAR(AJ8)</f>
        <v/>
      </c>
      <c r="AK7" s="36">
        <f>+YEAR(AK8)</f>
        <v/>
      </c>
      <c r="AL7" s="36">
        <f>+YEAR(AL8)</f>
        <v/>
      </c>
      <c r="AM7" s="36">
        <f>+YEAR(AM8)</f>
        <v/>
      </c>
      <c r="AN7" s="36">
        <f>+YEAR(AN8)</f>
        <v/>
      </c>
      <c r="AO7" s="36">
        <f>+YEAR(AO8)</f>
        <v/>
      </c>
      <c r="AP7" s="36">
        <f>+YEAR(AP8)</f>
        <v/>
      </c>
      <c r="AQ7" s="36">
        <f>+YEAR(AQ8)</f>
        <v/>
      </c>
      <c r="AR7" s="36">
        <f>+YEAR(AR8)</f>
        <v/>
      </c>
      <c r="AS7" s="36">
        <f>+YEAR(AS8)</f>
        <v/>
      </c>
      <c r="AT7" s="36">
        <f>+YEAR(AT8)</f>
        <v/>
      </c>
      <c r="AU7" s="36">
        <f>+YEAR(AU8)</f>
        <v/>
      </c>
      <c r="AV7" s="36">
        <f>+YEAR(AV8)</f>
        <v/>
      </c>
      <c r="AW7" s="36">
        <f>+YEAR(AW8)</f>
        <v/>
      </c>
      <c r="AX7" s="36">
        <f>+YEAR(AX8)</f>
        <v/>
      </c>
      <c r="AY7" s="36">
        <f>+YEAR(AY8)</f>
        <v/>
      </c>
      <c r="AZ7" s="36">
        <f>+YEAR(AZ8)</f>
        <v/>
      </c>
      <c r="BA7" s="36">
        <f>+YEAR(BA8)</f>
        <v/>
      </c>
      <c r="BB7" s="36">
        <f>+YEAR(BB8)</f>
        <v/>
      </c>
      <c r="BC7" s="36">
        <f>+YEAR(BC8)</f>
        <v/>
      </c>
      <c r="BD7" s="36">
        <f>+YEAR(BD8)</f>
        <v/>
      </c>
      <c r="BE7" s="36">
        <f>+YEAR(BE8)</f>
        <v/>
      </c>
      <c r="BF7" s="36">
        <f>+YEAR(BF8)</f>
        <v/>
      </c>
      <c r="BG7" s="36">
        <f>+YEAR(BG8)</f>
        <v/>
      </c>
      <c r="BH7" s="36">
        <f>+YEAR(BH8)</f>
        <v/>
      </c>
      <c r="BI7" s="36">
        <f>+YEAR(BI8)</f>
        <v/>
      </c>
      <c r="BJ7" s="36">
        <f>+YEAR(BJ8)</f>
        <v/>
      </c>
      <c r="BK7" s="36">
        <f>+YEAR(BK8)</f>
        <v/>
      </c>
      <c r="BL7" s="36">
        <f>+YEAR(BL8)</f>
        <v/>
      </c>
      <c r="BM7" s="36">
        <f>+YEAR(BM8)</f>
        <v/>
      </c>
      <c r="BN7" s="36">
        <f>+YEAR(BN8)</f>
        <v/>
      </c>
      <c r="BO7" s="36">
        <f>+YEAR(BO8)</f>
        <v/>
      </c>
      <c r="BP7" s="36">
        <f>+YEAR(BP8)</f>
        <v/>
      </c>
      <c r="BQ7" s="36">
        <f>+YEAR(BQ8)</f>
        <v/>
      </c>
      <c r="BR7" s="36">
        <f>+YEAR(BR8)</f>
        <v/>
      </c>
      <c r="BS7" s="36">
        <f>+YEAR(BS8)</f>
        <v/>
      </c>
      <c r="BT7" s="36">
        <f>+YEAR(BT8)</f>
        <v/>
      </c>
      <c r="BU7" s="36">
        <f>+YEAR(BU8)</f>
        <v/>
      </c>
      <c r="BV7" s="36">
        <f>+YEAR(BV8)</f>
        <v/>
      </c>
      <c r="BW7" s="36">
        <f>+YEAR(BW8)</f>
        <v/>
      </c>
      <c r="BX7" s="36">
        <f>+YEAR(BX8)</f>
        <v/>
      </c>
      <c r="BY7" s="36">
        <f>+YEAR(BY8)</f>
        <v/>
      </c>
      <c r="BZ7" s="36">
        <f>+YEAR(BZ8)</f>
        <v/>
      </c>
      <c r="CA7" s="36">
        <f>+YEAR(CA8)</f>
        <v/>
      </c>
      <c r="CB7" s="36">
        <f>+YEAR(CB8)</f>
        <v/>
      </c>
      <c r="CC7" s="36">
        <f>+YEAR(CC8)</f>
        <v/>
      </c>
      <c r="CD7" s="36">
        <f>+YEAR(CD8)</f>
        <v/>
      </c>
      <c r="CE7" s="36">
        <f>+YEAR(CE8)</f>
        <v/>
      </c>
      <c r="CF7" s="36">
        <f>+YEAR(CF8)</f>
        <v/>
      </c>
      <c r="CG7" s="36">
        <f>+YEAR(CG8)</f>
        <v/>
      </c>
      <c r="CH7" s="36">
        <f>+YEAR(CH8)</f>
        <v/>
      </c>
      <c r="CI7" s="36">
        <f>+YEAR(CI8)</f>
        <v/>
      </c>
      <c r="CJ7" s="36">
        <f>+YEAR(CJ8)</f>
        <v/>
      </c>
      <c r="CK7" s="36">
        <f>+YEAR(CK8)</f>
        <v/>
      </c>
      <c r="CL7" s="36">
        <f>+YEAR(CL8)</f>
        <v/>
      </c>
      <c r="CM7" s="36">
        <f>+YEAR(CM8)</f>
        <v/>
      </c>
      <c r="CN7" s="36">
        <f>+YEAR(CN8)</f>
        <v/>
      </c>
      <c r="CO7" s="36">
        <f>+YEAR(CO8)</f>
        <v/>
      </c>
      <c r="CP7" s="36">
        <f>+YEAR(CP8)</f>
        <v/>
      </c>
      <c r="CQ7" s="36">
        <f>+YEAR(CQ8)</f>
        <v/>
      </c>
      <c r="CR7" s="36">
        <f>+YEAR(CR8)</f>
        <v/>
      </c>
      <c r="CS7" s="36">
        <f>+YEAR(CS8)</f>
        <v/>
      </c>
      <c r="CT7" s="36">
        <f>+YEAR(CT8)</f>
        <v/>
      </c>
      <c r="CU7" s="36">
        <f>+YEAR(CU8)</f>
        <v/>
      </c>
      <c r="CV7" s="36">
        <f>+YEAR(CV8)</f>
        <v/>
      </c>
      <c r="CW7" s="36">
        <f>+YEAR(CW8)</f>
        <v/>
      </c>
      <c r="CX7" s="36">
        <f>+YEAR(CX8)</f>
        <v/>
      </c>
      <c r="CY7" s="36">
        <f>+YEAR(CY8)</f>
        <v/>
      </c>
      <c r="CZ7" s="36">
        <f>+YEAR(CZ8)</f>
        <v/>
      </c>
      <c r="DA7" s="36">
        <f>+YEAR(DA8)</f>
        <v/>
      </c>
      <c r="DB7" s="36">
        <f>+YEAR(DB8)</f>
        <v/>
      </c>
      <c r="DC7" s="36">
        <f>+YEAR(DC8)</f>
        <v/>
      </c>
      <c r="DD7" s="36">
        <f>+YEAR(DD8)</f>
        <v/>
      </c>
      <c r="DE7" s="36">
        <f>+YEAR(DE8)</f>
        <v/>
      </c>
      <c r="DF7" s="36">
        <f>+YEAR(DF8)</f>
        <v/>
      </c>
      <c r="DG7" s="36">
        <f>+YEAR(DG8)</f>
        <v/>
      </c>
      <c r="DH7" s="36">
        <f>+YEAR(DH8)</f>
        <v/>
      </c>
      <c r="DI7" s="36">
        <f>+YEAR(DI8)</f>
        <v/>
      </c>
      <c r="DJ7" s="36">
        <f>+YEAR(DJ8)</f>
        <v/>
      </c>
      <c r="DK7" s="36">
        <f>+YEAR(DK8)</f>
        <v/>
      </c>
      <c r="DL7" s="36">
        <f>+YEAR(DL8)</f>
        <v/>
      </c>
      <c r="DM7" s="36">
        <f>+YEAR(DM8)</f>
        <v/>
      </c>
      <c r="DN7" s="36">
        <f>+YEAR(DN8)</f>
        <v/>
      </c>
      <c r="DO7" s="36">
        <f>+YEAR(DO8)</f>
        <v/>
      </c>
      <c r="DP7" s="36">
        <f>+YEAR(DP8)</f>
        <v/>
      </c>
      <c r="DQ7" s="36">
        <f>+YEAR(DQ8)</f>
        <v/>
      </c>
      <c r="DR7" s="36">
        <f>+YEAR(DR8)</f>
        <v/>
      </c>
    </row>
    <row r="8">
      <c r="B8" s="34" t="n"/>
      <c r="C8" s="34" t="n"/>
      <c r="D8" s="34" t="n"/>
      <c r="E8" s="38" t="n"/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>
        <v>43496</v>
      </c>
      <c r="AB8" s="39">
        <f>+EOMONTH(AA8,1)</f>
        <v/>
      </c>
      <c r="AC8" s="39">
        <f>+EOMONTH(AB8,1)</f>
        <v/>
      </c>
      <c r="AD8" s="39">
        <f>+EOMONTH(AC8,1)</f>
        <v/>
      </c>
      <c r="AE8" s="39">
        <f>+EOMONTH(AD8,1)</f>
        <v/>
      </c>
      <c r="AF8" s="39">
        <f>+EOMONTH(AE8,1)</f>
        <v/>
      </c>
      <c r="AG8" s="39">
        <f>+EOMONTH(AF8,1)</f>
        <v/>
      </c>
      <c r="AH8" s="39">
        <f>+EOMONTH(AG8,1)</f>
        <v/>
      </c>
      <c r="AI8" s="39">
        <f>+EOMONTH(AH8,1)</f>
        <v/>
      </c>
      <c r="AJ8" s="39">
        <f>+EOMONTH(AI8,1)</f>
        <v/>
      </c>
      <c r="AK8" s="39">
        <f>+EOMONTH(AJ8,1)</f>
        <v/>
      </c>
      <c r="AL8" s="39">
        <f>+EOMONTH(AK8,1)</f>
        <v/>
      </c>
      <c r="AM8" s="39">
        <f>+EOMONTH(AL8,1)</f>
        <v/>
      </c>
      <c r="AN8" s="39">
        <f>+EOMONTH(AM8,1)</f>
        <v/>
      </c>
      <c r="AO8" s="39">
        <f>+EOMONTH(AN8,1)</f>
        <v/>
      </c>
      <c r="AP8" s="39">
        <f>+EOMONTH(AO8,1)</f>
        <v/>
      </c>
      <c r="AQ8" s="39">
        <f>+EOMONTH(AP8,1)</f>
        <v/>
      </c>
      <c r="AR8" s="39">
        <f>+EOMONTH(AQ8,1)</f>
        <v/>
      </c>
      <c r="AS8" s="39">
        <f>+EOMONTH(AR8,1)</f>
        <v/>
      </c>
      <c r="AT8" s="39">
        <f>+EOMONTH(AS8,1)</f>
        <v/>
      </c>
      <c r="AU8" s="39">
        <f>+EOMONTH(AT8,1)</f>
        <v/>
      </c>
      <c r="AV8" s="39">
        <f>+EOMONTH(AU8,1)</f>
        <v/>
      </c>
      <c r="AW8" s="39">
        <f>+EOMONTH(AV8,1)</f>
        <v/>
      </c>
      <c r="AX8" s="39">
        <f>+EOMONTH(AW8,1)</f>
        <v/>
      </c>
      <c r="AY8" s="39">
        <f>+EOMONTH(AX8,1)</f>
        <v/>
      </c>
      <c r="AZ8" s="39">
        <f>+EOMONTH(AY8,1)</f>
        <v/>
      </c>
      <c r="BA8" s="39">
        <f>+EOMONTH(AZ8,1)</f>
        <v/>
      </c>
      <c r="BB8" s="39">
        <f>+EOMONTH(BA8,1)</f>
        <v/>
      </c>
      <c r="BC8" s="39">
        <f>+EOMONTH(BB8,1)</f>
        <v/>
      </c>
      <c r="BD8" s="39">
        <f>+EOMONTH(BC8,1)</f>
        <v/>
      </c>
      <c r="BE8" s="39">
        <f>+EOMONTH(BD8,1)</f>
        <v/>
      </c>
      <c r="BF8" s="39">
        <f>+EOMONTH(BE8,1)</f>
        <v/>
      </c>
      <c r="BG8" s="39">
        <f>+EOMONTH(BF8,1)</f>
        <v/>
      </c>
      <c r="BH8" s="39">
        <f>+EOMONTH(BG8,1)</f>
        <v/>
      </c>
      <c r="BI8" s="39">
        <f>+EOMONTH(BH8,1)</f>
        <v/>
      </c>
      <c r="BJ8" s="39">
        <f>+EOMONTH(BI8,1)</f>
        <v/>
      </c>
      <c r="BK8" s="39">
        <f>+EOMONTH(BJ8,1)</f>
        <v/>
      </c>
      <c r="BL8" s="39">
        <f>+EOMONTH(BK8,1)</f>
        <v/>
      </c>
      <c r="BM8" s="39">
        <f>+EOMONTH(BL8,1)</f>
        <v/>
      </c>
      <c r="BN8" s="39">
        <f>+EOMONTH(BM8,1)</f>
        <v/>
      </c>
      <c r="BO8" s="39">
        <f>+EOMONTH(BN8,1)</f>
        <v/>
      </c>
      <c r="BP8" s="39">
        <f>+EOMONTH(BO8,1)</f>
        <v/>
      </c>
      <c r="BQ8" s="39">
        <f>+EOMONTH(BP8,1)</f>
        <v/>
      </c>
      <c r="BR8" s="39">
        <f>+EOMONTH(BQ8,1)</f>
        <v/>
      </c>
      <c r="BS8" s="39">
        <f>+EOMONTH(BR8,1)</f>
        <v/>
      </c>
      <c r="BT8" s="39">
        <f>+EOMONTH(BS8,1)</f>
        <v/>
      </c>
      <c r="BU8" s="39">
        <f>+EOMONTH(BT8,1)</f>
        <v/>
      </c>
      <c r="BV8" s="39">
        <f>+EOMONTH(BU8,1)</f>
        <v/>
      </c>
      <c r="BW8" s="39">
        <f>+EOMONTH(BV8,1)</f>
        <v/>
      </c>
      <c r="BX8" s="39">
        <f>+EOMONTH(BW8,1)</f>
        <v/>
      </c>
      <c r="BY8" s="39">
        <f>+EOMONTH(BX8,1)</f>
        <v/>
      </c>
      <c r="BZ8" s="39">
        <f>+EOMONTH(BY8,1)</f>
        <v/>
      </c>
      <c r="CA8" s="39">
        <f>+EOMONTH(BZ8,1)</f>
        <v/>
      </c>
      <c r="CB8" s="39">
        <f>+EOMONTH(CA8,1)</f>
        <v/>
      </c>
      <c r="CC8" s="39">
        <f>+EOMONTH(CB8,1)</f>
        <v/>
      </c>
      <c r="CD8" s="39">
        <f>+EOMONTH(CC8,1)</f>
        <v/>
      </c>
      <c r="CE8" s="39">
        <f>+EOMONTH(CD8,1)</f>
        <v/>
      </c>
      <c r="CF8" s="39">
        <f>+EOMONTH(CE8,1)</f>
        <v/>
      </c>
      <c r="CG8" s="39">
        <f>+EOMONTH(CF8,1)</f>
        <v/>
      </c>
      <c r="CH8" s="39">
        <f>+EOMONTH(CG8,1)</f>
        <v/>
      </c>
      <c r="CI8" s="39">
        <f>+EOMONTH(CH8,1)</f>
        <v/>
      </c>
      <c r="CJ8" s="39">
        <f>+EOMONTH(CI8,1)</f>
        <v/>
      </c>
      <c r="CK8" s="39">
        <f>+EOMONTH(CJ8,1)</f>
        <v/>
      </c>
      <c r="CL8" s="39">
        <f>+EOMONTH(CK8,1)</f>
        <v/>
      </c>
      <c r="CM8" s="39">
        <f>+EOMONTH(CL8,1)</f>
        <v/>
      </c>
      <c r="CN8" s="39">
        <f>+EOMONTH(CM8,1)</f>
        <v/>
      </c>
      <c r="CO8" s="39">
        <f>+EOMONTH(CN8,1)</f>
        <v/>
      </c>
      <c r="CP8" s="39">
        <f>+EOMONTH(CO8,1)</f>
        <v/>
      </c>
      <c r="CQ8" s="39">
        <f>+EOMONTH(CP8,1)</f>
        <v/>
      </c>
      <c r="CR8" s="39">
        <f>+EOMONTH(CQ8,1)</f>
        <v/>
      </c>
      <c r="CS8" s="39">
        <f>+EOMONTH(CR8,1)</f>
        <v/>
      </c>
      <c r="CT8" s="39">
        <f>+EOMONTH(CS8,1)</f>
        <v/>
      </c>
      <c r="CU8" s="39">
        <f>+EOMONTH(CT8,1)</f>
        <v/>
      </c>
      <c r="CV8" s="39">
        <f>+EOMONTH(CU8,1)</f>
        <v/>
      </c>
      <c r="CW8" s="39">
        <f>+EOMONTH(CV8,1)</f>
        <v/>
      </c>
      <c r="CX8" s="39">
        <f>+EOMONTH(CW8,1)</f>
        <v/>
      </c>
      <c r="CY8" s="39">
        <f>+EOMONTH(CX8,1)</f>
        <v/>
      </c>
      <c r="CZ8" s="39">
        <f>+EOMONTH(CY8,1)</f>
        <v/>
      </c>
      <c r="DA8" s="39">
        <f>+EOMONTH(CZ8,1)</f>
        <v/>
      </c>
      <c r="DB8" s="39">
        <f>+EOMONTH(DA8,1)</f>
        <v/>
      </c>
      <c r="DC8" s="39">
        <f>+EOMONTH(DB8,1)</f>
        <v/>
      </c>
      <c r="DD8" s="39">
        <f>+EOMONTH(DC8,1)</f>
        <v/>
      </c>
      <c r="DE8" s="39">
        <f>+EOMONTH(DD8,1)</f>
        <v/>
      </c>
      <c r="DF8" s="39">
        <f>+EOMONTH(DE8,1)</f>
        <v/>
      </c>
      <c r="DG8" s="39">
        <f>+EOMONTH(DF8,1)</f>
        <v/>
      </c>
      <c r="DH8" s="39">
        <f>+EOMONTH(DG8,1)</f>
        <v/>
      </c>
      <c r="DI8" s="39">
        <f>+EOMONTH(DH8,1)</f>
        <v/>
      </c>
      <c r="DJ8" s="39">
        <f>+EOMONTH(DI8,1)</f>
        <v/>
      </c>
      <c r="DK8" s="39">
        <f>+EOMONTH(DJ8,1)</f>
        <v/>
      </c>
      <c r="DL8" s="39">
        <f>+EOMONTH(DK8,1)</f>
        <v/>
      </c>
      <c r="DM8" s="39">
        <f>+EOMONTH(DL8,1)</f>
        <v/>
      </c>
      <c r="DN8" s="39">
        <f>+EOMONTH(DM8,1)</f>
        <v/>
      </c>
      <c r="DO8" s="39">
        <f>+EOMONTH(DN8,1)</f>
        <v/>
      </c>
      <c r="DP8" s="39">
        <f>+EOMONTH(DO8,1)</f>
        <v/>
      </c>
      <c r="DQ8" s="39">
        <f>+EOMONTH(DP8,1)</f>
        <v/>
      </c>
      <c r="DR8" s="39">
        <f>+EOMONTH(DQ8,1)</f>
        <v/>
      </c>
    </row>
    <row r="9">
      <c r="B9" s="34" t="inlineStr">
        <is>
          <t>$ in thousands</t>
        </is>
      </c>
      <c r="C9" s="34" t="n"/>
      <c r="D9" s="34" t="n"/>
      <c r="E9" s="41" t="n"/>
      <c r="F9" s="42" t="inlineStr">
        <is>
          <t>Actual</t>
        </is>
      </c>
      <c r="G9" s="42" t="inlineStr">
        <is>
          <t>Actual</t>
        </is>
      </c>
      <c r="H9" s="42" t="inlineStr">
        <is>
          <t>Actual</t>
        </is>
      </c>
      <c r="I9" s="42" t="inlineStr">
        <is>
          <t>Budget</t>
        </is>
      </c>
      <c r="J9" s="42" t="inlineStr">
        <is>
          <t>Projection</t>
        </is>
      </c>
      <c r="K9" s="42" t="inlineStr">
        <is>
          <t>Projection</t>
        </is>
      </c>
      <c r="L9" s="42" t="inlineStr">
        <is>
          <t>Projection</t>
        </is>
      </c>
      <c r="M9" s="42" t="inlineStr">
        <is>
          <t>Projection</t>
        </is>
      </c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inlineStr">
        <is>
          <t>Actual</t>
        </is>
      </c>
      <c r="AB9" s="42" t="inlineStr">
        <is>
          <t>Actual</t>
        </is>
      </c>
      <c r="AC9" s="42" t="inlineStr">
        <is>
          <t>Actual</t>
        </is>
      </c>
      <c r="AD9" s="42" t="inlineStr">
        <is>
          <t>Actual</t>
        </is>
      </c>
      <c r="AE9" s="42" t="inlineStr">
        <is>
          <t>Actual</t>
        </is>
      </c>
      <c r="AF9" s="42" t="inlineStr">
        <is>
          <t>Actual</t>
        </is>
      </c>
      <c r="AG9" s="42" t="inlineStr">
        <is>
          <t>Actual</t>
        </is>
      </c>
      <c r="AH9" s="42" t="inlineStr">
        <is>
          <t>Actual</t>
        </is>
      </c>
      <c r="AI9" s="42" t="inlineStr">
        <is>
          <t>Actual</t>
        </is>
      </c>
      <c r="AJ9" s="42" t="inlineStr">
        <is>
          <t>Actual</t>
        </is>
      </c>
      <c r="AK9" s="42" t="inlineStr">
        <is>
          <t>Actual</t>
        </is>
      </c>
      <c r="AL9" s="42" t="inlineStr">
        <is>
          <t>Actual</t>
        </is>
      </c>
      <c r="AM9" s="42" t="inlineStr">
        <is>
          <t>Actual</t>
        </is>
      </c>
      <c r="AN9" s="42" t="inlineStr">
        <is>
          <t>Actual</t>
        </is>
      </c>
      <c r="AO9" s="42" t="inlineStr">
        <is>
          <t>Actual</t>
        </is>
      </c>
      <c r="AP9" s="42" t="inlineStr">
        <is>
          <t>Actual</t>
        </is>
      </c>
      <c r="AQ9" s="42" t="inlineStr">
        <is>
          <t>Actual</t>
        </is>
      </c>
      <c r="AR9" s="42" t="inlineStr">
        <is>
          <t>Actual</t>
        </is>
      </c>
      <c r="AS9" s="42" t="inlineStr">
        <is>
          <t>Actual</t>
        </is>
      </c>
      <c r="AT9" s="42" t="inlineStr">
        <is>
          <t>Actual</t>
        </is>
      </c>
      <c r="AU9" s="42" t="inlineStr">
        <is>
          <t>Actual</t>
        </is>
      </c>
      <c r="AV9" s="42" t="inlineStr">
        <is>
          <t>Actual</t>
        </is>
      </c>
      <c r="AW9" s="42" t="inlineStr">
        <is>
          <t>Actual</t>
        </is>
      </c>
      <c r="AX9" s="42" t="inlineStr">
        <is>
          <t>Actual</t>
        </is>
      </c>
      <c r="AY9" s="42" t="inlineStr">
        <is>
          <t>Actual</t>
        </is>
      </c>
      <c r="AZ9" s="42" t="inlineStr">
        <is>
          <t>Actual</t>
        </is>
      </c>
      <c r="BA9" s="42" t="inlineStr">
        <is>
          <t>Actual</t>
        </is>
      </c>
      <c r="BB9" s="42" t="inlineStr">
        <is>
          <t>Actual</t>
        </is>
      </c>
      <c r="BC9" s="42" t="inlineStr">
        <is>
          <t>Actual</t>
        </is>
      </c>
      <c r="BD9" s="42" t="inlineStr">
        <is>
          <t>Actual</t>
        </is>
      </c>
      <c r="BE9" s="42" t="inlineStr">
        <is>
          <t>Actual</t>
        </is>
      </c>
      <c r="BF9" s="42" t="inlineStr">
        <is>
          <t>Actual</t>
        </is>
      </c>
      <c r="BG9" s="42" t="inlineStr">
        <is>
          <t>Actual</t>
        </is>
      </c>
      <c r="BH9" s="42" t="inlineStr">
        <is>
          <t>Actual</t>
        </is>
      </c>
      <c r="BI9" s="42" t="inlineStr">
        <is>
          <t>Actual</t>
        </is>
      </c>
      <c r="BJ9" s="42" t="inlineStr">
        <is>
          <t>Actual</t>
        </is>
      </c>
      <c r="BK9" s="42" t="inlineStr">
        <is>
          <t>Actual</t>
        </is>
      </c>
      <c r="BL9" s="42" t="inlineStr">
        <is>
          <t>Actual</t>
        </is>
      </c>
      <c r="BM9" s="42" t="inlineStr">
        <is>
          <t>Actual</t>
        </is>
      </c>
      <c r="BN9" s="42" t="inlineStr">
        <is>
          <t>Budget</t>
        </is>
      </c>
      <c r="BO9" s="42" t="inlineStr">
        <is>
          <t>Budget</t>
        </is>
      </c>
      <c r="BP9" s="42" t="inlineStr">
        <is>
          <t>Budget</t>
        </is>
      </c>
      <c r="BQ9" s="42" t="inlineStr">
        <is>
          <t>Budget</t>
        </is>
      </c>
      <c r="BR9" s="42" t="inlineStr">
        <is>
          <t>Budget</t>
        </is>
      </c>
      <c r="BS9" s="42" t="inlineStr">
        <is>
          <t>Budget</t>
        </is>
      </c>
      <c r="BT9" s="42" t="inlineStr">
        <is>
          <t>Budget</t>
        </is>
      </c>
      <c r="BU9" s="42" t="inlineStr">
        <is>
          <t>Budget</t>
        </is>
      </c>
      <c r="BV9" s="42" t="inlineStr">
        <is>
          <t>Budget</t>
        </is>
      </c>
      <c r="BW9" s="42" t="inlineStr">
        <is>
          <t>Projection</t>
        </is>
      </c>
      <c r="BX9" s="42" t="inlineStr">
        <is>
          <t>Projection</t>
        </is>
      </c>
      <c r="BY9" s="42" t="inlineStr">
        <is>
          <t>Projection</t>
        </is>
      </c>
      <c r="BZ9" s="42" t="inlineStr">
        <is>
          <t>Projection</t>
        </is>
      </c>
      <c r="CA9" s="42" t="inlineStr">
        <is>
          <t>Projection</t>
        </is>
      </c>
      <c r="CB9" s="42" t="inlineStr">
        <is>
          <t>Projection</t>
        </is>
      </c>
      <c r="CC9" s="42" t="inlineStr">
        <is>
          <t>Projection</t>
        </is>
      </c>
      <c r="CD9" s="42" t="inlineStr">
        <is>
          <t>Projection</t>
        </is>
      </c>
      <c r="CE9" s="42" t="inlineStr">
        <is>
          <t>Projection</t>
        </is>
      </c>
      <c r="CF9" s="42" t="inlineStr">
        <is>
          <t>Projection</t>
        </is>
      </c>
      <c r="CG9" s="42" t="inlineStr">
        <is>
          <t>Projection</t>
        </is>
      </c>
      <c r="CH9" s="42" t="inlineStr">
        <is>
          <t>Projection</t>
        </is>
      </c>
      <c r="CI9" s="42" t="inlineStr">
        <is>
          <t>Projection</t>
        </is>
      </c>
      <c r="CJ9" s="42" t="inlineStr">
        <is>
          <t>Projection</t>
        </is>
      </c>
      <c r="CK9" s="42" t="inlineStr">
        <is>
          <t>Projection</t>
        </is>
      </c>
      <c r="CL9" s="42" t="inlineStr">
        <is>
          <t>Projection</t>
        </is>
      </c>
      <c r="CM9" s="42" t="inlineStr">
        <is>
          <t>Projection</t>
        </is>
      </c>
      <c r="CN9" s="42" t="inlineStr">
        <is>
          <t>Projection</t>
        </is>
      </c>
      <c r="CO9" s="42" t="inlineStr">
        <is>
          <t>Projection</t>
        </is>
      </c>
      <c r="CP9" s="42" t="inlineStr">
        <is>
          <t>Projection</t>
        </is>
      </c>
      <c r="CQ9" s="42" t="inlineStr">
        <is>
          <t>Projection</t>
        </is>
      </c>
      <c r="CR9" s="42" t="inlineStr">
        <is>
          <t>Projection</t>
        </is>
      </c>
      <c r="CS9" s="42" t="inlineStr">
        <is>
          <t>Projection</t>
        </is>
      </c>
      <c r="CT9" s="42" t="inlineStr">
        <is>
          <t>Projection</t>
        </is>
      </c>
      <c r="CU9" s="42" t="inlineStr">
        <is>
          <t>Projection</t>
        </is>
      </c>
      <c r="CV9" s="42" t="inlineStr">
        <is>
          <t>Projection</t>
        </is>
      </c>
      <c r="CW9" s="42" t="inlineStr">
        <is>
          <t>Projection</t>
        </is>
      </c>
      <c r="CX9" s="42" t="inlineStr">
        <is>
          <t>Projection</t>
        </is>
      </c>
      <c r="CY9" s="42" t="inlineStr">
        <is>
          <t>Projection</t>
        </is>
      </c>
      <c r="CZ9" s="42" t="inlineStr">
        <is>
          <t>Projection</t>
        </is>
      </c>
      <c r="DA9" s="42" t="inlineStr">
        <is>
          <t>Projection</t>
        </is>
      </c>
      <c r="DB9" s="42" t="inlineStr">
        <is>
          <t>Projection</t>
        </is>
      </c>
      <c r="DC9" s="42" t="inlineStr">
        <is>
          <t>Projection</t>
        </is>
      </c>
      <c r="DD9" s="42" t="inlineStr">
        <is>
          <t>Projection</t>
        </is>
      </c>
      <c r="DE9" s="42" t="inlineStr">
        <is>
          <t>Projection</t>
        </is>
      </c>
      <c r="DF9" s="42" t="inlineStr">
        <is>
          <t>Projection</t>
        </is>
      </c>
      <c r="DG9" s="42" t="inlineStr">
        <is>
          <t>Projection</t>
        </is>
      </c>
      <c r="DH9" s="42" t="inlineStr">
        <is>
          <t>Projection</t>
        </is>
      </c>
      <c r="DI9" s="42" t="inlineStr">
        <is>
          <t>Projection</t>
        </is>
      </c>
      <c r="DJ9" s="42" t="inlineStr">
        <is>
          <t>Projection</t>
        </is>
      </c>
      <c r="DK9" s="42" t="inlineStr">
        <is>
          <t>Projection</t>
        </is>
      </c>
      <c r="DL9" s="42" t="inlineStr">
        <is>
          <t>Projection</t>
        </is>
      </c>
      <c r="DM9" s="42" t="inlineStr">
        <is>
          <t>Projection</t>
        </is>
      </c>
      <c r="DN9" s="42" t="inlineStr">
        <is>
          <t>Projection</t>
        </is>
      </c>
      <c r="DO9" s="42" t="inlineStr">
        <is>
          <t>Projection</t>
        </is>
      </c>
      <c r="DP9" s="42" t="inlineStr">
        <is>
          <t>Projection</t>
        </is>
      </c>
      <c r="DQ9" s="42" t="inlineStr">
        <is>
          <t>Projection</t>
        </is>
      </c>
      <c r="DR9" s="42" t="inlineStr">
        <is>
          <t>Projection</t>
        </is>
      </c>
    </row>
    <row r="10" ht="4.5" customHeight="1"/>
    <row r="11">
      <c r="B11" s="67" t="inlineStr">
        <is>
          <t>Licensing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  <c r="AH11" s="67" t="n"/>
      <c r="AI11" s="67" t="n"/>
      <c r="AJ11" s="67" t="n"/>
      <c r="AK11" s="67" t="n"/>
      <c r="AL11" s="67" t="n"/>
      <c r="AM11" s="67" t="n"/>
      <c r="AN11" s="67" t="n"/>
      <c r="AO11" s="67" t="n"/>
      <c r="AP11" s="67" t="n"/>
      <c r="AQ11" s="67" t="n"/>
      <c r="AR11" s="67" t="n"/>
      <c r="AS11" s="67" t="n"/>
      <c r="AT11" s="67" t="n"/>
      <c r="AU11" s="67" t="n"/>
      <c r="AV11" s="67" t="n"/>
      <c r="AW11" s="67" t="n"/>
      <c r="AX11" s="67" t="n"/>
      <c r="AY11" s="67" t="n"/>
      <c r="AZ11" s="67" t="n"/>
      <c r="BA11" s="67" t="n"/>
      <c r="BB11" s="67" t="n"/>
      <c r="BC11" s="67" t="n"/>
      <c r="BD11" s="67" t="n"/>
      <c r="BE11" s="67" t="n"/>
      <c r="BF11" s="67" t="n"/>
      <c r="BG11" s="67" t="n"/>
      <c r="BH11" s="67" t="n"/>
      <c r="BI11" s="67" t="n"/>
      <c r="BJ11" s="67" t="n"/>
      <c r="BK11" s="67" t="n"/>
      <c r="BL11" s="67" t="n"/>
      <c r="BM11" s="67" t="n"/>
      <c r="BN11" s="67" t="n"/>
      <c r="BO11" s="67" t="n"/>
      <c r="BP11" s="67" t="n"/>
      <c r="BQ11" s="67" t="n"/>
      <c r="BR11" s="67" t="n"/>
      <c r="BS11" s="67" t="n"/>
      <c r="BT11" s="67" t="n"/>
      <c r="BU11" s="67" t="n"/>
      <c r="BV11" s="67" t="n"/>
      <c r="BW11" s="67" t="n"/>
      <c r="BX11" s="67" t="n"/>
      <c r="BY11" s="67" t="n"/>
      <c r="BZ11" s="67" t="n"/>
      <c r="CA11" s="67" t="n"/>
      <c r="CB11" s="67" t="n"/>
      <c r="CC11" s="67" t="n"/>
      <c r="CD11" s="67" t="n"/>
      <c r="CE11" s="67" t="n"/>
      <c r="CF11" s="67" t="n"/>
      <c r="CG11" s="67" t="n"/>
      <c r="CH11" s="67" t="n"/>
      <c r="CI11" s="67" t="n"/>
      <c r="CJ11" s="67" t="n"/>
      <c r="CK11" s="67" t="n"/>
      <c r="CL11" s="67" t="n"/>
      <c r="CM11" s="67" t="n"/>
      <c r="CN11" s="67" t="n"/>
      <c r="CO11" s="67" t="n"/>
      <c r="CP11" s="67" t="n"/>
      <c r="CQ11" s="67" t="n"/>
      <c r="CR11" s="67" t="n"/>
      <c r="CS11" s="67" t="n"/>
      <c r="CT11" s="67" t="n"/>
      <c r="CU11" s="67" t="n"/>
      <c r="CV11" s="67" t="n"/>
      <c r="CW11" s="67" t="n"/>
      <c r="CX11" s="67" t="n"/>
      <c r="CY11" s="67" t="n"/>
      <c r="CZ11" s="67" t="n"/>
      <c r="DA11" s="67" t="n"/>
      <c r="DB11" s="67" t="n"/>
      <c r="DC11" s="67" t="n"/>
      <c r="DD11" s="67" t="n"/>
      <c r="DE11" s="67" t="n"/>
      <c r="DF11" s="67" t="n"/>
      <c r="DG11" s="67" t="n"/>
      <c r="DH11" s="67" t="n"/>
      <c r="DI11" s="67" t="n"/>
      <c r="DJ11" s="67" t="n"/>
      <c r="DK11" s="67" t="n"/>
      <c r="DL11" s="67" t="n"/>
      <c r="DM11" s="67" t="n"/>
      <c r="DN11" s="67" t="n"/>
      <c r="DO11" s="67" t="n"/>
      <c r="DP11" s="67" t="n"/>
      <c r="DQ11" s="67" t="n"/>
      <c r="DR11" s="67" t="n"/>
      <c r="DS11" s="67" t="n"/>
    </row>
    <row r="12" ht="4.5" customHeight="1"/>
    <row r="13" hidden="1" outlineLevel="1">
      <c r="B13" s="5" t="inlineStr">
        <is>
          <t>AACN</t>
        </is>
      </c>
      <c r="C13" s="68" t="inlineStr">
        <is>
          <t>Lower Middle Market</t>
        </is>
      </c>
      <c r="F13" s="46">
        <f>+SUMIFS($AA13:$DR13,$AA$7:$DR$7,F$7)</f>
        <v/>
      </c>
      <c r="G13" s="46">
        <f>+SUMIFS($AA13:$DR13,$AA$7:$DR$7,G$7)</f>
        <v/>
      </c>
      <c r="H13" s="46">
        <f>+SUMIFS($AA13:$DR13,$AA$7:$DR$7,H$7)</f>
        <v/>
      </c>
      <c r="I13" s="46">
        <f>+SUMIFS($AA13:$DR13,$AA$7:$DR$7,I$7)</f>
        <v/>
      </c>
      <c r="J13" s="46">
        <f>+SUMIFS($AA13:$DR13,$AA$7:$DR$7,J$7)</f>
        <v/>
      </c>
      <c r="K13" s="46">
        <f>+SUMIFS($AA13:$DR13,$AA$7:$DR$7,K$7)</f>
        <v/>
      </c>
      <c r="L13" s="46">
        <f>+SUMIFS($AA13:$DR13,$AA$7:$DR$7,L$7)</f>
        <v/>
      </c>
      <c r="M13" s="46">
        <f>+SUMIFS($AA13:$DR13,$AA$7:$DR$7,M$7)</f>
        <v/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0.01381267676767677</v>
      </c>
      <c r="AH13" s="47" t="n">
        <v>0</v>
      </c>
      <c r="AI13" s="47" t="n">
        <v>0.004315003179358892</v>
      </c>
      <c r="AJ13" s="47" t="n">
        <v>0.1975421024967148</v>
      </c>
      <c r="AK13" s="47" t="n">
        <v>1.00304760493299</v>
      </c>
      <c r="AL13" s="47" t="n">
        <v>1.254943633874065</v>
      </c>
      <c r="AM13" s="47" t="n">
        <v>0.9292265040936493</v>
      </c>
      <c r="AN13" s="47" t="n">
        <v>3.478431044267134</v>
      </c>
      <c r="AO13" s="47" t="n">
        <v>1.715224904399945</v>
      </c>
      <c r="AP13" s="47" t="n">
        <v>2.363350563216113</v>
      </c>
      <c r="AQ13" s="47" t="n">
        <v>0.7409374718210848</v>
      </c>
      <c r="AR13" s="47" t="n">
        <v>0.4177347510673198</v>
      </c>
      <c r="AS13" s="47" t="n">
        <v>1.461170645833643</v>
      </c>
      <c r="AT13" s="47" t="n">
        <v>0.6089134701707644</v>
      </c>
      <c r="AU13" s="47" t="n">
        <v>0.6107906507344498</v>
      </c>
      <c r="AV13" s="47" t="n">
        <v>0.4765874006880786</v>
      </c>
      <c r="AW13" s="47" t="n">
        <v>0.1994512877957086</v>
      </c>
      <c r="AX13" s="47" t="n">
        <v>0.6016082396398199</v>
      </c>
      <c r="AY13" s="47" t="n">
        <v>1.730365139903704</v>
      </c>
      <c r="AZ13" s="47" t="n">
        <v>0.1946381446977133</v>
      </c>
      <c r="BA13" s="47" t="n">
        <v>0.09265429339013126</v>
      </c>
      <c r="BB13" s="47" t="n">
        <v>0.1152982552630909</v>
      </c>
      <c r="BC13" s="47" t="n">
        <v>0.3141281510987609</v>
      </c>
      <c r="BD13" s="47" t="n">
        <v>0.1883533507816873</v>
      </c>
      <c r="BE13" s="47" t="n">
        <v>0.5334922494217313</v>
      </c>
      <c r="BF13" s="47" t="n">
        <v>0.2316598910752423</v>
      </c>
      <c r="BG13" s="47" t="n">
        <v>0.8920420144230876</v>
      </c>
      <c r="BH13" s="47" t="n">
        <v>0.2304428402961954</v>
      </c>
      <c r="BI13" s="47" t="n">
        <v>0.4840513552029754</v>
      </c>
      <c r="BJ13" s="47" t="n">
        <v>0.2482181606502978</v>
      </c>
    </row>
    <row r="14" hidden="1" outlineLevel="1">
      <c r="B14" s="5" t="inlineStr">
        <is>
          <t>AACR</t>
        </is>
      </c>
      <c r="C14" s="68" t="inlineStr">
        <is>
          <t>Lower Middle Market</t>
        </is>
      </c>
      <c r="F14" s="46">
        <f>+SUMIFS($AA14:$DR14,$AA$7:$DR$7,F$7)</f>
        <v/>
      </c>
      <c r="G14" s="46">
        <f>+SUMIFS($AA14:$DR14,$AA$7:$DR$7,G$7)</f>
        <v/>
      </c>
      <c r="H14" s="46">
        <f>+SUMIFS($AA14:$DR14,$AA$7:$DR$7,H$7)</f>
        <v/>
      </c>
      <c r="I14" s="46">
        <f>+SUMIFS($AA14:$DR14,$AA$7:$DR$7,I$7)</f>
        <v/>
      </c>
      <c r="J14" s="46">
        <f>+SUMIFS($AA14:$DR14,$AA$7:$DR$7,J$7)</f>
        <v/>
      </c>
      <c r="K14" s="46">
        <f>+SUMIFS($AA14:$DR14,$AA$7:$DR$7,K$7)</f>
        <v/>
      </c>
      <c r="L14" s="46">
        <f>+SUMIFS($AA14:$DR14,$AA$7:$DR$7,L$7)</f>
        <v/>
      </c>
      <c r="M14" s="46">
        <f>+SUMIFS($AA14:$DR14,$AA$7:$DR$7,M$7)</f>
        <v/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47" t="n">
        <v>0</v>
      </c>
      <c r="AI14" s="47" t="n">
        <v>0</v>
      </c>
      <c r="AJ14" s="47" t="n">
        <v>0</v>
      </c>
      <c r="AK14" s="47" t="n">
        <v>0</v>
      </c>
      <c r="AL14" s="47" t="n">
        <v>0</v>
      </c>
      <c r="AM14" s="47" t="n">
        <v>0</v>
      </c>
      <c r="AN14" s="47" t="n">
        <v>0</v>
      </c>
      <c r="AO14" s="47" t="n">
        <v>0</v>
      </c>
      <c r="AP14" s="47" t="n">
        <v>0</v>
      </c>
      <c r="AQ14" s="47" t="n">
        <v>0</v>
      </c>
      <c r="AR14" s="47" t="n">
        <v>0</v>
      </c>
      <c r="AS14" s="47" t="n">
        <v>0</v>
      </c>
      <c r="AT14" s="47" t="n">
        <v>0</v>
      </c>
      <c r="AU14" s="47" t="n">
        <v>0</v>
      </c>
      <c r="AV14" s="47" t="n">
        <v>0</v>
      </c>
      <c r="AW14" s="47" t="n">
        <v>0</v>
      </c>
      <c r="AX14" s="47" t="n">
        <v>0</v>
      </c>
      <c r="AY14" s="47" t="n">
        <v>0</v>
      </c>
      <c r="AZ14" s="47" t="n">
        <v>0</v>
      </c>
      <c r="BA14" s="47" t="n">
        <v>0</v>
      </c>
      <c r="BB14" s="47" t="n">
        <v>0.003795641108960207</v>
      </c>
      <c r="BC14" s="47" t="n">
        <v>0.008584541623302759</v>
      </c>
      <c r="BD14" s="47" t="n">
        <v>0.1054387112027873</v>
      </c>
      <c r="BE14" s="47" t="n">
        <v>0.1489367788607157</v>
      </c>
      <c r="BF14" s="47" t="n">
        <v>0.0872973084991463</v>
      </c>
      <c r="BG14" s="47" t="n">
        <v>0.1381246310469246</v>
      </c>
      <c r="BH14" s="47" t="n">
        <v>0.4722977502542467</v>
      </c>
      <c r="BI14" s="47" t="n">
        <v>0.6011920964357775</v>
      </c>
      <c r="BJ14" s="47" t="n">
        <v>0.492443009996146</v>
      </c>
    </row>
    <row r="15" hidden="1" outlineLevel="1">
      <c r="B15" s="5" t="inlineStr">
        <is>
          <t>AAI</t>
        </is>
      </c>
      <c r="C15" s="68" t="inlineStr">
        <is>
          <t>Lower Middle Market</t>
        </is>
      </c>
      <c r="F15" s="46">
        <f>+SUMIFS($AA15:$DR15,$AA$7:$DR$7,F$7)</f>
        <v/>
      </c>
      <c r="G15" s="46">
        <f>+SUMIFS($AA15:$DR15,$AA$7:$DR$7,G$7)</f>
        <v/>
      </c>
      <c r="H15" s="46">
        <f>+SUMIFS($AA15:$DR15,$AA$7:$DR$7,H$7)</f>
        <v/>
      </c>
      <c r="I15" s="46">
        <f>+SUMIFS($AA15:$DR15,$AA$7:$DR$7,I$7)</f>
        <v/>
      </c>
      <c r="J15" s="46">
        <f>+SUMIFS($AA15:$DR15,$AA$7:$DR$7,J$7)</f>
        <v/>
      </c>
      <c r="K15" s="46">
        <f>+SUMIFS($AA15:$DR15,$AA$7:$DR$7,K$7)</f>
        <v/>
      </c>
      <c r="L15" s="46">
        <f>+SUMIFS($AA15:$DR15,$AA$7:$DR$7,L$7)</f>
        <v/>
      </c>
      <c r="M15" s="46">
        <f>+SUMIFS($AA15:$DR15,$AA$7:$DR$7,M$7)</f>
        <v/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47" t="n">
        <v>0</v>
      </c>
      <c r="AI15" s="47" t="n">
        <v>0</v>
      </c>
      <c r="AJ15" s="47" t="n">
        <v>0</v>
      </c>
      <c r="AK15" s="47" t="n">
        <v>0</v>
      </c>
      <c r="AL15" s="47" t="n">
        <v>0</v>
      </c>
      <c r="AM15" s="47" t="n">
        <v>0</v>
      </c>
      <c r="AN15" s="47" t="n">
        <v>0</v>
      </c>
      <c r="AO15" s="47" t="n">
        <v>0</v>
      </c>
      <c r="AP15" s="47" t="n">
        <v>0</v>
      </c>
      <c r="AQ15" s="47" t="n">
        <v>0</v>
      </c>
      <c r="AR15" s="47" t="n">
        <v>0</v>
      </c>
      <c r="AS15" s="47" t="n">
        <v>0</v>
      </c>
      <c r="AT15" s="47" t="n">
        <v>0</v>
      </c>
      <c r="AU15" s="47" t="n">
        <v>0</v>
      </c>
      <c r="AV15" s="47" t="n">
        <v>0</v>
      </c>
      <c r="AW15" s="47" t="n">
        <v>0</v>
      </c>
      <c r="AX15" s="47" t="n">
        <v>0</v>
      </c>
      <c r="AY15" s="47" t="n">
        <v>0</v>
      </c>
      <c r="AZ15" s="47" t="n">
        <v>0</v>
      </c>
      <c r="BA15" s="47" t="n">
        <v>0</v>
      </c>
      <c r="BB15" s="47" t="n">
        <v>0</v>
      </c>
      <c r="BC15" s="47" t="n">
        <v>0</v>
      </c>
      <c r="BD15" s="47" t="n">
        <v>0</v>
      </c>
      <c r="BE15" s="47" t="n">
        <v>0</v>
      </c>
      <c r="BF15" s="47" t="n">
        <v>0</v>
      </c>
      <c r="BG15" s="47" t="n">
        <v>0</v>
      </c>
      <c r="BH15" s="47" t="n">
        <v>0</v>
      </c>
      <c r="BI15" s="47" t="n">
        <v>0</v>
      </c>
      <c r="BJ15" s="47" t="n">
        <v>0</v>
      </c>
    </row>
    <row r="16" hidden="1" outlineLevel="1">
      <c r="B16" s="5" t="inlineStr">
        <is>
          <t>AAOS</t>
        </is>
      </c>
      <c r="C16" s="68" t="inlineStr">
        <is>
          <t>Upper Middle Market</t>
        </is>
      </c>
      <c r="F16" s="46">
        <f>+SUMIFS($AA16:$DR16,$AA$7:$DR$7,F$7)</f>
        <v/>
      </c>
      <c r="G16" s="46">
        <f>+SUMIFS($AA16:$DR16,$AA$7:$DR$7,G$7)</f>
        <v/>
      </c>
      <c r="H16" s="46">
        <f>+SUMIFS($AA16:$DR16,$AA$7:$DR$7,H$7)</f>
        <v/>
      </c>
      <c r="I16" s="46">
        <f>+SUMIFS($AA16:$DR16,$AA$7:$DR$7,I$7)</f>
        <v/>
      </c>
      <c r="J16" s="46">
        <f>+SUMIFS($AA16:$DR16,$AA$7:$DR$7,J$7)</f>
        <v/>
      </c>
      <c r="K16" s="46">
        <f>+SUMIFS($AA16:$DR16,$AA$7:$DR$7,K$7)</f>
        <v/>
      </c>
      <c r="L16" s="46">
        <f>+SUMIFS($AA16:$DR16,$AA$7:$DR$7,L$7)</f>
        <v/>
      </c>
      <c r="M16" s="46">
        <f>+SUMIFS($AA16:$DR16,$AA$7:$DR$7,M$7)</f>
        <v/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47" t="n">
        <v>0</v>
      </c>
      <c r="AI16" s="47" t="n">
        <v>0</v>
      </c>
      <c r="AJ16" s="47" t="n">
        <v>0</v>
      </c>
      <c r="AK16" s="47" t="n">
        <v>0</v>
      </c>
      <c r="AL16" s="47" t="n">
        <v>0</v>
      </c>
      <c r="AM16" s="47" t="n">
        <v>0</v>
      </c>
      <c r="AN16" s="47" t="n">
        <v>0</v>
      </c>
      <c r="AO16" s="47" t="n">
        <v>0</v>
      </c>
      <c r="AP16" s="47" t="n">
        <v>0</v>
      </c>
      <c r="AQ16" s="47" t="n">
        <v>0</v>
      </c>
      <c r="AR16" s="47" t="n">
        <v>0</v>
      </c>
      <c r="AS16" s="47" t="n">
        <v>0</v>
      </c>
      <c r="AT16" s="47" t="n">
        <v>0</v>
      </c>
      <c r="AU16" s="47" t="n">
        <v>0</v>
      </c>
      <c r="AV16" s="47" t="n">
        <v>0</v>
      </c>
      <c r="AW16" s="47" t="n">
        <v>0</v>
      </c>
      <c r="AX16" s="47" t="n">
        <v>0</v>
      </c>
      <c r="AY16" s="47" t="n">
        <v>0</v>
      </c>
      <c r="AZ16" s="47" t="n">
        <v>0.01980244984811933</v>
      </c>
      <c r="BA16" s="47" t="n">
        <v>0.006848565179823183</v>
      </c>
      <c r="BB16" s="47" t="n">
        <v>0</v>
      </c>
      <c r="BC16" s="47" t="n">
        <v>0.3383221706918946</v>
      </c>
      <c r="BD16" s="47" t="n">
        <v>0.3483467585141084</v>
      </c>
      <c r="BE16" s="47" t="n">
        <v>0.9167097865994903</v>
      </c>
      <c r="BF16" s="47" t="n">
        <v>3.485108764642071</v>
      </c>
      <c r="BG16" s="47" t="n">
        <v>3.090564038089683</v>
      </c>
      <c r="BH16" s="47" t="n">
        <v>6.258199266190804</v>
      </c>
      <c r="BI16" s="47" t="n">
        <v>4.881807350775793</v>
      </c>
      <c r="BJ16" s="47" t="n">
        <v>5.12814786948808</v>
      </c>
    </row>
    <row r="17" hidden="1" outlineLevel="1">
      <c r="B17" s="5" t="inlineStr">
        <is>
          <t>AAP</t>
        </is>
      </c>
      <c r="C17" s="68" t="inlineStr">
        <is>
          <t>Major</t>
        </is>
      </c>
      <c r="F17" s="46">
        <f>+SUMIFS($AA17:$DR17,$AA$7:$DR$7,F$7)</f>
        <v/>
      </c>
      <c r="G17" s="46">
        <f>+SUMIFS($AA17:$DR17,$AA$7:$DR$7,G$7)</f>
        <v/>
      </c>
      <c r="H17" s="46">
        <f>+SUMIFS($AA17:$DR17,$AA$7:$DR$7,H$7)</f>
        <v/>
      </c>
      <c r="I17" s="46">
        <f>+SUMIFS($AA17:$DR17,$AA$7:$DR$7,I$7)</f>
        <v/>
      </c>
      <c r="J17" s="46">
        <f>+SUMIFS($AA17:$DR17,$AA$7:$DR$7,J$7)</f>
        <v/>
      </c>
      <c r="K17" s="46">
        <f>+SUMIFS($AA17:$DR17,$AA$7:$DR$7,K$7)</f>
        <v/>
      </c>
      <c r="L17" s="46">
        <f>+SUMIFS($AA17:$DR17,$AA$7:$DR$7,L$7)</f>
        <v/>
      </c>
      <c r="M17" s="46">
        <f>+SUMIFS($AA17:$DR17,$AA$7:$DR$7,M$7)</f>
        <v/>
      </c>
      <c r="AA17" s="47" t="n">
        <v>3.362984314703056</v>
      </c>
      <c r="AB17" s="47" t="n">
        <v>1.136826786409534</v>
      </c>
      <c r="AC17" s="47" t="n">
        <v>8.209188043812761</v>
      </c>
      <c r="AD17" s="47" t="n">
        <v>3.223379025343211</v>
      </c>
      <c r="AE17" s="47" t="n">
        <v>3.129849731112816</v>
      </c>
      <c r="AF17" s="47" t="n">
        <v>4.184241877682076</v>
      </c>
      <c r="AG17" s="47" t="n">
        <v>5.667476387225618</v>
      </c>
      <c r="AH17" s="47" t="n">
        <v>6.023429561734345</v>
      </c>
      <c r="AI17" s="47" t="n">
        <v>2.870084546183766</v>
      </c>
      <c r="AJ17" s="47" t="n">
        <v>5.078697536807588</v>
      </c>
      <c r="AK17" s="47" t="n">
        <v>2.098734840954497</v>
      </c>
      <c r="AL17" s="47" t="n">
        <v>2.034869807243632</v>
      </c>
      <c r="AM17" s="47" t="n">
        <v>1.48297491896152</v>
      </c>
      <c r="AN17" s="47" t="n">
        <v>0.9382399170984926</v>
      </c>
      <c r="AO17" s="47" t="n">
        <v>2.429115317249796</v>
      </c>
      <c r="AP17" s="47" t="n">
        <v>1.785333651838406</v>
      </c>
      <c r="AQ17" s="47" t="n">
        <v>1.22713942276966</v>
      </c>
      <c r="AR17" s="47" t="n">
        <v>1.176631836848637</v>
      </c>
      <c r="AS17" s="47" t="n">
        <v>1.774485142612756</v>
      </c>
      <c r="AT17" s="47" t="n">
        <v>2.993064942017363</v>
      </c>
      <c r="AU17" s="47" t="n">
        <v>1.887183943624221</v>
      </c>
      <c r="AV17" s="47" t="n">
        <v>3.576075648141213</v>
      </c>
      <c r="AW17" s="47" t="n">
        <v>3.658232037017099</v>
      </c>
      <c r="AX17" s="47" t="n">
        <v>1.77324931323521</v>
      </c>
      <c r="AY17" s="47" t="n">
        <v>2.349553930019437</v>
      </c>
      <c r="AZ17" s="47" t="n">
        <v>2.153991585936996</v>
      </c>
      <c r="BA17" s="47" t="n">
        <v>1.332262881030964</v>
      </c>
      <c r="BB17" s="47" t="n">
        <v>0.5334745224537455</v>
      </c>
      <c r="BC17" s="47" t="n">
        <v>0.9988358073589638</v>
      </c>
      <c r="BD17" s="47" t="n">
        <v>0.3921562765881224</v>
      </c>
      <c r="BE17" s="47" t="n">
        <v>2.728942872191736</v>
      </c>
      <c r="BF17" s="47" t="n">
        <v>0.4737655212390318</v>
      </c>
      <c r="BG17" s="47" t="n">
        <v>1.406268726497335</v>
      </c>
      <c r="BH17" s="47" t="n">
        <v>0.4912113120828252</v>
      </c>
      <c r="BI17" s="47" t="n">
        <v>1.745750375864308</v>
      </c>
      <c r="BJ17" s="47" t="n">
        <v>2.338294772595576</v>
      </c>
    </row>
    <row r="18" hidden="1" outlineLevel="1">
      <c r="B18" s="5" t="inlineStr">
        <is>
          <t>ADA</t>
        </is>
      </c>
      <c r="C18" s="68" t="inlineStr">
        <is>
          <t>Lower Middle Market</t>
        </is>
      </c>
      <c r="F18" s="46">
        <f>+SUMIFS($AA18:$DR18,$AA$7:$DR$7,F$7)</f>
        <v/>
      </c>
      <c r="G18" s="46">
        <f>+SUMIFS($AA18:$DR18,$AA$7:$DR$7,G$7)</f>
        <v/>
      </c>
      <c r="H18" s="46">
        <f>+SUMIFS($AA18:$DR18,$AA$7:$DR$7,H$7)</f>
        <v/>
      </c>
      <c r="I18" s="46">
        <f>+SUMIFS($AA18:$DR18,$AA$7:$DR$7,I$7)</f>
        <v/>
      </c>
      <c r="J18" s="46">
        <f>+SUMIFS($AA18:$DR18,$AA$7:$DR$7,J$7)</f>
        <v/>
      </c>
      <c r="K18" s="46">
        <f>+SUMIFS($AA18:$DR18,$AA$7:$DR$7,K$7)</f>
        <v/>
      </c>
      <c r="L18" s="46">
        <f>+SUMIFS($AA18:$DR18,$AA$7:$DR$7,L$7)</f>
        <v/>
      </c>
      <c r="M18" s="46">
        <f>+SUMIFS($AA18:$DR18,$AA$7:$DR$7,M$7)</f>
        <v/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47" t="n">
        <v>0</v>
      </c>
      <c r="AI18" s="47" t="n">
        <v>0</v>
      </c>
      <c r="AJ18" s="47" t="n">
        <v>0</v>
      </c>
      <c r="AK18" s="47" t="n">
        <v>0</v>
      </c>
      <c r="AL18" s="47" t="n">
        <v>0</v>
      </c>
      <c r="AM18" s="47" t="n">
        <v>0</v>
      </c>
      <c r="AN18" s="47" t="n">
        <v>0</v>
      </c>
      <c r="AO18" s="47" t="n">
        <v>0</v>
      </c>
      <c r="AP18" s="47" t="n">
        <v>0</v>
      </c>
      <c r="AQ18" s="47" t="n">
        <v>0</v>
      </c>
      <c r="AR18" s="47" t="n">
        <v>0</v>
      </c>
      <c r="AS18" s="47" t="n">
        <v>0</v>
      </c>
      <c r="AT18" s="47" t="n">
        <v>0</v>
      </c>
      <c r="AU18" s="47" t="n">
        <v>0</v>
      </c>
      <c r="AV18" s="47" t="n">
        <v>0</v>
      </c>
      <c r="AW18" s="47" t="n">
        <v>0</v>
      </c>
      <c r="AX18" s="47" t="n">
        <v>0</v>
      </c>
      <c r="AY18" s="47" t="n">
        <v>0</v>
      </c>
      <c r="AZ18" s="47" t="n">
        <v>0</v>
      </c>
      <c r="BA18" s="47" t="n">
        <v>0</v>
      </c>
      <c r="BB18" s="47" t="n">
        <v>0</v>
      </c>
      <c r="BC18" s="47" t="n">
        <v>0</v>
      </c>
      <c r="BD18" s="47" t="n">
        <v>0.03651713334350654</v>
      </c>
      <c r="BE18" s="47" t="n">
        <v>0.003954786305771208</v>
      </c>
      <c r="BF18" s="47" t="n">
        <v>0.003859574539254566</v>
      </c>
      <c r="BG18" s="47" t="n">
        <v>0</v>
      </c>
      <c r="BH18" s="47" t="n">
        <v>0.08285100523348507</v>
      </c>
      <c r="BI18" s="47" t="n">
        <v>0.298030710244866</v>
      </c>
      <c r="BJ18" s="47" t="n">
        <v>0.51274872606004</v>
      </c>
    </row>
    <row r="19" hidden="1" outlineLevel="1">
      <c r="B19" s="5" t="inlineStr">
        <is>
          <t>AHRQ</t>
        </is>
      </c>
      <c r="C19" s="68" t="inlineStr">
        <is>
          <t>Lower Middle Market</t>
        </is>
      </c>
      <c r="F19" s="46">
        <f>+SUMIFS($AA19:$DR19,$AA$7:$DR$7,F$7)</f>
        <v/>
      </c>
      <c r="G19" s="46">
        <f>+SUMIFS($AA19:$DR19,$AA$7:$DR$7,G$7)</f>
        <v/>
      </c>
      <c r="H19" s="46">
        <f>+SUMIFS($AA19:$DR19,$AA$7:$DR$7,H$7)</f>
        <v/>
      </c>
      <c r="I19" s="46">
        <f>+SUMIFS($AA19:$DR19,$AA$7:$DR$7,I$7)</f>
        <v/>
      </c>
      <c r="J19" s="46">
        <f>+SUMIFS($AA19:$DR19,$AA$7:$DR$7,J$7)</f>
        <v/>
      </c>
      <c r="K19" s="46">
        <f>+SUMIFS($AA19:$DR19,$AA$7:$DR$7,K$7)</f>
        <v/>
      </c>
      <c r="L19" s="46">
        <f>+SUMIFS($AA19:$DR19,$AA$7:$DR$7,L$7)</f>
        <v/>
      </c>
      <c r="M19" s="46">
        <f>+SUMIFS($AA19:$DR19,$AA$7:$DR$7,M$7)</f>
        <v/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47" t="n">
        <v>0</v>
      </c>
      <c r="AI19" s="47" t="n">
        <v>0</v>
      </c>
      <c r="AJ19" s="47" t="n">
        <v>0</v>
      </c>
      <c r="AK19" s="47" t="n">
        <v>0</v>
      </c>
      <c r="AL19" s="47" t="n">
        <v>0</v>
      </c>
      <c r="AM19" s="47" t="n">
        <v>0</v>
      </c>
      <c r="AN19" s="47" t="n">
        <v>0</v>
      </c>
      <c r="AO19" s="47" t="n">
        <v>0</v>
      </c>
      <c r="AP19" s="47" t="n">
        <v>0</v>
      </c>
      <c r="AQ19" s="47" t="n">
        <v>0</v>
      </c>
      <c r="AR19" s="47" t="n">
        <v>0</v>
      </c>
      <c r="AS19" s="47" t="n">
        <v>0</v>
      </c>
      <c r="AT19" s="47" t="n">
        <v>0</v>
      </c>
      <c r="AU19" s="47" t="n">
        <v>0</v>
      </c>
      <c r="AV19" s="47" t="n">
        <v>0</v>
      </c>
      <c r="AW19" s="47" t="n">
        <v>0</v>
      </c>
      <c r="AX19" s="47" t="n">
        <v>0</v>
      </c>
      <c r="AY19" s="47" t="n">
        <v>0</v>
      </c>
      <c r="AZ19" s="47" t="n">
        <v>0</v>
      </c>
      <c r="BA19" s="47" t="n">
        <v>0</v>
      </c>
      <c r="BB19" s="47" t="n">
        <v>0</v>
      </c>
      <c r="BC19" s="47" t="n">
        <v>0</v>
      </c>
      <c r="BD19" s="47" t="n">
        <v>0</v>
      </c>
      <c r="BE19" s="47" t="n">
        <v>0</v>
      </c>
      <c r="BF19" s="47" t="n">
        <v>0</v>
      </c>
      <c r="BG19" s="47" t="n">
        <v>0</v>
      </c>
      <c r="BH19" s="47" t="n">
        <v>0</v>
      </c>
      <c r="BI19" s="47" t="n">
        <v>0</v>
      </c>
      <c r="BJ19" s="47" t="n">
        <v>0</v>
      </c>
    </row>
    <row r="20" hidden="1" outlineLevel="1">
      <c r="B20" s="5" t="inlineStr">
        <is>
          <t>AIPP</t>
        </is>
      </c>
      <c r="C20" s="68" t="inlineStr">
        <is>
          <t>Major</t>
        </is>
      </c>
      <c r="F20" s="46">
        <f>+SUMIFS($AA20:$DR20,$AA$7:$DR$7,F$7)</f>
        <v/>
      </c>
      <c r="G20" s="46">
        <f>+SUMIFS($AA20:$DR20,$AA$7:$DR$7,G$7)</f>
        <v/>
      </c>
      <c r="H20" s="46">
        <f>+SUMIFS($AA20:$DR20,$AA$7:$DR$7,H$7)</f>
        <v/>
      </c>
      <c r="I20" s="46">
        <f>+SUMIFS($AA20:$DR20,$AA$7:$DR$7,I$7)</f>
        <v/>
      </c>
      <c r="J20" s="46">
        <f>+SUMIFS($AA20:$DR20,$AA$7:$DR$7,J$7)</f>
        <v/>
      </c>
      <c r="K20" s="46">
        <f>+SUMIFS($AA20:$DR20,$AA$7:$DR$7,K$7)</f>
        <v/>
      </c>
      <c r="L20" s="46">
        <f>+SUMIFS($AA20:$DR20,$AA$7:$DR$7,L$7)</f>
        <v/>
      </c>
      <c r="M20" s="46">
        <f>+SUMIFS($AA20:$DR20,$AA$7:$DR$7,M$7)</f>
        <v/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47" t="n">
        <v>0</v>
      </c>
      <c r="AI20" s="47" t="n">
        <v>0</v>
      </c>
      <c r="AJ20" s="47" t="n">
        <v>0</v>
      </c>
      <c r="AK20" s="47" t="n">
        <v>0</v>
      </c>
      <c r="AL20" s="47" t="n">
        <v>0</v>
      </c>
      <c r="AM20" s="47" t="n">
        <v>0</v>
      </c>
      <c r="AN20" s="47" t="n">
        <v>0</v>
      </c>
      <c r="AO20" s="47" t="n">
        <v>0</v>
      </c>
      <c r="AP20" s="47" t="n">
        <v>0</v>
      </c>
      <c r="AQ20" s="47" t="n">
        <v>0</v>
      </c>
      <c r="AR20" s="47" t="n">
        <v>0</v>
      </c>
      <c r="AS20" s="47" t="n">
        <v>0</v>
      </c>
      <c r="AT20" s="47" t="n">
        <v>0</v>
      </c>
      <c r="AU20" s="47" t="n">
        <v>0</v>
      </c>
      <c r="AV20" s="47" t="n">
        <v>0</v>
      </c>
      <c r="AW20" s="47" t="n">
        <v>0</v>
      </c>
      <c r="AX20" s="47" t="n">
        <v>0</v>
      </c>
      <c r="AY20" s="47" t="n">
        <v>0</v>
      </c>
      <c r="AZ20" s="47" t="n">
        <v>0</v>
      </c>
      <c r="BA20" s="47" t="n">
        <v>0</v>
      </c>
      <c r="BB20" s="47" t="n">
        <v>0</v>
      </c>
      <c r="BC20" s="47" t="n">
        <v>0</v>
      </c>
      <c r="BD20" s="47" t="n">
        <v>0</v>
      </c>
      <c r="BE20" s="47" t="n">
        <v>0</v>
      </c>
      <c r="BF20" s="47" t="n">
        <v>0</v>
      </c>
      <c r="BG20" s="47" t="n">
        <v>0</v>
      </c>
      <c r="BH20" s="47" t="n">
        <v>0</v>
      </c>
      <c r="BI20" s="47" t="n">
        <v>0</v>
      </c>
      <c r="BJ20" s="47" t="n">
        <v>0</v>
      </c>
    </row>
    <row r="21" hidden="1" outlineLevel="1" ht="15.75" customHeight="1">
      <c r="B21" s="5" t="inlineStr">
        <is>
          <t>ALLEN</t>
        </is>
      </c>
      <c r="C21" s="68" t="inlineStr">
        <is>
          <t>Upper Middle Market</t>
        </is>
      </c>
      <c r="F21" s="46">
        <f>+SUMIFS($AA21:$DR21,$AA$7:$DR$7,F$7)</f>
        <v/>
      </c>
      <c r="G21" s="46">
        <f>+SUMIFS($AA21:$DR21,$AA$7:$DR$7,G$7)</f>
        <v/>
      </c>
      <c r="H21" s="46">
        <f>+SUMIFS($AA21:$DR21,$AA$7:$DR$7,H$7)</f>
        <v/>
      </c>
      <c r="I21" s="46">
        <f>+SUMIFS($AA21:$DR21,$AA$7:$DR$7,I$7)</f>
        <v/>
      </c>
      <c r="J21" s="46">
        <f>+SUMIFS($AA21:$DR21,$AA$7:$DR$7,J$7)</f>
        <v/>
      </c>
      <c r="K21" s="46">
        <f>+SUMIFS($AA21:$DR21,$AA$7:$DR$7,K$7)</f>
        <v/>
      </c>
      <c r="L21" s="46">
        <f>+SUMIFS($AA21:$DR21,$AA$7:$DR$7,L$7)</f>
        <v/>
      </c>
      <c r="M21" s="46">
        <f>+SUMIFS($AA21:$DR21,$AA$7:$DR$7,M$7)</f>
        <v/>
      </c>
      <c r="AA21" s="47" t="n">
        <v>0</v>
      </c>
      <c r="AB21" s="47" t="n">
        <v>0</v>
      </c>
      <c r="AC21" s="47" t="n">
        <v>0.07591313642756681</v>
      </c>
      <c r="AD21" s="47" t="n">
        <v>0</v>
      </c>
      <c r="AE21" s="47" t="n">
        <v>0</v>
      </c>
      <c r="AF21" s="47" t="n">
        <v>0.008127518573551264</v>
      </c>
      <c r="AG21" s="47" t="n">
        <v>0</v>
      </c>
      <c r="AH21" s="47" t="n">
        <v>0.0180451048591107</v>
      </c>
      <c r="AI21" s="47" t="n">
        <v>0</v>
      </c>
      <c r="AJ21" s="47" t="n">
        <v>0.1833102872984715</v>
      </c>
      <c r="AK21" s="47" t="n">
        <v>0.02526154402756846</v>
      </c>
      <c r="AL21" s="47" t="n">
        <v>0.1449031550040634</v>
      </c>
      <c r="AM21" s="47" t="n">
        <v>0.1121502361275089</v>
      </c>
      <c r="AN21" s="47" t="n">
        <v>1.714047388326541</v>
      </c>
      <c r="AO21" s="47" t="n">
        <v>1.218627781954928</v>
      </c>
      <c r="AP21" s="47" t="n">
        <v>1.359144601910251</v>
      </c>
      <c r="AQ21" s="47" t="n">
        <v>1.459602063646125</v>
      </c>
      <c r="AR21" s="47" t="n">
        <v>4.730245165858427</v>
      </c>
      <c r="AS21" s="47" t="n">
        <v>4.145513503090623</v>
      </c>
      <c r="AT21" s="47" t="n">
        <v>4.636629265261678</v>
      </c>
      <c r="AU21" s="47" t="n">
        <v>2.964056006733645</v>
      </c>
      <c r="AV21" s="47" t="n">
        <v>3.56765508602038</v>
      </c>
      <c r="AW21" s="47" t="n">
        <v>4.771432293519928</v>
      </c>
      <c r="AX21" s="47" t="n">
        <v>4.67592695793118</v>
      </c>
      <c r="AY21" s="47" t="n">
        <v>3.896332374869873</v>
      </c>
      <c r="AZ21" s="47" t="n">
        <v>4.149929525044424</v>
      </c>
      <c r="BA21" s="47" t="n">
        <v>3.996391171393954</v>
      </c>
      <c r="BB21" s="47" t="n">
        <v>3.762157572017585</v>
      </c>
      <c r="BC21" s="47" t="n">
        <v>5.459867188900462</v>
      </c>
      <c r="BD21" s="47" t="n">
        <v>3.964835586115264</v>
      </c>
      <c r="BE21" s="47" t="n">
        <v>2.804398994628445</v>
      </c>
      <c r="BF21" s="47" t="n">
        <v>4.31278859969939</v>
      </c>
      <c r="BG21" s="47" t="n">
        <v>3.302429841149316</v>
      </c>
      <c r="BH21" s="47" t="n">
        <v>2.09571862593726</v>
      </c>
      <c r="BI21" s="47" t="n">
        <v>4.631224097367529</v>
      </c>
      <c r="BJ21" s="47" t="n">
        <v>1.332111564198152</v>
      </c>
    </row>
    <row r="22" hidden="1" outlineLevel="1" ht="15.75" customHeight="1">
      <c r="B22" s="5" t="inlineStr">
        <is>
          <t>AMA</t>
        </is>
      </c>
      <c r="C22" s="68" t="inlineStr">
        <is>
          <t>Mega</t>
        </is>
      </c>
      <c r="F22" s="46">
        <f>+SUMIFS($AA22:$DR22,$AA$7:$DR$7,F$7)</f>
        <v/>
      </c>
      <c r="G22" s="46">
        <f>+SUMIFS($AA22:$DR22,$AA$7:$DR$7,G$7)</f>
        <v/>
      </c>
      <c r="H22" s="46">
        <f>+SUMIFS($AA22:$DR22,$AA$7:$DR$7,H$7)</f>
        <v/>
      </c>
      <c r="I22" s="46">
        <f>+SUMIFS($AA22:$DR22,$AA$7:$DR$7,I$7)</f>
        <v/>
      </c>
      <c r="J22" s="46">
        <f>+SUMIFS($AA22:$DR22,$AA$7:$DR$7,J$7)</f>
        <v/>
      </c>
      <c r="K22" s="46">
        <f>+SUMIFS($AA22:$DR22,$AA$7:$DR$7,K$7)</f>
        <v/>
      </c>
      <c r="L22" s="46">
        <f>+SUMIFS($AA22:$DR22,$AA$7:$DR$7,L$7)</f>
        <v/>
      </c>
      <c r="M22" s="46">
        <f>+SUMIFS($AA22:$DR22,$AA$7:$DR$7,M$7)</f>
        <v/>
      </c>
      <c r="AA22" s="47" t="n">
        <v>19.60372930870753</v>
      </c>
      <c r="AB22" s="47" t="n">
        <v>32.85675307980786</v>
      </c>
      <c r="AC22" s="47" t="n">
        <v>33.26764099473537</v>
      </c>
      <c r="AD22" s="47" t="n">
        <v>43.75181531107513</v>
      </c>
      <c r="AE22" s="47" t="n">
        <v>44.32075507646006</v>
      </c>
      <c r="AF22" s="47" t="n">
        <v>29.45153963307519</v>
      </c>
      <c r="AG22" s="47" t="n">
        <v>24.16102970171086</v>
      </c>
      <c r="AH22" s="47" t="n">
        <v>23.89212492530235</v>
      </c>
      <c r="AI22" s="47" t="n">
        <v>19.87467228395495</v>
      </c>
      <c r="AJ22" s="47" t="n">
        <v>23.8550278581677</v>
      </c>
      <c r="AK22" s="47" t="n">
        <v>16.44624147800187</v>
      </c>
      <c r="AL22" s="47" t="n">
        <v>14.7713660272757</v>
      </c>
      <c r="AM22" s="47" t="n">
        <v>15.25137393229588</v>
      </c>
      <c r="AN22" s="47" t="n">
        <v>23.22362133257836</v>
      </c>
      <c r="AO22" s="47" t="n">
        <v>17.43250134925415</v>
      </c>
      <c r="AP22" s="47" t="n">
        <v>15.5009018585875</v>
      </c>
      <c r="AQ22" s="47" t="n">
        <v>12.10318646905617</v>
      </c>
      <c r="AR22" s="47" t="n">
        <v>13.44829113726719</v>
      </c>
      <c r="AS22" s="47" t="n">
        <v>16.48530112887917</v>
      </c>
      <c r="AT22" s="47" t="n">
        <v>9.641369532476208</v>
      </c>
      <c r="AU22" s="47" t="n">
        <v>8.771883676301425</v>
      </c>
      <c r="AV22" s="47" t="n">
        <v>12.9222576376108</v>
      </c>
      <c r="AW22" s="47" t="n">
        <v>7.658943191228207</v>
      </c>
      <c r="AX22" s="47" t="n">
        <v>6.169860617210595</v>
      </c>
      <c r="AY22" s="47" t="n">
        <v>14.70874589219104</v>
      </c>
      <c r="AZ22" s="47" t="n">
        <v>14.75420519139729</v>
      </c>
      <c r="BA22" s="47" t="n">
        <v>15.60415896052662</v>
      </c>
      <c r="BB22" s="47" t="n">
        <v>7.817985415232406</v>
      </c>
      <c r="BC22" s="47" t="n">
        <v>13.55469273285447</v>
      </c>
      <c r="BD22" s="47" t="n">
        <v>11.8105634419263</v>
      </c>
      <c r="BE22" s="47" t="n">
        <v>14.51341799074901</v>
      </c>
      <c r="BF22" s="47" t="n">
        <v>22.26241135726982</v>
      </c>
      <c r="BG22" s="47" t="n">
        <v>13.98303150976691</v>
      </c>
      <c r="BH22" s="47" t="n">
        <v>22.83133298513208</v>
      </c>
      <c r="BI22" s="47" t="n">
        <v>22.93581160661093</v>
      </c>
      <c r="BJ22" s="47" t="n">
        <v>17.80580860136176</v>
      </c>
    </row>
    <row r="23" hidden="1" outlineLevel="1" ht="15.75" customHeight="1">
      <c r="B23" s="5" t="inlineStr">
        <is>
          <t>AORN</t>
        </is>
      </c>
      <c r="C23" s="68" t="inlineStr">
        <is>
          <t>Lower Middle Market</t>
        </is>
      </c>
      <c r="F23" s="46">
        <f>+SUMIFS($AA23:$DR23,$AA$7:$DR$7,F$7)</f>
        <v/>
      </c>
      <c r="G23" s="46">
        <f>+SUMIFS($AA23:$DR23,$AA$7:$DR$7,G$7)</f>
        <v/>
      </c>
      <c r="H23" s="46">
        <f>+SUMIFS($AA23:$DR23,$AA$7:$DR$7,H$7)</f>
        <v/>
      </c>
      <c r="I23" s="46">
        <f>+SUMIFS($AA23:$DR23,$AA$7:$DR$7,I$7)</f>
        <v/>
      </c>
      <c r="J23" s="46">
        <f>+SUMIFS($AA23:$DR23,$AA$7:$DR$7,J$7)</f>
        <v/>
      </c>
      <c r="K23" s="46">
        <f>+SUMIFS($AA23:$DR23,$AA$7:$DR$7,K$7)</f>
        <v/>
      </c>
      <c r="L23" s="46">
        <f>+SUMIFS($AA23:$DR23,$AA$7:$DR$7,L$7)</f>
        <v/>
      </c>
      <c r="M23" s="46">
        <f>+SUMIFS($AA23:$DR23,$AA$7:$DR$7,M$7)</f>
        <v/>
      </c>
      <c r="AA23" s="47" t="n">
        <v>0.2541007581243058</v>
      </c>
      <c r="AB23" s="47" t="n">
        <v>1.167647870674688</v>
      </c>
      <c r="AC23" s="47" t="n">
        <v>0.4285492206032845</v>
      </c>
      <c r="AD23" s="47" t="n">
        <v>0.3760444735202819</v>
      </c>
      <c r="AE23" s="47" t="n">
        <v>1.296803483760732</v>
      </c>
      <c r="AF23" s="47" t="n">
        <v>1.997977305485542</v>
      </c>
      <c r="AG23" s="47" t="n">
        <v>1.479557908052661</v>
      </c>
      <c r="AH23" s="47" t="n">
        <v>2.675975031812585</v>
      </c>
      <c r="AI23" s="47" t="n">
        <v>2.642221227309014</v>
      </c>
      <c r="AJ23" s="47" t="n">
        <v>2.045712148694891</v>
      </c>
      <c r="AK23" s="47" t="n">
        <v>0.3038644112254884</v>
      </c>
      <c r="AL23" s="47" t="n">
        <v>0.3575350049142981</v>
      </c>
      <c r="AM23" s="47" t="n">
        <v>1.722429750270205</v>
      </c>
      <c r="AN23" s="47" t="n">
        <v>0.2558288442253282</v>
      </c>
      <c r="AO23" s="47" t="n">
        <v>2.137890607494755</v>
      </c>
      <c r="AP23" s="47" t="n">
        <v>0.1202848818299886</v>
      </c>
      <c r="AQ23" s="47" t="n">
        <v>0.3066676796589207</v>
      </c>
      <c r="AR23" s="47" t="n">
        <v>0.241493599982501</v>
      </c>
      <c r="AS23" s="47" t="n">
        <v>0.6035381438114433</v>
      </c>
      <c r="AT23" s="47" t="n">
        <v>0.9047168914353959</v>
      </c>
      <c r="AU23" s="47" t="n">
        <v>0.853737493593724</v>
      </c>
      <c r="AV23" s="47" t="n">
        <v>0.1443492199561406</v>
      </c>
      <c r="AW23" s="47" t="n">
        <v>0.9404754402318124</v>
      </c>
      <c r="AX23" s="47" t="n">
        <v>0.5568002350468362</v>
      </c>
      <c r="AY23" s="47" t="n">
        <v>2.353046662974349</v>
      </c>
      <c r="AZ23" s="47" t="n">
        <v>1.415349803002583</v>
      </c>
      <c r="BA23" s="47" t="n">
        <v>0.6390356404762673</v>
      </c>
      <c r="BB23" s="47" t="n">
        <v>0.307737744688852</v>
      </c>
      <c r="BC23" s="47" t="n">
        <v>0.6582690576782108</v>
      </c>
      <c r="BD23" s="47" t="n">
        <v>2.401941255042641</v>
      </c>
      <c r="BE23" s="47" t="n">
        <v>2.949389187324585</v>
      </c>
      <c r="BF23" s="47" t="n">
        <v>0.5365995731847152</v>
      </c>
      <c r="BG23" s="47" t="n">
        <v>0.9371479131855082</v>
      </c>
      <c r="BH23" s="47" t="n">
        <v>2.148042948149599</v>
      </c>
      <c r="BI23" s="47" t="n">
        <v>0.1438154345092879</v>
      </c>
      <c r="BJ23" s="47" t="n">
        <v>0.6110641772004074</v>
      </c>
    </row>
    <row r="24" hidden="1" outlineLevel="1" ht="15.75" customHeight="1">
      <c r="B24" s="5" t="inlineStr">
        <is>
          <t>AOTA</t>
        </is>
      </c>
      <c r="C24" s="68" t="inlineStr">
        <is>
          <t>Lower Middle Market</t>
        </is>
      </c>
      <c r="F24" s="46">
        <f>+SUMIFS($AA24:$DR24,$AA$7:$DR$7,F$7)</f>
        <v/>
      </c>
      <c r="G24" s="46">
        <f>+SUMIFS($AA24:$DR24,$AA$7:$DR$7,G$7)</f>
        <v/>
      </c>
      <c r="H24" s="46">
        <f>+SUMIFS($AA24:$DR24,$AA$7:$DR$7,H$7)</f>
        <v/>
      </c>
      <c r="I24" s="46">
        <f>+SUMIFS($AA24:$DR24,$AA$7:$DR$7,I$7)</f>
        <v/>
      </c>
      <c r="J24" s="46">
        <f>+SUMIFS($AA24:$DR24,$AA$7:$DR$7,J$7)</f>
        <v/>
      </c>
      <c r="K24" s="46">
        <f>+SUMIFS($AA24:$DR24,$AA$7:$DR$7,K$7)</f>
        <v/>
      </c>
      <c r="L24" s="46">
        <f>+SUMIFS($AA24:$DR24,$AA$7:$DR$7,L$7)</f>
        <v/>
      </c>
      <c r="M24" s="46">
        <f>+SUMIFS($AA24:$DR24,$AA$7:$DR$7,M$7)</f>
        <v/>
      </c>
      <c r="AA24" s="47" t="n">
        <v>1.349597772511651</v>
      </c>
      <c r="AB24" s="47" t="n">
        <v>0.4007776990513783</v>
      </c>
      <c r="AC24" s="47" t="n">
        <v>0.7672624632463572</v>
      </c>
      <c r="AD24" s="47" t="n">
        <v>0.6930763400684016</v>
      </c>
      <c r="AE24" s="47" t="n">
        <v>3.211862601924848</v>
      </c>
      <c r="AF24" s="47" t="n">
        <v>1.788728077166855</v>
      </c>
      <c r="AG24" s="47" t="n">
        <v>0.2787935532733553</v>
      </c>
      <c r="AH24" s="47" t="n">
        <v>1.100381092071694</v>
      </c>
      <c r="AI24" s="47" t="n">
        <v>0.08749845834828872</v>
      </c>
      <c r="AJ24" s="47" t="n">
        <v>0.1629826888570989</v>
      </c>
      <c r="AK24" s="47" t="n">
        <v>1.016713383367856</v>
      </c>
      <c r="AL24" s="47" t="n">
        <v>1.23519921995869</v>
      </c>
      <c r="AM24" s="47" t="n">
        <v>1.165369912752016</v>
      </c>
      <c r="AN24" s="47" t="n">
        <v>0.5368093733003498</v>
      </c>
      <c r="AO24" s="47" t="n">
        <v>0.1898100661847853</v>
      </c>
      <c r="AP24" s="47" t="n">
        <v>1.049011154630844</v>
      </c>
      <c r="AQ24" s="47" t="n">
        <v>0.2313057334586134</v>
      </c>
      <c r="AR24" s="47" t="n">
        <v>0.008218872326170286</v>
      </c>
      <c r="AS24" s="47" t="n">
        <v>0.1325970114178857</v>
      </c>
      <c r="AT24" s="47" t="n">
        <v>0.08640567165185739</v>
      </c>
      <c r="AU24" s="47" t="n">
        <v>0.01717190601342533</v>
      </c>
      <c r="AV24" s="47" t="n">
        <v>0.1009209295941281</v>
      </c>
      <c r="AW24" s="47" t="n">
        <v>0.04062827534217429</v>
      </c>
      <c r="AX24" s="47" t="n">
        <v>0.09567984033869702</v>
      </c>
      <c r="AY24" s="47" t="n">
        <v>0.3913811959219188</v>
      </c>
      <c r="AZ24" s="47" t="n">
        <v>0.4792963426328825</v>
      </c>
      <c r="BA24" s="47" t="n">
        <v>0.2804593904763642</v>
      </c>
      <c r="BB24" s="47" t="n">
        <v>0.8422494169038567</v>
      </c>
      <c r="BC24" s="47" t="n">
        <v>0.1810560593905692</v>
      </c>
      <c r="BD24" s="47" t="n">
        <v>0.2200325489073635</v>
      </c>
      <c r="BE24" s="47" t="n">
        <v>0.4489425642817373</v>
      </c>
      <c r="BF24" s="47" t="n">
        <v>0.3575685301134244</v>
      </c>
      <c r="BG24" s="47" t="n">
        <v>0.8405249404973678</v>
      </c>
      <c r="BH24" s="47" t="n">
        <v>0.4206119773911526</v>
      </c>
      <c r="BI24" s="47" t="n">
        <v>0.8630283230864801</v>
      </c>
      <c r="BJ24" s="47" t="n">
        <v>0.308734862094052</v>
      </c>
    </row>
    <row r="25" hidden="1" outlineLevel="1" ht="15.75" customHeight="1">
      <c r="B25" s="5" t="inlineStr">
        <is>
          <t>ARP</t>
        </is>
      </c>
      <c r="C25" s="68" t="inlineStr">
        <is>
          <t>Lower Middle Market</t>
        </is>
      </c>
      <c r="F25" s="46">
        <f>+SUMIFS($AA25:$DR25,$AA$7:$DR$7,F$7)</f>
        <v/>
      </c>
      <c r="G25" s="46">
        <f>+SUMIFS($AA25:$DR25,$AA$7:$DR$7,G$7)</f>
        <v/>
      </c>
      <c r="H25" s="46">
        <f>+SUMIFS($AA25:$DR25,$AA$7:$DR$7,H$7)</f>
        <v/>
      </c>
      <c r="I25" s="46">
        <f>+SUMIFS($AA25:$DR25,$AA$7:$DR$7,I$7)</f>
        <v/>
      </c>
      <c r="J25" s="46">
        <f>+SUMIFS($AA25:$DR25,$AA$7:$DR$7,J$7)</f>
        <v/>
      </c>
      <c r="K25" s="46">
        <f>+SUMIFS($AA25:$DR25,$AA$7:$DR$7,K$7)</f>
        <v/>
      </c>
      <c r="L25" s="46">
        <f>+SUMIFS($AA25:$DR25,$AA$7:$DR$7,L$7)</f>
        <v/>
      </c>
      <c r="M25" s="46">
        <f>+SUMIFS($AA25:$DR25,$AA$7:$DR$7,M$7)</f>
        <v/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47" t="n">
        <v>0</v>
      </c>
      <c r="AI25" s="47" t="n">
        <v>0</v>
      </c>
      <c r="AJ25" s="47" t="n">
        <v>0</v>
      </c>
      <c r="AK25" s="47" t="n">
        <v>0</v>
      </c>
      <c r="AL25" s="47" t="n">
        <v>0</v>
      </c>
      <c r="AM25" s="47" t="n">
        <v>0</v>
      </c>
      <c r="AN25" s="47" t="n">
        <v>0</v>
      </c>
      <c r="AO25" s="47" t="n">
        <v>0</v>
      </c>
      <c r="AP25" s="47" t="n">
        <v>0</v>
      </c>
      <c r="AQ25" s="47" t="n">
        <v>0</v>
      </c>
      <c r="AR25" s="47" t="n">
        <v>0</v>
      </c>
      <c r="AS25" s="47" t="n">
        <v>0</v>
      </c>
      <c r="AT25" s="47" t="n">
        <v>0</v>
      </c>
      <c r="AU25" s="47" t="n">
        <v>0</v>
      </c>
      <c r="AV25" s="47" t="n">
        <v>0</v>
      </c>
      <c r="AW25" s="47" t="n">
        <v>0</v>
      </c>
      <c r="AX25" s="47" t="n">
        <v>0</v>
      </c>
      <c r="AY25" s="47" t="n">
        <v>0</v>
      </c>
      <c r="AZ25" s="47" t="n">
        <v>0</v>
      </c>
      <c r="BA25" s="47" t="n">
        <v>0</v>
      </c>
      <c r="BB25" s="47" t="n">
        <v>0</v>
      </c>
      <c r="BC25" s="47" t="n">
        <v>0</v>
      </c>
      <c r="BD25" s="47" t="n">
        <v>0</v>
      </c>
      <c r="BE25" s="47" t="n">
        <v>0</v>
      </c>
      <c r="BF25" s="47" t="n">
        <v>0</v>
      </c>
      <c r="BG25" s="47" t="n">
        <v>0</v>
      </c>
      <c r="BH25" s="47" t="n">
        <v>0.0707799170090542</v>
      </c>
      <c r="BI25" s="47" t="n">
        <v>0</v>
      </c>
      <c r="BJ25" s="47" t="n">
        <v>0</v>
      </c>
    </row>
    <row r="26" hidden="1" outlineLevel="1" ht="15.75" customHeight="1">
      <c r="B26" s="5" t="inlineStr">
        <is>
          <t>ARVO</t>
        </is>
      </c>
      <c r="C26" s="68" t="inlineStr">
        <is>
          <t>Lower Middle Market</t>
        </is>
      </c>
      <c r="F26" s="46">
        <f>+SUMIFS($AA26:$DR26,$AA$7:$DR$7,F$7)</f>
        <v/>
      </c>
      <c r="G26" s="46">
        <f>+SUMIFS($AA26:$DR26,$AA$7:$DR$7,G$7)</f>
        <v/>
      </c>
      <c r="H26" s="46">
        <f>+SUMIFS($AA26:$DR26,$AA$7:$DR$7,H$7)</f>
        <v/>
      </c>
      <c r="I26" s="46">
        <f>+SUMIFS($AA26:$DR26,$AA$7:$DR$7,I$7)</f>
        <v/>
      </c>
      <c r="J26" s="46">
        <f>+SUMIFS($AA26:$DR26,$AA$7:$DR$7,J$7)</f>
        <v/>
      </c>
      <c r="K26" s="46">
        <f>+SUMIFS($AA26:$DR26,$AA$7:$DR$7,K$7)</f>
        <v/>
      </c>
      <c r="L26" s="46">
        <f>+SUMIFS($AA26:$DR26,$AA$7:$DR$7,L$7)</f>
        <v/>
      </c>
      <c r="M26" s="46">
        <f>+SUMIFS($AA26:$DR26,$AA$7:$DR$7,M$7)</f>
        <v/>
      </c>
      <c r="AA26" s="47" t="n">
        <v>0.8333587879598203</v>
      </c>
      <c r="AB26" s="47" t="n">
        <v>0.4472328115447374</v>
      </c>
      <c r="AC26" s="47" t="n">
        <v>0.6568518936803617</v>
      </c>
      <c r="AD26" s="47" t="n">
        <v>1.673779951009027</v>
      </c>
      <c r="AE26" s="47" t="n">
        <v>1.29017672547408</v>
      </c>
      <c r="AF26" s="47" t="n">
        <v>0.3436819548575862</v>
      </c>
      <c r="AG26" s="47" t="n">
        <v>0.5760034473506757</v>
      </c>
      <c r="AH26" s="47" t="n">
        <v>0.9359400766045135</v>
      </c>
      <c r="AI26" s="47" t="n">
        <v>0.2044704954755392</v>
      </c>
      <c r="AJ26" s="47" t="n">
        <v>0.1438468145865462</v>
      </c>
      <c r="AK26" s="47" t="n">
        <v>0.8204716687445557</v>
      </c>
      <c r="AL26" s="47" t="n">
        <v>0.1959674095784863</v>
      </c>
      <c r="AM26" s="47" t="n">
        <v>0.1757843299733221</v>
      </c>
      <c r="AN26" s="47" t="n">
        <v>1.298310802428172</v>
      </c>
      <c r="AO26" s="47" t="n">
        <v>0.3240233109395088</v>
      </c>
      <c r="AP26" s="47" t="n">
        <v>0.4154597522091111</v>
      </c>
      <c r="AQ26" s="47" t="n">
        <v>0.1237855059826644</v>
      </c>
      <c r="AR26" s="47" t="n">
        <v>0.6004428492620832</v>
      </c>
      <c r="AS26" s="47" t="n">
        <v>0.1513903545658748</v>
      </c>
      <c r="AT26" s="47" t="n">
        <v>2.05185009171743</v>
      </c>
      <c r="AU26" s="47" t="n">
        <v>0.6062682460453203</v>
      </c>
      <c r="AV26" s="47" t="n">
        <v>0.2547250990250893</v>
      </c>
      <c r="AW26" s="47" t="n">
        <v>1.303953622378937</v>
      </c>
      <c r="AX26" s="47" t="n">
        <v>0.1578805876999206</v>
      </c>
      <c r="AY26" s="47" t="n">
        <v>0.9518479420590706</v>
      </c>
      <c r="AZ26" s="47" t="n">
        <v>1.265870746731037</v>
      </c>
      <c r="BA26" s="47" t="n">
        <v>0.1475155367416457</v>
      </c>
      <c r="BB26" s="47" t="n">
        <v>0.05802127998042601</v>
      </c>
      <c r="BC26" s="47" t="n">
        <v>0.9863918365548133</v>
      </c>
      <c r="BD26" s="47" t="n">
        <v>0.1379598183598857</v>
      </c>
      <c r="BE26" s="47" t="n">
        <v>0.1489633379226283</v>
      </c>
      <c r="BF26" s="47" t="n">
        <v>0.01759040836367923</v>
      </c>
      <c r="BG26" s="47" t="n">
        <v>0.4690955934490081</v>
      </c>
      <c r="BH26" s="47" t="n">
        <v>0.0435210160681755</v>
      </c>
      <c r="BI26" s="47" t="n">
        <v>0.122928134695385</v>
      </c>
      <c r="BJ26" s="47" t="n">
        <v>0.06087980278572717</v>
      </c>
    </row>
    <row r="27" hidden="1" outlineLevel="1" ht="15.75" customHeight="1">
      <c r="B27" s="5" t="inlineStr">
        <is>
          <t>ASA</t>
        </is>
      </c>
      <c r="C27" s="68" t="inlineStr">
        <is>
          <t>Upper Middle Market</t>
        </is>
      </c>
      <c r="F27" s="46">
        <f>+SUMIFS($AA27:$DR27,$AA$7:$DR$7,F$7)</f>
        <v/>
      </c>
      <c r="G27" s="46">
        <f>+SUMIFS($AA27:$DR27,$AA$7:$DR$7,G$7)</f>
        <v/>
      </c>
      <c r="H27" s="46">
        <f>+SUMIFS($AA27:$DR27,$AA$7:$DR$7,H$7)</f>
        <v/>
      </c>
      <c r="I27" s="46">
        <f>+SUMIFS($AA27:$DR27,$AA$7:$DR$7,I$7)</f>
        <v/>
      </c>
      <c r="J27" s="46">
        <f>+SUMIFS($AA27:$DR27,$AA$7:$DR$7,J$7)</f>
        <v/>
      </c>
      <c r="K27" s="46">
        <f>+SUMIFS($AA27:$DR27,$AA$7:$DR$7,K$7)</f>
        <v/>
      </c>
      <c r="L27" s="46">
        <f>+SUMIFS($AA27:$DR27,$AA$7:$DR$7,L$7)</f>
        <v/>
      </c>
      <c r="M27" s="46">
        <f>+SUMIFS($AA27:$DR27,$AA$7:$DR$7,M$7)</f>
        <v/>
      </c>
      <c r="AA27" s="47" t="n">
        <v>4.650805055522165</v>
      </c>
      <c r="AB27" s="47" t="n">
        <v>1.521418456270658</v>
      </c>
      <c r="AC27" s="47" t="n">
        <v>3.080628260345647</v>
      </c>
      <c r="AD27" s="47" t="n">
        <v>0.9461282003260241</v>
      </c>
      <c r="AE27" s="47" t="n">
        <v>2.713713264266359</v>
      </c>
      <c r="AF27" s="47" t="n">
        <v>3.062458054020243</v>
      </c>
      <c r="AG27" s="47" t="n">
        <v>1.337914894330907</v>
      </c>
      <c r="AH27" s="47" t="n">
        <v>2.265294856038243</v>
      </c>
      <c r="AI27" s="47" t="n">
        <v>0.3957419120422065</v>
      </c>
      <c r="AJ27" s="47" t="n">
        <v>1.581341171920159</v>
      </c>
      <c r="AK27" s="47" t="n">
        <v>1.842870808503404</v>
      </c>
      <c r="AL27" s="47" t="n">
        <v>2.49235896770952</v>
      </c>
      <c r="AM27" s="47" t="n">
        <v>1.700157414239512</v>
      </c>
      <c r="AN27" s="47" t="n">
        <v>1.375075969248847</v>
      </c>
      <c r="AO27" s="47" t="n">
        <v>1.308485144800875</v>
      </c>
      <c r="AP27" s="47" t="n">
        <v>0.5532750614428164</v>
      </c>
      <c r="AQ27" s="47" t="n">
        <v>0.5109289564774789</v>
      </c>
      <c r="AR27" s="47" t="n">
        <v>1.004878191721391</v>
      </c>
      <c r="AS27" s="47" t="n">
        <v>1.116685136467494</v>
      </c>
      <c r="AT27" s="47" t="n">
        <v>0.4856794105117561</v>
      </c>
      <c r="AU27" s="47" t="n">
        <v>2.064658637220957</v>
      </c>
      <c r="AV27" s="47" t="n">
        <v>0.850157489017473</v>
      </c>
      <c r="AW27" s="47" t="n">
        <v>0.5640798336686444</v>
      </c>
      <c r="AX27" s="47" t="n">
        <v>0.5431194569076756</v>
      </c>
      <c r="AY27" s="47" t="n">
        <v>1.427220963341344</v>
      </c>
      <c r="AZ27" s="47" t="n">
        <v>0.5893095195107865</v>
      </c>
      <c r="BA27" s="47" t="n">
        <v>0.4900969436262453</v>
      </c>
      <c r="BB27" s="47" t="n">
        <v>0.6521701120543273</v>
      </c>
      <c r="BC27" s="47" t="n">
        <v>0.6821273025822621</v>
      </c>
      <c r="BD27" s="47" t="n">
        <v>1.32240465088782</v>
      </c>
      <c r="BE27" s="47" t="n">
        <v>0.4027108467551694</v>
      </c>
      <c r="BF27" s="47" t="n">
        <v>0.6902725155858894</v>
      </c>
      <c r="BG27" s="47" t="n">
        <v>0.1961827296523336</v>
      </c>
      <c r="BH27" s="47" t="n">
        <v>0.5045833102352929</v>
      </c>
      <c r="BI27" s="47" t="n">
        <v>0.2105614862397772</v>
      </c>
      <c r="BJ27" s="47" t="n">
        <v>0.8782506662712946</v>
      </c>
    </row>
    <row r="28" hidden="1" outlineLevel="1" ht="15.75" customHeight="1">
      <c r="B28" s="5" t="inlineStr">
        <is>
          <t>ASM</t>
        </is>
      </c>
      <c r="C28" s="68" t="inlineStr">
        <is>
          <t>Upper Middle Market</t>
        </is>
      </c>
      <c r="F28" s="46">
        <f>+SUMIFS($AA28:$DR28,$AA$7:$DR$7,F$7)</f>
        <v/>
      </c>
      <c r="G28" s="46">
        <f>+SUMIFS($AA28:$DR28,$AA$7:$DR$7,G$7)</f>
        <v/>
      </c>
      <c r="H28" s="46">
        <f>+SUMIFS($AA28:$DR28,$AA$7:$DR$7,H$7)</f>
        <v/>
      </c>
      <c r="I28" s="46">
        <f>+SUMIFS($AA28:$DR28,$AA$7:$DR$7,I$7)</f>
        <v/>
      </c>
      <c r="J28" s="46">
        <f>+SUMIFS($AA28:$DR28,$AA$7:$DR$7,J$7)</f>
        <v/>
      </c>
      <c r="K28" s="46">
        <f>+SUMIFS($AA28:$DR28,$AA$7:$DR$7,K$7)</f>
        <v/>
      </c>
      <c r="L28" s="46">
        <f>+SUMIFS($AA28:$DR28,$AA$7:$DR$7,L$7)</f>
        <v/>
      </c>
      <c r="M28" s="46">
        <f>+SUMIFS($AA28:$DR28,$AA$7:$DR$7,M$7)</f>
        <v/>
      </c>
      <c r="AA28" s="47" t="n">
        <v>0.3371883897581039</v>
      </c>
      <c r="AB28" s="47" t="n">
        <v>3.029123225418909</v>
      </c>
      <c r="AC28" s="47" t="n">
        <v>1.339787516025072</v>
      </c>
      <c r="AD28" s="47" t="n">
        <v>3.866483038246457</v>
      </c>
      <c r="AE28" s="47" t="n">
        <v>2.005296530284979</v>
      </c>
      <c r="AF28" s="47" t="n">
        <v>4.728163483611454</v>
      </c>
      <c r="AG28" s="47" t="n">
        <v>3.302749267125338</v>
      </c>
      <c r="AH28" s="47" t="n">
        <v>2.275919899984528</v>
      </c>
      <c r="AI28" s="47" t="n">
        <v>2.81663835681228</v>
      </c>
      <c r="AJ28" s="47" t="n">
        <v>3.249555628646196</v>
      </c>
      <c r="AK28" s="47" t="n">
        <v>4.545633605113801</v>
      </c>
      <c r="AL28" s="47" t="n">
        <v>2.616067890704529</v>
      </c>
      <c r="AM28" s="47" t="n">
        <v>1.926155404781342</v>
      </c>
      <c r="AN28" s="47" t="n">
        <v>1.914551942348446</v>
      </c>
      <c r="AO28" s="47" t="n">
        <v>1.330046579349158</v>
      </c>
      <c r="AP28" s="47" t="n">
        <v>0.9495567558798188</v>
      </c>
      <c r="AQ28" s="47" t="n">
        <v>1.372034979675923</v>
      </c>
      <c r="AR28" s="47" t="n">
        <v>1.912577820859604</v>
      </c>
      <c r="AS28" s="47" t="n">
        <v>2.155635645215717</v>
      </c>
      <c r="AT28" s="47" t="n">
        <v>3.266519218814113</v>
      </c>
      <c r="AU28" s="47" t="n">
        <v>2.130421925401703</v>
      </c>
      <c r="AV28" s="47" t="n">
        <v>1.745832764790794</v>
      </c>
      <c r="AW28" s="47" t="n">
        <v>1.121768121323631</v>
      </c>
      <c r="AX28" s="47" t="n">
        <v>1.564192510593048</v>
      </c>
      <c r="AY28" s="47" t="n">
        <v>1.729367523998</v>
      </c>
      <c r="AZ28" s="47" t="n">
        <v>1.06087656247559</v>
      </c>
      <c r="BA28" s="47" t="n">
        <v>2.092075789537864</v>
      </c>
      <c r="BB28" s="47" t="n">
        <v>3.530991541868649</v>
      </c>
      <c r="BC28" s="47" t="n">
        <v>1.068248180568928</v>
      </c>
      <c r="BD28" s="47" t="n">
        <v>1.617049823347553</v>
      </c>
      <c r="BE28" s="47" t="n">
        <v>2.504385926732371</v>
      </c>
      <c r="BF28" s="47" t="n">
        <v>2.707212655670111</v>
      </c>
      <c r="BG28" s="47" t="n">
        <v>3.91867184866397</v>
      </c>
      <c r="BH28" s="47" t="n">
        <v>0.3398743128497219</v>
      </c>
      <c r="BI28" s="47" t="n">
        <v>0.864956331063693</v>
      </c>
      <c r="BJ28" s="47" t="n">
        <v>0.5876998772546499</v>
      </c>
    </row>
    <row r="29" hidden="1" outlineLevel="1" ht="15.75" customHeight="1">
      <c r="B29" s="5" t="inlineStr">
        <is>
          <t>ASME</t>
        </is>
      </c>
      <c r="C29" s="68" t="inlineStr">
        <is>
          <t>Major</t>
        </is>
      </c>
      <c r="F29" s="46">
        <f>+SUMIFS($AA29:$DR29,$AA$7:$DR$7,F$7)</f>
        <v/>
      </c>
      <c r="G29" s="46">
        <f>+SUMIFS($AA29:$DR29,$AA$7:$DR$7,G$7)</f>
        <v/>
      </c>
      <c r="H29" s="46">
        <f>+SUMIFS($AA29:$DR29,$AA$7:$DR$7,H$7)</f>
        <v/>
      </c>
      <c r="I29" s="46">
        <f>+SUMIFS($AA29:$DR29,$AA$7:$DR$7,I$7)</f>
        <v/>
      </c>
      <c r="J29" s="46">
        <f>+SUMIFS($AA29:$DR29,$AA$7:$DR$7,J$7)</f>
        <v/>
      </c>
      <c r="K29" s="46">
        <f>+SUMIFS($AA29:$DR29,$AA$7:$DR$7,K$7)</f>
        <v/>
      </c>
      <c r="L29" s="46">
        <f>+SUMIFS($AA29:$DR29,$AA$7:$DR$7,L$7)</f>
        <v/>
      </c>
      <c r="M29" s="46">
        <f>+SUMIFS($AA29:$DR29,$AA$7:$DR$7,M$7)</f>
        <v/>
      </c>
      <c r="AA29" s="47" t="n">
        <v>3.431451278215534</v>
      </c>
      <c r="AB29" s="47" t="n">
        <v>4.661149768741089</v>
      </c>
      <c r="AC29" s="47" t="n">
        <v>2.891669882481533</v>
      </c>
      <c r="AD29" s="47" t="n">
        <v>6.045390449435508</v>
      </c>
      <c r="AE29" s="47" t="n">
        <v>5.242738373193554</v>
      </c>
      <c r="AF29" s="47" t="n">
        <v>7.306297890699073</v>
      </c>
      <c r="AG29" s="47" t="n">
        <v>4.856789463017154</v>
      </c>
      <c r="AH29" s="47" t="n">
        <v>5.168484719446177</v>
      </c>
      <c r="AI29" s="47" t="n">
        <v>8.758455171102465</v>
      </c>
      <c r="AJ29" s="47" t="n">
        <v>10.64983360441778</v>
      </c>
      <c r="AK29" s="47" t="n">
        <v>18.82089853893045</v>
      </c>
      <c r="AL29" s="47" t="n">
        <v>11.58366820977462</v>
      </c>
      <c r="AM29" s="47" t="n">
        <v>10.84593901909298</v>
      </c>
      <c r="AN29" s="47" t="n">
        <v>10.65166257086464</v>
      </c>
      <c r="AO29" s="47" t="n">
        <v>6.807378063078216</v>
      </c>
      <c r="AP29" s="47" t="n">
        <v>6.758472209579688</v>
      </c>
      <c r="AQ29" s="47" t="n">
        <v>6.680339648335618</v>
      </c>
      <c r="AR29" s="47" t="n">
        <v>8.930271337448103</v>
      </c>
      <c r="AS29" s="47" t="n">
        <v>7.7068189437418</v>
      </c>
      <c r="AT29" s="47" t="n">
        <v>13.32917827677232</v>
      </c>
      <c r="AU29" s="47" t="n">
        <v>6.636582630447192</v>
      </c>
      <c r="AV29" s="47" t="n">
        <v>7.143021823142305</v>
      </c>
      <c r="AW29" s="47" t="n">
        <v>3.267700196493827</v>
      </c>
      <c r="AX29" s="47" t="n">
        <v>3.093568523164925</v>
      </c>
      <c r="AY29" s="47" t="n">
        <v>4.619427712042951</v>
      </c>
      <c r="AZ29" s="47" t="n">
        <v>2.94779708146148</v>
      </c>
      <c r="BA29" s="47" t="n">
        <v>6.06051312226241</v>
      </c>
      <c r="BB29" s="47" t="n">
        <v>3.640181147823669</v>
      </c>
      <c r="BC29" s="47" t="n">
        <v>5.54179938747873</v>
      </c>
      <c r="BD29" s="47" t="n">
        <v>5.101824958782021</v>
      </c>
      <c r="BE29" s="47" t="n">
        <v>5.305888617101116</v>
      </c>
      <c r="BF29" s="47" t="n">
        <v>5.156667214774025</v>
      </c>
      <c r="BG29" s="47" t="n">
        <v>8.366057050875581</v>
      </c>
      <c r="BH29" s="47" t="n">
        <v>12.26546660287181</v>
      </c>
      <c r="BI29" s="47" t="n">
        <v>8.990064847477127</v>
      </c>
      <c r="BJ29" s="47" t="n">
        <v>3.921262902220279</v>
      </c>
    </row>
    <row r="30" hidden="1" outlineLevel="1" ht="15.75" customHeight="1">
      <c r="B30" s="5" t="inlineStr">
        <is>
          <t>COB</t>
        </is>
      </c>
      <c r="C30" s="68" t="inlineStr">
        <is>
          <t>Upper Middle Market</t>
        </is>
      </c>
      <c r="F30" s="46">
        <f>+SUMIFS($AA30:$DR30,$AA$7:$DR$7,F$7)</f>
        <v/>
      </c>
      <c r="G30" s="46">
        <f>+SUMIFS($AA30:$DR30,$AA$7:$DR$7,G$7)</f>
        <v/>
      </c>
      <c r="H30" s="46">
        <f>+SUMIFS($AA30:$DR30,$AA$7:$DR$7,H$7)</f>
        <v/>
      </c>
      <c r="I30" s="46">
        <f>+SUMIFS($AA30:$DR30,$AA$7:$DR$7,I$7)</f>
        <v/>
      </c>
      <c r="J30" s="46">
        <f>+SUMIFS($AA30:$DR30,$AA$7:$DR$7,J$7)</f>
        <v/>
      </c>
      <c r="K30" s="46">
        <f>+SUMIFS($AA30:$DR30,$AA$7:$DR$7,K$7)</f>
        <v/>
      </c>
      <c r="L30" s="46">
        <f>+SUMIFS($AA30:$DR30,$AA$7:$DR$7,L$7)</f>
        <v/>
      </c>
      <c r="M30" s="46">
        <f>+SUMIFS($AA30:$DR30,$AA$7:$DR$7,M$7)</f>
        <v/>
      </c>
      <c r="AA30" s="47" t="n">
        <v>0</v>
      </c>
      <c r="AB30" s="47" t="n">
        <v>0</v>
      </c>
      <c r="AC30" s="47" t="n">
        <v>0</v>
      </c>
      <c r="AD30" s="47" t="n">
        <v>0</v>
      </c>
      <c r="AE30" s="47" t="n">
        <v>0</v>
      </c>
      <c r="AF30" s="47" t="n">
        <v>0</v>
      </c>
      <c r="AG30" s="47" t="n">
        <v>0</v>
      </c>
      <c r="AH30" s="47" t="n">
        <v>0</v>
      </c>
      <c r="AI30" s="47" t="n">
        <v>0</v>
      </c>
      <c r="AJ30" s="47" t="n">
        <v>0</v>
      </c>
      <c r="AK30" s="47" t="n">
        <v>0</v>
      </c>
      <c r="AL30" s="47" t="n">
        <v>0</v>
      </c>
      <c r="AM30" s="47" t="n">
        <v>0</v>
      </c>
      <c r="AN30" s="47" t="n">
        <v>0</v>
      </c>
      <c r="AO30" s="47" t="n">
        <v>0</v>
      </c>
      <c r="AP30" s="47" t="n">
        <v>0</v>
      </c>
      <c r="AQ30" s="47" t="n">
        <v>0</v>
      </c>
      <c r="AR30" s="47" t="n">
        <v>0.006900137931034484</v>
      </c>
      <c r="AS30" s="47" t="n">
        <v>0</v>
      </c>
      <c r="AT30" s="47" t="n">
        <v>0.004213313829848692</v>
      </c>
      <c r="AU30" s="47" t="n">
        <v>0</v>
      </c>
      <c r="AV30" s="47" t="n">
        <v>0</v>
      </c>
      <c r="AW30" s="47" t="n">
        <v>0</v>
      </c>
      <c r="AX30" s="47" t="n">
        <v>0.04669705125132071</v>
      </c>
      <c r="AY30" s="47" t="n">
        <v>0.09662737537618389</v>
      </c>
      <c r="AZ30" s="47" t="n">
        <v>0.3545268263961007</v>
      </c>
      <c r="BA30" s="47" t="n">
        <v>0.4504771884043025</v>
      </c>
      <c r="BB30" s="47" t="n">
        <v>0.8791213315728595</v>
      </c>
      <c r="BC30" s="47" t="n">
        <v>1.992311719436766</v>
      </c>
      <c r="BD30" s="47" t="n">
        <v>2.772826596917542</v>
      </c>
      <c r="BE30" s="47" t="n">
        <v>3.003359799756015</v>
      </c>
      <c r="BF30" s="47" t="n">
        <v>0.6561067971482571</v>
      </c>
      <c r="BG30" s="47" t="n">
        <v>1.641419703959222</v>
      </c>
      <c r="BH30" s="47" t="n">
        <v>1.831086204779615</v>
      </c>
      <c r="BI30" s="47" t="n">
        <v>1.405685082220309</v>
      </c>
      <c r="BJ30" s="47" t="n">
        <v>0.6697753402201283</v>
      </c>
    </row>
    <row r="31" hidden="1" outlineLevel="1" ht="15.75" customHeight="1">
      <c r="B31" s="5" t="inlineStr">
        <is>
          <t>DUP</t>
        </is>
      </c>
      <c r="C31" s="68" t="inlineStr">
        <is>
          <t>Upper Middle Market</t>
        </is>
      </c>
      <c r="F31" s="46">
        <f>+SUMIFS($AA31:$DR31,$AA$7:$DR$7,F$7)</f>
        <v/>
      </c>
      <c r="G31" s="46">
        <f>+SUMIFS($AA31:$DR31,$AA$7:$DR$7,G$7)</f>
        <v/>
      </c>
      <c r="H31" s="46">
        <f>+SUMIFS($AA31:$DR31,$AA$7:$DR$7,H$7)</f>
        <v/>
      </c>
      <c r="I31" s="46">
        <f>+SUMIFS($AA31:$DR31,$AA$7:$DR$7,I$7)</f>
        <v/>
      </c>
      <c r="J31" s="46">
        <f>+SUMIFS($AA31:$DR31,$AA$7:$DR$7,J$7)</f>
        <v/>
      </c>
      <c r="K31" s="46">
        <f>+SUMIFS($AA31:$DR31,$AA$7:$DR$7,K$7)</f>
        <v/>
      </c>
      <c r="L31" s="46">
        <f>+SUMIFS($AA31:$DR31,$AA$7:$DR$7,L$7)</f>
        <v/>
      </c>
      <c r="M31" s="46">
        <f>+SUMIFS($AA31:$DR31,$AA$7:$DR$7,M$7)</f>
        <v/>
      </c>
      <c r="AA31" s="47" t="n">
        <v>11.17795885262633</v>
      </c>
      <c r="AB31" s="47" t="n">
        <v>4.974423752521185</v>
      </c>
      <c r="AC31" s="47" t="n">
        <v>8.380977640827275</v>
      </c>
      <c r="AD31" s="47" t="n">
        <v>8.649418519024881</v>
      </c>
      <c r="AE31" s="47" t="n">
        <v>4.459707383027133</v>
      </c>
      <c r="AF31" s="47" t="n">
        <v>9.775591868745462</v>
      </c>
      <c r="AG31" s="47" t="n">
        <v>6.98389675973802</v>
      </c>
      <c r="AH31" s="47" t="n">
        <v>8.130102645486895</v>
      </c>
      <c r="AI31" s="47" t="n">
        <v>6.137846478634033</v>
      </c>
      <c r="AJ31" s="47" t="n">
        <v>4.61144300893079</v>
      </c>
      <c r="AK31" s="47" t="n">
        <v>8.388124292264775</v>
      </c>
      <c r="AL31" s="47" t="n">
        <v>4.113963809321496</v>
      </c>
      <c r="AM31" s="47" t="n">
        <v>3.028064093181394</v>
      </c>
      <c r="AN31" s="47" t="n">
        <v>4.13322516234834</v>
      </c>
      <c r="AO31" s="47" t="n">
        <v>3.350956364024451</v>
      </c>
      <c r="AP31" s="47" t="n">
        <v>2.203159473699857</v>
      </c>
      <c r="AQ31" s="47" t="n">
        <v>1.508313389590531</v>
      </c>
      <c r="AR31" s="47" t="n">
        <v>2.742656719473255</v>
      </c>
      <c r="AS31" s="47" t="n">
        <v>4.67392900304895</v>
      </c>
      <c r="AT31" s="47" t="n">
        <v>2.640454718645235</v>
      </c>
      <c r="AU31" s="47" t="n">
        <v>1.685996533105484</v>
      </c>
      <c r="AV31" s="47" t="n">
        <v>3.557268101773297</v>
      </c>
      <c r="AW31" s="47" t="n">
        <v>1.589956787135703</v>
      </c>
      <c r="AX31" s="47" t="n">
        <v>0.9060555898907443</v>
      </c>
      <c r="AY31" s="47" t="n">
        <v>2.100044416706189</v>
      </c>
      <c r="AZ31" s="47" t="n">
        <v>2.438536415764901</v>
      </c>
      <c r="BA31" s="47" t="n">
        <v>1.877176671592898</v>
      </c>
      <c r="BB31" s="47" t="n">
        <v>1.636595460754341</v>
      </c>
      <c r="BC31" s="47" t="n">
        <v>1.327504826597468</v>
      </c>
      <c r="BD31" s="47" t="n">
        <v>2.400045355332975</v>
      </c>
      <c r="BE31" s="47" t="n">
        <v>1.581285057683949</v>
      </c>
      <c r="BF31" s="47" t="n">
        <v>1.756279206025154</v>
      </c>
      <c r="BG31" s="47" t="n">
        <v>2.94126175457308</v>
      </c>
      <c r="BH31" s="47" t="n">
        <v>5.317082708380955</v>
      </c>
      <c r="BI31" s="47" t="n">
        <v>3.6914273278049</v>
      </c>
      <c r="BJ31" s="47" t="n">
        <v>3.792312431789155</v>
      </c>
    </row>
    <row r="32" hidden="1" outlineLevel="1" ht="15.75" customHeight="1">
      <c r="B32" s="5" t="inlineStr">
        <is>
          <t>GSW</t>
        </is>
      </c>
      <c r="C32" s="68" t="inlineStr">
        <is>
          <t>Major</t>
        </is>
      </c>
      <c r="F32" s="46">
        <f>+SUMIFS($AA32:$DR32,$AA$7:$DR$7,F$7)</f>
        <v/>
      </c>
      <c r="G32" s="46">
        <f>+SUMIFS($AA32:$DR32,$AA$7:$DR$7,G$7)</f>
        <v/>
      </c>
      <c r="H32" s="46">
        <f>+SUMIFS($AA32:$DR32,$AA$7:$DR$7,H$7)</f>
        <v/>
      </c>
      <c r="I32" s="46">
        <f>+SUMIFS($AA32:$DR32,$AA$7:$DR$7,I$7)</f>
        <v/>
      </c>
      <c r="J32" s="46">
        <f>+SUMIFS($AA32:$DR32,$AA$7:$DR$7,J$7)</f>
        <v/>
      </c>
      <c r="K32" s="46">
        <f>+SUMIFS($AA32:$DR32,$AA$7:$DR$7,K$7)</f>
        <v/>
      </c>
      <c r="L32" s="46">
        <f>+SUMIFS($AA32:$DR32,$AA$7:$DR$7,L$7)</f>
        <v/>
      </c>
      <c r="M32" s="46">
        <f>+SUMIFS($AA32:$DR32,$AA$7:$DR$7,M$7)</f>
        <v/>
      </c>
      <c r="AA32" s="47" t="n">
        <v>11.94633063934452</v>
      </c>
      <c r="AB32" s="47" t="n">
        <v>12.93392226978096</v>
      </c>
      <c r="AC32" s="47" t="n">
        <v>14.99128802734057</v>
      </c>
      <c r="AD32" s="47" t="n">
        <v>9.186899742602021</v>
      </c>
      <c r="AE32" s="47" t="n">
        <v>6.653378973539134</v>
      </c>
      <c r="AF32" s="47" t="n">
        <v>6.850990647303941</v>
      </c>
      <c r="AG32" s="47" t="n">
        <v>8.145842716446426</v>
      </c>
      <c r="AH32" s="47" t="n">
        <v>6.073685199163389</v>
      </c>
      <c r="AI32" s="47" t="n">
        <v>9.736421296432198</v>
      </c>
      <c r="AJ32" s="47" t="n">
        <v>9.817287295238144</v>
      </c>
      <c r="AK32" s="47" t="n">
        <v>6.793240990001007</v>
      </c>
      <c r="AL32" s="47" t="n">
        <v>6.884705599901674</v>
      </c>
      <c r="AM32" s="47" t="n">
        <v>7.91395632590647</v>
      </c>
      <c r="AN32" s="47" t="n">
        <v>10.7597060726164</v>
      </c>
      <c r="AO32" s="47" t="n">
        <v>6.335187825171145</v>
      </c>
      <c r="AP32" s="47" t="n">
        <v>4.920172182600985</v>
      </c>
      <c r="AQ32" s="47" t="n">
        <v>8.07444461967034</v>
      </c>
      <c r="AR32" s="47" t="n">
        <v>8.231880724889379</v>
      </c>
      <c r="AS32" s="47" t="n">
        <v>4.415234208809598</v>
      </c>
      <c r="AT32" s="47" t="n">
        <v>3.235744816581057</v>
      </c>
      <c r="AU32" s="47" t="n">
        <v>8.232894954326962</v>
      </c>
      <c r="AV32" s="47" t="n">
        <v>8.484291482702268</v>
      </c>
      <c r="AW32" s="47" t="n">
        <v>3.318997041296336</v>
      </c>
      <c r="AX32" s="47" t="n">
        <v>5.127553543325118</v>
      </c>
      <c r="AY32" s="47" t="n">
        <v>6.96318570697132</v>
      </c>
      <c r="AZ32" s="47" t="n">
        <v>7.445989249299917</v>
      </c>
      <c r="BA32" s="47" t="n">
        <v>5.518579120571801</v>
      </c>
      <c r="BB32" s="47" t="n">
        <v>6.148017785115088</v>
      </c>
      <c r="BC32" s="47" t="n">
        <v>4.70388402662469</v>
      </c>
      <c r="BD32" s="47" t="n">
        <v>4.201430301063985</v>
      </c>
      <c r="BE32" s="47" t="n">
        <v>2.029892820077073</v>
      </c>
      <c r="BF32" s="47" t="n">
        <v>2.874639694541947</v>
      </c>
      <c r="BG32" s="47" t="n">
        <v>4.997872419745417</v>
      </c>
      <c r="BH32" s="47" t="n">
        <v>3.050918151873713</v>
      </c>
      <c r="BI32" s="47" t="n">
        <v>1.773638042732347</v>
      </c>
      <c r="BJ32" s="47" t="n">
        <v>3.416025786500795</v>
      </c>
    </row>
    <row r="33" hidden="1" outlineLevel="1" ht="15.75" customHeight="1">
      <c r="B33" s="5" t="inlineStr">
        <is>
          <t>HEM</t>
        </is>
      </c>
      <c r="C33" s="68" t="inlineStr">
        <is>
          <t>Upper Middle Market</t>
        </is>
      </c>
      <c r="F33" s="46">
        <f>+SUMIFS($AA33:$DR33,$AA$7:$DR$7,F$7)</f>
        <v/>
      </c>
      <c r="G33" s="46">
        <f>+SUMIFS($AA33:$DR33,$AA$7:$DR$7,G$7)</f>
        <v/>
      </c>
      <c r="H33" s="46">
        <f>+SUMIFS($AA33:$DR33,$AA$7:$DR$7,H$7)</f>
        <v/>
      </c>
      <c r="I33" s="46">
        <f>+SUMIFS($AA33:$DR33,$AA$7:$DR$7,I$7)</f>
        <v/>
      </c>
      <c r="J33" s="46">
        <f>+SUMIFS($AA33:$DR33,$AA$7:$DR$7,J$7)</f>
        <v/>
      </c>
      <c r="K33" s="46">
        <f>+SUMIFS($AA33:$DR33,$AA$7:$DR$7,K$7)</f>
        <v/>
      </c>
      <c r="L33" s="46">
        <f>+SUMIFS($AA33:$DR33,$AA$7:$DR$7,L$7)</f>
        <v/>
      </c>
      <c r="M33" s="46">
        <f>+SUMIFS($AA33:$DR33,$AA$7:$DR$7,M$7)</f>
        <v/>
      </c>
      <c r="AA33" s="47" t="n">
        <v>0</v>
      </c>
      <c r="AB33" s="47" t="n">
        <v>0</v>
      </c>
      <c r="AC33" s="47" t="n">
        <v>0.006972639885222382</v>
      </c>
      <c r="AD33" s="47" t="n">
        <v>0</v>
      </c>
      <c r="AE33" s="47" t="n">
        <v>0.01955839094159714</v>
      </c>
      <c r="AF33" s="47" t="n">
        <v>0.04063759286775632</v>
      </c>
      <c r="AG33" s="47" t="n">
        <v>0.06215704545454546</v>
      </c>
      <c r="AH33" s="47" t="n">
        <v>0.174280824070303</v>
      </c>
      <c r="AI33" s="47" t="n">
        <v>0.2874571444910901</v>
      </c>
      <c r="AJ33" s="47" t="n">
        <v>1.96762780644768</v>
      </c>
      <c r="AK33" s="47" t="n">
        <v>2.987833837055409</v>
      </c>
      <c r="AL33" s="47" t="n">
        <v>1.029299526170629</v>
      </c>
      <c r="AM33" s="47" t="n">
        <v>3.635777939383903</v>
      </c>
      <c r="AN33" s="47" t="n">
        <v>2.496712326783975</v>
      </c>
      <c r="AO33" s="47" t="n">
        <v>4.438963879747099</v>
      </c>
      <c r="AP33" s="47" t="n">
        <v>2.643872970890332</v>
      </c>
      <c r="AQ33" s="47" t="n">
        <v>1.084080280909752</v>
      </c>
      <c r="AR33" s="47" t="n">
        <v>1.008538107108088</v>
      </c>
      <c r="AS33" s="47" t="n">
        <v>0.8719743646206256</v>
      </c>
      <c r="AT33" s="47" t="n">
        <v>1.205464411832641</v>
      </c>
      <c r="AU33" s="47" t="n">
        <v>1.352249780113109</v>
      </c>
      <c r="AV33" s="47" t="n">
        <v>1.788341820892501</v>
      </c>
      <c r="AW33" s="47" t="n">
        <v>4.964854858547548</v>
      </c>
      <c r="AX33" s="47" t="n">
        <v>1.386511504221011</v>
      </c>
      <c r="AY33" s="47" t="n">
        <v>3.297621804612433</v>
      </c>
      <c r="AZ33" s="47" t="n">
        <v>2.340113252667785</v>
      </c>
      <c r="BA33" s="47" t="n">
        <v>0.8814095809734821</v>
      </c>
      <c r="BB33" s="47" t="n">
        <v>0.8003351194173286</v>
      </c>
      <c r="BC33" s="47" t="n">
        <v>1.522415227003266</v>
      </c>
      <c r="BD33" s="47" t="n">
        <v>1.130426212063776</v>
      </c>
      <c r="BE33" s="47" t="n">
        <v>0.9710571899852791</v>
      </c>
      <c r="BF33" s="47" t="n">
        <v>1.408432076880893</v>
      </c>
      <c r="BG33" s="47" t="n">
        <v>1.098453761013105</v>
      </c>
      <c r="BH33" s="47" t="n">
        <v>1.353550198848207</v>
      </c>
      <c r="BI33" s="47" t="n">
        <v>1.509516041960841</v>
      </c>
      <c r="BJ33" s="47" t="n">
        <v>1.356396437642115</v>
      </c>
    </row>
    <row r="34" hidden="1" outlineLevel="1" ht="15.75" customHeight="1">
      <c r="B34" s="5" t="inlineStr">
        <is>
          <t>IFIS</t>
        </is>
      </c>
      <c r="C34" s="68" t="inlineStr">
        <is>
          <t>Lower Middle Market</t>
        </is>
      </c>
      <c r="F34" s="46">
        <f>+SUMIFS($AA34:$DR34,$AA$7:$DR$7,F$7)</f>
        <v/>
      </c>
      <c r="G34" s="46">
        <f>+SUMIFS($AA34:$DR34,$AA$7:$DR$7,G$7)</f>
        <v/>
      </c>
      <c r="H34" s="46">
        <f>+SUMIFS($AA34:$DR34,$AA$7:$DR$7,H$7)</f>
        <v/>
      </c>
      <c r="I34" s="46">
        <f>+SUMIFS($AA34:$DR34,$AA$7:$DR$7,I$7)</f>
        <v/>
      </c>
      <c r="J34" s="46">
        <f>+SUMIFS($AA34:$DR34,$AA$7:$DR$7,J$7)</f>
        <v/>
      </c>
      <c r="K34" s="46">
        <f>+SUMIFS($AA34:$DR34,$AA$7:$DR$7,K$7)</f>
        <v/>
      </c>
      <c r="L34" s="46">
        <f>+SUMIFS($AA34:$DR34,$AA$7:$DR$7,L$7)</f>
        <v/>
      </c>
      <c r="M34" s="46">
        <f>+SUMIFS($AA34:$DR34,$AA$7:$DR$7,M$7)</f>
        <v/>
      </c>
      <c r="AA34" s="47" t="n">
        <v>0</v>
      </c>
      <c r="AB34" s="47" t="n">
        <v>0</v>
      </c>
      <c r="AC34" s="47" t="n">
        <v>0</v>
      </c>
      <c r="AD34" s="47" t="n">
        <v>0</v>
      </c>
      <c r="AE34" s="47" t="n">
        <v>0</v>
      </c>
      <c r="AF34" s="47" t="n">
        <v>0</v>
      </c>
      <c r="AG34" s="47" t="n">
        <v>0</v>
      </c>
      <c r="AH34" s="47" t="n">
        <v>0</v>
      </c>
      <c r="AI34" s="47" t="n">
        <v>0</v>
      </c>
      <c r="AJ34" s="47" t="n">
        <v>0</v>
      </c>
      <c r="AK34" s="47" t="n">
        <v>0</v>
      </c>
      <c r="AL34" s="47" t="n">
        <v>0</v>
      </c>
      <c r="AM34" s="47" t="n">
        <v>0</v>
      </c>
      <c r="AN34" s="47" t="n">
        <v>0</v>
      </c>
      <c r="AO34" s="47" t="n">
        <v>0</v>
      </c>
      <c r="AP34" s="47" t="n">
        <v>0</v>
      </c>
      <c r="AQ34" s="47" t="n">
        <v>0</v>
      </c>
      <c r="AR34" s="47" t="n">
        <v>0</v>
      </c>
      <c r="AS34" s="47" t="n">
        <v>0</v>
      </c>
      <c r="AT34" s="47" t="n">
        <v>0.06872203470498756</v>
      </c>
      <c r="AU34" s="47" t="n">
        <v>0</v>
      </c>
      <c r="AV34" s="47" t="n">
        <v>0.007721887457006454</v>
      </c>
      <c r="AW34" s="47" t="n">
        <v>0.1829502397363268</v>
      </c>
      <c r="AX34" s="47" t="n">
        <v>0.3744922446602109</v>
      </c>
      <c r="AY34" s="47" t="n">
        <v>0.3935946604888204</v>
      </c>
      <c r="AZ34" s="47" t="n">
        <v>0.6011252115581412</v>
      </c>
      <c r="BA34" s="47" t="n">
        <v>1.45715858526194</v>
      </c>
      <c r="BB34" s="47" t="n">
        <v>2.66891261761152</v>
      </c>
      <c r="BC34" s="47" t="n">
        <v>0.8879523102194462</v>
      </c>
      <c r="BD34" s="47" t="n">
        <v>1.984268634283031</v>
      </c>
      <c r="BE34" s="47" t="n">
        <v>0.6825608048628923</v>
      </c>
      <c r="BF34" s="47" t="n">
        <v>1.434328972829291</v>
      </c>
      <c r="BG34" s="47" t="n">
        <v>0.4111901216344467</v>
      </c>
      <c r="BH34" s="47" t="n">
        <v>0.453041353531154</v>
      </c>
      <c r="BI34" s="47" t="n">
        <v>0.5958199310396514</v>
      </c>
      <c r="BJ34" s="47" t="n">
        <v>0.2132818444307775</v>
      </c>
    </row>
    <row r="35" hidden="1" outlineLevel="1" ht="15.75" customHeight="1">
      <c r="B35" s="5" t="inlineStr">
        <is>
          <t>IWA</t>
        </is>
      </c>
      <c r="C35" s="68" t="inlineStr">
        <is>
          <t>Lower Middle Market</t>
        </is>
      </c>
      <c r="F35" s="46">
        <f>+SUMIFS($AA35:$DR35,$AA$7:$DR$7,F$7)</f>
        <v/>
      </c>
      <c r="G35" s="46">
        <f>+SUMIFS($AA35:$DR35,$AA$7:$DR$7,G$7)</f>
        <v/>
      </c>
      <c r="H35" s="46">
        <f>+SUMIFS($AA35:$DR35,$AA$7:$DR$7,H$7)</f>
        <v/>
      </c>
      <c r="I35" s="46">
        <f>+SUMIFS($AA35:$DR35,$AA$7:$DR$7,I$7)</f>
        <v/>
      </c>
      <c r="J35" s="46">
        <f>+SUMIFS($AA35:$DR35,$AA$7:$DR$7,J$7)</f>
        <v/>
      </c>
      <c r="K35" s="46">
        <f>+SUMIFS($AA35:$DR35,$AA$7:$DR$7,K$7)</f>
        <v/>
      </c>
      <c r="L35" s="46">
        <f>+SUMIFS($AA35:$DR35,$AA$7:$DR$7,L$7)</f>
        <v/>
      </c>
      <c r="M35" s="46">
        <f>+SUMIFS($AA35:$DR35,$AA$7:$DR$7,M$7)</f>
        <v/>
      </c>
      <c r="AA35" s="47" t="n">
        <v>3.42947766346726</v>
      </c>
      <c r="AB35" s="47" t="n">
        <v>3.521176811352055</v>
      </c>
      <c r="AC35" s="47" t="n">
        <v>3.904028256983413</v>
      </c>
      <c r="AD35" s="47" t="n">
        <v>8.087283379848074</v>
      </c>
      <c r="AE35" s="47" t="n">
        <v>4.843709608828861</v>
      </c>
      <c r="AF35" s="47" t="n">
        <v>1.459108195436735</v>
      </c>
      <c r="AG35" s="47" t="n">
        <v>3.115341899959247</v>
      </c>
      <c r="AH35" s="47" t="n">
        <v>3.366298755958752</v>
      </c>
      <c r="AI35" s="47" t="n">
        <v>2.122502939471212</v>
      </c>
      <c r="AJ35" s="47" t="n">
        <v>1.726476359346759</v>
      </c>
      <c r="AK35" s="47" t="n">
        <v>3.015802074846064</v>
      </c>
      <c r="AL35" s="47" t="n">
        <v>6.096596143501155</v>
      </c>
      <c r="AM35" s="47" t="n">
        <v>6.157437874639413</v>
      </c>
      <c r="AN35" s="47" t="n">
        <v>5.380308515621099</v>
      </c>
      <c r="AO35" s="47" t="n">
        <v>2.197487875776689</v>
      </c>
      <c r="AP35" s="47" t="n">
        <v>1.090950834592251</v>
      </c>
      <c r="AQ35" s="47" t="n">
        <v>0.8485180424792834</v>
      </c>
      <c r="AR35" s="47" t="n">
        <v>1.123788539424881</v>
      </c>
      <c r="AS35" s="47" t="n">
        <v>0.8892133735397534</v>
      </c>
      <c r="AT35" s="47" t="n">
        <v>1.614649851082825</v>
      </c>
      <c r="AU35" s="47" t="n">
        <v>1.530911497579499</v>
      </c>
      <c r="AV35" s="47" t="n">
        <v>1.508312144544089</v>
      </c>
      <c r="AW35" s="47" t="n">
        <v>1.230507883731289</v>
      </c>
      <c r="AX35" s="47" t="n">
        <v>0.3392389958048097</v>
      </c>
      <c r="AY35" s="47" t="n">
        <v>0.675585942609749</v>
      </c>
      <c r="AZ35" s="47" t="n">
        <v>0.8424163742216157</v>
      </c>
      <c r="BA35" s="47" t="n">
        <v>1.678839801691165</v>
      </c>
      <c r="BB35" s="47" t="n">
        <v>0.9663377873384462</v>
      </c>
      <c r="BC35" s="47" t="n">
        <v>0.4429502334866843</v>
      </c>
      <c r="BD35" s="47" t="n">
        <v>0.3829114352945976</v>
      </c>
      <c r="BE35" s="47" t="n">
        <v>0.7761891040277092</v>
      </c>
      <c r="BF35" s="47" t="n">
        <v>0.3698669046713255</v>
      </c>
      <c r="BG35" s="47" t="n">
        <v>0.1864603726414016</v>
      </c>
      <c r="BH35" s="47" t="n">
        <v>0.8803115565507089</v>
      </c>
      <c r="BI35" s="47" t="n">
        <v>1.237798670763543</v>
      </c>
      <c r="BJ35" s="47" t="n">
        <v>0.6924892193222993</v>
      </c>
    </row>
    <row r="36" hidden="1" outlineLevel="1" ht="15.75" customHeight="1">
      <c r="B36" s="5" t="inlineStr">
        <is>
          <t>KARGER</t>
        </is>
      </c>
      <c r="C36" s="68" t="inlineStr">
        <is>
          <t>Upper Middle Market</t>
        </is>
      </c>
      <c r="F36" s="46">
        <f>+SUMIFS($AA36:$DR36,$AA$7:$DR$7,F$7)</f>
        <v/>
      </c>
      <c r="G36" s="46">
        <f>+SUMIFS($AA36:$DR36,$AA$7:$DR$7,G$7)</f>
        <v/>
      </c>
      <c r="H36" s="46">
        <f>+SUMIFS($AA36:$DR36,$AA$7:$DR$7,H$7)</f>
        <v/>
      </c>
      <c r="I36" s="46">
        <f>+SUMIFS($AA36:$DR36,$AA$7:$DR$7,I$7)</f>
        <v/>
      </c>
      <c r="J36" s="46">
        <f>+SUMIFS($AA36:$DR36,$AA$7:$DR$7,J$7)</f>
        <v/>
      </c>
      <c r="K36" s="46">
        <f>+SUMIFS($AA36:$DR36,$AA$7:$DR$7,K$7)</f>
        <v/>
      </c>
      <c r="L36" s="46">
        <f>+SUMIFS($AA36:$DR36,$AA$7:$DR$7,L$7)</f>
        <v/>
      </c>
      <c r="M36" s="46">
        <f>+SUMIFS($AA36:$DR36,$AA$7:$DR$7,M$7)</f>
        <v/>
      </c>
      <c r="AA36" s="47" t="n">
        <v>0</v>
      </c>
      <c r="AB36" s="47" t="n">
        <v>0</v>
      </c>
      <c r="AC36" s="47" t="n">
        <v>0</v>
      </c>
      <c r="AD36" s="47" t="n">
        <v>0</v>
      </c>
      <c r="AE36" s="47" t="n">
        <v>0</v>
      </c>
      <c r="AF36" s="47" t="n">
        <v>0</v>
      </c>
      <c r="AG36" s="47" t="n">
        <v>0</v>
      </c>
      <c r="AH36" s="47" t="n">
        <v>0</v>
      </c>
      <c r="AI36" s="47" t="n">
        <v>0</v>
      </c>
      <c r="AJ36" s="47" t="n">
        <v>0</v>
      </c>
      <c r="AK36" s="47" t="n">
        <v>0</v>
      </c>
      <c r="AL36" s="47" t="n">
        <v>0</v>
      </c>
      <c r="AM36" s="47" t="n">
        <v>0</v>
      </c>
      <c r="AN36" s="47" t="n">
        <v>0</v>
      </c>
      <c r="AO36" s="47" t="n">
        <v>0</v>
      </c>
      <c r="AP36" s="47" t="n">
        <v>0</v>
      </c>
      <c r="AQ36" s="47" t="n">
        <v>0</v>
      </c>
      <c r="AR36" s="47" t="n">
        <v>0</v>
      </c>
      <c r="AS36" s="47" t="n">
        <v>0</v>
      </c>
      <c r="AT36" s="47" t="n">
        <v>0</v>
      </c>
      <c r="AU36" s="47" t="n">
        <v>0</v>
      </c>
      <c r="AV36" s="47" t="n">
        <v>0</v>
      </c>
      <c r="AW36" s="47" t="n">
        <v>0</v>
      </c>
      <c r="AX36" s="47" t="n">
        <v>0</v>
      </c>
      <c r="AY36" s="47" t="n">
        <v>0</v>
      </c>
      <c r="AZ36" s="47" t="n">
        <v>0</v>
      </c>
      <c r="BA36" s="47" t="n">
        <v>0</v>
      </c>
      <c r="BB36" s="47" t="n">
        <v>0</v>
      </c>
      <c r="BC36" s="47" t="n">
        <v>0</v>
      </c>
      <c r="BD36" s="47" t="n">
        <v>0</v>
      </c>
      <c r="BE36" s="47" t="n">
        <v>0</v>
      </c>
      <c r="BF36" s="47" t="n">
        <v>0</v>
      </c>
      <c r="BG36" s="47" t="n">
        <v>0</v>
      </c>
      <c r="BH36" s="47" t="n">
        <v>0.009084725374557422</v>
      </c>
      <c r="BI36" s="47" t="n">
        <v>0</v>
      </c>
      <c r="BJ36" s="47" t="n">
        <v>0</v>
      </c>
    </row>
    <row r="37" hidden="1" outlineLevel="1" ht="15.75" customHeight="1">
      <c r="B37" s="5" t="inlineStr">
        <is>
          <t>MGH</t>
        </is>
      </c>
      <c r="C37" s="68" t="inlineStr">
        <is>
          <t>Mega</t>
        </is>
      </c>
      <c r="F37" s="46">
        <f>+SUMIFS($AA37:$DR37,$AA$7:$DR$7,F$7)</f>
        <v/>
      </c>
      <c r="G37" s="46">
        <f>+SUMIFS($AA37:$DR37,$AA$7:$DR$7,G$7)</f>
        <v/>
      </c>
      <c r="H37" s="46">
        <f>+SUMIFS($AA37:$DR37,$AA$7:$DR$7,H$7)</f>
        <v/>
      </c>
      <c r="I37" s="46">
        <f>+SUMIFS($AA37:$DR37,$AA$7:$DR$7,I$7)</f>
        <v/>
      </c>
      <c r="J37" s="46">
        <f>+SUMIFS($AA37:$DR37,$AA$7:$DR$7,J$7)</f>
        <v/>
      </c>
      <c r="K37" s="46">
        <f>+SUMIFS($AA37:$DR37,$AA$7:$DR$7,K$7)</f>
        <v/>
      </c>
      <c r="L37" s="46">
        <f>+SUMIFS($AA37:$DR37,$AA$7:$DR$7,L$7)</f>
        <v/>
      </c>
      <c r="M37" s="46">
        <f>+SUMIFS($AA37:$DR37,$AA$7:$DR$7,M$7)</f>
        <v/>
      </c>
      <c r="AA37" s="47" t="n">
        <v>11.49878323843566</v>
      </c>
      <c r="AB37" s="47" t="n">
        <v>11.68882396417659</v>
      </c>
      <c r="AC37" s="47" t="n">
        <v>11.29833919721093</v>
      </c>
      <c r="AD37" s="47" t="n">
        <v>11.21472710960906</v>
      </c>
      <c r="AE37" s="47" t="n">
        <v>16.3846915845361</v>
      </c>
      <c r="AF37" s="47" t="n">
        <v>13.84859536871134</v>
      </c>
      <c r="AG37" s="47" t="n">
        <v>13.12166505681204</v>
      </c>
      <c r="AH37" s="47" t="n">
        <v>16.3771842366356</v>
      </c>
      <c r="AI37" s="47" t="n">
        <v>12.06693679118896</v>
      </c>
      <c r="AJ37" s="47" t="n">
        <v>8.6876979680641</v>
      </c>
      <c r="AK37" s="47" t="n">
        <v>7.871836304531379</v>
      </c>
      <c r="AL37" s="47" t="n">
        <v>7.81186431511263</v>
      </c>
      <c r="AM37" s="47" t="n">
        <v>5.165860333395571</v>
      </c>
      <c r="AN37" s="47" t="n">
        <v>12.59147452729902</v>
      </c>
      <c r="AO37" s="47" t="n">
        <v>15.5146730215004</v>
      </c>
      <c r="AP37" s="47" t="n">
        <v>23.19026673709797</v>
      </c>
      <c r="AQ37" s="47" t="n">
        <v>19.28487783019395</v>
      </c>
      <c r="AR37" s="47" t="n">
        <v>12.47613032052215</v>
      </c>
      <c r="AS37" s="47" t="n">
        <v>11.89565095742182</v>
      </c>
      <c r="AT37" s="47" t="n">
        <v>16.90344198910869</v>
      </c>
      <c r="AU37" s="47" t="n">
        <v>12.09014026745588</v>
      </c>
      <c r="AV37" s="47" t="n">
        <v>15.2573708388011</v>
      </c>
      <c r="AW37" s="47" t="n">
        <v>8.437530917088921</v>
      </c>
      <c r="AX37" s="47" t="n">
        <v>6.493716373491795</v>
      </c>
      <c r="AY37" s="47" t="n">
        <v>6.828356011935107</v>
      </c>
      <c r="AZ37" s="47" t="n">
        <v>7.520418626754116</v>
      </c>
      <c r="BA37" s="47" t="n">
        <v>8.027642596306761</v>
      </c>
      <c r="BB37" s="47" t="n">
        <v>14.20949310756783</v>
      </c>
      <c r="BC37" s="47" t="n">
        <v>8.692317181029349</v>
      </c>
      <c r="BD37" s="47" t="n">
        <v>7.98717285272586</v>
      </c>
      <c r="BE37" s="47" t="n">
        <v>11.83763793858145</v>
      </c>
      <c r="BF37" s="47" t="n">
        <v>4.562908918141009</v>
      </c>
      <c r="BG37" s="47" t="n">
        <v>9.873533619570221</v>
      </c>
      <c r="BH37" s="47" t="n">
        <v>8.422316747246354</v>
      </c>
      <c r="BI37" s="47" t="n">
        <v>6.156203807532099</v>
      </c>
      <c r="BJ37" s="47" t="n">
        <v>9.556835835935939</v>
      </c>
    </row>
    <row r="38" hidden="1" outlineLevel="1" ht="15.75" customHeight="1">
      <c r="B38" s="5" t="inlineStr">
        <is>
          <t>MIT</t>
        </is>
      </c>
      <c r="C38" s="68" t="inlineStr">
        <is>
          <t>Upper Middle Market</t>
        </is>
      </c>
      <c r="F38" s="46">
        <f>+SUMIFS($AA38:$DR38,$AA$7:$DR$7,F$7)</f>
        <v/>
      </c>
      <c r="G38" s="46">
        <f>+SUMIFS($AA38:$DR38,$AA$7:$DR$7,G$7)</f>
        <v/>
      </c>
      <c r="H38" s="46">
        <f>+SUMIFS($AA38:$DR38,$AA$7:$DR$7,H$7)</f>
        <v/>
      </c>
      <c r="I38" s="46">
        <f>+SUMIFS($AA38:$DR38,$AA$7:$DR$7,I$7)</f>
        <v/>
      </c>
      <c r="J38" s="46">
        <f>+SUMIFS($AA38:$DR38,$AA$7:$DR$7,J$7)</f>
        <v/>
      </c>
      <c r="K38" s="46">
        <f>+SUMIFS($AA38:$DR38,$AA$7:$DR$7,K$7)</f>
        <v/>
      </c>
      <c r="L38" s="46">
        <f>+SUMIFS($AA38:$DR38,$AA$7:$DR$7,L$7)</f>
        <v/>
      </c>
      <c r="M38" s="46">
        <f>+SUMIFS($AA38:$DR38,$AA$7:$DR$7,M$7)</f>
        <v/>
      </c>
      <c r="AA38" s="47" t="n">
        <v>0.5874293082609958</v>
      </c>
      <c r="AB38" s="47" t="n">
        <v>1.208938995835082</v>
      </c>
      <c r="AC38" s="47" t="n">
        <v>1.350694703894578</v>
      </c>
      <c r="AD38" s="47" t="n">
        <v>2.573951552075195</v>
      </c>
      <c r="AE38" s="47" t="n">
        <v>3.159181610143257</v>
      </c>
      <c r="AF38" s="47" t="n">
        <v>1.801434652742735</v>
      </c>
      <c r="AG38" s="47" t="n">
        <v>1.894832895302735</v>
      </c>
      <c r="AH38" s="47" t="n">
        <v>1.166341589151889</v>
      </c>
      <c r="AI38" s="47" t="n">
        <v>0.7736980842601321</v>
      </c>
      <c r="AJ38" s="47" t="n">
        <v>0.8181663036172355</v>
      </c>
      <c r="AK38" s="47" t="n">
        <v>1.236676807634878</v>
      </c>
      <c r="AL38" s="47" t="n">
        <v>0.5270254128843627</v>
      </c>
      <c r="AM38" s="47" t="n">
        <v>1.277283749271563</v>
      </c>
      <c r="AN38" s="47" t="n">
        <v>0.5302411402070476</v>
      </c>
      <c r="AO38" s="47" t="n">
        <v>1.031895155731162</v>
      </c>
      <c r="AP38" s="47" t="n">
        <v>0.3639050233987958</v>
      </c>
      <c r="AQ38" s="47" t="n">
        <v>0.8525138374063882</v>
      </c>
      <c r="AR38" s="47" t="n">
        <v>0.183205902157145</v>
      </c>
      <c r="AS38" s="47" t="n">
        <v>0.8589932587693587</v>
      </c>
      <c r="AT38" s="47" t="n">
        <v>1.275608204933908</v>
      </c>
      <c r="AU38" s="47" t="n">
        <v>0.5156575539048872</v>
      </c>
      <c r="AV38" s="47" t="n">
        <v>1.203499829579432</v>
      </c>
      <c r="AW38" s="47" t="n">
        <v>1.052750834569993</v>
      </c>
      <c r="AX38" s="47" t="n">
        <v>1.107512201104577</v>
      </c>
      <c r="AY38" s="47" t="n">
        <v>1.087547754597415</v>
      </c>
      <c r="AZ38" s="47" t="n">
        <v>0.650863527097205</v>
      </c>
      <c r="BA38" s="47" t="n">
        <v>1.612951917239778</v>
      </c>
      <c r="BB38" s="47" t="n">
        <v>1.725990322846199</v>
      </c>
      <c r="BC38" s="47" t="n">
        <v>2.583591148215417</v>
      </c>
      <c r="BD38" s="47" t="n">
        <v>3.402586990130264</v>
      </c>
      <c r="BE38" s="47" t="n">
        <v>2.056034741597283</v>
      </c>
      <c r="BF38" s="47" t="n">
        <v>2.094509765217488</v>
      </c>
      <c r="BG38" s="47" t="n">
        <v>4.897533764329856</v>
      </c>
      <c r="BH38" s="47" t="n">
        <v>5.78430023001168</v>
      </c>
      <c r="BI38" s="47" t="n">
        <v>2.410668019798084</v>
      </c>
      <c r="BJ38" s="47" t="n">
        <v>1.963366743219856</v>
      </c>
    </row>
    <row r="39" hidden="1" outlineLevel="1" ht="15.75" customHeight="1">
      <c r="B39" s="5" t="inlineStr">
        <is>
          <t>MLA</t>
        </is>
      </c>
      <c r="C39" s="68" t="inlineStr">
        <is>
          <t>Lower Middle Market</t>
        </is>
      </c>
      <c r="F39" s="46">
        <f>+SUMIFS($AA39:$DR39,$AA$7:$DR$7,F$7)</f>
        <v/>
      </c>
      <c r="G39" s="46">
        <f>+SUMIFS($AA39:$DR39,$AA$7:$DR$7,G$7)</f>
        <v/>
      </c>
      <c r="H39" s="46">
        <f>+SUMIFS($AA39:$DR39,$AA$7:$DR$7,H$7)</f>
        <v/>
      </c>
      <c r="I39" s="46">
        <f>+SUMIFS($AA39:$DR39,$AA$7:$DR$7,I$7)</f>
        <v/>
      </c>
      <c r="J39" s="46">
        <f>+SUMIFS($AA39:$DR39,$AA$7:$DR$7,J$7)</f>
        <v/>
      </c>
      <c r="K39" s="46">
        <f>+SUMIFS($AA39:$DR39,$AA$7:$DR$7,K$7)</f>
        <v/>
      </c>
      <c r="L39" s="46">
        <f>+SUMIFS($AA39:$DR39,$AA$7:$DR$7,L$7)</f>
        <v/>
      </c>
      <c r="M39" s="46">
        <f>+SUMIFS($AA39:$DR39,$AA$7:$DR$7,M$7)</f>
        <v/>
      </c>
      <c r="AA39" s="47" t="n">
        <v>0</v>
      </c>
      <c r="AB39" s="47" t="n">
        <v>0</v>
      </c>
      <c r="AC39" s="47" t="n">
        <v>0</v>
      </c>
      <c r="AD39" s="47" t="n">
        <v>0</v>
      </c>
      <c r="AE39" s="47" t="n">
        <v>0</v>
      </c>
      <c r="AF39" s="47" t="n">
        <v>0</v>
      </c>
      <c r="AG39" s="47" t="n">
        <v>0</v>
      </c>
      <c r="AH39" s="47" t="n">
        <v>0</v>
      </c>
      <c r="AI39" s="47" t="n">
        <v>0</v>
      </c>
      <c r="AJ39" s="47" t="n">
        <v>0</v>
      </c>
      <c r="AK39" s="47" t="n">
        <v>0</v>
      </c>
      <c r="AL39" s="47" t="n">
        <v>0</v>
      </c>
      <c r="AM39" s="47" t="n">
        <v>0</v>
      </c>
      <c r="AN39" s="47" t="n">
        <v>0</v>
      </c>
      <c r="AO39" s="47" t="n">
        <v>0</v>
      </c>
      <c r="AP39" s="47" t="n">
        <v>0</v>
      </c>
      <c r="AQ39" s="47" t="n">
        <v>0</v>
      </c>
      <c r="AR39" s="47" t="n">
        <v>0</v>
      </c>
      <c r="AS39" s="47" t="n">
        <v>0</v>
      </c>
      <c r="AT39" s="47" t="n">
        <v>0</v>
      </c>
      <c r="AU39" s="47" t="n">
        <v>0</v>
      </c>
      <c r="AV39" s="47" t="n">
        <v>0</v>
      </c>
      <c r="AW39" s="47" t="n">
        <v>0</v>
      </c>
      <c r="AX39" s="47" t="n">
        <v>0</v>
      </c>
      <c r="AY39" s="47" t="n">
        <v>0</v>
      </c>
      <c r="AZ39" s="47" t="n">
        <v>0</v>
      </c>
      <c r="BA39" s="47" t="n">
        <v>0.03090300128945039</v>
      </c>
      <c r="BB39" s="47" t="n">
        <v>0</v>
      </c>
      <c r="BC39" s="47" t="n">
        <v>0</v>
      </c>
      <c r="BD39" s="47" t="n">
        <v>0.01654013936791164</v>
      </c>
      <c r="BE39" s="47" t="n">
        <v>0.1265531617846787</v>
      </c>
      <c r="BF39" s="47" t="n">
        <v>0.1281433599782101</v>
      </c>
      <c r="BG39" s="47" t="n">
        <v>0.4632420276805312</v>
      </c>
      <c r="BH39" s="47" t="n">
        <v>0.6353199009499365</v>
      </c>
      <c r="BI39" s="47" t="n">
        <v>0.4154524699467383</v>
      </c>
      <c r="BJ39" s="47" t="n">
        <v>0.6419691754957897</v>
      </c>
    </row>
    <row r="40" hidden="1" outlineLevel="1" ht="15.75" customHeight="1">
      <c r="B40" s="5" t="inlineStr">
        <is>
          <t>OUP</t>
        </is>
      </c>
      <c r="C40" s="68" t="inlineStr">
        <is>
          <t>Mega</t>
        </is>
      </c>
      <c r="F40" s="46">
        <f>+SUMIFS($AA40:$DR40,$AA$7:$DR$7,F$7)</f>
        <v/>
      </c>
      <c r="G40" s="46">
        <f>+SUMIFS($AA40:$DR40,$AA$7:$DR$7,G$7)</f>
        <v/>
      </c>
      <c r="H40" s="46">
        <f>+SUMIFS($AA40:$DR40,$AA$7:$DR$7,H$7)</f>
        <v/>
      </c>
      <c r="I40" s="46">
        <f>+SUMIFS($AA40:$DR40,$AA$7:$DR$7,I$7)</f>
        <v/>
      </c>
      <c r="J40" s="46">
        <f>+SUMIFS($AA40:$DR40,$AA$7:$DR$7,J$7)</f>
        <v/>
      </c>
      <c r="K40" s="46">
        <f>+SUMIFS($AA40:$DR40,$AA$7:$DR$7,K$7)</f>
        <v/>
      </c>
      <c r="L40" s="46">
        <f>+SUMIFS($AA40:$DR40,$AA$7:$DR$7,L$7)</f>
        <v/>
      </c>
      <c r="M40" s="46">
        <f>+SUMIFS($AA40:$DR40,$AA$7:$DR$7,M$7)</f>
        <v/>
      </c>
      <c r="AA40" s="47" t="n">
        <v>23.81997371694428</v>
      </c>
      <c r="AB40" s="47" t="n">
        <v>22.87702190783214</v>
      </c>
      <c r="AC40" s="47" t="n">
        <v>20.43944308057647</v>
      </c>
      <c r="AD40" s="47" t="n">
        <v>29.47500494388796</v>
      </c>
      <c r="AE40" s="47" t="n">
        <v>21.15027534285225</v>
      </c>
      <c r="AF40" s="47" t="n">
        <v>30.25938817002616</v>
      </c>
      <c r="AG40" s="47" t="n">
        <v>36.98576156202118</v>
      </c>
      <c r="AH40" s="47" t="n">
        <v>39.57129932275635</v>
      </c>
      <c r="AI40" s="47" t="n">
        <v>31.76506066489269</v>
      </c>
      <c r="AJ40" s="47" t="n">
        <v>26.89720284565543</v>
      </c>
      <c r="AK40" s="47" t="n">
        <v>29.19125412849199</v>
      </c>
      <c r="AL40" s="47" t="n">
        <v>24.31147092421067</v>
      </c>
      <c r="AM40" s="47" t="n">
        <v>21.91227122841963</v>
      </c>
      <c r="AN40" s="47" t="n">
        <v>27.86850122552513</v>
      </c>
      <c r="AO40" s="47" t="n">
        <v>31.21910547167858</v>
      </c>
      <c r="AP40" s="47" t="n">
        <v>31.16046532229131</v>
      </c>
      <c r="AQ40" s="47" t="n">
        <v>18.9122732564953</v>
      </c>
      <c r="AR40" s="47" t="n">
        <v>24.85582899395526</v>
      </c>
      <c r="AS40" s="47" t="n">
        <v>27.79491554831364</v>
      </c>
      <c r="AT40" s="47" t="n">
        <v>26.44187249220622</v>
      </c>
      <c r="AU40" s="47" t="n">
        <v>20.54349858187694</v>
      </c>
      <c r="AV40" s="47" t="n">
        <v>23.38992550230594</v>
      </c>
      <c r="AW40" s="47" t="n">
        <v>28.08288067499272</v>
      </c>
      <c r="AX40" s="47" t="n">
        <v>17.54325153177836</v>
      </c>
      <c r="AY40" s="47" t="n">
        <v>13.07406227752625</v>
      </c>
      <c r="AZ40" s="47" t="n">
        <v>10.28602092513554</v>
      </c>
      <c r="BA40" s="47" t="n">
        <v>16.32880877195296</v>
      </c>
      <c r="BB40" s="47" t="n">
        <v>22.00226799636291</v>
      </c>
      <c r="BC40" s="47" t="n">
        <v>19.01583210022253</v>
      </c>
      <c r="BD40" s="47" t="n">
        <v>16.29571392696434</v>
      </c>
      <c r="BE40" s="47" t="n">
        <v>9.820651755098689</v>
      </c>
      <c r="BF40" s="47" t="n">
        <v>13.92062962802604</v>
      </c>
      <c r="BG40" s="47" t="n">
        <v>11.63740913527988</v>
      </c>
      <c r="BH40" s="47" t="n">
        <v>14.41879356147709</v>
      </c>
      <c r="BI40" s="47" t="n">
        <v>13.15260619361062</v>
      </c>
      <c r="BJ40" s="47" t="n">
        <v>13.05270885201552</v>
      </c>
    </row>
    <row r="41" hidden="1" outlineLevel="1" ht="15.75" customHeight="1">
      <c r="B41" s="5" t="inlineStr">
        <is>
          <t>PORT</t>
        </is>
      </c>
      <c r="C41" s="68" t="inlineStr">
        <is>
          <t>Lower Middle Market</t>
        </is>
      </c>
      <c r="F41" s="46">
        <f>+SUMIFS($AA41:$DR41,$AA$7:$DR$7,F$7)</f>
        <v/>
      </c>
      <c r="G41" s="46">
        <f>+SUMIFS($AA41:$DR41,$AA$7:$DR$7,G$7)</f>
        <v/>
      </c>
      <c r="H41" s="46">
        <f>+SUMIFS($AA41:$DR41,$AA$7:$DR$7,H$7)</f>
        <v/>
      </c>
      <c r="I41" s="46">
        <f>+SUMIFS($AA41:$DR41,$AA$7:$DR$7,I$7)</f>
        <v/>
      </c>
      <c r="J41" s="46">
        <f>+SUMIFS($AA41:$DR41,$AA$7:$DR$7,J$7)</f>
        <v/>
      </c>
      <c r="K41" s="46">
        <f>+SUMIFS($AA41:$DR41,$AA$7:$DR$7,K$7)</f>
        <v/>
      </c>
      <c r="L41" s="46">
        <f>+SUMIFS($AA41:$DR41,$AA$7:$DR$7,L$7)</f>
        <v/>
      </c>
      <c r="M41" s="46">
        <f>+SUMIFS($AA41:$DR41,$AA$7:$DR$7,M$7)</f>
        <v/>
      </c>
      <c r="AA41" s="47" t="n">
        <v>0</v>
      </c>
      <c r="AB41" s="47" t="n">
        <v>0</v>
      </c>
      <c r="AC41" s="47" t="n">
        <v>0</v>
      </c>
      <c r="AD41" s="47" t="n">
        <v>0</v>
      </c>
      <c r="AE41" s="47" t="n">
        <v>0</v>
      </c>
      <c r="AF41" s="47" t="n">
        <v>0.06502014858841011</v>
      </c>
      <c r="AG41" s="47" t="n">
        <v>0.02071901515151515</v>
      </c>
      <c r="AH41" s="47" t="n">
        <v>0</v>
      </c>
      <c r="AI41" s="47" t="n">
        <v>0.06807819198322532</v>
      </c>
      <c r="AJ41" s="47" t="n">
        <v>1.276430849463222</v>
      </c>
      <c r="AK41" s="47" t="n">
        <v>0.7963988489846739</v>
      </c>
      <c r="AL41" s="47" t="n">
        <v>0.3891943495418899</v>
      </c>
      <c r="AM41" s="47" t="n">
        <v>1.108683652298053</v>
      </c>
      <c r="AN41" s="47" t="n">
        <v>1.012567646575238</v>
      </c>
      <c r="AO41" s="47" t="n">
        <v>1.586876204120147</v>
      </c>
      <c r="AP41" s="47" t="n">
        <v>4.140599257184799</v>
      </c>
      <c r="AQ41" s="47" t="n">
        <v>2.242720458225521</v>
      </c>
      <c r="AR41" s="47" t="n">
        <v>0.4808080286640812</v>
      </c>
      <c r="AS41" s="47" t="n">
        <v>0.5908304156766548</v>
      </c>
      <c r="AT41" s="47" t="n">
        <v>0.8173961423883354</v>
      </c>
      <c r="AU41" s="47" t="n">
        <v>1.270645400866848</v>
      </c>
      <c r="AV41" s="47" t="n">
        <v>1.165638276542456</v>
      </c>
      <c r="AW41" s="47" t="n">
        <v>0.6874197098957024</v>
      </c>
      <c r="AX41" s="47" t="n">
        <v>1.416936239338496</v>
      </c>
      <c r="AY41" s="47" t="n">
        <v>2.439073841164168</v>
      </c>
      <c r="AZ41" s="47" t="n">
        <v>1.964829639572671</v>
      </c>
      <c r="BA41" s="47" t="n">
        <v>1.808545393924978</v>
      </c>
      <c r="BB41" s="47" t="n">
        <v>1.226310471998171</v>
      </c>
      <c r="BC41" s="47" t="n">
        <v>0.9180336696490876</v>
      </c>
      <c r="BD41" s="47" t="n">
        <v>0.4210443830894136</v>
      </c>
      <c r="BE41" s="47" t="n">
        <v>0.4151180972536565</v>
      </c>
      <c r="BF41" s="47" t="n">
        <v>0.5055986711109812</v>
      </c>
      <c r="BG41" s="47" t="n">
        <v>1.011935814294571</v>
      </c>
      <c r="BH41" s="47" t="n">
        <v>0.2510347906076227</v>
      </c>
      <c r="BI41" s="47" t="n">
        <v>0.3647238818829428</v>
      </c>
      <c r="BJ41" s="47" t="n">
        <v>1.715683037940453</v>
      </c>
    </row>
    <row r="42" hidden="1" outlineLevel="1" ht="15.75" customHeight="1">
      <c r="B42" s="5" t="inlineStr">
        <is>
          <t>RSC</t>
        </is>
      </c>
      <c r="C42" s="68" t="inlineStr">
        <is>
          <t>Lower Middle Market</t>
        </is>
      </c>
      <c r="F42" s="46">
        <f>+SUMIFS($AA42:$DR42,$AA$7:$DR$7,F$7)</f>
        <v/>
      </c>
      <c r="G42" s="46">
        <f>+SUMIFS($AA42:$DR42,$AA$7:$DR$7,G$7)</f>
        <v/>
      </c>
      <c r="H42" s="46">
        <f>+SUMIFS($AA42:$DR42,$AA$7:$DR$7,H$7)</f>
        <v/>
      </c>
      <c r="I42" s="46">
        <f>+SUMIFS($AA42:$DR42,$AA$7:$DR$7,I$7)</f>
        <v/>
      </c>
      <c r="J42" s="46">
        <f>+SUMIFS($AA42:$DR42,$AA$7:$DR$7,J$7)</f>
        <v/>
      </c>
      <c r="K42" s="46">
        <f>+SUMIFS($AA42:$DR42,$AA$7:$DR$7,K$7)</f>
        <v/>
      </c>
      <c r="L42" s="46">
        <f>+SUMIFS($AA42:$DR42,$AA$7:$DR$7,L$7)</f>
        <v/>
      </c>
      <c r="M42" s="46">
        <f>+SUMIFS($AA42:$DR42,$AA$7:$DR$7,M$7)</f>
        <v/>
      </c>
      <c r="AA42" s="47" t="n">
        <v>0</v>
      </c>
      <c r="AB42" s="47" t="n">
        <v>0</v>
      </c>
      <c r="AC42" s="47" t="n">
        <v>0</v>
      </c>
      <c r="AD42" s="47" t="n">
        <v>0</v>
      </c>
      <c r="AE42" s="47" t="n">
        <v>0</v>
      </c>
      <c r="AF42" s="47" t="n">
        <v>0</v>
      </c>
      <c r="AG42" s="47" t="n">
        <v>0</v>
      </c>
      <c r="AH42" s="47" t="n">
        <v>0</v>
      </c>
      <c r="AI42" s="47" t="n">
        <v>0</v>
      </c>
      <c r="AJ42" s="47" t="n">
        <v>0</v>
      </c>
      <c r="AK42" s="47" t="n">
        <v>0</v>
      </c>
      <c r="AL42" s="47" t="n">
        <v>0</v>
      </c>
      <c r="AM42" s="47" t="n">
        <v>0</v>
      </c>
      <c r="AN42" s="47" t="n">
        <v>0</v>
      </c>
      <c r="AO42" s="47" t="n">
        <v>0</v>
      </c>
      <c r="AP42" s="47" t="n">
        <v>0</v>
      </c>
      <c r="AQ42" s="47" t="n">
        <v>0</v>
      </c>
      <c r="AR42" s="47" t="n">
        <v>0</v>
      </c>
      <c r="AS42" s="47" t="n">
        <v>0</v>
      </c>
      <c r="AT42" s="47" t="n">
        <v>0</v>
      </c>
      <c r="AU42" s="47" t="n">
        <v>0</v>
      </c>
      <c r="AV42" s="47" t="n">
        <v>0</v>
      </c>
      <c r="AW42" s="47" t="n">
        <v>0</v>
      </c>
      <c r="AX42" s="47" t="n">
        <v>0</v>
      </c>
      <c r="AY42" s="47" t="n">
        <v>0</v>
      </c>
      <c r="AZ42" s="47" t="n">
        <v>0</v>
      </c>
      <c r="BA42" s="47" t="n">
        <v>0</v>
      </c>
      <c r="BB42" s="47" t="n">
        <v>0</v>
      </c>
      <c r="BC42" s="47" t="n">
        <v>0</v>
      </c>
      <c r="BD42" s="47" t="n">
        <v>0</v>
      </c>
      <c r="BE42" s="47" t="n">
        <v>0</v>
      </c>
      <c r="BF42" s="47" t="n">
        <v>0</v>
      </c>
      <c r="BG42" s="47" t="n">
        <v>0</v>
      </c>
      <c r="BH42" s="47" t="n">
        <v>0</v>
      </c>
      <c r="BI42" s="47" t="n">
        <v>0</v>
      </c>
      <c r="BJ42" s="47" t="n">
        <v>0</v>
      </c>
    </row>
    <row r="43" hidden="1" outlineLevel="1" ht="15.75" customHeight="1">
      <c r="B43" s="5" t="inlineStr">
        <is>
          <t>RUP</t>
        </is>
      </c>
      <c r="C43" s="68" t="inlineStr">
        <is>
          <t>Lower Middle Market</t>
        </is>
      </c>
      <c r="F43" s="46">
        <f>+SUMIFS($AA43:$DR43,$AA$7:$DR$7,F$7)</f>
        <v/>
      </c>
      <c r="G43" s="46">
        <f>+SUMIFS($AA43:$DR43,$AA$7:$DR$7,G$7)</f>
        <v/>
      </c>
      <c r="H43" s="46">
        <f>+SUMIFS($AA43:$DR43,$AA$7:$DR$7,H$7)</f>
        <v/>
      </c>
      <c r="I43" s="46">
        <f>+SUMIFS($AA43:$DR43,$AA$7:$DR$7,I$7)</f>
        <v/>
      </c>
      <c r="J43" s="46">
        <f>+SUMIFS($AA43:$DR43,$AA$7:$DR$7,J$7)</f>
        <v/>
      </c>
      <c r="K43" s="46">
        <f>+SUMIFS($AA43:$DR43,$AA$7:$DR$7,K$7)</f>
        <v/>
      </c>
      <c r="L43" s="46">
        <f>+SUMIFS($AA43:$DR43,$AA$7:$DR$7,L$7)</f>
        <v/>
      </c>
      <c r="M43" s="46">
        <f>+SUMIFS($AA43:$DR43,$AA$7:$DR$7,M$7)</f>
        <v/>
      </c>
      <c r="AA43" s="47" t="n">
        <v>0</v>
      </c>
      <c r="AB43" s="47" t="n">
        <v>0</v>
      </c>
      <c r="AC43" s="47" t="n">
        <v>0</v>
      </c>
      <c r="AD43" s="47" t="n">
        <v>0</v>
      </c>
      <c r="AE43" s="47" t="n">
        <v>0</v>
      </c>
      <c r="AF43" s="47" t="n">
        <v>0.1137852600297177</v>
      </c>
      <c r="AG43" s="47" t="n">
        <v>0.01381267676767677</v>
      </c>
      <c r="AH43" s="47" t="n">
        <v>0</v>
      </c>
      <c r="AI43" s="47" t="n">
        <v>0.03369995338656973</v>
      </c>
      <c r="AJ43" s="47" t="n">
        <v>0.0154930890052356</v>
      </c>
      <c r="AK43" s="47" t="n">
        <v>0.4450766722593543</v>
      </c>
      <c r="AL43" s="47" t="n">
        <v>2.073039115925555</v>
      </c>
      <c r="AM43" s="47" t="n">
        <v>2.668282241311819</v>
      </c>
      <c r="AN43" s="47" t="n">
        <v>1.597821752027512</v>
      </c>
      <c r="AO43" s="47" t="n">
        <v>3.165507009156345</v>
      </c>
      <c r="AP43" s="47" t="n">
        <v>3.749953761383845</v>
      </c>
      <c r="AQ43" s="47" t="n">
        <v>3.222209288955564</v>
      </c>
      <c r="AR43" s="47" t="n">
        <v>2.670323364292846</v>
      </c>
      <c r="AS43" s="47" t="n">
        <v>3.993110442891108</v>
      </c>
      <c r="AT43" s="47" t="n">
        <v>4.157419891111272</v>
      </c>
      <c r="AU43" s="47" t="n">
        <v>2.472135145145884</v>
      </c>
      <c r="AV43" s="47" t="n">
        <v>3.716895948085249</v>
      </c>
      <c r="AW43" s="47" t="n">
        <v>2.078309301513379</v>
      </c>
      <c r="AX43" s="47" t="n">
        <v>0.9134077396161578</v>
      </c>
      <c r="AY43" s="47" t="n">
        <v>0.9899934475538589</v>
      </c>
      <c r="AZ43" s="47" t="n">
        <v>1.763616824638608</v>
      </c>
      <c r="BA43" s="47" t="n">
        <v>3.287479671812075</v>
      </c>
      <c r="BB43" s="47" t="n">
        <v>1.384744241858949</v>
      </c>
      <c r="BC43" s="47" t="n">
        <v>0.9352571090529118</v>
      </c>
      <c r="BD43" s="47" t="n">
        <v>1.706801411655933</v>
      </c>
      <c r="BE43" s="47" t="n">
        <v>1.440201284662255</v>
      </c>
      <c r="BF43" s="47" t="n">
        <v>3.441875597795707</v>
      </c>
      <c r="BG43" s="47" t="n">
        <v>1.50829589426205</v>
      </c>
      <c r="BH43" s="47" t="n">
        <v>1.265573203443761</v>
      </c>
      <c r="BI43" s="47" t="n">
        <v>0.7666828672440357</v>
      </c>
      <c r="BJ43" s="47" t="n">
        <v>0.489689463828447</v>
      </c>
    </row>
    <row r="44" hidden="1" outlineLevel="1" ht="15.75" customHeight="1">
      <c r="B44" s="5" t="inlineStr">
        <is>
          <t>SCORE</t>
        </is>
      </c>
      <c r="C44" s="68" t="inlineStr">
        <is>
          <t>Major</t>
        </is>
      </c>
      <c r="F44" s="46">
        <f>+SUMIFS($AA44:$DR44,$AA$7:$DR$7,F$7)</f>
        <v/>
      </c>
      <c r="G44" s="46">
        <f>+SUMIFS($AA44:$DR44,$AA$7:$DR$7,G$7)</f>
        <v/>
      </c>
      <c r="H44" s="46">
        <f>+SUMIFS($AA44:$DR44,$AA$7:$DR$7,H$7)</f>
        <v/>
      </c>
      <c r="I44" s="46">
        <f>+SUMIFS($AA44:$DR44,$AA$7:$DR$7,I$7)</f>
        <v/>
      </c>
      <c r="J44" s="46">
        <f>+SUMIFS($AA44:$DR44,$AA$7:$DR$7,J$7)</f>
        <v/>
      </c>
      <c r="K44" s="46">
        <f>+SUMIFS($AA44:$DR44,$AA$7:$DR$7,K$7)</f>
        <v/>
      </c>
      <c r="L44" s="46">
        <f>+SUMIFS($AA44:$DR44,$AA$7:$DR$7,L$7)</f>
        <v/>
      </c>
      <c r="M44" s="46">
        <f>+SUMIFS($AA44:$DR44,$AA$7:$DR$7,M$7)</f>
        <v/>
      </c>
      <c r="AA44" s="47" t="n">
        <v>3.249995870587188</v>
      </c>
      <c r="AB44" s="47" t="n">
        <v>1.308457292220187</v>
      </c>
      <c r="AC44" s="47" t="n">
        <v>0.542916719336296</v>
      </c>
      <c r="AD44" s="47" t="n">
        <v>0.4247064050395962</v>
      </c>
      <c r="AE44" s="47" t="n">
        <v>2.158860839228887</v>
      </c>
      <c r="AF44" s="47" t="n">
        <v>3.148372144511039</v>
      </c>
      <c r="AG44" s="47" t="n">
        <v>1.924463132631602</v>
      </c>
      <c r="AH44" s="47" t="n">
        <v>3.835155523872714</v>
      </c>
      <c r="AI44" s="47" t="n">
        <v>2.419738872268534</v>
      </c>
      <c r="AJ44" s="47" t="n">
        <v>3.876772464517823</v>
      </c>
      <c r="AK44" s="47" t="n">
        <v>2.24981597940966</v>
      </c>
      <c r="AL44" s="47" t="n">
        <v>1.835957767092306</v>
      </c>
      <c r="AM44" s="47" t="n">
        <v>10.90990257378268</v>
      </c>
      <c r="AN44" s="47" t="n">
        <v>2.177406812412698</v>
      </c>
      <c r="AO44" s="47" t="n">
        <v>1.917367206206846</v>
      </c>
      <c r="AP44" s="47" t="n">
        <v>0.407812968422216</v>
      </c>
      <c r="AQ44" s="47" t="n">
        <v>0.9845416503552866</v>
      </c>
      <c r="AR44" s="47" t="n">
        <v>0.7562223312373144</v>
      </c>
      <c r="AS44" s="47" t="n">
        <v>0.2531706491548031</v>
      </c>
      <c r="AT44" s="47" t="n">
        <v>1.001561087690433</v>
      </c>
      <c r="AU44" s="47" t="n">
        <v>0.2031105773158912</v>
      </c>
      <c r="AV44" s="47" t="n">
        <v>0.6606277591782054</v>
      </c>
      <c r="AW44" s="47" t="n">
        <v>1.040206568217031</v>
      </c>
      <c r="AX44" s="47" t="n">
        <v>3.701308553944673</v>
      </c>
      <c r="AY44" s="47" t="n">
        <v>1.388375902705792</v>
      </c>
      <c r="AZ44" s="47" t="n">
        <v>3.739324820330192</v>
      </c>
      <c r="BA44" s="47" t="n">
        <v>2.141578693342282</v>
      </c>
      <c r="BB44" s="47" t="n">
        <v>3.290837350460223</v>
      </c>
      <c r="BC44" s="47" t="n">
        <v>0.04982355929631918</v>
      </c>
      <c r="BD44" s="47" t="n">
        <v>1.338672460212955</v>
      </c>
      <c r="BE44" s="47" t="n">
        <v>3.408134652788596</v>
      </c>
      <c r="BF44" s="47" t="n">
        <v>3.109889897768989</v>
      </c>
      <c r="BG44" s="47" t="n">
        <v>4.11791305659508</v>
      </c>
      <c r="BH44" s="47" t="n">
        <v>3.523829897031735</v>
      </c>
      <c r="BI44" s="47" t="n">
        <v>1.001439403601778</v>
      </c>
      <c r="BJ44" s="47" t="n">
        <v>1.662273000317635</v>
      </c>
    </row>
    <row r="45" hidden="1" outlineLevel="1" ht="15.75" customHeight="1">
      <c r="B45" s="5" t="inlineStr">
        <is>
          <t>SPE</t>
        </is>
      </c>
      <c r="C45" s="68" t="inlineStr">
        <is>
          <t>Upper Middle Market</t>
        </is>
      </c>
      <c r="F45" s="46">
        <f>+SUMIFS($AA45:$DR45,$AA$7:$DR$7,F$7)</f>
        <v/>
      </c>
      <c r="G45" s="46">
        <f>+SUMIFS($AA45:$DR45,$AA$7:$DR$7,G$7)</f>
        <v/>
      </c>
      <c r="H45" s="46">
        <f>+SUMIFS($AA45:$DR45,$AA$7:$DR$7,H$7)</f>
        <v/>
      </c>
      <c r="I45" s="46">
        <f>+SUMIFS($AA45:$DR45,$AA$7:$DR$7,I$7)</f>
        <v/>
      </c>
      <c r="J45" s="46">
        <f>+SUMIFS($AA45:$DR45,$AA$7:$DR$7,J$7)</f>
        <v/>
      </c>
      <c r="K45" s="46">
        <f>+SUMIFS($AA45:$DR45,$AA$7:$DR$7,K$7)</f>
        <v/>
      </c>
      <c r="L45" s="46">
        <f>+SUMIFS($AA45:$DR45,$AA$7:$DR$7,L$7)</f>
        <v/>
      </c>
      <c r="M45" s="46">
        <f>+SUMIFS($AA45:$DR45,$AA$7:$DR$7,M$7)</f>
        <v/>
      </c>
      <c r="AA45" s="47" t="n">
        <v>0</v>
      </c>
      <c r="AB45" s="47" t="n">
        <v>0</v>
      </c>
      <c r="AC45" s="47" t="n">
        <v>0</v>
      </c>
      <c r="AD45" s="47" t="n">
        <v>0</v>
      </c>
      <c r="AE45" s="47" t="n">
        <v>0</v>
      </c>
      <c r="AF45" s="47" t="n">
        <v>0</v>
      </c>
      <c r="AG45" s="47" t="n">
        <v>0</v>
      </c>
      <c r="AH45" s="47" t="n">
        <v>0</v>
      </c>
      <c r="AI45" s="47" t="n">
        <v>0</v>
      </c>
      <c r="AJ45" s="47" t="n">
        <v>0</v>
      </c>
      <c r="AK45" s="47" t="n">
        <v>0</v>
      </c>
      <c r="AL45" s="47" t="n">
        <v>0</v>
      </c>
      <c r="AM45" s="47" t="n">
        <v>0</v>
      </c>
      <c r="AN45" s="47" t="n">
        <v>0</v>
      </c>
      <c r="AO45" s="47" t="n">
        <v>0.008308060686015832</v>
      </c>
      <c r="AP45" s="47" t="n">
        <v>0.1920289611612743</v>
      </c>
      <c r="AQ45" s="47" t="n">
        <v>0.02908494186046512</v>
      </c>
      <c r="AR45" s="47" t="n">
        <v>0.05520110344827587</v>
      </c>
      <c r="AS45" s="47" t="n">
        <v>0.07522254217431561</v>
      </c>
      <c r="AT45" s="47" t="n">
        <v>0</v>
      </c>
      <c r="AU45" s="47" t="n">
        <v>0</v>
      </c>
      <c r="AV45" s="47" t="n">
        <v>0</v>
      </c>
      <c r="AW45" s="47" t="n">
        <v>0.03500237257070928</v>
      </c>
      <c r="AX45" s="47" t="n">
        <v>0.2015542088565935</v>
      </c>
      <c r="AY45" s="47" t="n">
        <v>1.116595093950401</v>
      </c>
      <c r="AZ45" s="47" t="n">
        <v>0.687399652637557</v>
      </c>
      <c r="BA45" s="47" t="n">
        <v>0.4950399135415862</v>
      </c>
      <c r="BB45" s="47" t="n">
        <v>0.4794159309815917</v>
      </c>
      <c r="BC45" s="47" t="n">
        <v>2.865989713254243</v>
      </c>
      <c r="BD45" s="47" t="n">
        <v>1.395932041070393</v>
      </c>
      <c r="BE45" s="47" t="n">
        <v>1.409950912626527</v>
      </c>
      <c r="BF45" s="47" t="n">
        <v>3.463350371207086</v>
      </c>
      <c r="BG45" s="47" t="n">
        <v>0.293624201237938</v>
      </c>
      <c r="BH45" s="47" t="n">
        <v>0.8825155369024779</v>
      </c>
      <c r="BI45" s="47" t="n">
        <v>2.678508468983114</v>
      </c>
      <c r="BJ45" s="47" t="n">
        <v>4.054051132546786</v>
      </c>
    </row>
    <row r="46" hidden="1" outlineLevel="1" ht="15.75" customHeight="1">
      <c r="B46" s="5" t="inlineStr">
        <is>
          <t>UCP</t>
        </is>
      </c>
      <c r="C46" s="68" t="inlineStr">
        <is>
          <t>Lower Middle Market</t>
        </is>
      </c>
      <c r="F46" s="46">
        <f>+SUMIFS($AA46:$DR46,$AA$7:$DR$7,F$7)</f>
        <v/>
      </c>
      <c r="G46" s="46">
        <f>+SUMIFS($AA46:$DR46,$AA$7:$DR$7,G$7)</f>
        <v/>
      </c>
      <c r="H46" s="46">
        <f>+SUMIFS($AA46:$DR46,$AA$7:$DR$7,H$7)</f>
        <v/>
      </c>
      <c r="I46" s="46">
        <f>+SUMIFS($AA46:$DR46,$AA$7:$DR$7,I$7)</f>
        <v/>
      </c>
      <c r="J46" s="46">
        <f>+SUMIFS($AA46:$DR46,$AA$7:$DR$7,J$7)</f>
        <v/>
      </c>
      <c r="K46" s="46">
        <f>+SUMIFS($AA46:$DR46,$AA$7:$DR$7,K$7)</f>
        <v/>
      </c>
      <c r="L46" s="46">
        <f>+SUMIFS($AA46:$DR46,$AA$7:$DR$7,L$7)</f>
        <v/>
      </c>
      <c r="M46" s="46">
        <f>+SUMIFS($AA46:$DR46,$AA$7:$DR$7,M$7)</f>
        <v/>
      </c>
      <c r="AA46" s="47" t="n">
        <v>0</v>
      </c>
      <c r="AB46" s="47" t="n">
        <v>0</v>
      </c>
      <c r="AC46" s="47" t="n">
        <v>0</v>
      </c>
      <c r="AD46" s="47" t="n">
        <v>0</v>
      </c>
      <c r="AE46" s="47" t="n">
        <v>0</v>
      </c>
      <c r="AF46" s="47" t="n">
        <v>0</v>
      </c>
      <c r="AG46" s="47" t="n">
        <v>0</v>
      </c>
      <c r="AH46" s="47" t="n">
        <v>0</v>
      </c>
      <c r="AI46" s="47" t="n">
        <v>0</v>
      </c>
      <c r="AJ46" s="47" t="n">
        <v>0</v>
      </c>
      <c r="AK46" s="47" t="n">
        <v>0.05027827358952985</v>
      </c>
      <c r="AL46" s="47" t="n">
        <v>0.1201064800095822</v>
      </c>
      <c r="AM46" s="47" t="n">
        <v>0.1345560276718914</v>
      </c>
      <c r="AN46" s="47" t="n">
        <v>0.03824381502890174</v>
      </c>
      <c r="AO46" s="47" t="n">
        <v>0.07349721658056364</v>
      </c>
      <c r="AP46" s="47" t="n">
        <v>0.1674651240747425</v>
      </c>
      <c r="AQ46" s="47" t="n">
        <v>0.2569097727546407</v>
      </c>
      <c r="AR46" s="47" t="n">
        <v>0.2426034212848689</v>
      </c>
      <c r="AS46" s="47" t="n">
        <v>0.4259443429739718</v>
      </c>
      <c r="AT46" s="47" t="n">
        <v>0.4182933181232096</v>
      </c>
      <c r="AU46" s="47" t="n">
        <v>0.7462792451074243</v>
      </c>
      <c r="AV46" s="47" t="n">
        <v>1.189230636239386</v>
      </c>
      <c r="AW46" s="47" t="n">
        <v>0.6812561046333707</v>
      </c>
      <c r="AX46" s="47" t="n">
        <v>1.443591892398238</v>
      </c>
      <c r="AY46" s="47" t="n">
        <v>1.132191407789085</v>
      </c>
      <c r="AZ46" s="47" t="n">
        <v>1.967198600234644</v>
      </c>
      <c r="BA46" s="47" t="n">
        <v>0.8753385660686711</v>
      </c>
      <c r="BB46" s="47" t="n">
        <v>0.4130208068622026</v>
      </c>
      <c r="BC46" s="47" t="n">
        <v>0.5476230524796704</v>
      </c>
      <c r="BD46" s="47" t="n">
        <v>1.908080708091677</v>
      </c>
      <c r="BE46" s="47" t="n">
        <v>1.856229330348246</v>
      </c>
      <c r="BF46" s="47" t="n">
        <v>2.610862407155344</v>
      </c>
      <c r="BG46" s="47" t="n">
        <v>0.888199727472117</v>
      </c>
      <c r="BH46" s="47" t="n">
        <v>1.452518183889059</v>
      </c>
      <c r="BI46" s="47" t="n">
        <v>0.4843150511357209</v>
      </c>
      <c r="BJ46" s="47" t="n">
        <v>0.5670193389832091</v>
      </c>
    </row>
    <row r="47" hidden="1" outlineLevel="1" ht="15.75" customHeight="1">
      <c r="B47" s="5" t="inlineStr">
        <is>
          <t>WK</t>
        </is>
      </c>
      <c r="C47" s="68" t="inlineStr">
        <is>
          <t>Mega</t>
        </is>
      </c>
      <c r="F47" s="46">
        <f>+SUMIFS($AA47:$DR47,$AA$7:$DR$7,F$7)</f>
        <v/>
      </c>
      <c r="G47" s="46">
        <f>+SUMIFS($AA47:$DR47,$AA$7:$DR$7,G$7)</f>
        <v/>
      </c>
      <c r="H47" s="46">
        <f>+SUMIFS($AA47:$DR47,$AA$7:$DR$7,H$7)</f>
        <v/>
      </c>
      <c r="I47" s="46">
        <f>+SUMIFS($AA47:$DR47,$AA$7:$DR$7,I$7)</f>
        <v/>
      </c>
      <c r="J47" s="46">
        <f>+SUMIFS($AA47:$DR47,$AA$7:$DR$7,J$7)</f>
        <v/>
      </c>
      <c r="K47" s="46">
        <f>+SUMIFS($AA47:$DR47,$AA$7:$DR$7,K$7)</f>
        <v/>
      </c>
      <c r="L47" s="46">
        <f>+SUMIFS($AA47:$DR47,$AA$7:$DR$7,L$7)</f>
        <v/>
      </c>
      <c r="M47" s="46">
        <f>+SUMIFS($AA47:$DR47,$AA$7:$DR$7,M$7)</f>
        <v/>
      </c>
      <c r="AA47" s="47" t="n">
        <v>13.1324612987006</v>
      </c>
      <c r="AB47" s="47" t="n">
        <v>6.812650365007382</v>
      </c>
      <c r="AC47" s="47" t="n">
        <v>5.734814548770732</v>
      </c>
      <c r="AD47" s="47" t="n">
        <v>8.68820079232921</v>
      </c>
      <c r="AE47" s="47" t="n">
        <v>10.02597531693767</v>
      </c>
      <c r="AF47" s="47" t="n">
        <v>8.452441667424607</v>
      </c>
      <c r="AG47" s="47" t="n">
        <v>11.96238218561933</v>
      </c>
      <c r="AH47" s="47" t="n">
        <v>5.541400695278529</v>
      </c>
      <c r="AI47" s="47" t="n">
        <v>5.329833316867608</v>
      </c>
      <c r="AJ47" s="47" t="n">
        <v>7.767271624110695</v>
      </c>
      <c r="AK47" s="47" t="n">
        <v>9.16834930410592</v>
      </c>
      <c r="AL47" s="47" t="n">
        <v>4.634787273848057</v>
      </c>
      <c r="AM47" s="47" t="n">
        <v>9.524914883159777</v>
      </c>
      <c r="AN47" s="47" t="n">
        <v>11.44948407249237</v>
      </c>
      <c r="AO47" s="47" t="n">
        <v>10.94986552375423</v>
      </c>
      <c r="AP47" s="47" t="n">
        <v>11.39225401286657</v>
      </c>
      <c r="AQ47" s="47" t="n">
        <v>4.037465944278465</v>
      </c>
      <c r="AR47" s="47" t="n">
        <v>5.497956959503459</v>
      </c>
      <c r="AS47" s="47" t="n">
        <v>2.250347186533764</v>
      </c>
      <c r="AT47" s="47" t="n">
        <v>5.209857251471995</v>
      </c>
      <c r="AU47" s="47" t="n">
        <v>7.913695371777187</v>
      </c>
      <c r="AV47" s="47" t="n">
        <v>9.276070849646946</v>
      </c>
      <c r="AW47" s="47" t="n">
        <v>8.957027986219742</v>
      </c>
      <c r="AX47" s="47" t="n">
        <v>9.103553546370453</v>
      </c>
      <c r="AY47" s="47" t="n">
        <v>11.88940700909354</v>
      </c>
      <c r="AZ47" s="47" t="n">
        <v>8.495582841747563</v>
      </c>
      <c r="BA47" s="47" t="n">
        <v>5.380784812149205</v>
      </c>
      <c r="BB47" s="47" t="n">
        <v>7.863455573225927</v>
      </c>
      <c r="BC47" s="47" t="n">
        <v>4.445717532177641</v>
      </c>
      <c r="BD47" s="47" t="n">
        <v>3.204062353273211</v>
      </c>
      <c r="BE47" s="47" t="n">
        <v>5.560461144731283</v>
      </c>
      <c r="BF47" s="47" t="n">
        <v>6.161783328581845</v>
      </c>
      <c r="BG47" s="47" t="n">
        <v>5.778782357892397</v>
      </c>
      <c r="BH47" s="47" t="n">
        <v>4.759707327558652</v>
      </c>
      <c r="BI47" s="47" t="n">
        <v>7.505364254395868</v>
      </c>
      <c r="BJ47" s="47" t="n">
        <v>2.093422478325382</v>
      </c>
    </row>
    <row r="48" hidden="1" outlineLevel="1" ht="15.75" customHeight="1">
      <c r="B48" s="5" t="inlineStr">
        <is>
          <t>AAD</t>
        </is>
      </c>
      <c r="C48" s="68" t="inlineStr">
        <is>
          <t>Lower Middle Market</t>
        </is>
      </c>
      <c r="F48" s="46">
        <f>+SUMIFS($AA48:$DR48,$AA$7:$DR$7,F$7)</f>
        <v/>
      </c>
      <c r="G48" s="46">
        <f>+SUMIFS($AA48:$DR48,$AA$7:$DR$7,G$7)</f>
        <v/>
      </c>
      <c r="H48" s="46">
        <f>+SUMIFS($AA48:$DR48,$AA$7:$DR$7,H$7)</f>
        <v/>
      </c>
      <c r="I48" s="46">
        <f>+SUMIFS($AA48:$DR48,$AA$7:$DR$7,I$7)</f>
        <v/>
      </c>
      <c r="J48" s="46">
        <f>+SUMIFS($AA48:$DR48,$AA$7:$DR$7,J$7)</f>
        <v/>
      </c>
      <c r="K48" s="46">
        <f>+SUMIFS($AA48:$DR48,$AA$7:$DR$7,K$7)</f>
        <v/>
      </c>
      <c r="L48" s="46">
        <f>+SUMIFS($AA48:$DR48,$AA$7:$DR$7,L$7)</f>
        <v/>
      </c>
      <c r="M48" s="46">
        <f>+SUMIFS($AA48:$DR48,$AA$7:$DR$7,M$7)</f>
        <v/>
      </c>
      <c r="AA48" s="47" t="n">
        <v>0.02465844221105528</v>
      </c>
      <c r="AB48" s="47" t="n">
        <v>1.924028383674054</v>
      </c>
      <c r="AC48" s="47" t="n">
        <v>0.9991659090786583</v>
      </c>
      <c r="AD48" s="47" t="n">
        <v>0.7031300335485832</v>
      </c>
      <c r="AE48" s="47" t="n">
        <v>0.5842608183034494</v>
      </c>
      <c r="AF48" s="47" t="n">
        <v>0.6569694644897612</v>
      </c>
      <c r="AG48" s="47" t="n">
        <v>0.8161837651376795</v>
      </c>
      <c r="AH48" s="47" t="n">
        <v>0.1202425228367017</v>
      </c>
      <c r="AI48" s="47" t="n">
        <v>0</v>
      </c>
      <c r="AJ48" s="47" t="n">
        <v>0</v>
      </c>
      <c r="AK48" s="47" t="n">
        <v>0</v>
      </c>
      <c r="AL48" s="47" t="n">
        <v>0</v>
      </c>
      <c r="AM48" s="47" t="n">
        <v>0</v>
      </c>
      <c r="AN48" s="47" t="n">
        <v>0</v>
      </c>
      <c r="AO48" s="47" t="n">
        <v>0</v>
      </c>
      <c r="AP48" s="47" t="n">
        <v>0</v>
      </c>
      <c r="AQ48" s="47" t="n">
        <v>0</v>
      </c>
      <c r="AR48" s="47" t="n">
        <v>0</v>
      </c>
      <c r="AS48" s="47" t="n">
        <v>0</v>
      </c>
      <c r="AT48" s="47" t="n">
        <v>0</v>
      </c>
      <c r="AU48" s="47" t="n">
        <v>0</v>
      </c>
      <c r="AV48" s="47" t="n">
        <v>0</v>
      </c>
      <c r="AW48" s="47" t="n">
        <v>0</v>
      </c>
      <c r="AX48" s="47" t="n">
        <v>0</v>
      </c>
      <c r="AY48" s="47" t="n">
        <v>0</v>
      </c>
      <c r="AZ48" s="47" t="n">
        <v>0</v>
      </c>
      <c r="BA48" s="47" t="n">
        <v>0</v>
      </c>
      <c r="BB48" s="47" t="n">
        <v>0</v>
      </c>
      <c r="BC48" s="47" t="n">
        <v>0</v>
      </c>
      <c r="BD48" s="47" t="n">
        <v>0</v>
      </c>
      <c r="BE48" s="47" t="n">
        <v>0</v>
      </c>
      <c r="BF48" s="47" t="n">
        <v>0</v>
      </c>
      <c r="BG48" s="47" t="n">
        <v>0</v>
      </c>
      <c r="BH48" s="47" t="n">
        <v>0</v>
      </c>
      <c r="BI48" s="47" t="n">
        <v>0</v>
      </c>
      <c r="BJ48" s="47" t="n">
        <v>0</v>
      </c>
    </row>
    <row r="49" hidden="1" outlineLevel="1" ht="15.75" customHeight="1">
      <c r="B49" s="5" t="inlineStr">
        <is>
          <t>ACP</t>
        </is>
      </c>
      <c r="C49" s="68" t="inlineStr">
        <is>
          <t>Lower Middle Market</t>
        </is>
      </c>
      <c r="F49" s="46">
        <f>+SUMIFS($AA49:$DR49,$AA$7:$DR$7,F$7)</f>
        <v/>
      </c>
      <c r="G49" s="46">
        <f>+SUMIFS($AA49:$DR49,$AA$7:$DR$7,G$7)</f>
        <v/>
      </c>
      <c r="H49" s="46">
        <f>+SUMIFS($AA49:$DR49,$AA$7:$DR$7,H$7)</f>
        <v/>
      </c>
      <c r="I49" s="46">
        <f>+SUMIFS($AA49:$DR49,$AA$7:$DR$7,I$7)</f>
        <v/>
      </c>
      <c r="J49" s="46">
        <f>+SUMIFS($AA49:$DR49,$AA$7:$DR$7,J$7)</f>
        <v/>
      </c>
      <c r="K49" s="46">
        <f>+SUMIFS($AA49:$DR49,$AA$7:$DR$7,K$7)</f>
        <v/>
      </c>
      <c r="L49" s="46">
        <f>+SUMIFS($AA49:$DR49,$AA$7:$DR$7,L$7)</f>
        <v/>
      </c>
      <c r="M49" s="46">
        <f>+SUMIFS($AA49:$DR49,$AA$7:$DR$7,M$7)</f>
        <v/>
      </c>
      <c r="AA49" s="47" t="n">
        <v>4.235783184436205</v>
      </c>
      <c r="AB49" s="47" t="n">
        <v>2.748124408612632</v>
      </c>
      <c r="AC49" s="47" t="n">
        <v>2.395557908465894</v>
      </c>
      <c r="AD49" s="47" t="n">
        <v>1.186400047349053</v>
      </c>
      <c r="AE49" s="47" t="n">
        <v>4.789689279814271</v>
      </c>
      <c r="AF49" s="47" t="n">
        <v>4.30353082228981</v>
      </c>
      <c r="AG49" s="47" t="n">
        <v>6.31010787721076</v>
      </c>
      <c r="AH49" s="47" t="n">
        <v>7.806762804075934</v>
      </c>
      <c r="AI49" s="47" t="n">
        <v>1.974463428715152</v>
      </c>
      <c r="AJ49" s="47" t="n">
        <v>3.150796779788032</v>
      </c>
      <c r="AK49" s="47" t="n">
        <v>1.469822457766448</v>
      </c>
      <c r="AL49" s="47" t="n">
        <v>0.6206294688760767</v>
      </c>
      <c r="AM49" s="47" t="n">
        <v>1.434054179480205</v>
      </c>
      <c r="AN49" s="47" t="n">
        <v>0.6541514133310474</v>
      </c>
      <c r="AO49" s="47" t="n">
        <v>0.2806287832641411</v>
      </c>
      <c r="AP49" s="47" t="n">
        <v>2.234749364067841</v>
      </c>
      <c r="AQ49" s="47" t="n">
        <v>0.6474087521611793</v>
      </c>
      <c r="AR49" s="47" t="n">
        <v>0</v>
      </c>
      <c r="AS49" s="47" t="n">
        <v>0</v>
      </c>
      <c r="AT49" s="47" t="n">
        <v>0</v>
      </c>
      <c r="AU49" s="47" t="n">
        <v>0</v>
      </c>
      <c r="AV49" s="47" t="n">
        <v>0</v>
      </c>
      <c r="AW49" s="47" t="n">
        <v>0</v>
      </c>
      <c r="AX49" s="47" t="n">
        <v>0</v>
      </c>
      <c r="AY49" s="47" t="n">
        <v>0</v>
      </c>
      <c r="AZ49" s="47" t="n">
        <v>0</v>
      </c>
      <c r="BA49" s="47" t="n">
        <v>0</v>
      </c>
      <c r="BB49" s="47" t="n">
        <v>0</v>
      </c>
      <c r="BC49" s="47" t="n">
        <v>0</v>
      </c>
      <c r="BD49" s="47" t="n">
        <v>0</v>
      </c>
      <c r="BE49" s="47" t="n">
        <v>0</v>
      </c>
      <c r="BF49" s="47" t="n">
        <v>0</v>
      </c>
      <c r="BG49" s="47" t="n">
        <v>0</v>
      </c>
      <c r="BH49" s="47" t="n">
        <v>0</v>
      </c>
      <c r="BI49" s="47" t="n">
        <v>0</v>
      </c>
      <c r="BJ49" s="47" t="n">
        <v>0</v>
      </c>
    </row>
    <row r="50" hidden="1" outlineLevel="1" ht="15.75" customHeight="1">
      <c r="B50" s="5" t="inlineStr">
        <is>
          <t>AOA</t>
        </is>
      </c>
      <c r="C50" s="68" t="inlineStr">
        <is>
          <t>Lower Middle Market</t>
        </is>
      </c>
      <c r="F50" s="46">
        <f>+SUMIFS($AA50:$DR50,$AA$7:$DR$7,F$7)</f>
        <v/>
      </c>
      <c r="G50" s="46">
        <f>+SUMIFS($AA50:$DR50,$AA$7:$DR$7,G$7)</f>
        <v/>
      </c>
      <c r="H50" s="46">
        <f>+SUMIFS($AA50:$DR50,$AA$7:$DR$7,H$7)</f>
        <v/>
      </c>
      <c r="I50" s="46">
        <f>+SUMIFS($AA50:$DR50,$AA$7:$DR$7,I$7)</f>
        <v/>
      </c>
      <c r="J50" s="46">
        <f>+SUMIFS($AA50:$DR50,$AA$7:$DR$7,J$7)</f>
        <v/>
      </c>
      <c r="K50" s="46">
        <f>+SUMIFS($AA50:$DR50,$AA$7:$DR$7,K$7)</f>
        <v/>
      </c>
      <c r="L50" s="46">
        <f>+SUMIFS($AA50:$DR50,$AA$7:$DR$7,L$7)</f>
        <v/>
      </c>
      <c r="M50" s="46">
        <f>+SUMIFS($AA50:$DR50,$AA$7:$DR$7,M$7)</f>
        <v/>
      </c>
      <c r="AA50" s="47" t="n">
        <v>0.9894923371483821</v>
      </c>
      <c r="AB50" s="47" t="n">
        <v>0.08669241146377496</v>
      </c>
      <c r="AC50" s="47" t="n">
        <v>0.5345188802730012</v>
      </c>
      <c r="AD50" s="47" t="n">
        <v>0.2407996627297377</v>
      </c>
      <c r="AE50" s="47" t="n">
        <v>0.3468944282971673</v>
      </c>
      <c r="AF50" s="47" t="n">
        <v>0.2328364930912346</v>
      </c>
      <c r="AG50" s="47" t="n">
        <v>0.1705921425835049</v>
      </c>
      <c r="AH50" s="47" t="n">
        <v>0.458846930748284</v>
      </c>
      <c r="AI50" s="47" t="n">
        <v>0.06107357890853332</v>
      </c>
      <c r="AJ50" s="47" t="n">
        <v>0.243462850707302</v>
      </c>
      <c r="AK50" s="47" t="n">
        <v>0.1718270835684134</v>
      </c>
      <c r="AL50" s="47" t="n">
        <v>0.1275869389962474</v>
      </c>
      <c r="AM50" s="47" t="n">
        <v>0.03441648020190356</v>
      </c>
      <c r="AN50" s="47" t="n">
        <v>0.5128411256791477</v>
      </c>
      <c r="AO50" s="47" t="n">
        <v>0.2253761584008431</v>
      </c>
      <c r="AP50" s="47" t="n">
        <v>0.316332473632107</v>
      </c>
      <c r="AQ50" s="47" t="n">
        <v>0.1925192118814066</v>
      </c>
      <c r="AR50" s="47" t="n">
        <v>0.06847539169039316</v>
      </c>
      <c r="AS50" s="47" t="n">
        <v>0.01157911394785946</v>
      </c>
      <c r="AT50" s="47" t="n">
        <v>0.2220142716735416</v>
      </c>
      <c r="AU50" s="47" t="n">
        <v>0.04847547893303712</v>
      </c>
      <c r="AV50" s="47" t="n">
        <v>0.09781056930749013</v>
      </c>
      <c r="AW50" s="47" t="n">
        <v>0.03967695074427428</v>
      </c>
      <c r="AX50" s="47" t="n">
        <v>0.07446593967656502</v>
      </c>
      <c r="AY50" s="47" t="n">
        <v>1.348207288123612</v>
      </c>
      <c r="AZ50" s="47" t="n">
        <v>0.184859852524476</v>
      </c>
      <c r="BA50" s="47" t="n">
        <v>0.03943481526387939</v>
      </c>
      <c r="BB50" s="47" t="n">
        <v>0.1308856709061688</v>
      </c>
      <c r="BC50" s="47" t="n">
        <v>1.157033545500752</v>
      </c>
      <c r="BD50" s="47" t="n">
        <v>0.0267731808823675</v>
      </c>
      <c r="BE50" s="47" t="n">
        <v>0</v>
      </c>
      <c r="BF50" s="47" t="n">
        <v>0</v>
      </c>
      <c r="BG50" s="47" t="n">
        <v>0</v>
      </c>
      <c r="BH50" s="47" t="n">
        <v>0</v>
      </c>
      <c r="BI50" s="47" t="n">
        <v>0</v>
      </c>
      <c r="BJ50" s="47" t="n">
        <v>0</v>
      </c>
    </row>
    <row r="51" hidden="1" outlineLevel="1" ht="15.75" customHeight="1">
      <c r="B51" s="5" t="inlineStr">
        <is>
          <t>ASHA</t>
        </is>
      </c>
      <c r="C51" s="68" t="inlineStr">
        <is>
          <t>Lower Middle Market</t>
        </is>
      </c>
      <c r="F51" s="46">
        <f>+SUMIFS($AA51:$DR51,$AA$7:$DR$7,F$7)</f>
        <v/>
      </c>
      <c r="G51" s="46">
        <f>+SUMIFS($AA51:$DR51,$AA$7:$DR$7,G$7)</f>
        <v/>
      </c>
      <c r="H51" s="46">
        <f>+SUMIFS($AA51:$DR51,$AA$7:$DR$7,H$7)</f>
        <v/>
      </c>
      <c r="I51" s="46">
        <f>+SUMIFS($AA51:$DR51,$AA$7:$DR$7,I$7)</f>
        <v/>
      </c>
      <c r="J51" s="46">
        <f>+SUMIFS($AA51:$DR51,$AA$7:$DR$7,J$7)</f>
        <v/>
      </c>
      <c r="K51" s="46">
        <f>+SUMIFS($AA51:$DR51,$AA$7:$DR$7,K$7)</f>
        <v/>
      </c>
      <c r="L51" s="46">
        <f>+SUMIFS($AA51:$DR51,$AA$7:$DR$7,L$7)</f>
        <v/>
      </c>
      <c r="M51" s="46">
        <f>+SUMIFS($AA51:$DR51,$AA$7:$DR$7,M$7)</f>
        <v/>
      </c>
      <c r="AA51" s="47" t="n">
        <v>0.07126262403277615</v>
      </c>
      <c r="AB51" s="47" t="n">
        <v>0</v>
      </c>
      <c r="AC51" s="47" t="n">
        <v>0</v>
      </c>
      <c r="AD51" s="47" t="n">
        <v>0</v>
      </c>
      <c r="AE51" s="47" t="n">
        <v>0</v>
      </c>
      <c r="AF51" s="47" t="n">
        <v>0</v>
      </c>
      <c r="AG51" s="47" t="n">
        <v>0</v>
      </c>
      <c r="AH51" s="47" t="n">
        <v>0</v>
      </c>
      <c r="AI51" s="47" t="n">
        <v>0</v>
      </c>
      <c r="AJ51" s="47" t="n">
        <v>0</v>
      </c>
      <c r="AK51" s="47" t="n">
        <v>0</v>
      </c>
      <c r="AL51" s="47" t="n">
        <v>0</v>
      </c>
      <c r="AM51" s="47" t="n">
        <v>0</v>
      </c>
      <c r="AN51" s="47" t="n">
        <v>0</v>
      </c>
      <c r="AO51" s="47" t="n">
        <v>0</v>
      </c>
      <c r="AP51" s="47" t="n">
        <v>0</v>
      </c>
      <c r="AQ51" s="47" t="n">
        <v>0</v>
      </c>
      <c r="AR51" s="47" t="n">
        <v>0</v>
      </c>
      <c r="AS51" s="47" t="n">
        <v>0</v>
      </c>
      <c r="AT51" s="47" t="n">
        <v>0</v>
      </c>
      <c r="AU51" s="47" t="n">
        <v>0</v>
      </c>
      <c r="AV51" s="47" t="n">
        <v>0</v>
      </c>
      <c r="AW51" s="47" t="n">
        <v>0</v>
      </c>
      <c r="AX51" s="47" t="n">
        <v>0</v>
      </c>
      <c r="AY51" s="47" t="n">
        <v>0</v>
      </c>
      <c r="AZ51" s="47" t="n">
        <v>0</v>
      </c>
      <c r="BA51" s="47" t="n">
        <v>0</v>
      </c>
      <c r="BB51" s="47" t="n">
        <v>0</v>
      </c>
      <c r="BC51" s="47" t="n">
        <v>0</v>
      </c>
      <c r="BD51" s="47" t="n">
        <v>0</v>
      </c>
      <c r="BE51" s="47" t="n">
        <v>0</v>
      </c>
      <c r="BF51" s="47" t="n">
        <v>0</v>
      </c>
      <c r="BG51" s="47" t="n">
        <v>0</v>
      </c>
      <c r="BH51" s="47" t="n">
        <v>0</v>
      </c>
      <c r="BI51" s="47" t="n">
        <v>0</v>
      </c>
      <c r="BJ51" s="47" t="n">
        <v>0</v>
      </c>
    </row>
    <row r="52" hidden="1" outlineLevel="1" ht="15.75" customHeight="1">
      <c r="B52" s="5" t="inlineStr">
        <is>
          <t>ECRI</t>
        </is>
      </c>
      <c r="C52" s="68" t="inlineStr">
        <is>
          <t>Lower Middle Market</t>
        </is>
      </c>
      <c r="F52" s="46">
        <f>+SUMIFS($AA52:$DR52,$AA$7:$DR$7,F$7)</f>
        <v/>
      </c>
      <c r="G52" s="46">
        <f>+SUMIFS($AA52:$DR52,$AA$7:$DR$7,G$7)</f>
        <v/>
      </c>
      <c r="H52" s="46">
        <f>+SUMIFS($AA52:$DR52,$AA$7:$DR$7,H$7)</f>
        <v/>
      </c>
      <c r="I52" s="46">
        <f>+SUMIFS($AA52:$DR52,$AA$7:$DR$7,I$7)</f>
        <v/>
      </c>
      <c r="J52" s="46">
        <f>+SUMIFS($AA52:$DR52,$AA$7:$DR$7,J$7)</f>
        <v/>
      </c>
      <c r="K52" s="46">
        <f>+SUMIFS($AA52:$DR52,$AA$7:$DR$7,K$7)</f>
        <v/>
      </c>
      <c r="L52" s="46">
        <f>+SUMIFS($AA52:$DR52,$AA$7:$DR$7,L$7)</f>
        <v/>
      </c>
      <c r="M52" s="46">
        <f>+SUMIFS($AA52:$DR52,$AA$7:$DR$7,M$7)</f>
        <v/>
      </c>
      <c r="AA52" s="47" t="n">
        <v>0</v>
      </c>
      <c r="AB52" s="47" t="n">
        <v>0</v>
      </c>
      <c r="AC52" s="47" t="n">
        <v>0</v>
      </c>
      <c r="AD52" s="47" t="n">
        <v>0</v>
      </c>
      <c r="AE52" s="47" t="n">
        <v>0</v>
      </c>
      <c r="AF52" s="47" t="n">
        <v>0</v>
      </c>
      <c r="AG52" s="47" t="n">
        <v>0</v>
      </c>
      <c r="AH52" s="47" t="n">
        <v>0</v>
      </c>
      <c r="AI52" s="47" t="n">
        <v>0</v>
      </c>
      <c r="AJ52" s="47" t="n">
        <v>0</v>
      </c>
      <c r="AK52" s="47" t="n">
        <v>0</v>
      </c>
      <c r="AL52" s="47" t="n">
        <v>0</v>
      </c>
      <c r="AM52" s="47" t="n">
        <v>0</v>
      </c>
      <c r="AN52" s="47" t="n">
        <v>0</v>
      </c>
      <c r="AO52" s="47" t="n">
        <v>0</v>
      </c>
      <c r="AP52" s="47" t="n">
        <v>0</v>
      </c>
      <c r="AQ52" s="47" t="n">
        <v>0</v>
      </c>
      <c r="AR52" s="47" t="n">
        <v>0</v>
      </c>
      <c r="AS52" s="47" t="n">
        <v>0</v>
      </c>
      <c r="AT52" s="47" t="n">
        <v>0</v>
      </c>
      <c r="AU52" s="47" t="n">
        <v>0</v>
      </c>
      <c r="AV52" s="47" t="n">
        <v>0</v>
      </c>
      <c r="AW52" s="47" t="n">
        <v>0</v>
      </c>
      <c r="AX52" s="47" t="n">
        <v>0</v>
      </c>
      <c r="AY52" s="47" t="n">
        <v>0</v>
      </c>
      <c r="AZ52" s="47" t="n">
        <v>0</v>
      </c>
      <c r="BA52" s="47" t="n">
        <v>0</v>
      </c>
      <c r="BB52" s="47" t="n">
        <v>0</v>
      </c>
      <c r="BC52" s="47" t="n">
        <v>0</v>
      </c>
      <c r="BD52" s="47" t="n">
        <v>0</v>
      </c>
      <c r="BE52" s="47" t="n">
        <v>0</v>
      </c>
      <c r="BF52" s="47" t="n">
        <v>0</v>
      </c>
      <c r="BG52" s="47" t="n">
        <v>0</v>
      </c>
      <c r="BH52" s="47" t="n">
        <v>0</v>
      </c>
      <c r="BI52" s="47" t="n">
        <v>0</v>
      </c>
      <c r="BJ52" s="47" t="n">
        <v>0</v>
      </c>
    </row>
    <row r="53" hidden="1" outlineLevel="1" ht="15.75" customHeight="1">
      <c r="B53" s="5" t="inlineStr">
        <is>
          <t>PCOUK</t>
        </is>
      </c>
      <c r="C53" s="68" t="inlineStr">
        <is>
          <t>Lower Middle Market</t>
        </is>
      </c>
      <c r="F53" s="46">
        <f>+SUMIFS($AA53:$DR53,$AA$7:$DR$7,F$7)</f>
        <v/>
      </c>
      <c r="G53" s="46">
        <f>+SUMIFS($AA53:$DR53,$AA$7:$DR$7,G$7)</f>
        <v/>
      </c>
      <c r="H53" s="46">
        <f>+SUMIFS($AA53:$DR53,$AA$7:$DR$7,H$7)</f>
        <v/>
      </c>
      <c r="I53" s="46">
        <f>+SUMIFS($AA53:$DR53,$AA$7:$DR$7,I$7)</f>
        <v/>
      </c>
      <c r="J53" s="46">
        <f>+SUMIFS($AA53:$DR53,$AA$7:$DR$7,J$7)</f>
        <v/>
      </c>
      <c r="K53" s="46">
        <f>+SUMIFS($AA53:$DR53,$AA$7:$DR$7,K$7)</f>
        <v/>
      </c>
      <c r="L53" s="46">
        <f>+SUMIFS($AA53:$DR53,$AA$7:$DR$7,L$7)</f>
        <v/>
      </c>
      <c r="M53" s="46">
        <f>+SUMIFS($AA53:$DR53,$AA$7:$DR$7,M$7)</f>
        <v/>
      </c>
      <c r="AA53" s="47" t="n">
        <v>0.3430654252275583</v>
      </c>
      <c r="AB53" s="47" t="n">
        <v>0.02217027108433735</v>
      </c>
      <c r="AC53" s="47" t="n">
        <v>0.04810479634310915</v>
      </c>
      <c r="AD53" s="47" t="n">
        <v>0.03961752853942482</v>
      </c>
      <c r="AE53" s="47" t="n">
        <v>0.1175905573908035</v>
      </c>
      <c r="AF53" s="47" t="n">
        <v>0.8889408648015413</v>
      </c>
      <c r="AG53" s="47" t="n">
        <v>1.934590508785474</v>
      </c>
      <c r="AH53" s="47" t="n">
        <v>0.1694120199466883</v>
      </c>
      <c r="AI53" s="47" t="n">
        <v>0.1596086973961884</v>
      </c>
      <c r="AJ53" s="47" t="n">
        <v>0.688732203174069</v>
      </c>
      <c r="AK53" s="47" t="n">
        <v>0.778466553988555</v>
      </c>
      <c r="AL53" s="47" t="n">
        <v>0</v>
      </c>
      <c r="AM53" s="47" t="n">
        <v>0.006106608706028081</v>
      </c>
      <c r="AN53" s="47" t="n">
        <v>0.01452930421776985</v>
      </c>
      <c r="AO53" s="47" t="n">
        <v>0</v>
      </c>
      <c r="AP53" s="47" t="n">
        <v>0.06345250777131961</v>
      </c>
      <c r="AQ53" s="47" t="n">
        <v>0</v>
      </c>
      <c r="AR53" s="47" t="n">
        <v>0</v>
      </c>
      <c r="AS53" s="47" t="n">
        <v>0</v>
      </c>
      <c r="AT53" s="47" t="n">
        <v>0</v>
      </c>
      <c r="AU53" s="47" t="n">
        <v>0</v>
      </c>
      <c r="AV53" s="47" t="n">
        <v>0</v>
      </c>
      <c r="AW53" s="47" t="n">
        <v>0</v>
      </c>
      <c r="AX53" s="47" t="n">
        <v>0</v>
      </c>
      <c r="AY53" s="47" t="n">
        <v>0</v>
      </c>
      <c r="AZ53" s="47" t="n">
        <v>0</v>
      </c>
      <c r="BA53" s="47" t="n">
        <v>0</v>
      </c>
      <c r="BB53" s="47" t="n">
        <v>0</v>
      </c>
      <c r="BC53" s="47" t="n">
        <v>0</v>
      </c>
      <c r="BD53" s="47" t="n">
        <v>0</v>
      </c>
      <c r="BE53" s="47" t="n">
        <v>0</v>
      </c>
      <c r="BF53" s="47" t="n">
        <v>0</v>
      </c>
      <c r="BG53" s="47" t="n">
        <v>0</v>
      </c>
      <c r="BH53" s="47" t="n">
        <v>0</v>
      </c>
      <c r="BI53" s="47" t="n">
        <v>0</v>
      </c>
      <c r="BJ53" s="47" t="n">
        <v>0</v>
      </c>
    </row>
    <row r="54" hidden="1" outlineLevel="1" ht="15.75" customHeight="1">
      <c r="B54" s="5" t="inlineStr">
        <is>
          <t>TISTA</t>
        </is>
      </c>
      <c r="C54" s="68" t="inlineStr">
        <is>
          <t>Lower Middle Market</t>
        </is>
      </c>
      <c r="F54" s="46">
        <f>+SUMIFS($AA54:$DR54,$AA$7:$DR$7,F$7)</f>
        <v/>
      </c>
      <c r="G54" s="46">
        <f>+SUMIFS($AA54:$DR54,$AA$7:$DR$7,G$7)</f>
        <v/>
      </c>
      <c r="H54" s="46">
        <f>+SUMIFS($AA54:$DR54,$AA$7:$DR$7,H$7)</f>
        <v/>
      </c>
      <c r="I54" s="46">
        <f>+SUMIFS($AA54:$DR54,$AA$7:$DR$7,I$7)</f>
        <v/>
      </c>
      <c r="J54" s="46">
        <f>+SUMIFS($AA54:$DR54,$AA$7:$DR$7,J$7)</f>
        <v/>
      </c>
      <c r="K54" s="46">
        <f>+SUMIFS($AA54:$DR54,$AA$7:$DR$7,K$7)</f>
        <v/>
      </c>
      <c r="L54" s="46">
        <f>+SUMIFS($AA54:$DR54,$AA$7:$DR$7,L$7)</f>
        <v/>
      </c>
      <c r="M54" s="46">
        <f>+SUMIFS($AA54:$DR54,$AA$7:$DR$7,M$7)</f>
        <v/>
      </c>
      <c r="AA54" s="47" t="n">
        <v>0</v>
      </c>
      <c r="AB54" s="47" t="n">
        <v>0</v>
      </c>
      <c r="AC54" s="47" t="n">
        <v>0</v>
      </c>
      <c r="AD54" s="47" t="n">
        <v>0</v>
      </c>
      <c r="AE54" s="47" t="n">
        <v>0</v>
      </c>
      <c r="AF54" s="47" t="n">
        <v>0</v>
      </c>
      <c r="AG54" s="47" t="n">
        <v>0</v>
      </c>
      <c r="AH54" s="47" t="n">
        <v>0</v>
      </c>
      <c r="AI54" s="47" t="n">
        <v>0</v>
      </c>
      <c r="AJ54" s="47" t="n">
        <v>0</v>
      </c>
      <c r="AK54" s="47" t="n">
        <v>0</v>
      </c>
      <c r="AL54" s="47" t="n">
        <v>0</v>
      </c>
      <c r="AM54" s="47" t="n">
        <v>0</v>
      </c>
      <c r="AN54" s="47" t="n">
        <v>0</v>
      </c>
      <c r="AO54" s="47" t="n">
        <v>0</v>
      </c>
      <c r="AP54" s="47" t="n">
        <v>0</v>
      </c>
      <c r="AQ54" s="47" t="n">
        <v>0</v>
      </c>
      <c r="AR54" s="47" t="n">
        <v>0</v>
      </c>
      <c r="AS54" s="47" t="n">
        <v>0</v>
      </c>
      <c r="AT54" s="47" t="n">
        <v>0</v>
      </c>
      <c r="AU54" s="47" t="n">
        <v>0</v>
      </c>
      <c r="AV54" s="47" t="n">
        <v>0</v>
      </c>
      <c r="AW54" s="47" t="n">
        <v>0</v>
      </c>
      <c r="AX54" s="47" t="n">
        <v>0</v>
      </c>
      <c r="AY54" s="47" t="n">
        <v>0</v>
      </c>
      <c r="AZ54" s="47" t="n">
        <v>0</v>
      </c>
      <c r="BA54" s="47" t="n">
        <v>0</v>
      </c>
      <c r="BB54" s="47" t="n">
        <v>0</v>
      </c>
      <c r="BC54" s="47" t="n">
        <v>0</v>
      </c>
      <c r="BD54" s="47" t="n">
        <v>0</v>
      </c>
      <c r="BE54" s="47" t="n">
        <v>0</v>
      </c>
      <c r="BF54" s="47" t="n">
        <v>0</v>
      </c>
      <c r="BG54" s="47" t="n">
        <v>0</v>
      </c>
      <c r="BH54" s="47" t="n">
        <v>0</v>
      </c>
      <c r="BI54" s="47" t="n">
        <v>0</v>
      </c>
      <c r="BJ54" s="47" t="n">
        <v>0</v>
      </c>
    </row>
    <row r="55" hidden="1" outlineLevel="1" ht="15.75" customHeight="1">
      <c r="B55" s="5" t="inlineStr">
        <is>
          <t>UCSF</t>
        </is>
      </c>
      <c r="C55" s="68" t="inlineStr">
        <is>
          <t>Upper Middle Market</t>
        </is>
      </c>
      <c r="F55" s="46">
        <f>+SUMIFS($AA55:$DR55,$AA$7:$DR$7,F$7)</f>
        <v/>
      </c>
      <c r="G55" s="46">
        <f>+SUMIFS($AA55:$DR55,$AA$7:$DR$7,G$7)</f>
        <v/>
      </c>
      <c r="H55" s="46">
        <f>+SUMIFS($AA55:$DR55,$AA$7:$DR$7,H$7)</f>
        <v/>
      </c>
      <c r="I55" s="46">
        <f>+SUMIFS($AA55:$DR55,$AA$7:$DR$7,I$7)</f>
        <v/>
      </c>
      <c r="J55" s="46">
        <f>+SUMIFS($AA55:$DR55,$AA$7:$DR$7,J$7)</f>
        <v/>
      </c>
      <c r="K55" s="46">
        <f>+SUMIFS($AA55:$DR55,$AA$7:$DR$7,K$7)</f>
        <v/>
      </c>
      <c r="L55" s="46">
        <f>+SUMIFS($AA55:$DR55,$AA$7:$DR$7,L$7)</f>
        <v/>
      </c>
      <c r="M55" s="46">
        <f>+SUMIFS($AA55:$DR55,$AA$7:$DR$7,M$7)</f>
        <v/>
      </c>
      <c r="AA55" s="47" t="n">
        <v>0</v>
      </c>
      <c r="AB55" s="47" t="n">
        <v>0</v>
      </c>
      <c r="AC55" s="47" t="n">
        <v>0</v>
      </c>
      <c r="AD55" s="47" t="n">
        <v>0</v>
      </c>
      <c r="AE55" s="47" t="n">
        <v>0</v>
      </c>
      <c r="AF55" s="47" t="n">
        <v>0</v>
      </c>
      <c r="AG55" s="47" t="n">
        <v>0</v>
      </c>
      <c r="AH55" s="47" t="n">
        <v>0</v>
      </c>
      <c r="AI55" s="47" t="n">
        <v>0</v>
      </c>
      <c r="AJ55" s="47" t="n">
        <v>0</v>
      </c>
      <c r="AK55" s="47" t="n">
        <v>0</v>
      </c>
      <c r="AL55" s="47" t="n">
        <v>0</v>
      </c>
      <c r="AM55" s="47" t="n">
        <v>0</v>
      </c>
      <c r="AN55" s="47" t="n">
        <v>0</v>
      </c>
      <c r="AO55" s="47" t="n">
        <v>0</v>
      </c>
      <c r="AP55" s="47" t="n">
        <v>0</v>
      </c>
      <c r="AQ55" s="47" t="n">
        <v>0</v>
      </c>
      <c r="AR55" s="47" t="n">
        <v>0</v>
      </c>
      <c r="AS55" s="47" t="n">
        <v>0</v>
      </c>
      <c r="AT55" s="47" t="n">
        <v>0</v>
      </c>
      <c r="AU55" s="47" t="n">
        <v>0</v>
      </c>
      <c r="AV55" s="47" t="n">
        <v>0</v>
      </c>
      <c r="AW55" s="47" t="n">
        <v>0</v>
      </c>
      <c r="AX55" s="47" t="n">
        <v>0</v>
      </c>
      <c r="AY55" s="47" t="n">
        <v>0</v>
      </c>
      <c r="AZ55" s="47" t="n">
        <v>0</v>
      </c>
      <c r="BA55" s="47" t="n">
        <v>0</v>
      </c>
      <c r="BB55" s="47" t="n">
        <v>0</v>
      </c>
      <c r="BC55" s="47" t="n">
        <v>0</v>
      </c>
      <c r="BD55" s="47" t="n">
        <v>0</v>
      </c>
      <c r="BE55" s="47" t="n">
        <v>0</v>
      </c>
      <c r="BF55" s="47" t="n">
        <v>0</v>
      </c>
      <c r="BG55" s="47" t="n">
        <v>0</v>
      </c>
      <c r="BH55" s="47" t="n">
        <v>0</v>
      </c>
      <c r="BI55" s="47" t="n">
        <v>0</v>
      </c>
      <c r="BJ55" s="47" t="n">
        <v>0</v>
      </c>
    </row>
    <row r="56" hidden="1" outlineLevel="1" ht="15.75" customHeight="1">
      <c r="B56" s="5" t="inlineStr">
        <is>
          <t>OTHER</t>
        </is>
      </c>
      <c r="C56" s="68" t="inlineStr">
        <is>
          <t>Lower Middle Market</t>
        </is>
      </c>
      <c r="F56" s="46">
        <f>+SUMIFS($AA56:$DR56,$AA$7:$DR$7,F$7)</f>
        <v/>
      </c>
      <c r="G56" s="46">
        <f>+SUMIFS($AA56:$DR56,$AA$7:$DR$7,G$7)</f>
        <v/>
      </c>
      <c r="H56" s="46">
        <f>+SUMIFS($AA56:$DR56,$AA$7:$DR$7,H$7)</f>
        <v/>
      </c>
      <c r="I56" s="46">
        <f>+SUMIFS($AA56:$DR56,$AA$7:$DR$7,I$7)</f>
        <v/>
      </c>
      <c r="J56" s="46">
        <f>+SUMIFS($AA56:$DR56,$AA$7:$DR$7,J$7)</f>
        <v/>
      </c>
      <c r="K56" s="46">
        <f>+SUMIFS($AA56:$DR56,$AA$7:$DR$7,K$7)</f>
        <v/>
      </c>
      <c r="L56" s="46">
        <f>+SUMIFS($AA56:$DR56,$AA$7:$DR$7,L$7)</f>
        <v/>
      </c>
      <c r="M56" s="46">
        <f>+SUMIFS($AA56:$DR56,$AA$7:$DR$7,M$7)</f>
        <v/>
      </c>
      <c r="AA56" s="47" t="n">
        <v>0</v>
      </c>
      <c r="AB56" s="47" t="n">
        <v>0</v>
      </c>
      <c r="AC56" s="47" t="n">
        <v>0</v>
      </c>
      <c r="AD56" s="47" t="n">
        <v>0</v>
      </c>
      <c r="AE56" s="47" t="n">
        <v>0</v>
      </c>
      <c r="AF56" s="47" t="n">
        <v>0</v>
      </c>
      <c r="AG56" s="47" t="n">
        <v>0</v>
      </c>
      <c r="AH56" s="47" t="n">
        <v>0</v>
      </c>
      <c r="AI56" s="47" t="n">
        <v>0</v>
      </c>
      <c r="AJ56" s="47" t="n">
        <v>0</v>
      </c>
      <c r="AK56" s="47" t="n">
        <v>0</v>
      </c>
      <c r="AL56" s="47" t="n">
        <v>0</v>
      </c>
      <c r="AM56" s="47" t="n">
        <v>0</v>
      </c>
      <c r="AN56" s="47" t="n">
        <v>0</v>
      </c>
      <c r="AO56" s="47" t="n">
        <v>0</v>
      </c>
      <c r="AP56" s="47" t="n">
        <v>0</v>
      </c>
      <c r="AQ56" s="47" t="n">
        <v>0</v>
      </c>
      <c r="AR56" s="47" t="n">
        <v>0</v>
      </c>
      <c r="AS56" s="47" t="n">
        <v>0</v>
      </c>
      <c r="AT56" s="47" t="n">
        <v>0</v>
      </c>
      <c r="AU56" s="47" t="n">
        <v>0</v>
      </c>
      <c r="AV56" s="47" t="n">
        <v>0</v>
      </c>
      <c r="AW56" s="47" t="n">
        <v>0</v>
      </c>
      <c r="AX56" s="47" t="n">
        <v>0</v>
      </c>
      <c r="AY56" s="47" t="n">
        <v>0</v>
      </c>
      <c r="AZ56" s="47" t="n">
        <v>0</v>
      </c>
      <c r="BA56" s="47" t="n">
        <v>0</v>
      </c>
      <c r="BB56" s="47" t="n">
        <v>0</v>
      </c>
      <c r="BC56" s="47" t="n">
        <v>0</v>
      </c>
      <c r="BD56" s="47" t="n">
        <v>0</v>
      </c>
      <c r="BE56" s="47" t="n">
        <v>0</v>
      </c>
      <c r="BF56" s="47" t="n">
        <v>0</v>
      </c>
      <c r="BG56" s="47" t="n">
        <v>0</v>
      </c>
      <c r="BH56" s="47" t="n">
        <v>0</v>
      </c>
      <c r="BI56" s="47" t="n">
        <v>0</v>
      </c>
      <c r="BJ56" s="47" t="n">
        <v>0</v>
      </c>
    </row>
    <row r="57" hidden="1" outlineLevel="1" ht="15.75" customHeight="1">
      <c r="B57" s="5" t="inlineStr">
        <is>
          <t>AAAS</t>
        </is>
      </c>
      <c r="C57" s="68" t="inlineStr">
        <is>
          <t>Lower Middle Market</t>
        </is>
      </c>
      <c r="F57" s="46">
        <f>+SUMIFS($AA57:$DR57,$AA$7:$DR$7,F$7)</f>
        <v/>
      </c>
      <c r="G57" s="46">
        <f>+SUMIFS($AA57:$DR57,$AA$7:$DR$7,G$7)</f>
        <v/>
      </c>
      <c r="H57" s="46">
        <f>+SUMIFS($AA57:$DR57,$AA$7:$DR$7,H$7)</f>
        <v/>
      </c>
      <c r="I57" s="46">
        <f>+SUMIFS($AA57:$DR57,$AA$7:$DR$7,I$7)</f>
        <v/>
      </c>
      <c r="J57" s="46">
        <f>+SUMIFS($AA57:$DR57,$AA$7:$DR$7,J$7)</f>
        <v/>
      </c>
      <c r="K57" s="46">
        <f>+SUMIFS($AA57:$DR57,$AA$7:$DR$7,K$7)</f>
        <v/>
      </c>
      <c r="L57" s="46">
        <f>+SUMIFS($AA57:$DR57,$AA$7:$DR$7,L$7)</f>
        <v/>
      </c>
      <c r="M57" s="46">
        <f>+SUMIFS($AA57:$DR57,$AA$7:$DR$7,M$7)</f>
        <v/>
      </c>
      <c r="AA57" s="47" t="n">
        <v>0</v>
      </c>
      <c r="AB57" s="47" t="n">
        <v>0</v>
      </c>
      <c r="AC57" s="47" t="n">
        <v>0</v>
      </c>
      <c r="AD57" s="47" t="n">
        <v>0</v>
      </c>
      <c r="AE57" s="47" t="n">
        <v>0</v>
      </c>
      <c r="AF57" s="47" t="n">
        <v>0</v>
      </c>
      <c r="AG57" s="47" t="n">
        <v>0</v>
      </c>
      <c r="AH57" s="47" t="n">
        <v>0</v>
      </c>
      <c r="AI57" s="47" t="n">
        <v>0</v>
      </c>
      <c r="AJ57" s="47" t="n">
        <v>0</v>
      </c>
      <c r="AK57" s="47" t="n">
        <v>0</v>
      </c>
      <c r="AL57" s="47" t="n">
        <v>0</v>
      </c>
      <c r="AM57" s="47" t="n">
        <v>0</v>
      </c>
      <c r="AN57" s="47" t="n">
        <v>0</v>
      </c>
      <c r="AO57" s="47" t="n">
        <v>0</v>
      </c>
      <c r="AP57" s="47" t="n">
        <v>0</v>
      </c>
      <c r="AQ57" s="47" t="n">
        <v>0</v>
      </c>
      <c r="AR57" s="47" t="n">
        <v>0</v>
      </c>
      <c r="AS57" s="47" t="n">
        <v>0</v>
      </c>
      <c r="AT57" s="47" t="n">
        <v>0</v>
      </c>
      <c r="AU57" s="47" t="n">
        <v>0</v>
      </c>
      <c r="AV57" s="47" t="n">
        <v>0</v>
      </c>
      <c r="AW57" s="47" t="n">
        <v>0</v>
      </c>
      <c r="AX57" s="47" t="n">
        <v>0</v>
      </c>
      <c r="AY57" s="47" t="n">
        <v>0</v>
      </c>
      <c r="AZ57" s="47" t="n">
        <v>0</v>
      </c>
      <c r="BA57" s="47" t="n">
        <v>0</v>
      </c>
      <c r="BB57" s="47" t="n">
        <v>0</v>
      </c>
      <c r="BC57" s="47" t="n">
        <v>0</v>
      </c>
      <c r="BD57" s="47" t="n">
        <v>0</v>
      </c>
      <c r="BE57" s="47" t="n">
        <v>0</v>
      </c>
      <c r="BF57" s="47" t="n">
        <v>0</v>
      </c>
      <c r="BG57" s="47" t="n">
        <v>0</v>
      </c>
      <c r="BH57" s="47" t="n">
        <v>0</v>
      </c>
      <c r="BI57" s="47" t="n">
        <v>0</v>
      </c>
      <c r="BJ57" s="47" t="n">
        <v>0</v>
      </c>
    </row>
    <row r="58" hidden="1" outlineLevel="1" ht="15.75" customHeight="1">
      <c r="B58" s="5" t="inlineStr">
        <is>
          <t>EL</t>
        </is>
      </c>
      <c r="C58" s="68" t="inlineStr">
        <is>
          <t>Lower Middle Market</t>
        </is>
      </c>
      <c r="F58" s="46">
        <f>+SUMIFS($AA58:$DR58,$AA$7:$DR$7,F$7)</f>
        <v/>
      </c>
      <c r="G58" s="46">
        <f>+SUMIFS($AA58:$DR58,$AA$7:$DR$7,G$7)</f>
        <v/>
      </c>
      <c r="H58" s="46">
        <f>+SUMIFS($AA58:$DR58,$AA$7:$DR$7,H$7)</f>
        <v/>
      </c>
      <c r="I58" s="46">
        <f>+SUMIFS($AA58:$DR58,$AA$7:$DR$7,I$7)</f>
        <v/>
      </c>
      <c r="J58" s="46">
        <f>+SUMIFS($AA58:$DR58,$AA$7:$DR$7,J$7)</f>
        <v/>
      </c>
      <c r="K58" s="46">
        <f>+SUMIFS($AA58:$DR58,$AA$7:$DR$7,K$7)</f>
        <v/>
      </c>
      <c r="L58" s="46">
        <f>+SUMIFS($AA58:$DR58,$AA$7:$DR$7,L$7)</f>
        <v/>
      </c>
      <c r="M58" s="46">
        <f>+SUMIFS($AA58:$DR58,$AA$7:$DR$7,M$7)</f>
        <v/>
      </c>
      <c r="AA58" s="47" t="n">
        <v>2.48311021996224</v>
      </c>
      <c r="AB58" s="47" t="n">
        <v>5.202538742303926</v>
      </c>
      <c r="AC58" s="47" t="n">
        <v>1.942082852185144</v>
      </c>
      <c r="AD58" s="47" t="n">
        <v>1.980377742481257</v>
      </c>
      <c r="AE58" s="47" t="n">
        <v>2.716899471462057</v>
      </c>
      <c r="AF58" s="47" t="n">
        <v>0.5314597481043599</v>
      </c>
      <c r="AG58" s="47" t="n">
        <v>0</v>
      </c>
      <c r="AH58" s="47" t="n">
        <v>0</v>
      </c>
      <c r="AI58" s="47" t="n">
        <v>0</v>
      </c>
      <c r="AJ58" s="47" t="n">
        <v>0</v>
      </c>
      <c r="AK58" s="47" t="n">
        <v>0</v>
      </c>
      <c r="AL58" s="47" t="n">
        <v>0</v>
      </c>
      <c r="AM58" s="47" t="n">
        <v>0.5854164987935552</v>
      </c>
      <c r="AN58" s="47" t="n">
        <v>0</v>
      </c>
      <c r="AO58" s="47" t="n">
        <v>0.3164954604639686</v>
      </c>
      <c r="AP58" s="47" t="n">
        <v>1.119425427612702</v>
      </c>
      <c r="AQ58" s="47" t="n">
        <v>0.8824154545751178</v>
      </c>
      <c r="AR58" s="47" t="n">
        <v>0</v>
      </c>
      <c r="AS58" s="47" t="n">
        <v>0.06845331687247433</v>
      </c>
      <c r="AT58" s="47" t="n">
        <v>0.1558952180805298</v>
      </c>
      <c r="AU58" s="47" t="n">
        <v>0.2537745762711864</v>
      </c>
      <c r="AV58" s="47" t="n">
        <v>0</v>
      </c>
      <c r="AW58" s="47" t="n">
        <v>0</v>
      </c>
      <c r="AX58" s="47" t="n">
        <v>0.08015563781275765</v>
      </c>
      <c r="AY58" s="47" t="n">
        <v>0.3583279259959703</v>
      </c>
      <c r="AZ58" s="47" t="n">
        <v>0</v>
      </c>
      <c r="BA58" s="47" t="n">
        <v>0</v>
      </c>
      <c r="BB58" s="47" t="n">
        <v>0</v>
      </c>
      <c r="BC58" s="47" t="n">
        <v>0</v>
      </c>
      <c r="BD58" s="47" t="n">
        <v>0</v>
      </c>
      <c r="BE58" s="47" t="n">
        <v>0</v>
      </c>
      <c r="BF58" s="47" t="n">
        <v>0</v>
      </c>
      <c r="BG58" s="47" t="n">
        <v>0</v>
      </c>
      <c r="BH58" s="47" t="n">
        <v>0</v>
      </c>
      <c r="BI58" s="47" t="n">
        <v>0</v>
      </c>
      <c r="BJ58" s="47" t="n">
        <v>0</v>
      </c>
    </row>
    <row r="59" hidden="1" outlineLevel="1" ht="4.5" customHeight="1">
      <c r="F59" s="46" t="n"/>
      <c r="G59" s="46" t="n"/>
      <c r="H59" s="46" t="n"/>
      <c r="I59" s="46" t="n"/>
      <c r="J59" s="46" t="n"/>
      <c r="K59" s="46" t="n"/>
      <c r="L59" s="46" t="n"/>
      <c r="M59" s="46" t="n"/>
    </row>
    <row r="60" hidden="1" outlineLevel="1" ht="15.75" customHeight="1">
      <c r="B60" s="50" t="inlineStr">
        <is>
          <t>Total</t>
        </is>
      </c>
      <c r="C60" s="50" t="n"/>
      <c r="D60" s="50" t="n"/>
      <c r="F60" s="51">
        <f>+SUMIFS($AA60:$DR60,$AA$7:$DR$7,F$7)</f>
        <v/>
      </c>
      <c r="G60" s="51">
        <f>+SUMIFS($AA60:$DR60,$AA$7:$DR$7,G$7)</f>
        <v/>
      </c>
      <c r="H60" s="51">
        <f>+SUMIFS($AA60:$DR60,$AA$7:$DR$7,H$7)</f>
        <v/>
      </c>
      <c r="I60" s="51">
        <f>+SUMIFS($AA60:$DR60,$AA$7:$DR$7,I$7)</f>
        <v/>
      </c>
      <c r="J60" s="51">
        <f>+SUMIFS($AA60:$DR60,$AA$7:$DR$7,J$7)</f>
        <v/>
      </c>
      <c r="K60" s="51">
        <f>+SUMIFS($AA60:$DR60,$AA$7:$DR$7,K$7)</f>
        <v/>
      </c>
      <c r="L60" s="51">
        <f>+SUMIFS($AA60:$DR60,$AA$7:$DR$7,L$7)</f>
        <v/>
      </c>
      <c r="M60" s="51">
        <f>+SUMIFS($AA60:$DR60,$AA$7:$DR$7,M$7)</f>
        <v/>
      </c>
      <c r="AA60" s="51">
        <f>SUM(AA13:AA59)</f>
        <v/>
      </c>
      <c r="AB60" s="51">
        <f>SUM(AB13:AB59)</f>
        <v/>
      </c>
      <c r="AC60" s="51">
        <f>SUM(AC13:AC59)</f>
        <v/>
      </c>
      <c r="AD60" s="51">
        <f>SUM(AD13:AD59)</f>
        <v/>
      </c>
      <c r="AE60" s="51">
        <f>SUM(AE13:AE59)</f>
        <v/>
      </c>
      <c r="AF60" s="51">
        <f>SUM(AF13:AF59)</f>
        <v/>
      </c>
      <c r="AG60" s="51">
        <f>SUM(AG13:AG59)</f>
        <v/>
      </c>
      <c r="AH60" s="51">
        <f>SUM(AH13:AH59)</f>
        <v/>
      </c>
      <c r="AI60" s="51">
        <f>SUM(AI13:AI59)</f>
        <v/>
      </c>
      <c r="AJ60" s="51">
        <f>SUM(AJ13:AJ59)</f>
        <v/>
      </c>
      <c r="AK60" s="51">
        <f>SUM(AK13:AK59)</f>
        <v/>
      </c>
      <c r="AL60" s="51">
        <f>SUM(AL13:AL59)</f>
        <v/>
      </c>
      <c r="AM60" s="51">
        <f>SUM(AM13:AM59)</f>
        <v/>
      </c>
      <c r="AN60" s="51">
        <f>SUM(AN13:AN59)</f>
        <v/>
      </c>
      <c r="AO60" s="51">
        <f>SUM(AO13:AO59)</f>
        <v/>
      </c>
      <c r="AP60" s="51">
        <f>SUM(AP13:AP59)</f>
        <v/>
      </c>
      <c r="AQ60" s="51">
        <f>SUM(AQ13:AQ59)</f>
        <v/>
      </c>
      <c r="AR60" s="51">
        <f>SUM(AR13:AR59)</f>
        <v/>
      </c>
      <c r="AS60" s="51">
        <f>SUM(AS13:AS59)</f>
        <v/>
      </c>
      <c r="AT60" s="51">
        <f>SUM(AT13:AT59)</f>
        <v/>
      </c>
      <c r="AU60" s="51">
        <f>SUM(AU13:AU59)</f>
        <v/>
      </c>
      <c r="AV60" s="51">
        <f>SUM(AV13:AV59)</f>
        <v/>
      </c>
      <c r="AW60" s="51">
        <f>SUM(AW13:AW59)</f>
        <v/>
      </c>
      <c r="AX60" s="51">
        <f>SUM(AX13:AX59)</f>
        <v/>
      </c>
      <c r="AY60" s="51">
        <f>SUM(AY13:AY59)</f>
        <v/>
      </c>
      <c r="AZ60" s="51">
        <f>SUM(AZ13:AZ59)</f>
        <v/>
      </c>
      <c r="BA60" s="51">
        <f>SUM(BA13:BA59)</f>
        <v/>
      </c>
      <c r="BB60" s="51">
        <f>SUM(BB13:BB59)</f>
        <v/>
      </c>
      <c r="BC60" s="51">
        <f>SUM(BC13:BC59)</f>
        <v/>
      </c>
      <c r="BD60" s="51">
        <f>SUM(BD13:BD59)</f>
        <v/>
      </c>
      <c r="BE60" s="51">
        <f>SUM(BE13:BE59)</f>
        <v/>
      </c>
      <c r="BF60" s="51">
        <f>SUM(BF13:BF59)</f>
        <v/>
      </c>
      <c r="BG60" s="51">
        <f>SUM(BG13:BG59)</f>
        <v/>
      </c>
      <c r="BH60" s="51">
        <f>SUM(BH13:BH59)</f>
        <v/>
      </c>
      <c r="BI60" s="51">
        <f>SUM(BI13:BI59)</f>
        <v/>
      </c>
      <c r="BJ60" s="51">
        <f>SUM(BJ13:BJ59)</f>
        <v/>
      </c>
    </row>
    <row r="61" hidden="1" outlineLevel="1" ht="4.5" customHeight="1"/>
    <row r="62" collapsed="1" ht="15.75" customHeight="1">
      <c r="B62" s="44" t="inlineStr">
        <is>
          <t>Revenue</t>
        </is>
      </c>
    </row>
    <row r="63" ht="15.75" customHeight="1">
      <c r="B63" s="5" t="inlineStr">
        <is>
          <t>Mega</t>
        </is>
      </c>
      <c r="F63" s="48">
        <f>+Revenue_Calcs!F84</f>
        <v/>
      </c>
      <c r="G63" s="48">
        <f>+Revenue_Calcs!G84</f>
        <v/>
      </c>
      <c r="H63" s="48">
        <f>+Revenue_Calcs!H84</f>
        <v/>
      </c>
      <c r="I63" s="48">
        <f>+Revenue_Calcs!I84</f>
        <v/>
      </c>
      <c r="J63" s="48">
        <f>+Revenue_Calcs!J84</f>
        <v/>
      </c>
      <c r="K63" s="48">
        <f>+Revenue_Calcs!K84</f>
        <v/>
      </c>
      <c r="L63" s="48">
        <f>+Revenue_Calcs!L84</f>
        <v/>
      </c>
      <c r="M63" s="48">
        <f>+Revenue_Calcs!M84</f>
        <v/>
      </c>
      <c r="AA63" s="49" t="n"/>
      <c r="AB63" s="96" t="n"/>
      <c r="AC63" s="96" t="n"/>
      <c r="AD63" s="96" t="n"/>
      <c r="AE63" s="96" t="n"/>
      <c r="AF63" s="96" t="n"/>
      <c r="AG63" s="96" t="n"/>
      <c r="AH63" s="96" t="n"/>
      <c r="AI63" s="96" t="n"/>
      <c r="AJ63" s="96" t="n"/>
      <c r="AK63" s="96" t="n"/>
      <c r="AL63" s="96" t="n"/>
      <c r="AM63" s="96" t="n"/>
      <c r="AN63" s="96" t="n"/>
      <c r="AO63" s="96" t="n"/>
      <c r="AP63" s="96" t="n"/>
      <c r="AQ63" s="96" t="n"/>
      <c r="AR63" s="96" t="n"/>
      <c r="AS63" s="96" t="n"/>
      <c r="AT63" s="96" t="n"/>
      <c r="AU63" s="96" t="n"/>
      <c r="AV63" s="96" t="n"/>
      <c r="AW63" s="96" t="n"/>
      <c r="AX63" s="96" t="n"/>
      <c r="AY63" s="96" t="n"/>
      <c r="AZ63" s="96" t="n"/>
      <c r="BA63" s="96" t="n"/>
      <c r="BB63" s="96" t="n"/>
      <c r="BC63" s="96" t="n"/>
      <c r="BD63" s="96" t="n"/>
      <c r="BE63" s="96" t="n"/>
      <c r="BF63" s="96" t="n"/>
      <c r="BG63" s="96" t="n"/>
      <c r="BH63" s="96" t="n"/>
      <c r="BI63" s="96" t="n"/>
      <c r="BJ63" s="96" t="n"/>
      <c r="BK63" s="96" t="n"/>
      <c r="BL63" s="96" t="n"/>
      <c r="BM63" s="96" t="n"/>
      <c r="BN63" s="96" t="n"/>
      <c r="BO63" s="96" t="n"/>
      <c r="BP63" s="96" t="n"/>
      <c r="BQ63" s="96" t="n"/>
      <c r="BR63" s="96" t="n"/>
      <c r="BS63" s="96" t="n"/>
      <c r="BT63" s="96" t="n"/>
      <c r="BU63" s="96" t="n"/>
      <c r="BV63" s="96" t="n"/>
      <c r="BW63" s="96" t="n"/>
      <c r="BX63" s="96" t="n"/>
      <c r="BY63" s="96" t="n"/>
      <c r="BZ63" s="96" t="n"/>
      <c r="CA63" s="96" t="n"/>
      <c r="CB63" s="96" t="n"/>
      <c r="CC63" s="96" t="n"/>
      <c r="CD63" s="96" t="n"/>
      <c r="CE63" s="96" t="n"/>
      <c r="CF63" s="96" t="n"/>
      <c r="CG63" s="96" t="n"/>
      <c r="CH63" s="96" t="n"/>
      <c r="CI63" s="96" t="n"/>
      <c r="CJ63" s="96" t="n"/>
      <c r="CK63" s="96" t="n"/>
      <c r="CL63" s="96" t="n"/>
      <c r="CM63" s="96" t="n"/>
      <c r="CN63" s="96" t="n"/>
      <c r="CO63" s="96" t="n"/>
      <c r="CP63" s="96" t="n"/>
      <c r="CQ63" s="96" t="n"/>
      <c r="CR63" s="96" t="n"/>
      <c r="CS63" s="96" t="n"/>
      <c r="CT63" s="96" t="n"/>
      <c r="CU63" s="96" t="n"/>
      <c r="CV63" s="96" t="n"/>
      <c r="CW63" s="96" t="n"/>
      <c r="CX63" s="96" t="n"/>
      <c r="CY63" s="96" t="n"/>
      <c r="CZ63" s="96" t="n"/>
      <c r="DA63" s="96" t="n"/>
      <c r="DB63" s="96" t="n"/>
      <c r="DC63" s="96" t="n"/>
      <c r="DD63" s="96" t="n"/>
      <c r="DE63" s="96" t="n"/>
      <c r="DF63" s="96" t="n"/>
      <c r="DG63" s="96" t="n"/>
      <c r="DH63" s="96" t="n"/>
      <c r="DI63" s="96" t="n"/>
      <c r="DJ63" s="96" t="n"/>
      <c r="DK63" s="96" t="n"/>
      <c r="DL63" s="96" t="n"/>
      <c r="DM63" s="96" t="n"/>
      <c r="DN63" s="96" t="n"/>
      <c r="DO63" s="96" t="n"/>
      <c r="DP63" s="96" t="n"/>
      <c r="DQ63" s="96" t="n"/>
      <c r="DR63" s="96" t="n"/>
    </row>
    <row r="64" ht="15.75" customHeight="1">
      <c r="B64" s="5" t="inlineStr">
        <is>
          <t>Major</t>
        </is>
      </c>
      <c r="F64" s="48">
        <f>+Revenue_Calcs!F96</f>
        <v/>
      </c>
      <c r="G64" s="48">
        <f>+Revenue_Calcs!G96</f>
        <v/>
      </c>
      <c r="H64" s="48">
        <f>+Revenue_Calcs!H96</f>
        <v/>
      </c>
      <c r="I64" s="48">
        <f>+Revenue_Calcs!I96</f>
        <v/>
      </c>
      <c r="J64" s="48">
        <f>+Revenue_Calcs!J96</f>
        <v/>
      </c>
      <c r="K64" s="48">
        <f>+Revenue_Calcs!K96</f>
        <v/>
      </c>
      <c r="L64" s="48">
        <f>+Revenue_Calcs!L96</f>
        <v/>
      </c>
      <c r="M64" s="48">
        <f>+Revenue_Calcs!M96</f>
        <v/>
      </c>
      <c r="AA64" s="49" t="n"/>
      <c r="AB64" s="96" t="n"/>
      <c r="AC64" s="96" t="n"/>
      <c r="AD64" s="96" t="n"/>
      <c r="AE64" s="96" t="n"/>
      <c r="AF64" s="96" t="n"/>
      <c r="AG64" s="96" t="n"/>
      <c r="AH64" s="96" t="n"/>
      <c r="AI64" s="96" t="n"/>
      <c r="AJ64" s="96" t="n"/>
      <c r="AK64" s="96" t="n"/>
      <c r="AL64" s="96" t="n"/>
      <c r="AM64" s="96" t="n"/>
      <c r="AN64" s="96" t="n"/>
      <c r="AO64" s="96" t="n"/>
      <c r="AP64" s="96" t="n"/>
      <c r="AQ64" s="96" t="n"/>
      <c r="AR64" s="96" t="n"/>
      <c r="AS64" s="96" t="n"/>
      <c r="AT64" s="96" t="n"/>
      <c r="AU64" s="96" t="n"/>
      <c r="AV64" s="96" t="n"/>
      <c r="AW64" s="96" t="n"/>
      <c r="AX64" s="96" t="n"/>
      <c r="AY64" s="96" t="n"/>
      <c r="AZ64" s="96" t="n"/>
      <c r="BA64" s="96" t="n"/>
      <c r="BB64" s="96" t="n"/>
      <c r="BC64" s="96" t="n"/>
      <c r="BD64" s="96" t="n"/>
      <c r="BE64" s="96" t="n"/>
      <c r="BF64" s="96" t="n"/>
      <c r="BG64" s="96" t="n"/>
      <c r="BH64" s="96" t="n"/>
      <c r="BI64" s="96" t="n"/>
      <c r="BJ64" s="96" t="n"/>
      <c r="BK64" s="96" t="n"/>
      <c r="BL64" s="96" t="n"/>
      <c r="BM64" s="96" t="n"/>
      <c r="BN64" s="96" t="n"/>
      <c r="BO64" s="96" t="n"/>
      <c r="BP64" s="96" t="n"/>
      <c r="BQ64" s="96" t="n"/>
      <c r="BR64" s="96" t="n"/>
      <c r="BS64" s="96" t="n"/>
      <c r="BT64" s="96" t="n"/>
      <c r="BU64" s="96" t="n"/>
      <c r="BV64" s="96" t="n"/>
      <c r="BW64" s="96" t="n"/>
      <c r="BX64" s="96" t="n"/>
      <c r="BY64" s="96" t="n"/>
      <c r="BZ64" s="96" t="n"/>
      <c r="CA64" s="96" t="n"/>
      <c r="CB64" s="96" t="n"/>
      <c r="CC64" s="96" t="n"/>
      <c r="CD64" s="96" t="n"/>
      <c r="CE64" s="96" t="n"/>
      <c r="CF64" s="96" t="n"/>
      <c r="CG64" s="96" t="n"/>
      <c r="CH64" s="96" t="n"/>
      <c r="CI64" s="96" t="n"/>
      <c r="CJ64" s="96" t="n"/>
      <c r="CK64" s="96" t="n"/>
      <c r="CL64" s="96" t="n"/>
      <c r="CM64" s="96" t="n"/>
      <c r="CN64" s="96" t="n"/>
      <c r="CO64" s="96" t="n"/>
      <c r="CP64" s="96" t="n"/>
      <c r="CQ64" s="96" t="n"/>
      <c r="CR64" s="96" t="n"/>
      <c r="CS64" s="96" t="n"/>
      <c r="CT64" s="96" t="n"/>
      <c r="CU64" s="96" t="n"/>
      <c r="CV64" s="96" t="n"/>
      <c r="CW64" s="96" t="n"/>
      <c r="CX64" s="96" t="n"/>
      <c r="CY64" s="96" t="n"/>
      <c r="CZ64" s="96" t="n"/>
      <c r="DA64" s="96" t="n"/>
      <c r="DB64" s="96" t="n"/>
      <c r="DC64" s="96" t="n"/>
      <c r="DD64" s="96" t="n"/>
      <c r="DE64" s="96" t="n"/>
      <c r="DF64" s="96" t="n"/>
      <c r="DG64" s="96" t="n"/>
      <c r="DH64" s="96" t="n"/>
      <c r="DI64" s="96" t="n"/>
      <c r="DJ64" s="96" t="n"/>
      <c r="DK64" s="96" t="n"/>
      <c r="DL64" s="96" t="n"/>
      <c r="DM64" s="96" t="n"/>
      <c r="DN64" s="96" t="n"/>
      <c r="DO64" s="96" t="n"/>
      <c r="DP64" s="96" t="n"/>
      <c r="DQ64" s="96" t="n"/>
      <c r="DR64" s="96" t="n"/>
    </row>
    <row r="65" ht="15.75" customHeight="1">
      <c r="B65" s="5" t="inlineStr">
        <is>
          <t>Upper Middle Market</t>
        </is>
      </c>
      <c r="F65" s="48">
        <f>+Revenue_Calcs!F108</f>
        <v/>
      </c>
      <c r="G65" s="48">
        <f>+Revenue_Calcs!G108</f>
        <v/>
      </c>
      <c r="H65" s="48">
        <f>+Revenue_Calcs!H108</f>
        <v/>
      </c>
      <c r="I65" s="48">
        <f>+Revenue_Calcs!I108</f>
        <v/>
      </c>
      <c r="J65" s="48">
        <f>+Revenue_Calcs!J108</f>
        <v/>
      </c>
      <c r="K65" s="48">
        <f>+Revenue_Calcs!K108</f>
        <v/>
      </c>
      <c r="L65" s="48">
        <f>+Revenue_Calcs!L108</f>
        <v/>
      </c>
      <c r="M65" s="48">
        <f>+Revenue_Calcs!M108</f>
        <v/>
      </c>
      <c r="AA65" s="49" t="n"/>
      <c r="AB65" s="96" t="n"/>
      <c r="AC65" s="96" t="n"/>
      <c r="AD65" s="96" t="n"/>
      <c r="AE65" s="96" t="n"/>
      <c r="AF65" s="96" t="n"/>
      <c r="AG65" s="96" t="n"/>
      <c r="AH65" s="96" t="n"/>
      <c r="AI65" s="96" t="n"/>
      <c r="AJ65" s="96" t="n"/>
      <c r="AK65" s="96" t="n"/>
      <c r="AL65" s="96" t="n"/>
      <c r="AM65" s="96" t="n"/>
      <c r="AN65" s="96" t="n"/>
      <c r="AO65" s="96" t="n"/>
      <c r="AP65" s="96" t="n"/>
      <c r="AQ65" s="96" t="n"/>
      <c r="AR65" s="96" t="n"/>
      <c r="AS65" s="96" t="n"/>
      <c r="AT65" s="96" t="n"/>
      <c r="AU65" s="96" t="n"/>
      <c r="AV65" s="96" t="n"/>
      <c r="AW65" s="96" t="n"/>
      <c r="AX65" s="96" t="n"/>
      <c r="AY65" s="96" t="n"/>
      <c r="AZ65" s="96" t="n"/>
      <c r="BA65" s="96" t="n"/>
      <c r="BB65" s="96" t="n"/>
      <c r="BC65" s="96" t="n"/>
      <c r="BD65" s="96" t="n"/>
      <c r="BE65" s="96" t="n"/>
      <c r="BF65" s="96" t="n"/>
      <c r="BG65" s="96" t="n"/>
      <c r="BH65" s="96" t="n"/>
      <c r="BI65" s="96" t="n"/>
      <c r="BJ65" s="96" t="n"/>
      <c r="BK65" s="96" t="n"/>
      <c r="BL65" s="96" t="n"/>
      <c r="BM65" s="96" t="n"/>
      <c r="BN65" s="96" t="n"/>
      <c r="BO65" s="96" t="n"/>
      <c r="BP65" s="96" t="n"/>
      <c r="BQ65" s="96" t="n"/>
      <c r="BR65" s="96" t="n"/>
      <c r="BS65" s="96" t="n"/>
      <c r="BT65" s="96" t="n"/>
      <c r="BU65" s="96" t="n"/>
      <c r="BV65" s="96" t="n"/>
      <c r="BW65" s="96" t="n"/>
      <c r="BX65" s="96" t="n"/>
      <c r="BY65" s="96" t="n"/>
      <c r="BZ65" s="96" t="n"/>
      <c r="CA65" s="96" t="n"/>
      <c r="CB65" s="96" t="n"/>
      <c r="CC65" s="96" t="n"/>
      <c r="CD65" s="96" t="n"/>
      <c r="CE65" s="96" t="n"/>
      <c r="CF65" s="96" t="n"/>
      <c r="CG65" s="96" t="n"/>
      <c r="CH65" s="96" t="n"/>
      <c r="CI65" s="96" t="n"/>
      <c r="CJ65" s="96" t="n"/>
      <c r="CK65" s="96" t="n"/>
      <c r="CL65" s="96" t="n"/>
      <c r="CM65" s="96" t="n"/>
      <c r="CN65" s="96" t="n"/>
      <c r="CO65" s="96" t="n"/>
      <c r="CP65" s="96" t="n"/>
      <c r="CQ65" s="96" t="n"/>
      <c r="CR65" s="96" t="n"/>
      <c r="CS65" s="96" t="n"/>
      <c r="CT65" s="96" t="n"/>
      <c r="CU65" s="96" t="n"/>
      <c r="CV65" s="96" t="n"/>
      <c r="CW65" s="96" t="n"/>
      <c r="CX65" s="96" t="n"/>
      <c r="CY65" s="96" t="n"/>
      <c r="CZ65" s="96" t="n"/>
      <c r="DA65" s="96" t="n"/>
      <c r="DB65" s="96" t="n"/>
      <c r="DC65" s="96" t="n"/>
      <c r="DD65" s="96" t="n"/>
      <c r="DE65" s="96" t="n"/>
      <c r="DF65" s="96" t="n"/>
      <c r="DG65" s="96" t="n"/>
      <c r="DH65" s="96" t="n"/>
      <c r="DI65" s="96" t="n"/>
      <c r="DJ65" s="96" t="n"/>
      <c r="DK65" s="96" t="n"/>
      <c r="DL65" s="96" t="n"/>
      <c r="DM65" s="96" t="n"/>
      <c r="DN65" s="96" t="n"/>
      <c r="DO65" s="96" t="n"/>
      <c r="DP65" s="96" t="n"/>
      <c r="DQ65" s="96" t="n"/>
      <c r="DR65" s="96" t="n"/>
    </row>
    <row r="66" ht="15.75" customHeight="1">
      <c r="B66" s="5" t="inlineStr">
        <is>
          <t>Lower Middle Market</t>
        </is>
      </c>
      <c r="F66" s="48">
        <f>+Revenue_Calcs!F120</f>
        <v/>
      </c>
      <c r="G66" s="48">
        <f>+Revenue_Calcs!G120</f>
        <v/>
      </c>
      <c r="H66" s="48">
        <f>+Revenue_Calcs!H120</f>
        <v/>
      </c>
      <c r="I66" s="48">
        <f>+Revenue_Calcs!I120</f>
        <v/>
      </c>
      <c r="J66" s="48">
        <f>+Revenue_Calcs!J120</f>
        <v/>
      </c>
      <c r="K66" s="48">
        <f>+Revenue_Calcs!K120</f>
        <v/>
      </c>
      <c r="L66" s="48">
        <f>+Revenue_Calcs!L120</f>
        <v/>
      </c>
      <c r="M66" s="48">
        <f>+Revenue_Calcs!M120</f>
        <v/>
      </c>
      <c r="AA66" s="49" t="n"/>
      <c r="AB66" s="96" t="n"/>
      <c r="AC66" s="96" t="n"/>
      <c r="AD66" s="96" t="n"/>
      <c r="AE66" s="96" t="n"/>
      <c r="AF66" s="96" t="n"/>
      <c r="AG66" s="96" t="n"/>
      <c r="AH66" s="96" t="n"/>
      <c r="AI66" s="96" t="n"/>
      <c r="AJ66" s="96" t="n"/>
      <c r="AK66" s="96" t="n"/>
      <c r="AL66" s="96" t="n"/>
      <c r="AM66" s="96" t="n"/>
      <c r="AN66" s="96" t="n"/>
      <c r="AO66" s="96" t="n"/>
      <c r="AP66" s="96" t="n"/>
      <c r="AQ66" s="96" t="n"/>
      <c r="AR66" s="96" t="n"/>
      <c r="AS66" s="96" t="n"/>
      <c r="AT66" s="96" t="n"/>
      <c r="AU66" s="96" t="n"/>
      <c r="AV66" s="96" t="n"/>
      <c r="AW66" s="96" t="n"/>
      <c r="AX66" s="96" t="n"/>
      <c r="AY66" s="96" t="n"/>
      <c r="AZ66" s="96" t="n"/>
      <c r="BA66" s="96" t="n"/>
      <c r="BB66" s="96" t="n"/>
      <c r="BC66" s="96" t="n"/>
      <c r="BD66" s="96" t="n"/>
      <c r="BE66" s="96" t="n"/>
      <c r="BF66" s="96" t="n"/>
      <c r="BG66" s="96" t="n"/>
      <c r="BH66" s="96" t="n"/>
      <c r="BI66" s="96" t="n"/>
      <c r="BJ66" s="96" t="n"/>
      <c r="BK66" s="96" t="n"/>
      <c r="BL66" s="96" t="n"/>
      <c r="BM66" s="96" t="n"/>
      <c r="BN66" s="96" t="n"/>
      <c r="BO66" s="96" t="n"/>
      <c r="BP66" s="96" t="n"/>
      <c r="BQ66" s="96" t="n"/>
      <c r="BR66" s="96" t="n"/>
      <c r="BS66" s="96" t="n"/>
      <c r="BT66" s="96" t="n"/>
      <c r="BU66" s="96" t="n"/>
      <c r="BV66" s="96" t="n"/>
      <c r="BW66" s="96" t="n"/>
      <c r="BX66" s="96" t="n"/>
      <c r="BY66" s="96" t="n"/>
      <c r="BZ66" s="96" t="n"/>
      <c r="CA66" s="96" t="n"/>
      <c r="CB66" s="96" t="n"/>
      <c r="CC66" s="96" t="n"/>
      <c r="CD66" s="96" t="n"/>
      <c r="CE66" s="96" t="n"/>
      <c r="CF66" s="96" t="n"/>
      <c r="CG66" s="96" t="n"/>
      <c r="CH66" s="96" t="n"/>
      <c r="CI66" s="96" t="n"/>
      <c r="CJ66" s="96" t="n"/>
      <c r="CK66" s="96" t="n"/>
      <c r="CL66" s="96" t="n"/>
      <c r="CM66" s="96" t="n"/>
      <c r="CN66" s="96" t="n"/>
      <c r="CO66" s="96" t="n"/>
      <c r="CP66" s="96" t="n"/>
      <c r="CQ66" s="96" t="n"/>
      <c r="CR66" s="96" t="n"/>
      <c r="CS66" s="96" t="n"/>
      <c r="CT66" s="96" t="n"/>
      <c r="CU66" s="96" t="n"/>
      <c r="CV66" s="96" t="n"/>
      <c r="CW66" s="96" t="n"/>
      <c r="CX66" s="96" t="n"/>
      <c r="CY66" s="96" t="n"/>
      <c r="CZ66" s="96" t="n"/>
      <c r="DA66" s="96" t="n"/>
      <c r="DB66" s="96" t="n"/>
      <c r="DC66" s="96" t="n"/>
      <c r="DD66" s="96" t="n"/>
      <c r="DE66" s="96" t="n"/>
      <c r="DF66" s="96" t="n"/>
      <c r="DG66" s="96" t="n"/>
      <c r="DH66" s="96" t="n"/>
      <c r="DI66" s="96" t="n"/>
      <c r="DJ66" s="96" t="n"/>
      <c r="DK66" s="96" t="n"/>
      <c r="DL66" s="96" t="n"/>
      <c r="DM66" s="96" t="n"/>
      <c r="DN66" s="96" t="n"/>
      <c r="DO66" s="96" t="n"/>
      <c r="DP66" s="96" t="n"/>
      <c r="DQ66" s="96" t="n"/>
      <c r="DR66" s="96" t="n"/>
    </row>
    <row r="67" ht="15.75" customHeight="1">
      <c r="B67" s="50" t="inlineStr">
        <is>
          <t>Total</t>
        </is>
      </c>
      <c r="C67" s="50" t="n"/>
      <c r="D67" s="50" t="n"/>
      <c r="F67" s="51">
        <f>SUM(F63:F66)</f>
        <v/>
      </c>
      <c r="G67" s="51">
        <f>SUM(G63:G66)</f>
        <v/>
      </c>
      <c r="H67" s="51">
        <f>SUM(H63:H66)</f>
        <v/>
      </c>
      <c r="I67" s="51">
        <f>SUM(I63:I66)</f>
        <v/>
      </c>
      <c r="J67" s="51">
        <f>SUM(J63:J66)</f>
        <v/>
      </c>
      <c r="K67" s="51">
        <f>SUM(K63:K66)</f>
        <v/>
      </c>
      <c r="L67" s="51">
        <f>SUM(L63:L66)</f>
        <v/>
      </c>
      <c r="M67" s="51">
        <f>SUM(M63:M66)</f>
        <v/>
      </c>
      <c r="AA67" s="49" t="n"/>
      <c r="AB67" s="96" t="n"/>
      <c r="AC67" s="96" t="n"/>
      <c r="AD67" s="96" t="n"/>
      <c r="AE67" s="96" t="n"/>
      <c r="AF67" s="96" t="n"/>
      <c r="AG67" s="96" t="n"/>
      <c r="AH67" s="96" t="n"/>
      <c r="AI67" s="96" t="n"/>
      <c r="AJ67" s="96" t="n"/>
      <c r="AK67" s="96" t="n"/>
      <c r="AL67" s="96" t="n"/>
      <c r="AM67" s="96" t="n"/>
      <c r="AN67" s="96" t="n"/>
      <c r="AO67" s="96" t="n"/>
      <c r="AP67" s="96" t="n"/>
      <c r="AQ67" s="96" t="n"/>
      <c r="AR67" s="96" t="n"/>
      <c r="AS67" s="96" t="n"/>
      <c r="AT67" s="96" t="n"/>
      <c r="AU67" s="96" t="n"/>
      <c r="AV67" s="96" t="n"/>
      <c r="AW67" s="96" t="n"/>
      <c r="AX67" s="96" t="n"/>
      <c r="AY67" s="96" t="n"/>
      <c r="AZ67" s="96" t="n"/>
      <c r="BA67" s="96" t="n"/>
      <c r="BB67" s="96" t="n"/>
      <c r="BC67" s="96" t="n"/>
      <c r="BD67" s="96" t="n"/>
      <c r="BE67" s="96" t="n"/>
      <c r="BF67" s="96" t="n"/>
      <c r="BG67" s="96" t="n"/>
      <c r="BH67" s="96" t="n"/>
      <c r="BI67" s="96" t="n"/>
      <c r="BJ67" s="96" t="n"/>
      <c r="BK67" s="96" t="n"/>
      <c r="BL67" s="96" t="n"/>
      <c r="BM67" s="96" t="n"/>
      <c r="BN67" s="96" t="n"/>
      <c r="BO67" s="96" t="n"/>
      <c r="BP67" s="96" t="n"/>
      <c r="BQ67" s="96" t="n"/>
      <c r="BR67" s="96" t="n"/>
      <c r="BS67" s="96" t="n"/>
      <c r="BT67" s="96" t="n"/>
      <c r="BU67" s="96" t="n"/>
      <c r="BV67" s="96" t="n"/>
      <c r="BW67" s="96" t="n"/>
      <c r="BX67" s="96" t="n"/>
      <c r="BY67" s="96" t="n"/>
      <c r="BZ67" s="96" t="n"/>
      <c r="CA67" s="96" t="n"/>
      <c r="CB67" s="96" t="n"/>
      <c r="CC67" s="96" t="n"/>
      <c r="CD67" s="96" t="n"/>
      <c r="CE67" s="96" t="n"/>
      <c r="CF67" s="96" t="n"/>
      <c r="CG67" s="96" t="n"/>
      <c r="CH67" s="96" t="n"/>
      <c r="CI67" s="96" t="n"/>
      <c r="CJ67" s="96" t="n"/>
      <c r="CK67" s="96" t="n"/>
      <c r="CL67" s="96" t="n"/>
      <c r="CM67" s="96" t="n"/>
      <c r="CN67" s="96" t="n"/>
      <c r="CO67" s="96" t="n"/>
      <c r="CP67" s="96" t="n"/>
      <c r="CQ67" s="96" t="n"/>
      <c r="CR67" s="96" t="n"/>
      <c r="CS67" s="96" t="n"/>
      <c r="CT67" s="96" t="n"/>
      <c r="CU67" s="96" t="n"/>
      <c r="CV67" s="96" t="n"/>
      <c r="CW67" s="96" t="n"/>
      <c r="CX67" s="96" t="n"/>
      <c r="CY67" s="96" t="n"/>
      <c r="CZ67" s="96" t="n"/>
      <c r="DA67" s="96" t="n"/>
      <c r="DB67" s="96" t="n"/>
      <c r="DC67" s="96" t="n"/>
      <c r="DD67" s="96" t="n"/>
      <c r="DE67" s="96" t="n"/>
      <c r="DF67" s="96" t="n"/>
      <c r="DG67" s="96" t="n"/>
      <c r="DH67" s="96" t="n"/>
      <c r="DI67" s="96" t="n"/>
      <c r="DJ67" s="96" t="n"/>
      <c r="DK67" s="96" t="n"/>
      <c r="DL67" s="96" t="n"/>
      <c r="DM67" s="96" t="n"/>
      <c r="DN67" s="96" t="n"/>
      <c r="DO67" s="96" t="n"/>
      <c r="DP67" s="96" t="n"/>
      <c r="DQ67" s="96" t="n"/>
      <c r="DR67" s="96" t="n"/>
    </row>
    <row r="68" ht="4.5" customHeight="1"/>
    <row r="69" ht="15.75" customHeight="1">
      <c r="B69" s="44" t="inlineStr">
        <is>
          <t>Cost of Sales</t>
        </is>
      </c>
    </row>
    <row r="70" ht="15.75" customHeight="1">
      <c r="B70" s="5" t="inlineStr">
        <is>
          <t>Mega</t>
        </is>
      </c>
      <c r="F70" s="46">
        <f>+SUMIFS($AA70:$DR70,$AA$7:$DR$7,F$7)</f>
        <v/>
      </c>
      <c r="G70" s="46">
        <f>+SUMIFS($AA70:$DR70,$AA$7:$DR$7,G$7)</f>
        <v/>
      </c>
      <c r="H70" s="46">
        <f>+SUMIFS($AA70:$DR70,$AA$7:$DR$7,H$7)</f>
        <v/>
      </c>
      <c r="I70" s="48">
        <f>+I63*(1-COGS_Assumptions!I13)</f>
        <v/>
      </c>
      <c r="J70" s="48">
        <f>+J63*(1-COGS_Assumptions!J13)</f>
        <v/>
      </c>
      <c r="K70" s="48">
        <f>+K63*(1-COGS_Assumptions!K13)</f>
        <v/>
      </c>
      <c r="L70" s="48">
        <f>+L63*(1-COGS_Assumptions!L13)</f>
        <v/>
      </c>
      <c r="M70" s="48">
        <f>+M63*(1-COGS_Assumptions!M13)</f>
        <v/>
      </c>
      <c r="AA70" s="46">
        <f>+SUMIFS(AA$13:AA$58,$C$13:$C$58,$B70)</f>
        <v/>
      </c>
      <c r="AB70" s="46">
        <f>+SUMIFS(AB$13:AB$58,$C$13:$C$58,$B70)</f>
        <v/>
      </c>
      <c r="AC70" s="46">
        <f>+SUMIFS(AC$13:AC$58,$C$13:$C$58,$B70)</f>
        <v/>
      </c>
      <c r="AD70" s="46">
        <f>+SUMIFS(AD$13:AD$58,$C$13:$C$58,$B70)</f>
        <v/>
      </c>
      <c r="AE70" s="46">
        <f>+SUMIFS(AE$13:AE$58,$C$13:$C$58,$B70)</f>
        <v/>
      </c>
      <c r="AF70" s="46">
        <f>+SUMIFS(AF$13:AF$58,$C$13:$C$58,$B70)</f>
        <v/>
      </c>
      <c r="AG70" s="46">
        <f>+SUMIFS(AG$13:AG$58,$C$13:$C$58,$B70)</f>
        <v/>
      </c>
      <c r="AH70" s="46">
        <f>+SUMIFS(AH$13:AH$58,$C$13:$C$58,$B70)</f>
        <v/>
      </c>
      <c r="AI70" s="46">
        <f>+SUMIFS(AI$13:AI$58,$C$13:$C$58,$B70)</f>
        <v/>
      </c>
      <c r="AJ70" s="46">
        <f>+SUMIFS(AJ$13:AJ$58,$C$13:$C$58,$B70)</f>
        <v/>
      </c>
      <c r="AK70" s="46">
        <f>+SUMIFS(AK$13:AK$58,$C$13:$C$58,$B70)</f>
        <v/>
      </c>
      <c r="AL70" s="46">
        <f>+SUMIFS(AL$13:AL$58,$C$13:$C$58,$B70)</f>
        <v/>
      </c>
      <c r="AM70" s="46">
        <f>+SUMIFS(AM$13:AM$58,$C$13:$C$58,$B70)</f>
        <v/>
      </c>
      <c r="AN70" s="46">
        <f>+SUMIFS(AN$13:AN$58,$C$13:$C$58,$B70)</f>
        <v/>
      </c>
      <c r="AO70" s="46">
        <f>+SUMIFS(AO$13:AO$58,$C$13:$C$58,$B70)</f>
        <v/>
      </c>
      <c r="AP70" s="46">
        <f>+SUMIFS(AP$13:AP$58,$C$13:$C$58,$B70)</f>
        <v/>
      </c>
      <c r="AQ70" s="46">
        <f>+SUMIFS(AQ$13:AQ$58,$C$13:$C$58,$B70)</f>
        <v/>
      </c>
      <c r="AR70" s="46">
        <f>+SUMIFS(AR$13:AR$58,$C$13:$C$58,$B70)</f>
        <v/>
      </c>
      <c r="AS70" s="46">
        <f>+SUMIFS(AS$13:AS$58,$C$13:$C$58,$B70)</f>
        <v/>
      </c>
      <c r="AT70" s="46">
        <f>+SUMIFS(AT$13:AT$58,$C$13:$C$58,$B70)</f>
        <v/>
      </c>
      <c r="AU70" s="46">
        <f>+SUMIFS(AU$13:AU$58,$C$13:$C$58,$B70)</f>
        <v/>
      </c>
      <c r="AV70" s="46">
        <f>+SUMIFS(AV$13:AV$58,$C$13:$C$58,$B70)</f>
        <v/>
      </c>
      <c r="AW70" s="46">
        <f>+SUMIFS(AW$13:AW$58,$C$13:$C$58,$B70)</f>
        <v/>
      </c>
      <c r="AX70" s="46">
        <f>+SUMIFS(AX$13:AX$58,$C$13:$C$58,$B70)</f>
        <v/>
      </c>
      <c r="AY70" s="46">
        <f>+SUMIFS(AY$13:AY$58,$C$13:$C$58,$B70)</f>
        <v/>
      </c>
      <c r="AZ70" s="46">
        <f>+SUMIFS(AZ$13:AZ$58,$C$13:$C$58,$B70)</f>
        <v/>
      </c>
      <c r="BA70" s="46">
        <f>+SUMIFS(BA$13:BA$58,$C$13:$C$58,$B70)</f>
        <v/>
      </c>
      <c r="BB70" s="46">
        <f>+SUMIFS(BB$13:BB$58,$C$13:$C$58,$B70)</f>
        <v/>
      </c>
      <c r="BC70" s="46">
        <f>+SUMIFS(BC$13:BC$58,$C$13:$C$58,$B70)</f>
        <v/>
      </c>
      <c r="BD70" s="46">
        <f>+SUMIFS(BD$13:BD$58,$C$13:$C$58,$B70)</f>
        <v/>
      </c>
      <c r="BE70" s="46">
        <f>+SUMIFS(BE$13:BE$58,$C$13:$C$58,$B70)</f>
        <v/>
      </c>
      <c r="BF70" s="46">
        <f>+SUMIFS(BF$13:BF$58,$C$13:$C$58,$B70)</f>
        <v/>
      </c>
      <c r="BG70" s="46">
        <f>+SUMIFS(BG$13:BG$58,$C$13:$C$58,$B70)</f>
        <v/>
      </c>
      <c r="BH70" s="46">
        <f>+SUMIFS(BH$13:BH$58,$C$13:$C$58,$B70)</f>
        <v/>
      </c>
      <c r="BI70" s="46">
        <f>+SUMIFS(BI$13:BI$58,$C$13:$C$58,$B70)</f>
        <v/>
      </c>
      <c r="BJ70" s="46">
        <f>+SUMIFS(BJ$13:BJ$58,$C$13:$C$58,$B70)</f>
        <v/>
      </c>
      <c r="BK70" s="115">
        <f>+SUMIFS($F70:$M70,$F$7:$M$7,BK$7)*BK$75</f>
        <v/>
      </c>
      <c r="BL70" s="115">
        <f>+SUMIFS($F70:$M70,$F$7:$M$7,BL$7)*BL$75</f>
        <v/>
      </c>
      <c r="BM70" s="115">
        <f>+SUMIFS($F70:$M70,$F$7:$M$7,BM$7)*BM$75</f>
        <v/>
      </c>
      <c r="BN70" s="115">
        <f>+SUMIFS($F70:$M70,$F$7:$M$7,BN$7)*BN$75</f>
        <v/>
      </c>
      <c r="BO70" s="115">
        <f>+SUMIFS($F70:$M70,$F$7:$M$7,BO$7)*BO$75</f>
        <v/>
      </c>
      <c r="BP70" s="115">
        <f>+SUMIFS($F70:$M70,$F$7:$M$7,BP$7)*BP$75</f>
        <v/>
      </c>
      <c r="BQ70" s="115">
        <f>+SUMIFS($F70:$M70,$F$7:$M$7,BQ$7)*BQ$75</f>
        <v/>
      </c>
      <c r="BR70" s="115">
        <f>+SUMIFS($F70:$M70,$F$7:$M$7,BR$7)*BR$75</f>
        <v/>
      </c>
      <c r="BS70" s="115">
        <f>+SUMIFS($F70:$M70,$F$7:$M$7,BS$7)*BS$75</f>
        <v/>
      </c>
      <c r="BT70" s="115">
        <f>+SUMIFS($F70:$M70,$F$7:$M$7,BT$7)*BT$75</f>
        <v/>
      </c>
      <c r="BU70" s="115">
        <f>+SUMIFS($F70:$M70,$F$7:$M$7,BU$7)*BU$75</f>
        <v/>
      </c>
      <c r="BV70" s="115">
        <f>+SUMIFS($F70:$M70,$F$7:$M$7,BV$7)*BV$75</f>
        <v/>
      </c>
      <c r="BW70" s="115">
        <f>+SUMIFS($F70:$M70,$F$7:$M$7,BW$7)*BW$75</f>
        <v/>
      </c>
      <c r="BX70" s="115">
        <f>+SUMIFS($F70:$M70,$F$7:$M$7,BX$7)*BX$75</f>
        <v/>
      </c>
      <c r="BY70" s="115">
        <f>+SUMIFS($F70:$M70,$F$7:$M$7,BY$7)*BY$75</f>
        <v/>
      </c>
      <c r="BZ70" s="115">
        <f>+SUMIFS($F70:$M70,$F$7:$M$7,BZ$7)*BZ$75</f>
        <v/>
      </c>
      <c r="CA70" s="115">
        <f>+SUMIFS($F70:$M70,$F$7:$M$7,CA$7)*CA$75</f>
        <v/>
      </c>
      <c r="CB70" s="115">
        <f>+SUMIFS($F70:$M70,$F$7:$M$7,CB$7)*CB$75</f>
        <v/>
      </c>
      <c r="CC70" s="115">
        <f>+SUMIFS($F70:$M70,$F$7:$M$7,CC$7)*CC$75</f>
        <v/>
      </c>
      <c r="CD70" s="115">
        <f>+SUMIFS($F70:$M70,$F$7:$M$7,CD$7)*CD$75</f>
        <v/>
      </c>
      <c r="CE70" s="115">
        <f>+SUMIFS($F70:$M70,$F$7:$M$7,CE$7)*CE$75</f>
        <v/>
      </c>
      <c r="CF70" s="115">
        <f>+SUMIFS($F70:$M70,$F$7:$M$7,CF$7)*CF$75</f>
        <v/>
      </c>
      <c r="CG70" s="115">
        <f>+SUMIFS($F70:$M70,$F$7:$M$7,CG$7)*CG$75</f>
        <v/>
      </c>
      <c r="CH70" s="115">
        <f>+SUMIFS($F70:$M70,$F$7:$M$7,CH$7)*CH$75</f>
        <v/>
      </c>
      <c r="CI70" s="115">
        <f>+SUMIFS($F70:$M70,$F$7:$M$7,CI$7)*CI$75</f>
        <v/>
      </c>
      <c r="CJ70" s="115">
        <f>+SUMIFS($F70:$M70,$F$7:$M$7,CJ$7)*CJ$75</f>
        <v/>
      </c>
      <c r="CK70" s="115">
        <f>+SUMIFS($F70:$M70,$F$7:$M$7,CK$7)*CK$75</f>
        <v/>
      </c>
      <c r="CL70" s="115">
        <f>+SUMIFS($F70:$M70,$F$7:$M$7,CL$7)*CL$75</f>
        <v/>
      </c>
      <c r="CM70" s="115">
        <f>+SUMIFS($F70:$M70,$F$7:$M$7,CM$7)*CM$75</f>
        <v/>
      </c>
      <c r="CN70" s="115">
        <f>+SUMIFS($F70:$M70,$F$7:$M$7,CN$7)*CN$75</f>
        <v/>
      </c>
      <c r="CO70" s="115">
        <f>+SUMIFS($F70:$M70,$F$7:$M$7,CO$7)*CO$75</f>
        <v/>
      </c>
      <c r="CP70" s="115">
        <f>+SUMIFS($F70:$M70,$F$7:$M$7,CP$7)*CP$75</f>
        <v/>
      </c>
      <c r="CQ70" s="115">
        <f>+SUMIFS($F70:$M70,$F$7:$M$7,CQ$7)*CQ$75</f>
        <v/>
      </c>
      <c r="CR70" s="115">
        <f>+SUMIFS($F70:$M70,$F$7:$M$7,CR$7)*CR$75</f>
        <v/>
      </c>
      <c r="CS70" s="115">
        <f>+SUMIFS($F70:$M70,$F$7:$M$7,CS$7)*CS$75</f>
        <v/>
      </c>
      <c r="CT70" s="115">
        <f>+SUMIFS($F70:$M70,$F$7:$M$7,CT$7)*CT$75</f>
        <v/>
      </c>
      <c r="CU70" s="115">
        <f>+SUMIFS($F70:$M70,$F$7:$M$7,CU$7)*CU$75</f>
        <v/>
      </c>
      <c r="CV70" s="115">
        <f>+SUMIFS($F70:$M70,$F$7:$M$7,CV$7)*CV$75</f>
        <v/>
      </c>
      <c r="CW70" s="115">
        <f>+SUMIFS($F70:$M70,$F$7:$M$7,CW$7)*CW$75</f>
        <v/>
      </c>
      <c r="CX70" s="115">
        <f>+SUMIFS($F70:$M70,$F$7:$M$7,CX$7)*CX$75</f>
        <v/>
      </c>
      <c r="CY70" s="115">
        <f>+SUMIFS($F70:$M70,$F$7:$M$7,CY$7)*CY$75</f>
        <v/>
      </c>
      <c r="CZ70" s="115">
        <f>+SUMIFS($F70:$M70,$F$7:$M$7,CZ$7)*CZ$75</f>
        <v/>
      </c>
      <c r="DA70" s="115">
        <f>+SUMIFS($F70:$M70,$F$7:$M$7,DA$7)*DA$75</f>
        <v/>
      </c>
      <c r="DB70" s="115">
        <f>+SUMIFS($F70:$M70,$F$7:$M$7,DB$7)*DB$75</f>
        <v/>
      </c>
      <c r="DC70" s="115">
        <f>+SUMIFS($F70:$M70,$F$7:$M$7,DC$7)*DC$75</f>
        <v/>
      </c>
      <c r="DD70" s="115">
        <f>+SUMIFS($F70:$M70,$F$7:$M$7,DD$7)*DD$75</f>
        <v/>
      </c>
      <c r="DE70" s="115">
        <f>+SUMIFS($F70:$M70,$F$7:$M$7,DE$7)*DE$75</f>
        <v/>
      </c>
      <c r="DF70" s="115">
        <f>+SUMIFS($F70:$M70,$F$7:$M$7,DF$7)*DF$75</f>
        <v/>
      </c>
      <c r="DG70" s="115">
        <f>+SUMIFS($F70:$M70,$F$7:$M$7,DG$7)*DG$75</f>
        <v/>
      </c>
      <c r="DH70" s="115">
        <f>+SUMIFS($F70:$M70,$F$7:$M$7,DH$7)*DH$75</f>
        <v/>
      </c>
      <c r="DI70" s="115">
        <f>+SUMIFS($F70:$M70,$F$7:$M$7,DI$7)*DI$75</f>
        <v/>
      </c>
      <c r="DJ70" s="115">
        <f>+SUMIFS($F70:$M70,$F$7:$M$7,DJ$7)*DJ$75</f>
        <v/>
      </c>
      <c r="DK70" s="115">
        <f>+SUMIFS($F70:$M70,$F$7:$M$7,DK$7)*DK$75</f>
        <v/>
      </c>
      <c r="DL70" s="115">
        <f>+SUMIFS($F70:$M70,$F$7:$M$7,DL$7)*DL$75</f>
        <v/>
      </c>
      <c r="DM70" s="115">
        <f>+SUMIFS($F70:$M70,$F$7:$M$7,DM$7)*DM$75</f>
        <v/>
      </c>
      <c r="DN70" s="115">
        <f>+SUMIFS($F70:$M70,$F$7:$M$7,DN$7)*DN$75</f>
        <v/>
      </c>
      <c r="DO70" s="115">
        <f>+SUMIFS($F70:$M70,$F$7:$M$7,DO$7)*DO$75</f>
        <v/>
      </c>
      <c r="DP70" s="115">
        <f>+SUMIFS($F70:$M70,$F$7:$M$7,DP$7)*DP$75</f>
        <v/>
      </c>
      <c r="DQ70" s="115">
        <f>+SUMIFS($F70:$M70,$F$7:$M$7,DQ$7)*DQ$75</f>
        <v/>
      </c>
      <c r="DR70" s="115">
        <f>+SUMIFS($F70:$M70,$F$7:$M$7,DR$7)*DR$75</f>
        <v/>
      </c>
    </row>
    <row r="71" ht="15.75" customHeight="1">
      <c r="B71" s="5" t="inlineStr">
        <is>
          <t>Major</t>
        </is>
      </c>
      <c r="F71" s="46">
        <f>+SUMIFS($AA71:$DR71,$AA$7:$DR$7,F$7)</f>
        <v/>
      </c>
      <c r="G71" s="46">
        <f>+SUMIFS($AA71:$DR71,$AA$7:$DR$7,G$7)</f>
        <v/>
      </c>
      <c r="H71" s="46">
        <f>+SUMIFS($AA71:$DR71,$AA$7:$DR$7,H$7)</f>
        <v/>
      </c>
      <c r="I71" s="48">
        <f>+I64*(1-COGS_Assumptions!I14)</f>
        <v/>
      </c>
      <c r="J71" s="48">
        <f>+J64*(1-COGS_Assumptions!J14)</f>
        <v/>
      </c>
      <c r="K71" s="48">
        <f>+K64*(1-COGS_Assumptions!K14)</f>
        <v/>
      </c>
      <c r="L71" s="48">
        <f>+L64*(1-COGS_Assumptions!L14)</f>
        <v/>
      </c>
      <c r="M71" s="48">
        <f>+M64*(1-COGS_Assumptions!M14)</f>
        <v/>
      </c>
      <c r="AA71" s="46">
        <f>+SUMIFS(AA$13:AA$58,$C$13:$C$58,$B71)</f>
        <v/>
      </c>
      <c r="AB71" s="46">
        <f>+SUMIFS(AB$13:AB$58,$C$13:$C$58,$B71)</f>
        <v/>
      </c>
      <c r="AC71" s="46">
        <f>+SUMIFS(AC$13:AC$58,$C$13:$C$58,$B71)</f>
        <v/>
      </c>
      <c r="AD71" s="46">
        <f>+SUMIFS(AD$13:AD$58,$C$13:$C$58,$B71)</f>
        <v/>
      </c>
      <c r="AE71" s="46">
        <f>+SUMIFS(AE$13:AE$58,$C$13:$C$58,$B71)</f>
        <v/>
      </c>
      <c r="AF71" s="46">
        <f>+SUMIFS(AF$13:AF$58,$C$13:$C$58,$B71)</f>
        <v/>
      </c>
      <c r="AG71" s="46">
        <f>+SUMIFS(AG$13:AG$58,$C$13:$C$58,$B71)</f>
        <v/>
      </c>
      <c r="AH71" s="46">
        <f>+SUMIFS(AH$13:AH$58,$C$13:$C$58,$B71)</f>
        <v/>
      </c>
      <c r="AI71" s="46">
        <f>+SUMIFS(AI$13:AI$58,$C$13:$C$58,$B71)</f>
        <v/>
      </c>
      <c r="AJ71" s="46">
        <f>+SUMIFS(AJ$13:AJ$58,$C$13:$C$58,$B71)</f>
        <v/>
      </c>
      <c r="AK71" s="46">
        <f>+SUMIFS(AK$13:AK$58,$C$13:$C$58,$B71)</f>
        <v/>
      </c>
      <c r="AL71" s="46">
        <f>+SUMIFS(AL$13:AL$58,$C$13:$C$58,$B71)</f>
        <v/>
      </c>
      <c r="AM71" s="46">
        <f>+SUMIFS(AM$13:AM$58,$C$13:$C$58,$B71)</f>
        <v/>
      </c>
      <c r="AN71" s="46">
        <f>+SUMIFS(AN$13:AN$58,$C$13:$C$58,$B71)</f>
        <v/>
      </c>
      <c r="AO71" s="46">
        <f>+SUMIFS(AO$13:AO$58,$C$13:$C$58,$B71)</f>
        <v/>
      </c>
      <c r="AP71" s="46">
        <f>+SUMIFS(AP$13:AP$58,$C$13:$C$58,$B71)</f>
        <v/>
      </c>
      <c r="AQ71" s="46">
        <f>+SUMIFS(AQ$13:AQ$58,$C$13:$C$58,$B71)</f>
        <v/>
      </c>
      <c r="AR71" s="46">
        <f>+SUMIFS(AR$13:AR$58,$C$13:$C$58,$B71)</f>
        <v/>
      </c>
      <c r="AS71" s="46">
        <f>+SUMIFS(AS$13:AS$58,$C$13:$C$58,$B71)</f>
        <v/>
      </c>
      <c r="AT71" s="46">
        <f>+SUMIFS(AT$13:AT$58,$C$13:$C$58,$B71)</f>
        <v/>
      </c>
      <c r="AU71" s="46">
        <f>+SUMIFS(AU$13:AU$58,$C$13:$C$58,$B71)</f>
        <v/>
      </c>
      <c r="AV71" s="46">
        <f>+SUMIFS(AV$13:AV$58,$C$13:$C$58,$B71)</f>
        <v/>
      </c>
      <c r="AW71" s="46">
        <f>+SUMIFS(AW$13:AW$58,$C$13:$C$58,$B71)</f>
        <v/>
      </c>
      <c r="AX71" s="46">
        <f>+SUMIFS(AX$13:AX$58,$C$13:$C$58,$B71)</f>
        <v/>
      </c>
      <c r="AY71" s="46">
        <f>+SUMIFS(AY$13:AY$58,$C$13:$C$58,$B71)</f>
        <v/>
      </c>
      <c r="AZ71" s="46">
        <f>+SUMIFS(AZ$13:AZ$58,$C$13:$C$58,$B71)</f>
        <v/>
      </c>
      <c r="BA71" s="46">
        <f>+SUMIFS(BA$13:BA$58,$C$13:$C$58,$B71)</f>
        <v/>
      </c>
      <c r="BB71" s="46">
        <f>+SUMIFS(BB$13:BB$58,$C$13:$C$58,$B71)</f>
        <v/>
      </c>
      <c r="BC71" s="46">
        <f>+SUMIFS(BC$13:BC$58,$C$13:$C$58,$B71)</f>
        <v/>
      </c>
      <c r="BD71" s="46">
        <f>+SUMIFS(BD$13:BD$58,$C$13:$C$58,$B71)</f>
        <v/>
      </c>
      <c r="BE71" s="46">
        <f>+SUMIFS(BE$13:BE$58,$C$13:$C$58,$B71)</f>
        <v/>
      </c>
      <c r="BF71" s="46">
        <f>+SUMIFS(BF$13:BF$58,$C$13:$C$58,$B71)</f>
        <v/>
      </c>
      <c r="BG71" s="46">
        <f>+SUMIFS(BG$13:BG$58,$C$13:$C$58,$B71)</f>
        <v/>
      </c>
      <c r="BH71" s="46">
        <f>+SUMIFS(BH$13:BH$58,$C$13:$C$58,$B71)</f>
        <v/>
      </c>
      <c r="BI71" s="46">
        <f>+SUMIFS(BI$13:BI$58,$C$13:$C$58,$B71)</f>
        <v/>
      </c>
      <c r="BJ71" s="46">
        <f>+SUMIFS(BJ$13:BJ$58,$C$13:$C$58,$B71)</f>
        <v/>
      </c>
      <c r="BK71" s="115">
        <f>+SUMIFS($F71:$M71,$F$7:$M$7,BK$7)*BK$75</f>
        <v/>
      </c>
      <c r="BL71" s="115">
        <f>+SUMIFS($F71:$M71,$F$7:$M$7,BL$7)*BL$75</f>
        <v/>
      </c>
      <c r="BM71" s="115">
        <f>+SUMIFS($F71:$M71,$F$7:$M$7,BM$7)*BM$75</f>
        <v/>
      </c>
      <c r="BN71" s="115">
        <f>+SUMIFS($F71:$M71,$F$7:$M$7,BN$7)*BN$75</f>
        <v/>
      </c>
      <c r="BO71" s="115">
        <f>+SUMIFS($F71:$M71,$F$7:$M$7,BO$7)*BO$75</f>
        <v/>
      </c>
      <c r="BP71" s="115">
        <f>+SUMIFS($F71:$M71,$F$7:$M$7,BP$7)*BP$75</f>
        <v/>
      </c>
      <c r="BQ71" s="115">
        <f>+SUMIFS($F71:$M71,$F$7:$M$7,BQ$7)*BQ$75</f>
        <v/>
      </c>
      <c r="BR71" s="115">
        <f>+SUMIFS($F71:$M71,$F$7:$M$7,BR$7)*BR$75</f>
        <v/>
      </c>
      <c r="BS71" s="115">
        <f>+SUMIFS($F71:$M71,$F$7:$M$7,BS$7)*BS$75</f>
        <v/>
      </c>
      <c r="BT71" s="115">
        <f>+SUMIFS($F71:$M71,$F$7:$M$7,BT$7)*BT$75</f>
        <v/>
      </c>
      <c r="BU71" s="115">
        <f>+SUMIFS($F71:$M71,$F$7:$M$7,BU$7)*BU$75</f>
        <v/>
      </c>
      <c r="BV71" s="115">
        <f>+SUMIFS($F71:$M71,$F$7:$M$7,BV$7)*BV$75</f>
        <v/>
      </c>
      <c r="BW71" s="115">
        <f>+SUMIFS($F71:$M71,$F$7:$M$7,BW$7)*BW$75</f>
        <v/>
      </c>
      <c r="BX71" s="115">
        <f>+SUMIFS($F71:$M71,$F$7:$M$7,BX$7)*BX$75</f>
        <v/>
      </c>
      <c r="BY71" s="115">
        <f>+SUMIFS($F71:$M71,$F$7:$M$7,BY$7)*BY$75</f>
        <v/>
      </c>
      <c r="BZ71" s="115">
        <f>+SUMIFS($F71:$M71,$F$7:$M$7,BZ$7)*BZ$75</f>
        <v/>
      </c>
      <c r="CA71" s="115">
        <f>+SUMIFS($F71:$M71,$F$7:$M$7,CA$7)*CA$75</f>
        <v/>
      </c>
      <c r="CB71" s="115">
        <f>+SUMIFS($F71:$M71,$F$7:$M$7,CB$7)*CB$75</f>
        <v/>
      </c>
      <c r="CC71" s="115">
        <f>+SUMIFS($F71:$M71,$F$7:$M$7,CC$7)*CC$75</f>
        <v/>
      </c>
      <c r="CD71" s="115">
        <f>+SUMIFS($F71:$M71,$F$7:$M$7,CD$7)*CD$75</f>
        <v/>
      </c>
      <c r="CE71" s="115">
        <f>+SUMIFS($F71:$M71,$F$7:$M$7,CE$7)*CE$75</f>
        <v/>
      </c>
      <c r="CF71" s="115">
        <f>+SUMIFS($F71:$M71,$F$7:$M$7,CF$7)*CF$75</f>
        <v/>
      </c>
      <c r="CG71" s="115">
        <f>+SUMIFS($F71:$M71,$F$7:$M$7,CG$7)*CG$75</f>
        <v/>
      </c>
      <c r="CH71" s="115">
        <f>+SUMIFS($F71:$M71,$F$7:$M$7,CH$7)*CH$75</f>
        <v/>
      </c>
      <c r="CI71" s="115">
        <f>+SUMIFS($F71:$M71,$F$7:$M$7,CI$7)*CI$75</f>
        <v/>
      </c>
      <c r="CJ71" s="115">
        <f>+SUMIFS($F71:$M71,$F$7:$M$7,CJ$7)*CJ$75</f>
        <v/>
      </c>
      <c r="CK71" s="115">
        <f>+SUMIFS($F71:$M71,$F$7:$M$7,CK$7)*CK$75</f>
        <v/>
      </c>
      <c r="CL71" s="115">
        <f>+SUMIFS($F71:$M71,$F$7:$M$7,CL$7)*CL$75</f>
        <v/>
      </c>
      <c r="CM71" s="115">
        <f>+SUMIFS($F71:$M71,$F$7:$M$7,CM$7)*CM$75</f>
        <v/>
      </c>
      <c r="CN71" s="115">
        <f>+SUMIFS($F71:$M71,$F$7:$M$7,CN$7)*CN$75</f>
        <v/>
      </c>
      <c r="CO71" s="115">
        <f>+SUMIFS($F71:$M71,$F$7:$M$7,CO$7)*CO$75</f>
        <v/>
      </c>
      <c r="CP71" s="115">
        <f>+SUMIFS($F71:$M71,$F$7:$M$7,CP$7)*CP$75</f>
        <v/>
      </c>
      <c r="CQ71" s="115">
        <f>+SUMIFS($F71:$M71,$F$7:$M$7,CQ$7)*CQ$75</f>
        <v/>
      </c>
      <c r="CR71" s="115">
        <f>+SUMIFS($F71:$M71,$F$7:$M$7,CR$7)*CR$75</f>
        <v/>
      </c>
      <c r="CS71" s="115">
        <f>+SUMIFS($F71:$M71,$F$7:$M$7,CS$7)*CS$75</f>
        <v/>
      </c>
      <c r="CT71" s="115">
        <f>+SUMIFS($F71:$M71,$F$7:$M$7,CT$7)*CT$75</f>
        <v/>
      </c>
      <c r="CU71" s="115">
        <f>+SUMIFS($F71:$M71,$F$7:$M$7,CU$7)*CU$75</f>
        <v/>
      </c>
      <c r="CV71" s="115">
        <f>+SUMIFS($F71:$M71,$F$7:$M$7,CV$7)*CV$75</f>
        <v/>
      </c>
      <c r="CW71" s="115">
        <f>+SUMIFS($F71:$M71,$F$7:$M$7,CW$7)*CW$75</f>
        <v/>
      </c>
      <c r="CX71" s="115">
        <f>+SUMIFS($F71:$M71,$F$7:$M$7,CX$7)*CX$75</f>
        <v/>
      </c>
      <c r="CY71" s="115">
        <f>+SUMIFS($F71:$M71,$F$7:$M$7,CY$7)*CY$75</f>
        <v/>
      </c>
      <c r="CZ71" s="115">
        <f>+SUMIFS($F71:$M71,$F$7:$M$7,CZ$7)*CZ$75</f>
        <v/>
      </c>
      <c r="DA71" s="115">
        <f>+SUMIFS($F71:$M71,$F$7:$M$7,DA$7)*DA$75</f>
        <v/>
      </c>
      <c r="DB71" s="115">
        <f>+SUMIFS($F71:$M71,$F$7:$M$7,DB$7)*DB$75</f>
        <v/>
      </c>
      <c r="DC71" s="115">
        <f>+SUMIFS($F71:$M71,$F$7:$M$7,DC$7)*DC$75</f>
        <v/>
      </c>
      <c r="DD71" s="115">
        <f>+SUMIFS($F71:$M71,$F$7:$M$7,DD$7)*DD$75</f>
        <v/>
      </c>
      <c r="DE71" s="115">
        <f>+SUMIFS($F71:$M71,$F$7:$M$7,DE$7)*DE$75</f>
        <v/>
      </c>
      <c r="DF71" s="115">
        <f>+SUMIFS($F71:$M71,$F$7:$M$7,DF$7)*DF$75</f>
        <v/>
      </c>
      <c r="DG71" s="115">
        <f>+SUMIFS($F71:$M71,$F$7:$M$7,DG$7)*DG$75</f>
        <v/>
      </c>
      <c r="DH71" s="115">
        <f>+SUMIFS($F71:$M71,$F$7:$M$7,DH$7)*DH$75</f>
        <v/>
      </c>
      <c r="DI71" s="115">
        <f>+SUMIFS($F71:$M71,$F$7:$M$7,DI$7)*DI$75</f>
        <v/>
      </c>
      <c r="DJ71" s="115">
        <f>+SUMIFS($F71:$M71,$F$7:$M$7,DJ$7)*DJ$75</f>
        <v/>
      </c>
      <c r="DK71" s="115">
        <f>+SUMIFS($F71:$M71,$F$7:$M$7,DK$7)*DK$75</f>
        <v/>
      </c>
      <c r="DL71" s="115">
        <f>+SUMIFS($F71:$M71,$F$7:$M$7,DL$7)*DL$75</f>
        <v/>
      </c>
      <c r="DM71" s="115">
        <f>+SUMIFS($F71:$M71,$F$7:$M$7,DM$7)*DM$75</f>
        <v/>
      </c>
      <c r="DN71" s="115">
        <f>+SUMIFS($F71:$M71,$F$7:$M$7,DN$7)*DN$75</f>
        <v/>
      </c>
      <c r="DO71" s="115">
        <f>+SUMIFS($F71:$M71,$F$7:$M$7,DO$7)*DO$75</f>
        <v/>
      </c>
      <c r="DP71" s="115">
        <f>+SUMIFS($F71:$M71,$F$7:$M$7,DP$7)*DP$75</f>
        <v/>
      </c>
      <c r="DQ71" s="115">
        <f>+SUMIFS($F71:$M71,$F$7:$M$7,DQ$7)*DQ$75</f>
        <v/>
      </c>
      <c r="DR71" s="115">
        <f>+SUMIFS($F71:$M71,$F$7:$M$7,DR$7)*DR$75</f>
        <v/>
      </c>
    </row>
    <row r="72" ht="15.75" customHeight="1">
      <c r="B72" s="5" t="inlineStr">
        <is>
          <t>Upper Middle Market</t>
        </is>
      </c>
      <c r="F72" s="46">
        <f>+SUMIFS($AA72:$DR72,$AA$7:$DR$7,F$7)</f>
        <v/>
      </c>
      <c r="G72" s="46">
        <f>+SUMIFS($AA72:$DR72,$AA$7:$DR$7,G$7)</f>
        <v/>
      </c>
      <c r="H72" s="46">
        <f>+SUMIFS($AA72:$DR72,$AA$7:$DR$7,H$7)</f>
        <v/>
      </c>
      <c r="I72" s="48">
        <f>+I65*(1-COGS_Assumptions!I15)</f>
        <v/>
      </c>
      <c r="J72" s="48">
        <f>+J65*(1-COGS_Assumptions!J15)</f>
        <v/>
      </c>
      <c r="K72" s="48">
        <f>+K65*(1-COGS_Assumptions!K15)</f>
        <v/>
      </c>
      <c r="L72" s="48">
        <f>+L65*(1-COGS_Assumptions!L15)</f>
        <v/>
      </c>
      <c r="M72" s="48">
        <f>+M65*(1-COGS_Assumptions!M15)</f>
        <v/>
      </c>
      <c r="AA72" s="46">
        <f>+SUMIFS(AA$13:AA$58,$C$13:$C$58,$B72)</f>
        <v/>
      </c>
      <c r="AB72" s="46">
        <f>+SUMIFS(AB$13:AB$58,$C$13:$C$58,$B72)</f>
        <v/>
      </c>
      <c r="AC72" s="46">
        <f>+SUMIFS(AC$13:AC$58,$C$13:$C$58,$B72)</f>
        <v/>
      </c>
      <c r="AD72" s="46">
        <f>+SUMIFS(AD$13:AD$58,$C$13:$C$58,$B72)</f>
        <v/>
      </c>
      <c r="AE72" s="46">
        <f>+SUMIFS(AE$13:AE$58,$C$13:$C$58,$B72)</f>
        <v/>
      </c>
      <c r="AF72" s="46">
        <f>+SUMIFS(AF$13:AF$58,$C$13:$C$58,$B72)</f>
        <v/>
      </c>
      <c r="AG72" s="46">
        <f>+SUMIFS(AG$13:AG$58,$C$13:$C$58,$B72)</f>
        <v/>
      </c>
      <c r="AH72" s="46">
        <f>+SUMIFS(AH$13:AH$58,$C$13:$C$58,$B72)</f>
        <v/>
      </c>
      <c r="AI72" s="46">
        <f>+SUMIFS(AI$13:AI$58,$C$13:$C$58,$B72)</f>
        <v/>
      </c>
      <c r="AJ72" s="46">
        <f>+SUMIFS(AJ$13:AJ$58,$C$13:$C$58,$B72)</f>
        <v/>
      </c>
      <c r="AK72" s="46">
        <f>+SUMIFS(AK$13:AK$58,$C$13:$C$58,$B72)</f>
        <v/>
      </c>
      <c r="AL72" s="46">
        <f>+SUMIFS(AL$13:AL$58,$C$13:$C$58,$B72)</f>
        <v/>
      </c>
      <c r="AM72" s="46">
        <f>+SUMIFS(AM$13:AM$58,$C$13:$C$58,$B72)</f>
        <v/>
      </c>
      <c r="AN72" s="46">
        <f>+SUMIFS(AN$13:AN$58,$C$13:$C$58,$B72)</f>
        <v/>
      </c>
      <c r="AO72" s="46">
        <f>+SUMIFS(AO$13:AO$58,$C$13:$C$58,$B72)</f>
        <v/>
      </c>
      <c r="AP72" s="46">
        <f>+SUMIFS(AP$13:AP$58,$C$13:$C$58,$B72)</f>
        <v/>
      </c>
      <c r="AQ72" s="46">
        <f>+SUMIFS(AQ$13:AQ$58,$C$13:$C$58,$B72)</f>
        <v/>
      </c>
      <c r="AR72" s="46">
        <f>+SUMIFS(AR$13:AR$58,$C$13:$C$58,$B72)</f>
        <v/>
      </c>
      <c r="AS72" s="46">
        <f>+SUMIFS(AS$13:AS$58,$C$13:$C$58,$B72)</f>
        <v/>
      </c>
      <c r="AT72" s="46">
        <f>+SUMIFS(AT$13:AT$58,$C$13:$C$58,$B72)</f>
        <v/>
      </c>
      <c r="AU72" s="46">
        <f>+SUMIFS(AU$13:AU$58,$C$13:$C$58,$B72)</f>
        <v/>
      </c>
      <c r="AV72" s="46">
        <f>+SUMIFS(AV$13:AV$58,$C$13:$C$58,$B72)</f>
        <v/>
      </c>
      <c r="AW72" s="46">
        <f>+SUMIFS(AW$13:AW$58,$C$13:$C$58,$B72)</f>
        <v/>
      </c>
      <c r="AX72" s="46">
        <f>+SUMIFS(AX$13:AX$58,$C$13:$C$58,$B72)</f>
        <v/>
      </c>
      <c r="AY72" s="46">
        <f>+SUMIFS(AY$13:AY$58,$C$13:$C$58,$B72)</f>
        <v/>
      </c>
      <c r="AZ72" s="46">
        <f>+SUMIFS(AZ$13:AZ$58,$C$13:$C$58,$B72)</f>
        <v/>
      </c>
      <c r="BA72" s="46">
        <f>+SUMIFS(BA$13:BA$58,$C$13:$C$58,$B72)</f>
        <v/>
      </c>
      <c r="BB72" s="46">
        <f>+SUMIFS(BB$13:BB$58,$C$13:$C$58,$B72)</f>
        <v/>
      </c>
      <c r="BC72" s="46">
        <f>+SUMIFS(BC$13:BC$58,$C$13:$C$58,$B72)</f>
        <v/>
      </c>
      <c r="BD72" s="46">
        <f>+SUMIFS(BD$13:BD$58,$C$13:$C$58,$B72)</f>
        <v/>
      </c>
      <c r="BE72" s="46">
        <f>+SUMIFS(BE$13:BE$58,$C$13:$C$58,$B72)</f>
        <v/>
      </c>
      <c r="BF72" s="46">
        <f>+SUMIFS(BF$13:BF$58,$C$13:$C$58,$B72)</f>
        <v/>
      </c>
      <c r="BG72" s="46">
        <f>+SUMIFS(BG$13:BG$58,$C$13:$C$58,$B72)</f>
        <v/>
      </c>
      <c r="BH72" s="46">
        <f>+SUMIFS(BH$13:BH$58,$C$13:$C$58,$B72)</f>
        <v/>
      </c>
      <c r="BI72" s="46">
        <f>+SUMIFS(BI$13:BI$58,$C$13:$C$58,$B72)</f>
        <v/>
      </c>
      <c r="BJ72" s="46">
        <f>+SUMIFS(BJ$13:BJ$58,$C$13:$C$58,$B72)</f>
        <v/>
      </c>
      <c r="BK72" s="115">
        <f>+SUMIFS($F72:$M72,$F$7:$M$7,BK$7)*BK$75</f>
        <v/>
      </c>
      <c r="BL72" s="115">
        <f>+SUMIFS($F72:$M72,$F$7:$M$7,BL$7)*BL$75</f>
        <v/>
      </c>
      <c r="BM72" s="115">
        <f>+SUMIFS($F72:$M72,$F$7:$M$7,BM$7)*BM$75</f>
        <v/>
      </c>
      <c r="BN72" s="115">
        <f>+SUMIFS($F72:$M72,$F$7:$M$7,BN$7)*BN$75</f>
        <v/>
      </c>
      <c r="BO72" s="115">
        <f>+SUMIFS($F72:$M72,$F$7:$M$7,BO$7)*BO$75</f>
        <v/>
      </c>
      <c r="BP72" s="115">
        <f>+SUMIFS($F72:$M72,$F$7:$M$7,BP$7)*BP$75</f>
        <v/>
      </c>
      <c r="BQ72" s="115">
        <f>+SUMIFS($F72:$M72,$F$7:$M$7,BQ$7)*BQ$75</f>
        <v/>
      </c>
      <c r="BR72" s="115">
        <f>+SUMIFS($F72:$M72,$F$7:$M$7,BR$7)*BR$75</f>
        <v/>
      </c>
      <c r="BS72" s="115">
        <f>+SUMIFS($F72:$M72,$F$7:$M$7,BS$7)*BS$75</f>
        <v/>
      </c>
      <c r="BT72" s="115">
        <f>+SUMIFS($F72:$M72,$F$7:$M$7,BT$7)*BT$75</f>
        <v/>
      </c>
      <c r="BU72" s="115">
        <f>+SUMIFS($F72:$M72,$F$7:$M$7,BU$7)*BU$75</f>
        <v/>
      </c>
      <c r="BV72" s="115">
        <f>+SUMIFS($F72:$M72,$F$7:$M$7,BV$7)*BV$75</f>
        <v/>
      </c>
      <c r="BW72" s="115">
        <f>+SUMIFS($F72:$M72,$F$7:$M$7,BW$7)*BW$75</f>
        <v/>
      </c>
      <c r="BX72" s="115">
        <f>+SUMIFS($F72:$M72,$F$7:$M$7,BX$7)*BX$75</f>
        <v/>
      </c>
      <c r="BY72" s="115">
        <f>+SUMIFS($F72:$M72,$F$7:$M$7,BY$7)*BY$75</f>
        <v/>
      </c>
      <c r="BZ72" s="115">
        <f>+SUMIFS($F72:$M72,$F$7:$M$7,BZ$7)*BZ$75</f>
        <v/>
      </c>
      <c r="CA72" s="115">
        <f>+SUMIFS($F72:$M72,$F$7:$M$7,CA$7)*CA$75</f>
        <v/>
      </c>
      <c r="CB72" s="115">
        <f>+SUMIFS($F72:$M72,$F$7:$M$7,CB$7)*CB$75</f>
        <v/>
      </c>
      <c r="CC72" s="115">
        <f>+SUMIFS($F72:$M72,$F$7:$M$7,CC$7)*CC$75</f>
        <v/>
      </c>
      <c r="CD72" s="115">
        <f>+SUMIFS($F72:$M72,$F$7:$M$7,CD$7)*CD$75</f>
        <v/>
      </c>
      <c r="CE72" s="115">
        <f>+SUMIFS($F72:$M72,$F$7:$M$7,CE$7)*CE$75</f>
        <v/>
      </c>
      <c r="CF72" s="115">
        <f>+SUMIFS($F72:$M72,$F$7:$M$7,CF$7)*CF$75</f>
        <v/>
      </c>
      <c r="CG72" s="115">
        <f>+SUMIFS($F72:$M72,$F$7:$M$7,CG$7)*CG$75</f>
        <v/>
      </c>
      <c r="CH72" s="115">
        <f>+SUMIFS($F72:$M72,$F$7:$M$7,CH$7)*CH$75</f>
        <v/>
      </c>
      <c r="CI72" s="115">
        <f>+SUMIFS($F72:$M72,$F$7:$M$7,CI$7)*CI$75</f>
        <v/>
      </c>
      <c r="CJ72" s="115">
        <f>+SUMIFS($F72:$M72,$F$7:$M$7,CJ$7)*CJ$75</f>
        <v/>
      </c>
      <c r="CK72" s="115">
        <f>+SUMIFS($F72:$M72,$F$7:$M$7,CK$7)*CK$75</f>
        <v/>
      </c>
      <c r="CL72" s="115">
        <f>+SUMIFS($F72:$M72,$F$7:$M$7,CL$7)*CL$75</f>
        <v/>
      </c>
      <c r="CM72" s="115">
        <f>+SUMIFS($F72:$M72,$F$7:$M$7,CM$7)*CM$75</f>
        <v/>
      </c>
      <c r="CN72" s="115">
        <f>+SUMIFS($F72:$M72,$F$7:$M$7,CN$7)*CN$75</f>
        <v/>
      </c>
      <c r="CO72" s="115">
        <f>+SUMIFS($F72:$M72,$F$7:$M$7,CO$7)*CO$75</f>
        <v/>
      </c>
      <c r="CP72" s="115">
        <f>+SUMIFS($F72:$M72,$F$7:$M$7,CP$7)*CP$75</f>
        <v/>
      </c>
      <c r="CQ72" s="115">
        <f>+SUMIFS($F72:$M72,$F$7:$M$7,CQ$7)*CQ$75</f>
        <v/>
      </c>
      <c r="CR72" s="115">
        <f>+SUMIFS($F72:$M72,$F$7:$M$7,CR$7)*CR$75</f>
        <v/>
      </c>
      <c r="CS72" s="115">
        <f>+SUMIFS($F72:$M72,$F$7:$M$7,CS$7)*CS$75</f>
        <v/>
      </c>
      <c r="CT72" s="115">
        <f>+SUMIFS($F72:$M72,$F$7:$M$7,CT$7)*CT$75</f>
        <v/>
      </c>
      <c r="CU72" s="115">
        <f>+SUMIFS($F72:$M72,$F$7:$M$7,CU$7)*CU$75</f>
        <v/>
      </c>
      <c r="CV72" s="115">
        <f>+SUMIFS($F72:$M72,$F$7:$M$7,CV$7)*CV$75</f>
        <v/>
      </c>
      <c r="CW72" s="115">
        <f>+SUMIFS($F72:$M72,$F$7:$M$7,CW$7)*CW$75</f>
        <v/>
      </c>
      <c r="CX72" s="115">
        <f>+SUMIFS($F72:$M72,$F$7:$M$7,CX$7)*CX$75</f>
        <v/>
      </c>
      <c r="CY72" s="115">
        <f>+SUMIFS($F72:$M72,$F$7:$M$7,CY$7)*CY$75</f>
        <v/>
      </c>
      <c r="CZ72" s="115">
        <f>+SUMIFS($F72:$M72,$F$7:$M$7,CZ$7)*CZ$75</f>
        <v/>
      </c>
      <c r="DA72" s="115">
        <f>+SUMIFS($F72:$M72,$F$7:$M$7,DA$7)*DA$75</f>
        <v/>
      </c>
      <c r="DB72" s="115">
        <f>+SUMIFS($F72:$M72,$F$7:$M$7,DB$7)*DB$75</f>
        <v/>
      </c>
      <c r="DC72" s="115">
        <f>+SUMIFS($F72:$M72,$F$7:$M$7,DC$7)*DC$75</f>
        <v/>
      </c>
      <c r="DD72" s="115">
        <f>+SUMIFS($F72:$M72,$F$7:$M$7,DD$7)*DD$75</f>
        <v/>
      </c>
      <c r="DE72" s="115">
        <f>+SUMIFS($F72:$M72,$F$7:$M$7,DE$7)*DE$75</f>
        <v/>
      </c>
      <c r="DF72" s="115">
        <f>+SUMIFS($F72:$M72,$F$7:$M$7,DF$7)*DF$75</f>
        <v/>
      </c>
      <c r="DG72" s="115">
        <f>+SUMIFS($F72:$M72,$F$7:$M$7,DG$7)*DG$75</f>
        <v/>
      </c>
      <c r="DH72" s="115">
        <f>+SUMIFS($F72:$M72,$F$7:$M$7,DH$7)*DH$75</f>
        <v/>
      </c>
      <c r="DI72" s="115">
        <f>+SUMIFS($F72:$M72,$F$7:$M$7,DI$7)*DI$75</f>
        <v/>
      </c>
      <c r="DJ72" s="115">
        <f>+SUMIFS($F72:$M72,$F$7:$M$7,DJ$7)*DJ$75</f>
        <v/>
      </c>
      <c r="DK72" s="115">
        <f>+SUMIFS($F72:$M72,$F$7:$M$7,DK$7)*DK$75</f>
        <v/>
      </c>
      <c r="DL72" s="115">
        <f>+SUMIFS($F72:$M72,$F$7:$M$7,DL$7)*DL$75</f>
        <v/>
      </c>
      <c r="DM72" s="115">
        <f>+SUMIFS($F72:$M72,$F$7:$M$7,DM$7)*DM$75</f>
        <v/>
      </c>
      <c r="DN72" s="115">
        <f>+SUMIFS($F72:$M72,$F$7:$M$7,DN$7)*DN$75</f>
        <v/>
      </c>
      <c r="DO72" s="115">
        <f>+SUMIFS($F72:$M72,$F$7:$M$7,DO$7)*DO$75</f>
        <v/>
      </c>
      <c r="DP72" s="115">
        <f>+SUMIFS($F72:$M72,$F$7:$M$7,DP$7)*DP$75</f>
        <v/>
      </c>
      <c r="DQ72" s="115">
        <f>+SUMIFS($F72:$M72,$F$7:$M$7,DQ$7)*DQ$75</f>
        <v/>
      </c>
      <c r="DR72" s="115">
        <f>+SUMIFS($F72:$M72,$F$7:$M$7,DR$7)*DR$75</f>
        <v/>
      </c>
    </row>
    <row r="73" ht="15.75" customHeight="1">
      <c r="B73" s="5" t="inlineStr">
        <is>
          <t>Lower Middle Market</t>
        </is>
      </c>
      <c r="F73" s="46">
        <f>+SUMIFS($AA73:$DR73,$AA$7:$DR$7,F$7)</f>
        <v/>
      </c>
      <c r="G73" s="46">
        <f>+SUMIFS($AA73:$DR73,$AA$7:$DR$7,G$7)</f>
        <v/>
      </c>
      <c r="H73" s="46">
        <f>+SUMIFS($AA73:$DR73,$AA$7:$DR$7,H$7)</f>
        <v/>
      </c>
      <c r="I73" s="48">
        <f>+I66*(1-COGS_Assumptions!I16)</f>
        <v/>
      </c>
      <c r="J73" s="48">
        <f>+J66*(1-COGS_Assumptions!J16)</f>
        <v/>
      </c>
      <c r="K73" s="48">
        <f>+K66*(1-COGS_Assumptions!K16)</f>
        <v/>
      </c>
      <c r="L73" s="48">
        <f>+L66*(1-COGS_Assumptions!L16)</f>
        <v/>
      </c>
      <c r="M73" s="48">
        <f>+M66*(1-COGS_Assumptions!M16)</f>
        <v/>
      </c>
      <c r="AA73" s="46">
        <f>+SUMIFS(AA$13:AA$58,$C$13:$C$58,$B73)</f>
        <v/>
      </c>
      <c r="AB73" s="46">
        <f>+SUMIFS(AB$13:AB$58,$C$13:$C$58,$B73)</f>
        <v/>
      </c>
      <c r="AC73" s="46">
        <f>+SUMIFS(AC$13:AC$58,$C$13:$C$58,$B73)</f>
        <v/>
      </c>
      <c r="AD73" s="46">
        <f>+SUMIFS(AD$13:AD$58,$C$13:$C$58,$B73)</f>
        <v/>
      </c>
      <c r="AE73" s="46">
        <f>+SUMIFS(AE$13:AE$58,$C$13:$C$58,$B73)</f>
        <v/>
      </c>
      <c r="AF73" s="46">
        <f>+SUMIFS(AF$13:AF$58,$C$13:$C$58,$B73)</f>
        <v/>
      </c>
      <c r="AG73" s="46">
        <f>+SUMIFS(AG$13:AG$58,$C$13:$C$58,$B73)</f>
        <v/>
      </c>
      <c r="AH73" s="46">
        <f>+SUMIFS(AH$13:AH$58,$C$13:$C$58,$B73)</f>
        <v/>
      </c>
      <c r="AI73" s="46">
        <f>+SUMIFS(AI$13:AI$58,$C$13:$C$58,$B73)</f>
        <v/>
      </c>
      <c r="AJ73" s="46">
        <f>+SUMIFS(AJ$13:AJ$58,$C$13:$C$58,$B73)</f>
        <v/>
      </c>
      <c r="AK73" s="46">
        <f>+SUMIFS(AK$13:AK$58,$C$13:$C$58,$B73)</f>
        <v/>
      </c>
      <c r="AL73" s="46">
        <f>+SUMIFS(AL$13:AL$58,$C$13:$C$58,$B73)</f>
        <v/>
      </c>
      <c r="AM73" s="46">
        <f>+SUMIFS(AM$13:AM$58,$C$13:$C$58,$B73)</f>
        <v/>
      </c>
      <c r="AN73" s="46">
        <f>+SUMIFS(AN$13:AN$58,$C$13:$C$58,$B73)</f>
        <v/>
      </c>
      <c r="AO73" s="46">
        <f>+SUMIFS(AO$13:AO$58,$C$13:$C$58,$B73)</f>
        <v/>
      </c>
      <c r="AP73" s="46">
        <f>+SUMIFS(AP$13:AP$58,$C$13:$C$58,$B73)</f>
        <v/>
      </c>
      <c r="AQ73" s="46">
        <f>+SUMIFS(AQ$13:AQ$58,$C$13:$C$58,$B73)</f>
        <v/>
      </c>
      <c r="AR73" s="46">
        <f>+SUMIFS(AR$13:AR$58,$C$13:$C$58,$B73)</f>
        <v/>
      </c>
      <c r="AS73" s="46">
        <f>+SUMIFS(AS$13:AS$58,$C$13:$C$58,$B73)</f>
        <v/>
      </c>
      <c r="AT73" s="46">
        <f>+SUMIFS(AT$13:AT$58,$C$13:$C$58,$B73)</f>
        <v/>
      </c>
      <c r="AU73" s="46">
        <f>+SUMIFS(AU$13:AU$58,$C$13:$C$58,$B73)</f>
        <v/>
      </c>
      <c r="AV73" s="46">
        <f>+SUMIFS(AV$13:AV$58,$C$13:$C$58,$B73)</f>
        <v/>
      </c>
      <c r="AW73" s="46">
        <f>+SUMIFS(AW$13:AW$58,$C$13:$C$58,$B73)</f>
        <v/>
      </c>
      <c r="AX73" s="46">
        <f>+SUMIFS(AX$13:AX$58,$C$13:$C$58,$B73)</f>
        <v/>
      </c>
      <c r="AY73" s="46">
        <f>+SUMIFS(AY$13:AY$58,$C$13:$C$58,$B73)</f>
        <v/>
      </c>
      <c r="AZ73" s="46">
        <f>+SUMIFS(AZ$13:AZ$58,$C$13:$C$58,$B73)</f>
        <v/>
      </c>
      <c r="BA73" s="46">
        <f>+SUMIFS(BA$13:BA$58,$C$13:$C$58,$B73)</f>
        <v/>
      </c>
      <c r="BB73" s="46">
        <f>+SUMIFS(BB$13:BB$58,$C$13:$C$58,$B73)</f>
        <v/>
      </c>
      <c r="BC73" s="46">
        <f>+SUMIFS(BC$13:BC$58,$C$13:$C$58,$B73)</f>
        <v/>
      </c>
      <c r="BD73" s="46">
        <f>+SUMIFS(BD$13:BD$58,$C$13:$C$58,$B73)</f>
        <v/>
      </c>
      <c r="BE73" s="46">
        <f>+SUMIFS(BE$13:BE$58,$C$13:$C$58,$B73)</f>
        <v/>
      </c>
      <c r="BF73" s="46">
        <f>+SUMIFS(BF$13:BF$58,$C$13:$C$58,$B73)</f>
        <v/>
      </c>
      <c r="BG73" s="46">
        <f>+SUMIFS(BG$13:BG$58,$C$13:$C$58,$B73)</f>
        <v/>
      </c>
      <c r="BH73" s="46">
        <f>+SUMIFS(BH$13:BH$58,$C$13:$C$58,$B73)</f>
        <v/>
      </c>
      <c r="BI73" s="46">
        <f>+SUMIFS(BI$13:BI$58,$C$13:$C$58,$B73)</f>
        <v/>
      </c>
      <c r="BJ73" s="46">
        <f>+SUMIFS(BJ$13:BJ$58,$C$13:$C$58,$B73)</f>
        <v/>
      </c>
      <c r="BK73" s="115">
        <f>+SUMIFS($F73:$M73,$F$7:$M$7,BK$7)*BK$75</f>
        <v/>
      </c>
      <c r="BL73" s="115">
        <f>+SUMIFS($F73:$M73,$F$7:$M$7,BL$7)*BL$75</f>
        <v/>
      </c>
      <c r="BM73" s="115">
        <f>+SUMIFS($F73:$M73,$F$7:$M$7,BM$7)*BM$75</f>
        <v/>
      </c>
      <c r="BN73" s="115">
        <f>+SUMIFS($F73:$M73,$F$7:$M$7,BN$7)*BN$75</f>
        <v/>
      </c>
      <c r="BO73" s="115">
        <f>+SUMIFS($F73:$M73,$F$7:$M$7,BO$7)*BO$75</f>
        <v/>
      </c>
      <c r="BP73" s="115">
        <f>+SUMIFS($F73:$M73,$F$7:$M$7,BP$7)*BP$75</f>
        <v/>
      </c>
      <c r="BQ73" s="115">
        <f>+SUMIFS($F73:$M73,$F$7:$M$7,BQ$7)*BQ$75</f>
        <v/>
      </c>
      <c r="BR73" s="115">
        <f>+SUMIFS($F73:$M73,$F$7:$M$7,BR$7)*BR$75</f>
        <v/>
      </c>
      <c r="BS73" s="115">
        <f>+SUMIFS($F73:$M73,$F$7:$M$7,BS$7)*BS$75</f>
        <v/>
      </c>
      <c r="BT73" s="115">
        <f>+SUMIFS($F73:$M73,$F$7:$M$7,BT$7)*BT$75</f>
        <v/>
      </c>
      <c r="BU73" s="115">
        <f>+SUMIFS($F73:$M73,$F$7:$M$7,BU$7)*BU$75</f>
        <v/>
      </c>
      <c r="BV73" s="115">
        <f>+SUMIFS($F73:$M73,$F$7:$M$7,BV$7)*BV$75</f>
        <v/>
      </c>
      <c r="BW73" s="115">
        <f>+SUMIFS($F73:$M73,$F$7:$M$7,BW$7)*BW$75</f>
        <v/>
      </c>
      <c r="BX73" s="115">
        <f>+SUMIFS($F73:$M73,$F$7:$M$7,BX$7)*BX$75</f>
        <v/>
      </c>
      <c r="BY73" s="115">
        <f>+SUMIFS($F73:$M73,$F$7:$M$7,BY$7)*BY$75</f>
        <v/>
      </c>
      <c r="BZ73" s="115">
        <f>+SUMIFS($F73:$M73,$F$7:$M$7,BZ$7)*BZ$75</f>
        <v/>
      </c>
      <c r="CA73" s="115">
        <f>+SUMIFS($F73:$M73,$F$7:$M$7,CA$7)*CA$75</f>
        <v/>
      </c>
      <c r="CB73" s="115">
        <f>+SUMIFS($F73:$M73,$F$7:$M$7,CB$7)*CB$75</f>
        <v/>
      </c>
      <c r="CC73" s="115">
        <f>+SUMIFS($F73:$M73,$F$7:$M$7,CC$7)*CC$75</f>
        <v/>
      </c>
      <c r="CD73" s="115">
        <f>+SUMIFS($F73:$M73,$F$7:$M$7,CD$7)*CD$75</f>
        <v/>
      </c>
      <c r="CE73" s="115">
        <f>+SUMIFS($F73:$M73,$F$7:$M$7,CE$7)*CE$75</f>
        <v/>
      </c>
      <c r="CF73" s="115">
        <f>+SUMIFS($F73:$M73,$F$7:$M$7,CF$7)*CF$75</f>
        <v/>
      </c>
      <c r="CG73" s="115">
        <f>+SUMIFS($F73:$M73,$F$7:$M$7,CG$7)*CG$75</f>
        <v/>
      </c>
      <c r="CH73" s="115">
        <f>+SUMIFS($F73:$M73,$F$7:$M$7,CH$7)*CH$75</f>
        <v/>
      </c>
      <c r="CI73" s="115">
        <f>+SUMIFS($F73:$M73,$F$7:$M$7,CI$7)*CI$75</f>
        <v/>
      </c>
      <c r="CJ73" s="115">
        <f>+SUMIFS($F73:$M73,$F$7:$M$7,CJ$7)*CJ$75</f>
        <v/>
      </c>
      <c r="CK73" s="115">
        <f>+SUMIFS($F73:$M73,$F$7:$M$7,CK$7)*CK$75</f>
        <v/>
      </c>
      <c r="CL73" s="115">
        <f>+SUMIFS($F73:$M73,$F$7:$M$7,CL$7)*CL$75</f>
        <v/>
      </c>
      <c r="CM73" s="115">
        <f>+SUMIFS($F73:$M73,$F$7:$M$7,CM$7)*CM$75</f>
        <v/>
      </c>
      <c r="CN73" s="115">
        <f>+SUMIFS($F73:$M73,$F$7:$M$7,CN$7)*CN$75</f>
        <v/>
      </c>
      <c r="CO73" s="115">
        <f>+SUMIFS($F73:$M73,$F$7:$M$7,CO$7)*CO$75</f>
        <v/>
      </c>
      <c r="CP73" s="115">
        <f>+SUMIFS($F73:$M73,$F$7:$M$7,CP$7)*CP$75</f>
        <v/>
      </c>
      <c r="CQ73" s="115">
        <f>+SUMIFS($F73:$M73,$F$7:$M$7,CQ$7)*CQ$75</f>
        <v/>
      </c>
      <c r="CR73" s="115">
        <f>+SUMIFS($F73:$M73,$F$7:$M$7,CR$7)*CR$75</f>
        <v/>
      </c>
      <c r="CS73" s="115">
        <f>+SUMIFS($F73:$M73,$F$7:$M$7,CS$7)*CS$75</f>
        <v/>
      </c>
      <c r="CT73" s="115">
        <f>+SUMIFS($F73:$M73,$F$7:$M$7,CT$7)*CT$75</f>
        <v/>
      </c>
      <c r="CU73" s="115">
        <f>+SUMIFS($F73:$M73,$F$7:$M$7,CU$7)*CU$75</f>
        <v/>
      </c>
      <c r="CV73" s="115">
        <f>+SUMIFS($F73:$M73,$F$7:$M$7,CV$7)*CV$75</f>
        <v/>
      </c>
      <c r="CW73" s="115">
        <f>+SUMIFS($F73:$M73,$F$7:$M$7,CW$7)*CW$75</f>
        <v/>
      </c>
      <c r="CX73" s="115">
        <f>+SUMIFS($F73:$M73,$F$7:$M$7,CX$7)*CX$75</f>
        <v/>
      </c>
      <c r="CY73" s="115">
        <f>+SUMIFS($F73:$M73,$F$7:$M$7,CY$7)*CY$75</f>
        <v/>
      </c>
      <c r="CZ73" s="115">
        <f>+SUMIFS($F73:$M73,$F$7:$M$7,CZ$7)*CZ$75</f>
        <v/>
      </c>
      <c r="DA73" s="115">
        <f>+SUMIFS($F73:$M73,$F$7:$M$7,DA$7)*DA$75</f>
        <v/>
      </c>
      <c r="DB73" s="115">
        <f>+SUMIFS($F73:$M73,$F$7:$M$7,DB$7)*DB$75</f>
        <v/>
      </c>
      <c r="DC73" s="115">
        <f>+SUMIFS($F73:$M73,$F$7:$M$7,DC$7)*DC$75</f>
        <v/>
      </c>
      <c r="DD73" s="115">
        <f>+SUMIFS($F73:$M73,$F$7:$M$7,DD$7)*DD$75</f>
        <v/>
      </c>
      <c r="DE73" s="115">
        <f>+SUMIFS($F73:$M73,$F$7:$M$7,DE$7)*DE$75</f>
        <v/>
      </c>
      <c r="DF73" s="115">
        <f>+SUMIFS($F73:$M73,$F$7:$M$7,DF$7)*DF$75</f>
        <v/>
      </c>
      <c r="DG73" s="115">
        <f>+SUMIFS($F73:$M73,$F$7:$M$7,DG$7)*DG$75</f>
        <v/>
      </c>
      <c r="DH73" s="115">
        <f>+SUMIFS($F73:$M73,$F$7:$M$7,DH$7)*DH$75</f>
        <v/>
      </c>
      <c r="DI73" s="115">
        <f>+SUMIFS($F73:$M73,$F$7:$M$7,DI$7)*DI$75</f>
        <v/>
      </c>
      <c r="DJ73" s="115">
        <f>+SUMIFS($F73:$M73,$F$7:$M$7,DJ$7)*DJ$75</f>
        <v/>
      </c>
      <c r="DK73" s="115">
        <f>+SUMIFS($F73:$M73,$F$7:$M$7,DK$7)*DK$75</f>
        <v/>
      </c>
      <c r="DL73" s="115">
        <f>+SUMIFS($F73:$M73,$F$7:$M$7,DL$7)*DL$75</f>
        <v/>
      </c>
      <c r="DM73" s="115">
        <f>+SUMIFS($F73:$M73,$F$7:$M$7,DM$7)*DM$75</f>
        <v/>
      </c>
      <c r="DN73" s="115">
        <f>+SUMIFS($F73:$M73,$F$7:$M$7,DN$7)*DN$75</f>
        <v/>
      </c>
      <c r="DO73" s="115">
        <f>+SUMIFS($F73:$M73,$F$7:$M$7,DO$7)*DO$75</f>
        <v/>
      </c>
      <c r="DP73" s="115">
        <f>+SUMIFS($F73:$M73,$F$7:$M$7,DP$7)*DP$75</f>
        <v/>
      </c>
      <c r="DQ73" s="115">
        <f>+SUMIFS($F73:$M73,$F$7:$M$7,DQ$7)*DQ$75</f>
        <v/>
      </c>
      <c r="DR73" s="115">
        <f>+SUMIFS($F73:$M73,$F$7:$M$7,DR$7)*DR$75</f>
        <v/>
      </c>
    </row>
    <row r="74" ht="15.75" customHeight="1">
      <c r="B74" s="50" t="inlineStr">
        <is>
          <t>Total</t>
        </is>
      </c>
      <c r="C74" s="50" t="n"/>
      <c r="D74" s="50" t="n"/>
      <c r="F74" s="51">
        <f>+SUMIFS($AA74:$DR74,$AA$7:$DR$7,F$7)</f>
        <v/>
      </c>
      <c r="G74" s="51">
        <f>+SUMIFS($AA74:$DR74,$AA$7:$DR$7,G$7)</f>
        <v/>
      </c>
      <c r="H74" s="51">
        <f>+SUMIFS($AA74:$DR74,$AA$7:$DR$7,H$7)</f>
        <v/>
      </c>
      <c r="I74" s="51">
        <f>+SUMIFS($AA74:$DR74,$AA$7:$DR$7,I$7)</f>
        <v/>
      </c>
      <c r="J74" s="51">
        <f>+SUMIFS($AA74:$DR74,$AA$7:$DR$7,J$7)</f>
        <v/>
      </c>
      <c r="K74" s="51">
        <f>+SUMIFS($AA74:$DR74,$AA$7:$DR$7,K$7)</f>
        <v/>
      </c>
      <c r="L74" s="51">
        <f>+SUMIFS($AA74:$DR74,$AA$7:$DR$7,L$7)</f>
        <v/>
      </c>
      <c r="M74" s="51">
        <f>+SUMIFS($AA74:$DR74,$AA$7:$DR$7,M$7)</f>
        <v/>
      </c>
      <c r="AA74" s="51">
        <f>SUM(AA70:AA73)</f>
        <v/>
      </c>
      <c r="AB74" s="51">
        <f>SUM(AB70:AB73)</f>
        <v/>
      </c>
      <c r="AC74" s="51">
        <f>SUM(AC70:AC73)</f>
        <v/>
      </c>
      <c r="AD74" s="51">
        <f>SUM(AD70:AD73)</f>
        <v/>
      </c>
      <c r="AE74" s="51">
        <f>SUM(AE70:AE73)</f>
        <v/>
      </c>
      <c r="AF74" s="51">
        <f>SUM(AF70:AF73)</f>
        <v/>
      </c>
      <c r="AG74" s="51">
        <f>SUM(AG70:AG73)</f>
        <v/>
      </c>
      <c r="AH74" s="51">
        <f>SUM(AH70:AH73)</f>
        <v/>
      </c>
      <c r="AI74" s="51">
        <f>SUM(AI70:AI73)</f>
        <v/>
      </c>
      <c r="AJ74" s="51">
        <f>SUM(AJ70:AJ73)</f>
        <v/>
      </c>
      <c r="AK74" s="51">
        <f>SUM(AK70:AK73)</f>
        <v/>
      </c>
      <c r="AL74" s="51">
        <f>SUM(AL70:AL73)</f>
        <v/>
      </c>
      <c r="AM74" s="51">
        <f>SUM(AM70:AM73)</f>
        <v/>
      </c>
      <c r="AN74" s="51">
        <f>SUM(AN70:AN73)</f>
        <v/>
      </c>
      <c r="AO74" s="51">
        <f>SUM(AO70:AO73)</f>
        <v/>
      </c>
      <c r="AP74" s="51">
        <f>SUM(AP70:AP73)</f>
        <v/>
      </c>
      <c r="AQ74" s="51">
        <f>SUM(AQ70:AQ73)</f>
        <v/>
      </c>
      <c r="AR74" s="51">
        <f>SUM(AR70:AR73)</f>
        <v/>
      </c>
      <c r="AS74" s="51">
        <f>SUM(AS70:AS73)</f>
        <v/>
      </c>
      <c r="AT74" s="51">
        <f>SUM(AT70:AT73)</f>
        <v/>
      </c>
      <c r="AU74" s="51">
        <f>SUM(AU70:AU73)</f>
        <v/>
      </c>
      <c r="AV74" s="51">
        <f>SUM(AV70:AV73)</f>
        <v/>
      </c>
      <c r="AW74" s="51">
        <f>SUM(AW70:AW73)</f>
        <v/>
      </c>
      <c r="AX74" s="51">
        <f>SUM(AX70:AX73)</f>
        <v/>
      </c>
      <c r="AY74" s="51">
        <f>SUM(AY70:AY73)</f>
        <v/>
      </c>
      <c r="AZ74" s="51">
        <f>SUM(AZ70:AZ73)</f>
        <v/>
      </c>
      <c r="BA74" s="51">
        <f>SUM(BA70:BA73)</f>
        <v/>
      </c>
      <c r="BB74" s="51">
        <f>SUM(BB70:BB73)</f>
        <v/>
      </c>
      <c r="BC74" s="51">
        <f>SUM(BC70:BC73)</f>
        <v/>
      </c>
      <c r="BD74" s="51">
        <f>SUM(BD70:BD73)</f>
        <v/>
      </c>
      <c r="BE74" s="51">
        <f>SUM(BE70:BE73)</f>
        <v/>
      </c>
      <c r="BF74" s="51">
        <f>SUM(BF70:BF73)</f>
        <v/>
      </c>
      <c r="BG74" s="51">
        <f>SUM(BG70:BG73)</f>
        <v/>
      </c>
      <c r="BH74" s="51">
        <f>SUM(BH70:BH73)</f>
        <v/>
      </c>
      <c r="BI74" s="51">
        <f>SUM(BI70:BI73)</f>
        <v/>
      </c>
      <c r="BJ74" s="51">
        <f>SUM(BJ70:BJ73)</f>
        <v/>
      </c>
      <c r="BK74" s="51">
        <f>SUM(BK70:BK73)</f>
        <v/>
      </c>
      <c r="BL74" s="51">
        <f>SUM(BL70:BL73)</f>
        <v/>
      </c>
      <c r="BM74" s="51">
        <f>SUM(BM70:BM73)</f>
        <v/>
      </c>
      <c r="BN74" s="51">
        <f>SUM(BN70:BN73)</f>
        <v/>
      </c>
      <c r="BO74" s="51">
        <f>SUM(BO70:BO73)</f>
        <v/>
      </c>
      <c r="BP74" s="51">
        <f>SUM(BP70:BP73)</f>
        <v/>
      </c>
      <c r="BQ74" s="51">
        <f>SUM(BQ70:BQ73)</f>
        <v/>
      </c>
      <c r="BR74" s="51">
        <f>SUM(BR70:BR73)</f>
        <v/>
      </c>
      <c r="BS74" s="51">
        <f>SUM(BS70:BS73)</f>
        <v/>
      </c>
      <c r="BT74" s="51">
        <f>SUM(BT70:BT73)</f>
        <v/>
      </c>
      <c r="BU74" s="51">
        <f>SUM(BU70:BU73)</f>
        <v/>
      </c>
      <c r="BV74" s="51">
        <f>SUM(BV70:BV73)</f>
        <v/>
      </c>
      <c r="BW74" s="51">
        <f>SUM(BW70:BW73)</f>
        <v/>
      </c>
      <c r="BX74" s="51">
        <f>SUM(BX70:BX73)</f>
        <v/>
      </c>
      <c r="BY74" s="51">
        <f>SUM(BY70:BY73)</f>
        <v/>
      </c>
      <c r="BZ74" s="51">
        <f>SUM(BZ70:BZ73)</f>
        <v/>
      </c>
      <c r="CA74" s="51">
        <f>SUM(CA70:CA73)</f>
        <v/>
      </c>
      <c r="CB74" s="51">
        <f>SUM(CB70:CB73)</f>
        <v/>
      </c>
      <c r="CC74" s="51">
        <f>SUM(CC70:CC73)</f>
        <v/>
      </c>
      <c r="CD74" s="51">
        <f>SUM(CD70:CD73)</f>
        <v/>
      </c>
      <c r="CE74" s="51">
        <f>SUM(CE70:CE73)</f>
        <v/>
      </c>
      <c r="CF74" s="51">
        <f>SUM(CF70:CF73)</f>
        <v/>
      </c>
      <c r="CG74" s="51">
        <f>SUM(CG70:CG73)</f>
        <v/>
      </c>
      <c r="CH74" s="51">
        <f>SUM(CH70:CH73)</f>
        <v/>
      </c>
      <c r="CI74" s="51">
        <f>SUM(CI70:CI73)</f>
        <v/>
      </c>
      <c r="CJ74" s="51">
        <f>SUM(CJ70:CJ73)</f>
        <v/>
      </c>
      <c r="CK74" s="51">
        <f>SUM(CK70:CK73)</f>
        <v/>
      </c>
      <c r="CL74" s="51">
        <f>SUM(CL70:CL73)</f>
        <v/>
      </c>
      <c r="CM74" s="51">
        <f>SUM(CM70:CM73)</f>
        <v/>
      </c>
      <c r="CN74" s="51">
        <f>SUM(CN70:CN73)</f>
        <v/>
      </c>
      <c r="CO74" s="51">
        <f>SUM(CO70:CO73)</f>
        <v/>
      </c>
      <c r="CP74" s="51">
        <f>SUM(CP70:CP73)</f>
        <v/>
      </c>
      <c r="CQ74" s="51">
        <f>SUM(CQ70:CQ73)</f>
        <v/>
      </c>
      <c r="CR74" s="51">
        <f>SUM(CR70:CR73)</f>
        <v/>
      </c>
      <c r="CS74" s="51">
        <f>SUM(CS70:CS73)</f>
        <v/>
      </c>
      <c r="CT74" s="51">
        <f>SUM(CT70:CT73)</f>
        <v/>
      </c>
      <c r="CU74" s="51">
        <f>SUM(CU70:CU73)</f>
        <v/>
      </c>
      <c r="CV74" s="51">
        <f>SUM(CV70:CV73)</f>
        <v/>
      </c>
      <c r="CW74" s="51">
        <f>SUM(CW70:CW73)</f>
        <v/>
      </c>
      <c r="CX74" s="51">
        <f>SUM(CX70:CX73)</f>
        <v/>
      </c>
      <c r="CY74" s="51">
        <f>SUM(CY70:CY73)</f>
        <v/>
      </c>
      <c r="CZ74" s="51">
        <f>SUM(CZ70:CZ73)</f>
        <v/>
      </c>
      <c r="DA74" s="51">
        <f>SUM(DA70:DA73)</f>
        <v/>
      </c>
      <c r="DB74" s="51">
        <f>SUM(DB70:DB73)</f>
        <v/>
      </c>
      <c r="DC74" s="51">
        <f>SUM(DC70:DC73)</f>
        <v/>
      </c>
      <c r="DD74" s="51">
        <f>SUM(DD70:DD73)</f>
        <v/>
      </c>
      <c r="DE74" s="51">
        <f>SUM(DE70:DE73)</f>
        <v/>
      </c>
      <c r="DF74" s="51">
        <f>SUM(DF70:DF73)</f>
        <v/>
      </c>
      <c r="DG74" s="51">
        <f>SUM(DG70:DG73)</f>
        <v/>
      </c>
      <c r="DH74" s="51">
        <f>SUM(DH70:DH73)</f>
        <v/>
      </c>
      <c r="DI74" s="51">
        <f>SUM(DI70:DI73)</f>
        <v/>
      </c>
      <c r="DJ74" s="51">
        <f>SUM(DJ70:DJ73)</f>
        <v/>
      </c>
      <c r="DK74" s="51">
        <f>SUM(DK70:DK73)</f>
        <v/>
      </c>
      <c r="DL74" s="51">
        <f>SUM(DL70:DL73)</f>
        <v/>
      </c>
      <c r="DM74" s="51">
        <f>SUM(DM70:DM73)</f>
        <v/>
      </c>
      <c r="DN74" s="51">
        <f>SUM(DN70:DN73)</f>
        <v/>
      </c>
      <c r="DO74" s="51">
        <f>SUM(DO70:DO73)</f>
        <v/>
      </c>
      <c r="DP74" s="51">
        <f>SUM(DP70:DP73)</f>
        <v/>
      </c>
      <c r="DQ74" s="51">
        <f>SUM(DQ70:DQ73)</f>
        <v/>
      </c>
      <c r="DR74" s="51">
        <f>SUM(DR70:DR73)</f>
        <v/>
      </c>
    </row>
    <row r="75" ht="15.75" customHeight="1">
      <c r="A75" s="66" t="n"/>
      <c r="B75" s="66" t="inlineStr">
        <is>
          <t>% Seasonality</t>
        </is>
      </c>
      <c r="C75" s="66" t="n"/>
      <c r="D75" s="66" t="n"/>
      <c r="E75" s="66" t="n"/>
      <c r="F75" s="100">
        <f>+F74/SUMIFS($AA74:$DR74,$AA$7:$DR$7,F$7)</f>
        <v/>
      </c>
      <c r="G75" s="100">
        <f>+G74/SUMIFS($AA74:$DR74,$AA$7:$DR$7,G$7)</f>
        <v/>
      </c>
      <c r="H75" s="100">
        <f>+H74/SUMIFS($AA74:$DR74,$AA$7:$DR$7,H$7)</f>
        <v/>
      </c>
      <c r="I75" s="100">
        <f>+I74/SUMIFS($AA74:$DR74,$AA$7:$DR$7,I$7)</f>
        <v/>
      </c>
      <c r="J75" s="100">
        <f>+J74/SUMIFS($AA74:$DR74,$AA$7:$DR$7,J$7)</f>
        <v/>
      </c>
      <c r="K75" s="100">
        <f>+K74/SUMIFS($AA74:$DR74,$AA$7:$DR$7,K$7)</f>
        <v/>
      </c>
      <c r="L75" s="100">
        <f>+L74/SUMIFS($AA74:$DR74,$AA$7:$DR$7,L$7)</f>
        <v/>
      </c>
      <c r="M75" s="100">
        <f>+M74/SUMIFS($AA74:$DR74,$AA$7:$DR$7,M$7)</f>
        <v/>
      </c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100">
        <f>+AA74/SUMIFS($AA74:$DR74,$AA$7:$DR$7,AA$7)</f>
        <v/>
      </c>
      <c r="AB75" s="100">
        <f>+AB74/SUMIFS($AA74:$DR74,$AA$7:$DR$7,AB$7)</f>
        <v/>
      </c>
      <c r="AC75" s="100">
        <f>+AC74/SUMIFS($AA74:$DR74,$AA$7:$DR$7,AC$7)</f>
        <v/>
      </c>
      <c r="AD75" s="100">
        <f>+AD74/SUMIFS($AA74:$DR74,$AA$7:$DR$7,AD$7)</f>
        <v/>
      </c>
      <c r="AE75" s="100">
        <f>+AE74/SUMIFS($AA74:$DR74,$AA$7:$DR$7,AE$7)</f>
        <v/>
      </c>
      <c r="AF75" s="100">
        <f>+AF74/SUMIFS($AA74:$DR74,$AA$7:$DR$7,AF$7)</f>
        <v/>
      </c>
      <c r="AG75" s="100">
        <f>+AG74/SUMIFS($AA74:$DR74,$AA$7:$DR$7,AG$7)</f>
        <v/>
      </c>
      <c r="AH75" s="100">
        <f>+AH74/SUMIFS($AA74:$DR74,$AA$7:$DR$7,AH$7)</f>
        <v/>
      </c>
      <c r="AI75" s="100">
        <f>+AI74/SUMIFS($AA74:$DR74,$AA$7:$DR$7,AI$7)</f>
        <v/>
      </c>
      <c r="AJ75" s="100">
        <f>+AJ74/SUMIFS($AA74:$DR74,$AA$7:$DR$7,AJ$7)</f>
        <v/>
      </c>
      <c r="AK75" s="100">
        <f>+AK74/SUMIFS($AA74:$DR74,$AA$7:$DR$7,AK$7)</f>
        <v/>
      </c>
      <c r="AL75" s="100">
        <f>+AL74/SUMIFS($AA74:$DR74,$AA$7:$DR$7,AL$7)</f>
        <v/>
      </c>
      <c r="AM75" s="100">
        <f>+AM74/SUMIFS($AA74:$DR74,$AA$7:$DR$7,AM$7)</f>
        <v/>
      </c>
      <c r="AN75" s="100">
        <f>+AN74/SUMIFS($AA74:$DR74,$AA$7:$DR$7,AN$7)</f>
        <v/>
      </c>
      <c r="AO75" s="100">
        <f>+AO74/SUMIFS($AA74:$DR74,$AA$7:$DR$7,AO$7)</f>
        <v/>
      </c>
      <c r="AP75" s="100">
        <f>+AP74/SUMIFS($AA74:$DR74,$AA$7:$DR$7,AP$7)</f>
        <v/>
      </c>
      <c r="AQ75" s="100">
        <f>+AQ74/SUMIFS($AA74:$DR74,$AA$7:$DR$7,AQ$7)</f>
        <v/>
      </c>
      <c r="AR75" s="100">
        <f>+AR74/SUMIFS($AA74:$DR74,$AA$7:$DR$7,AR$7)</f>
        <v/>
      </c>
      <c r="AS75" s="100">
        <f>+AS74/SUMIFS($AA74:$DR74,$AA$7:$DR$7,AS$7)</f>
        <v/>
      </c>
      <c r="AT75" s="100">
        <f>+AT74/SUMIFS($AA74:$DR74,$AA$7:$DR$7,AT$7)</f>
        <v/>
      </c>
      <c r="AU75" s="100">
        <f>+AU74/SUMIFS($AA74:$DR74,$AA$7:$DR$7,AU$7)</f>
        <v/>
      </c>
      <c r="AV75" s="100">
        <f>+AV74/SUMIFS($AA74:$DR74,$AA$7:$DR$7,AV$7)</f>
        <v/>
      </c>
      <c r="AW75" s="100">
        <f>+AW74/SUMIFS($AA74:$DR74,$AA$7:$DR$7,AW$7)</f>
        <v/>
      </c>
      <c r="AX75" s="100">
        <f>+AX74/SUMIFS($AA74:$DR74,$AA$7:$DR$7,AX$7)</f>
        <v/>
      </c>
      <c r="AY75" s="100">
        <f>+AY74/SUMIFS($AA74:$DR74,$AA$7:$DR$7,AY$7)</f>
        <v/>
      </c>
      <c r="AZ75" s="100">
        <f>+AZ74/SUMIFS($AA74:$DR74,$AA$7:$DR$7,AZ$7)</f>
        <v/>
      </c>
      <c r="BA75" s="100">
        <f>+BA74/SUMIFS($AA74:$DR74,$AA$7:$DR$7,BA$7)</f>
        <v/>
      </c>
      <c r="BB75" s="100">
        <f>+BB74/SUMIFS($AA74:$DR74,$AA$7:$DR$7,BB$7)</f>
        <v/>
      </c>
      <c r="BC75" s="100">
        <f>+BC74/SUMIFS($AA74:$DR74,$AA$7:$DR$7,BC$7)</f>
        <v/>
      </c>
      <c r="BD75" s="100">
        <f>+BD74/SUMIFS($AA74:$DR74,$AA$7:$DR$7,BD$7)</f>
        <v/>
      </c>
      <c r="BE75" s="100">
        <f>+BE74/SUMIFS($AA74:$DR74,$AA$7:$DR$7,BE$7)</f>
        <v/>
      </c>
      <c r="BF75" s="100">
        <f>+BF74/SUMIFS($AA74:$DR74,$AA$7:$DR$7,BF$7)</f>
        <v/>
      </c>
      <c r="BG75" s="100">
        <f>+BG74/SUMIFS($AA74:$DR74,$AA$7:$DR$7,BG$7)</f>
        <v/>
      </c>
      <c r="BH75" s="100">
        <f>+BH74/SUMIFS($AA74:$DR74,$AA$7:$DR$7,BH$7)</f>
        <v/>
      </c>
      <c r="BI75" s="100">
        <f>+BI74/SUMIFS($AA74:$DR74,$AA$7:$DR$7,BI$7)</f>
        <v/>
      </c>
      <c r="BJ75" s="100">
        <f>+BJ74/SUMIFS($AA74:$DR74,$AA$7:$DR$7,BJ$7)</f>
        <v/>
      </c>
      <c r="BK75" s="101">
        <f>+AVERAGE(AA75,AM75,AY75)</f>
        <v/>
      </c>
      <c r="BL75" s="101">
        <f>+AVERAGE(AB75,AN75,AZ75)</f>
        <v/>
      </c>
      <c r="BM75" s="101">
        <f>+AVERAGE(AC75,AO75,BA75)</f>
        <v/>
      </c>
      <c r="BN75" s="101">
        <f>+AVERAGE(AD75,AP75,BB75)</f>
        <v/>
      </c>
      <c r="BO75" s="101">
        <f>+AVERAGE(AE75,AQ75,BC75)</f>
        <v/>
      </c>
      <c r="BP75" s="101">
        <f>+AVERAGE(AF75,AR75,BD75)</f>
        <v/>
      </c>
      <c r="BQ75" s="101">
        <f>+AVERAGE(AG75,AS75,BE75)</f>
        <v/>
      </c>
      <c r="BR75" s="101">
        <f>+AVERAGE(AH75,AT75,BF75)</f>
        <v/>
      </c>
      <c r="BS75" s="101">
        <f>+AVERAGE(AI75,AU75,BG75)</f>
        <v/>
      </c>
      <c r="BT75" s="101">
        <f>+AVERAGE(AJ75,AV75,BH75)</f>
        <v/>
      </c>
      <c r="BU75" s="101">
        <f>+AVERAGE(AK75,AW75,BI75)</f>
        <v/>
      </c>
      <c r="BV75" s="101">
        <f>+AVERAGE(AL75,AX75,BJ75)</f>
        <v/>
      </c>
      <c r="BW75" s="101">
        <f>+AVERAGE(AM75,AY75,BK75)</f>
        <v/>
      </c>
      <c r="BX75" s="101">
        <f>+AVERAGE(AN75,AZ75,BL75)</f>
        <v/>
      </c>
      <c r="BY75" s="101">
        <f>+AVERAGE(AO75,BA75,BM75)</f>
        <v/>
      </c>
      <c r="BZ75" s="101">
        <f>+AVERAGE(AP75,BB75,BN75)</f>
        <v/>
      </c>
      <c r="CA75" s="101">
        <f>+AVERAGE(AQ75,BC75,BO75)</f>
        <v/>
      </c>
      <c r="CB75" s="101">
        <f>+AVERAGE(AR75,BD75,BP75)</f>
        <v/>
      </c>
      <c r="CC75" s="101">
        <f>+AVERAGE(AS75,BE75,BQ75)</f>
        <v/>
      </c>
      <c r="CD75" s="101">
        <f>+AVERAGE(AT75,BF75,BR75)</f>
        <v/>
      </c>
      <c r="CE75" s="101">
        <f>+AVERAGE(AU75,BG75,BS75)</f>
        <v/>
      </c>
      <c r="CF75" s="101">
        <f>+AVERAGE(AV75,BH75,BT75)</f>
        <v/>
      </c>
      <c r="CG75" s="101">
        <f>+AVERAGE(AW75,BI75,BU75)</f>
        <v/>
      </c>
      <c r="CH75" s="101">
        <f>+AVERAGE(AX75,BJ75,BV75)</f>
        <v/>
      </c>
      <c r="CI75" s="101">
        <f>+AVERAGE(AY75,BK75,BW75)</f>
        <v/>
      </c>
      <c r="CJ75" s="101">
        <f>+AVERAGE(AZ75,BL75,BX75)</f>
        <v/>
      </c>
      <c r="CK75" s="101">
        <f>+AVERAGE(BA75,BM75,BY75)</f>
        <v/>
      </c>
      <c r="CL75" s="101">
        <f>+AVERAGE(BB75,BN75,BZ75)</f>
        <v/>
      </c>
      <c r="CM75" s="101">
        <f>+AVERAGE(BC75,BO75,CA75)</f>
        <v/>
      </c>
      <c r="CN75" s="101">
        <f>+AVERAGE(BD75,BP75,CB75)</f>
        <v/>
      </c>
      <c r="CO75" s="101">
        <f>+AVERAGE(BE75,BQ75,CC75)</f>
        <v/>
      </c>
      <c r="CP75" s="101">
        <f>+AVERAGE(BF75,BR75,CD75)</f>
        <v/>
      </c>
      <c r="CQ75" s="101">
        <f>+AVERAGE(BG75,BS75,CE75)</f>
        <v/>
      </c>
      <c r="CR75" s="101">
        <f>+AVERAGE(BH75,BT75,CF75)</f>
        <v/>
      </c>
      <c r="CS75" s="101">
        <f>+AVERAGE(BI75,BU75,CG75)</f>
        <v/>
      </c>
      <c r="CT75" s="101">
        <f>+AVERAGE(BJ75,BV75,CH75)</f>
        <v/>
      </c>
      <c r="CU75" s="101">
        <f>+AVERAGE(BK75,BW75,CI75)</f>
        <v/>
      </c>
      <c r="CV75" s="101">
        <f>+AVERAGE(BL75,BX75,CJ75)</f>
        <v/>
      </c>
      <c r="CW75" s="101">
        <f>+AVERAGE(BM75,BY75,CK75)</f>
        <v/>
      </c>
      <c r="CX75" s="101">
        <f>+AVERAGE(BN75,BZ75,CL75)</f>
        <v/>
      </c>
      <c r="CY75" s="101">
        <f>+AVERAGE(BO75,CA75,CM75)</f>
        <v/>
      </c>
      <c r="CZ75" s="101">
        <f>+AVERAGE(BP75,CB75,CN75)</f>
        <v/>
      </c>
      <c r="DA75" s="101">
        <f>+AVERAGE(BQ75,CC75,CO75)</f>
        <v/>
      </c>
      <c r="DB75" s="101">
        <f>+AVERAGE(BR75,CD75,CP75)</f>
        <v/>
      </c>
      <c r="DC75" s="101">
        <f>+AVERAGE(BS75,CE75,CQ75)</f>
        <v/>
      </c>
      <c r="DD75" s="101">
        <f>+AVERAGE(BT75,CF75,CR75)</f>
        <v/>
      </c>
      <c r="DE75" s="101">
        <f>+AVERAGE(BU75,CG75,CS75)</f>
        <v/>
      </c>
      <c r="DF75" s="101">
        <f>+AVERAGE(BV75,CH75,CT75)</f>
        <v/>
      </c>
      <c r="DG75" s="101">
        <f>+AVERAGE(BW75,CI75,CU75)</f>
        <v/>
      </c>
      <c r="DH75" s="101">
        <f>+AVERAGE(BX75,CJ75,CV75)</f>
        <v/>
      </c>
      <c r="DI75" s="101">
        <f>+AVERAGE(BY75,CK75,CW75)</f>
        <v/>
      </c>
      <c r="DJ75" s="101">
        <f>+AVERAGE(BZ75,CL75,CX75)</f>
        <v/>
      </c>
      <c r="DK75" s="101">
        <f>+AVERAGE(CA75,CM75,CY75)</f>
        <v/>
      </c>
      <c r="DL75" s="101">
        <f>+AVERAGE(CB75,CN75,CZ75)</f>
        <v/>
      </c>
      <c r="DM75" s="101">
        <f>+AVERAGE(CC75,CO75,DA75)</f>
        <v/>
      </c>
      <c r="DN75" s="101">
        <f>+AVERAGE(CD75,CP75,DB75)</f>
        <v/>
      </c>
      <c r="DO75" s="101">
        <f>+AVERAGE(CE75,CQ75,DC75)</f>
        <v/>
      </c>
      <c r="DP75" s="101">
        <f>+AVERAGE(CF75,CR75,DD75)</f>
        <v/>
      </c>
      <c r="DQ75" s="101">
        <f>+AVERAGE(CG75,CS75,DE75)</f>
        <v/>
      </c>
      <c r="DR75" s="101">
        <f>+AVERAGE(CH75,CT75,DF75)</f>
        <v/>
      </c>
      <c r="DS75" s="66" t="n"/>
    </row>
    <row r="76" ht="4.5" customHeight="1"/>
    <row r="77" ht="15.75" customHeight="1">
      <c r="B77" s="44" t="inlineStr">
        <is>
          <t>Gross Profit</t>
        </is>
      </c>
      <c r="AA77" s="46" t="n"/>
    </row>
    <row r="78" ht="15.75" customHeight="1">
      <c r="B78" s="5" t="inlineStr">
        <is>
          <t>Mega</t>
        </is>
      </c>
      <c r="F78" s="46">
        <f>+F63-F70</f>
        <v/>
      </c>
      <c r="G78" s="46">
        <f>+G63-G70</f>
        <v/>
      </c>
      <c r="H78" s="46">
        <f>+H63-H70</f>
        <v/>
      </c>
      <c r="I78" s="46">
        <f>+I63-I70</f>
        <v/>
      </c>
      <c r="J78" s="46">
        <f>+J63-J70</f>
        <v/>
      </c>
      <c r="K78" s="46">
        <f>+K63-K70</f>
        <v/>
      </c>
      <c r="L78" s="46">
        <f>+L63-L70</f>
        <v/>
      </c>
      <c r="M78" s="46">
        <f>+M63-M70</f>
        <v/>
      </c>
      <c r="AA78" s="49" t="n"/>
      <c r="AB78" s="49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  <c r="AL78" s="49" t="n"/>
      <c r="AM78" s="49" t="n"/>
      <c r="AN78" s="49" t="n"/>
      <c r="AO78" s="96" t="n"/>
      <c r="AP78" s="96" t="n"/>
      <c r="AQ78" s="96" t="n"/>
      <c r="AR78" s="96" t="n"/>
      <c r="AS78" s="96" t="n"/>
      <c r="AT78" s="96" t="n"/>
      <c r="AU78" s="96" t="n"/>
      <c r="AV78" s="96" t="n"/>
      <c r="AW78" s="96" t="n"/>
      <c r="AX78" s="96" t="n"/>
      <c r="AY78" s="96" t="n"/>
      <c r="AZ78" s="96" t="n"/>
      <c r="BA78" s="96" t="n"/>
      <c r="BB78" s="96" t="n"/>
      <c r="BC78" s="96" t="n"/>
      <c r="BD78" s="96" t="n"/>
      <c r="BE78" s="96" t="n"/>
      <c r="BF78" s="96" t="n"/>
      <c r="BG78" s="96" t="n"/>
      <c r="BH78" s="96" t="n"/>
      <c r="BI78" s="96" t="n"/>
      <c r="BJ78" s="96" t="n"/>
      <c r="BK78" s="96" t="n"/>
      <c r="BL78" s="96" t="n"/>
      <c r="BM78" s="96" t="n"/>
      <c r="BN78" s="96" t="n"/>
      <c r="BO78" s="96" t="n"/>
      <c r="BP78" s="96" t="n"/>
      <c r="BQ78" s="96" t="n"/>
      <c r="BR78" s="96" t="n"/>
      <c r="BS78" s="96" t="n"/>
      <c r="BT78" s="96" t="n"/>
      <c r="BU78" s="96" t="n"/>
      <c r="BV78" s="96" t="n"/>
      <c r="BW78" s="96" t="n"/>
      <c r="BX78" s="96" t="n"/>
      <c r="BY78" s="96" t="n"/>
      <c r="BZ78" s="96" t="n"/>
      <c r="CA78" s="96" t="n"/>
      <c r="CB78" s="96" t="n"/>
      <c r="CC78" s="96" t="n"/>
      <c r="CD78" s="96" t="n"/>
      <c r="CE78" s="96" t="n"/>
      <c r="CF78" s="96" t="n"/>
      <c r="CG78" s="96" t="n"/>
      <c r="CH78" s="96" t="n"/>
      <c r="CI78" s="96" t="n"/>
      <c r="CJ78" s="96" t="n"/>
      <c r="CK78" s="96" t="n"/>
      <c r="CL78" s="96" t="n"/>
      <c r="CM78" s="96" t="n"/>
      <c r="CN78" s="96" t="n"/>
      <c r="CO78" s="96" t="n"/>
      <c r="CP78" s="96" t="n"/>
      <c r="CQ78" s="96" t="n"/>
      <c r="CR78" s="96" t="n"/>
      <c r="CS78" s="96" t="n"/>
      <c r="CT78" s="96" t="n"/>
      <c r="CU78" s="96" t="n"/>
      <c r="CV78" s="96" t="n"/>
      <c r="CW78" s="96" t="n"/>
      <c r="CX78" s="96" t="n"/>
      <c r="CY78" s="96" t="n"/>
      <c r="CZ78" s="96" t="n"/>
      <c r="DA78" s="96" t="n"/>
      <c r="DB78" s="96" t="n"/>
      <c r="DC78" s="96" t="n"/>
      <c r="DD78" s="96" t="n"/>
      <c r="DE78" s="96" t="n"/>
      <c r="DF78" s="96" t="n"/>
      <c r="DG78" s="96" t="n"/>
      <c r="DH78" s="96" t="n"/>
      <c r="DI78" s="96" t="n"/>
      <c r="DJ78" s="96" t="n"/>
      <c r="DK78" s="96" t="n"/>
      <c r="DL78" s="96" t="n"/>
      <c r="DM78" s="96" t="n"/>
      <c r="DN78" s="96" t="n"/>
      <c r="DO78" s="96" t="n"/>
      <c r="DP78" s="96" t="n"/>
      <c r="DQ78" s="96" t="n"/>
      <c r="DR78" s="96" t="n"/>
    </row>
    <row r="79" ht="15.75" customHeight="1">
      <c r="B79" s="5" t="inlineStr">
        <is>
          <t>Major</t>
        </is>
      </c>
      <c r="F79" s="46">
        <f>+F64-F71</f>
        <v/>
      </c>
      <c r="G79" s="46">
        <f>+G64-G71</f>
        <v/>
      </c>
      <c r="H79" s="46">
        <f>+H64-H71</f>
        <v/>
      </c>
      <c r="I79" s="46">
        <f>+I64-I71</f>
        <v/>
      </c>
      <c r="J79" s="46">
        <f>+J64-J71</f>
        <v/>
      </c>
      <c r="K79" s="46">
        <f>+K64-K71</f>
        <v/>
      </c>
      <c r="L79" s="46">
        <f>+L64-L71</f>
        <v/>
      </c>
      <c r="M79" s="46">
        <f>+M64-M71</f>
        <v/>
      </c>
      <c r="AA79" s="49" t="n"/>
      <c r="AB79" s="96" t="n"/>
      <c r="AC79" s="96" t="n"/>
      <c r="AD79" s="96" t="n"/>
      <c r="AE79" s="96" t="n"/>
      <c r="AF79" s="96" t="n"/>
      <c r="AG79" s="96" t="n"/>
      <c r="AH79" s="96" t="n"/>
      <c r="AI79" s="96" t="n"/>
      <c r="AJ79" s="96" t="n"/>
      <c r="AK79" s="96" t="n"/>
      <c r="AL79" s="96" t="n"/>
      <c r="AM79" s="96" t="n"/>
      <c r="AN79" s="96" t="n"/>
      <c r="AO79" s="96" t="n"/>
      <c r="AP79" s="96" t="n"/>
      <c r="AQ79" s="96" t="n"/>
      <c r="AR79" s="96" t="n"/>
      <c r="AS79" s="96" t="n"/>
      <c r="AT79" s="96" t="n"/>
      <c r="AU79" s="96" t="n"/>
      <c r="AV79" s="96" t="n"/>
      <c r="AW79" s="96" t="n"/>
      <c r="AX79" s="96" t="n"/>
      <c r="AY79" s="96" t="n"/>
      <c r="AZ79" s="96" t="n"/>
      <c r="BA79" s="96" t="n"/>
      <c r="BB79" s="96" t="n"/>
      <c r="BC79" s="96" t="n"/>
      <c r="BD79" s="96" t="n"/>
      <c r="BE79" s="96" t="n"/>
      <c r="BF79" s="96" t="n"/>
      <c r="BG79" s="96" t="n"/>
      <c r="BH79" s="96" t="n"/>
      <c r="BI79" s="96" t="n"/>
      <c r="BJ79" s="96" t="n"/>
      <c r="BK79" s="96" t="n"/>
      <c r="BL79" s="96" t="n"/>
      <c r="BM79" s="96" t="n"/>
      <c r="BN79" s="96" t="n"/>
      <c r="BO79" s="96" t="n"/>
      <c r="BP79" s="96" t="n"/>
      <c r="BQ79" s="96" t="n"/>
      <c r="BR79" s="96" t="n"/>
      <c r="BS79" s="96" t="n"/>
      <c r="BT79" s="96" t="n"/>
      <c r="BU79" s="96" t="n"/>
      <c r="BV79" s="96" t="n"/>
      <c r="BW79" s="96" t="n"/>
      <c r="BX79" s="96" t="n"/>
      <c r="BY79" s="96" t="n"/>
      <c r="BZ79" s="96" t="n"/>
      <c r="CA79" s="96" t="n"/>
      <c r="CB79" s="96" t="n"/>
      <c r="CC79" s="96" t="n"/>
      <c r="CD79" s="96" t="n"/>
      <c r="CE79" s="96" t="n"/>
      <c r="CF79" s="96" t="n"/>
      <c r="CG79" s="96" t="n"/>
      <c r="CH79" s="96" t="n"/>
      <c r="CI79" s="96" t="n"/>
      <c r="CJ79" s="96" t="n"/>
      <c r="CK79" s="96" t="n"/>
      <c r="CL79" s="96" t="n"/>
      <c r="CM79" s="96" t="n"/>
      <c r="CN79" s="96" t="n"/>
      <c r="CO79" s="96" t="n"/>
      <c r="CP79" s="96" t="n"/>
      <c r="CQ79" s="96" t="n"/>
      <c r="CR79" s="96" t="n"/>
      <c r="CS79" s="96" t="n"/>
      <c r="CT79" s="96" t="n"/>
      <c r="CU79" s="96" t="n"/>
      <c r="CV79" s="96" t="n"/>
      <c r="CW79" s="96" t="n"/>
      <c r="CX79" s="96" t="n"/>
      <c r="CY79" s="96" t="n"/>
      <c r="CZ79" s="96" t="n"/>
      <c r="DA79" s="96" t="n"/>
      <c r="DB79" s="96" t="n"/>
      <c r="DC79" s="96" t="n"/>
      <c r="DD79" s="96" t="n"/>
      <c r="DE79" s="96" t="n"/>
      <c r="DF79" s="96" t="n"/>
      <c r="DG79" s="96" t="n"/>
      <c r="DH79" s="96" t="n"/>
      <c r="DI79" s="96" t="n"/>
      <c r="DJ79" s="96" t="n"/>
      <c r="DK79" s="96" t="n"/>
      <c r="DL79" s="96" t="n"/>
      <c r="DM79" s="96" t="n"/>
      <c r="DN79" s="96" t="n"/>
      <c r="DO79" s="96" t="n"/>
      <c r="DP79" s="96" t="n"/>
      <c r="DQ79" s="96" t="n"/>
      <c r="DR79" s="96" t="n"/>
    </row>
    <row r="80" ht="15.75" customHeight="1">
      <c r="B80" s="5" t="inlineStr">
        <is>
          <t>Upper Middle Market</t>
        </is>
      </c>
      <c r="F80" s="46">
        <f>+F65-F72</f>
        <v/>
      </c>
      <c r="G80" s="46">
        <f>+G65-G72</f>
        <v/>
      </c>
      <c r="H80" s="46">
        <f>+H65-H72</f>
        <v/>
      </c>
      <c r="I80" s="46">
        <f>+I65-I72</f>
        <v/>
      </c>
      <c r="J80" s="46">
        <f>+J65-J72</f>
        <v/>
      </c>
      <c r="K80" s="46">
        <f>+K65-K72</f>
        <v/>
      </c>
      <c r="L80" s="46">
        <f>+L65-L72</f>
        <v/>
      </c>
      <c r="M80" s="46">
        <f>+M65-M72</f>
        <v/>
      </c>
      <c r="AA80" s="49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  <c r="AK80" s="96" t="n"/>
      <c r="AL80" s="96" t="n"/>
      <c r="AM80" s="96" t="n"/>
      <c r="AN80" s="96" t="n"/>
      <c r="AO80" s="96" t="n"/>
      <c r="AP80" s="96" t="n"/>
      <c r="AQ80" s="96" t="n"/>
      <c r="AR80" s="96" t="n"/>
      <c r="AS80" s="96" t="n"/>
      <c r="AT80" s="96" t="n"/>
      <c r="AU80" s="96" t="n"/>
      <c r="AV80" s="96" t="n"/>
      <c r="AW80" s="96" t="n"/>
      <c r="AX80" s="96" t="n"/>
      <c r="AY80" s="96" t="n"/>
      <c r="AZ80" s="96" t="n"/>
      <c r="BA80" s="96" t="n"/>
      <c r="BB80" s="96" t="n"/>
      <c r="BC80" s="96" t="n"/>
      <c r="BD80" s="96" t="n"/>
      <c r="BE80" s="96" t="n"/>
      <c r="BF80" s="96" t="n"/>
      <c r="BG80" s="96" t="n"/>
      <c r="BH80" s="96" t="n"/>
      <c r="BI80" s="96" t="n"/>
      <c r="BJ80" s="96" t="n"/>
      <c r="BK80" s="96" t="n"/>
      <c r="BL80" s="96" t="n"/>
      <c r="BM80" s="96" t="n"/>
      <c r="BN80" s="96" t="n"/>
      <c r="BO80" s="96" t="n"/>
      <c r="BP80" s="96" t="n"/>
      <c r="BQ80" s="96" t="n"/>
      <c r="BR80" s="96" t="n"/>
      <c r="BS80" s="96" t="n"/>
      <c r="BT80" s="96" t="n"/>
      <c r="BU80" s="96" t="n"/>
      <c r="BV80" s="96" t="n"/>
      <c r="BW80" s="96" t="n"/>
      <c r="BX80" s="96" t="n"/>
      <c r="BY80" s="96" t="n"/>
      <c r="BZ80" s="96" t="n"/>
      <c r="CA80" s="96" t="n"/>
      <c r="CB80" s="96" t="n"/>
      <c r="CC80" s="96" t="n"/>
      <c r="CD80" s="96" t="n"/>
      <c r="CE80" s="96" t="n"/>
      <c r="CF80" s="96" t="n"/>
      <c r="CG80" s="96" t="n"/>
      <c r="CH80" s="96" t="n"/>
      <c r="CI80" s="96" t="n"/>
      <c r="CJ80" s="96" t="n"/>
      <c r="CK80" s="96" t="n"/>
      <c r="CL80" s="96" t="n"/>
      <c r="CM80" s="96" t="n"/>
      <c r="CN80" s="96" t="n"/>
      <c r="CO80" s="96" t="n"/>
      <c r="CP80" s="96" t="n"/>
      <c r="CQ80" s="96" t="n"/>
      <c r="CR80" s="96" t="n"/>
      <c r="CS80" s="96" t="n"/>
      <c r="CT80" s="96" t="n"/>
      <c r="CU80" s="96" t="n"/>
      <c r="CV80" s="96" t="n"/>
      <c r="CW80" s="96" t="n"/>
      <c r="CX80" s="96" t="n"/>
      <c r="CY80" s="96" t="n"/>
      <c r="CZ80" s="96" t="n"/>
      <c r="DA80" s="96" t="n"/>
      <c r="DB80" s="96" t="n"/>
      <c r="DC80" s="96" t="n"/>
      <c r="DD80" s="96" t="n"/>
      <c r="DE80" s="96" t="n"/>
      <c r="DF80" s="96" t="n"/>
      <c r="DG80" s="96" t="n"/>
      <c r="DH80" s="96" t="n"/>
      <c r="DI80" s="96" t="n"/>
      <c r="DJ80" s="96" t="n"/>
      <c r="DK80" s="96" t="n"/>
      <c r="DL80" s="96" t="n"/>
      <c r="DM80" s="96" t="n"/>
      <c r="DN80" s="96" t="n"/>
      <c r="DO80" s="96" t="n"/>
      <c r="DP80" s="96" t="n"/>
      <c r="DQ80" s="96" t="n"/>
      <c r="DR80" s="96" t="n"/>
    </row>
    <row r="81" ht="15.75" customHeight="1">
      <c r="B81" s="5" t="inlineStr">
        <is>
          <t>Lower Middle Market</t>
        </is>
      </c>
      <c r="F81" s="46">
        <f>+F66-F73</f>
        <v/>
      </c>
      <c r="G81" s="46">
        <f>+G66-G73</f>
        <v/>
      </c>
      <c r="H81" s="46">
        <f>+H66-H73</f>
        <v/>
      </c>
      <c r="I81" s="46">
        <f>+I66-I73</f>
        <v/>
      </c>
      <c r="J81" s="46">
        <f>+J66-J73</f>
        <v/>
      </c>
      <c r="K81" s="46">
        <f>+K66-K73</f>
        <v/>
      </c>
      <c r="L81" s="46">
        <f>+L66-L73</f>
        <v/>
      </c>
      <c r="M81" s="46">
        <f>+M66-M73</f>
        <v/>
      </c>
      <c r="AA81" s="49" t="n"/>
      <c r="AB81" s="96" t="n"/>
      <c r="AC81" s="96" t="n"/>
      <c r="AD81" s="96" t="n"/>
      <c r="AE81" s="96" t="n"/>
      <c r="AF81" s="96" t="n"/>
      <c r="AG81" s="96" t="n"/>
      <c r="AH81" s="96" t="n"/>
      <c r="AI81" s="96" t="n"/>
      <c r="AJ81" s="96" t="n"/>
      <c r="AK81" s="96" t="n"/>
      <c r="AL81" s="96" t="n"/>
      <c r="AM81" s="96" t="n"/>
      <c r="AN81" s="96" t="n"/>
      <c r="AO81" s="96" t="n"/>
      <c r="AP81" s="96" t="n"/>
      <c r="AQ81" s="96" t="n"/>
      <c r="AR81" s="96" t="n"/>
      <c r="AS81" s="96" t="n"/>
      <c r="AT81" s="96" t="n"/>
      <c r="AU81" s="96" t="n"/>
      <c r="AV81" s="96" t="n"/>
      <c r="AW81" s="96" t="n"/>
      <c r="AX81" s="96" t="n"/>
      <c r="AY81" s="96" t="n"/>
      <c r="AZ81" s="96" t="n"/>
      <c r="BA81" s="96" t="n"/>
      <c r="BB81" s="96" t="n"/>
      <c r="BC81" s="96" t="n"/>
      <c r="BD81" s="96" t="n"/>
      <c r="BE81" s="96" t="n"/>
      <c r="BF81" s="96" t="n"/>
      <c r="BG81" s="96" t="n"/>
      <c r="BH81" s="96" t="n"/>
      <c r="BI81" s="96" t="n"/>
      <c r="BJ81" s="96" t="n"/>
      <c r="BK81" s="96" t="n"/>
      <c r="BL81" s="96" t="n"/>
      <c r="BM81" s="96" t="n"/>
      <c r="BN81" s="96" t="n"/>
      <c r="BO81" s="96" t="n"/>
      <c r="BP81" s="96" t="n"/>
      <c r="BQ81" s="96" t="n"/>
      <c r="BR81" s="96" t="n"/>
      <c r="BS81" s="96" t="n"/>
      <c r="BT81" s="96" t="n"/>
      <c r="BU81" s="96" t="n"/>
      <c r="BV81" s="96" t="n"/>
      <c r="BW81" s="96" t="n"/>
      <c r="BX81" s="96" t="n"/>
      <c r="BY81" s="96" t="n"/>
      <c r="BZ81" s="96" t="n"/>
      <c r="CA81" s="96" t="n"/>
      <c r="CB81" s="96" t="n"/>
      <c r="CC81" s="96" t="n"/>
      <c r="CD81" s="96" t="n"/>
      <c r="CE81" s="96" t="n"/>
      <c r="CF81" s="96" t="n"/>
      <c r="CG81" s="96" t="n"/>
      <c r="CH81" s="96" t="n"/>
      <c r="CI81" s="96" t="n"/>
      <c r="CJ81" s="96" t="n"/>
      <c r="CK81" s="96" t="n"/>
      <c r="CL81" s="96" t="n"/>
      <c r="CM81" s="96" t="n"/>
      <c r="CN81" s="96" t="n"/>
      <c r="CO81" s="96" t="n"/>
      <c r="CP81" s="96" t="n"/>
      <c r="CQ81" s="96" t="n"/>
      <c r="CR81" s="96" t="n"/>
      <c r="CS81" s="96" t="n"/>
      <c r="CT81" s="96" t="n"/>
      <c r="CU81" s="96" t="n"/>
      <c r="CV81" s="96" t="n"/>
      <c r="CW81" s="96" t="n"/>
      <c r="CX81" s="96" t="n"/>
      <c r="CY81" s="96" t="n"/>
      <c r="CZ81" s="96" t="n"/>
      <c r="DA81" s="96" t="n"/>
      <c r="DB81" s="96" t="n"/>
      <c r="DC81" s="96" t="n"/>
      <c r="DD81" s="96" t="n"/>
      <c r="DE81" s="96" t="n"/>
      <c r="DF81" s="96" t="n"/>
      <c r="DG81" s="96" t="n"/>
      <c r="DH81" s="96" t="n"/>
      <c r="DI81" s="96" t="n"/>
      <c r="DJ81" s="96" t="n"/>
      <c r="DK81" s="96" t="n"/>
      <c r="DL81" s="96" t="n"/>
      <c r="DM81" s="96" t="n"/>
      <c r="DN81" s="96" t="n"/>
      <c r="DO81" s="96" t="n"/>
      <c r="DP81" s="96" t="n"/>
      <c r="DQ81" s="96" t="n"/>
      <c r="DR81" s="96" t="n"/>
    </row>
    <row r="82" ht="15.75" customHeight="1">
      <c r="B82" s="50" t="inlineStr">
        <is>
          <t>Total</t>
        </is>
      </c>
      <c r="C82" s="50" t="n"/>
      <c r="D82" s="50" t="n"/>
      <c r="F82" s="51">
        <f>SUM(F78:F81)</f>
        <v/>
      </c>
      <c r="G82" s="51">
        <f>SUM(G78:G81)</f>
        <v/>
      </c>
      <c r="H82" s="51">
        <f>SUM(H78:H81)</f>
        <v/>
      </c>
      <c r="I82" s="51">
        <f>SUM(I78:I81)</f>
        <v/>
      </c>
      <c r="J82" s="51">
        <f>SUM(J78:J81)</f>
        <v/>
      </c>
      <c r="K82" s="51">
        <f>SUM(K78:K81)</f>
        <v/>
      </c>
      <c r="L82" s="51">
        <f>SUM(L78:L81)</f>
        <v/>
      </c>
      <c r="M82" s="51">
        <f>SUM(M78:M81)</f>
        <v/>
      </c>
      <c r="AA82" s="49" t="n"/>
      <c r="AB82" s="96" t="n"/>
      <c r="AC82" s="96" t="n"/>
      <c r="AD82" s="96" t="n"/>
      <c r="AE82" s="96" t="n"/>
      <c r="AF82" s="96" t="n"/>
      <c r="AG82" s="96" t="n"/>
      <c r="AH82" s="96" t="n"/>
      <c r="AI82" s="96" t="n"/>
      <c r="AJ82" s="96" t="n"/>
      <c r="AK82" s="96" t="n"/>
      <c r="AL82" s="96" t="n"/>
      <c r="AM82" s="96" t="n"/>
      <c r="AN82" s="96" t="n"/>
      <c r="AO82" s="96" t="n"/>
      <c r="AP82" s="96" t="n"/>
      <c r="AQ82" s="96" t="n"/>
      <c r="AR82" s="96" t="n"/>
      <c r="AS82" s="96" t="n"/>
      <c r="AT82" s="96" t="n"/>
      <c r="AU82" s="96" t="n"/>
      <c r="AV82" s="96" t="n"/>
      <c r="AW82" s="96" t="n"/>
      <c r="AX82" s="96" t="n"/>
      <c r="AY82" s="96" t="n"/>
      <c r="AZ82" s="96" t="n"/>
      <c r="BA82" s="96" t="n"/>
      <c r="BB82" s="96" t="n"/>
      <c r="BC82" s="96" t="n"/>
      <c r="BD82" s="96" t="n"/>
      <c r="BE82" s="96" t="n"/>
      <c r="BF82" s="96" t="n"/>
      <c r="BG82" s="96" t="n"/>
      <c r="BH82" s="96" t="n"/>
      <c r="BI82" s="96" t="n"/>
      <c r="BJ82" s="96" t="n"/>
      <c r="BK82" s="96" t="n"/>
      <c r="BL82" s="96" t="n"/>
      <c r="BM82" s="96" t="n"/>
      <c r="BN82" s="96" t="n"/>
      <c r="BO82" s="96" t="n"/>
      <c r="BP82" s="96" t="n"/>
      <c r="BQ82" s="96" t="n"/>
      <c r="BR82" s="96" t="n"/>
      <c r="BS82" s="96" t="n"/>
      <c r="BT82" s="96" t="n"/>
      <c r="BU82" s="96" t="n"/>
      <c r="BV82" s="96" t="n"/>
      <c r="BW82" s="96" t="n"/>
      <c r="BX82" s="96" t="n"/>
      <c r="BY82" s="96" t="n"/>
      <c r="BZ82" s="96" t="n"/>
      <c r="CA82" s="96" t="n"/>
      <c r="CB82" s="96" t="n"/>
      <c r="CC82" s="96" t="n"/>
      <c r="CD82" s="96" t="n"/>
      <c r="CE82" s="96" t="n"/>
      <c r="CF82" s="96" t="n"/>
      <c r="CG82" s="96" t="n"/>
      <c r="CH82" s="96" t="n"/>
      <c r="CI82" s="96" t="n"/>
      <c r="CJ82" s="96" t="n"/>
      <c r="CK82" s="96" t="n"/>
      <c r="CL82" s="96" t="n"/>
      <c r="CM82" s="96" t="n"/>
      <c r="CN82" s="96" t="n"/>
      <c r="CO82" s="96" t="n"/>
      <c r="CP82" s="96" t="n"/>
      <c r="CQ82" s="96" t="n"/>
      <c r="CR82" s="96" t="n"/>
      <c r="CS82" s="96" t="n"/>
      <c r="CT82" s="96" t="n"/>
      <c r="CU82" s="96" t="n"/>
      <c r="CV82" s="96" t="n"/>
      <c r="CW82" s="96" t="n"/>
      <c r="CX82" s="96" t="n"/>
      <c r="CY82" s="96" t="n"/>
      <c r="CZ82" s="96" t="n"/>
      <c r="DA82" s="96" t="n"/>
      <c r="DB82" s="96" t="n"/>
      <c r="DC82" s="96" t="n"/>
      <c r="DD82" s="96" t="n"/>
      <c r="DE82" s="96" t="n"/>
      <c r="DF82" s="96" t="n"/>
      <c r="DG82" s="96" t="n"/>
      <c r="DH82" s="96" t="n"/>
      <c r="DI82" s="96" t="n"/>
      <c r="DJ82" s="96" t="n"/>
      <c r="DK82" s="96" t="n"/>
      <c r="DL82" s="96" t="n"/>
      <c r="DM82" s="96" t="n"/>
      <c r="DN82" s="96" t="n"/>
      <c r="DO82" s="96" t="n"/>
      <c r="DP82" s="96" t="n"/>
      <c r="DQ82" s="96" t="n"/>
      <c r="DR82" s="96" t="n"/>
    </row>
    <row r="83" ht="4.5" customHeight="1"/>
    <row r="84" ht="15.75" customHeight="1">
      <c r="B84" s="44" t="inlineStr">
        <is>
          <t>Gross Margin</t>
        </is>
      </c>
    </row>
    <row r="85" ht="15.75" customHeight="1">
      <c r="B85" s="5" t="inlineStr">
        <is>
          <t>Mega</t>
        </is>
      </c>
      <c r="F85" s="45">
        <f>+F78/F63</f>
        <v/>
      </c>
      <c r="G85" s="45">
        <f>+G78/G63</f>
        <v/>
      </c>
      <c r="H85" s="45">
        <f>+H78/H63</f>
        <v/>
      </c>
      <c r="I85" s="45">
        <f>+I78/I63</f>
        <v/>
      </c>
      <c r="J85" s="45">
        <f>+J78/J63</f>
        <v/>
      </c>
      <c r="K85" s="45">
        <f>+K78/K63</f>
        <v/>
      </c>
      <c r="L85" s="45">
        <f>+L78/L63</f>
        <v/>
      </c>
      <c r="M85" s="45">
        <f>+M78/M63</f>
        <v/>
      </c>
      <c r="AA85" s="49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  <c r="AK85" s="96" t="n"/>
      <c r="AL85" s="96" t="n"/>
      <c r="AM85" s="96" t="n"/>
      <c r="AN85" s="96" t="n"/>
      <c r="AO85" s="96" t="n"/>
      <c r="AP85" s="96" t="n"/>
      <c r="AQ85" s="96" t="n"/>
      <c r="AR85" s="96" t="n"/>
      <c r="AS85" s="96" t="n"/>
      <c r="AT85" s="96" t="n"/>
      <c r="AU85" s="96" t="n"/>
      <c r="AV85" s="96" t="n"/>
      <c r="AW85" s="96" t="n"/>
      <c r="AX85" s="96" t="n"/>
      <c r="AY85" s="96" t="n"/>
      <c r="AZ85" s="96" t="n"/>
      <c r="BA85" s="96" t="n"/>
      <c r="BB85" s="96" t="n"/>
      <c r="BC85" s="96" t="n"/>
      <c r="BD85" s="96" t="n"/>
      <c r="BE85" s="96" t="n"/>
      <c r="BF85" s="96" t="n"/>
      <c r="BG85" s="96" t="n"/>
      <c r="BH85" s="96" t="n"/>
      <c r="BI85" s="96" t="n"/>
      <c r="BJ85" s="96" t="n"/>
      <c r="BK85" s="96" t="n"/>
      <c r="BL85" s="96" t="n"/>
      <c r="BM85" s="96" t="n"/>
      <c r="BN85" s="96" t="n"/>
      <c r="BO85" s="96" t="n"/>
      <c r="BP85" s="96" t="n"/>
      <c r="BQ85" s="96" t="n"/>
      <c r="BR85" s="96" t="n"/>
      <c r="BS85" s="96" t="n"/>
      <c r="BT85" s="96" t="n"/>
      <c r="BU85" s="96" t="n"/>
      <c r="BV85" s="96" t="n"/>
      <c r="BW85" s="96" t="n"/>
      <c r="BX85" s="96" t="n"/>
      <c r="BY85" s="96" t="n"/>
      <c r="BZ85" s="96" t="n"/>
      <c r="CA85" s="96" t="n"/>
      <c r="CB85" s="96" t="n"/>
      <c r="CC85" s="96" t="n"/>
      <c r="CD85" s="96" t="n"/>
      <c r="CE85" s="96" t="n"/>
      <c r="CF85" s="96" t="n"/>
      <c r="CG85" s="96" t="n"/>
      <c r="CH85" s="96" t="n"/>
      <c r="CI85" s="96" t="n"/>
      <c r="CJ85" s="96" t="n"/>
      <c r="CK85" s="96" t="n"/>
      <c r="CL85" s="96" t="n"/>
      <c r="CM85" s="96" t="n"/>
      <c r="CN85" s="96" t="n"/>
      <c r="CO85" s="96" t="n"/>
      <c r="CP85" s="96" t="n"/>
      <c r="CQ85" s="96" t="n"/>
      <c r="CR85" s="96" t="n"/>
      <c r="CS85" s="96" t="n"/>
      <c r="CT85" s="96" t="n"/>
      <c r="CU85" s="96" t="n"/>
      <c r="CV85" s="96" t="n"/>
      <c r="CW85" s="96" t="n"/>
      <c r="CX85" s="96" t="n"/>
      <c r="CY85" s="96" t="n"/>
      <c r="CZ85" s="96" t="n"/>
      <c r="DA85" s="96" t="n"/>
      <c r="DB85" s="96" t="n"/>
      <c r="DC85" s="96" t="n"/>
      <c r="DD85" s="96" t="n"/>
      <c r="DE85" s="96" t="n"/>
      <c r="DF85" s="96" t="n"/>
      <c r="DG85" s="96" t="n"/>
      <c r="DH85" s="96" t="n"/>
      <c r="DI85" s="96" t="n"/>
      <c r="DJ85" s="96" t="n"/>
      <c r="DK85" s="96" t="n"/>
      <c r="DL85" s="96" t="n"/>
      <c r="DM85" s="96" t="n"/>
      <c r="DN85" s="96" t="n"/>
      <c r="DO85" s="96" t="n"/>
      <c r="DP85" s="96" t="n"/>
      <c r="DQ85" s="96" t="n"/>
      <c r="DR85" s="96" t="n"/>
    </row>
    <row r="86" ht="15.75" customHeight="1">
      <c r="B86" s="5" t="inlineStr">
        <is>
          <t>Major</t>
        </is>
      </c>
      <c r="F86" s="45">
        <f>+F79/F64</f>
        <v/>
      </c>
      <c r="G86" s="45">
        <f>+G79/G64</f>
        <v/>
      </c>
      <c r="H86" s="45">
        <f>+H79/H64</f>
        <v/>
      </c>
      <c r="I86" s="45">
        <f>+I79/I64</f>
        <v/>
      </c>
      <c r="J86" s="45">
        <f>+J79/J64</f>
        <v/>
      </c>
      <c r="K86" s="45">
        <f>+K79/K64</f>
        <v/>
      </c>
      <c r="L86" s="45">
        <f>+L79/L64</f>
        <v/>
      </c>
      <c r="M86" s="45">
        <f>+M79/M64</f>
        <v/>
      </c>
      <c r="AA86" s="49" t="n"/>
      <c r="AB86" s="96" t="n"/>
      <c r="AC86" s="96" t="n"/>
      <c r="AD86" s="96" t="n"/>
      <c r="AE86" s="96" t="n"/>
      <c r="AF86" s="96" t="n"/>
      <c r="AG86" s="96" t="n"/>
      <c r="AH86" s="96" t="n"/>
      <c r="AI86" s="96" t="n"/>
      <c r="AJ86" s="96" t="n"/>
      <c r="AK86" s="96" t="n"/>
      <c r="AL86" s="96" t="n"/>
      <c r="AM86" s="96" t="n"/>
      <c r="AN86" s="96" t="n"/>
      <c r="AO86" s="96" t="n"/>
      <c r="AP86" s="96" t="n"/>
      <c r="AQ86" s="96" t="n"/>
      <c r="AR86" s="96" t="n"/>
      <c r="AS86" s="96" t="n"/>
      <c r="AT86" s="96" t="n"/>
      <c r="AU86" s="96" t="n"/>
      <c r="AV86" s="96" t="n"/>
      <c r="AW86" s="96" t="n"/>
      <c r="AX86" s="96" t="n"/>
      <c r="AY86" s="96" t="n"/>
      <c r="AZ86" s="96" t="n"/>
      <c r="BA86" s="96" t="n"/>
      <c r="BB86" s="96" t="n"/>
      <c r="BC86" s="96" t="n"/>
      <c r="BD86" s="96" t="n"/>
      <c r="BE86" s="96" t="n"/>
      <c r="BF86" s="96" t="n"/>
      <c r="BG86" s="96" t="n"/>
      <c r="BH86" s="96" t="n"/>
      <c r="BI86" s="96" t="n"/>
      <c r="BJ86" s="96" t="n"/>
      <c r="BK86" s="96" t="n"/>
      <c r="BL86" s="96" t="n"/>
      <c r="BM86" s="96" t="n"/>
      <c r="BN86" s="96" t="n"/>
      <c r="BO86" s="96" t="n"/>
      <c r="BP86" s="96" t="n"/>
      <c r="BQ86" s="96" t="n"/>
      <c r="BR86" s="96" t="n"/>
      <c r="BS86" s="96" t="n"/>
      <c r="BT86" s="96" t="n"/>
      <c r="BU86" s="96" t="n"/>
      <c r="BV86" s="96" t="n"/>
      <c r="BW86" s="96" t="n"/>
      <c r="BX86" s="96" t="n"/>
      <c r="BY86" s="96" t="n"/>
      <c r="BZ86" s="96" t="n"/>
      <c r="CA86" s="96" t="n"/>
      <c r="CB86" s="96" t="n"/>
      <c r="CC86" s="96" t="n"/>
      <c r="CD86" s="96" t="n"/>
      <c r="CE86" s="96" t="n"/>
      <c r="CF86" s="96" t="n"/>
      <c r="CG86" s="96" t="n"/>
      <c r="CH86" s="96" t="n"/>
      <c r="CI86" s="96" t="n"/>
      <c r="CJ86" s="96" t="n"/>
      <c r="CK86" s="96" t="n"/>
      <c r="CL86" s="96" t="n"/>
      <c r="CM86" s="96" t="n"/>
      <c r="CN86" s="96" t="n"/>
      <c r="CO86" s="96" t="n"/>
      <c r="CP86" s="96" t="n"/>
      <c r="CQ86" s="96" t="n"/>
      <c r="CR86" s="96" t="n"/>
      <c r="CS86" s="96" t="n"/>
      <c r="CT86" s="96" t="n"/>
      <c r="CU86" s="96" t="n"/>
      <c r="CV86" s="96" t="n"/>
      <c r="CW86" s="96" t="n"/>
      <c r="CX86" s="96" t="n"/>
      <c r="CY86" s="96" t="n"/>
      <c r="CZ86" s="96" t="n"/>
      <c r="DA86" s="96" t="n"/>
      <c r="DB86" s="96" t="n"/>
      <c r="DC86" s="96" t="n"/>
      <c r="DD86" s="96" t="n"/>
      <c r="DE86" s="96" t="n"/>
      <c r="DF86" s="96" t="n"/>
      <c r="DG86" s="96" t="n"/>
      <c r="DH86" s="96" t="n"/>
      <c r="DI86" s="96" t="n"/>
      <c r="DJ86" s="96" t="n"/>
      <c r="DK86" s="96" t="n"/>
      <c r="DL86" s="96" t="n"/>
      <c r="DM86" s="96" t="n"/>
      <c r="DN86" s="96" t="n"/>
      <c r="DO86" s="96" t="n"/>
      <c r="DP86" s="96" t="n"/>
      <c r="DQ86" s="96" t="n"/>
      <c r="DR86" s="96" t="n"/>
    </row>
    <row r="87" ht="15.75" customHeight="1">
      <c r="B87" s="5" t="inlineStr">
        <is>
          <t>Upper Middle Market</t>
        </is>
      </c>
      <c r="F87" s="45">
        <f>+F80/F65</f>
        <v/>
      </c>
      <c r="G87" s="45">
        <f>+G80/G65</f>
        <v/>
      </c>
      <c r="H87" s="45">
        <f>+H80/H65</f>
        <v/>
      </c>
      <c r="I87" s="45">
        <f>+I80/I65</f>
        <v/>
      </c>
      <c r="J87" s="45">
        <f>+J80/J65</f>
        <v/>
      </c>
      <c r="K87" s="45">
        <f>+K80/K65</f>
        <v/>
      </c>
      <c r="L87" s="45">
        <f>+L80/L65</f>
        <v/>
      </c>
      <c r="M87" s="45">
        <f>+M80/M65</f>
        <v/>
      </c>
      <c r="AA87" s="49" t="n"/>
      <c r="AB87" s="96" t="n"/>
      <c r="AC87" s="96" t="n"/>
      <c r="AD87" s="96" t="n"/>
      <c r="AE87" s="96" t="n"/>
      <c r="AF87" s="96" t="n"/>
      <c r="AG87" s="96" t="n"/>
      <c r="AH87" s="96" t="n"/>
      <c r="AI87" s="96" t="n"/>
      <c r="AJ87" s="96" t="n"/>
      <c r="AK87" s="96" t="n"/>
      <c r="AL87" s="96" t="n"/>
      <c r="AM87" s="96" t="n"/>
      <c r="AN87" s="96" t="n"/>
      <c r="AO87" s="96" t="n"/>
      <c r="AP87" s="96" t="n"/>
      <c r="AQ87" s="96" t="n"/>
      <c r="AR87" s="96" t="n"/>
      <c r="AS87" s="96" t="n"/>
      <c r="AT87" s="96" t="n"/>
      <c r="AU87" s="96" t="n"/>
      <c r="AV87" s="96" t="n"/>
      <c r="AW87" s="96" t="n"/>
      <c r="AX87" s="96" t="n"/>
      <c r="AY87" s="96" t="n"/>
      <c r="AZ87" s="96" t="n"/>
      <c r="BA87" s="96" t="n"/>
      <c r="BB87" s="96" t="n"/>
      <c r="BC87" s="96" t="n"/>
      <c r="BD87" s="96" t="n"/>
      <c r="BE87" s="96" t="n"/>
      <c r="BF87" s="96" t="n"/>
      <c r="BG87" s="96" t="n"/>
      <c r="BH87" s="96" t="n"/>
      <c r="BI87" s="96" t="n"/>
      <c r="BJ87" s="96" t="n"/>
      <c r="BK87" s="96" t="n"/>
      <c r="BL87" s="96" t="n"/>
      <c r="BM87" s="96" t="n"/>
      <c r="BN87" s="96" t="n"/>
      <c r="BO87" s="96" t="n"/>
      <c r="BP87" s="96" t="n"/>
      <c r="BQ87" s="96" t="n"/>
      <c r="BR87" s="96" t="n"/>
      <c r="BS87" s="96" t="n"/>
      <c r="BT87" s="96" t="n"/>
      <c r="BU87" s="96" t="n"/>
      <c r="BV87" s="96" t="n"/>
      <c r="BW87" s="96" t="n"/>
      <c r="BX87" s="96" t="n"/>
      <c r="BY87" s="96" t="n"/>
      <c r="BZ87" s="96" t="n"/>
      <c r="CA87" s="96" t="n"/>
      <c r="CB87" s="96" t="n"/>
      <c r="CC87" s="96" t="n"/>
      <c r="CD87" s="96" t="n"/>
      <c r="CE87" s="96" t="n"/>
      <c r="CF87" s="96" t="n"/>
      <c r="CG87" s="96" t="n"/>
      <c r="CH87" s="96" t="n"/>
      <c r="CI87" s="96" t="n"/>
      <c r="CJ87" s="96" t="n"/>
      <c r="CK87" s="96" t="n"/>
      <c r="CL87" s="96" t="n"/>
      <c r="CM87" s="96" t="n"/>
      <c r="CN87" s="96" t="n"/>
      <c r="CO87" s="96" t="n"/>
      <c r="CP87" s="96" t="n"/>
      <c r="CQ87" s="96" t="n"/>
      <c r="CR87" s="96" t="n"/>
      <c r="CS87" s="96" t="n"/>
      <c r="CT87" s="96" t="n"/>
      <c r="CU87" s="96" t="n"/>
      <c r="CV87" s="96" t="n"/>
      <c r="CW87" s="96" t="n"/>
      <c r="CX87" s="96" t="n"/>
      <c r="CY87" s="96" t="n"/>
      <c r="CZ87" s="96" t="n"/>
      <c r="DA87" s="96" t="n"/>
      <c r="DB87" s="96" t="n"/>
      <c r="DC87" s="96" t="n"/>
      <c r="DD87" s="96" t="n"/>
      <c r="DE87" s="96" t="n"/>
      <c r="DF87" s="96" t="n"/>
      <c r="DG87" s="96" t="n"/>
      <c r="DH87" s="96" t="n"/>
      <c r="DI87" s="96" t="n"/>
      <c r="DJ87" s="96" t="n"/>
      <c r="DK87" s="96" t="n"/>
      <c r="DL87" s="96" t="n"/>
      <c r="DM87" s="96" t="n"/>
      <c r="DN87" s="96" t="n"/>
      <c r="DO87" s="96" t="n"/>
      <c r="DP87" s="96" t="n"/>
      <c r="DQ87" s="96" t="n"/>
      <c r="DR87" s="96" t="n"/>
    </row>
    <row r="88" ht="15.75" customHeight="1">
      <c r="B88" s="5" t="inlineStr">
        <is>
          <t>Lower Middle Market</t>
        </is>
      </c>
      <c r="F88" s="45">
        <f>+F81/F66</f>
        <v/>
      </c>
      <c r="G88" s="45">
        <f>+G81/G66</f>
        <v/>
      </c>
      <c r="H88" s="45">
        <f>+H81/H66</f>
        <v/>
      </c>
      <c r="I88" s="45">
        <f>+I81/I66</f>
        <v/>
      </c>
      <c r="J88" s="45">
        <f>+J81/J66</f>
        <v/>
      </c>
      <c r="K88" s="45">
        <f>+K81/K66</f>
        <v/>
      </c>
      <c r="L88" s="45">
        <f>+L81/L66</f>
        <v/>
      </c>
      <c r="M88" s="45">
        <f>+M81/M66</f>
        <v/>
      </c>
      <c r="AA88" s="49" t="n"/>
      <c r="AB88" s="96" t="n"/>
      <c r="AC88" s="96" t="n"/>
      <c r="AD88" s="96" t="n"/>
      <c r="AE88" s="96" t="n"/>
      <c r="AF88" s="96" t="n"/>
      <c r="AG88" s="96" t="n"/>
      <c r="AH88" s="96" t="n"/>
      <c r="AI88" s="96" t="n"/>
      <c r="AJ88" s="96" t="n"/>
      <c r="AK88" s="96" t="n"/>
      <c r="AL88" s="96" t="n"/>
      <c r="AM88" s="96" t="n"/>
      <c r="AN88" s="96" t="n"/>
      <c r="AO88" s="96" t="n"/>
      <c r="AP88" s="96" t="n"/>
      <c r="AQ88" s="96" t="n"/>
      <c r="AR88" s="96" t="n"/>
      <c r="AS88" s="96" t="n"/>
      <c r="AT88" s="96" t="n"/>
      <c r="AU88" s="96" t="n"/>
      <c r="AV88" s="96" t="n"/>
      <c r="AW88" s="96" t="n"/>
      <c r="AX88" s="96" t="n"/>
      <c r="AY88" s="96" t="n"/>
      <c r="AZ88" s="96" t="n"/>
      <c r="BA88" s="96" t="n"/>
      <c r="BB88" s="96" t="n"/>
      <c r="BC88" s="96" t="n"/>
      <c r="BD88" s="96" t="n"/>
      <c r="BE88" s="96" t="n"/>
      <c r="BF88" s="96" t="n"/>
      <c r="BG88" s="96" t="n"/>
      <c r="BH88" s="96" t="n"/>
      <c r="BI88" s="96" t="n"/>
      <c r="BJ88" s="96" t="n"/>
      <c r="BK88" s="96" t="n"/>
      <c r="BL88" s="96" t="n"/>
      <c r="BM88" s="96" t="n"/>
      <c r="BN88" s="96" t="n"/>
      <c r="BO88" s="96" t="n"/>
      <c r="BP88" s="96" t="n"/>
      <c r="BQ88" s="96" t="n"/>
      <c r="BR88" s="96" t="n"/>
      <c r="BS88" s="96" t="n"/>
      <c r="BT88" s="96" t="n"/>
      <c r="BU88" s="96" t="n"/>
      <c r="BV88" s="96" t="n"/>
      <c r="BW88" s="96" t="n"/>
      <c r="BX88" s="96" t="n"/>
      <c r="BY88" s="96" t="n"/>
      <c r="BZ88" s="96" t="n"/>
      <c r="CA88" s="96" t="n"/>
      <c r="CB88" s="96" t="n"/>
      <c r="CC88" s="96" t="n"/>
      <c r="CD88" s="96" t="n"/>
      <c r="CE88" s="96" t="n"/>
      <c r="CF88" s="96" t="n"/>
      <c r="CG88" s="96" t="n"/>
      <c r="CH88" s="96" t="n"/>
      <c r="CI88" s="96" t="n"/>
      <c r="CJ88" s="96" t="n"/>
      <c r="CK88" s="96" t="n"/>
      <c r="CL88" s="96" t="n"/>
      <c r="CM88" s="96" t="n"/>
      <c r="CN88" s="96" t="n"/>
      <c r="CO88" s="96" t="n"/>
      <c r="CP88" s="96" t="n"/>
      <c r="CQ88" s="96" t="n"/>
      <c r="CR88" s="96" t="n"/>
      <c r="CS88" s="96" t="n"/>
      <c r="CT88" s="96" t="n"/>
      <c r="CU88" s="96" t="n"/>
      <c r="CV88" s="96" t="n"/>
      <c r="CW88" s="96" t="n"/>
      <c r="CX88" s="96" t="n"/>
      <c r="CY88" s="96" t="n"/>
      <c r="CZ88" s="96" t="n"/>
      <c r="DA88" s="96" t="n"/>
      <c r="DB88" s="96" t="n"/>
      <c r="DC88" s="96" t="n"/>
      <c r="DD88" s="96" t="n"/>
      <c r="DE88" s="96" t="n"/>
      <c r="DF88" s="96" t="n"/>
      <c r="DG88" s="96" t="n"/>
      <c r="DH88" s="96" t="n"/>
      <c r="DI88" s="96" t="n"/>
      <c r="DJ88" s="96" t="n"/>
      <c r="DK88" s="96" t="n"/>
      <c r="DL88" s="96" t="n"/>
      <c r="DM88" s="96" t="n"/>
      <c r="DN88" s="96" t="n"/>
      <c r="DO88" s="96" t="n"/>
      <c r="DP88" s="96" t="n"/>
      <c r="DQ88" s="96" t="n"/>
      <c r="DR88" s="96" t="n"/>
    </row>
    <row r="89" ht="15.75" customHeight="1">
      <c r="B89" s="50" t="inlineStr">
        <is>
          <t>Total</t>
        </is>
      </c>
      <c r="C89" s="50" t="n"/>
      <c r="D89" s="50" t="n"/>
      <c r="F89" s="53">
        <f>+F82/F67</f>
        <v/>
      </c>
      <c r="G89" s="53">
        <f>+G82/G67</f>
        <v/>
      </c>
      <c r="H89" s="53">
        <f>+H82/H67</f>
        <v/>
      </c>
      <c r="I89" s="53">
        <f>+I82/I67</f>
        <v/>
      </c>
      <c r="J89" s="53">
        <f>+J82/J67</f>
        <v/>
      </c>
      <c r="K89" s="53">
        <f>+K82/K67</f>
        <v/>
      </c>
      <c r="L89" s="53">
        <f>+L82/L67</f>
        <v/>
      </c>
      <c r="M89" s="53">
        <f>+M82/M67</f>
        <v/>
      </c>
      <c r="AA89" s="49" t="n"/>
      <c r="AB89" s="96" t="n"/>
      <c r="AC89" s="96" t="n"/>
      <c r="AD89" s="96" t="n"/>
      <c r="AE89" s="96" t="n"/>
      <c r="AF89" s="96" t="n"/>
      <c r="AG89" s="96" t="n"/>
      <c r="AH89" s="96" t="n"/>
      <c r="AI89" s="96" t="n"/>
      <c r="AJ89" s="96" t="n"/>
      <c r="AK89" s="96" t="n"/>
      <c r="AL89" s="96" t="n"/>
      <c r="AM89" s="96" t="n"/>
      <c r="AN89" s="96" t="n"/>
      <c r="AO89" s="96" t="n"/>
      <c r="AP89" s="96" t="n"/>
      <c r="AQ89" s="96" t="n"/>
      <c r="AR89" s="96" t="n"/>
      <c r="AS89" s="96" t="n"/>
      <c r="AT89" s="96" t="n"/>
      <c r="AU89" s="96" t="n"/>
      <c r="AV89" s="96" t="n"/>
      <c r="AW89" s="96" t="n"/>
      <c r="AX89" s="96" t="n"/>
      <c r="AY89" s="96" t="n"/>
      <c r="AZ89" s="96" t="n"/>
      <c r="BA89" s="96" t="n"/>
      <c r="BB89" s="96" t="n"/>
      <c r="BC89" s="96" t="n"/>
      <c r="BD89" s="96" t="n"/>
      <c r="BE89" s="96" t="n"/>
      <c r="BF89" s="96" t="n"/>
      <c r="BG89" s="96" t="n"/>
      <c r="BH89" s="96" t="n"/>
      <c r="BI89" s="96" t="n"/>
      <c r="BJ89" s="96" t="n"/>
      <c r="BK89" s="96" t="n"/>
      <c r="BL89" s="96" t="n"/>
      <c r="BM89" s="96" t="n"/>
      <c r="BN89" s="96" t="n"/>
      <c r="BO89" s="96" t="n"/>
      <c r="BP89" s="96" t="n"/>
      <c r="BQ89" s="96" t="n"/>
      <c r="BR89" s="96" t="n"/>
      <c r="BS89" s="96" t="n"/>
      <c r="BT89" s="96" t="n"/>
      <c r="BU89" s="96" t="n"/>
      <c r="BV89" s="96" t="n"/>
      <c r="BW89" s="96" t="n"/>
      <c r="BX89" s="96" t="n"/>
      <c r="BY89" s="96" t="n"/>
      <c r="BZ89" s="96" t="n"/>
      <c r="CA89" s="96" t="n"/>
      <c r="CB89" s="96" t="n"/>
      <c r="CC89" s="96" t="n"/>
      <c r="CD89" s="96" t="n"/>
      <c r="CE89" s="96" t="n"/>
      <c r="CF89" s="96" t="n"/>
      <c r="CG89" s="96" t="n"/>
      <c r="CH89" s="96" t="n"/>
      <c r="CI89" s="96" t="n"/>
      <c r="CJ89" s="96" t="n"/>
      <c r="CK89" s="96" t="n"/>
      <c r="CL89" s="96" t="n"/>
      <c r="CM89" s="96" t="n"/>
      <c r="CN89" s="96" t="n"/>
      <c r="CO89" s="96" t="n"/>
      <c r="CP89" s="96" t="n"/>
      <c r="CQ89" s="96" t="n"/>
      <c r="CR89" s="96" t="n"/>
      <c r="CS89" s="96" t="n"/>
      <c r="CT89" s="96" t="n"/>
      <c r="CU89" s="96" t="n"/>
      <c r="CV89" s="96" t="n"/>
      <c r="CW89" s="96" t="n"/>
      <c r="CX89" s="96" t="n"/>
      <c r="CY89" s="96" t="n"/>
      <c r="CZ89" s="96" t="n"/>
      <c r="DA89" s="96" t="n"/>
      <c r="DB89" s="96" t="n"/>
      <c r="DC89" s="96" t="n"/>
      <c r="DD89" s="96" t="n"/>
      <c r="DE89" s="96" t="n"/>
      <c r="DF89" s="96" t="n"/>
      <c r="DG89" s="96" t="n"/>
      <c r="DH89" s="96" t="n"/>
      <c r="DI89" s="96" t="n"/>
      <c r="DJ89" s="96" t="n"/>
      <c r="DK89" s="96" t="n"/>
      <c r="DL89" s="96" t="n"/>
      <c r="DM89" s="96" t="n"/>
      <c r="DN89" s="96" t="n"/>
      <c r="DO89" s="96" t="n"/>
      <c r="DP89" s="96" t="n"/>
      <c r="DQ89" s="96" t="n"/>
      <c r="DR89" s="96" t="n"/>
    </row>
    <row r="90" ht="4.5" customHeight="1"/>
    <row r="91" ht="15.75" customHeight="1">
      <c r="B91" s="44" t="inlineStr">
        <is>
          <t>Hosting</t>
        </is>
      </c>
    </row>
    <row r="92" ht="15.75" customHeight="1">
      <c r="B92" s="5" t="inlineStr">
        <is>
          <t>Revenue</t>
        </is>
      </c>
      <c r="F92" s="46">
        <f>+SUMIFS($AA92:$DR92,$AA$7:$DR$7,F$7)</f>
        <v/>
      </c>
      <c r="G92" s="46">
        <f>+SUMIFS($AA92:$DR92,$AA$7:$DR$7,G$7)</f>
        <v/>
      </c>
      <c r="H92" s="46">
        <f>+SUMIFS($AA92:$DR92,$AA$7:$DR$7,H$7)</f>
        <v/>
      </c>
      <c r="I92" s="46">
        <f>+SUMIFS($AA92:$DR92,$AA$7:$DR$7,I$7)</f>
        <v/>
      </c>
      <c r="J92" s="46">
        <f>+SUMIFS($AA92:$DR92,$AA$7:$DR$7,J$7)</f>
        <v/>
      </c>
      <c r="K92" s="46">
        <f>+SUMIFS($AA92:$DR92,$AA$7:$DR$7,K$7)</f>
        <v/>
      </c>
      <c r="L92" s="46">
        <f>+SUMIFS($AA92:$DR92,$AA$7:$DR$7,L$7)</f>
        <v/>
      </c>
      <c r="M92" s="46">
        <f>+SUMIFS($AA92:$DR92,$AA$7:$DR$7,M$7)</f>
        <v/>
      </c>
      <c r="AA92" s="48">
        <f>+Revenue_Calcs!AA122</f>
        <v/>
      </c>
      <c r="AB92" s="48">
        <f>+Revenue_Calcs!AB122</f>
        <v/>
      </c>
      <c r="AC92" s="48">
        <f>+Revenue_Calcs!AC122</f>
        <v/>
      </c>
      <c r="AD92" s="48">
        <f>+Revenue_Calcs!AD122</f>
        <v/>
      </c>
      <c r="AE92" s="48">
        <f>+Revenue_Calcs!AE122</f>
        <v/>
      </c>
      <c r="AF92" s="48">
        <f>+Revenue_Calcs!AF122</f>
        <v/>
      </c>
      <c r="AG92" s="48">
        <f>+Revenue_Calcs!AG122</f>
        <v/>
      </c>
      <c r="AH92" s="48">
        <f>+Revenue_Calcs!AH122</f>
        <v/>
      </c>
      <c r="AI92" s="48">
        <f>+Revenue_Calcs!AI122</f>
        <v/>
      </c>
      <c r="AJ92" s="48">
        <f>+Revenue_Calcs!AJ122</f>
        <v/>
      </c>
      <c r="AK92" s="48">
        <f>+Revenue_Calcs!AK122</f>
        <v/>
      </c>
      <c r="AL92" s="48">
        <f>+Revenue_Calcs!AL122</f>
        <v/>
      </c>
      <c r="AM92" s="48">
        <f>+Revenue_Calcs!AM122</f>
        <v/>
      </c>
      <c r="AN92" s="48">
        <f>+Revenue_Calcs!AN122</f>
        <v/>
      </c>
      <c r="AO92" s="48">
        <f>+Revenue_Calcs!AO122</f>
        <v/>
      </c>
      <c r="AP92" s="48">
        <f>+Revenue_Calcs!AP122</f>
        <v/>
      </c>
      <c r="AQ92" s="48">
        <f>+Revenue_Calcs!AQ122</f>
        <v/>
      </c>
      <c r="AR92" s="48">
        <f>+Revenue_Calcs!AR122</f>
        <v/>
      </c>
      <c r="AS92" s="48">
        <f>+Revenue_Calcs!AS122</f>
        <v/>
      </c>
      <c r="AT92" s="48">
        <f>+Revenue_Calcs!AT122</f>
        <v/>
      </c>
      <c r="AU92" s="48">
        <f>+Revenue_Calcs!AU122</f>
        <v/>
      </c>
      <c r="AV92" s="48">
        <f>+Revenue_Calcs!AV122</f>
        <v/>
      </c>
      <c r="AW92" s="48">
        <f>+Revenue_Calcs!AW122</f>
        <v/>
      </c>
      <c r="AX92" s="48">
        <f>+Revenue_Calcs!AX122</f>
        <v/>
      </c>
      <c r="AY92" s="48">
        <f>+Revenue_Calcs!AY122</f>
        <v/>
      </c>
      <c r="AZ92" s="48">
        <f>+Revenue_Calcs!AZ122</f>
        <v/>
      </c>
      <c r="BA92" s="48">
        <f>+Revenue_Calcs!BA122</f>
        <v/>
      </c>
      <c r="BB92" s="48">
        <f>+Revenue_Calcs!BB122</f>
        <v/>
      </c>
      <c r="BC92" s="48">
        <f>+Revenue_Calcs!BC122</f>
        <v/>
      </c>
      <c r="BD92" s="48">
        <f>+Revenue_Calcs!BD122</f>
        <v/>
      </c>
      <c r="BE92" s="48">
        <f>+Revenue_Calcs!BE122</f>
        <v/>
      </c>
      <c r="BF92" s="48">
        <f>+Revenue_Calcs!BF122</f>
        <v/>
      </c>
      <c r="BG92" s="48">
        <f>+Revenue_Calcs!BG122</f>
        <v/>
      </c>
      <c r="BH92" s="48">
        <f>+Revenue_Calcs!BH122</f>
        <v/>
      </c>
      <c r="BI92" s="48">
        <f>+Revenue_Calcs!BI122</f>
        <v/>
      </c>
      <c r="BJ92" s="48">
        <f>+Revenue_Calcs!BJ122</f>
        <v/>
      </c>
      <c r="BK92" s="48">
        <f>+Revenue_Calcs!BK122</f>
        <v/>
      </c>
      <c r="BL92" s="48">
        <f>+Revenue_Calcs!BL122</f>
        <v/>
      </c>
      <c r="BM92" s="48">
        <f>+Revenue_Calcs!BM122</f>
        <v/>
      </c>
      <c r="BN92" s="48">
        <f>+Revenue_Calcs!BN122</f>
        <v/>
      </c>
      <c r="BO92" s="48">
        <f>+Revenue_Calcs!BO122</f>
        <v/>
      </c>
      <c r="BP92" s="48">
        <f>+Revenue_Calcs!BP122</f>
        <v/>
      </c>
      <c r="BQ92" s="48">
        <f>+Revenue_Calcs!BQ122</f>
        <v/>
      </c>
      <c r="BR92" s="48">
        <f>+Revenue_Calcs!BR122</f>
        <v/>
      </c>
      <c r="BS92" s="48">
        <f>+Revenue_Calcs!BS122</f>
        <v/>
      </c>
      <c r="BT92" s="48">
        <f>+Revenue_Calcs!BT122</f>
        <v/>
      </c>
      <c r="BU92" s="48">
        <f>+Revenue_Calcs!BU122</f>
        <v/>
      </c>
      <c r="BV92" s="48">
        <f>+Revenue_Calcs!BV122</f>
        <v/>
      </c>
      <c r="BW92" s="48">
        <f>+Revenue_Calcs!BW122</f>
        <v/>
      </c>
      <c r="BX92" s="48">
        <f>+Revenue_Calcs!BX122</f>
        <v/>
      </c>
      <c r="BY92" s="48">
        <f>+Revenue_Calcs!BY122</f>
        <v/>
      </c>
      <c r="BZ92" s="48">
        <f>+Revenue_Calcs!BZ122</f>
        <v/>
      </c>
      <c r="CA92" s="48">
        <f>+Revenue_Calcs!CA122</f>
        <v/>
      </c>
      <c r="CB92" s="48">
        <f>+Revenue_Calcs!CB122</f>
        <v/>
      </c>
      <c r="CC92" s="48">
        <f>+Revenue_Calcs!CC122</f>
        <v/>
      </c>
      <c r="CD92" s="48">
        <f>+Revenue_Calcs!CD122</f>
        <v/>
      </c>
      <c r="CE92" s="48">
        <f>+Revenue_Calcs!CE122</f>
        <v/>
      </c>
      <c r="CF92" s="48">
        <f>+Revenue_Calcs!CF122</f>
        <v/>
      </c>
      <c r="CG92" s="48">
        <f>+Revenue_Calcs!CG122</f>
        <v/>
      </c>
      <c r="CH92" s="48">
        <f>+Revenue_Calcs!CH122</f>
        <v/>
      </c>
      <c r="CI92" s="48">
        <f>+Revenue_Calcs!CI122</f>
        <v/>
      </c>
      <c r="CJ92" s="48">
        <f>+Revenue_Calcs!CJ122</f>
        <v/>
      </c>
      <c r="CK92" s="48">
        <f>+Revenue_Calcs!CK122</f>
        <v/>
      </c>
      <c r="CL92" s="48">
        <f>+Revenue_Calcs!CL122</f>
        <v/>
      </c>
      <c r="CM92" s="48">
        <f>+Revenue_Calcs!CM122</f>
        <v/>
      </c>
      <c r="CN92" s="48">
        <f>+Revenue_Calcs!CN122</f>
        <v/>
      </c>
      <c r="CO92" s="48">
        <f>+Revenue_Calcs!CO122</f>
        <v/>
      </c>
      <c r="CP92" s="48">
        <f>+Revenue_Calcs!CP122</f>
        <v/>
      </c>
      <c r="CQ92" s="48">
        <f>+Revenue_Calcs!CQ122</f>
        <v/>
      </c>
      <c r="CR92" s="48">
        <f>+Revenue_Calcs!CR122</f>
        <v/>
      </c>
      <c r="CS92" s="48">
        <f>+Revenue_Calcs!CS122</f>
        <v/>
      </c>
      <c r="CT92" s="48">
        <f>+Revenue_Calcs!CT122</f>
        <v/>
      </c>
      <c r="CU92" s="48">
        <f>+Revenue_Calcs!CU122</f>
        <v/>
      </c>
      <c r="CV92" s="48">
        <f>+Revenue_Calcs!CV122</f>
        <v/>
      </c>
      <c r="CW92" s="48">
        <f>+Revenue_Calcs!CW122</f>
        <v/>
      </c>
      <c r="CX92" s="48">
        <f>+Revenue_Calcs!CX122</f>
        <v/>
      </c>
      <c r="CY92" s="48">
        <f>+Revenue_Calcs!CY122</f>
        <v/>
      </c>
      <c r="CZ92" s="48">
        <f>+Revenue_Calcs!CZ122</f>
        <v/>
      </c>
      <c r="DA92" s="48">
        <f>+Revenue_Calcs!DA122</f>
        <v/>
      </c>
      <c r="DB92" s="48">
        <f>+Revenue_Calcs!DB122</f>
        <v/>
      </c>
      <c r="DC92" s="48">
        <f>+Revenue_Calcs!DC122</f>
        <v/>
      </c>
      <c r="DD92" s="48">
        <f>+Revenue_Calcs!DD122</f>
        <v/>
      </c>
      <c r="DE92" s="48">
        <f>+Revenue_Calcs!DE122</f>
        <v/>
      </c>
      <c r="DF92" s="48">
        <f>+Revenue_Calcs!DF122</f>
        <v/>
      </c>
      <c r="DG92" s="48">
        <f>+Revenue_Calcs!DG122</f>
        <v/>
      </c>
      <c r="DH92" s="48">
        <f>+Revenue_Calcs!DH122</f>
        <v/>
      </c>
      <c r="DI92" s="48">
        <f>+Revenue_Calcs!DI122</f>
        <v/>
      </c>
      <c r="DJ92" s="48">
        <f>+Revenue_Calcs!DJ122</f>
        <v/>
      </c>
      <c r="DK92" s="48">
        <f>+Revenue_Calcs!DK122</f>
        <v/>
      </c>
      <c r="DL92" s="48">
        <f>+Revenue_Calcs!DL122</f>
        <v/>
      </c>
      <c r="DM92" s="48">
        <f>+Revenue_Calcs!DM122</f>
        <v/>
      </c>
      <c r="DN92" s="48">
        <f>+Revenue_Calcs!DN122</f>
        <v/>
      </c>
      <c r="DO92" s="48">
        <f>+Revenue_Calcs!DO122</f>
        <v/>
      </c>
      <c r="DP92" s="48">
        <f>+Revenue_Calcs!DP122</f>
        <v/>
      </c>
      <c r="DQ92" s="48">
        <f>+Revenue_Calcs!DQ122</f>
        <v/>
      </c>
      <c r="DR92" s="48">
        <f>+Revenue_Calcs!DR122</f>
        <v/>
      </c>
    </row>
    <row r="93" ht="15" customHeight="1">
      <c r="B93" s="5" t="inlineStr">
        <is>
          <t>% of Revenue</t>
        </is>
      </c>
      <c r="F93" s="45">
        <f>+F94/F92</f>
        <v/>
      </c>
      <c r="G93" s="45">
        <f>+G94/G92</f>
        <v/>
      </c>
      <c r="H93" s="45">
        <f>+H94/H92</f>
        <v/>
      </c>
      <c r="I93" s="45">
        <f>+I94/I92</f>
        <v/>
      </c>
      <c r="J93" s="45">
        <f>+J94/J92</f>
        <v/>
      </c>
      <c r="K93" s="105">
        <f>+COGS_Assumptions!K18</f>
        <v/>
      </c>
      <c r="L93" s="105">
        <f>+COGS_Assumptions!L18</f>
        <v/>
      </c>
      <c r="M93" s="105">
        <f>+COGS_Assumptions!M18</f>
        <v/>
      </c>
      <c r="AA93" s="45">
        <f>+AA94/AA92</f>
        <v/>
      </c>
      <c r="AB93" s="45">
        <f>+AB94/AB92</f>
        <v/>
      </c>
      <c r="AC93" s="45">
        <f>+AC94/AC92</f>
        <v/>
      </c>
      <c r="AD93" s="45">
        <f>+AD94/AD92</f>
        <v/>
      </c>
      <c r="AE93" s="45">
        <f>+AE94/AE92</f>
        <v/>
      </c>
      <c r="AF93" s="45">
        <f>+AF94/AF92</f>
        <v/>
      </c>
      <c r="AG93" s="45">
        <f>+AG94/AG92</f>
        <v/>
      </c>
      <c r="AH93" s="45">
        <f>+AH94/AH92</f>
        <v/>
      </c>
      <c r="AI93" s="45">
        <f>+AI94/AI92</f>
        <v/>
      </c>
      <c r="AJ93" s="45">
        <f>+AJ94/AJ92</f>
        <v/>
      </c>
      <c r="AK93" s="45">
        <f>+AK94/AK92</f>
        <v/>
      </c>
      <c r="AL93" s="45">
        <f>+AL94/AL92</f>
        <v/>
      </c>
      <c r="AM93" s="45">
        <f>+AM94/AM92</f>
        <v/>
      </c>
      <c r="AN93" s="45">
        <f>+AN94/AN92</f>
        <v/>
      </c>
      <c r="AO93" s="45">
        <f>+AO94/AO92</f>
        <v/>
      </c>
      <c r="AP93" s="45">
        <f>+AP94/AP92</f>
        <v/>
      </c>
      <c r="AQ93" s="45">
        <f>+AQ94/AQ92</f>
        <v/>
      </c>
      <c r="AR93" s="45">
        <f>+AR94/AR92</f>
        <v/>
      </c>
      <c r="AS93" s="45">
        <f>+AS94/AS92</f>
        <v/>
      </c>
      <c r="AT93" s="45">
        <f>+AT94/AT92</f>
        <v/>
      </c>
      <c r="AU93" s="45">
        <f>+AU94/AU92</f>
        <v/>
      </c>
      <c r="AV93" s="45">
        <f>+AV94/AV92</f>
        <v/>
      </c>
      <c r="AW93" s="45">
        <f>+AW94/AW92</f>
        <v/>
      </c>
      <c r="AX93" s="45">
        <f>+AX94/AX92</f>
        <v/>
      </c>
      <c r="AY93" s="45">
        <f>+AY94/AY92</f>
        <v/>
      </c>
      <c r="AZ93" s="45">
        <f>+AZ94/AZ92</f>
        <v/>
      </c>
      <c r="BA93" s="45">
        <f>+BA94/BA92</f>
        <v/>
      </c>
      <c r="BB93" s="45">
        <f>+BB94/BB92</f>
        <v/>
      </c>
      <c r="BC93" s="45">
        <f>+BC94/BC92</f>
        <v/>
      </c>
      <c r="BD93" s="45">
        <f>+BD94/BD92</f>
        <v/>
      </c>
      <c r="BE93" s="45">
        <f>+BE94/BE92</f>
        <v/>
      </c>
      <c r="BF93" s="45">
        <f>+BF94/BF92</f>
        <v/>
      </c>
      <c r="BG93" s="45">
        <f>+BG94/BG92</f>
        <v/>
      </c>
      <c r="BH93" s="45">
        <f>+BH94/BH92</f>
        <v/>
      </c>
      <c r="BI93" s="45">
        <f>+BI94/BI92</f>
        <v/>
      </c>
      <c r="BJ93" s="45">
        <f>+BJ94/BJ92</f>
        <v/>
      </c>
      <c r="BK93" s="45">
        <f>+BK94/BK92</f>
        <v/>
      </c>
      <c r="BL93" s="45">
        <f>+BL94/BL92</f>
        <v/>
      </c>
      <c r="BM93" s="45">
        <f>+BM94/BM92</f>
        <v/>
      </c>
      <c r="BN93" s="45">
        <f>+BN94/BN92</f>
        <v/>
      </c>
      <c r="BO93" s="45">
        <f>+BO94/BO92</f>
        <v/>
      </c>
      <c r="BP93" s="45">
        <f>+BP94/BP92</f>
        <v/>
      </c>
      <c r="BQ93" s="45">
        <f>+BQ94/BQ92</f>
        <v/>
      </c>
      <c r="BR93" s="45">
        <f>+BR94/BR92</f>
        <v/>
      </c>
      <c r="BS93" s="45">
        <f>+BS94/BS92</f>
        <v/>
      </c>
      <c r="BT93" s="45">
        <f>+BT94/BT92</f>
        <v/>
      </c>
      <c r="BU93" s="45">
        <f>+BU94/BU92</f>
        <v/>
      </c>
      <c r="BV93" s="45">
        <f>+BV94/BV92</f>
        <v/>
      </c>
      <c r="BW93" s="45">
        <f>+BW94/BW92</f>
        <v/>
      </c>
      <c r="BX93" s="45">
        <f>+BX94/BX92</f>
        <v/>
      </c>
      <c r="BY93" s="45">
        <f>+BY94/BY92</f>
        <v/>
      </c>
      <c r="BZ93" s="45">
        <f>+BZ94/BZ92</f>
        <v/>
      </c>
      <c r="CA93" s="45">
        <f>+CA94/CA92</f>
        <v/>
      </c>
      <c r="CB93" s="45">
        <f>+CB94/CB92</f>
        <v/>
      </c>
      <c r="CC93" s="45">
        <f>+CC94/CC92</f>
        <v/>
      </c>
      <c r="CD93" s="45">
        <f>+CD94/CD92</f>
        <v/>
      </c>
      <c r="CE93" s="45">
        <f>+CE94/CE92</f>
        <v/>
      </c>
      <c r="CF93" s="45">
        <f>+CF94/CF92</f>
        <v/>
      </c>
      <c r="CG93" s="45">
        <f>+CG94/CG92</f>
        <v/>
      </c>
      <c r="CH93" s="45">
        <f>+CH94/CH92</f>
        <v/>
      </c>
      <c r="CI93" s="45">
        <f>+SUMIFS($F93:$M93,$F$7:$M$7,CI$7)</f>
        <v/>
      </c>
      <c r="CJ93" s="45">
        <f>+SUMIFS($F93:$M93,$F$7:$M$7,CJ$7)</f>
        <v/>
      </c>
      <c r="CK93" s="45">
        <f>+SUMIFS($F93:$M93,$F$7:$M$7,CK$7)</f>
        <v/>
      </c>
      <c r="CL93" s="45">
        <f>+SUMIFS($F93:$M93,$F$7:$M$7,CL$7)</f>
        <v/>
      </c>
      <c r="CM93" s="45">
        <f>+SUMIFS($F93:$M93,$F$7:$M$7,CM$7)</f>
        <v/>
      </c>
      <c r="CN93" s="45">
        <f>+SUMIFS($F93:$M93,$F$7:$M$7,CN$7)</f>
        <v/>
      </c>
      <c r="CO93" s="45">
        <f>+SUMIFS($F93:$M93,$F$7:$M$7,CO$7)</f>
        <v/>
      </c>
      <c r="CP93" s="45">
        <f>+SUMIFS($F93:$M93,$F$7:$M$7,CP$7)</f>
        <v/>
      </c>
      <c r="CQ93" s="45">
        <f>+SUMIFS($F93:$M93,$F$7:$M$7,CQ$7)</f>
        <v/>
      </c>
      <c r="CR93" s="45">
        <f>+SUMIFS($F93:$M93,$F$7:$M$7,CR$7)</f>
        <v/>
      </c>
      <c r="CS93" s="45">
        <f>+SUMIFS($F93:$M93,$F$7:$M$7,CS$7)</f>
        <v/>
      </c>
      <c r="CT93" s="45">
        <f>+SUMIFS($F93:$M93,$F$7:$M$7,CT$7)</f>
        <v/>
      </c>
      <c r="CU93" s="45">
        <f>+SUMIFS($F93:$M93,$F$7:$M$7,CU$7)</f>
        <v/>
      </c>
      <c r="CV93" s="45">
        <f>+SUMIFS($F93:$M93,$F$7:$M$7,CV$7)</f>
        <v/>
      </c>
      <c r="CW93" s="45">
        <f>+SUMIFS($F93:$M93,$F$7:$M$7,CW$7)</f>
        <v/>
      </c>
      <c r="CX93" s="45">
        <f>+SUMIFS($F93:$M93,$F$7:$M$7,CX$7)</f>
        <v/>
      </c>
      <c r="CY93" s="45">
        <f>+SUMIFS($F93:$M93,$F$7:$M$7,CY$7)</f>
        <v/>
      </c>
      <c r="CZ93" s="45">
        <f>+SUMIFS($F93:$M93,$F$7:$M$7,CZ$7)</f>
        <v/>
      </c>
      <c r="DA93" s="45">
        <f>+SUMIFS($F93:$M93,$F$7:$M$7,DA$7)</f>
        <v/>
      </c>
      <c r="DB93" s="45">
        <f>+SUMIFS($F93:$M93,$F$7:$M$7,DB$7)</f>
        <v/>
      </c>
      <c r="DC93" s="45">
        <f>+SUMIFS($F93:$M93,$F$7:$M$7,DC$7)</f>
        <v/>
      </c>
      <c r="DD93" s="45">
        <f>+SUMIFS($F93:$M93,$F$7:$M$7,DD$7)</f>
        <v/>
      </c>
      <c r="DE93" s="45">
        <f>+SUMIFS($F93:$M93,$F$7:$M$7,DE$7)</f>
        <v/>
      </c>
      <c r="DF93" s="45">
        <f>+SUMIFS($F93:$M93,$F$7:$M$7,DF$7)</f>
        <v/>
      </c>
      <c r="DG93" s="45">
        <f>+SUMIFS($F93:$M93,$F$7:$M$7,DG$7)</f>
        <v/>
      </c>
      <c r="DH93" s="45">
        <f>+SUMIFS($F93:$M93,$F$7:$M$7,DH$7)</f>
        <v/>
      </c>
      <c r="DI93" s="45">
        <f>+SUMIFS($F93:$M93,$F$7:$M$7,DI$7)</f>
        <v/>
      </c>
      <c r="DJ93" s="45">
        <f>+SUMIFS($F93:$M93,$F$7:$M$7,DJ$7)</f>
        <v/>
      </c>
      <c r="DK93" s="45">
        <f>+SUMIFS($F93:$M93,$F$7:$M$7,DK$7)</f>
        <v/>
      </c>
      <c r="DL93" s="45">
        <f>+SUMIFS($F93:$M93,$F$7:$M$7,DL$7)</f>
        <v/>
      </c>
      <c r="DM93" s="45">
        <f>+SUMIFS($F93:$M93,$F$7:$M$7,DM$7)</f>
        <v/>
      </c>
      <c r="DN93" s="45">
        <f>+SUMIFS($F93:$M93,$F$7:$M$7,DN$7)</f>
        <v/>
      </c>
      <c r="DO93" s="45">
        <f>+SUMIFS($F93:$M93,$F$7:$M$7,DO$7)</f>
        <v/>
      </c>
      <c r="DP93" s="45">
        <f>+SUMIFS($F93:$M93,$F$7:$M$7,DP$7)</f>
        <v/>
      </c>
      <c r="DQ93" s="45">
        <f>+SUMIFS($F93:$M93,$F$7:$M$7,DQ$7)</f>
        <v/>
      </c>
      <c r="DR93" s="45">
        <f>+SUMIFS($F93:$M93,$F$7:$M$7,DR$7)</f>
        <v/>
      </c>
    </row>
    <row r="94" ht="15.75" customHeight="1">
      <c r="B94" s="50" t="inlineStr">
        <is>
          <t>Total</t>
        </is>
      </c>
      <c r="C94" s="50" t="n"/>
      <c r="D94" s="50" t="n"/>
      <c r="F94" s="51">
        <f>+SUMIFS($AA94:$DR94,$AA$7:$DR$7,F$7)</f>
        <v/>
      </c>
      <c r="G94" s="51">
        <f>+SUMIFS($AA94:$DR94,$AA$7:$DR$7,G$7)</f>
        <v/>
      </c>
      <c r="H94" s="51">
        <f>+SUMIFS($AA94:$DR94,$AA$7:$DR$7,H$7)</f>
        <v/>
      </c>
      <c r="I94" s="51">
        <f>+SUMIFS($AA94:$DR94,$AA$7:$DR$7,I$7)</f>
        <v/>
      </c>
      <c r="J94" s="51">
        <f>+SUMIFS($AA94:$DR94,$AA$7:$DR$7,J$7)</f>
        <v/>
      </c>
      <c r="K94" s="51">
        <f>+K92*K93</f>
        <v/>
      </c>
      <c r="L94" s="51">
        <f>+L92*L93</f>
        <v/>
      </c>
      <c r="M94" s="51">
        <f>+M92*M93</f>
        <v/>
      </c>
      <c r="AA94" s="116" t="n">
        <v>88.70992</v>
      </c>
      <c r="AB94" s="116" t="n">
        <v>87.72414000000001</v>
      </c>
      <c r="AC94" s="116" t="n">
        <v>90.07706</v>
      </c>
      <c r="AD94" s="116" t="n">
        <v>88.95716</v>
      </c>
      <c r="AE94" s="116" t="n">
        <v>114.49684</v>
      </c>
      <c r="AF94" s="116" t="n">
        <v>111.20754</v>
      </c>
      <c r="AG94" s="116" t="n">
        <v>101.92651</v>
      </c>
      <c r="AH94" s="116" t="n">
        <v>76.08853000000001</v>
      </c>
      <c r="AI94" s="116" t="n">
        <v>84.88898</v>
      </c>
      <c r="AJ94" s="116" t="n">
        <v>97.77276999999999</v>
      </c>
      <c r="AK94" s="116" t="n">
        <v>90.02633</v>
      </c>
      <c r="AL94" s="116" t="n">
        <v>76.15685000000001</v>
      </c>
      <c r="AM94" s="116" t="n">
        <v>91.7527</v>
      </c>
      <c r="AN94" s="116" t="n">
        <v>90.39664999999999</v>
      </c>
      <c r="AO94" s="116" t="n">
        <v>97.35521</v>
      </c>
      <c r="AP94" s="116" t="n">
        <v>103.91077</v>
      </c>
      <c r="AQ94" s="116" t="n">
        <v>112.22462</v>
      </c>
      <c r="AR94" s="116" t="n">
        <v>123.16744</v>
      </c>
      <c r="AS94" s="116" t="n">
        <v>109.41586</v>
      </c>
      <c r="AT94" s="116" t="n">
        <v>109.96173</v>
      </c>
      <c r="AU94" s="116" t="n">
        <v>121.57349</v>
      </c>
      <c r="AV94" s="116" t="n">
        <v>128.09661</v>
      </c>
      <c r="AW94" s="116" t="n">
        <v>129.77107</v>
      </c>
      <c r="AX94" s="116" t="n">
        <v>129.00786</v>
      </c>
      <c r="AY94" s="116" t="n">
        <v>144.33116</v>
      </c>
      <c r="AZ94" s="116" t="n">
        <v>141.57008</v>
      </c>
      <c r="BA94" s="116" t="n">
        <v>170.55899</v>
      </c>
      <c r="BB94" s="116" t="n">
        <v>146.48361</v>
      </c>
      <c r="BC94" s="116" t="n">
        <v>125.10361</v>
      </c>
      <c r="BD94" s="116" t="n">
        <v>136.09896</v>
      </c>
      <c r="BE94" s="116" t="n">
        <v>135.17979</v>
      </c>
      <c r="BF94" s="116" t="n">
        <v>129.8899</v>
      </c>
      <c r="BG94" s="116" t="n">
        <v>132.2477</v>
      </c>
      <c r="BH94" s="116" t="n">
        <v>132.68108</v>
      </c>
      <c r="BI94" s="116" t="n">
        <v>127.71285</v>
      </c>
      <c r="BJ94" s="116" t="n">
        <v>131.26869</v>
      </c>
      <c r="BK94" s="116" t="n">
        <v>121.502</v>
      </c>
      <c r="BL94" s="116" t="n">
        <v>136.446</v>
      </c>
      <c r="BM94" s="116" t="n">
        <v>128.90282</v>
      </c>
      <c r="BN94" s="116" t="n">
        <v>129.50282</v>
      </c>
      <c r="BO94" s="116" t="n">
        <v>129.60282</v>
      </c>
      <c r="BP94" s="116" t="n">
        <v>130.20282</v>
      </c>
      <c r="BQ94" s="116" t="n">
        <v>134.30282</v>
      </c>
      <c r="BR94" s="116" t="n">
        <v>134.90282</v>
      </c>
      <c r="BS94" s="116" t="n">
        <v>135.00282</v>
      </c>
      <c r="BT94" s="116" t="n">
        <v>135.60282</v>
      </c>
      <c r="BU94" s="116" t="n">
        <v>135.70282</v>
      </c>
      <c r="BV94" s="116" t="n">
        <v>136.30282</v>
      </c>
      <c r="BW94" s="116" t="n">
        <v>144.6346238333333</v>
      </c>
      <c r="BX94" s="116" t="n">
        <v>144.6346238333333</v>
      </c>
      <c r="BY94" s="116" t="n">
        <v>144.6346238333333</v>
      </c>
      <c r="BZ94" s="116" t="n">
        <v>144.6346238333333</v>
      </c>
      <c r="CA94" s="116" t="n">
        <v>144.6346238333334</v>
      </c>
      <c r="CB94" s="116" t="n">
        <v>144.6346238333333</v>
      </c>
      <c r="CC94" s="116" t="n">
        <v>144.6346238333333</v>
      </c>
      <c r="CD94" s="116" t="n">
        <v>144.6346238333333</v>
      </c>
      <c r="CE94" s="116" t="n">
        <v>144.6346238333334</v>
      </c>
      <c r="CF94" s="116" t="n">
        <v>144.6346238333334</v>
      </c>
      <c r="CG94" s="116" t="n">
        <v>144.6346238333334</v>
      </c>
      <c r="CH94" s="116" t="n">
        <v>144.6346238333334</v>
      </c>
      <c r="CI94" s="51">
        <f>+CI92*CI93</f>
        <v/>
      </c>
      <c r="CJ94" s="51">
        <f>+CJ92*CJ93</f>
        <v/>
      </c>
      <c r="CK94" s="51">
        <f>+CK92*CK93</f>
        <v/>
      </c>
      <c r="CL94" s="51">
        <f>+CL92*CL93</f>
        <v/>
      </c>
      <c r="CM94" s="51">
        <f>+CM92*CM93</f>
        <v/>
      </c>
      <c r="CN94" s="51">
        <f>+CN92*CN93</f>
        <v/>
      </c>
      <c r="CO94" s="51">
        <f>+CO92*CO93</f>
        <v/>
      </c>
      <c r="CP94" s="51">
        <f>+CP92*CP93</f>
        <v/>
      </c>
      <c r="CQ94" s="51">
        <f>+CQ92*CQ93</f>
        <v/>
      </c>
      <c r="CR94" s="51">
        <f>+CR92*CR93</f>
        <v/>
      </c>
      <c r="CS94" s="51">
        <f>+CS92*CS93</f>
        <v/>
      </c>
      <c r="CT94" s="51">
        <f>+CT92*CT93</f>
        <v/>
      </c>
      <c r="CU94" s="51">
        <f>+CU92*CU93</f>
        <v/>
      </c>
      <c r="CV94" s="51">
        <f>+CV92*CV93</f>
        <v/>
      </c>
      <c r="CW94" s="51">
        <f>+CW92*CW93</f>
        <v/>
      </c>
      <c r="CX94" s="51">
        <f>+CX92*CX93</f>
        <v/>
      </c>
      <c r="CY94" s="51">
        <f>+CY92*CY93</f>
        <v/>
      </c>
      <c r="CZ94" s="51">
        <f>+CZ92*CZ93</f>
        <v/>
      </c>
      <c r="DA94" s="51">
        <f>+DA92*DA93</f>
        <v/>
      </c>
      <c r="DB94" s="51">
        <f>+DB92*DB93</f>
        <v/>
      </c>
      <c r="DC94" s="51">
        <f>+DC92*DC93</f>
        <v/>
      </c>
      <c r="DD94" s="51">
        <f>+DD92*DD93</f>
        <v/>
      </c>
      <c r="DE94" s="51">
        <f>+DE92*DE93</f>
        <v/>
      </c>
      <c r="DF94" s="51">
        <f>+DF92*DF93</f>
        <v/>
      </c>
      <c r="DG94" s="51">
        <f>+DG92*DG93</f>
        <v/>
      </c>
      <c r="DH94" s="51">
        <f>+DH92*DH93</f>
        <v/>
      </c>
      <c r="DI94" s="51">
        <f>+DI92*DI93</f>
        <v/>
      </c>
      <c r="DJ94" s="51">
        <f>+DJ92*DJ93</f>
        <v/>
      </c>
      <c r="DK94" s="51">
        <f>+DK92*DK93</f>
        <v/>
      </c>
      <c r="DL94" s="51">
        <f>+DL92*DL93</f>
        <v/>
      </c>
      <c r="DM94" s="51">
        <f>+DM92*DM93</f>
        <v/>
      </c>
      <c r="DN94" s="51">
        <f>+DN92*DN93</f>
        <v/>
      </c>
      <c r="DO94" s="51">
        <f>+DO92*DO93</f>
        <v/>
      </c>
      <c r="DP94" s="51">
        <f>+DP92*DP93</f>
        <v/>
      </c>
      <c r="DQ94" s="51">
        <f>+DQ92*DQ93</f>
        <v/>
      </c>
      <c r="DR94" s="51">
        <f>+DR92*DR93</f>
        <v/>
      </c>
    </row>
    <row r="95" ht="4.5" customHeight="1">
      <c r="K95" s="46" t="n"/>
      <c r="L95" s="46" t="n"/>
    </row>
    <row r="96" ht="15.75" customHeight="1">
      <c r="B96" s="44" t="inlineStr">
        <is>
          <t>Service Costs</t>
        </is>
      </c>
    </row>
    <row r="97" ht="15.75" customHeight="1">
      <c r="B97" s="5" t="inlineStr">
        <is>
          <t>Revenue</t>
        </is>
      </c>
      <c r="F97" s="46">
        <f>+SUMIFS($AA97:$DR97,$AA$7:$DR$7,F$7)</f>
        <v/>
      </c>
      <c r="G97" s="46">
        <f>+SUMIFS($AA97:$DR97,$AA$7:$DR$7,G$7)</f>
        <v/>
      </c>
      <c r="H97" s="46">
        <f>+SUMIFS($AA97:$DR97,$AA$7:$DR$7,H$7)</f>
        <v/>
      </c>
      <c r="I97" s="46">
        <f>+SUMIFS($AA97:$DR97,$AA$7:$DR$7,I$7)</f>
        <v/>
      </c>
      <c r="J97" s="46">
        <f>+SUMIFS($AA97:$DR97,$AA$7:$DR$7,J$7)</f>
        <v/>
      </c>
      <c r="K97" s="46">
        <f>+SUMIFS($AA97:$DR97,$AA$7:$DR$7,K$7)</f>
        <v/>
      </c>
      <c r="L97" s="46">
        <f>+SUMIFS($AA97:$DR97,$AA$7:$DR$7,L$7)</f>
        <v/>
      </c>
      <c r="M97" s="46">
        <f>+SUMIFS($AA97:$DR97,$AA$7:$DR$7,M$7)</f>
        <v/>
      </c>
      <c r="AA97" s="48">
        <f>+Revenue_Calcs!AA122</f>
        <v/>
      </c>
      <c r="AB97" s="48">
        <f>+Revenue_Calcs!AB122</f>
        <v/>
      </c>
      <c r="AC97" s="48">
        <f>+Revenue_Calcs!AC122</f>
        <v/>
      </c>
      <c r="AD97" s="48">
        <f>+Revenue_Calcs!AD122</f>
        <v/>
      </c>
      <c r="AE97" s="48">
        <f>+Revenue_Calcs!AE122</f>
        <v/>
      </c>
      <c r="AF97" s="48">
        <f>+Revenue_Calcs!AF122</f>
        <v/>
      </c>
      <c r="AG97" s="48">
        <f>+Revenue_Calcs!AG122</f>
        <v/>
      </c>
      <c r="AH97" s="48">
        <f>+Revenue_Calcs!AH122</f>
        <v/>
      </c>
      <c r="AI97" s="48">
        <f>+Revenue_Calcs!AI122</f>
        <v/>
      </c>
      <c r="AJ97" s="48">
        <f>+Revenue_Calcs!AJ122</f>
        <v/>
      </c>
      <c r="AK97" s="48">
        <f>+Revenue_Calcs!AK122</f>
        <v/>
      </c>
      <c r="AL97" s="48">
        <f>+Revenue_Calcs!AL122</f>
        <v/>
      </c>
      <c r="AM97" s="48">
        <f>+Revenue_Calcs!AM122</f>
        <v/>
      </c>
      <c r="AN97" s="48">
        <f>+Revenue_Calcs!AN122</f>
        <v/>
      </c>
      <c r="AO97" s="48">
        <f>+Revenue_Calcs!AO122</f>
        <v/>
      </c>
      <c r="AP97" s="48">
        <f>+Revenue_Calcs!AP122</f>
        <v/>
      </c>
      <c r="AQ97" s="48">
        <f>+Revenue_Calcs!AQ122</f>
        <v/>
      </c>
      <c r="AR97" s="48">
        <f>+Revenue_Calcs!AR122</f>
        <v/>
      </c>
      <c r="AS97" s="48">
        <f>+Revenue_Calcs!AS122</f>
        <v/>
      </c>
      <c r="AT97" s="48">
        <f>+Revenue_Calcs!AT122</f>
        <v/>
      </c>
      <c r="AU97" s="48">
        <f>+Revenue_Calcs!AU122</f>
        <v/>
      </c>
      <c r="AV97" s="48">
        <f>+Revenue_Calcs!AV122</f>
        <v/>
      </c>
      <c r="AW97" s="48">
        <f>+Revenue_Calcs!AW122</f>
        <v/>
      </c>
      <c r="AX97" s="48">
        <f>+Revenue_Calcs!AX122</f>
        <v/>
      </c>
      <c r="AY97" s="48">
        <f>+Revenue_Calcs!AY122</f>
        <v/>
      </c>
      <c r="AZ97" s="48">
        <f>+Revenue_Calcs!AZ122</f>
        <v/>
      </c>
      <c r="BA97" s="48">
        <f>+Revenue_Calcs!BA122</f>
        <v/>
      </c>
      <c r="BB97" s="48">
        <f>+Revenue_Calcs!BB122</f>
        <v/>
      </c>
      <c r="BC97" s="48">
        <f>+Revenue_Calcs!BC122</f>
        <v/>
      </c>
      <c r="BD97" s="48">
        <f>+Revenue_Calcs!BD122</f>
        <v/>
      </c>
      <c r="BE97" s="48">
        <f>+Revenue_Calcs!BE122</f>
        <v/>
      </c>
      <c r="BF97" s="48">
        <f>+Revenue_Calcs!BF122</f>
        <v/>
      </c>
      <c r="BG97" s="48">
        <f>+Revenue_Calcs!BG122</f>
        <v/>
      </c>
      <c r="BH97" s="48">
        <f>+Revenue_Calcs!BH122</f>
        <v/>
      </c>
      <c r="BI97" s="48">
        <f>+Revenue_Calcs!BI122</f>
        <v/>
      </c>
      <c r="BJ97" s="48">
        <f>+Revenue_Calcs!BJ122</f>
        <v/>
      </c>
      <c r="BK97" s="48">
        <f>+Revenue_Calcs!BK122</f>
        <v/>
      </c>
      <c r="BL97" s="48">
        <f>+Revenue_Calcs!BL122</f>
        <v/>
      </c>
      <c r="BM97" s="48">
        <f>+Revenue_Calcs!BM122</f>
        <v/>
      </c>
      <c r="BN97" s="48">
        <f>+Revenue_Calcs!BN122</f>
        <v/>
      </c>
      <c r="BO97" s="48">
        <f>+Revenue_Calcs!BO122</f>
        <v/>
      </c>
      <c r="BP97" s="48">
        <f>+Revenue_Calcs!BP122</f>
        <v/>
      </c>
      <c r="BQ97" s="48">
        <f>+Revenue_Calcs!BQ122</f>
        <v/>
      </c>
      <c r="BR97" s="48">
        <f>+Revenue_Calcs!BR122</f>
        <v/>
      </c>
      <c r="BS97" s="48">
        <f>+Revenue_Calcs!BS122</f>
        <v/>
      </c>
      <c r="BT97" s="48">
        <f>+Revenue_Calcs!BT122</f>
        <v/>
      </c>
      <c r="BU97" s="48">
        <f>+Revenue_Calcs!BU122</f>
        <v/>
      </c>
      <c r="BV97" s="48">
        <f>+Revenue_Calcs!BV122</f>
        <v/>
      </c>
      <c r="BW97" s="48">
        <f>+Revenue_Calcs!BW122</f>
        <v/>
      </c>
      <c r="BX97" s="48">
        <f>+Revenue_Calcs!BX122</f>
        <v/>
      </c>
      <c r="BY97" s="48">
        <f>+Revenue_Calcs!BY122</f>
        <v/>
      </c>
      <c r="BZ97" s="48">
        <f>+Revenue_Calcs!BZ122</f>
        <v/>
      </c>
      <c r="CA97" s="48">
        <f>+Revenue_Calcs!CA122</f>
        <v/>
      </c>
      <c r="CB97" s="48">
        <f>+Revenue_Calcs!CB122</f>
        <v/>
      </c>
      <c r="CC97" s="48">
        <f>+Revenue_Calcs!CC122</f>
        <v/>
      </c>
      <c r="CD97" s="48">
        <f>+Revenue_Calcs!CD122</f>
        <v/>
      </c>
      <c r="CE97" s="48">
        <f>+Revenue_Calcs!CE122</f>
        <v/>
      </c>
      <c r="CF97" s="48">
        <f>+Revenue_Calcs!CF122</f>
        <v/>
      </c>
      <c r="CG97" s="48">
        <f>+Revenue_Calcs!CG122</f>
        <v/>
      </c>
      <c r="CH97" s="48">
        <f>+Revenue_Calcs!CH122</f>
        <v/>
      </c>
      <c r="CI97" s="48">
        <f>+Revenue_Calcs!CI122</f>
        <v/>
      </c>
      <c r="CJ97" s="48">
        <f>+Revenue_Calcs!CJ122</f>
        <v/>
      </c>
      <c r="CK97" s="48">
        <f>+Revenue_Calcs!CK122</f>
        <v/>
      </c>
      <c r="CL97" s="48">
        <f>+Revenue_Calcs!CL122</f>
        <v/>
      </c>
      <c r="CM97" s="48">
        <f>+Revenue_Calcs!CM122</f>
        <v/>
      </c>
      <c r="CN97" s="48">
        <f>+Revenue_Calcs!CN122</f>
        <v/>
      </c>
      <c r="CO97" s="48">
        <f>+Revenue_Calcs!CO122</f>
        <v/>
      </c>
      <c r="CP97" s="48">
        <f>+Revenue_Calcs!CP122</f>
        <v/>
      </c>
      <c r="CQ97" s="48">
        <f>+Revenue_Calcs!CQ122</f>
        <v/>
      </c>
      <c r="CR97" s="48">
        <f>+Revenue_Calcs!CR122</f>
        <v/>
      </c>
      <c r="CS97" s="48">
        <f>+Revenue_Calcs!CS122</f>
        <v/>
      </c>
      <c r="CT97" s="48">
        <f>+Revenue_Calcs!CT122</f>
        <v/>
      </c>
      <c r="CU97" s="48">
        <f>+Revenue_Calcs!CU122</f>
        <v/>
      </c>
      <c r="CV97" s="48">
        <f>+Revenue_Calcs!CV122</f>
        <v/>
      </c>
      <c r="CW97" s="48">
        <f>+Revenue_Calcs!CW122</f>
        <v/>
      </c>
      <c r="CX97" s="48">
        <f>+Revenue_Calcs!CX122</f>
        <v/>
      </c>
      <c r="CY97" s="48">
        <f>+Revenue_Calcs!CY122</f>
        <v/>
      </c>
      <c r="CZ97" s="48">
        <f>+Revenue_Calcs!CZ122</f>
        <v/>
      </c>
      <c r="DA97" s="48">
        <f>+Revenue_Calcs!DA122</f>
        <v/>
      </c>
      <c r="DB97" s="48">
        <f>+Revenue_Calcs!DB122</f>
        <v/>
      </c>
      <c r="DC97" s="48">
        <f>+Revenue_Calcs!DC122</f>
        <v/>
      </c>
      <c r="DD97" s="48">
        <f>+Revenue_Calcs!DD122</f>
        <v/>
      </c>
      <c r="DE97" s="48">
        <f>+Revenue_Calcs!DE122</f>
        <v/>
      </c>
      <c r="DF97" s="48">
        <f>+Revenue_Calcs!DF122</f>
        <v/>
      </c>
      <c r="DG97" s="48">
        <f>+Revenue_Calcs!DG122</f>
        <v/>
      </c>
      <c r="DH97" s="48">
        <f>+Revenue_Calcs!DH122</f>
        <v/>
      </c>
      <c r="DI97" s="48">
        <f>+Revenue_Calcs!DI122</f>
        <v/>
      </c>
      <c r="DJ97" s="48">
        <f>+Revenue_Calcs!DJ122</f>
        <v/>
      </c>
      <c r="DK97" s="48">
        <f>+Revenue_Calcs!DK122</f>
        <v/>
      </c>
      <c r="DL97" s="48">
        <f>+Revenue_Calcs!DL122</f>
        <v/>
      </c>
      <c r="DM97" s="48">
        <f>+Revenue_Calcs!DM122</f>
        <v/>
      </c>
      <c r="DN97" s="48">
        <f>+Revenue_Calcs!DN122</f>
        <v/>
      </c>
      <c r="DO97" s="48">
        <f>+Revenue_Calcs!DO122</f>
        <v/>
      </c>
      <c r="DP97" s="48">
        <f>+Revenue_Calcs!DP122</f>
        <v/>
      </c>
      <c r="DQ97" s="48">
        <f>+Revenue_Calcs!DQ122</f>
        <v/>
      </c>
      <c r="DR97" s="48">
        <f>+Revenue_Calcs!DR122</f>
        <v/>
      </c>
    </row>
    <row r="98" ht="15" customHeight="1">
      <c r="B98" s="5" t="inlineStr">
        <is>
          <t>% of Revenue</t>
        </is>
      </c>
      <c r="F98" s="45">
        <f>+F99/F97</f>
        <v/>
      </c>
      <c r="G98" s="45">
        <f>+G99/G97</f>
        <v/>
      </c>
      <c r="H98" s="45">
        <f>+H99/H97</f>
        <v/>
      </c>
      <c r="I98" s="45">
        <f>+I99/I97</f>
        <v/>
      </c>
      <c r="J98" s="45">
        <f>+J99/J97</f>
        <v/>
      </c>
      <c r="K98" s="105">
        <f>+COGS_Assumptions!K19</f>
        <v/>
      </c>
      <c r="L98" s="105">
        <f>+COGS_Assumptions!L19</f>
        <v/>
      </c>
      <c r="M98" s="105">
        <f>+COGS_Assumptions!M19</f>
        <v/>
      </c>
      <c r="AA98" s="45">
        <f>+AA99/AA97</f>
        <v/>
      </c>
      <c r="AB98" s="45">
        <f>+AB99/AB97</f>
        <v/>
      </c>
      <c r="AC98" s="45">
        <f>+AC99/AC97</f>
        <v/>
      </c>
      <c r="AD98" s="45">
        <f>+AD99/AD97</f>
        <v/>
      </c>
      <c r="AE98" s="45">
        <f>+AE99/AE97</f>
        <v/>
      </c>
      <c r="AF98" s="45">
        <f>+AF99/AF97</f>
        <v/>
      </c>
      <c r="AG98" s="45">
        <f>+AG99/AG97</f>
        <v/>
      </c>
      <c r="AH98" s="45">
        <f>+AH99/AH97</f>
        <v/>
      </c>
      <c r="AI98" s="45">
        <f>+AI99/AI97</f>
        <v/>
      </c>
      <c r="AJ98" s="45">
        <f>+AJ99/AJ97</f>
        <v/>
      </c>
      <c r="AK98" s="45">
        <f>+AK99/AK97</f>
        <v/>
      </c>
      <c r="AL98" s="45">
        <f>+AL99/AL97</f>
        <v/>
      </c>
      <c r="AM98" s="45">
        <f>+AM99/AM97</f>
        <v/>
      </c>
      <c r="AN98" s="45">
        <f>+AN99/AN97</f>
        <v/>
      </c>
      <c r="AO98" s="45">
        <f>+AO99/AO97</f>
        <v/>
      </c>
      <c r="AP98" s="45">
        <f>+AP99/AP97</f>
        <v/>
      </c>
      <c r="AQ98" s="45">
        <f>+AQ99/AQ97</f>
        <v/>
      </c>
      <c r="AR98" s="45">
        <f>+AR99/AR97</f>
        <v/>
      </c>
      <c r="AS98" s="45">
        <f>+AS99/AS97</f>
        <v/>
      </c>
      <c r="AT98" s="45">
        <f>+AT99/AT97</f>
        <v/>
      </c>
      <c r="AU98" s="45">
        <f>+AU99/AU97</f>
        <v/>
      </c>
      <c r="AV98" s="45">
        <f>+AV99/AV97</f>
        <v/>
      </c>
      <c r="AW98" s="45">
        <f>+AW99/AW97</f>
        <v/>
      </c>
      <c r="AX98" s="45">
        <f>+AX99/AX97</f>
        <v/>
      </c>
      <c r="AY98" s="45">
        <f>+AY99/AY97</f>
        <v/>
      </c>
      <c r="AZ98" s="45">
        <f>+AZ99/AZ97</f>
        <v/>
      </c>
      <c r="BA98" s="45">
        <f>+BA99/BA97</f>
        <v/>
      </c>
      <c r="BB98" s="45">
        <f>+BB99/BB97</f>
        <v/>
      </c>
      <c r="BC98" s="45">
        <f>+BC99/BC97</f>
        <v/>
      </c>
      <c r="BD98" s="45">
        <f>+BD99/BD97</f>
        <v/>
      </c>
      <c r="BE98" s="45">
        <f>+BE99/BE97</f>
        <v/>
      </c>
      <c r="BF98" s="45">
        <f>+BF99/BF97</f>
        <v/>
      </c>
      <c r="BG98" s="45">
        <f>+BG99/BG97</f>
        <v/>
      </c>
      <c r="BH98" s="45">
        <f>+BH99/BH97</f>
        <v/>
      </c>
      <c r="BI98" s="45">
        <f>+BI99/BI97</f>
        <v/>
      </c>
      <c r="BJ98" s="45">
        <f>+BJ99/BJ97</f>
        <v/>
      </c>
      <c r="BK98" s="45">
        <f>+BK99/BK97</f>
        <v/>
      </c>
      <c r="BL98" s="45">
        <f>+BL99/BL97</f>
        <v/>
      </c>
      <c r="BM98" s="45">
        <f>+BM99/BM97</f>
        <v/>
      </c>
      <c r="BN98" s="45">
        <f>+BN99/BN97</f>
        <v/>
      </c>
      <c r="BO98" s="45">
        <f>+BO99/BO97</f>
        <v/>
      </c>
      <c r="BP98" s="45">
        <f>+BP99/BP97</f>
        <v/>
      </c>
      <c r="BQ98" s="45">
        <f>+BQ99/BQ97</f>
        <v/>
      </c>
      <c r="BR98" s="45">
        <f>+BR99/BR97</f>
        <v/>
      </c>
      <c r="BS98" s="45">
        <f>+BS99/BS97</f>
        <v/>
      </c>
      <c r="BT98" s="45">
        <f>+BT99/BT97</f>
        <v/>
      </c>
      <c r="BU98" s="45">
        <f>+BU99/BU97</f>
        <v/>
      </c>
      <c r="BV98" s="45">
        <f>+BV99/BV97</f>
        <v/>
      </c>
      <c r="BW98" s="45">
        <f>+BW99/BW97</f>
        <v/>
      </c>
      <c r="BX98" s="45">
        <f>+BX99/BX97</f>
        <v/>
      </c>
      <c r="BY98" s="45">
        <f>+BY99/BY97</f>
        <v/>
      </c>
      <c r="BZ98" s="45">
        <f>+BZ99/BZ97</f>
        <v/>
      </c>
      <c r="CA98" s="45">
        <f>+CA99/CA97</f>
        <v/>
      </c>
      <c r="CB98" s="45">
        <f>+CB99/CB97</f>
        <v/>
      </c>
      <c r="CC98" s="45">
        <f>+CC99/CC97</f>
        <v/>
      </c>
      <c r="CD98" s="45">
        <f>+CD99/CD97</f>
        <v/>
      </c>
      <c r="CE98" s="45">
        <f>+CE99/CE97</f>
        <v/>
      </c>
      <c r="CF98" s="45">
        <f>+CF99/CF97</f>
        <v/>
      </c>
      <c r="CG98" s="45">
        <f>+CG99/CG97</f>
        <v/>
      </c>
      <c r="CH98" s="45">
        <f>+CH99/CH97</f>
        <v/>
      </c>
      <c r="CI98" s="45">
        <f>+SUMIFS($F98:$M98,$F$7:$M$7,CI$7)</f>
        <v/>
      </c>
      <c r="CJ98" s="45">
        <f>+SUMIFS($F98:$M98,$F$7:$M$7,CJ$7)</f>
        <v/>
      </c>
      <c r="CK98" s="45">
        <f>+SUMIFS($F98:$M98,$F$7:$M$7,CK$7)</f>
        <v/>
      </c>
      <c r="CL98" s="45">
        <f>+SUMIFS($F98:$M98,$F$7:$M$7,CL$7)</f>
        <v/>
      </c>
      <c r="CM98" s="45">
        <f>+SUMIFS($F98:$M98,$F$7:$M$7,CM$7)</f>
        <v/>
      </c>
      <c r="CN98" s="45">
        <f>+SUMIFS($F98:$M98,$F$7:$M$7,CN$7)</f>
        <v/>
      </c>
      <c r="CO98" s="45">
        <f>+SUMIFS($F98:$M98,$F$7:$M$7,CO$7)</f>
        <v/>
      </c>
      <c r="CP98" s="45">
        <f>+SUMIFS($F98:$M98,$F$7:$M$7,CP$7)</f>
        <v/>
      </c>
      <c r="CQ98" s="45">
        <f>+SUMIFS($F98:$M98,$F$7:$M$7,CQ$7)</f>
        <v/>
      </c>
      <c r="CR98" s="45">
        <f>+SUMIFS($F98:$M98,$F$7:$M$7,CR$7)</f>
        <v/>
      </c>
      <c r="CS98" s="45">
        <f>+SUMIFS($F98:$M98,$F$7:$M$7,CS$7)</f>
        <v/>
      </c>
      <c r="CT98" s="45">
        <f>+SUMIFS($F98:$M98,$F$7:$M$7,CT$7)</f>
        <v/>
      </c>
      <c r="CU98" s="45">
        <f>+SUMIFS($F98:$M98,$F$7:$M$7,CU$7)</f>
        <v/>
      </c>
      <c r="CV98" s="45">
        <f>+SUMIFS($F98:$M98,$F$7:$M$7,CV$7)</f>
        <v/>
      </c>
      <c r="CW98" s="45">
        <f>+SUMIFS($F98:$M98,$F$7:$M$7,CW$7)</f>
        <v/>
      </c>
      <c r="CX98" s="45">
        <f>+SUMIFS($F98:$M98,$F$7:$M$7,CX$7)</f>
        <v/>
      </c>
      <c r="CY98" s="45">
        <f>+SUMIFS($F98:$M98,$F$7:$M$7,CY$7)</f>
        <v/>
      </c>
      <c r="CZ98" s="45">
        <f>+SUMIFS($F98:$M98,$F$7:$M$7,CZ$7)</f>
        <v/>
      </c>
      <c r="DA98" s="45">
        <f>+SUMIFS($F98:$M98,$F$7:$M$7,DA$7)</f>
        <v/>
      </c>
      <c r="DB98" s="45">
        <f>+SUMIFS($F98:$M98,$F$7:$M$7,DB$7)</f>
        <v/>
      </c>
      <c r="DC98" s="45">
        <f>+SUMIFS($F98:$M98,$F$7:$M$7,DC$7)</f>
        <v/>
      </c>
      <c r="DD98" s="45">
        <f>+SUMIFS($F98:$M98,$F$7:$M$7,DD$7)</f>
        <v/>
      </c>
      <c r="DE98" s="45">
        <f>+SUMIFS($F98:$M98,$F$7:$M$7,DE$7)</f>
        <v/>
      </c>
      <c r="DF98" s="45">
        <f>+SUMIFS($F98:$M98,$F$7:$M$7,DF$7)</f>
        <v/>
      </c>
      <c r="DG98" s="45">
        <f>+SUMIFS($F98:$M98,$F$7:$M$7,DG$7)</f>
        <v/>
      </c>
      <c r="DH98" s="45">
        <f>+SUMIFS($F98:$M98,$F$7:$M$7,DH$7)</f>
        <v/>
      </c>
      <c r="DI98" s="45">
        <f>+SUMIFS($F98:$M98,$F$7:$M$7,DI$7)</f>
        <v/>
      </c>
      <c r="DJ98" s="45">
        <f>+SUMIFS($F98:$M98,$F$7:$M$7,DJ$7)</f>
        <v/>
      </c>
      <c r="DK98" s="45">
        <f>+SUMIFS($F98:$M98,$F$7:$M$7,DK$7)</f>
        <v/>
      </c>
      <c r="DL98" s="45">
        <f>+SUMIFS($F98:$M98,$F$7:$M$7,DL$7)</f>
        <v/>
      </c>
      <c r="DM98" s="45">
        <f>+SUMIFS($F98:$M98,$F$7:$M$7,DM$7)</f>
        <v/>
      </c>
      <c r="DN98" s="45">
        <f>+SUMIFS($F98:$M98,$F$7:$M$7,DN$7)</f>
        <v/>
      </c>
      <c r="DO98" s="45">
        <f>+SUMIFS($F98:$M98,$F$7:$M$7,DO$7)</f>
        <v/>
      </c>
      <c r="DP98" s="45">
        <f>+SUMIFS($F98:$M98,$F$7:$M$7,DP$7)</f>
        <v/>
      </c>
      <c r="DQ98" s="45">
        <f>+SUMIFS($F98:$M98,$F$7:$M$7,DQ$7)</f>
        <v/>
      </c>
      <c r="DR98" s="45">
        <f>+SUMIFS($F98:$M98,$F$7:$M$7,DR$7)</f>
        <v/>
      </c>
    </row>
    <row r="99" ht="15.75" customHeight="1">
      <c r="B99" s="50" t="inlineStr">
        <is>
          <t>Total</t>
        </is>
      </c>
      <c r="C99" s="50" t="n"/>
      <c r="D99" s="50" t="n"/>
      <c r="F99" s="51">
        <f>+SUMIFS($AA99:$DR99,$AA$7:$DR$7,F$7)</f>
        <v/>
      </c>
      <c r="G99" s="51">
        <f>+SUMIFS($AA99:$DR99,$AA$7:$DR$7,G$7)</f>
        <v/>
      </c>
      <c r="H99" s="51">
        <f>+SUMIFS($AA99:$DR99,$AA$7:$DR$7,H$7)</f>
        <v/>
      </c>
      <c r="I99" s="51">
        <f>+SUMIFS($AA99:$DR99,$AA$7:$DR$7,I$7)</f>
        <v/>
      </c>
      <c r="J99" s="51">
        <f>+SUMIFS($AA99:$DR99,$AA$7:$DR$7,J$7)</f>
        <v/>
      </c>
      <c r="K99" s="51">
        <f>+K97*K98</f>
        <v/>
      </c>
      <c r="L99" s="51">
        <f>+L97*L98</f>
        <v/>
      </c>
      <c r="M99" s="51">
        <f>+M97*M98</f>
        <v/>
      </c>
      <c r="AA99" s="116" t="n">
        <v>23.93761</v>
      </c>
      <c r="AB99" s="116" t="n">
        <v>24.58358</v>
      </c>
      <c r="AC99" s="116" t="n">
        <v>21.92623</v>
      </c>
      <c r="AD99" s="116" t="n">
        <v>23.19564</v>
      </c>
      <c r="AE99" s="116" t="n">
        <v>23.61772</v>
      </c>
      <c r="AF99" s="116" t="n">
        <v>23.70361</v>
      </c>
      <c r="AG99" s="116" t="n">
        <v>24.80772</v>
      </c>
      <c r="AH99" s="116" t="n">
        <v>25.82815</v>
      </c>
      <c r="AI99" s="116" t="n">
        <v>23.9233</v>
      </c>
      <c r="AJ99" s="116" t="n">
        <v>25.97929</v>
      </c>
      <c r="AK99" s="116" t="n">
        <v>24.67334</v>
      </c>
      <c r="AL99" s="116" t="n">
        <v>27.86694</v>
      </c>
      <c r="AM99" s="116" t="n">
        <v>25.68089</v>
      </c>
      <c r="AN99" s="116" t="n">
        <v>20.18636</v>
      </c>
      <c r="AO99" s="116" t="n">
        <v>24.32559</v>
      </c>
      <c r="AP99" s="116" t="n">
        <v>22.75321</v>
      </c>
      <c r="AQ99" s="116" t="n">
        <v>45.13158</v>
      </c>
      <c r="AR99" s="116" t="n">
        <v>28.1452</v>
      </c>
      <c r="AS99" s="116" t="n">
        <v>28.88154</v>
      </c>
      <c r="AT99" s="116" t="n">
        <v>30.13597</v>
      </c>
      <c r="AU99" s="116" t="n">
        <v>27.38623</v>
      </c>
      <c r="AV99" s="116" t="n">
        <v>27.86027</v>
      </c>
      <c r="AW99" s="116" t="n">
        <v>30.01027</v>
      </c>
      <c r="AX99" s="116" t="n">
        <v>29.7986</v>
      </c>
      <c r="AY99" s="116" t="n">
        <v>31.60522</v>
      </c>
      <c r="AZ99" s="116" t="n">
        <v>28.26161</v>
      </c>
      <c r="BA99" s="116" t="n">
        <v>25.51025</v>
      </c>
      <c r="BB99" s="116" t="n">
        <v>27.86866</v>
      </c>
      <c r="BC99" s="116" t="n">
        <v>29.06649</v>
      </c>
      <c r="BD99" s="116" t="n">
        <v>28.86649</v>
      </c>
      <c r="BE99" s="116" t="n">
        <v>24.19523</v>
      </c>
      <c r="BF99" s="116" t="n">
        <v>23.18666</v>
      </c>
      <c r="BG99" s="116" t="n">
        <v>23.22283</v>
      </c>
      <c r="BH99" s="116" t="n">
        <v>23.11997</v>
      </c>
      <c r="BI99" s="116" t="n">
        <v>24.46994</v>
      </c>
      <c r="BJ99" s="116" t="n">
        <v>25.32478</v>
      </c>
      <c r="BK99" s="116" t="n">
        <v>25.944</v>
      </c>
      <c r="BL99" s="116" t="n">
        <v>25.482</v>
      </c>
      <c r="BM99" s="116" t="n">
        <v>26.40559333333334</v>
      </c>
      <c r="BN99" s="116" t="n">
        <v>26.60559333333333</v>
      </c>
      <c r="BO99" s="116" t="n">
        <v>30.97226</v>
      </c>
      <c r="BP99" s="116" t="n">
        <v>31.17226</v>
      </c>
      <c r="BQ99" s="116" t="n">
        <v>31.17226</v>
      </c>
      <c r="BR99" s="116" t="n">
        <v>31.17226</v>
      </c>
      <c r="BS99" s="116" t="n">
        <v>31.17226</v>
      </c>
      <c r="BT99" s="116" t="n">
        <v>31.37226</v>
      </c>
      <c r="BU99" s="116" t="n">
        <v>31.37226</v>
      </c>
      <c r="BV99" s="116" t="n">
        <v>31.37226</v>
      </c>
      <c r="BW99" s="116" t="n">
        <v>32</v>
      </c>
      <c r="BX99" s="116" t="n">
        <v>32</v>
      </c>
      <c r="BY99" s="116" t="n">
        <v>32</v>
      </c>
      <c r="BZ99" s="116" t="n">
        <v>32</v>
      </c>
      <c r="CA99" s="116" t="n">
        <v>32</v>
      </c>
      <c r="CB99" s="116" t="n">
        <v>32</v>
      </c>
      <c r="CC99" s="116" t="n">
        <v>32</v>
      </c>
      <c r="CD99" s="116" t="n">
        <v>32</v>
      </c>
      <c r="CE99" s="116" t="n">
        <v>32</v>
      </c>
      <c r="CF99" s="116" t="n">
        <v>32</v>
      </c>
      <c r="CG99" s="116" t="n">
        <v>32</v>
      </c>
      <c r="CH99" s="116" t="n">
        <v>32</v>
      </c>
      <c r="CI99" s="51">
        <f>+CI97*CI98</f>
        <v/>
      </c>
      <c r="CJ99" s="51">
        <f>+CJ97*CJ98</f>
        <v/>
      </c>
      <c r="CK99" s="51">
        <f>+CK97*CK98</f>
        <v/>
      </c>
      <c r="CL99" s="51">
        <f>+CL97*CL98</f>
        <v/>
      </c>
      <c r="CM99" s="51">
        <f>+CM97*CM98</f>
        <v/>
      </c>
      <c r="CN99" s="51">
        <f>+CN97*CN98</f>
        <v/>
      </c>
      <c r="CO99" s="51">
        <f>+CO97*CO98</f>
        <v/>
      </c>
      <c r="CP99" s="51">
        <f>+CP97*CP98</f>
        <v/>
      </c>
      <c r="CQ99" s="51">
        <f>+CQ97*CQ98</f>
        <v/>
      </c>
      <c r="CR99" s="51">
        <f>+CR97*CR98</f>
        <v/>
      </c>
      <c r="CS99" s="51">
        <f>+CS97*CS98</f>
        <v/>
      </c>
      <c r="CT99" s="51">
        <f>+CT97*CT98</f>
        <v/>
      </c>
      <c r="CU99" s="51">
        <f>+CU97*CU98</f>
        <v/>
      </c>
      <c r="CV99" s="51">
        <f>+CV97*CV98</f>
        <v/>
      </c>
      <c r="CW99" s="51">
        <f>+CW97*CW98</f>
        <v/>
      </c>
      <c r="CX99" s="51">
        <f>+CX97*CX98</f>
        <v/>
      </c>
      <c r="CY99" s="51">
        <f>+CY97*CY98</f>
        <v/>
      </c>
      <c r="CZ99" s="51">
        <f>+CZ97*CZ98</f>
        <v/>
      </c>
      <c r="DA99" s="51">
        <f>+DA97*DA98</f>
        <v/>
      </c>
      <c r="DB99" s="51">
        <f>+DB97*DB98</f>
        <v/>
      </c>
      <c r="DC99" s="51">
        <f>+DC97*DC98</f>
        <v/>
      </c>
      <c r="DD99" s="51">
        <f>+DD97*DD98</f>
        <v/>
      </c>
      <c r="DE99" s="51">
        <f>+DE97*DE98</f>
        <v/>
      </c>
      <c r="DF99" s="51">
        <f>+DF97*DF98</f>
        <v/>
      </c>
      <c r="DG99" s="51">
        <f>+DG97*DG98</f>
        <v/>
      </c>
      <c r="DH99" s="51">
        <f>+DH97*DH98</f>
        <v/>
      </c>
      <c r="DI99" s="51">
        <f>+DI97*DI98</f>
        <v/>
      </c>
      <c r="DJ99" s="51">
        <f>+DJ97*DJ98</f>
        <v/>
      </c>
      <c r="DK99" s="51">
        <f>+DK97*DK98</f>
        <v/>
      </c>
      <c r="DL99" s="51">
        <f>+DL97*DL98</f>
        <v/>
      </c>
      <c r="DM99" s="51">
        <f>+DM97*DM98</f>
        <v/>
      </c>
      <c r="DN99" s="51">
        <f>+DN97*DN98</f>
        <v/>
      </c>
      <c r="DO99" s="51">
        <f>+DO97*DO98</f>
        <v/>
      </c>
      <c r="DP99" s="51">
        <f>+DP97*DP98</f>
        <v/>
      </c>
      <c r="DQ99" s="51">
        <f>+DQ97*DQ98</f>
        <v/>
      </c>
      <c r="DR99" s="51">
        <f>+DR97*DR98</f>
        <v/>
      </c>
    </row>
    <row r="100" ht="4.5" customHeight="1">
      <c r="K100" s="46" t="n"/>
      <c r="L100" s="46" t="n"/>
    </row>
    <row r="101" ht="15.75" customHeight="1">
      <c r="B101" s="44" t="inlineStr">
        <is>
          <t>Contractors</t>
        </is>
      </c>
    </row>
    <row r="102" ht="15.75" customHeight="1">
      <c r="B102" s="5" t="inlineStr">
        <is>
          <t>Revenue</t>
        </is>
      </c>
      <c r="F102" s="46">
        <f>+SUMIFS($AA102:$DR102,$AA$7:$DR$7,F$7)</f>
        <v/>
      </c>
      <c r="G102" s="46">
        <f>+SUMIFS($AA102:$DR102,$AA$7:$DR$7,G$7)</f>
        <v/>
      </c>
      <c r="H102" s="46">
        <f>+SUMIFS($AA102:$DR102,$AA$7:$DR$7,H$7)</f>
        <v/>
      </c>
      <c r="I102" s="46">
        <f>+SUMIFS($AA102:$DR102,$AA$7:$DR$7,I$7)</f>
        <v/>
      </c>
      <c r="J102" s="46">
        <f>+SUMIFS($AA102:$DR102,$AA$7:$DR$7,J$7)</f>
        <v/>
      </c>
      <c r="K102" s="46">
        <f>+SUMIFS($AA102:$DR102,$AA$7:$DR$7,K$7)</f>
        <v/>
      </c>
      <c r="L102" s="46">
        <f>+SUMIFS($AA102:$DR102,$AA$7:$DR$7,L$7)</f>
        <v/>
      </c>
      <c r="M102" s="46">
        <f>+SUMIFS($AA102:$DR102,$AA$7:$DR$7,M$7)</f>
        <v/>
      </c>
      <c r="AA102" s="48">
        <f>+Revenue_Calcs!AA122</f>
        <v/>
      </c>
      <c r="AB102" s="48">
        <f>+Revenue_Calcs!AB122</f>
        <v/>
      </c>
      <c r="AC102" s="48">
        <f>+Revenue_Calcs!AC122</f>
        <v/>
      </c>
      <c r="AD102" s="48">
        <f>+Revenue_Calcs!AD122</f>
        <v/>
      </c>
      <c r="AE102" s="48">
        <f>+Revenue_Calcs!AE122</f>
        <v/>
      </c>
      <c r="AF102" s="48">
        <f>+Revenue_Calcs!AF122</f>
        <v/>
      </c>
      <c r="AG102" s="48">
        <f>+Revenue_Calcs!AG122</f>
        <v/>
      </c>
      <c r="AH102" s="48">
        <f>+Revenue_Calcs!AH122</f>
        <v/>
      </c>
      <c r="AI102" s="48">
        <f>+Revenue_Calcs!AI122</f>
        <v/>
      </c>
      <c r="AJ102" s="48">
        <f>+Revenue_Calcs!AJ122</f>
        <v/>
      </c>
      <c r="AK102" s="48">
        <f>+Revenue_Calcs!AK122</f>
        <v/>
      </c>
      <c r="AL102" s="48">
        <f>+Revenue_Calcs!AL122</f>
        <v/>
      </c>
      <c r="AM102" s="48">
        <f>+Revenue_Calcs!AM122</f>
        <v/>
      </c>
      <c r="AN102" s="48">
        <f>+Revenue_Calcs!AN122</f>
        <v/>
      </c>
      <c r="AO102" s="48">
        <f>+Revenue_Calcs!AO122</f>
        <v/>
      </c>
      <c r="AP102" s="48">
        <f>+Revenue_Calcs!AP122</f>
        <v/>
      </c>
      <c r="AQ102" s="48">
        <f>+Revenue_Calcs!AQ122</f>
        <v/>
      </c>
      <c r="AR102" s="48">
        <f>+Revenue_Calcs!AR122</f>
        <v/>
      </c>
      <c r="AS102" s="48">
        <f>+Revenue_Calcs!AS122</f>
        <v/>
      </c>
      <c r="AT102" s="48">
        <f>+Revenue_Calcs!AT122</f>
        <v/>
      </c>
      <c r="AU102" s="48">
        <f>+Revenue_Calcs!AU122</f>
        <v/>
      </c>
      <c r="AV102" s="48">
        <f>+Revenue_Calcs!AV122</f>
        <v/>
      </c>
      <c r="AW102" s="48">
        <f>+Revenue_Calcs!AW122</f>
        <v/>
      </c>
      <c r="AX102" s="48">
        <f>+Revenue_Calcs!AX122</f>
        <v/>
      </c>
      <c r="AY102" s="48">
        <f>+Revenue_Calcs!AY122</f>
        <v/>
      </c>
      <c r="AZ102" s="48">
        <f>+Revenue_Calcs!AZ122</f>
        <v/>
      </c>
      <c r="BA102" s="48">
        <f>+Revenue_Calcs!BA122</f>
        <v/>
      </c>
      <c r="BB102" s="48">
        <f>+Revenue_Calcs!BB122</f>
        <v/>
      </c>
      <c r="BC102" s="48">
        <f>+Revenue_Calcs!BC122</f>
        <v/>
      </c>
      <c r="BD102" s="48">
        <f>+Revenue_Calcs!BD122</f>
        <v/>
      </c>
      <c r="BE102" s="48">
        <f>+Revenue_Calcs!BE122</f>
        <v/>
      </c>
      <c r="BF102" s="48">
        <f>+Revenue_Calcs!BF122</f>
        <v/>
      </c>
      <c r="BG102" s="48">
        <f>+Revenue_Calcs!BG122</f>
        <v/>
      </c>
      <c r="BH102" s="48">
        <f>+Revenue_Calcs!BH122</f>
        <v/>
      </c>
      <c r="BI102" s="48">
        <f>+Revenue_Calcs!BI122</f>
        <v/>
      </c>
      <c r="BJ102" s="48">
        <f>+Revenue_Calcs!BJ122</f>
        <v/>
      </c>
      <c r="BK102" s="48">
        <f>+Revenue_Calcs!BK122</f>
        <v/>
      </c>
      <c r="BL102" s="48">
        <f>+Revenue_Calcs!BL122</f>
        <v/>
      </c>
      <c r="BM102" s="48">
        <f>+Revenue_Calcs!BM122</f>
        <v/>
      </c>
      <c r="BN102" s="48">
        <f>+Revenue_Calcs!BN122</f>
        <v/>
      </c>
      <c r="BO102" s="48">
        <f>+Revenue_Calcs!BO122</f>
        <v/>
      </c>
      <c r="BP102" s="48">
        <f>+Revenue_Calcs!BP122</f>
        <v/>
      </c>
      <c r="BQ102" s="48">
        <f>+Revenue_Calcs!BQ122</f>
        <v/>
      </c>
      <c r="BR102" s="48">
        <f>+Revenue_Calcs!BR122</f>
        <v/>
      </c>
      <c r="BS102" s="48">
        <f>+Revenue_Calcs!BS122</f>
        <v/>
      </c>
      <c r="BT102" s="48">
        <f>+Revenue_Calcs!BT122</f>
        <v/>
      </c>
      <c r="BU102" s="48">
        <f>+Revenue_Calcs!BU122</f>
        <v/>
      </c>
      <c r="BV102" s="48">
        <f>+Revenue_Calcs!BV122</f>
        <v/>
      </c>
      <c r="BW102" s="48">
        <f>+Revenue_Calcs!BW122</f>
        <v/>
      </c>
      <c r="BX102" s="48">
        <f>+Revenue_Calcs!BX122</f>
        <v/>
      </c>
      <c r="BY102" s="48">
        <f>+Revenue_Calcs!BY122</f>
        <v/>
      </c>
      <c r="BZ102" s="48">
        <f>+Revenue_Calcs!BZ122</f>
        <v/>
      </c>
      <c r="CA102" s="48">
        <f>+Revenue_Calcs!CA122</f>
        <v/>
      </c>
      <c r="CB102" s="48">
        <f>+Revenue_Calcs!CB122</f>
        <v/>
      </c>
      <c r="CC102" s="48">
        <f>+Revenue_Calcs!CC122</f>
        <v/>
      </c>
      <c r="CD102" s="48">
        <f>+Revenue_Calcs!CD122</f>
        <v/>
      </c>
      <c r="CE102" s="48">
        <f>+Revenue_Calcs!CE122</f>
        <v/>
      </c>
      <c r="CF102" s="48">
        <f>+Revenue_Calcs!CF122</f>
        <v/>
      </c>
      <c r="CG102" s="48">
        <f>+Revenue_Calcs!CG122</f>
        <v/>
      </c>
      <c r="CH102" s="48">
        <f>+Revenue_Calcs!CH122</f>
        <v/>
      </c>
      <c r="CI102" s="48">
        <f>+Revenue_Calcs!CI122</f>
        <v/>
      </c>
      <c r="CJ102" s="48">
        <f>+Revenue_Calcs!CJ122</f>
        <v/>
      </c>
      <c r="CK102" s="48">
        <f>+Revenue_Calcs!CK122</f>
        <v/>
      </c>
      <c r="CL102" s="48">
        <f>+Revenue_Calcs!CL122</f>
        <v/>
      </c>
      <c r="CM102" s="48">
        <f>+Revenue_Calcs!CM122</f>
        <v/>
      </c>
      <c r="CN102" s="48">
        <f>+Revenue_Calcs!CN122</f>
        <v/>
      </c>
      <c r="CO102" s="48">
        <f>+Revenue_Calcs!CO122</f>
        <v/>
      </c>
      <c r="CP102" s="48">
        <f>+Revenue_Calcs!CP122</f>
        <v/>
      </c>
      <c r="CQ102" s="48">
        <f>+Revenue_Calcs!CQ122</f>
        <v/>
      </c>
      <c r="CR102" s="48">
        <f>+Revenue_Calcs!CR122</f>
        <v/>
      </c>
      <c r="CS102" s="48">
        <f>+Revenue_Calcs!CS122</f>
        <v/>
      </c>
      <c r="CT102" s="48">
        <f>+Revenue_Calcs!CT122</f>
        <v/>
      </c>
      <c r="CU102" s="48">
        <f>+Revenue_Calcs!CU122</f>
        <v/>
      </c>
      <c r="CV102" s="48">
        <f>+Revenue_Calcs!CV122</f>
        <v/>
      </c>
      <c r="CW102" s="48">
        <f>+Revenue_Calcs!CW122</f>
        <v/>
      </c>
      <c r="CX102" s="48">
        <f>+Revenue_Calcs!CX122</f>
        <v/>
      </c>
      <c r="CY102" s="48">
        <f>+Revenue_Calcs!CY122</f>
        <v/>
      </c>
      <c r="CZ102" s="48">
        <f>+Revenue_Calcs!CZ122</f>
        <v/>
      </c>
      <c r="DA102" s="48">
        <f>+Revenue_Calcs!DA122</f>
        <v/>
      </c>
      <c r="DB102" s="48">
        <f>+Revenue_Calcs!DB122</f>
        <v/>
      </c>
      <c r="DC102" s="48">
        <f>+Revenue_Calcs!DC122</f>
        <v/>
      </c>
      <c r="DD102" s="48">
        <f>+Revenue_Calcs!DD122</f>
        <v/>
      </c>
      <c r="DE102" s="48">
        <f>+Revenue_Calcs!DE122</f>
        <v/>
      </c>
      <c r="DF102" s="48">
        <f>+Revenue_Calcs!DF122</f>
        <v/>
      </c>
      <c r="DG102" s="48">
        <f>+Revenue_Calcs!DG122</f>
        <v/>
      </c>
      <c r="DH102" s="48">
        <f>+Revenue_Calcs!DH122</f>
        <v/>
      </c>
      <c r="DI102" s="48">
        <f>+Revenue_Calcs!DI122</f>
        <v/>
      </c>
      <c r="DJ102" s="48">
        <f>+Revenue_Calcs!DJ122</f>
        <v/>
      </c>
      <c r="DK102" s="48">
        <f>+Revenue_Calcs!DK122</f>
        <v/>
      </c>
      <c r="DL102" s="48">
        <f>+Revenue_Calcs!DL122</f>
        <v/>
      </c>
      <c r="DM102" s="48">
        <f>+Revenue_Calcs!DM122</f>
        <v/>
      </c>
      <c r="DN102" s="48">
        <f>+Revenue_Calcs!DN122</f>
        <v/>
      </c>
      <c r="DO102" s="48">
        <f>+Revenue_Calcs!DO122</f>
        <v/>
      </c>
      <c r="DP102" s="48">
        <f>+Revenue_Calcs!DP122</f>
        <v/>
      </c>
      <c r="DQ102" s="48">
        <f>+Revenue_Calcs!DQ122</f>
        <v/>
      </c>
      <c r="DR102" s="48">
        <f>+Revenue_Calcs!DR122</f>
        <v/>
      </c>
    </row>
    <row r="103" ht="15.75" customHeight="1">
      <c r="B103" s="5" t="inlineStr">
        <is>
          <t>% of Revenue</t>
        </is>
      </c>
      <c r="F103" s="45">
        <f>+F104/F102</f>
        <v/>
      </c>
      <c r="G103" s="45">
        <f>+G104/G102</f>
        <v/>
      </c>
      <c r="H103" s="45">
        <f>+H104/H102</f>
        <v/>
      </c>
      <c r="I103" s="45">
        <f>+I104/I102</f>
        <v/>
      </c>
      <c r="J103" s="45">
        <f>+J104/J102</f>
        <v/>
      </c>
      <c r="K103" s="105">
        <f>+COGS_Assumptions!K20</f>
        <v/>
      </c>
      <c r="L103" s="105">
        <f>+COGS_Assumptions!L20</f>
        <v/>
      </c>
      <c r="M103" s="105">
        <f>+COGS_Assumptions!M20</f>
        <v/>
      </c>
      <c r="AA103" s="46">
        <f>+AA104/AA102</f>
        <v/>
      </c>
      <c r="AB103" s="46">
        <f>+AB104/AB102</f>
        <v/>
      </c>
      <c r="AC103" s="46">
        <f>+AC104/AC102</f>
        <v/>
      </c>
      <c r="AD103" s="46">
        <f>+AD104/AD102</f>
        <v/>
      </c>
      <c r="AE103" s="46">
        <f>+AE104/AE102</f>
        <v/>
      </c>
      <c r="AF103" s="46">
        <f>+AF104/AF102</f>
        <v/>
      </c>
      <c r="AG103" s="46">
        <f>+AG104/AG102</f>
        <v/>
      </c>
      <c r="AH103" s="46">
        <f>+AH104/AH102</f>
        <v/>
      </c>
      <c r="AI103" s="46">
        <f>+AI104/AI102</f>
        <v/>
      </c>
      <c r="AJ103" s="46">
        <f>+AJ104/AJ102</f>
        <v/>
      </c>
      <c r="AK103" s="46">
        <f>+AK104/AK102</f>
        <v/>
      </c>
      <c r="AL103" s="46">
        <f>+AL104/AL102</f>
        <v/>
      </c>
      <c r="AM103" s="46">
        <f>+AM104/AM102</f>
        <v/>
      </c>
      <c r="AN103" s="46">
        <f>+AN104/AN102</f>
        <v/>
      </c>
      <c r="AO103" s="46">
        <f>+AO104/AO102</f>
        <v/>
      </c>
      <c r="AP103" s="46">
        <f>+AP104/AP102</f>
        <v/>
      </c>
      <c r="AQ103" s="46">
        <f>+AQ104/AQ102</f>
        <v/>
      </c>
      <c r="AR103" s="46">
        <f>+AR104/AR102</f>
        <v/>
      </c>
      <c r="AS103" s="46">
        <f>+AS104/AS102</f>
        <v/>
      </c>
      <c r="AT103" s="46">
        <f>+AT104/AT102</f>
        <v/>
      </c>
      <c r="AU103" s="46">
        <f>+AU104/AU102</f>
        <v/>
      </c>
      <c r="AV103" s="46">
        <f>+AV104/AV102</f>
        <v/>
      </c>
      <c r="AW103" s="46">
        <f>+AW104/AW102</f>
        <v/>
      </c>
      <c r="AX103" s="46">
        <f>+AX104/AX102</f>
        <v/>
      </c>
      <c r="AY103" s="46">
        <f>+AY104/AY102</f>
        <v/>
      </c>
      <c r="AZ103" s="46">
        <f>+AZ104/AZ102</f>
        <v/>
      </c>
      <c r="BA103" s="46">
        <f>+BA104/BA102</f>
        <v/>
      </c>
      <c r="BB103" s="46">
        <f>+BB104/BB102</f>
        <v/>
      </c>
      <c r="BC103" s="46">
        <f>+BC104/BC102</f>
        <v/>
      </c>
      <c r="BD103" s="46">
        <f>+BD104/BD102</f>
        <v/>
      </c>
      <c r="BE103" s="46">
        <f>+BE104/BE102</f>
        <v/>
      </c>
      <c r="BF103" s="46">
        <f>+BF104/BF102</f>
        <v/>
      </c>
      <c r="BG103" s="46">
        <f>+BG104/BG102</f>
        <v/>
      </c>
      <c r="BH103" s="46">
        <f>+BH104/BH102</f>
        <v/>
      </c>
      <c r="BI103" s="46">
        <f>+BI104/BI102</f>
        <v/>
      </c>
      <c r="BJ103" s="46">
        <f>+BJ104/BJ102</f>
        <v/>
      </c>
      <c r="BK103" s="46">
        <f>+BK104/BK102</f>
        <v/>
      </c>
      <c r="BL103" s="46">
        <f>+BL104/BL102</f>
        <v/>
      </c>
      <c r="BM103" s="46">
        <f>+BM104/BM102</f>
        <v/>
      </c>
      <c r="BN103" s="46">
        <f>+BN104/BN102</f>
        <v/>
      </c>
      <c r="BO103" s="46">
        <f>+BO104/BO102</f>
        <v/>
      </c>
      <c r="BP103" s="46">
        <f>+BP104/BP102</f>
        <v/>
      </c>
      <c r="BQ103" s="46">
        <f>+BQ104/BQ102</f>
        <v/>
      </c>
      <c r="BR103" s="46">
        <f>+BR104/BR102</f>
        <v/>
      </c>
      <c r="BS103" s="46">
        <f>+BS104/BS102</f>
        <v/>
      </c>
      <c r="BT103" s="46">
        <f>+BT104/BT102</f>
        <v/>
      </c>
      <c r="BU103" s="46">
        <f>+BU104/BU102</f>
        <v/>
      </c>
      <c r="BV103" s="46">
        <f>+BV104/BV102</f>
        <v/>
      </c>
      <c r="BW103" s="117">
        <f>+SUMIFS($F103:$M103,$F$7:$M$7,BW$7)</f>
        <v/>
      </c>
      <c r="BX103" s="45">
        <f>+SUMIFS($F103:$M103,$F$7:$M$7,BX$7)</f>
        <v/>
      </c>
      <c r="BY103" s="45">
        <f>+SUMIFS($F103:$M103,$F$7:$M$7,BY$7)</f>
        <v/>
      </c>
      <c r="BZ103" s="45">
        <f>+SUMIFS($F103:$M103,$F$7:$M$7,BZ$7)</f>
        <v/>
      </c>
      <c r="CA103" s="45">
        <f>+SUMIFS($F103:$M103,$F$7:$M$7,CA$7)</f>
        <v/>
      </c>
      <c r="CB103" s="45">
        <f>+SUMIFS($F103:$M103,$F$7:$M$7,CB$7)</f>
        <v/>
      </c>
      <c r="CC103" s="45">
        <f>+SUMIFS($F103:$M103,$F$7:$M$7,CC$7)</f>
        <v/>
      </c>
      <c r="CD103" s="45">
        <f>+SUMIFS($F103:$M103,$F$7:$M$7,CD$7)</f>
        <v/>
      </c>
      <c r="CE103" s="45">
        <f>+SUMIFS($F103:$M103,$F$7:$M$7,CE$7)</f>
        <v/>
      </c>
      <c r="CF103" s="45">
        <f>+SUMIFS($F103:$M103,$F$7:$M$7,CF$7)</f>
        <v/>
      </c>
      <c r="CG103" s="45">
        <f>+SUMIFS($F103:$M103,$F$7:$M$7,CG$7)</f>
        <v/>
      </c>
      <c r="CH103" s="45">
        <f>+SUMIFS($F103:$M103,$F$7:$M$7,CH$7)</f>
        <v/>
      </c>
      <c r="CI103" s="45">
        <f>+SUMIFS($F103:$M103,$F$7:$M$7,CI$7)</f>
        <v/>
      </c>
      <c r="CJ103" s="45">
        <f>+SUMIFS($F103:$M103,$F$7:$M$7,CJ$7)</f>
        <v/>
      </c>
      <c r="CK103" s="45">
        <f>+SUMIFS($F103:$M103,$F$7:$M$7,CK$7)</f>
        <v/>
      </c>
      <c r="CL103" s="45">
        <f>+SUMIFS($F103:$M103,$F$7:$M$7,CL$7)</f>
        <v/>
      </c>
      <c r="CM103" s="45">
        <f>+SUMIFS($F103:$M103,$F$7:$M$7,CM$7)</f>
        <v/>
      </c>
      <c r="CN103" s="45">
        <f>+SUMIFS($F103:$M103,$F$7:$M$7,CN$7)</f>
        <v/>
      </c>
      <c r="CO103" s="45">
        <f>+SUMIFS($F103:$M103,$F$7:$M$7,CO$7)</f>
        <v/>
      </c>
      <c r="CP103" s="45">
        <f>+SUMIFS($F103:$M103,$F$7:$M$7,CP$7)</f>
        <v/>
      </c>
      <c r="CQ103" s="45">
        <f>+SUMIFS($F103:$M103,$F$7:$M$7,CQ$7)</f>
        <v/>
      </c>
      <c r="CR103" s="45">
        <f>+SUMIFS($F103:$M103,$F$7:$M$7,CR$7)</f>
        <v/>
      </c>
      <c r="CS103" s="45">
        <f>+SUMIFS($F103:$M103,$F$7:$M$7,CS$7)</f>
        <v/>
      </c>
      <c r="CT103" s="45">
        <f>+SUMIFS($F103:$M103,$F$7:$M$7,CT$7)</f>
        <v/>
      </c>
      <c r="CU103" s="45">
        <f>+SUMIFS($F103:$M103,$F$7:$M$7,CU$7)</f>
        <v/>
      </c>
      <c r="CV103" s="45">
        <f>+SUMIFS($F103:$M103,$F$7:$M$7,CV$7)</f>
        <v/>
      </c>
      <c r="CW103" s="45">
        <f>+SUMIFS($F103:$M103,$F$7:$M$7,CW$7)</f>
        <v/>
      </c>
      <c r="CX103" s="45">
        <f>+SUMIFS($F103:$M103,$F$7:$M$7,CX$7)</f>
        <v/>
      </c>
      <c r="CY103" s="45">
        <f>+SUMIFS($F103:$M103,$F$7:$M$7,CY$7)</f>
        <v/>
      </c>
      <c r="CZ103" s="45">
        <f>+SUMIFS($F103:$M103,$F$7:$M$7,CZ$7)</f>
        <v/>
      </c>
      <c r="DA103" s="45">
        <f>+SUMIFS($F103:$M103,$F$7:$M$7,DA$7)</f>
        <v/>
      </c>
      <c r="DB103" s="45">
        <f>+SUMIFS($F103:$M103,$F$7:$M$7,DB$7)</f>
        <v/>
      </c>
      <c r="DC103" s="45">
        <f>+SUMIFS($F103:$M103,$F$7:$M$7,DC$7)</f>
        <v/>
      </c>
      <c r="DD103" s="45">
        <f>+SUMIFS($F103:$M103,$F$7:$M$7,DD$7)</f>
        <v/>
      </c>
      <c r="DE103" s="45">
        <f>+SUMIFS($F103:$M103,$F$7:$M$7,DE$7)</f>
        <v/>
      </c>
      <c r="DF103" s="45">
        <f>+SUMIFS($F103:$M103,$F$7:$M$7,DF$7)</f>
        <v/>
      </c>
      <c r="DG103" s="45">
        <f>+SUMIFS($F103:$M103,$F$7:$M$7,DG$7)</f>
        <v/>
      </c>
      <c r="DH103" s="45">
        <f>+SUMIFS($F103:$M103,$F$7:$M$7,DH$7)</f>
        <v/>
      </c>
      <c r="DI103" s="45">
        <f>+SUMIFS($F103:$M103,$F$7:$M$7,DI$7)</f>
        <v/>
      </c>
      <c r="DJ103" s="45">
        <f>+SUMIFS($F103:$M103,$F$7:$M$7,DJ$7)</f>
        <v/>
      </c>
      <c r="DK103" s="45">
        <f>+SUMIFS($F103:$M103,$F$7:$M$7,DK$7)</f>
        <v/>
      </c>
      <c r="DL103" s="45">
        <f>+SUMIFS($F103:$M103,$F$7:$M$7,DL$7)</f>
        <v/>
      </c>
      <c r="DM103" s="45">
        <f>+SUMIFS($F103:$M103,$F$7:$M$7,DM$7)</f>
        <v/>
      </c>
      <c r="DN103" s="45">
        <f>+SUMIFS($F103:$M103,$F$7:$M$7,DN$7)</f>
        <v/>
      </c>
      <c r="DO103" s="45">
        <f>+SUMIFS($F103:$M103,$F$7:$M$7,DO$7)</f>
        <v/>
      </c>
      <c r="DP103" s="45">
        <f>+SUMIFS($F103:$M103,$F$7:$M$7,DP$7)</f>
        <v/>
      </c>
      <c r="DQ103" s="45">
        <f>+SUMIFS($F103:$M103,$F$7:$M$7,DQ$7)</f>
        <v/>
      </c>
      <c r="DR103" s="45">
        <f>+SUMIFS($F103:$M103,$F$7:$M$7,DR$7)</f>
        <v/>
      </c>
    </row>
    <row r="104" ht="15.75" customHeight="1">
      <c r="B104" s="50" t="inlineStr">
        <is>
          <t>Total</t>
        </is>
      </c>
      <c r="C104" s="50" t="n"/>
      <c r="D104" s="50" t="n"/>
      <c r="F104" s="51">
        <f>+SUMIFS($AA104:$DR104,$AA$7:$DR$7,F$7)</f>
        <v/>
      </c>
      <c r="G104" s="51">
        <f>+SUMIFS($AA104:$DR104,$AA$7:$DR$7,G$7)</f>
        <v/>
      </c>
      <c r="H104" s="51">
        <f>+SUMIFS($AA104:$DR104,$AA$7:$DR$7,H$7)</f>
        <v/>
      </c>
      <c r="I104" s="51">
        <f>+SUMIFS($AA104:$DR104,$AA$7:$DR$7,I$7)</f>
        <v/>
      </c>
      <c r="J104" s="51">
        <f>+SUMIFS($AA104:$DR104,$AA$7:$DR$7,J$7)</f>
        <v/>
      </c>
      <c r="K104" s="51">
        <f>+SUMIFS($AA104:$DR104,$AA$7:$DR$7,K$7)</f>
        <v/>
      </c>
      <c r="L104" s="51">
        <f>+SUMIFS($AA104:$DR104,$AA$7:$DR$7,L$7)</f>
        <v/>
      </c>
      <c r="M104" s="51">
        <f>+SUMIFS($AA104:$DR104,$AA$7:$DR$7,M$7)</f>
        <v/>
      </c>
      <c r="AA104" s="116" t="n">
        <v>0</v>
      </c>
      <c r="AB104" s="116" t="n">
        <v>0</v>
      </c>
      <c r="AC104" s="116" t="n">
        <v>0</v>
      </c>
      <c r="AD104" s="116" t="n">
        <v>0</v>
      </c>
      <c r="AE104" s="116" t="n">
        <v>7</v>
      </c>
      <c r="AF104" s="116" t="n">
        <v>7</v>
      </c>
      <c r="AG104" s="116" t="n">
        <v>14</v>
      </c>
      <c r="AH104" s="116" t="n">
        <v>7</v>
      </c>
      <c r="AI104" s="116" t="n">
        <v>-14</v>
      </c>
      <c r="AJ104" s="116" t="n">
        <v>10</v>
      </c>
      <c r="AK104" s="116" t="n">
        <v>10</v>
      </c>
      <c r="AL104" s="116" t="n">
        <v>10</v>
      </c>
      <c r="AM104" s="116" t="n">
        <v>10</v>
      </c>
      <c r="AN104" s="116" t="n">
        <v>10</v>
      </c>
      <c r="AO104" s="116" t="n">
        <v>10</v>
      </c>
      <c r="AP104" s="116" t="n">
        <v>10</v>
      </c>
      <c r="AQ104" s="116" t="n">
        <v>10</v>
      </c>
      <c r="AR104" s="116" t="n">
        <v>10</v>
      </c>
      <c r="AS104" s="116" t="n">
        <v>7.09722</v>
      </c>
      <c r="AT104" s="116" t="n">
        <v>0</v>
      </c>
      <c r="AU104" s="116" t="n">
        <v>0</v>
      </c>
      <c r="AV104" s="116" t="n">
        <v>0</v>
      </c>
      <c r="AW104" s="116" t="n">
        <v>0</v>
      </c>
      <c r="AX104" s="116" t="n">
        <v>0</v>
      </c>
      <c r="AY104" s="116" t="n">
        <v>0</v>
      </c>
      <c r="AZ104" s="116" t="n">
        <v>0</v>
      </c>
      <c r="BA104" s="116" t="n">
        <v>0</v>
      </c>
      <c r="BB104" s="116" t="n">
        <v>0</v>
      </c>
      <c r="BC104" s="116" t="n">
        <v>0</v>
      </c>
      <c r="BD104" s="116" t="n">
        <v>0</v>
      </c>
      <c r="BE104" s="116" t="n">
        <v>0</v>
      </c>
      <c r="BF104" s="116" t="n">
        <v>0</v>
      </c>
      <c r="BG104" s="116" t="n">
        <v>0</v>
      </c>
      <c r="BH104" s="116" t="n">
        <v>0</v>
      </c>
      <c r="BI104" s="116" t="n">
        <v>0</v>
      </c>
      <c r="BJ104" s="116" t="n">
        <v>0</v>
      </c>
      <c r="BK104" s="116" t="n">
        <v>0</v>
      </c>
      <c r="BL104" s="116" t="n">
        <v>0</v>
      </c>
      <c r="BM104" s="116" t="n">
        <v>0</v>
      </c>
      <c r="BN104" s="116" t="n">
        <v>0</v>
      </c>
      <c r="BO104" s="116" t="n">
        <v>0</v>
      </c>
      <c r="BP104" s="116" t="n">
        <v>0</v>
      </c>
      <c r="BQ104" s="116" t="n">
        <v>0</v>
      </c>
      <c r="BR104" s="116" t="n">
        <v>0</v>
      </c>
      <c r="BS104" s="116" t="n">
        <v>0</v>
      </c>
      <c r="BT104" s="116" t="n">
        <v>0</v>
      </c>
      <c r="BU104" s="116" t="n">
        <v>0</v>
      </c>
      <c r="BV104" s="116" t="n">
        <v>0</v>
      </c>
      <c r="BW104" s="116" t="n">
        <v>0</v>
      </c>
      <c r="BX104" s="116" t="n">
        <v>0</v>
      </c>
      <c r="BY104" s="116" t="n">
        <v>0</v>
      </c>
      <c r="BZ104" s="116" t="n">
        <v>0</v>
      </c>
      <c r="CA104" s="116" t="n">
        <v>0</v>
      </c>
      <c r="CB104" s="116" t="n">
        <v>0</v>
      </c>
      <c r="CC104" s="116" t="n">
        <v>0</v>
      </c>
      <c r="CD104" s="116" t="n">
        <v>0</v>
      </c>
      <c r="CE104" s="116" t="n">
        <v>0</v>
      </c>
      <c r="CF104" s="116" t="n">
        <v>0</v>
      </c>
      <c r="CG104" s="116" t="n">
        <v>0</v>
      </c>
      <c r="CH104" s="116" t="n">
        <v>0</v>
      </c>
      <c r="CI104" s="51">
        <f>+CI102*CI103</f>
        <v/>
      </c>
      <c r="CJ104" s="51">
        <f>+CJ102*CJ103</f>
        <v/>
      </c>
      <c r="CK104" s="51">
        <f>+CK102*CK103</f>
        <v/>
      </c>
      <c r="CL104" s="51">
        <f>+CL102*CL103</f>
        <v/>
      </c>
      <c r="CM104" s="51">
        <f>+CM102*CM103</f>
        <v/>
      </c>
      <c r="CN104" s="51">
        <f>+CN102*CN103</f>
        <v/>
      </c>
      <c r="CO104" s="51">
        <f>+CO102*CO103</f>
        <v/>
      </c>
      <c r="CP104" s="51">
        <f>+CP102*CP103</f>
        <v/>
      </c>
      <c r="CQ104" s="51">
        <f>+CQ102*CQ103</f>
        <v/>
      </c>
      <c r="CR104" s="51">
        <f>+CR102*CR103</f>
        <v/>
      </c>
      <c r="CS104" s="51">
        <f>+CS102*CS103</f>
        <v/>
      </c>
      <c r="CT104" s="51">
        <f>+CT102*CT103</f>
        <v/>
      </c>
      <c r="CU104" s="51">
        <f>+CU102*CU103</f>
        <v/>
      </c>
      <c r="CV104" s="51">
        <f>+CV102*CV103</f>
        <v/>
      </c>
      <c r="CW104" s="51">
        <f>+CW102*CW103</f>
        <v/>
      </c>
      <c r="CX104" s="51">
        <f>+CX102*CX103</f>
        <v/>
      </c>
      <c r="CY104" s="51">
        <f>+CY102*CY103</f>
        <v/>
      </c>
      <c r="CZ104" s="51">
        <f>+CZ102*CZ103</f>
        <v/>
      </c>
      <c r="DA104" s="51">
        <f>+DA102*DA103</f>
        <v/>
      </c>
      <c r="DB104" s="51">
        <f>+DB102*DB103</f>
        <v/>
      </c>
      <c r="DC104" s="51">
        <f>+DC102*DC103</f>
        <v/>
      </c>
      <c r="DD104" s="51">
        <f>+DD102*DD103</f>
        <v/>
      </c>
      <c r="DE104" s="51">
        <f>+DE102*DE103</f>
        <v/>
      </c>
      <c r="DF104" s="51">
        <f>+DF102*DF103</f>
        <v/>
      </c>
      <c r="DG104" s="51">
        <f>+DG102*DG103</f>
        <v/>
      </c>
      <c r="DH104" s="51">
        <f>+DH102*DH103</f>
        <v/>
      </c>
      <c r="DI104" s="51">
        <f>+DI102*DI103</f>
        <v/>
      </c>
      <c r="DJ104" s="51">
        <f>+DJ102*DJ103</f>
        <v/>
      </c>
      <c r="DK104" s="51">
        <f>+DK102*DK103</f>
        <v/>
      </c>
      <c r="DL104" s="51">
        <f>+DL102*DL103</f>
        <v/>
      </c>
      <c r="DM104" s="51">
        <f>+DM102*DM103</f>
        <v/>
      </c>
      <c r="DN104" s="51">
        <f>+DN102*DN103</f>
        <v/>
      </c>
      <c r="DO104" s="51">
        <f>+DO102*DO103</f>
        <v/>
      </c>
      <c r="DP104" s="51">
        <f>+DP102*DP103</f>
        <v/>
      </c>
      <c r="DQ104" s="51">
        <f>+DQ102*DQ103</f>
        <v/>
      </c>
      <c r="DR104" s="51">
        <f>+DR102*DR103</f>
        <v/>
      </c>
    </row>
    <row r="105" ht="15.75" customHeight="1">
      <c r="F105" s="46" t="n"/>
      <c r="G105" s="46" t="n"/>
      <c r="H105" s="46" t="n"/>
      <c r="I105" s="46" t="n"/>
      <c r="J105" s="46" t="n"/>
      <c r="K105" s="46" t="n"/>
      <c r="L105" s="46" t="n"/>
      <c r="M105" s="46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6" t="n"/>
      <c r="BX105" s="46" t="n"/>
      <c r="BY105" s="46" t="n"/>
      <c r="BZ105" s="46" t="n"/>
      <c r="CA105" s="46" t="n"/>
      <c r="CB105" s="46" t="n"/>
      <c r="CC105" s="46" t="n"/>
      <c r="CD105" s="46" t="n"/>
      <c r="CE105" s="46" t="n"/>
      <c r="CF105" s="46" t="n"/>
      <c r="CG105" s="46" t="n"/>
      <c r="CH105" s="46" t="n"/>
      <c r="CI105" s="46" t="n"/>
      <c r="CJ105" s="46" t="n"/>
      <c r="CK105" s="46" t="n"/>
      <c r="CL105" s="46" t="n"/>
      <c r="CM105" s="46" t="n"/>
      <c r="CN105" s="46" t="n"/>
      <c r="CO105" s="46" t="n"/>
      <c r="CP105" s="46" t="n"/>
      <c r="CQ105" s="46" t="n"/>
      <c r="CR105" s="46" t="n"/>
      <c r="CS105" s="46" t="n"/>
      <c r="CT105" s="46" t="n"/>
      <c r="CU105" s="46" t="n"/>
      <c r="CV105" s="46" t="n"/>
      <c r="CW105" s="46" t="n"/>
      <c r="CX105" s="46" t="n"/>
      <c r="CY105" s="46" t="n"/>
      <c r="CZ105" s="46" t="n"/>
      <c r="DA105" s="46" t="n"/>
      <c r="DB105" s="46" t="n"/>
      <c r="DC105" s="46" t="n"/>
      <c r="DD105" s="46" t="n"/>
      <c r="DE105" s="46" t="n"/>
      <c r="DF105" s="46" t="n"/>
      <c r="DG105" s="46" t="n"/>
      <c r="DH105" s="46" t="n"/>
      <c r="DI105" s="46" t="n"/>
      <c r="DJ105" s="46" t="n"/>
      <c r="DK105" s="46" t="n"/>
      <c r="DL105" s="46" t="n"/>
      <c r="DM105" s="46" t="n"/>
      <c r="DN105" s="46" t="n"/>
      <c r="DO105" s="46" t="n"/>
      <c r="DP105" s="46" t="n"/>
      <c r="DQ105" s="46" t="n"/>
      <c r="DR105" s="46" t="n"/>
    </row>
    <row r="106" ht="4.5" customHeight="1"/>
    <row r="107" ht="15.75" customHeight="1">
      <c r="B107" s="118" t="inlineStr">
        <is>
          <t>Total Licensing</t>
        </is>
      </c>
      <c r="C107" s="118" t="n"/>
      <c r="D107" s="118" t="n"/>
      <c r="F107" s="112">
        <f>+SUMIFS($AA107:$DR107,$AA$7:$DR$7,F$7)</f>
        <v/>
      </c>
      <c r="G107" s="112">
        <f>+SUMIFS($AA107:$DR107,$AA$7:$DR$7,G$7)</f>
        <v/>
      </c>
      <c r="H107" s="112">
        <f>+SUMIFS($AA107:$DR107,$AA$7:$DR$7,H$7)</f>
        <v/>
      </c>
      <c r="I107" s="112">
        <f>+SUMIFS($AA107:$DR107,$AA$7:$DR$7,I$7)</f>
        <v/>
      </c>
      <c r="J107" s="112">
        <f>+SUMIFS($AA107:$DR107,$AA$7:$DR$7,J$7)</f>
        <v/>
      </c>
      <c r="K107" s="112">
        <f>+SUMIFS($AA107:$DR107,$AA$7:$DR$7,K$7)</f>
        <v/>
      </c>
      <c r="L107" s="112">
        <f>+SUMIFS($AA107:$DR107,$AA$7:$DR$7,L$7)</f>
        <v/>
      </c>
      <c r="M107" s="112">
        <f>+SUMIFS($AA107:$DR107,$AA$7:$DR$7,M$7)</f>
        <v/>
      </c>
      <c r="AA107" s="112">
        <f>+SUM(AA74,AA94,AA99,AA104)</f>
        <v/>
      </c>
      <c r="AB107" s="112">
        <f>+SUM(AB74,AB94,AB99,AB104)</f>
        <v/>
      </c>
      <c r="AC107" s="112">
        <f>+SUM(AC74,AC94,AC99,AC104)</f>
        <v/>
      </c>
      <c r="AD107" s="112">
        <f>+SUM(AD74,AD94,AD99,AD104)</f>
        <v/>
      </c>
      <c r="AE107" s="112">
        <f>+SUM(AE74,AE94,AE99,AE104)</f>
        <v/>
      </c>
      <c r="AF107" s="112">
        <f>+SUM(AF74,AF94,AF99,AF104)</f>
        <v/>
      </c>
      <c r="AG107" s="112">
        <f>+SUM(AG74,AG94,AG99,AG104)</f>
        <v/>
      </c>
      <c r="AH107" s="112">
        <f>+SUM(AH74,AH94,AH99,AH104)</f>
        <v/>
      </c>
      <c r="AI107" s="112">
        <f>+SUM(AI74,AI94,AI99,AI104)</f>
        <v/>
      </c>
      <c r="AJ107" s="112">
        <f>+SUM(AJ74,AJ94,AJ99,AJ104)</f>
        <v/>
      </c>
      <c r="AK107" s="112">
        <f>+SUM(AK74,AK94,AK99,AK104)</f>
        <v/>
      </c>
      <c r="AL107" s="112">
        <f>+SUM(AL74,AL94,AL99,AL104)</f>
        <v/>
      </c>
      <c r="AM107" s="112">
        <f>+SUM(AM74,AM94,AM99,AM104)</f>
        <v/>
      </c>
      <c r="AN107" s="112">
        <f>+SUM(AN74,AN94,AN99,AN104)</f>
        <v/>
      </c>
      <c r="AO107" s="112">
        <f>+SUM(AO74,AO94,AO99,AO104)</f>
        <v/>
      </c>
      <c r="AP107" s="112">
        <f>+SUM(AP74,AP94,AP99,AP104)</f>
        <v/>
      </c>
      <c r="AQ107" s="112">
        <f>+SUM(AQ74,AQ94,AQ99,AQ104)</f>
        <v/>
      </c>
      <c r="AR107" s="112">
        <f>+SUM(AR74,AR94,AR99,AR104)</f>
        <v/>
      </c>
      <c r="AS107" s="112">
        <f>+SUM(AS74,AS94,AS99,AS104)</f>
        <v/>
      </c>
      <c r="AT107" s="112">
        <f>+SUM(AT74,AT94,AT99,AT104)</f>
        <v/>
      </c>
      <c r="AU107" s="112">
        <f>+SUM(AU74,AU94,AU99,AU104)</f>
        <v/>
      </c>
      <c r="AV107" s="112">
        <f>+SUM(AV74,AV94,AV99,AV104)</f>
        <v/>
      </c>
      <c r="AW107" s="112">
        <f>+SUM(AW74,AW94,AW99,AW104)</f>
        <v/>
      </c>
      <c r="AX107" s="112">
        <f>+SUM(AX74,AX94,AX99,AX104)</f>
        <v/>
      </c>
      <c r="AY107" s="112">
        <f>+SUM(AY74,AY94,AY99,AY104)</f>
        <v/>
      </c>
      <c r="AZ107" s="112">
        <f>+SUM(AZ74,AZ94,AZ99,AZ104)</f>
        <v/>
      </c>
      <c r="BA107" s="112">
        <f>+SUM(BA74,BA94,BA99,BA104)</f>
        <v/>
      </c>
      <c r="BB107" s="112">
        <f>+SUM(BB74,BB94,BB99,BB104)</f>
        <v/>
      </c>
      <c r="BC107" s="112">
        <f>+SUM(BC74,BC94,BC99,BC104)</f>
        <v/>
      </c>
      <c r="BD107" s="112">
        <f>+SUM(BD74,BD94,BD99,BD104)</f>
        <v/>
      </c>
      <c r="BE107" s="112">
        <f>+SUM(BE74,BE94,BE99,BE104)</f>
        <v/>
      </c>
      <c r="BF107" s="112">
        <f>+SUM(BF74,BF94,BF99,BF104)</f>
        <v/>
      </c>
      <c r="BG107" s="112">
        <f>+SUM(BG74,BG94,BG99,BG104)</f>
        <v/>
      </c>
      <c r="BH107" s="112">
        <f>+SUM(BH74,BH94,BH99,BH104)</f>
        <v/>
      </c>
      <c r="BI107" s="112">
        <f>+SUM(BI74,BI94,BI99,BI104)</f>
        <v/>
      </c>
      <c r="BJ107" s="112">
        <f>+SUM(BJ74,BJ94,BJ99,BJ104)</f>
        <v/>
      </c>
      <c r="BK107" s="112">
        <f>+SUM(BK74,BK94,BK99,BK104)</f>
        <v/>
      </c>
      <c r="BL107" s="112">
        <f>+SUM(BL74,BL94,BL99,BL104)</f>
        <v/>
      </c>
      <c r="BM107" s="112">
        <f>+SUM(BM74,BM94,BM99,BM104)</f>
        <v/>
      </c>
      <c r="BN107" s="112">
        <f>+SUM(BN74,BN94,BN99,BN104)</f>
        <v/>
      </c>
      <c r="BO107" s="112">
        <f>+SUM(BO74,BO94,BO99,BO104)</f>
        <v/>
      </c>
      <c r="BP107" s="112">
        <f>+SUM(BP74,BP94,BP99,BP104)</f>
        <v/>
      </c>
      <c r="BQ107" s="112">
        <f>+SUM(BQ74,BQ94,BQ99,BQ104)</f>
        <v/>
      </c>
      <c r="BR107" s="112">
        <f>+SUM(BR74,BR94,BR99,BR104)</f>
        <v/>
      </c>
      <c r="BS107" s="112">
        <f>+SUM(BS74,BS94,BS99,BS104)</f>
        <v/>
      </c>
      <c r="BT107" s="112">
        <f>+SUM(BT74,BT94,BT99,BT104)</f>
        <v/>
      </c>
      <c r="BU107" s="112">
        <f>+SUM(BU74,BU94,BU99,BU104)</f>
        <v/>
      </c>
      <c r="BV107" s="112">
        <f>+SUM(BV74,BV94,BV99,BV104)</f>
        <v/>
      </c>
      <c r="BW107" s="112">
        <f>+SUM(BW74,BW94,BW99,BW104)</f>
        <v/>
      </c>
      <c r="BX107" s="112">
        <f>+SUM(BX74,BX94,BX99,BX104)</f>
        <v/>
      </c>
      <c r="BY107" s="112">
        <f>+SUM(BY74,BY94,BY99,BY104)</f>
        <v/>
      </c>
      <c r="BZ107" s="112">
        <f>+SUM(BZ74,BZ94,BZ99,BZ104)</f>
        <v/>
      </c>
      <c r="CA107" s="112">
        <f>+SUM(CA74,CA94,CA99,CA104)</f>
        <v/>
      </c>
      <c r="CB107" s="112">
        <f>+SUM(CB74,CB94,CB99,CB104)</f>
        <v/>
      </c>
      <c r="CC107" s="112">
        <f>+SUM(CC74,CC94,CC99,CC104)</f>
        <v/>
      </c>
      <c r="CD107" s="112">
        <f>+SUM(CD74,CD94,CD99,CD104)</f>
        <v/>
      </c>
      <c r="CE107" s="112">
        <f>+SUM(CE74,CE94,CE99,CE104)</f>
        <v/>
      </c>
      <c r="CF107" s="112">
        <f>+SUM(CF74,CF94,CF99,CF104)</f>
        <v/>
      </c>
      <c r="CG107" s="112">
        <f>+SUM(CG74,CG94,CG99,CG104)</f>
        <v/>
      </c>
      <c r="CH107" s="112">
        <f>+SUM(CH74,CH94,CH99,CH104)</f>
        <v/>
      </c>
      <c r="CI107" s="112">
        <f>+SUM(CI74,CI94,CI99,CI104)</f>
        <v/>
      </c>
      <c r="CJ107" s="112">
        <f>+SUM(CJ74,CJ94,CJ99,CJ104)</f>
        <v/>
      </c>
      <c r="CK107" s="112">
        <f>+SUM(CK74,CK94,CK99,CK104)</f>
        <v/>
      </c>
      <c r="CL107" s="112">
        <f>+SUM(CL74,CL94,CL99,CL104)</f>
        <v/>
      </c>
      <c r="CM107" s="112">
        <f>+SUM(CM74,CM94,CM99,CM104)</f>
        <v/>
      </c>
      <c r="CN107" s="112">
        <f>+SUM(CN74,CN94,CN99,CN104)</f>
        <v/>
      </c>
      <c r="CO107" s="112">
        <f>+SUM(CO74,CO94,CO99,CO104)</f>
        <v/>
      </c>
      <c r="CP107" s="112">
        <f>+SUM(CP74,CP94,CP99,CP104)</f>
        <v/>
      </c>
      <c r="CQ107" s="112">
        <f>+SUM(CQ74,CQ94,CQ99,CQ104)</f>
        <v/>
      </c>
      <c r="CR107" s="112">
        <f>+SUM(CR74,CR94,CR99,CR104)</f>
        <v/>
      </c>
      <c r="CS107" s="112">
        <f>+SUM(CS74,CS94,CS99,CS104)</f>
        <v/>
      </c>
      <c r="CT107" s="112">
        <f>+SUM(CT74,CT94,CT99,CT104)</f>
        <v/>
      </c>
      <c r="CU107" s="112">
        <f>+SUM(CU74,CU94,CU99,CU104)</f>
        <v/>
      </c>
      <c r="CV107" s="112">
        <f>+SUM(CV74,CV94,CV99,CV104)</f>
        <v/>
      </c>
      <c r="CW107" s="112">
        <f>+SUM(CW74,CW94,CW99,CW104)</f>
        <v/>
      </c>
      <c r="CX107" s="112">
        <f>+SUM(CX74,CX94,CX99,CX104)</f>
        <v/>
      </c>
      <c r="CY107" s="112">
        <f>+SUM(CY74,CY94,CY99,CY104)</f>
        <v/>
      </c>
      <c r="CZ107" s="112">
        <f>+SUM(CZ74,CZ94,CZ99,CZ104)</f>
        <v/>
      </c>
      <c r="DA107" s="112">
        <f>+SUM(DA74,DA94,DA99,DA104)</f>
        <v/>
      </c>
      <c r="DB107" s="112">
        <f>+SUM(DB74,DB94,DB99,DB104)</f>
        <v/>
      </c>
      <c r="DC107" s="112">
        <f>+SUM(DC74,DC94,DC99,DC104)</f>
        <v/>
      </c>
      <c r="DD107" s="112">
        <f>+SUM(DD74,DD94,DD99,DD104)</f>
        <v/>
      </c>
      <c r="DE107" s="112">
        <f>+SUM(DE74,DE94,DE99,DE104)</f>
        <v/>
      </c>
      <c r="DF107" s="112">
        <f>+SUM(DF74,DF94,DF99,DF104)</f>
        <v/>
      </c>
      <c r="DG107" s="112">
        <f>+SUM(DG74,DG94,DG99,DG104)</f>
        <v/>
      </c>
      <c r="DH107" s="112">
        <f>+SUM(DH74,DH94,DH99,DH104)</f>
        <v/>
      </c>
      <c r="DI107" s="112">
        <f>+SUM(DI74,DI94,DI99,DI104)</f>
        <v/>
      </c>
      <c r="DJ107" s="112">
        <f>+SUM(DJ74,DJ94,DJ99,DJ104)</f>
        <v/>
      </c>
      <c r="DK107" s="112">
        <f>+SUM(DK74,DK94,DK99,DK104)</f>
        <v/>
      </c>
      <c r="DL107" s="112">
        <f>+SUM(DL74,DL94,DL99,DL104)</f>
        <v/>
      </c>
      <c r="DM107" s="112">
        <f>+SUM(DM74,DM94,DM99,DM104)</f>
        <v/>
      </c>
      <c r="DN107" s="112">
        <f>+SUM(DN74,DN94,DN99,DN104)</f>
        <v/>
      </c>
      <c r="DO107" s="112">
        <f>+SUM(DO74,DO94,DO99,DO104)</f>
        <v/>
      </c>
      <c r="DP107" s="112">
        <f>+SUM(DP74,DP94,DP99,DP104)</f>
        <v/>
      </c>
      <c r="DQ107" s="112">
        <f>+SUM(DQ74,DQ94,DQ99,DQ104)</f>
        <v/>
      </c>
      <c r="DR107" s="112">
        <f>+SUM(DR74,DR94,DR99,DR104)</f>
        <v/>
      </c>
    </row>
    <row r="108" ht="15.75" customHeight="1">
      <c r="A108" s="66" t="n"/>
      <c r="B108" s="66" t="inlineStr">
        <is>
          <t>% Margin</t>
        </is>
      </c>
      <c r="C108" s="66" t="n"/>
      <c r="D108" s="66" t="n"/>
      <c r="E108" s="66" t="n"/>
      <c r="F108" s="100">
        <f>+(1-F107/F67)</f>
        <v/>
      </c>
      <c r="G108" s="100">
        <f>+(1-G107/G67)</f>
        <v/>
      </c>
      <c r="H108" s="100">
        <f>+(1-H107/H67)</f>
        <v/>
      </c>
      <c r="I108" s="100">
        <f>+(1-I107/I67)</f>
        <v/>
      </c>
      <c r="J108" s="100">
        <f>+(1-J107/J67)</f>
        <v/>
      </c>
      <c r="K108" s="100">
        <f>+(1-K107/K67)</f>
        <v/>
      </c>
      <c r="L108" s="100">
        <f>+(1-L107/L67)</f>
        <v/>
      </c>
      <c r="M108" s="100">
        <f>+(1-M107/M67)</f>
        <v/>
      </c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100" t="n"/>
      <c r="AB108" s="119" t="n"/>
      <c r="AC108" s="119" t="n"/>
      <c r="AD108" s="119" t="n"/>
      <c r="AE108" s="119" t="n"/>
      <c r="AF108" s="119" t="n"/>
      <c r="AG108" s="119" t="n"/>
      <c r="AH108" s="119" t="n"/>
      <c r="AI108" s="119" t="n"/>
      <c r="AJ108" s="119" t="n"/>
      <c r="AK108" s="119" t="n"/>
      <c r="AL108" s="119" t="n"/>
      <c r="AM108" s="119" t="n"/>
      <c r="AN108" s="119" t="n"/>
      <c r="AO108" s="119" t="n"/>
      <c r="AP108" s="119" t="n"/>
      <c r="AQ108" s="119" t="n"/>
      <c r="AR108" s="119" t="n"/>
      <c r="AS108" s="119" t="n"/>
      <c r="AT108" s="119" t="n"/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 s="119" t="n"/>
      <c r="BH108" s="119" t="n"/>
      <c r="BI108" s="119" t="n"/>
      <c r="BJ108" s="119" t="n"/>
      <c r="BK108" s="119" t="n"/>
      <c r="BL108" s="119" t="n"/>
      <c r="BM108" s="119" t="n"/>
      <c r="BN108" s="119" t="n"/>
      <c r="BO108" s="119" t="n"/>
      <c r="BP108" s="119" t="n"/>
      <c r="BQ108" s="119" t="n"/>
      <c r="BR108" s="119" t="n"/>
      <c r="BS108" s="119" t="n"/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  <c r="DR108" s="119" t="n"/>
      <c r="DS108" s="66" t="n"/>
    </row>
    <row r="109" ht="4.5" customHeight="1"/>
    <row r="110" ht="15.75" customHeight="1">
      <c r="B110" s="67" t="inlineStr">
        <is>
          <t>Managed Services</t>
        </is>
      </c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  <c r="AA110" s="67" t="n"/>
      <c r="AB110" s="67" t="n"/>
      <c r="AC110" s="67" t="n"/>
      <c r="AD110" s="67" t="n"/>
      <c r="AE110" s="67" t="n"/>
      <c r="AF110" s="67" t="n"/>
      <c r="AG110" s="67" t="n"/>
      <c r="AH110" s="67" t="n"/>
      <c r="AI110" s="67" t="n"/>
      <c r="AJ110" s="67" t="n"/>
      <c r="AK110" s="67" t="n"/>
      <c r="AL110" s="67" t="n"/>
      <c r="AM110" s="67" t="n"/>
      <c r="AN110" s="67" t="n"/>
      <c r="AO110" s="67" t="n"/>
      <c r="AP110" s="67" t="n"/>
      <c r="AQ110" s="67" t="n"/>
      <c r="AR110" s="67" t="n"/>
      <c r="AS110" s="67" t="n"/>
      <c r="AT110" s="67" t="n"/>
      <c r="AU110" s="67" t="n"/>
      <c r="AV110" s="67" t="n"/>
      <c r="AW110" s="67" t="n"/>
      <c r="AX110" s="67" t="n"/>
      <c r="AY110" s="67" t="n"/>
      <c r="AZ110" s="67" t="n"/>
      <c r="BA110" s="67" t="n"/>
      <c r="BB110" s="67" t="n"/>
      <c r="BC110" s="67" t="n"/>
      <c r="BD110" s="67" t="n"/>
      <c r="BE110" s="67" t="n"/>
      <c r="BF110" s="67" t="n"/>
      <c r="BG110" s="67" t="n"/>
      <c r="BH110" s="67" t="n"/>
      <c r="BI110" s="67" t="n"/>
      <c r="BJ110" s="67" t="n"/>
      <c r="BK110" s="67" t="n"/>
      <c r="BL110" s="67" t="n"/>
      <c r="BM110" s="67" t="n"/>
      <c r="BN110" s="67" t="n"/>
      <c r="BO110" s="67" t="n"/>
      <c r="BP110" s="67" t="n"/>
      <c r="BQ110" s="67" t="n"/>
      <c r="BR110" s="67" t="n"/>
      <c r="BS110" s="67" t="n"/>
      <c r="BT110" s="67" t="n"/>
      <c r="BU110" s="67" t="n"/>
      <c r="BV110" s="67" t="n"/>
      <c r="BW110" s="67" t="n"/>
      <c r="BX110" s="67" t="n"/>
      <c r="BY110" s="67" t="n"/>
      <c r="BZ110" s="67" t="n"/>
      <c r="CA110" s="67" t="n"/>
      <c r="CB110" s="67" t="n"/>
      <c r="CC110" s="67" t="n"/>
      <c r="CD110" s="67" t="n"/>
      <c r="CE110" s="67" t="n"/>
      <c r="CF110" s="67" t="n"/>
      <c r="CG110" s="67" t="n"/>
      <c r="CH110" s="67" t="n"/>
      <c r="CI110" s="67" t="n"/>
      <c r="CJ110" s="67" t="n"/>
      <c r="CK110" s="67" t="n"/>
      <c r="CL110" s="67" t="n"/>
      <c r="CM110" s="67" t="n"/>
      <c r="CN110" s="67" t="n"/>
      <c r="CO110" s="67" t="n"/>
      <c r="CP110" s="67" t="n"/>
      <c r="CQ110" s="67" t="n"/>
      <c r="CR110" s="67" t="n"/>
      <c r="CS110" s="67" t="n"/>
      <c r="CT110" s="67" t="n"/>
      <c r="CU110" s="67" t="n"/>
      <c r="CV110" s="67" t="n"/>
      <c r="CW110" s="67" t="n"/>
      <c r="CX110" s="67" t="n"/>
      <c r="CY110" s="67" t="n"/>
      <c r="CZ110" s="67" t="n"/>
      <c r="DA110" s="67" t="n"/>
      <c r="DB110" s="67" t="n"/>
      <c r="DC110" s="67" t="n"/>
      <c r="DD110" s="67" t="n"/>
      <c r="DE110" s="67" t="n"/>
      <c r="DF110" s="67" t="n"/>
      <c r="DG110" s="67" t="n"/>
      <c r="DH110" s="67" t="n"/>
      <c r="DI110" s="67" t="n"/>
      <c r="DJ110" s="67" t="n"/>
      <c r="DK110" s="67" t="n"/>
      <c r="DL110" s="67" t="n"/>
      <c r="DM110" s="67" t="n"/>
      <c r="DN110" s="67" t="n"/>
      <c r="DO110" s="67" t="n"/>
      <c r="DP110" s="67" t="n"/>
      <c r="DQ110" s="67" t="n"/>
      <c r="DR110" s="67" t="n"/>
      <c r="DS110" s="67" t="n"/>
    </row>
    <row r="111" ht="4.5" customHeight="1"/>
    <row r="112" hidden="1" outlineLevel="1" ht="15.75" customHeight="1">
      <c r="B112" s="5" t="inlineStr">
        <is>
          <t>AACN</t>
        </is>
      </c>
      <c r="C112" s="68" t="inlineStr">
        <is>
          <t>Lower Middle Market</t>
        </is>
      </c>
      <c r="F112" s="46">
        <f>+SUMIFS($AA112:$DR112,$AA$7:$DR$7,F$7)</f>
        <v/>
      </c>
      <c r="G112" s="46">
        <f>+SUMIFS($AA112:$DR112,$AA$7:$DR$7,G$7)</f>
        <v/>
      </c>
      <c r="H112" s="46">
        <f>+SUMIFS($AA112:$DR112,$AA$7:$DR$7,H$7)</f>
        <v/>
      </c>
      <c r="I112" s="46">
        <f>+SUMIFS($AA112:$DR112,$AA$7:$DR$7,I$7)</f>
        <v/>
      </c>
      <c r="J112" s="46">
        <f>+SUMIFS($AA112:$DR112,$AA$7:$DR$7,J$7)</f>
        <v/>
      </c>
      <c r="K112" s="46">
        <f>+SUMIFS($AA112:$DR112,$AA$7:$DR$7,K$7)</f>
        <v/>
      </c>
      <c r="L112" s="46">
        <f>+SUMIFS($AA112:$DR112,$AA$7:$DR$7,L$7)</f>
        <v/>
      </c>
      <c r="M112" s="46">
        <f>+SUMIFS($AA112:$DR112,$AA$7:$DR$7,M$7)</f>
        <v/>
      </c>
      <c r="AA112" s="47" t="n">
        <v>0</v>
      </c>
      <c r="AB112" s="47" t="n">
        <v>0</v>
      </c>
      <c r="AC112" s="47" t="n">
        <v>0</v>
      </c>
      <c r="AD112" s="47" t="n">
        <v>0</v>
      </c>
      <c r="AE112" s="47" t="n">
        <v>0</v>
      </c>
      <c r="AF112" s="47" t="n">
        <v>0</v>
      </c>
      <c r="AG112" s="47" t="n">
        <v>0</v>
      </c>
      <c r="AH112" s="47" t="n">
        <v>0</v>
      </c>
      <c r="AI112" s="47" t="n">
        <v>0</v>
      </c>
      <c r="AJ112" s="47" t="n">
        <v>0</v>
      </c>
      <c r="AK112" s="47" t="n">
        <v>0</v>
      </c>
      <c r="AL112" s="47" t="n">
        <v>0</v>
      </c>
      <c r="AM112" s="47" t="n">
        <v>0.01272906193520776</v>
      </c>
      <c r="AN112" s="47" t="n">
        <v>0.09542412437427768</v>
      </c>
      <c r="AO112" s="47" t="n">
        <v>0.1476753978771392</v>
      </c>
      <c r="AP112" s="47" t="n">
        <v>0.0180879623238595</v>
      </c>
      <c r="AQ112" s="47" t="n">
        <v>0.1458275960119169</v>
      </c>
      <c r="AR112" s="47" t="n">
        <v>0.2263323651622734</v>
      </c>
      <c r="AS112" s="47" t="n">
        <v>0.2287702329668382</v>
      </c>
      <c r="AT112" s="47" t="n">
        <v>0.2571286811335458</v>
      </c>
      <c r="AU112" s="47" t="n">
        <v>0.6131795921046044</v>
      </c>
      <c r="AV112" s="47" t="n">
        <v>1.458195681353698</v>
      </c>
      <c r="AW112" s="47" t="n">
        <v>0.3699318681621605</v>
      </c>
      <c r="AX112" s="47" t="n">
        <v>0.2169438767031816</v>
      </c>
      <c r="AY112" s="47" t="n">
        <v>0.806963718881943</v>
      </c>
      <c r="AZ112" s="47" t="n">
        <v>0.3486253648596883</v>
      </c>
      <c r="BA112" s="47" t="n">
        <v>0.2203333082808648</v>
      </c>
      <c r="BB112" s="47" t="n">
        <v>0.3161926151708471</v>
      </c>
      <c r="BC112" s="47" t="n">
        <v>0.2110227735404966</v>
      </c>
      <c r="BD112" s="47" t="n">
        <v>0</v>
      </c>
      <c r="BE112" s="47" t="n">
        <v>0.7226351955961615</v>
      </c>
      <c r="BF112" s="47" t="n">
        <v>0.5469845504211207</v>
      </c>
      <c r="BG112" s="47" t="n">
        <v>0.1835902880853391</v>
      </c>
      <c r="BH112" s="47" t="n">
        <v>0.08597989839706568</v>
      </c>
      <c r="BI112" s="47" t="n">
        <v>0</v>
      </c>
      <c r="BJ112" s="47" t="n">
        <v>0.02531229611041405</v>
      </c>
      <c r="BK112" s="96" t="n"/>
      <c r="BL112" s="96" t="n"/>
      <c r="BM112" s="96" t="n"/>
      <c r="BN112" s="96" t="n"/>
      <c r="BO112" s="96" t="n"/>
      <c r="BP112" s="96" t="n"/>
      <c r="BQ112" s="96" t="n"/>
      <c r="BR112" s="96" t="n"/>
      <c r="BS112" s="96" t="n"/>
      <c r="BT112" s="96" t="n"/>
      <c r="BU112" s="96" t="n"/>
      <c r="BV112" s="96" t="n"/>
      <c r="BW112" s="96" t="n"/>
      <c r="BX112" s="96" t="n"/>
      <c r="BY112" s="96" t="n"/>
      <c r="BZ112" s="96" t="n"/>
      <c r="CA112" s="96" t="n"/>
      <c r="CB112" s="96" t="n"/>
      <c r="CC112" s="96" t="n"/>
      <c r="CD112" s="96" t="n"/>
      <c r="CE112" s="96" t="n"/>
      <c r="CF112" s="96" t="n"/>
      <c r="CG112" s="96" t="n"/>
      <c r="CH112" s="96" t="n"/>
      <c r="CI112" s="96" t="n"/>
      <c r="CJ112" s="96" t="n"/>
      <c r="CK112" s="96" t="n"/>
      <c r="CL112" s="96" t="n"/>
      <c r="CM112" s="96" t="n"/>
      <c r="CN112" s="96" t="n"/>
      <c r="CO112" s="96" t="n"/>
      <c r="CP112" s="96" t="n"/>
      <c r="CQ112" s="96" t="n"/>
      <c r="CR112" s="96" t="n"/>
      <c r="CS112" s="96" t="n"/>
      <c r="CT112" s="96" t="n"/>
      <c r="CU112" s="96" t="n"/>
      <c r="CV112" s="96" t="n"/>
      <c r="CW112" s="96" t="n"/>
      <c r="CX112" s="96" t="n"/>
      <c r="CY112" s="96" t="n"/>
      <c r="CZ112" s="96" t="n"/>
      <c r="DA112" s="96" t="n"/>
      <c r="DB112" s="96" t="n"/>
      <c r="DC112" s="96" t="n"/>
      <c r="DD112" s="96" t="n"/>
      <c r="DE112" s="96" t="n"/>
      <c r="DF112" s="96" t="n"/>
      <c r="DG112" s="96" t="n"/>
      <c r="DH112" s="96" t="n"/>
      <c r="DI112" s="96" t="n"/>
      <c r="DJ112" s="96" t="n"/>
      <c r="DK112" s="96" t="n"/>
      <c r="DL112" s="96" t="n"/>
      <c r="DM112" s="96" t="n"/>
      <c r="DN112" s="96" t="n"/>
      <c r="DO112" s="96" t="n"/>
      <c r="DP112" s="96" t="n"/>
      <c r="DQ112" s="96" t="n"/>
      <c r="DR112" s="96" t="n"/>
    </row>
    <row r="113" hidden="1" outlineLevel="1" ht="15.75" customHeight="1">
      <c r="B113" s="5" t="inlineStr">
        <is>
          <t>AACR</t>
        </is>
      </c>
      <c r="C113" s="68" t="inlineStr">
        <is>
          <t>Lower Middle Market</t>
        </is>
      </c>
      <c r="F113" s="46">
        <f>+SUMIFS($AA113:$DR113,$AA$7:$DR$7,F$7)</f>
        <v/>
      </c>
      <c r="G113" s="46">
        <f>+SUMIFS($AA113:$DR113,$AA$7:$DR$7,G$7)</f>
        <v/>
      </c>
      <c r="H113" s="46">
        <f>+SUMIFS($AA113:$DR113,$AA$7:$DR$7,H$7)</f>
        <v/>
      </c>
      <c r="I113" s="46">
        <f>+SUMIFS($AA113:$DR113,$AA$7:$DR$7,I$7)</f>
        <v/>
      </c>
      <c r="J113" s="46">
        <f>+SUMIFS($AA113:$DR113,$AA$7:$DR$7,J$7)</f>
        <v/>
      </c>
      <c r="K113" s="46">
        <f>+SUMIFS($AA113:$DR113,$AA$7:$DR$7,K$7)</f>
        <v/>
      </c>
      <c r="L113" s="46">
        <f>+SUMIFS($AA113:$DR113,$AA$7:$DR$7,L$7)</f>
        <v/>
      </c>
      <c r="M113" s="46">
        <f>+SUMIFS($AA113:$DR113,$AA$7:$DR$7,M$7)</f>
        <v/>
      </c>
      <c r="AA113" s="47" t="n">
        <v>0</v>
      </c>
      <c r="AB113" s="47" t="n">
        <v>0</v>
      </c>
      <c r="AC113" s="47" t="n">
        <v>0</v>
      </c>
      <c r="AD113" s="47" t="n">
        <v>0</v>
      </c>
      <c r="AE113" s="47" t="n">
        <v>0</v>
      </c>
      <c r="AF113" s="47" t="n">
        <v>0</v>
      </c>
      <c r="AG113" s="47" t="n">
        <v>0</v>
      </c>
      <c r="AH113" s="47" t="n">
        <v>0</v>
      </c>
      <c r="AI113" s="47" t="n">
        <v>0</v>
      </c>
      <c r="AJ113" s="47" t="n">
        <v>0</v>
      </c>
      <c r="AK113" s="47" t="n">
        <v>0</v>
      </c>
      <c r="AL113" s="47" t="n">
        <v>0</v>
      </c>
      <c r="AM113" s="47" t="n">
        <v>0</v>
      </c>
      <c r="AN113" s="47" t="n">
        <v>0</v>
      </c>
      <c r="AO113" s="47" t="n">
        <v>0</v>
      </c>
      <c r="AP113" s="47" t="n">
        <v>0</v>
      </c>
      <c r="AQ113" s="47" t="n">
        <v>0</v>
      </c>
      <c r="AR113" s="47" t="n">
        <v>0</v>
      </c>
      <c r="AS113" s="47" t="n">
        <v>0</v>
      </c>
      <c r="AT113" s="47" t="n">
        <v>0</v>
      </c>
      <c r="AU113" s="47" t="n">
        <v>0</v>
      </c>
      <c r="AV113" s="47" t="n">
        <v>0</v>
      </c>
      <c r="AW113" s="47" t="n">
        <v>0</v>
      </c>
      <c r="AX113" s="47" t="n">
        <v>0</v>
      </c>
      <c r="AY113" s="47" t="n">
        <v>0</v>
      </c>
      <c r="AZ113" s="47" t="n">
        <v>0</v>
      </c>
      <c r="BA113" s="47" t="n">
        <v>0</v>
      </c>
      <c r="BB113" s="47" t="n">
        <v>0</v>
      </c>
      <c r="BC113" s="47" t="n">
        <v>0.2143582736044481</v>
      </c>
      <c r="BD113" s="47" t="n">
        <v>2.743503102081766</v>
      </c>
      <c r="BE113" s="47" t="n">
        <v>1.319769036684402</v>
      </c>
      <c r="BF113" s="47" t="n">
        <v>0.4274195950065636</v>
      </c>
      <c r="BG113" s="47" t="n">
        <v>1.02843120978304</v>
      </c>
      <c r="BH113" s="47" t="n">
        <v>4.950638527018639</v>
      </c>
      <c r="BI113" s="47" t="n">
        <v>2.457183568500962</v>
      </c>
      <c r="BJ113" s="47" t="n">
        <v>1.522793985380328</v>
      </c>
      <c r="BK113" s="96" t="n"/>
      <c r="BL113" s="96" t="n"/>
      <c r="BM113" s="96" t="n"/>
      <c r="BN113" s="96" t="n"/>
      <c r="BO113" s="96" t="n"/>
      <c r="BP113" s="96" t="n"/>
      <c r="BQ113" s="96" t="n"/>
      <c r="BR113" s="96" t="n"/>
      <c r="BS113" s="96" t="n"/>
      <c r="BT113" s="96" t="n"/>
      <c r="BU113" s="96" t="n"/>
      <c r="BV113" s="96" t="n"/>
      <c r="BW113" s="96" t="n"/>
      <c r="BX113" s="96" t="n"/>
      <c r="BY113" s="96" t="n"/>
      <c r="BZ113" s="96" t="n"/>
      <c r="CA113" s="96" t="n"/>
      <c r="CB113" s="96" t="n"/>
      <c r="CC113" s="96" t="n"/>
      <c r="CD113" s="96" t="n"/>
      <c r="CE113" s="96" t="n"/>
      <c r="CF113" s="96" t="n"/>
      <c r="CG113" s="96" t="n"/>
      <c r="CH113" s="96" t="n"/>
      <c r="CI113" s="96" t="n"/>
      <c r="CJ113" s="96" t="n"/>
      <c r="CK113" s="96" t="n"/>
      <c r="CL113" s="96" t="n"/>
      <c r="CM113" s="96" t="n"/>
      <c r="CN113" s="96" t="n"/>
      <c r="CO113" s="96" t="n"/>
      <c r="CP113" s="96" t="n"/>
      <c r="CQ113" s="96" t="n"/>
      <c r="CR113" s="96" t="n"/>
      <c r="CS113" s="96" t="n"/>
      <c r="CT113" s="96" t="n"/>
      <c r="CU113" s="96" t="n"/>
      <c r="CV113" s="96" t="n"/>
      <c r="CW113" s="96" t="n"/>
      <c r="CX113" s="96" t="n"/>
      <c r="CY113" s="96" t="n"/>
      <c r="CZ113" s="96" t="n"/>
      <c r="DA113" s="96" t="n"/>
      <c r="DB113" s="96" t="n"/>
      <c r="DC113" s="96" t="n"/>
      <c r="DD113" s="96" t="n"/>
      <c r="DE113" s="96" t="n"/>
      <c r="DF113" s="96" t="n"/>
      <c r="DG113" s="96" t="n"/>
      <c r="DH113" s="96" t="n"/>
      <c r="DI113" s="96" t="n"/>
      <c r="DJ113" s="96" t="n"/>
      <c r="DK113" s="96" t="n"/>
      <c r="DL113" s="96" t="n"/>
      <c r="DM113" s="96" t="n"/>
      <c r="DN113" s="96" t="n"/>
      <c r="DO113" s="96" t="n"/>
      <c r="DP113" s="96" t="n"/>
      <c r="DQ113" s="96" t="n"/>
      <c r="DR113" s="96" t="n"/>
    </row>
    <row r="114" hidden="1" outlineLevel="1" ht="15.75" customHeight="1">
      <c r="B114" s="5" t="inlineStr">
        <is>
          <t>AAI</t>
        </is>
      </c>
      <c r="C114" s="68" t="inlineStr">
        <is>
          <t>Lower Middle Market</t>
        </is>
      </c>
      <c r="F114" s="46">
        <f>+SUMIFS($AA114:$DR114,$AA$7:$DR$7,F$7)</f>
        <v/>
      </c>
      <c r="G114" s="46">
        <f>+SUMIFS($AA114:$DR114,$AA$7:$DR$7,G$7)</f>
        <v/>
      </c>
      <c r="H114" s="46">
        <f>+SUMIFS($AA114:$DR114,$AA$7:$DR$7,H$7)</f>
        <v/>
      </c>
      <c r="I114" s="46">
        <f>+SUMIFS($AA114:$DR114,$AA$7:$DR$7,I$7)</f>
        <v/>
      </c>
      <c r="J114" s="46">
        <f>+SUMIFS($AA114:$DR114,$AA$7:$DR$7,J$7)</f>
        <v/>
      </c>
      <c r="K114" s="46">
        <f>+SUMIFS($AA114:$DR114,$AA$7:$DR$7,K$7)</f>
        <v/>
      </c>
      <c r="L114" s="46">
        <f>+SUMIFS($AA114:$DR114,$AA$7:$DR$7,L$7)</f>
        <v/>
      </c>
      <c r="M114" s="46">
        <f>+SUMIFS($AA114:$DR114,$AA$7:$DR$7,M$7)</f>
        <v/>
      </c>
      <c r="AA114" s="47" t="n">
        <v>0</v>
      </c>
      <c r="AB114" s="47" t="n">
        <v>0</v>
      </c>
      <c r="AC114" s="47" t="n">
        <v>0</v>
      </c>
      <c r="AD114" s="47" t="n">
        <v>0</v>
      </c>
      <c r="AE114" s="47" t="n">
        <v>0</v>
      </c>
      <c r="AF114" s="47" t="n">
        <v>0</v>
      </c>
      <c r="AG114" s="47" t="n">
        <v>0</v>
      </c>
      <c r="AH114" s="47" t="n">
        <v>0</v>
      </c>
      <c r="AI114" s="47" t="n">
        <v>0</v>
      </c>
      <c r="AJ114" s="47" t="n">
        <v>0</v>
      </c>
      <c r="AK114" s="47" t="n">
        <v>0</v>
      </c>
      <c r="AL114" s="47" t="n">
        <v>0</v>
      </c>
      <c r="AM114" s="47" t="n">
        <v>0</v>
      </c>
      <c r="AN114" s="47" t="n">
        <v>0</v>
      </c>
      <c r="AO114" s="47" t="n">
        <v>0</v>
      </c>
      <c r="AP114" s="47" t="n">
        <v>0</v>
      </c>
      <c r="AQ114" s="47" t="n">
        <v>0</v>
      </c>
      <c r="AR114" s="47" t="n">
        <v>0</v>
      </c>
      <c r="AS114" s="47" t="n">
        <v>0</v>
      </c>
      <c r="AT114" s="47" t="n">
        <v>0</v>
      </c>
      <c r="AU114" s="47" t="n">
        <v>0</v>
      </c>
      <c r="AV114" s="47" t="n">
        <v>0</v>
      </c>
      <c r="AW114" s="47" t="n">
        <v>0</v>
      </c>
      <c r="AX114" s="47" t="n">
        <v>0</v>
      </c>
      <c r="AY114" s="47" t="n">
        <v>0</v>
      </c>
      <c r="AZ114" s="47" t="n">
        <v>0</v>
      </c>
      <c r="BA114" s="47" t="n">
        <v>0</v>
      </c>
      <c r="BB114" s="47" t="n">
        <v>0</v>
      </c>
      <c r="BC114" s="47" t="n">
        <v>0</v>
      </c>
      <c r="BD114" s="47" t="n">
        <v>0</v>
      </c>
      <c r="BE114" s="47" t="n">
        <v>0</v>
      </c>
      <c r="BF114" s="47" t="n">
        <v>0</v>
      </c>
      <c r="BG114" s="47" t="n">
        <v>0</v>
      </c>
      <c r="BH114" s="47" t="n">
        <v>0</v>
      </c>
      <c r="BI114" s="47" t="n">
        <v>0</v>
      </c>
      <c r="BJ114" s="47" t="n">
        <v>0</v>
      </c>
      <c r="BK114" s="96" t="n"/>
      <c r="BL114" s="96" t="n"/>
      <c r="BM114" s="96" t="n"/>
      <c r="BN114" s="96" t="n"/>
      <c r="BO114" s="96" t="n"/>
      <c r="BP114" s="96" t="n"/>
      <c r="BQ114" s="96" t="n"/>
      <c r="BR114" s="96" t="n"/>
      <c r="BS114" s="96" t="n"/>
      <c r="BT114" s="96" t="n"/>
      <c r="BU114" s="96" t="n"/>
      <c r="BV114" s="96" t="n"/>
      <c r="BW114" s="96" t="n"/>
      <c r="BX114" s="96" t="n"/>
      <c r="BY114" s="96" t="n"/>
      <c r="BZ114" s="96" t="n"/>
      <c r="CA114" s="96" t="n"/>
      <c r="CB114" s="96" t="n"/>
      <c r="CC114" s="96" t="n"/>
      <c r="CD114" s="96" t="n"/>
      <c r="CE114" s="96" t="n"/>
      <c r="CF114" s="96" t="n"/>
      <c r="CG114" s="96" t="n"/>
      <c r="CH114" s="96" t="n"/>
      <c r="CI114" s="96" t="n"/>
      <c r="CJ114" s="96" t="n"/>
      <c r="CK114" s="96" t="n"/>
      <c r="CL114" s="96" t="n"/>
      <c r="CM114" s="96" t="n"/>
      <c r="CN114" s="96" t="n"/>
      <c r="CO114" s="96" t="n"/>
      <c r="CP114" s="96" t="n"/>
      <c r="CQ114" s="96" t="n"/>
      <c r="CR114" s="96" t="n"/>
      <c r="CS114" s="96" t="n"/>
      <c r="CT114" s="96" t="n"/>
      <c r="CU114" s="96" t="n"/>
      <c r="CV114" s="96" t="n"/>
      <c r="CW114" s="96" t="n"/>
      <c r="CX114" s="96" t="n"/>
      <c r="CY114" s="96" t="n"/>
      <c r="CZ114" s="96" t="n"/>
      <c r="DA114" s="96" t="n"/>
      <c r="DB114" s="96" t="n"/>
      <c r="DC114" s="96" t="n"/>
      <c r="DD114" s="96" t="n"/>
      <c r="DE114" s="96" t="n"/>
      <c r="DF114" s="96" t="n"/>
      <c r="DG114" s="96" t="n"/>
      <c r="DH114" s="96" t="n"/>
      <c r="DI114" s="96" t="n"/>
      <c r="DJ114" s="96" t="n"/>
      <c r="DK114" s="96" t="n"/>
      <c r="DL114" s="96" t="n"/>
      <c r="DM114" s="96" t="n"/>
      <c r="DN114" s="96" t="n"/>
      <c r="DO114" s="96" t="n"/>
      <c r="DP114" s="96" t="n"/>
      <c r="DQ114" s="96" t="n"/>
      <c r="DR114" s="96" t="n"/>
    </row>
    <row r="115" hidden="1" outlineLevel="1" ht="15.75" customHeight="1">
      <c r="B115" s="5" t="inlineStr">
        <is>
          <t>AAOS</t>
        </is>
      </c>
      <c r="C115" s="68" t="inlineStr">
        <is>
          <t>Upper Middle Market</t>
        </is>
      </c>
      <c r="F115" s="46">
        <f>+SUMIFS($AA115:$DR115,$AA$7:$DR$7,F$7)</f>
        <v/>
      </c>
      <c r="G115" s="46">
        <f>+SUMIFS($AA115:$DR115,$AA$7:$DR$7,G$7)</f>
        <v/>
      </c>
      <c r="H115" s="46">
        <f>+SUMIFS($AA115:$DR115,$AA$7:$DR$7,H$7)</f>
        <v/>
      </c>
      <c r="I115" s="46">
        <f>+SUMIFS($AA115:$DR115,$AA$7:$DR$7,I$7)</f>
        <v/>
      </c>
      <c r="J115" s="46">
        <f>+SUMIFS($AA115:$DR115,$AA$7:$DR$7,J$7)</f>
        <v/>
      </c>
      <c r="K115" s="46">
        <f>+SUMIFS($AA115:$DR115,$AA$7:$DR$7,K$7)</f>
        <v/>
      </c>
      <c r="L115" s="46">
        <f>+SUMIFS($AA115:$DR115,$AA$7:$DR$7,L$7)</f>
        <v/>
      </c>
      <c r="M115" s="46">
        <f>+SUMIFS($AA115:$DR115,$AA$7:$DR$7,M$7)</f>
        <v/>
      </c>
      <c r="AA115" s="47" t="n">
        <v>0</v>
      </c>
      <c r="AB115" s="47" t="n">
        <v>0</v>
      </c>
      <c r="AC115" s="47" t="n">
        <v>0</v>
      </c>
      <c r="AD115" s="47" t="n">
        <v>0</v>
      </c>
      <c r="AE115" s="47" t="n">
        <v>0</v>
      </c>
      <c r="AF115" s="47" t="n">
        <v>0</v>
      </c>
      <c r="AG115" s="47" t="n">
        <v>0</v>
      </c>
      <c r="AH115" s="47" t="n">
        <v>0</v>
      </c>
      <c r="AI115" s="47" t="n">
        <v>0</v>
      </c>
      <c r="AJ115" s="47" t="n">
        <v>0</v>
      </c>
      <c r="AK115" s="47" t="n">
        <v>0</v>
      </c>
      <c r="AL115" s="47" t="n">
        <v>0</v>
      </c>
      <c r="AM115" s="47" t="n">
        <v>0</v>
      </c>
      <c r="AN115" s="47" t="n">
        <v>0</v>
      </c>
      <c r="AO115" s="47" t="n">
        <v>0</v>
      </c>
      <c r="AP115" s="47" t="n">
        <v>0</v>
      </c>
      <c r="AQ115" s="47" t="n">
        <v>0</v>
      </c>
      <c r="AR115" s="47" t="n">
        <v>1.702076510627467</v>
      </c>
      <c r="AS115" s="47" t="n">
        <v>2.283689628010601</v>
      </c>
      <c r="AT115" s="47" t="n">
        <v>0.208204073698013</v>
      </c>
      <c r="AU115" s="47" t="n">
        <v>2.844966719264281</v>
      </c>
      <c r="AV115" s="47" t="n">
        <v>2.327820824001031</v>
      </c>
      <c r="AW115" s="47" t="n">
        <v>4.118586165825381</v>
      </c>
      <c r="AX115" s="47" t="n">
        <v>3.273999179525898</v>
      </c>
      <c r="AY115" s="47" t="n">
        <v>4.782858232629533</v>
      </c>
      <c r="AZ115" s="47" t="n">
        <v>8.689540472676688</v>
      </c>
      <c r="BA115" s="47" t="n">
        <v>17.99066930239282</v>
      </c>
      <c r="BB115" s="47" t="n">
        <v>21.82622325109946</v>
      </c>
      <c r="BC115" s="47" t="n">
        <v>19.29588702493445</v>
      </c>
      <c r="BD115" s="47" t="n">
        <v>5.093697731424575</v>
      </c>
      <c r="BE115" s="47" t="n">
        <v>5.256835774280889</v>
      </c>
      <c r="BF115" s="47" t="n">
        <v>2.718229184306266</v>
      </c>
      <c r="BG115" s="47" t="n">
        <v>4.105652652224136</v>
      </c>
      <c r="BH115" s="47" t="n">
        <v>6.508905501233364</v>
      </c>
      <c r="BI115" s="47" t="n">
        <v>1.506832124457634</v>
      </c>
      <c r="BJ115" s="47" t="n">
        <v>0.7818634392327927</v>
      </c>
      <c r="BK115" s="96" t="n"/>
      <c r="BL115" s="96" t="n"/>
      <c r="BM115" s="96" t="n"/>
      <c r="BN115" s="96" t="n"/>
      <c r="BO115" s="96" t="n"/>
      <c r="BP115" s="96" t="n"/>
      <c r="BQ115" s="96" t="n"/>
      <c r="BR115" s="96" t="n"/>
      <c r="BS115" s="96" t="n"/>
      <c r="BT115" s="96" t="n"/>
      <c r="BU115" s="96" t="n"/>
      <c r="BV115" s="96" t="n"/>
      <c r="BW115" s="96" t="n"/>
      <c r="BX115" s="96" t="n"/>
      <c r="BY115" s="96" t="n"/>
      <c r="BZ115" s="96" t="n"/>
      <c r="CA115" s="96" t="n"/>
      <c r="CB115" s="96" t="n"/>
      <c r="CC115" s="96" t="n"/>
      <c r="CD115" s="96" t="n"/>
      <c r="CE115" s="96" t="n"/>
      <c r="CF115" s="96" t="n"/>
      <c r="CG115" s="96" t="n"/>
      <c r="CH115" s="96" t="n"/>
      <c r="CI115" s="96" t="n"/>
      <c r="CJ115" s="96" t="n"/>
      <c r="CK115" s="96" t="n"/>
      <c r="CL115" s="96" t="n"/>
      <c r="CM115" s="96" t="n"/>
      <c r="CN115" s="96" t="n"/>
      <c r="CO115" s="96" t="n"/>
      <c r="CP115" s="96" t="n"/>
      <c r="CQ115" s="96" t="n"/>
      <c r="CR115" s="96" t="n"/>
      <c r="CS115" s="96" t="n"/>
      <c r="CT115" s="96" t="n"/>
      <c r="CU115" s="96" t="n"/>
      <c r="CV115" s="96" t="n"/>
      <c r="CW115" s="96" t="n"/>
      <c r="CX115" s="96" t="n"/>
      <c r="CY115" s="96" t="n"/>
      <c r="CZ115" s="96" t="n"/>
      <c r="DA115" s="96" t="n"/>
      <c r="DB115" s="96" t="n"/>
      <c r="DC115" s="96" t="n"/>
      <c r="DD115" s="96" t="n"/>
      <c r="DE115" s="96" t="n"/>
      <c r="DF115" s="96" t="n"/>
      <c r="DG115" s="96" t="n"/>
      <c r="DH115" s="96" t="n"/>
      <c r="DI115" s="96" t="n"/>
      <c r="DJ115" s="96" t="n"/>
      <c r="DK115" s="96" t="n"/>
      <c r="DL115" s="96" t="n"/>
      <c r="DM115" s="96" t="n"/>
      <c r="DN115" s="96" t="n"/>
      <c r="DO115" s="96" t="n"/>
      <c r="DP115" s="96" t="n"/>
      <c r="DQ115" s="96" t="n"/>
      <c r="DR115" s="96" t="n"/>
    </row>
    <row r="116" hidden="1" outlineLevel="1" ht="15.75" customHeight="1">
      <c r="B116" s="5" t="inlineStr">
        <is>
          <t>AAP</t>
        </is>
      </c>
      <c r="C116" s="68" t="inlineStr">
        <is>
          <t>Major</t>
        </is>
      </c>
      <c r="F116" s="46">
        <f>+SUMIFS($AA116:$DR116,$AA$7:$DR$7,F$7)</f>
        <v/>
      </c>
      <c r="G116" s="46">
        <f>+SUMIFS($AA116:$DR116,$AA$7:$DR$7,G$7)</f>
        <v/>
      </c>
      <c r="H116" s="46">
        <f>+SUMIFS($AA116:$DR116,$AA$7:$DR$7,H$7)</f>
        <v/>
      </c>
      <c r="I116" s="46">
        <f>+SUMIFS($AA116:$DR116,$AA$7:$DR$7,I$7)</f>
        <v/>
      </c>
      <c r="J116" s="46">
        <f>+SUMIFS($AA116:$DR116,$AA$7:$DR$7,J$7)</f>
        <v/>
      </c>
      <c r="K116" s="46">
        <f>+SUMIFS($AA116:$DR116,$AA$7:$DR$7,K$7)</f>
        <v/>
      </c>
      <c r="L116" s="46">
        <f>+SUMIFS($AA116:$DR116,$AA$7:$DR$7,L$7)</f>
        <v/>
      </c>
      <c r="M116" s="46">
        <f>+SUMIFS($AA116:$DR116,$AA$7:$DR$7,M$7)</f>
        <v/>
      </c>
      <c r="AA116" s="47" t="n">
        <v>1.191821139894917</v>
      </c>
      <c r="AB116" s="47" t="n">
        <v>0.8351071897205835</v>
      </c>
      <c r="AC116" s="47" t="n">
        <v>1.802381175336219</v>
      </c>
      <c r="AD116" s="47" t="n">
        <v>2.746313847816571</v>
      </c>
      <c r="AE116" s="47" t="n">
        <v>2.31890265499647</v>
      </c>
      <c r="AF116" s="47" t="n">
        <v>8.977131151115225</v>
      </c>
      <c r="AG116" s="47" t="n">
        <v>16.15962956155904</v>
      </c>
      <c r="AH116" s="47" t="n">
        <v>16.31708390131695</v>
      </c>
      <c r="AI116" s="47" t="n">
        <v>7.470661287983724</v>
      </c>
      <c r="AJ116" s="47" t="n">
        <v>4.343442391403345</v>
      </c>
      <c r="AK116" s="47" t="n">
        <v>2.51554193523739</v>
      </c>
      <c r="AL116" s="47" t="n">
        <v>3.099470638514939</v>
      </c>
      <c r="AM116" s="47" t="n">
        <v>4.3071864841474</v>
      </c>
      <c r="AN116" s="47" t="n">
        <v>5.283606222686376</v>
      </c>
      <c r="AO116" s="47" t="n">
        <v>4.928765921327535</v>
      </c>
      <c r="AP116" s="47" t="n">
        <v>4.76420417508147</v>
      </c>
      <c r="AQ116" s="47" t="n">
        <v>5.045757866717038</v>
      </c>
      <c r="AR116" s="47" t="n">
        <v>2.014377955436974</v>
      </c>
      <c r="AS116" s="47" t="n">
        <v>2.507686207091845</v>
      </c>
      <c r="AT116" s="47" t="n">
        <v>1.16824558628864</v>
      </c>
      <c r="AU116" s="47" t="n">
        <v>1.164191970557792</v>
      </c>
      <c r="AV116" s="47" t="n">
        <v>1.99754527929492</v>
      </c>
      <c r="AW116" s="47" t="n">
        <v>0.2492530188690961</v>
      </c>
      <c r="AX116" s="47" t="n">
        <v>0.01230397125671296</v>
      </c>
      <c r="AY116" s="47" t="n">
        <v>0</v>
      </c>
      <c r="AZ116" s="47" t="n">
        <v>1.686913046551171</v>
      </c>
      <c r="BA116" s="47" t="n">
        <v>2.099587072531419</v>
      </c>
      <c r="BB116" s="47" t="n">
        <v>6.117408333229513</v>
      </c>
      <c r="BC116" s="47" t="n">
        <v>8.489121233238986</v>
      </c>
      <c r="BD116" s="47" t="n">
        <v>9.682542402271824</v>
      </c>
      <c r="BE116" s="47" t="n">
        <v>27.81617373662662</v>
      </c>
      <c r="BF116" s="47" t="n">
        <v>18.49649530038015</v>
      </c>
      <c r="BG116" s="47" t="n">
        <v>27.00472611504094</v>
      </c>
      <c r="BH116" s="47" t="n">
        <v>19.87683099445649</v>
      </c>
      <c r="BI116" s="47" t="n">
        <v>8.843845365710546</v>
      </c>
      <c r="BJ116" s="47" t="n">
        <v>1.934408325200936</v>
      </c>
      <c r="BK116" s="96" t="n"/>
      <c r="BL116" s="96" t="n"/>
      <c r="BM116" s="96" t="n"/>
      <c r="BN116" s="96" t="n"/>
      <c r="BO116" s="96" t="n"/>
      <c r="BP116" s="96" t="n"/>
      <c r="BQ116" s="96" t="n"/>
      <c r="BR116" s="96" t="n"/>
      <c r="BS116" s="96" t="n"/>
      <c r="BT116" s="96" t="n"/>
      <c r="BU116" s="96" t="n"/>
      <c r="BV116" s="96" t="n"/>
      <c r="BW116" s="96" t="n"/>
      <c r="BX116" s="96" t="n"/>
      <c r="BY116" s="96" t="n"/>
      <c r="BZ116" s="96" t="n"/>
      <c r="CA116" s="96" t="n"/>
      <c r="CB116" s="96" t="n"/>
      <c r="CC116" s="96" t="n"/>
      <c r="CD116" s="96" t="n"/>
      <c r="CE116" s="96" t="n"/>
      <c r="CF116" s="96" t="n"/>
      <c r="CG116" s="96" t="n"/>
      <c r="CH116" s="96" t="n"/>
      <c r="CI116" s="96" t="n"/>
      <c r="CJ116" s="96" t="n"/>
      <c r="CK116" s="96" t="n"/>
      <c r="CL116" s="96" t="n"/>
      <c r="CM116" s="96" t="n"/>
      <c r="CN116" s="96" t="n"/>
      <c r="CO116" s="96" t="n"/>
      <c r="CP116" s="96" t="n"/>
      <c r="CQ116" s="96" t="n"/>
      <c r="CR116" s="96" t="n"/>
      <c r="CS116" s="96" t="n"/>
      <c r="CT116" s="96" t="n"/>
      <c r="CU116" s="96" t="n"/>
      <c r="CV116" s="96" t="n"/>
      <c r="CW116" s="96" t="n"/>
      <c r="CX116" s="96" t="n"/>
      <c r="CY116" s="96" t="n"/>
      <c r="CZ116" s="96" t="n"/>
      <c r="DA116" s="96" t="n"/>
      <c r="DB116" s="96" t="n"/>
      <c r="DC116" s="96" t="n"/>
      <c r="DD116" s="96" t="n"/>
      <c r="DE116" s="96" t="n"/>
      <c r="DF116" s="96" t="n"/>
      <c r="DG116" s="96" t="n"/>
      <c r="DH116" s="96" t="n"/>
      <c r="DI116" s="96" t="n"/>
      <c r="DJ116" s="96" t="n"/>
      <c r="DK116" s="96" t="n"/>
      <c r="DL116" s="96" t="n"/>
      <c r="DM116" s="96" t="n"/>
      <c r="DN116" s="96" t="n"/>
      <c r="DO116" s="96" t="n"/>
      <c r="DP116" s="96" t="n"/>
      <c r="DQ116" s="96" t="n"/>
      <c r="DR116" s="96" t="n"/>
    </row>
    <row r="117" hidden="1" outlineLevel="1" ht="15.75" customHeight="1">
      <c r="B117" s="5" t="inlineStr">
        <is>
          <t>ADA</t>
        </is>
      </c>
      <c r="C117" s="68" t="inlineStr">
        <is>
          <t>Lower Middle Market</t>
        </is>
      </c>
      <c r="F117" s="46">
        <f>+SUMIFS($AA117:$DR117,$AA$7:$DR$7,F$7)</f>
        <v/>
      </c>
      <c r="G117" s="46">
        <f>+SUMIFS($AA117:$DR117,$AA$7:$DR$7,G$7)</f>
        <v/>
      </c>
      <c r="H117" s="46">
        <f>+SUMIFS($AA117:$DR117,$AA$7:$DR$7,H$7)</f>
        <v/>
      </c>
      <c r="I117" s="46">
        <f>+SUMIFS($AA117:$DR117,$AA$7:$DR$7,I$7)</f>
        <v/>
      </c>
      <c r="J117" s="46">
        <f>+SUMIFS($AA117:$DR117,$AA$7:$DR$7,J$7)</f>
        <v/>
      </c>
      <c r="K117" s="46">
        <f>+SUMIFS($AA117:$DR117,$AA$7:$DR$7,K$7)</f>
        <v/>
      </c>
      <c r="L117" s="46">
        <f>+SUMIFS($AA117:$DR117,$AA$7:$DR$7,L$7)</f>
        <v/>
      </c>
      <c r="M117" s="46">
        <f>+SUMIFS($AA117:$DR117,$AA$7:$DR$7,M$7)</f>
        <v/>
      </c>
      <c r="AA117" s="47" t="n">
        <v>0</v>
      </c>
      <c r="AB117" s="47" t="n">
        <v>0</v>
      </c>
      <c r="AC117" s="47" t="n">
        <v>0</v>
      </c>
      <c r="AD117" s="47" t="n">
        <v>0</v>
      </c>
      <c r="AE117" s="47" t="n">
        <v>0</v>
      </c>
      <c r="AF117" s="47" t="n">
        <v>0</v>
      </c>
      <c r="AG117" s="47" t="n">
        <v>0</v>
      </c>
      <c r="AH117" s="47" t="n">
        <v>0</v>
      </c>
      <c r="AI117" s="47" t="n">
        <v>0</v>
      </c>
      <c r="AJ117" s="47" t="n">
        <v>0</v>
      </c>
      <c r="AK117" s="47" t="n">
        <v>0</v>
      </c>
      <c r="AL117" s="47" t="n">
        <v>0</v>
      </c>
      <c r="AM117" s="47" t="n">
        <v>0</v>
      </c>
      <c r="AN117" s="47" t="n">
        <v>0</v>
      </c>
      <c r="AO117" s="47" t="n">
        <v>0</v>
      </c>
      <c r="AP117" s="47" t="n">
        <v>0</v>
      </c>
      <c r="AQ117" s="47" t="n">
        <v>0</v>
      </c>
      <c r="AR117" s="47" t="n">
        <v>0</v>
      </c>
      <c r="AS117" s="47" t="n">
        <v>0</v>
      </c>
      <c r="AT117" s="47" t="n">
        <v>0</v>
      </c>
      <c r="AU117" s="47" t="n">
        <v>0</v>
      </c>
      <c r="AV117" s="47" t="n">
        <v>0</v>
      </c>
      <c r="AW117" s="47" t="n">
        <v>0</v>
      </c>
      <c r="AX117" s="47" t="n">
        <v>0</v>
      </c>
      <c r="AY117" s="47" t="n">
        <v>0</v>
      </c>
      <c r="AZ117" s="47" t="n">
        <v>0</v>
      </c>
      <c r="BA117" s="47" t="n">
        <v>0</v>
      </c>
      <c r="BB117" s="47" t="n">
        <v>0</v>
      </c>
      <c r="BC117" s="47" t="n">
        <v>0</v>
      </c>
      <c r="BD117" s="47" t="n">
        <v>0</v>
      </c>
      <c r="BE117" s="47" t="n">
        <v>0.1274752747385916</v>
      </c>
      <c r="BF117" s="47" t="n">
        <v>1.789368009578344</v>
      </c>
      <c r="BG117" s="47" t="n">
        <v>3.222171585281477</v>
      </c>
      <c r="BH117" s="47" t="n">
        <v>1.567333420030222</v>
      </c>
      <c r="BI117" s="47" t="n">
        <v>1.914889711698958</v>
      </c>
      <c r="BJ117" s="47" t="n">
        <v>0.2979845746318465</v>
      </c>
      <c r="BK117" s="96" t="n"/>
      <c r="BL117" s="96" t="n"/>
      <c r="BM117" s="96" t="n"/>
      <c r="BN117" s="96" t="n"/>
      <c r="BO117" s="96" t="n"/>
      <c r="BP117" s="96" t="n"/>
      <c r="BQ117" s="96" t="n"/>
      <c r="BR117" s="96" t="n"/>
      <c r="BS117" s="96" t="n"/>
      <c r="BT117" s="96" t="n"/>
      <c r="BU117" s="96" t="n"/>
      <c r="BV117" s="96" t="n"/>
      <c r="BW117" s="96" t="n"/>
      <c r="BX117" s="96" t="n"/>
      <c r="BY117" s="96" t="n"/>
      <c r="BZ117" s="96" t="n"/>
      <c r="CA117" s="96" t="n"/>
      <c r="CB117" s="96" t="n"/>
      <c r="CC117" s="96" t="n"/>
      <c r="CD117" s="96" t="n"/>
      <c r="CE117" s="96" t="n"/>
      <c r="CF117" s="96" t="n"/>
      <c r="CG117" s="96" t="n"/>
      <c r="CH117" s="96" t="n"/>
      <c r="CI117" s="96" t="n"/>
      <c r="CJ117" s="96" t="n"/>
      <c r="CK117" s="96" t="n"/>
      <c r="CL117" s="96" t="n"/>
      <c r="CM117" s="96" t="n"/>
      <c r="CN117" s="96" t="n"/>
      <c r="CO117" s="96" t="n"/>
      <c r="CP117" s="96" t="n"/>
      <c r="CQ117" s="96" t="n"/>
      <c r="CR117" s="96" t="n"/>
      <c r="CS117" s="96" t="n"/>
      <c r="CT117" s="96" t="n"/>
      <c r="CU117" s="96" t="n"/>
      <c r="CV117" s="96" t="n"/>
      <c r="CW117" s="96" t="n"/>
      <c r="CX117" s="96" t="n"/>
      <c r="CY117" s="96" t="n"/>
      <c r="CZ117" s="96" t="n"/>
      <c r="DA117" s="96" t="n"/>
      <c r="DB117" s="96" t="n"/>
      <c r="DC117" s="96" t="n"/>
      <c r="DD117" s="96" t="n"/>
      <c r="DE117" s="96" t="n"/>
      <c r="DF117" s="96" t="n"/>
      <c r="DG117" s="96" t="n"/>
      <c r="DH117" s="96" t="n"/>
      <c r="DI117" s="96" t="n"/>
      <c r="DJ117" s="96" t="n"/>
      <c r="DK117" s="96" t="n"/>
      <c r="DL117" s="96" t="n"/>
      <c r="DM117" s="96" t="n"/>
      <c r="DN117" s="96" t="n"/>
      <c r="DO117" s="96" t="n"/>
      <c r="DP117" s="96" t="n"/>
      <c r="DQ117" s="96" t="n"/>
      <c r="DR117" s="96" t="n"/>
    </row>
    <row r="118" hidden="1" outlineLevel="1" ht="15.75" customHeight="1">
      <c r="B118" s="5" t="inlineStr">
        <is>
          <t>AHRQ</t>
        </is>
      </c>
      <c r="C118" s="68" t="inlineStr">
        <is>
          <t>Lower Middle Market</t>
        </is>
      </c>
      <c r="F118" s="46">
        <f>+SUMIFS($AA118:$DR118,$AA$7:$DR$7,F$7)</f>
        <v/>
      </c>
      <c r="G118" s="46">
        <f>+SUMIFS($AA118:$DR118,$AA$7:$DR$7,G$7)</f>
        <v/>
      </c>
      <c r="H118" s="46">
        <f>+SUMIFS($AA118:$DR118,$AA$7:$DR$7,H$7)</f>
        <v/>
      </c>
      <c r="I118" s="46">
        <f>+SUMIFS($AA118:$DR118,$AA$7:$DR$7,I$7)</f>
        <v/>
      </c>
      <c r="J118" s="46">
        <f>+SUMIFS($AA118:$DR118,$AA$7:$DR$7,J$7)</f>
        <v/>
      </c>
      <c r="K118" s="46">
        <f>+SUMIFS($AA118:$DR118,$AA$7:$DR$7,K$7)</f>
        <v/>
      </c>
      <c r="L118" s="46">
        <f>+SUMIFS($AA118:$DR118,$AA$7:$DR$7,L$7)</f>
        <v/>
      </c>
      <c r="M118" s="46">
        <f>+SUMIFS($AA118:$DR118,$AA$7:$DR$7,M$7)</f>
        <v/>
      </c>
      <c r="AA118" s="47" t="n">
        <v>0</v>
      </c>
      <c r="AB118" s="47" t="n">
        <v>0</v>
      </c>
      <c r="AC118" s="47" t="n">
        <v>0</v>
      </c>
      <c r="AD118" s="47" t="n">
        <v>0</v>
      </c>
      <c r="AE118" s="47" t="n">
        <v>0</v>
      </c>
      <c r="AF118" s="47" t="n">
        <v>0</v>
      </c>
      <c r="AG118" s="47" t="n">
        <v>0</v>
      </c>
      <c r="AH118" s="47" t="n">
        <v>0</v>
      </c>
      <c r="AI118" s="47" t="n">
        <v>0</v>
      </c>
      <c r="AJ118" s="47" t="n">
        <v>0</v>
      </c>
      <c r="AK118" s="47" t="n">
        <v>0</v>
      </c>
      <c r="AL118" s="47" t="n">
        <v>0</v>
      </c>
      <c r="AM118" s="47" t="n">
        <v>0</v>
      </c>
      <c r="AN118" s="47" t="n">
        <v>0</v>
      </c>
      <c r="AO118" s="47" t="n">
        <v>0</v>
      </c>
      <c r="AP118" s="47" t="n">
        <v>0</v>
      </c>
      <c r="AQ118" s="47" t="n">
        <v>0</v>
      </c>
      <c r="AR118" s="47" t="n">
        <v>0</v>
      </c>
      <c r="AS118" s="47" t="n">
        <v>0</v>
      </c>
      <c r="AT118" s="47" t="n">
        <v>0</v>
      </c>
      <c r="AU118" s="47" t="n">
        <v>0</v>
      </c>
      <c r="AV118" s="47" t="n">
        <v>0</v>
      </c>
      <c r="AW118" s="47" t="n">
        <v>0</v>
      </c>
      <c r="AX118" s="47" t="n">
        <v>0</v>
      </c>
      <c r="AY118" s="47" t="n">
        <v>0</v>
      </c>
      <c r="AZ118" s="47" t="n">
        <v>0</v>
      </c>
      <c r="BA118" s="47" t="n">
        <v>0</v>
      </c>
      <c r="BB118" s="47" t="n">
        <v>0</v>
      </c>
      <c r="BC118" s="47" t="n">
        <v>0</v>
      </c>
      <c r="BD118" s="47" t="n">
        <v>0</v>
      </c>
      <c r="BE118" s="47" t="n">
        <v>0</v>
      </c>
      <c r="BF118" s="47" t="n">
        <v>0</v>
      </c>
      <c r="BG118" s="47" t="n">
        <v>0</v>
      </c>
      <c r="BH118" s="47" t="n">
        <v>0</v>
      </c>
      <c r="BI118" s="47" t="n">
        <v>0</v>
      </c>
      <c r="BJ118" s="47" t="n">
        <v>0</v>
      </c>
      <c r="BK118" s="96" t="n"/>
      <c r="BL118" s="96" t="n"/>
      <c r="BM118" s="96" t="n"/>
      <c r="BN118" s="96" t="n"/>
      <c r="BO118" s="96" t="n"/>
      <c r="BP118" s="96" t="n"/>
      <c r="BQ118" s="96" t="n"/>
      <c r="BR118" s="96" t="n"/>
      <c r="BS118" s="96" t="n"/>
      <c r="BT118" s="96" t="n"/>
      <c r="BU118" s="96" t="n"/>
      <c r="BV118" s="96" t="n"/>
      <c r="BW118" s="96" t="n"/>
      <c r="BX118" s="96" t="n"/>
      <c r="BY118" s="96" t="n"/>
      <c r="BZ118" s="96" t="n"/>
      <c r="CA118" s="96" t="n"/>
      <c r="CB118" s="96" t="n"/>
      <c r="CC118" s="96" t="n"/>
      <c r="CD118" s="96" t="n"/>
      <c r="CE118" s="96" t="n"/>
      <c r="CF118" s="96" t="n"/>
      <c r="CG118" s="96" t="n"/>
      <c r="CH118" s="96" t="n"/>
      <c r="CI118" s="96" t="n"/>
      <c r="CJ118" s="96" t="n"/>
      <c r="CK118" s="96" t="n"/>
      <c r="CL118" s="96" t="n"/>
      <c r="CM118" s="96" t="n"/>
      <c r="CN118" s="96" t="n"/>
      <c r="CO118" s="96" t="n"/>
      <c r="CP118" s="96" t="n"/>
      <c r="CQ118" s="96" t="n"/>
      <c r="CR118" s="96" t="n"/>
      <c r="CS118" s="96" t="n"/>
      <c r="CT118" s="96" t="n"/>
      <c r="CU118" s="96" t="n"/>
      <c r="CV118" s="96" t="n"/>
      <c r="CW118" s="96" t="n"/>
      <c r="CX118" s="96" t="n"/>
      <c r="CY118" s="96" t="n"/>
      <c r="CZ118" s="96" t="n"/>
      <c r="DA118" s="96" t="n"/>
      <c r="DB118" s="96" t="n"/>
      <c r="DC118" s="96" t="n"/>
      <c r="DD118" s="96" t="n"/>
      <c r="DE118" s="96" t="n"/>
      <c r="DF118" s="96" t="n"/>
      <c r="DG118" s="96" t="n"/>
      <c r="DH118" s="96" t="n"/>
      <c r="DI118" s="96" t="n"/>
      <c r="DJ118" s="96" t="n"/>
      <c r="DK118" s="96" t="n"/>
      <c r="DL118" s="96" t="n"/>
      <c r="DM118" s="96" t="n"/>
      <c r="DN118" s="96" t="n"/>
      <c r="DO118" s="96" t="n"/>
      <c r="DP118" s="96" t="n"/>
      <c r="DQ118" s="96" t="n"/>
      <c r="DR118" s="96" t="n"/>
    </row>
    <row r="119" hidden="1" outlineLevel="1" ht="15.75" customHeight="1">
      <c r="B119" s="5" t="inlineStr">
        <is>
          <t>AIPP</t>
        </is>
      </c>
      <c r="C119" s="68" t="inlineStr">
        <is>
          <t>Major</t>
        </is>
      </c>
      <c r="F119" s="46">
        <f>+SUMIFS($AA119:$DR119,$AA$7:$DR$7,F$7)</f>
        <v/>
      </c>
      <c r="G119" s="46">
        <f>+SUMIFS($AA119:$DR119,$AA$7:$DR$7,G$7)</f>
        <v/>
      </c>
      <c r="H119" s="46">
        <f>+SUMIFS($AA119:$DR119,$AA$7:$DR$7,H$7)</f>
        <v/>
      </c>
      <c r="I119" s="46">
        <f>+SUMIFS($AA119:$DR119,$AA$7:$DR$7,I$7)</f>
        <v/>
      </c>
      <c r="J119" s="46">
        <f>+SUMIFS($AA119:$DR119,$AA$7:$DR$7,J$7)</f>
        <v/>
      </c>
      <c r="K119" s="46">
        <f>+SUMIFS($AA119:$DR119,$AA$7:$DR$7,K$7)</f>
        <v/>
      </c>
      <c r="L119" s="46">
        <f>+SUMIFS($AA119:$DR119,$AA$7:$DR$7,L$7)</f>
        <v/>
      </c>
      <c r="M119" s="46">
        <f>+SUMIFS($AA119:$DR119,$AA$7:$DR$7,M$7)</f>
        <v/>
      </c>
      <c r="AA119" s="47" t="n">
        <v>0</v>
      </c>
      <c r="AB119" s="47" t="n">
        <v>0</v>
      </c>
      <c r="AC119" s="47" t="n">
        <v>0</v>
      </c>
      <c r="AD119" s="47" t="n">
        <v>0</v>
      </c>
      <c r="AE119" s="47" t="n">
        <v>0</v>
      </c>
      <c r="AF119" s="47" t="n">
        <v>0</v>
      </c>
      <c r="AG119" s="47" t="n">
        <v>0</v>
      </c>
      <c r="AH119" s="47" t="n">
        <v>0</v>
      </c>
      <c r="AI119" s="47" t="n">
        <v>0</v>
      </c>
      <c r="AJ119" s="47" t="n">
        <v>0</v>
      </c>
      <c r="AK119" s="47" t="n">
        <v>0</v>
      </c>
      <c r="AL119" s="47" t="n">
        <v>0</v>
      </c>
      <c r="AM119" s="47" t="n">
        <v>0</v>
      </c>
      <c r="AN119" s="47" t="n">
        <v>0</v>
      </c>
      <c r="AO119" s="47" t="n">
        <v>0</v>
      </c>
      <c r="AP119" s="47" t="n">
        <v>0</v>
      </c>
      <c r="AQ119" s="47" t="n">
        <v>0</v>
      </c>
      <c r="AR119" s="47" t="n">
        <v>0</v>
      </c>
      <c r="AS119" s="47" t="n">
        <v>0</v>
      </c>
      <c r="AT119" s="47" t="n">
        <v>0</v>
      </c>
      <c r="AU119" s="47" t="n">
        <v>0</v>
      </c>
      <c r="AV119" s="47" t="n">
        <v>0</v>
      </c>
      <c r="AW119" s="47" t="n">
        <v>0</v>
      </c>
      <c r="AX119" s="47" t="n">
        <v>0</v>
      </c>
      <c r="AY119" s="47" t="n">
        <v>0</v>
      </c>
      <c r="AZ119" s="47" t="n">
        <v>0</v>
      </c>
      <c r="BA119" s="47" t="n">
        <v>0</v>
      </c>
      <c r="BB119" s="47" t="n">
        <v>0</v>
      </c>
      <c r="BC119" s="47" t="n">
        <v>0</v>
      </c>
      <c r="BD119" s="47" t="n">
        <v>0</v>
      </c>
      <c r="BE119" s="47" t="n">
        <v>0</v>
      </c>
      <c r="BF119" s="47" t="n">
        <v>0</v>
      </c>
      <c r="BG119" s="47" t="n">
        <v>0</v>
      </c>
      <c r="BH119" s="47" t="n">
        <v>0</v>
      </c>
      <c r="BI119" s="47" t="n">
        <v>0</v>
      </c>
      <c r="BJ119" s="47" t="n">
        <v>0</v>
      </c>
      <c r="BK119" s="96" t="n"/>
      <c r="BL119" s="96" t="n"/>
      <c r="BM119" s="96" t="n"/>
      <c r="BN119" s="96" t="n"/>
      <c r="BO119" s="96" t="n"/>
      <c r="BP119" s="96" t="n"/>
      <c r="BQ119" s="96" t="n"/>
      <c r="BR119" s="96" t="n"/>
      <c r="BS119" s="96" t="n"/>
      <c r="BT119" s="96" t="n"/>
      <c r="BU119" s="96" t="n"/>
      <c r="BV119" s="96" t="n"/>
      <c r="BW119" s="96" t="n"/>
      <c r="BX119" s="96" t="n"/>
      <c r="BY119" s="96" t="n"/>
      <c r="BZ119" s="96" t="n"/>
      <c r="CA119" s="96" t="n"/>
      <c r="CB119" s="96" t="n"/>
      <c r="CC119" s="96" t="n"/>
      <c r="CD119" s="96" t="n"/>
      <c r="CE119" s="96" t="n"/>
      <c r="CF119" s="96" t="n"/>
      <c r="CG119" s="96" t="n"/>
      <c r="CH119" s="96" t="n"/>
      <c r="CI119" s="96" t="n"/>
      <c r="CJ119" s="96" t="n"/>
      <c r="CK119" s="96" t="n"/>
      <c r="CL119" s="96" t="n"/>
      <c r="CM119" s="96" t="n"/>
      <c r="CN119" s="96" t="n"/>
      <c r="CO119" s="96" t="n"/>
      <c r="CP119" s="96" t="n"/>
      <c r="CQ119" s="96" t="n"/>
      <c r="CR119" s="96" t="n"/>
      <c r="CS119" s="96" t="n"/>
      <c r="CT119" s="96" t="n"/>
      <c r="CU119" s="96" t="n"/>
      <c r="CV119" s="96" t="n"/>
      <c r="CW119" s="96" t="n"/>
      <c r="CX119" s="96" t="n"/>
      <c r="CY119" s="96" t="n"/>
      <c r="CZ119" s="96" t="n"/>
      <c r="DA119" s="96" t="n"/>
      <c r="DB119" s="96" t="n"/>
      <c r="DC119" s="96" t="n"/>
      <c r="DD119" s="96" t="n"/>
      <c r="DE119" s="96" t="n"/>
      <c r="DF119" s="96" t="n"/>
      <c r="DG119" s="96" t="n"/>
      <c r="DH119" s="96" t="n"/>
      <c r="DI119" s="96" t="n"/>
      <c r="DJ119" s="96" t="n"/>
      <c r="DK119" s="96" t="n"/>
      <c r="DL119" s="96" t="n"/>
      <c r="DM119" s="96" t="n"/>
      <c r="DN119" s="96" t="n"/>
      <c r="DO119" s="96" t="n"/>
      <c r="DP119" s="96" t="n"/>
      <c r="DQ119" s="96" t="n"/>
      <c r="DR119" s="96" t="n"/>
    </row>
    <row r="120" hidden="1" outlineLevel="1" ht="15.75" customHeight="1">
      <c r="B120" s="5" t="inlineStr">
        <is>
          <t>ALLEN</t>
        </is>
      </c>
      <c r="C120" s="68" t="inlineStr">
        <is>
          <t>Upper Middle Market</t>
        </is>
      </c>
      <c r="F120" s="46">
        <f>+SUMIFS($AA120:$DR120,$AA$7:$DR$7,F$7)</f>
        <v/>
      </c>
      <c r="G120" s="46">
        <f>+SUMIFS($AA120:$DR120,$AA$7:$DR$7,G$7)</f>
        <v/>
      </c>
      <c r="H120" s="46">
        <f>+SUMIFS($AA120:$DR120,$AA$7:$DR$7,H$7)</f>
        <v/>
      </c>
      <c r="I120" s="46">
        <f>+SUMIFS($AA120:$DR120,$AA$7:$DR$7,I$7)</f>
        <v/>
      </c>
      <c r="J120" s="46">
        <f>+SUMIFS($AA120:$DR120,$AA$7:$DR$7,J$7)</f>
        <v/>
      </c>
      <c r="K120" s="46">
        <f>+SUMIFS($AA120:$DR120,$AA$7:$DR$7,K$7)</f>
        <v/>
      </c>
      <c r="L120" s="46">
        <f>+SUMIFS($AA120:$DR120,$AA$7:$DR$7,L$7)</f>
        <v/>
      </c>
      <c r="M120" s="46">
        <f>+SUMIFS($AA120:$DR120,$AA$7:$DR$7,M$7)</f>
        <v/>
      </c>
      <c r="AA120" s="47" t="n">
        <v>0</v>
      </c>
      <c r="AB120" s="47" t="n">
        <v>0</v>
      </c>
      <c r="AC120" s="47" t="n">
        <v>0</v>
      </c>
      <c r="AD120" s="47" t="n">
        <v>0</v>
      </c>
      <c r="AE120" s="47" t="n">
        <v>0</v>
      </c>
      <c r="AF120" s="47" t="n">
        <v>0</v>
      </c>
      <c r="AG120" s="47" t="n">
        <v>0</v>
      </c>
      <c r="AH120" s="47" t="n">
        <v>0</v>
      </c>
      <c r="AI120" s="47" t="n">
        <v>0</v>
      </c>
      <c r="AJ120" s="47" t="n">
        <v>0</v>
      </c>
      <c r="AK120" s="47" t="n">
        <v>0</v>
      </c>
      <c r="AL120" s="47" t="n">
        <v>0</v>
      </c>
      <c r="AM120" s="47" t="n">
        <v>0</v>
      </c>
      <c r="AN120" s="47" t="n">
        <v>0</v>
      </c>
      <c r="AO120" s="47" t="n">
        <v>0</v>
      </c>
      <c r="AP120" s="47" t="n">
        <v>0</v>
      </c>
      <c r="AQ120" s="47" t="n">
        <v>0.07155611615356397</v>
      </c>
      <c r="AR120" s="47" t="n">
        <v>1.239210228490369</v>
      </c>
      <c r="AS120" s="47" t="n">
        <v>2.101724238260774</v>
      </c>
      <c r="AT120" s="47" t="n">
        <v>5.272097441716747</v>
      </c>
      <c r="AU120" s="47" t="n">
        <v>1.000685148011441</v>
      </c>
      <c r="AV120" s="47" t="n">
        <v>1.022959294193214</v>
      </c>
      <c r="AW120" s="47" t="n">
        <v>0.219070538860032</v>
      </c>
      <c r="AX120" s="47" t="n">
        <v>0.3832204517849605</v>
      </c>
      <c r="AY120" s="47" t="n">
        <v>0.3067692025382394</v>
      </c>
      <c r="AZ120" s="47" t="n">
        <v>3.738128738823515</v>
      </c>
      <c r="BA120" s="47" t="n">
        <v>3.422940044589661</v>
      </c>
      <c r="BB120" s="47" t="n">
        <v>1.406840612967513</v>
      </c>
      <c r="BC120" s="47" t="n">
        <v>0.6892029251029247</v>
      </c>
      <c r="BD120" s="47" t="n">
        <v>3.654610935429196</v>
      </c>
      <c r="BE120" s="47" t="n">
        <v>3.085686805162026</v>
      </c>
      <c r="BF120" s="47" t="n">
        <v>1.493953720599502</v>
      </c>
      <c r="BG120" s="47" t="n">
        <v>2.565302819228156</v>
      </c>
      <c r="BH120" s="47" t="n">
        <v>1.239255289996344</v>
      </c>
      <c r="BI120" s="47" t="n">
        <v>1.486784346931091</v>
      </c>
      <c r="BJ120" s="47" t="n">
        <v>0.1884190970855777</v>
      </c>
      <c r="BK120" s="96" t="n"/>
      <c r="BL120" s="96" t="n"/>
      <c r="BM120" s="96" t="n"/>
      <c r="BN120" s="96" t="n"/>
      <c r="BO120" s="96" t="n"/>
      <c r="BP120" s="96" t="n"/>
      <c r="BQ120" s="96" t="n"/>
      <c r="BR120" s="96" t="n"/>
      <c r="BS120" s="96" t="n"/>
      <c r="BT120" s="96" t="n"/>
      <c r="BU120" s="96" t="n"/>
      <c r="BV120" s="96" t="n"/>
      <c r="BW120" s="96" t="n"/>
      <c r="BX120" s="96" t="n"/>
      <c r="BY120" s="96" t="n"/>
      <c r="BZ120" s="96" t="n"/>
      <c r="CA120" s="96" t="n"/>
      <c r="CB120" s="96" t="n"/>
      <c r="CC120" s="96" t="n"/>
      <c r="CD120" s="96" t="n"/>
      <c r="CE120" s="96" t="n"/>
      <c r="CF120" s="96" t="n"/>
      <c r="CG120" s="96" t="n"/>
      <c r="CH120" s="96" t="n"/>
      <c r="CI120" s="96" t="n"/>
      <c r="CJ120" s="96" t="n"/>
      <c r="CK120" s="96" t="n"/>
      <c r="CL120" s="96" t="n"/>
      <c r="CM120" s="96" t="n"/>
      <c r="CN120" s="96" t="n"/>
      <c r="CO120" s="96" t="n"/>
      <c r="CP120" s="96" t="n"/>
      <c r="CQ120" s="96" t="n"/>
      <c r="CR120" s="96" t="n"/>
      <c r="CS120" s="96" t="n"/>
      <c r="CT120" s="96" t="n"/>
      <c r="CU120" s="96" t="n"/>
      <c r="CV120" s="96" t="n"/>
      <c r="CW120" s="96" t="n"/>
      <c r="CX120" s="96" t="n"/>
      <c r="CY120" s="96" t="n"/>
      <c r="CZ120" s="96" t="n"/>
      <c r="DA120" s="96" t="n"/>
      <c r="DB120" s="96" t="n"/>
      <c r="DC120" s="96" t="n"/>
      <c r="DD120" s="96" t="n"/>
      <c r="DE120" s="96" t="n"/>
      <c r="DF120" s="96" t="n"/>
      <c r="DG120" s="96" t="n"/>
      <c r="DH120" s="96" t="n"/>
      <c r="DI120" s="96" t="n"/>
      <c r="DJ120" s="96" t="n"/>
      <c r="DK120" s="96" t="n"/>
      <c r="DL120" s="96" t="n"/>
      <c r="DM120" s="96" t="n"/>
      <c r="DN120" s="96" t="n"/>
      <c r="DO120" s="96" t="n"/>
      <c r="DP120" s="96" t="n"/>
      <c r="DQ120" s="96" t="n"/>
      <c r="DR120" s="96" t="n"/>
    </row>
    <row r="121" hidden="1" outlineLevel="1" ht="15.75" customHeight="1">
      <c r="B121" s="5" t="inlineStr">
        <is>
          <t>AMA</t>
        </is>
      </c>
      <c r="C121" s="68" t="inlineStr">
        <is>
          <t>Mega</t>
        </is>
      </c>
      <c r="F121" s="46">
        <f>+SUMIFS($AA121:$DR121,$AA$7:$DR$7,F$7)</f>
        <v/>
      </c>
      <c r="G121" s="46">
        <f>+SUMIFS($AA121:$DR121,$AA$7:$DR$7,G$7)</f>
        <v/>
      </c>
      <c r="H121" s="46">
        <f>+SUMIFS($AA121:$DR121,$AA$7:$DR$7,H$7)</f>
        <v/>
      </c>
      <c r="I121" s="46">
        <f>+SUMIFS($AA121:$DR121,$AA$7:$DR$7,I$7)</f>
        <v/>
      </c>
      <c r="J121" s="46">
        <f>+SUMIFS($AA121:$DR121,$AA$7:$DR$7,J$7)</f>
        <v/>
      </c>
      <c r="K121" s="46">
        <f>+SUMIFS($AA121:$DR121,$AA$7:$DR$7,K$7)</f>
        <v/>
      </c>
      <c r="L121" s="46">
        <f>+SUMIFS($AA121:$DR121,$AA$7:$DR$7,L$7)</f>
        <v/>
      </c>
      <c r="M121" s="46">
        <f>+SUMIFS($AA121:$DR121,$AA$7:$DR$7,M$7)</f>
        <v/>
      </c>
      <c r="AA121" s="47" t="n">
        <v>50.41388695285158</v>
      </c>
      <c r="AB121" s="47" t="n">
        <v>47.17746826733903</v>
      </c>
      <c r="AC121" s="47" t="n">
        <v>62.37499746572448</v>
      </c>
      <c r="AD121" s="47" t="n">
        <v>41.45573010235445</v>
      </c>
      <c r="AE121" s="47" t="n">
        <v>43.89859370248297</v>
      </c>
      <c r="AF121" s="47" t="n">
        <v>55.95919866745646</v>
      </c>
      <c r="AG121" s="47" t="n">
        <v>43.84576760106049</v>
      </c>
      <c r="AH121" s="47" t="n">
        <v>65.34933439801431</v>
      </c>
      <c r="AI121" s="47" t="n">
        <v>72.3410418926738</v>
      </c>
      <c r="AJ121" s="47" t="n">
        <v>66.71786534566337</v>
      </c>
      <c r="AK121" s="47" t="n">
        <v>56.12950252220536</v>
      </c>
      <c r="AL121" s="47" t="n">
        <v>43.08235037692629</v>
      </c>
      <c r="AM121" s="47" t="n">
        <v>54.04270837240818</v>
      </c>
      <c r="AN121" s="47" t="n">
        <v>34.88464749890581</v>
      </c>
      <c r="AO121" s="47" t="n">
        <v>45.706343948123</v>
      </c>
      <c r="AP121" s="47" t="n">
        <v>34.1534526028396</v>
      </c>
      <c r="AQ121" s="47" t="n">
        <v>34.96365645727555</v>
      </c>
      <c r="AR121" s="47" t="n">
        <v>44.67459976522711</v>
      </c>
      <c r="AS121" s="47" t="n">
        <v>56.1290250112334</v>
      </c>
      <c r="AT121" s="47" t="n">
        <v>60.11282574665058</v>
      </c>
      <c r="AU121" s="47" t="n">
        <v>64.6227677826554</v>
      </c>
      <c r="AV121" s="47" t="n">
        <v>53.54732690860189</v>
      </c>
      <c r="AW121" s="47" t="n">
        <v>40.42914122171026</v>
      </c>
      <c r="AX121" s="47" t="n">
        <v>49.49877629808616</v>
      </c>
      <c r="AY121" s="47" t="n">
        <v>43.64678436361208</v>
      </c>
      <c r="AZ121" s="47" t="n">
        <v>44.09091143514108</v>
      </c>
      <c r="BA121" s="47" t="n">
        <v>48.78013493167354</v>
      </c>
      <c r="BB121" s="47" t="n">
        <v>54.62023062165275</v>
      </c>
      <c r="BC121" s="47" t="n">
        <v>43.15843091115472</v>
      </c>
      <c r="BD121" s="47" t="n">
        <v>50.78701982325256</v>
      </c>
      <c r="BE121" s="47" t="n">
        <v>45.22426856622982</v>
      </c>
      <c r="BF121" s="47" t="n">
        <v>43.65320493131673</v>
      </c>
      <c r="BG121" s="47" t="n">
        <v>41.77994904901859</v>
      </c>
      <c r="BH121" s="47" t="n">
        <v>41.07409891156914</v>
      </c>
      <c r="BI121" s="47" t="n">
        <v>30.81105944238972</v>
      </c>
      <c r="BJ121" s="47" t="n">
        <v>30.70243197864915</v>
      </c>
      <c r="BK121" s="96" t="n"/>
      <c r="BL121" s="96" t="n"/>
      <c r="BM121" s="96" t="n"/>
      <c r="BN121" s="96" t="n"/>
      <c r="BO121" s="96" t="n"/>
      <c r="BP121" s="96" t="n"/>
      <c r="BQ121" s="96" t="n"/>
      <c r="BR121" s="96" t="n"/>
      <c r="BS121" s="96" t="n"/>
      <c r="BT121" s="96" t="n"/>
      <c r="BU121" s="96" t="n"/>
      <c r="BV121" s="96" t="n"/>
      <c r="BW121" s="96" t="n"/>
      <c r="BX121" s="96" t="n"/>
      <c r="BY121" s="96" t="n"/>
      <c r="BZ121" s="96" t="n"/>
      <c r="CA121" s="96" t="n"/>
      <c r="CB121" s="96" t="n"/>
      <c r="CC121" s="96" t="n"/>
      <c r="CD121" s="96" t="n"/>
      <c r="CE121" s="96" t="n"/>
      <c r="CF121" s="96" t="n"/>
      <c r="CG121" s="96" t="n"/>
      <c r="CH121" s="96" t="n"/>
      <c r="CI121" s="96" t="n"/>
      <c r="CJ121" s="96" t="n"/>
      <c r="CK121" s="96" t="n"/>
      <c r="CL121" s="96" t="n"/>
      <c r="CM121" s="96" t="n"/>
      <c r="CN121" s="96" t="n"/>
      <c r="CO121" s="96" t="n"/>
      <c r="CP121" s="96" t="n"/>
      <c r="CQ121" s="96" t="n"/>
      <c r="CR121" s="96" t="n"/>
      <c r="CS121" s="96" t="n"/>
      <c r="CT121" s="96" t="n"/>
      <c r="CU121" s="96" t="n"/>
      <c r="CV121" s="96" t="n"/>
      <c r="CW121" s="96" t="n"/>
      <c r="CX121" s="96" t="n"/>
      <c r="CY121" s="96" t="n"/>
      <c r="CZ121" s="96" t="n"/>
      <c r="DA121" s="96" t="n"/>
      <c r="DB121" s="96" t="n"/>
      <c r="DC121" s="96" t="n"/>
      <c r="DD121" s="96" t="n"/>
      <c r="DE121" s="96" t="n"/>
      <c r="DF121" s="96" t="n"/>
      <c r="DG121" s="96" t="n"/>
      <c r="DH121" s="96" t="n"/>
      <c r="DI121" s="96" t="n"/>
      <c r="DJ121" s="96" t="n"/>
      <c r="DK121" s="96" t="n"/>
      <c r="DL121" s="96" t="n"/>
      <c r="DM121" s="96" t="n"/>
      <c r="DN121" s="96" t="n"/>
      <c r="DO121" s="96" t="n"/>
      <c r="DP121" s="96" t="n"/>
      <c r="DQ121" s="96" t="n"/>
      <c r="DR121" s="96" t="n"/>
    </row>
    <row r="122" hidden="1" outlineLevel="1" ht="15.75" customHeight="1">
      <c r="B122" s="5" t="inlineStr">
        <is>
          <t>AORN</t>
        </is>
      </c>
      <c r="C122" s="68" t="inlineStr">
        <is>
          <t>Lower Middle Market</t>
        </is>
      </c>
      <c r="F122" s="46">
        <f>+SUMIFS($AA122:$DR122,$AA$7:$DR$7,F$7)</f>
        <v/>
      </c>
      <c r="G122" s="46">
        <f>+SUMIFS($AA122:$DR122,$AA$7:$DR$7,G$7)</f>
        <v/>
      </c>
      <c r="H122" s="46">
        <f>+SUMIFS($AA122:$DR122,$AA$7:$DR$7,H$7)</f>
        <v/>
      </c>
      <c r="I122" s="46">
        <f>+SUMIFS($AA122:$DR122,$AA$7:$DR$7,I$7)</f>
        <v/>
      </c>
      <c r="J122" s="46">
        <f>+SUMIFS($AA122:$DR122,$AA$7:$DR$7,J$7)</f>
        <v/>
      </c>
      <c r="K122" s="46">
        <f>+SUMIFS($AA122:$DR122,$AA$7:$DR$7,K$7)</f>
        <v/>
      </c>
      <c r="L122" s="46">
        <f>+SUMIFS($AA122:$DR122,$AA$7:$DR$7,L$7)</f>
        <v/>
      </c>
      <c r="M122" s="46">
        <f>+SUMIFS($AA122:$DR122,$AA$7:$DR$7,M$7)</f>
        <v/>
      </c>
      <c r="AA122" s="47" t="n">
        <v>2.421033850411767</v>
      </c>
      <c r="AB122" s="47" t="n">
        <v>1.439252220300908</v>
      </c>
      <c r="AC122" s="47" t="n">
        <v>0.6099763293796646</v>
      </c>
      <c r="AD122" s="47" t="n">
        <v>0.1107107165745941</v>
      </c>
      <c r="AE122" s="47" t="n">
        <v>0.1680807199090368</v>
      </c>
      <c r="AF122" s="47" t="n">
        <v>0.5274556757040458</v>
      </c>
      <c r="AG122" s="47" t="n">
        <v>0.2826195759358028</v>
      </c>
      <c r="AH122" s="47" t="n">
        <v>0.1702639826656395</v>
      </c>
      <c r="AI122" s="47" t="n">
        <v>1.819304791907089</v>
      </c>
      <c r="AJ122" s="47" t="n">
        <v>2.63395439088449</v>
      </c>
      <c r="AK122" s="47" t="n">
        <v>6.103389385706334</v>
      </c>
      <c r="AL122" s="47" t="n">
        <v>0.627418469402497</v>
      </c>
      <c r="AM122" s="47" t="n">
        <v>1.340491808937144</v>
      </c>
      <c r="AN122" s="47" t="n">
        <v>4.330791962519383</v>
      </c>
      <c r="AO122" s="47" t="n">
        <v>5.494112713169788</v>
      </c>
      <c r="AP122" s="47" t="n">
        <v>6.240348376983444</v>
      </c>
      <c r="AQ122" s="47" t="n">
        <v>5.578085415160377</v>
      </c>
      <c r="AR122" s="47" t="n">
        <v>5.020191405707561</v>
      </c>
      <c r="AS122" s="47" t="n">
        <v>0.2432743389323697</v>
      </c>
      <c r="AT122" s="47" t="n">
        <v>0.2137416714175662</v>
      </c>
      <c r="AU122" s="47" t="n">
        <v>0.1379633808960826</v>
      </c>
      <c r="AV122" s="47" t="n">
        <v>0.7997026144906131</v>
      </c>
      <c r="AW122" s="47" t="n">
        <v>1.349729128110129</v>
      </c>
      <c r="AX122" s="47" t="n">
        <v>1.071261350800551</v>
      </c>
      <c r="AY122" s="47" t="n">
        <v>1.428208849982105</v>
      </c>
      <c r="AZ122" s="47" t="n">
        <v>2.255413392854841</v>
      </c>
      <c r="BA122" s="47" t="n">
        <v>4.982854468189704</v>
      </c>
      <c r="BB122" s="47" t="n">
        <v>7.619981216160435</v>
      </c>
      <c r="BC122" s="47" t="n">
        <v>3.159108375788371</v>
      </c>
      <c r="BD122" s="47" t="n">
        <v>2.154971013543611</v>
      </c>
      <c r="BE122" s="47" t="n">
        <v>1.707200409754875</v>
      </c>
      <c r="BF122" s="47" t="n">
        <v>1.445583576663439</v>
      </c>
      <c r="BG122" s="47" t="n">
        <v>1.508476836174143</v>
      </c>
      <c r="BH122" s="47" t="n">
        <v>0.7703390320703825</v>
      </c>
      <c r="BI122" s="47" t="n">
        <v>1.407736044009867</v>
      </c>
      <c r="BJ122" s="47" t="n">
        <v>1.955975374706544</v>
      </c>
      <c r="BK122" s="96" t="n"/>
      <c r="BL122" s="96" t="n"/>
      <c r="BM122" s="96" t="n"/>
      <c r="BN122" s="96" t="n"/>
      <c r="BO122" s="96" t="n"/>
      <c r="BP122" s="96" t="n"/>
      <c r="BQ122" s="96" t="n"/>
      <c r="BR122" s="96" t="n"/>
      <c r="BS122" s="96" t="n"/>
      <c r="BT122" s="96" t="n"/>
      <c r="BU122" s="96" t="n"/>
      <c r="BV122" s="96" t="n"/>
      <c r="BW122" s="96" t="n"/>
      <c r="BX122" s="96" t="n"/>
      <c r="BY122" s="96" t="n"/>
      <c r="BZ122" s="96" t="n"/>
      <c r="CA122" s="96" t="n"/>
      <c r="CB122" s="96" t="n"/>
      <c r="CC122" s="96" t="n"/>
      <c r="CD122" s="96" t="n"/>
      <c r="CE122" s="96" t="n"/>
      <c r="CF122" s="96" t="n"/>
      <c r="CG122" s="96" t="n"/>
      <c r="CH122" s="96" t="n"/>
      <c r="CI122" s="96" t="n"/>
      <c r="CJ122" s="96" t="n"/>
      <c r="CK122" s="96" t="n"/>
      <c r="CL122" s="96" t="n"/>
      <c r="CM122" s="96" t="n"/>
      <c r="CN122" s="96" t="n"/>
      <c r="CO122" s="96" t="n"/>
      <c r="CP122" s="96" t="n"/>
      <c r="CQ122" s="96" t="n"/>
      <c r="CR122" s="96" t="n"/>
      <c r="CS122" s="96" t="n"/>
      <c r="CT122" s="96" t="n"/>
      <c r="CU122" s="96" t="n"/>
      <c r="CV122" s="96" t="n"/>
      <c r="CW122" s="96" t="n"/>
      <c r="CX122" s="96" t="n"/>
      <c r="CY122" s="96" t="n"/>
      <c r="CZ122" s="96" t="n"/>
      <c r="DA122" s="96" t="n"/>
      <c r="DB122" s="96" t="n"/>
      <c r="DC122" s="96" t="n"/>
      <c r="DD122" s="96" t="n"/>
      <c r="DE122" s="96" t="n"/>
      <c r="DF122" s="96" t="n"/>
      <c r="DG122" s="96" t="n"/>
      <c r="DH122" s="96" t="n"/>
      <c r="DI122" s="96" t="n"/>
      <c r="DJ122" s="96" t="n"/>
      <c r="DK122" s="96" t="n"/>
      <c r="DL122" s="96" t="n"/>
      <c r="DM122" s="96" t="n"/>
      <c r="DN122" s="96" t="n"/>
      <c r="DO122" s="96" t="n"/>
      <c r="DP122" s="96" t="n"/>
      <c r="DQ122" s="96" t="n"/>
      <c r="DR122" s="96" t="n"/>
    </row>
    <row r="123" hidden="1" outlineLevel="1" ht="15.75" customHeight="1">
      <c r="B123" s="5" t="inlineStr">
        <is>
          <t>AOTA</t>
        </is>
      </c>
      <c r="C123" s="68" t="inlineStr">
        <is>
          <t>Lower Middle Market</t>
        </is>
      </c>
      <c r="F123" s="46">
        <f>+SUMIFS($AA123:$DR123,$AA$7:$DR$7,F$7)</f>
        <v/>
      </c>
      <c r="G123" s="46">
        <f>+SUMIFS($AA123:$DR123,$AA$7:$DR$7,G$7)</f>
        <v/>
      </c>
      <c r="H123" s="46">
        <f>+SUMIFS($AA123:$DR123,$AA$7:$DR$7,H$7)</f>
        <v/>
      </c>
      <c r="I123" s="46">
        <f>+SUMIFS($AA123:$DR123,$AA$7:$DR$7,I$7)</f>
        <v/>
      </c>
      <c r="J123" s="46">
        <f>+SUMIFS($AA123:$DR123,$AA$7:$DR$7,J$7)</f>
        <v/>
      </c>
      <c r="K123" s="46">
        <f>+SUMIFS($AA123:$DR123,$AA$7:$DR$7,K$7)</f>
        <v/>
      </c>
      <c r="L123" s="46">
        <f>+SUMIFS($AA123:$DR123,$AA$7:$DR$7,L$7)</f>
        <v/>
      </c>
      <c r="M123" s="46">
        <f>+SUMIFS($AA123:$DR123,$AA$7:$DR$7,M$7)</f>
        <v/>
      </c>
      <c r="AA123" s="47" t="n">
        <v>0</v>
      </c>
      <c r="AB123" s="47" t="n">
        <v>0</v>
      </c>
      <c r="AC123" s="47" t="n">
        <v>0</v>
      </c>
      <c r="AD123" s="47" t="n">
        <v>0.1869604696234713</v>
      </c>
      <c r="AE123" s="47" t="n">
        <v>0.1772888039195019</v>
      </c>
      <c r="AF123" s="47" t="n">
        <v>0.07055271335617883</v>
      </c>
      <c r="AG123" s="47" t="n">
        <v>0.4644808868054005</v>
      </c>
      <c r="AH123" s="47" t="n">
        <v>1.237626172065844</v>
      </c>
      <c r="AI123" s="47" t="n">
        <v>2.423472734974705</v>
      </c>
      <c r="AJ123" s="47" t="n">
        <v>6.500810187357152</v>
      </c>
      <c r="AK123" s="47" t="n">
        <v>1.892502751217581</v>
      </c>
      <c r="AL123" s="47" t="n">
        <v>0.942577884871878</v>
      </c>
      <c r="AM123" s="47" t="n">
        <v>0.1375254952463972</v>
      </c>
      <c r="AN123" s="47" t="n">
        <v>1.281521157238696</v>
      </c>
      <c r="AO123" s="47" t="n">
        <v>2.471867778075445</v>
      </c>
      <c r="AP123" s="47" t="n">
        <v>0.02988819938866366</v>
      </c>
      <c r="AQ123" s="47" t="n">
        <v>0</v>
      </c>
      <c r="AR123" s="47" t="n">
        <v>0</v>
      </c>
      <c r="AS123" s="47" t="n">
        <v>0</v>
      </c>
      <c r="AT123" s="47" t="n">
        <v>0.1446538518789849</v>
      </c>
      <c r="AU123" s="47" t="n">
        <v>0</v>
      </c>
      <c r="AV123" s="47" t="n">
        <v>0</v>
      </c>
      <c r="AW123" s="47" t="n">
        <v>0</v>
      </c>
      <c r="AX123" s="47" t="n">
        <v>0</v>
      </c>
      <c r="AY123" s="47" t="n">
        <v>0</v>
      </c>
      <c r="AZ123" s="47" t="n">
        <v>0.1246479644498389</v>
      </c>
      <c r="BA123" s="47" t="n">
        <v>0.06177938522085883</v>
      </c>
      <c r="BB123" s="47" t="n">
        <v>0.1888737286299087</v>
      </c>
      <c r="BC123" s="47" t="n">
        <v>0.2224572402976207</v>
      </c>
      <c r="BD123" s="47" t="n">
        <v>0</v>
      </c>
      <c r="BE123" s="47" t="n">
        <v>0</v>
      </c>
      <c r="BF123" s="47" t="n">
        <v>0</v>
      </c>
      <c r="BG123" s="47" t="n">
        <v>0.012338364792516</v>
      </c>
      <c r="BH123" s="47" t="n">
        <v>0</v>
      </c>
      <c r="BI123" s="47" t="n">
        <v>0</v>
      </c>
      <c r="BJ123" s="47" t="n">
        <v>0</v>
      </c>
      <c r="BK123" s="96" t="n"/>
      <c r="BL123" s="96" t="n"/>
      <c r="BM123" s="96" t="n"/>
      <c r="BN123" s="96" t="n"/>
      <c r="BO123" s="96" t="n"/>
      <c r="BP123" s="96" t="n"/>
      <c r="BQ123" s="96" t="n"/>
      <c r="BR123" s="96" t="n"/>
      <c r="BS123" s="96" t="n"/>
      <c r="BT123" s="96" t="n"/>
      <c r="BU123" s="96" t="n"/>
      <c r="BV123" s="96" t="n"/>
      <c r="BW123" s="96" t="n"/>
      <c r="BX123" s="96" t="n"/>
      <c r="BY123" s="96" t="n"/>
      <c r="BZ123" s="96" t="n"/>
      <c r="CA123" s="96" t="n"/>
      <c r="CB123" s="96" t="n"/>
      <c r="CC123" s="96" t="n"/>
      <c r="CD123" s="96" t="n"/>
      <c r="CE123" s="96" t="n"/>
      <c r="CF123" s="96" t="n"/>
      <c r="CG123" s="96" t="n"/>
      <c r="CH123" s="96" t="n"/>
      <c r="CI123" s="96" t="n"/>
      <c r="CJ123" s="96" t="n"/>
      <c r="CK123" s="96" t="n"/>
      <c r="CL123" s="96" t="n"/>
      <c r="CM123" s="96" t="n"/>
      <c r="CN123" s="96" t="n"/>
      <c r="CO123" s="96" t="n"/>
      <c r="CP123" s="96" t="n"/>
      <c r="CQ123" s="96" t="n"/>
      <c r="CR123" s="96" t="n"/>
      <c r="CS123" s="96" t="n"/>
      <c r="CT123" s="96" t="n"/>
      <c r="CU123" s="96" t="n"/>
      <c r="CV123" s="96" t="n"/>
      <c r="CW123" s="96" t="n"/>
      <c r="CX123" s="96" t="n"/>
      <c r="CY123" s="96" t="n"/>
      <c r="CZ123" s="96" t="n"/>
      <c r="DA123" s="96" t="n"/>
      <c r="DB123" s="96" t="n"/>
      <c r="DC123" s="96" t="n"/>
      <c r="DD123" s="96" t="n"/>
      <c r="DE123" s="96" t="n"/>
      <c r="DF123" s="96" t="n"/>
      <c r="DG123" s="96" t="n"/>
      <c r="DH123" s="96" t="n"/>
      <c r="DI123" s="96" t="n"/>
      <c r="DJ123" s="96" t="n"/>
      <c r="DK123" s="96" t="n"/>
      <c r="DL123" s="96" t="n"/>
      <c r="DM123" s="96" t="n"/>
      <c r="DN123" s="96" t="n"/>
      <c r="DO123" s="96" t="n"/>
      <c r="DP123" s="96" t="n"/>
      <c r="DQ123" s="96" t="n"/>
      <c r="DR123" s="96" t="n"/>
    </row>
    <row r="124" hidden="1" outlineLevel="1" ht="15.75" customHeight="1">
      <c r="B124" s="5" t="inlineStr">
        <is>
          <t>ARP</t>
        </is>
      </c>
      <c r="C124" s="68" t="inlineStr">
        <is>
          <t>Lower Middle Market</t>
        </is>
      </c>
      <c r="F124" s="46">
        <f>+SUMIFS($AA124:$DR124,$AA$7:$DR$7,F$7)</f>
        <v/>
      </c>
      <c r="G124" s="46">
        <f>+SUMIFS($AA124:$DR124,$AA$7:$DR$7,G$7)</f>
        <v/>
      </c>
      <c r="H124" s="46">
        <f>+SUMIFS($AA124:$DR124,$AA$7:$DR$7,H$7)</f>
        <v/>
      </c>
      <c r="I124" s="46">
        <f>+SUMIFS($AA124:$DR124,$AA$7:$DR$7,I$7)</f>
        <v/>
      </c>
      <c r="J124" s="46">
        <f>+SUMIFS($AA124:$DR124,$AA$7:$DR$7,J$7)</f>
        <v/>
      </c>
      <c r="K124" s="46">
        <f>+SUMIFS($AA124:$DR124,$AA$7:$DR$7,K$7)</f>
        <v/>
      </c>
      <c r="L124" s="46">
        <f>+SUMIFS($AA124:$DR124,$AA$7:$DR$7,L$7)</f>
        <v/>
      </c>
      <c r="M124" s="46">
        <f>+SUMIFS($AA124:$DR124,$AA$7:$DR$7,M$7)</f>
        <v/>
      </c>
      <c r="AA124" s="47" t="n">
        <v>0</v>
      </c>
      <c r="AB124" s="47" t="n">
        <v>0</v>
      </c>
      <c r="AC124" s="47" t="n">
        <v>0</v>
      </c>
      <c r="AD124" s="47" t="n">
        <v>0</v>
      </c>
      <c r="AE124" s="47" t="n">
        <v>0</v>
      </c>
      <c r="AF124" s="47" t="n">
        <v>0</v>
      </c>
      <c r="AG124" s="47" t="n">
        <v>0</v>
      </c>
      <c r="AH124" s="47" t="n">
        <v>0</v>
      </c>
      <c r="AI124" s="47" t="n">
        <v>0</v>
      </c>
      <c r="AJ124" s="47" t="n">
        <v>0</v>
      </c>
      <c r="AK124" s="47" t="n">
        <v>0</v>
      </c>
      <c r="AL124" s="47" t="n">
        <v>0</v>
      </c>
      <c r="AM124" s="47" t="n">
        <v>0</v>
      </c>
      <c r="AN124" s="47" t="n">
        <v>0</v>
      </c>
      <c r="AO124" s="47" t="n">
        <v>0</v>
      </c>
      <c r="AP124" s="47" t="n">
        <v>0</v>
      </c>
      <c r="AQ124" s="47" t="n">
        <v>0</v>
      </c>
      <c r="AR124" s="47" t="n">
        <v>0</v>
      </c>
      <c r="AS124" s="47" t="n">
        <v>0</v>
      </c>
      <c r="AT124" s="47" t="n">
        <v>0</v>
      </c>
      <c r="AU124" s="47" t="n">
        <v>0</v>
      </c>
      <c r="AV124" s="47" t="n">
        <v>0</v>
      </c>
      <c r="AW124" s="47" t="n">
        <v>0</v>
      </c>
      <c r="AX124" s="47" t="n">
        <v>0</v>
      </c>
      <c r="AY124" s="47" t="n">
        <v>0</v>
      </c>
      <c r="AZ124" s="47" t="n">
        <v>0</v>
      </c>
      <c r="BA124" s="47" t="n">
        <v>0</v>
      </c>
      <c r="BB124" s="47" t="n">
        <v>0</v>
      </c>
      <c r="BC124" s="47" t="n">
        <v>0</v>
      </c>
      <c r="BD124" s="47" t="n">
        <v>0</v>
      </c>
      <c r="BE124" s="47" t="n">
        <v>0</v>
      </c>
      <c r="BF124" s="47" t="n">
        <v>0</v>
      </c>
      <c r="BG124" s="47" t="n">
        <v>0</v>
      </c>
      <c r="BH124" s="47" t="n">
        <v>0</v>
      </c>
      <c r="BI124" s="47" t="n">
        <v>0</v>
      </c>
      <c r="BJ124" s="47" t="n">
        <v>0</v>
      </c>
      <c r="BK124" s="96" t="n"/>
      <c r="BL124" s="96" t="n"/>
      <c r="BM124" s="96" t="n"/>
      <c r="BN124" s="96" t="n"/>
      <c r="BO124" s="96" t="n"/>
      <c r="BP124" s="96" t="n"/>
      <c r="BQ124" s="96" t="n"/>
      <c r="BR124" s="96" t="n"/>
      <c r="BS124" s="96" t="n"/>
      <c r="BT124" s="96" t="n"/>
      <c r="BU124" s="96" t="n"/>
      <c r="BV124" s="96" t="n"/>
      <c r="BW124" s="96" t="n"/>
      <c r="BX124" s="96" t="n"/>
      <c r="BY124" s="96" t="n"/>
      <c r="BZ124" s="96" t="n"/>
      <c r="CA124" s="96" t="n"/>
      <c r="CB124" s="96" t="n"/>
      <c r="CC124" s="96" t="n"/>
      <c r="CD124" s="96" t="n"/>
      <c r="CE124" s="96" t="n"/>
      <c r="CF124" s="96" t="n"/>
      <c r="CG124" s="96" t="n"/>
      <c r="CH124" s="96" t="n"/>
      <c r="CI124" s="96" t="n"/>
      <c r="CJ124" s="96" t="n"/>
      <c r="CK124" s="96" t="n"/>
      <c r="CL124" s="96" t="n"/>
      <c r="CM124" s="96" t="n"/>
      <c r="CN124" s="96" t="n"/>
      <c r="CO124" s="96" t="n"/>
      <c r="CP124" s="96" t="n"/>
      <c r="CQ124" s="96" t="n"/>
      <c r="CR124" s="96" t="n"/>
      <c r="CS124" s="96" t="n"/>
      <c r="CT124" s="96" t="n"/>
      <c r="CU124" s="96" t="n"/>
      <c r="CV124" s="96" t="n"/>
      <c r="CW124" s="96" t="n"/>
      <c r="CX124" s="96" t="n"/>
      <c r="CY124" s="96" t="n"/>
      <c r="CZ124" s="96" t="n"/>
      <c r="DA124" s="96" t="n"/>
      <c r="DB124" s="96" t="n"/>
      <c r="DC124" s="96" t="n"/>
      <c r="DD124" s="96" t="n"/>
      <c r="DE124" s="96" t="n"/>
      <c r="DF124" s="96" t="n"/>
      <c r="DG124" s="96" t="n"/>
      <c r="DH124" s="96" t="n"/>
      <c r="DI124" s="96" t="n"/>
      <c r="DJ124" s="96" t="n"/>
      <c r="DK124" s="96" t="n"/>
      <c r="DL124" s="96" t="n"/>
      <c r="DM124" s="96" t="n"/>
      <c r="DN124" s="96" t="n"/>
      <c r="DO124" s="96" t="n"/>
      <c r="DP124" s="96" t="n"/>
      <c r="DQ124" s="96" t="n"/>
      <c r="DR124" s="96" t="n"/>
    </row>
    <row r="125" hidden="1" outlineLevel="1" ht="15.75" customHeight="1">
      <c r="B125" s="5" t="inlineStr">
        <is>
          <t>ARVO</t>
        </is>
      </c>
      <c r="C125" s="68" t="inlineStr">
        <is>
          <t>Lower Middle Market</t>
        </is>
      </c>
      <c r="F125" s="46">
        <f>+SUMIFS($AA125:$DR125,$AA$7:$DR$7,F$7)</f>
        <v/>
      </c>
      <c r="G125" s="46">
        <f>+SUMIFS($AA125:$DR125,$AA$7:$DR$7,G$7)</f>
        <v/>
      </c>
      <c r="H125" s="46">
        <f>+SUMIFS($AA125:$DR125,$AA$7:$DR$7,H$7)</f>
        <v/>
      </c>
      <c r="I125" s="46">
        <f>+SUMIFS($AA125:$DR125,$AA$7:$DR$7,I$7)</f>
        <v/>
      </c>
      <c r="J125" s="46">
        <f>+SUMIFS($AA125:$DR125,$AA$7:$DR$7,J$7)</f>
        <v/>
      </c>
      <c r="K125" s="46">
        <f>+SUMIFS($AA125:$DR125,$AA$7:$DR$7,K$7)</f>
        <v/>
      </c>
      <c r="L125" s="46">
        <f>+SUMIFS($AA125:$DR125,$AA$7:$DR$7,L$7)</f>
        <v/>
      </c>
      <c r="M125" s="46">
        <f>+SUMIFS($AA125:$DR125,$AA$7:$DR$7,M$7)</f>
        <v/>
      </c>
      <c r="AA125" s="47" t="n">
        <v>0.1435846990704411</v>
      </c>
      <c r="AB125" s="47" t="n">
        <v>0.1621494300321379</v>
      </c>
      <c r="AC125" s="47" t="n">
        <v>0.5384121352725959</v>
      </c>
      <c r="AD125" s="47" t="n">
        <v>0.0450648395383068</v>
      </c>
      <c r="AE125" s="47" t="n">
        <v>0.02020802298738212</v>
      </c>
      <c r="AF125" s="47" t="n">
        <v>0</v>
      </c>
      <c r="AG125" s="47" t="n">
        <v>0</v>
      </c>
      <c r="AH125" s="47" t="n">
        <v>0</v>
      </c>
      <c r="AI125" s="47" t="n">
        <v>0</v>
      </c>
      <c r="AJ125" s="47" t="n">
        <v>0</v>
      </c>
      <c r="AK125" s="47" t="n">
        <v>0</v>
      </c>
      <c r="AL125" s="47" t="n">
        <v>0</v>
      </c>
      <c r="AM125" s="47" t="n">
        <v>0</v>
      </c>
      <c r="AN125" s="47" t="n">
        <v>0.04056553469626378</v>
      </c>
      <c r="AO125" s="47" t="n">
        <v>0.08407088389269898</v>
      </c>
      <c r="AP125" s="47" t="n">
        <v>0</v>
      </c>
      <c r="AQ125" s="47" t="n">
        <v>0</v>
      </c>
      <c r="AR125" s="47" t="n">
        <v>0</v>
      </c>
      <c r="AS125" s="47" t="n">
        <v>0</v>
      </c>
      <c r="AT125" s="47" t="n">
        <v>0</v>
      </c>
      <c r="AU125" s="47" t="n">
        <v>0</v>
      </c>
      <c r="AV125" s="47" t="n">
        <v>0</v>
      </c>
      <c r="AW125" s="47" t="n">
        <v>0</v>
      </c>
      <c r="AX125" s="47" t="n">
        <v>0</v>
      </c>
      <c r="AY125" s="47" t="n">
        <v>0</v>
      </c>
      <c r="AZ125" s="47" t="n">
        <v>0.03480029389230252</v>
      </c>
      <c r="BA125" s="47" t="n">
        <v>0.1008065885633116</v>
      </c>
      <c r="BB125" s="47" t="n">
        <v>0.8415163862261705</v>
      </c>
      <c r="BC125" s="47" t="n">
        <v>0.267496200336636</v>
      </c>
      <c r="BD125" s="47" t="n">
        <v>0.1225851818219325</v>
      </c>
      <c r="BE125" s="47" t="n">
        <v>0.01858898183355069</v>
      </c>
      <c r="BF125" s="47" t="n">
        <v>0.04058837251684028</v>
      </c>
      <c r="BG125" s="47" t="n">
        <v>0</v>
      </c>
      <c r="BH125" s="47" t="n">
        <v>0.1176148712002402</v>
      </c>
      <c r="BI125" s="47" t="n">
        <v>1.542635437343948</v>
      </c>
      <c r="BJ125" s="47" t="n">
        <v>0.8761414921731012</v>
      </c>
      <c r="BK125" s="96" t="n"/>
      <c r="BL125" s="96" t="n"/>
      <c r="BM125" s="96" t="n"/>
      <c r="BN125" s="96" t="n"/>
      <c r="BO125" s="96" t="n"/>
      <c r="BP125" s="96" t="n"/>
      <c r="BQ125" s="96" t="n"/>
      <c r="BR125" s="96" t="n"/>
      <c r="BS125" s="96" t="n"/>
      <c r="BT125" s="96" t="n"/>
      <c r="BU125" s="96" t="n"/>
      <c r="BV125" s="96" t="n"/>
      <c r="BW125" s="96" t="n"/>
      <c r="BX125" s="96" t="n"/>
      <c r="BY125" s="96" t="n"/>
      <c r="BZ125" s="96" t="n"/>
      <c r="CA125" s="96" t="n"/>
      <c r="CB125" s="96" t="n"/>
      <c r="CC125" s="96" t="n"/>
      <c r="CD125" s="96" t="n"/>
      <c r="CE125" s="96" t="n"/>
      <c r="CF125" s="96" t="n"/>
      <c r="CG125" s="96" t="n"/>
      <c r="CH125" s="96" t="n"/>
      <c r="CI125" s="96" t="n"/>
      <c r="CJ125" s="96" t="n"/>
      <c r="CK125" s="96" t="n"/>
      <c r="CL125" s="96" t="n"/>
      <c r="CM125" s="96" t="n"/>
      <c r="CN125" s="96" t="n"/>
      <c r="CO125" s="96" t="n"/>
      <c r="CP125" s="96" t="n"/>
      <c r="CQ125" s="96" t="n"/>
      <c r="CR125" s="96" t="n"/>
      <c r="CS125" s="96" t="n"/>
      <c r="CT125" s="96" t="n"/>
      <c r="CU125" s="96" t="n"/>
      <c r="CV125" s="96" t="n"/>
      <c r="CW125" s="96" t="n"/>
      <c r="CX125" s="96" t="n"/>
      <c r="CY125" s="96" t="n"/>
      <c r="CZ125" s="96" t="n"/>
      <c r="DA125" s="96" t="n"/>
      <c r="DB125" s="96" t="n"/>
      <c r="DC125" s="96" t="n"/>
      <c r="DD125" s="96" t="n"/>
      <c r="DE125" s="96" t="n"/>
      <c r="DF125" s="96" t="n"/>
      <c r="DG125" s="96" t="n"/>
      <c r="DH125" s="96" t="n"/>
      <c r="DI125" s="96" t="n"/>
      <c r="DJ125" s="96" t="n"/>
      <c r="DK125" s="96" t="n"/>
      <c r="DL125" s="96" t="n"/>
      <c r="DM125" s="96" t="n"/>
      <c r="DN125" s="96" t="n"/>
      <c r="DO125" s="96" t="n"/>
      <c r="DP125" s="96" t="n"/>
      <c r="DQ125" s="96" t="n"/>
      <c r="DR125" s="96" t="n"/>
    </row>
    <row r="126" hidden="1" outlineLevel="1" ht="15.75" customHeight="1">
      <c r="B126" s="5" t="inlineStr">
        <is>
          <t>ASA</t>
        </is>
      </c>
      <c r="C126" s="68" t="inlineStr">
        <is>
          <t>Upper Middle Market</t>
        </is>
      </c>
      <c r="F126" s="46">
        <f>+SUMIFS($AA126:$DR126,$AA$7:$DR$7,F$7)</f>
        <v/>
      </c>
      <c r="G126" s="46">
        <f>+SUMIFS($AA126:$DR126,$AA$7:$DR$7,G$7)</f>
        <v/>
      </c>
      <c r="H126" s="46">
        <f>+SUMIFS($AA126:$DR126,$AA$7:$DR$7,H$7)</f>
        <v/>
      </c>
      <c r="I126" s="46">
        <f>+SUMIFS($AA126:$DR126,$AA$7:$DR$7,I$7)</f>
        <v/>
      </c>
      <c r="J126" s="46">
        <f>+SUMIFS($AA126:$DR126,$AA$7:$DR$7,J$7)</f>
        <v/>
      </c>
      <c r="K126" s="46">
        <f>+SUMIFS($AA126:$DR126,$AA$7:$DR$7,K$7)</f>
        <v/>
      </c>
      <c r="L126" s="46">
        <f>+SUMIFS($AA126:$DR126,$AA$7:$DR$7,L$7)</f>
        <v/>
      </c>
      <c r="M126" s="46">
        <f>+SUMIFS($AA126:$DR126,$AA$7:$DR$7,M$7)</f>
        <v/>
      </c>
      <c r="AA126" s="47" t="n">
        <v>0.3939779755048525</v>
      </c>
      <c r="AB126" s="47" t="n">
        <v>0.2367606590880337</v>
      </c>
      <c r="AC126" s="47" t="n">
        <v>0.4567873628881518</v>
      </c>
      <c r="AD126" s="47" t="n">
        <v>0.02265339446859916</v>
      </c>
      <c r="AE126" s="47" t="n">
        <v>0.03349279496687703</v>
      </c>
      <c r="AF126" s="47" t="n">
        <v>0</v>
      </c>
      <c r="AG126" s="47" t="n">
        <v>0.03217320914455507</v>
      </c>
      <c r="AH126" s="47" t="n">
        <v>0.01409859775261018</v>
      </c>
      <c r="AI126" s="47" t="n">
        <v>0.6093397601193018</v>
      </c>
      <c r="AJ126" s="47" t="n">
        <v>2.082491258056437</v>
      </c>
      <c r="AK126" s="47" t="n">
        <v>0.576337442824379</v>
      </c>
      <c r="AL126" s="47" t="n">
        <v>1.340827243065286</v>
      </c>
      <c r="AM126" s="47" t="n">
        <v>2.00805186510471</v>
      </c>
      <c r="AN126" s="47" t="n">
        <v>1.408753299346651</v>
      </c>
      <c r="AO126" s="47" t="n">
        <v>0.8853680186452408</v>
      </c>
      <c r="AP126" s="47" t="n">
        <v>0.5422444557554779</v>
      </c>
      <c r="AQ126" s="47" t="n">
        <v>1.076150537680954</v>
      </c>
      <c r="AR126" s="47" t="n">
        <v>1.717735766473771</v>
      </c>
      <c r="AS126" s="47" t="n">
        <v>3.616012607574609</v>
      </c>
      <c r="AT126" s="47" t="n">
        <v>1.012519957695864</v>
      </c>
      <c r="AU126" s="47" t="n">
        <v>2.189366648657503</v>
      </c>
      <c r="AV126" s="47" t="n">
        <v>1.890288682096707</v>
      </c>
      <c r="AW126" s="47" t="n">
        <v>1.163174945460409</v>
      </c>
      <c r="AX126" s="47" t="n">
        <v>1.810375396305972</v>
      </c>
      <c r="AY126" s="47" t="n">
        <v>1.676584891179171</v>
      </c>
      <c r="AZ126" s="47" t="n">
        <v>3.028726002434605</v>
      </c>
      <c r="BA126" s="47" t="n">
        <v>1.687688603109379</v>
      </c>
      <c r="BB126" s="47" t="n">
        <v>3.122781459006994</v>
      </c>
      <c r="BC126" s="47" t="n">
        <v>5.937588447604388</v>
      </c>
      <c r="BD126" s="47" t="n">
        <v>2.770459928673931</v>
      </c>
      <c r="BE126" s="47" t="n">
        <v>2.020921826842044</v>
      </c>
      <c r="BF126" s="47" t="n">
        <v>1.553430454738883</v>
      </c>
      <c r="BG126" s="47" t="n">
        <v>6.034896013756754</v>
      </c>
      <c r="BH126" s="47" t="n">
        <v>2.498267969875831</v>
      </c>
      <c r="BI126" s="47" t="n">
        <v>1.520178481785914</v>
      </c>
      <c r="BJ126" s="47" t="n">
        <v>0.2619756395851771</v>
      </c>
      <c r="BK126" s="96" t="n"/>
      <c r="BL126" s="96" t="n"/>
      <c r="BM126" s="96" t="n"/>
      <c r="BN126" s="96" t="n"/>
      <c r="BO126" s="96" t="n"/>
      <c r="BP126" s="96" t="n"/>
      <c r="BQ126" s="96" t="n"/>
      <c r="BR126" s="96" t="n"/>
      <c r="BS126" s="96" t="n"/>
      <c r="BT126" s="96" t="n"/>
      <c r="BU126" s="96" t="n"/>
      <c r="BV126" s="96" t="n"/>
      <c r="BW126" s="96" t="n"/>
      <c r="BX126" s="96" t="n"/>
      <c r="BY126" s="96" t="n"/>
      <c r="BZ126" s="96" t="n"/>
      <c r="CA126" s="96" t="n"/>
      <c r="CB126" s="96" t="n"/>
      <c r="CC126" s="96" t="n"/>
      <c r="CD126" s="96" t="n"/>
      <c r="CE126" s="96" t="n"/>
      <c r="CF126" s="96" t="n"/>
      <c r="CG126" s="96" t="n"/>
      <c r="CH126" s="96" t="n"/>
      <c r="CI126" s="96" t="n"/>
      <c r="CJ126" s="96" t="n"/>
      <c r="CK126" s="96" t="n"/>
      <c r="CL126" s="96" t="n"/>
      <c r="CM126" s="96" t="n"/>
      <c r="CN126" s="96" t="n"/>
      <c r="CO126" s="96" t="n"/>
      <c r="CP126" s="96" t="n"/>
      <c r="CQ126" s="96" t="n"/>
      <c r="CR126" s="96" t="n"/>
      <c r="CS126" s="96" t="n"/>
      <c r="CT126" s="96" t="n"/>
      <c r="CU126" s="96" t="n"/>
      <c r="CV126" s="96" t="n"/>
      <c r="CW126" s="96" t="n"/>
      <c r="CX126" s="96" t="n"/>
      <c r="CY126" s="96" t="n"/>
      <c r="CZ126" s="96" t="n"/>
      <c r="DA126" s="96" t="n"/>
      <c r="DB126" s="96" t="n"/>
      <c r="DC126" s="96" t="n"/>
      <c r="DD126" s="96" t="n"/>
      <c r="DE126" s="96" t="n"/>
      <c r="DF126" s="96" t="n"/>
      <c r="DG126" s="96" t="n"/>
      <c r="DH126" s="96" t="n"/>
      <c r="DI126" s="96" t="n"/>
      <c r="DJ126" s="96" t="n"/>
      <c r="DK126" s="96" t="n"/>
      <c r="DL126" s="96" t="n"/>
      <c r="DM126" s="96" t="n"/>
      <c r="DN126" s="96" t="n"/>
      <c r="DO126" s="96" t="n"/>
      <c r="DP126" s="96" t="n"/>
      <c r="DQ126" s="96" t="n"/>
      <c r="DR126" s="96" t="n"/>
    </row>
    <row r="127" hidden="1" outlineLevel="1" ht="15.75" customHeight="1">
      <c r="B127" s="5" t="inlineStr">
        <is>
          <t>ASM</t>
        </is>
      </c>
      <c r="C127" s="68" t="inlineStr">
        <is>
          <t>Upper Middle Market</t>
        </is>
      </c>
      <c r="F127" s="46">
        <f>+SUMIFS($AA127:$DR127,$AA$7:$DR$7,F$7)</f>
        <v/>
      </c>
      <c r="G127" s="46">
        <f>+SUMIFS($AA127:$DR127,$AA$7:$DR$7,G$7)</f>
        <v/>
      </c>
      <c r="H127" s="46">
        <f>+SUMIFS($AA127:$DR127,$AA$7:$DR$7,H$7)</f>
        <v/>
      </c>
      <c r="I127" s="46">
        <f>+SUMIFS($AA127:$DR127,$AA$7:$DR$7,I$7)</f>
        <v/>
      </c>
      <c r="J127" s="46">
        <f>+SUMIFS($AA127:$DR127,$AA$7:$DR$7,J$7)</f>
        <v/>
      </c>
      <c r="K127" s="46">
        <f>+SUMIFS($AA127:$DR127,$AA$7:$DR$7,K$7)</f>
        <v/>
      </c>
      <c r="L127" s="46">
        <f>+SUMIFS($AA127:$DR127,$AA$7:$DR$7,L$7)</f>
        <v/>
      </c>
      <c r="M127" s="46">
        <f>+SUMIFS($AA127:$DR127,$AA$7:$DR$7,M$7)</f>
        <v/>
      </c>
      <c r="AA127" s="47" t="n">
        <v>0</v>
      </c>
      <c r="AB127" s="47" t="n">
        <v>6.837193752095136</v>
      </c>
      <c r="AC127" s="47" t="n">
        <v>3.541425097028786</v>
      </c>
      <c r="AD127" s="47" t="n">
        <v>2.693229218964486</v>
      </c>
      <c r="AE127" s="47" t="n">
        <v>4.930533557098614</v>
      </c>
      <c r="AF127" s="47" t="n">
        <v>2.663721798179425</v>
      </c>
      <c r="AG127" s="47" t="n">
        <v>0.3219203448717144</v>
      </c>
      <c r="AH127" s="47" t="n">
        <v>0.8003134572164587</v>
      </c>
      <c r="AI127" s="47" t="n">
        <v>0.7050973585020538</v>
      </c>
      <c r="AJ127" s="47" t="n">
        <v>0.1087069620064975</v>
      </c>
      <c r="AK127" s="47" t="n">
        <v>0.2824036141167897</v>
      </c>
      <c r="AL127" s="47" t="n">
        <v>0.3234479402098682</v>
      </c>
      <c r="AM127" s="47" t="n">
        <v>0.8726178842877276</v>
      </c>
      <c r="AN127" s="47" t="n">
        <v>2.460036166108113</v>
      </c>
      <c r="AO127" s="47" t="n">
        <v>3.039352988345791</v>
      </c>
      <c r="AP127" s="47" t="n">
        <v>7.259239411732752</v>
      </c>
      <c r="AQ127" s="47" t="n">
        <v>4.026868857688132</v>
      </c>
      <c r="AR127" s="47" t="n">
        <v>3.759807692241273</v>
      </c>
      <c r="AS127" s="47" t="n">
        <v>7.074658419455262</v>
      </c>
      <c r="AT127" s="47" t="n">
        <v>6.165457799374864</v>
      </c>
      <c r="AU127" s="47" t="n">
        <v>6.608867377517193</v>
      </c>
      <c r="AV127" s="47" t="n">
        <v>4.367175413949367</v>
      </c>
      <c r="AW127" s="47" t="n">
        <v>1.117491552188039</v>
      </c>
      <c r="AX127" s="47" t="n">
        <v>2.244876368258624</v>
      </c>
      <c r="AY127" s="47" t="n">
        <v>0.9738339676074971</v>
      </c>
      <c r="AZ127" s="47" t="n">
        <v>0.1214446946246464</v>
      </c>
      <c r="BA127" s="47" t="n">
        <v>1.145369587247812</v>
      </c>
      <c r="BB127" s="47" t="n">
        <v>1.100853137931089</v>
      </c>
      <c r="BC127" s="47" t="n">
        <v>0.4726353415756537</v>
      </c>
      <c r="BD127" s="47" t="n">
        <v>0.8585399517786708</v>
      </c>
      <c r="BE127" s="47" t="n">
        <v>1.57893142494641</v>
      </c>
      <c r="BF127" s="47" t="n">
        <v>1.091143711751788</v>
      </c>
      <c r="BG127" s="47" t="n">
        <v>1.111587416170363</v>
      </c>
      <c r="BH127" s="47" t="n">
        <v>0.460126887234377</v>
      </c>
      <c r="BI127" s="47" t="n">
        <v>0.2403333523328881</v>
      </c>
      <c r="BJ127" s="47" t="n">
        <v>0.4951394229213418</v>
      </c>
      <c r="BK127" s="96" t="n"/>
      <c r="BL127" s="96" t="n"/>
      <c r="BM127" s="96" t="n"/>
      <c r="BN127" s="96" t="n"/>
      <c r="BO127" s="96" t="n"/>
      <c r="BP127" s="96" t="n"/>
      <c r="BQ127" s="96" t="n"/>
      <c r="BR127" s="96" t="n"/>
      <c r="BS127" s="96" t="n"/>
      <c r="BT127" s="96" t="n"/>
      <c r="BU127" s="96" t="n"/>
      <c r="BV127" s="96" t="n"/>
      <c r="BW127" s="96" t="n"/>
      <c r="BX127" s="96" t="n"/>
      <c r="BY127" s="96" t="n"/>
      <c r="BZ127" s="96" t="n"/>
      <c r="CA127" s="96" t="n"/>
      <c r="CB127" s="96" t="n"/>
      <c r="CC127" s="96" t="n"/>
      <c r="CD127" s="96" t="n"/>
      <c r="CE127" s="96" t="n"/>
      <c r="CF127" s="96" t="n"/>
      <c r="CG127" s="96" t="n"/>
      <c r="CH127" s="96" t="n"/>
      <c r="CI127" s="96" t="n"/>
      <c r="CJ127" s="96" t="n"/>
      <c r="CK127" s="96" t="n"/>
      <c r="CL127" s="96" t="n"/>
      <c r="CM127" s="96" t="n"/>
      <c r="CN127" s="96" t="n"/>
      <c r="CO127" s="96" t="n"/>
      <c r="CP127" s="96" t="n"/>
      <c r="CQ127" s="96" t="n"/>
      <c r="CR127" s="96" t="n"/>
      <c r="CS127" s="96" t="n"/>
      <c r="CT127" s="96" t="n"/>
      <c r="CU127" s="96" t="n"/>
      <c r="CV127" s="96" t="n"/>
      <c r="CW127" s="96" t="n"/>
      <c r="CX127" s="96" t="n"/>
      <c r="CY127" s="96" t="n"/>
      <c r="CZ127" s="96" t="n"/>
      <c r="DA127" s="96" t="n"/>
      <c r="DB127" s="96" t="n"/>
      <c r="DC127" s="96" t="n"/>
      <c r="DD127" s="96" t="n"/>
      <c r="DE127" s="96" t="n"/>
      <c r="DF127" s="96" t="n"/>
      <c r="DG127" s="96" t="n"/>
      <c r="DH127" s="96" t="n"/>
      <c r="DI127" s="96" t="n"/>
      <c r="DJ127" s="96" t="n"/>
      <c r="DK127" s="96" t="n"/>
      <c r="DL127" s="96" t="n"/>
      <c r="DM127" s="96" t="n"/>
      <c r="DN127" s="96" t="n"/>
      <c r="DO127" s="96" t="n"/>
      <c r="DP127" s="96" t="n"/>
      <c r="DQ127" s="96" t="n"/>
      <c r="DR127" s="96" t="n"/>
    </row>
    <row r="128" hidden="1" outlineLevel="1" ht="15.75" customHeight="1">
      <c r="B128" s="5" t="inlineStr">
        <is>
          <t>ASME</t>
        </is>
      </c>
      <c r="C128" s="68" t="inlineStr">
        <is>
          <t>Major</t>
        </is>
      </c>
      <c r="F128" s="46">
        <f>+SUMIFS($AA128:$DR128,$AA$7:$DR$7,F$7)</f>
        <v/>
      </c>
      <c r="G128" s="46">
        <f>+SUMIFS($AA128:$DR128,$AA$7:$DR$7,G$7)</f>
        <v/>
      </c>
      <c r="H128" s="46">
        <f>+SUMIFS($AA128:$DR128,$AA$7:$DR$7,H$7)</f>
        <v/>
      </c>
      <c r="I128" s="46">
        <f>+SUMIFS($AA128:$DR128,$AA$7:$DR$7,I$7)</f>
        <v/>
      </c>
      <c r="J128" s="46">
        <f>+SUMIFS($AA128:$DR128,$AA$7:$DR$7,J$7)</f>
        <v/>
      </c>
      <c r="K128" s="46">
        <f>+SUMIFS($AA128:$DR128,$AA$7:$DR$7,K$7)</f>
        <v/>
      </c>
      <c r="L128" s="46">
        <f>+SUMIFS($AA128:$DR128,$AA$7:$DR$7,L$7)</f>
        <v/>
      </c>
      <c r="M128" s="46">
        <f>+SUMIFS($AA128:$DR128,$AA$7:$DR$7,M$7)</f>
        <v/>
      </c>
      <c r="AA128" s="47" t="n">
        <v>0.04875084193905601</v>
      </c>
      <c r="AB128" s="47" t="n">
        <v>0.01902868665874569</v>
      </c>
      <c r="AC128" s="47" t="n">
        <v>0.009881195187450051</v>
      </c>
      <c r="AD128" s="47" t="n">
        <v>0</v>
      </c>
      <c r="AE128" s="47" t="n">
        <v>0</v>
      </c>
      <c r="AF128" s="47" t="n">
        <v>0.01354459752861673</v>
      </c>
      <c r="AG128" s="47" t="n">
        <v>0</v>
      </c>
      <c r="AH128" s="47" t="n">
        <v>0</v>
      </c>
      <c r="AI128" s="47" t="n">
        <v>0</v>
      </c>
      <c r="AJ128" s="47" t="n">
        <v>0.09282610775989619</v>
      </c>
      <c r="AK128" s="47" t="n">
        <v>0.09258784012040787</v>
      </c>
      <c r="AL128" s="47" t="n">
        <v>0.2519216622071475</v>
      </c>
      <c r="AM128" s="47" t="n">
        <v>0.08051000603871854</v>
      </c>
      <c r="AN128" s="47" t="n">
        <v>0.1112306927209052</v>
      </c>
      <c r="AO128" s="47" t="n">
        <v>0.02680964485238441</v>
      </c>
      <c r="AP128" s="47" t="n">
        <v>0.2846662497209898</v>
      </c>
      <c r="AQ128" s="47" t="n">
        <v>0.02249614014125427</v>
      </c>
      <c r="AR128" s="47" t="n">
        <v>0.1078524635449961</v>
      </c>
      <c r="AS128" s="47" t="n">
        <v>0.06302836235981131</v>
      </c>
      <c r="AT128" s="47" t="n">
        <v>0.1741710275472539</v>
      </c>
      <c r="AU128" s="47" t="n">
        <v>0.2235819290076038</v>
      </c>
      <c r="AV128" s="47" t="n">
        <v>0.2236450385928214</v>
      </c>
      <c r="AW128" s="47" t="n">
        <v>0.1796850044650922</v>
      </c>
      <c r="AX128" s="47" t="n">
        <v>0.1339033447477732</v>
      </c>
      <c r="AY128" s="47" t="n">
        <v>0.06332655416986163</v>
      </c>
      <c r="AZ128" s="47" t="n">
        <v>0.6828940122993884</v>
      </c>
      <c r="BA128" s="47" t="n">
        <v>0.7806959676399715</v>
      </c>
      <c r="BB128" s="47" t="n">
        <v>0.6026087818482139</v>
      </c>
      <c r="BC128" s="47" t="n">
        <v>1.229956737165941</v>
      </c>
      <c r="BD128" s="47" t="n">
        <v>1.063052814720601</v>
      </c>
      <c r="BE128" s="47" t="n">
        <v>0.3776883993454194</v>
      </c>
      <c r="BF128" s="47" t="n">
        <v>0.2959796292062194</v>
      </c>
      <c r="BG128" s="47" t="n">
        <v>0.2230634403719286</v>
      </c>
      <c r="BH128" s="47" t="n">
        <v>5.608155961977392</v>
      </c>
      <c r="BI128" s="47" t="n">
        <v>2.93882626444537</v>
      </c>
      <c r="BJ128" s="47" t="n">
        <v>1.073613356677772</v>
      </c>
      <c r="BK128" s="96" t="n"/>
      <c r="BL128" s="96" t="n"/>
      <c r="BM128" s="96" t="n"/>
      <c r="BN128" s="96" t="n"/>
      <c r="BO128" s="96" t="n"/>
      <c r="BP128" s="96" t="n"/>
      <c r="BQ128" s="96" t="n"/>
      <c r="BR128" s="96" t="n"/>
      <c r="BS128" s="96" t="n"/>
      <c r="BT128" s="96" t="n"/>
      <c r="BU128" s="96" t="n"/>
      <c r="BV128" s="96" t="n"/>
      <c r="BW128" s="96" t="n"/>
      <c r="BX128" s="96" t="n"/>
      <c r="BY128" s="96" t="n"/>
      <c r="BZ128" s="96" t="n"/>
      <c r="CA128" s="96" t="n"/>
      <c r="CB128" s="96" t="n"/>
      <c r="CC128" s="96" t="n"/>
      <c r="CD128" s="96" t="n"/>
      <c r="CE128" s="96" t="n"/>
      <c r="CF128" s="96" t="n"/>
      <c r="CG128" s="96" t="n"/>
      <c r="CH128" s="96" t="n"/>
      <c r="CI128" s="96" t="n"/>
      <c r="CJ128" s="96" t="n"/>
      <c r="CK128" s="96" t="n"/>
      <c r="CL128" s="96" t="n"/>
      <c r="CM128" s="96" t="n"/>
      <c r="CN128" s="96" t="n"/>
      <c r="CO128" s="96" t="n"/>
      <c r="CP128" s="96" t="n"/>
      <c r="CQ128" s="96" t="n"/>
      <c r="CR128" s="96" t="n"/>
      <c r="CS128" s="96" t="n"/>
      <c r="CT128" s="96" t="n"/>
      <c r="CU128" s="96" t="n"/>
      <c r="CV128" s="96" t="n"/>
      <c r="CW128" s="96" t="n"/>
      <c r="CX128" s="96" t="n"/>
      <c r="CY128" s="96" t="n"/>
      <c r="CZ128" s="96" t="n"/>
      <c r="DA128" s="96" t="n"/>
      <c r="DB128" s="96" t="n"/>
      <c r="DC128" s="96" t="n"/>
      <c r="DD128" s="96" t="n"/>
      <c r="DE128" s="96" t="n"/>
      <c r="DF128" s="96" t="n"/>
      <c r="DG128" s="96" t="n"/>
      <c r="DH128" s="96" t="n"/>
      <c r="DI128" s="96" t="n"/>
      <c r="DJ128" s="96" t="n"/>
      <c r="DK128" s="96" t="n"/>
      <c r="DL128" s="96" t="n"/>
      <c r="DM128" s="96" t="n"/>
      <c r="DN128" s="96" t="n"/>
      <c r="DO128" s="96" t="n"/>
      <c r="DP128" s="96" t="n"/>
      <c r="DQ128" s="96" t="n"/>
      <c r="DR128" s="96" t="n"/>
    </row>
    <row r="129" hidden="1" outlineLevel="1" ht="15.75" customHeight="1">
      <c r="B129" s="5" t="inlineStr">
        <is>
          <t>COB</t>
        </is>
      </c>
      <c r="C129" s="68" t="inlineStr">
        <is>
          <t>Upper Middle Market</t>
        </is>
      </c>
      <c r="F129" s="46">
        <f>+SUMIFS($AA129:$DR129,$AA$7:$DR$7,F$7)</f>
        <v/>
      </c>
      <c r="G129" s="46">
        <f>+SUMIFS($AA129:$DR129,$AA$7:$DR$7,G$7)</f>
        <v/>
      </c>
      <c r="H129" s="46">
        <f>+SUMIFS($AA129:$DR129,$AA$7:$DR$7,H$7)</f>
        <v/>
      </c>
      <c r="I129" s="46">
        <f>+SUMIFS($AA129:$DR129,$AA$7:$DR$7,I$7)</f>
        <v/>
      </c>
      <c r="J129" s="46">
        <f>+SUMIFS($AA129:$DR129,$AA$7:$DR$7,J$7)</f>
        <v/>
      </c>
      <c r="K129" s="46">
        <f>+SUMIFS($AA129:$DR129,$AA$7:$DR$7,K$7)</f>
        <v/>
      </c>
      <c r="L129" s="46">
        <f>+SUMIFS($AA129:$DR129,$AA$7:$DR$7,L$7)</f>
        <v/>
      </c>
      <c r="M129" s="46">
        <f>+SUMIFS($AA129:$DR129,$AA$7:$DR$7,M$7)</f>
        <v/>
      </c>
      <c r="AA129" s="47" t="n">
        <v>0</v>
      </c>
      <c r="AB129" s="47" t="n">
        <v>0</v>
      </c>
      <c r="AC129" s="47" t="n">
        <v>0</v>
      </c>
      <c r="AD129" s="47" t="n">
        <v>0</v>
      </c>
      <c r="AE129" s="47" t="n">
        <v>0</v>
      </c>
      <c r="AF129" s="47" t="n">
        <v>0</v>
      </c>
      <c r="AG129" s="47" t="n">
        <v>0</v>
      </c>
      <c r="AH129" s="47" t="n">
        <v>0</v>
      </c>
      <c r="AI129" s="47" t="n">
        <v>0</v>
      </c>
      <c r="AJ129" s="47" t="n">
        <v>0</v>
      </c>
      <c r="AK129" s="47" t="n">
        <v>0</v>
      </c>
      <c r="AL129" s="47" t="n">
        <v>0</v>
      </c>
      <c r="AM129" s="47" t="n">
        <v>0</v>
      </c>
      <c r="AN129" s="47" t="n">
        <v>0</v>
      </c>
      <c r="AO129" s="47" t="n">
        <v>0</v>
      </c>
      <c r="AP129" s="47" t="n">
        <v>0</v>
      </c>
      <c r="AQ129" s="47" t="n">
        <v>0</v>
      </c>
      <c r="AR129" s="47" t="n">
        <v>0</v>
      </c>
      <c r="AS129" s="47" t="n">
        <v>0.01278872290395604</v>
      </c>
      <c r="AT129" s="47" t="n">
        <v>0.4679569509436181</v>
      </c>
      <c r="AU129" s="47" t="n">
        <v>0.7340431774399</v>
      </c>
      <c r="AV129" s="47" t="n">
        <v>1.669831127292871</v>
      </c>
      <c r="AW129" s="47" t="n">
        <v>0.5970183094632874</v>
      </c>
      <c r="AX129" s="47" t="n">
        <v>2.17641179298086</v>
      </c>
      <c r="AY129" s="47" t="n">
        <v>4.246339414222031</v>
      </c>
      <c r="AZ129" s="47" t="n">
        <v>3.077075516123204</v>
      </c>
      <c r="BA129" s="47" t="n">
        <v>1.769266061328823</v>
      </c>
      <c r="BB129" s="47" t="n">
        <v>2.540780217830747</v>
      </c>
      <c r="BC129" s="47" t="n">
        <v>1.648908509953708</v>
      </c>
      <c r="BD129" s="47" t="n">
        <v>1.414143113252759</v>
      </c>
      <c r="BE129" s="47" t="n">
        <v>0.5296777734872723</v>
      </c>
      <c r="BF129" s="47" t="n">
        <v>0.008975632110997625</v>
      </c>
      <c r="BG129" s="47" t="n">
        <v>0.3071564913431306</v>
      </c>
      <c r="BH129" s="47" t="n">
        <v>0.5303113819510974</v>
      </c>
      <c r="BI129" s="47" t="n">
        <v>2.024244343409434</v>
      </c>
      <c r="BJ129" s="47" t="n">
        <v>2.075874777990474</v>
      </c>
      <c r="BK129" s="96" t="n"/>
      <c r="BL129" s="96" t="n"/>
      <c r="BM129" s="96" t="n"/>
      <c r="BN129" s="96" t="n"/>
      <c r="BO129" s="96" t="n"/>
      <c r="BP129" s="96" t="n"/>
      <c r="BQ129" s="96" t="n"/>
      <c r="BR129" s="96" t="n"/>
      <c r="BS129" s="96" t="n"/>
      <c r="BT129" s="96" t="n"/>
      <c r="BU129" s="96" t="n"/>
      <c r="BV129" s="96" t="n"/>
      <c r="BW129" s="96" t="n"/>
      <c r="BX129" s="96" t="n"/>
      <c r="BY129" s="96" t="n"/>
      <c r="BZ129" s="96" t="n"/>
      <c r="CA129" s="96" t="n"/>
      <c r="CB129" s="96" t="n"/>
      <c r="CC129" s="96" t="n"/>
      <c r="CD129" s="96" t="n"/>
      <c r="CE129" s="96" t="n"/>
      <c r="CF129" s="96" t="n"/>
      <c r="CG129" s="96" t="n"/>
      <c r="CH129" s="96" t="n"/>
      <c r="CI129" s="96" t="n"/>
      <c r="CJ129" s="96" t="n"/>
      <c r="CK129" s="96" t="n"/>
      <c r="CL129" s="96" t="n"/>
      <c r="CM129" s="96" t="n"/>
      <c r="CN129" s="96" t="n"/>
      <c r="CO129" s="96" t="n"/>
      <c r="CP129" s="96" t="n"/>
      <c r="CQ129" s="96" t="n"/>
      <c r="CR129" s="96" t="n"/>
      <c r="CS129" s="96" t="n"/>
      <c r="CT129" s="96" t="n"/>
      <c r="CU129" s="96" t="n"/>
      <c r="CV129" s="96" t="n"/>
      <c r="CW129" s="96" t="n"/>
      <c r="CX129" s="96" t="n"/>
      <c r="CY129" s="96" t="n"/>
      <c r="CZ129" s="96" t="n"/>
      <c r="DA129" s="96" t="n"/>
      <c r="DB129" s="96" t="n"/>
      <c r="DC129" s="96" t="n"/>
      <c r="DD129" s="96" t="n"/>
      <c r="DE129" s="96" t="n"/>
      <c r="DF129" s="96" t="n"/>
      <c r="DG129" s="96" t="n"/>
      <c r="DH129" s="96" t="n"/>
      <c r="DI129" s="96" t="n"/>
      <c r="DJ129" s="96" t="n"/>
      <c r="DK129" s="96" t="n"/>
      <c r="DL129" s="96" t="n"/>
      <c r="DM129" s="96" t="n"/>
      <c r="DN129" s="96" t="n"/>
      <c r="DO129" s="96" t="n"/>
      <c r="DP129" s="96" t="n"/>
      <c r="DQ129" s="96" t="n"/>
      <c r="DR129" s="96" t="n"/>
    </row>
    <row r="130" hidden="1" outlineLevel="1" ht="15.75" customHeight="1">
      <c r="B130" s="5" t="inlineStr">
        <is>
          <t>DUP</t>
        </is>
      </c>
      <c r="C130" s="68" t="inlineStr">
        <is>
          <t>Upper Middle Market</t>
        </is>
      </c>
      <c r="F130" s="46">
        <f>+SUMIFS($AA130:$DR130,$AA$7:$DR$7,F$7)</f>
        <v/>
      </c>
      <c r="G130" s="46">
        <f>+SUMIFS($AA130:$DR130,$AA$7:$DR$7,G$7)</f>
        <v/>
      </c>
      <c r="H130" s="46">
        <f>+SUMIFS($AA130:$DR130,$AA$7:$DR$7,H$7)</f>
        <v/>
      </c>
      <c r="I130" s="46">
        <f>+SUMIFS($AA130:$DR130,$AA$7:$DR$7,I$7)</f>
        <v/>
      </c>
      <c r="J130" s="46">
        <f>+SUMIFS($AA130:$DR130,$AA$7:$DR$7,J$7)</f>
        <v/>
      </c>
      <c r="K130" s="46">
        <f>+SUMIFS($AA130:$DR130,$AA$7:$DR$7,K$7)</f>
        <v/>
      </c>
      <c r="L130" s="46">
        <f>+SUMIFS($AA130:$DR130,$AA$7:$DR$7,L$7)</f>
        <v/>
      </c>
      <c r="M130" s="46">
        <f>+SUMIFS($AA130:$DR130,$AA$7:$DR$7,M$7)</f>
        <v/>
      </c>
      <c r="AA130" s="47" t="n">
        <v>0.002807863456897302</v>
      </c>
      <c r="AB130" s="47" t="n">
        <v>0.3357684881143975</v>
      </c>
      <c r="AC130" s="47" t="n">
        <v>2.109471614424274</v>
      </c>
      <c r="AD130" s="47" t="n">
        <v>0.8737440774349103</v>
      </c>
      <c r="AE130" s="47" t="n">
        <v>0.4715320030569545</v>
      </c>
      <c r="AF130" s="47" t="n">
        <v>0.9265961996941018</v>
      </c>
      <c r="AG130" s="47" t="n">
        <v>3.422175039708165</v>
      </c>
      <c r="AH130" s="47" t="n">
        <v>1.468403397832826</v>
      </c>
      <c r="AI130" s="47" t="n">
        <v>0.8977014368071402</v>
      </c>
      <c r="AJ130" s="47" t="n">
        <v>2.2377184610089</v>
      </c>
      <c r="AK130" s="47" t="n">
        <v>2.07559539614563</v>
      </c>
      <c r="AL130" s="47" t="n">
        <v>2.448111455582979</v>
      </c>
      <c r="AM130" s="47" t="n">
        <v>0.5010772810205807</v>
      </c>
      <c r="AN130" s="47" t="n">
        <v>0.2671857811721587</v>
      </c>
      <c r="AO130" s="47" t="n">
        <v>0.1407949903567369</v>
      </c>
      <c r="AP130" s="47" t="n">
        <v>0.05722542931240999</v>
      </c>
      <c r="AQ130" s="47" t="n">
        <v>0.2212277535609601</v>
      </c>
      <c r="AR130" s="47" t="n">
        <v>1.090354397848686</v>
      </c>
      <c r="AS130" s="47" t="n">
        <v>0.1205146780710456</v>
      </c>
      <c r="AT130" s="47" t="n">
        <v>1.192890984786368</v>
      </c>
      <c r="AU130" s="47" t="n">
        <v>2.751473563931427</v>
      </c>
      <c r="AV130" s="47" t="n">
        <v>2.786794468479519</v>
      </c>
      <c r="AW130" s="47" t="n">
        <v>0.8673260999836424</v>
      </c>
      <c r="AX130" s="47" t="n">
        <v>4.197987820365118</v>
      </c>
      <c r="AY130" s="47" t="n">
        <v>3.001479758013126</v>
      </c>
      <c r="AZ130" s="47" t="n">
        <v>2.325268094335424</v>
      </c>
      <c r="BA130" s="47" t="n">
        <v>15.29543549014381</v>
      </c>
      <c r="BB130" s="47" t="n">
        <v>5.98768383197552</v>
      </c>
      <c r="BC130" s="47" t="n">
        <v>15.55082929853928</v>
      </c>
      <c r="BD130" s="47" t="n">
        <v>6.738105043048738</v>
      </c>
      <c r="BE130" s="47" t="n">
        <v>5.795157307402238</v>
      </c>
      <c r="BF130" s="47" t="n">
        <v>13.05884337505342</v>
      </c>
      <c r="BG130" s="47" t="n">
        <v>13.29273843570852</v>
      </c>
      <c r="BH130" s="47" t="n">
        <v>15.16959660836419</v>
      </c>
      <c r="BI130" s="47" t="n">
        <v>6.000643908211413</v>
      </c>
      <c r="BJ130" s="47" t="n">
        <v>4.942617389996572</v>
      </c>
      <c r="BK130" s="96" t="n"/>
      <c r="BL130" s="96" t="n"/>
      <c r="BM130" s="96" t="n"/>
      <c r="BN130" s="96" t="n"/>
      <c r="BO130" s="96" t="n"/>
      <c r="BP130" s="96" t="n"/>
      <c r="BQ130" s="96" t="n"/>
      <c r="BR130" s="96" t="n"/>
      <c r="BS130" s="96" t="n"/>
      <c r="BT130" s="96" t="n"/>
      <c r="BU130" s="96" t="n"/>
      <c r="BV130" s="96" t="n"/>
      <c r="BW130" s="96" t="n"/>
      <c r="BX130" s="96" t="n"/>
      <c r="BY130" s="96" t="n"/>
      <c r="BZ130" s="96" t="n"/>
      <c r="CA130" s="96" t="n"/>
      <c r="CB130" s="96" t="n"/>
      <c r="CC130" s="96" t="n"/>
      <c r="CD130" s="96" t="n"/>
      <c r="CE130" s="96" t="n"/>
      <c r="CF130" s="96" t="n"/>
      <c r="CG130" s="96" t="n"/>
      <c r="CH130" s="96" t="n"/>
      <c r="CI130" s="96" t="n"/>
      <c r="CJ130" s="96" t="n"/>
      <c r="CK130" s="96" t="n"/>
      <c r="CL130" s="96" t="n"/>
      <c r="CM130" s="96" t="n"/>
      <c r="CN130" s="96" t="n"/>
      <c r="CO130" s="96" t="n"/>
      <c r="CP130" s="96" t="n"/>
      <c r="CQ130" s="96" t="n"/>
      <c r="CR130" s="96" t="n"/>
      <c r="CS130" s="96" t="n"/>
      <c r="CT130" s="96" t="n"/>
      <c r="CU130" s="96" t="n"/>
      <c r="CV130" s="96" t="n"/>
      <c r="CW130" s="96" t="n"/>
      <c r="CX130" s="96" t="n"/>
      <c r="CY130" s="96" t="n"/>
      <c r="CZ130" s="96" t="n"/>
      <c r="DA130" s="96" t="n"/>
      <c r="DB130" s="96" t="n"/>
      <c r="DC130" s="96" t="n"/>
      <c r="DD130" s="96" t="n"/>
      <c r="DE130" s="96" t="n"/>
      <c r="DF130" s="96" t="n"/>
      <c r="DG130" s="96" t="n"/>
      <c r="DH130" s="96" t="n"/>
      <c r="DI130" s="96" t="n"/>
      <c r="DJ130" s="96" t="n"/>
      <c r="DK130" s="96" t="n"/>
      <c r="DL130" s="96" t="n"/>
      <c r="DM130" s="96" t="n"/>
      <c r="DN130" s="96" t="n"/>
      <c r="DO130" s="96" t="n"/>
      <c r="DP130" s="96" t="n"/>
      <c r="DQ130" s="96" t="n"/>
      <c r="DR130" s="96" t="n"/>
    </row>
    <row r="131" hidden="1" outlineLevel="1" ht="15.75" customHeight="1">
      <c r="B131" s="5" t="inlineStr">
        <is>
          <t>GSW</t>
        </is>
      </c>
      <c r="C131" s="68" t="inlineStr">
        <is>
          <t>Major</t>
        </is>
      </c>
      <c r="F131" s="46">
        <f>+SUMIFS($AA131:$DR131,$AA$7:$DR$7,F$7)</f>
        <v/>
      </c>
      <c r="G131" s="46">
        <f>+SUMIFS($AA131:$DR131,$AA$7:$DR$7,G$7)</f>
        <v/>
      </c>
      <c r="H131" s="46">
        <f>+SUMIFS($AA131:$DR131,$AA$7:$DR$7,H$7)</f>
        <v/>
      </c>
      <c r="I131" s="46">
        <f>+SUMIFS($AA131:$DR131,$AA$7:$DR$7,I$7)</f>
        <v/>
      </c>
      <c r="J131" s="46">
        <f>+SUMIFS($AA131:$DR131,$AA$7:$DR$7,J$7)</f>
        <v/>
      </c>
      <c r="K131" s="46">
        <f>+SUMIFS($AA131:$DR131,$AA$7:$DR$7,K$7)</f>
        <v/>
      </c>
      <c r="L131" s="46">
        <f>+SUMIFS($AA131:$DR131,$AA$7:$DR$7,L$7)</f>
        <v/>
      </c>
      <c r="M131" s="46">
        <f>+SUMIFS($AA131:$DR131,$AA$7:$DR$7,M$7)</f>
        <v/>
      </c>
      <c r="AA131" s="47" t="n">
        <v>1.855212898250426</v>
      </c>
      <c r="AB131" s="47" t="n">
        <v>0.902808238106255</v>
      </c>
      <c r="AC131" s="47" t="n">
        <v>2.214351750635342</v>
      </c>
      <c r="AD131" s="47" t="n">
        <v>2.15046147978441</v>
      </c>
      <c r="AE131" s="47" t="n">
        <v>1.041752347368953</v>
      </c>
      <c r="AF131" s="47" t="n">
        <v>2.329192024042582</v>
      </c>
      <c r="AG131" s="47" t="n">
        <v>4.887713628538478</v>
      </c>
      <c r="AH131" s="47" t="n">
        <v>6.219429932178426</v>
      </c>
      <c r="AI131" s="47" t="n">
        <v>2.94309481554917</v>
      </c>
      <c r="AJ131" s="47" t="n">
        <v>3.882519413760734</v>
      </c>
      <c r="AK131" s="47" t="n">
        <v>5.342155006761104</v>
      </c>
      <c r="AL131" s="47" t="n">
        <v>6.147532156202809</v>
      </c>
      <c r="AM131" s="47" t="n">
        <v>4.361342336917745</v>
      </c>
      <c r="AN131" s="47" t="n">
        <v>4.412180212599959</v>
      </c>
      <c r="AO131" s="47" t="n">
        <v>3.108062035157323</v>
      </c>
      <c r="AP131" s="47" t="n">
        <v>2.624115065750899</v>
      </c>
      <c r="AQ131" s="47" t="n">
        <v>1.108271423776212</v>
      </c>
      <c r="AR131" s="47" t="n">
        <v>2.097904526716842</v>
      </c>
      <c r="AS131" s="47" t="n">
        <v>0.9837985728265144</v>
      </c>
      <c r="AT131" s="47" t="n">
        <v>0.9801519241702781</v>
      </c>
      <c r="AU131" s="47" t="n">
        <v>4.098576447155454</v>
      </c>
      <c r="AV131" s="47" t="n">
        <v>3.274500003911395</v>
      </c>
      <c r="AW131" s="47" t="n">
        <v>1.829924158988013</v>
      </c>
      <c r="AX131" s="47" t="n">
        <v>0.339901258114341</v>
      </c>
      <c r="AY131" s="47" t="n">
        <v>1.330707409006235</v>
      </c>
      <c r="AZ131" s="47" t="n">
        <v>4.549906320928467</v>
      </c>
      <c r="BA131" s="47" t="n">
        <v>0.7985860845688265</v>
      </c>
      <c r="BB131" s="47" t="n">
        <v>2.862861102756976</v>
      </c>
      <c r="BC131" s="47" t="n">
        <v>4.077716062379509</v>
      </c>
      <c r="BD131" s="47" t="n">
        <v>1.504550618985038</v>
      </c>
      <c r="BE131" s="47" t="n">
        <v>3.796938405539759</v>
      </c>
      <c r="BF131" s="47" t="n">
        <v>1.196229822650907</v>
      </c>
      <c r="BG131" s="47" t="n">
        <v>7.1414468109776</v>
      </c>
      <c r="BH131" s="47" t="n">
        <v>4.813948023869243</v>
      </c>
      <c r="BI131" s="47" t="n">
        <v>5.773307102207077</v>
      </c>
      <c r="BJ131" s="47" t="n">
        <v>2.520232849182499</v>
      </c>
      <c r="BK131" s="96" t="n"/>
      <c r="BL131" s="96" t="n"/>
      <c r="BM131" s="96" t="n"/>
      <c r="BN131" s="96" t="n"/>
      <c r="BO131" s="96" t="n"/>
      <c r="BP131" s="96" t="n"/>
      <c r="BQ131" s="96" t="n"/>
      <c r="BR131" s="96" t="n"/>
      <c r="BS131" s="96" t="n"/>
      <c r="BT131" s="96" t="n"/>
      <c r="BU131" s="96" t="n"/>
      <c r="BV131" s="96" t="n"/>
      <c r="BW131" s="96" t="n"/>
      <c r="BX131" s="96" t="n"/>
      <c r="BY131" s="96" t="n"/>
      <c r="BZ131" s="96" t="n"/>
      <c r="CA131" s="96" t="n"/>
      <c r="CB131" s="96" t="n"/>
      <c r="CC131" s="96" t="n"/>
      <c r="CD131" s="96" t="n"/>
      <c r="CE131" s="96" t="n"/>
      <c r="CF131" s="96" t="n"/>
      <c r="CG131" s="96" t="n"/>
      <c r="CH131" s="96" t="n"/>
      <c r="CI131" s="96" t="n"/>
      <c r="CJ131" s="96" t="n"/>
      <c r="CK131" s="96" t="n"/>
      <c r="CL131" s="96" t="n"/>
      <c r="CM131" s="96" t="n"/>
      <c r="CN131" s="96" t="n"/>
      <c r="CO131" s="96" t="n"/>
      <c r="CP131" s="96" t="n"/>
      <c r="CQ131" s="96" t="n"/>
      <c r="CR131" s="96" t="n"/>
      <c r="CS131" s="96" t="n"/>
      <c r="CT131" s="96" t="n"/>
      <c r="CU131" s="96" t="n"/>
      <c r="CV131" s="96" t="n"/>
      <c r="CW131" s="96" t="n"/>
      <c r="CX131" s="96" t="n"/>
      <c r="CY131" s="96" t="n"/>
      <c r="CZ131" s="96" t="n"/>
      <c r="DA131" s="96" t="n"/>
      <c r="DB131" s="96" t="n"/>
      <c r="DC131" s="96" t="n"/>
      <c r="DD131" s="96" t="n"/>
      <c r="DE131" s="96" t="n"/>
      <c r="DF131" s="96" t="n"/>
      <c r="DG131" s="96" t="n"/>
      <c r="DH131" s="96" t="n"/>
      <c r="DI131" s="96" t="n"/>
      <c r="DJ131" s="96" t="n"/>
      <c r="DK131" s="96" t="n"/>
      <c r="DL131" s="96" t="n"/>
      <c r="DM131" s="96" t="n"/>
      <c r="DN131" s="96" t="n"/>
      <c r="DO131" s="96" t="n"/>
      <c r="DP131" s="96" t="n"/>
      <c r="DQ131" s="96" t="n"/>
      <c r="DR131" s="96" t="n"/>
    </row>
    <row r="132" hidden="1" outlineLevel="1" ht="15.75" customHeight="1">
      <c r="B132" s="5" t="inlineStr">
        <is>
          <t>HEM</t>
        </is>
      </c>
      <c r="C132" s="68" t="inlineStr">
        <is>
          <t>Upper Middle Market</t>
        </is>
      </c>
      <c r="F132" s="46">
        <f>+SUMIFS($AA132:$DR132,$AA$7:$DR$7,F$7)</f>
        <v/>
      </c>
      <c r="G132" s="46">
        <f>+SUMIFS($AA132:$DR132,$AA$7:$DR$7,G$7)</f>
        <v/>
      </c>
      <c r="H132" s="46">
        <f>+SUMIFS($AA132:$DR132,$AA$7:$DR$7,H$7)</f>
        <v/>
      </c>
      <c r="I132" s="46">
        <f>+SUMIFS($AA132:$DR132,$AA$7:$DR$7,I$7)</f>
        <v/>
      </c>
      <c r="J132" s="46">
        <f>+SUMIFS($AA132:$DR132,$AA$7:$DR$7,J$7)</f>
        <v/>
      </c>
      <c r="K132" s="46">
        <f>+SUMIFS($AA132:$DR132,$AA$7:$DR$7,K$7)</f>
        <v/>
      </c>
      <c r="L132" s="46">
        <f>+SUMIFS($AA132:$DR132,$AA$7:$DR$7,L$7)</f>
        <v/>
      </c>
      <c r="M132" s="46">
        <f>+SUMIFS($AA132:$DR132,$AA$7:$DR$7,M$7)</f>
        <v/>
      </c>
      <c r="AA132" s="47" t="n">
        <v>0</v>
      </c>
      <c r="AB132" s="47" t="n">
        <v>0</v>
      </c>
      <c r="AC132" s="47" t="n">
        <v>0</v>
      </c>
      <c r="AD132" s="47" t="n">
        <v>0</v>
      </c>
      <c r="AE132" s="47" t="n">
        <v>0</v>
      </c>
      <c r="AF132" s="47" t="n">
        <v>0.3708464181427452</v>
      </c>
      <c r="AG132" s="47" t="n">
        <v>0.01533229995086302</v>
      </c>
      <c r="AH132" s="47" t="n">
        <v>0.1592614308678918</v>
      </c>
      <c r="AI132" s="47" t="n">
        <v>0.2252322323279186</v>
      </c>
      <c r="AJ132" s="47" t="n">
        <v>0.5103555444702195</v>
      </c>
      <c r="AK132" s="47" t="n">
        <v>1.458433896706305</v>
      </c>
      <c r="AL132" s="47" t="n">
        <v>2.401242684011331</v>
      </c>
      <c r="AM132" s="47" t="n">
        <v>2.856587858184744</v>
      </c>
      <c r="AN132" s="47" t="n">
        <v>3.707693984872788</v>
      </c>
      <c r="AO132" s="47" t="n">
        <v>4.983152626808999</v>
      </c>
      <c r="AP132" s="47" t="n">
        <v>4.085922439192095</v>
      </c>
      <c r="AQ132" s="47" t="n">
        <v>4.980341567325743</v>
      </c>
      <c r="AR132" s="47" t="n">
        <v>14.29481031671237</v>
      </c>
      <c r="AS132" s="47" t="n">
        <v>21.00804196450969</v>
      </c>
      <c r="AT132" s="47" t="n">
        <v>17.90056185387793</v>
      </c>
      <c r="AU132" s="47" t="n">
        <v>7.036614165939081</v>
      </c>
      <c r="AV132" s="47" t="n">
        <v>5.122535901256738</v>
      </c>
      <c r="AW132" s="47" t="n">
        <v>3.690573919756456</v>
      </c>
      <c r="AX132" s="47" t="n">
        <v>0.6104612530625267</v>
      </c>
      <c r="AY132" s="47" t="n">
        <v>1.473722172284948</v>
      </c>
      <c r="AZ132" s="47" t="n">
        <v>0.5186268329953271</v>
      </c>
      <c r="BA132" s="47" t="n">
        <v>1.00938286449472</v>
      </c>
      <c r="BB132" s="47" t="n">
        <v>1.140914508320529</v>
      </c>
      <c r="BC132" s="47" t="n">
        <v>1.350714329533306</v>
      </c>
      <c r="BD132" s="47" t="n">
        <v>3.298974461989918</v>
      </c>
      <c r="BE132" s="47" t="n">
        <v>3.49087248922063</v>
      </c>
      <c r="BF132" s="47" t="n">
        <v>2.356148317006484</v>
      </c>
      <c r="BG132" s="47" t="n">
        <v>2.196229952448407</v>
      </c>
      <c r="BH132" s="47" t="n">
        <v>0.7128994339614194</v>
      </c>
      <c r="BI132" s="47" t="n">
        <v>2.366523262841618</v>
      </c>
      <c r="BJ132" s="47" t="n">
        <v>2.393809479535061</v>
      </c>
      <c r="BK132" s="96" t="n"/>
      <c r="BL132" s="96" t="n"/>
      <c r="BM132" s="96" t="n"/>
      <c r="BN132" s="96" t="n"/>
      <c r="BO132" s="96" t="n"/>
      <c r="BP132" s="96" t="n"/>
      <c r="BQ132" s="96" t="n"/>
      <c r="BR132" s="96" t="n"/>
      <c r="BS132" s="96" t="n"/>
      <c r="BT132" s="96" t="n"/>
      <c r="BU132" s="96" t="n"/>
      <c r="BV132" s="96" t="n"/>
      <c r="BW132" s="96" t="n"/>
      <c r="BX132" s="96" t="n"/>
      <c r="BY132" s="96" t="n"/>
      <c r="BZ132" s="96" t="n"/>
      <c r="CA132" s="96" t="n"/>
      <c r="CB132" s="96" t="n"/>
      <c r="CC132" s="96" t="n"/>
      <c r="CD132" s="96" t="n"/>
      <c r="CE132" s="96" t="n"/>
      <c r="CF132" s="96" t="n"/>
      <c r="CG132" s="96" t="n"/>
      <c r="CH132" s="96" t="n"/>
      <c r="CI132" s="96" t="n"/>
      <c r="CJ132" s="96" t="n"/>
      <c r="CK132" s="96" t="n"/>
      <c r="CL132" s="96" t="n"/>
      <c r="CM132" s="96" t="n"/>
      <c r="CN132" s="96" t="n"/>
      <c r="CO132" s="96" t="n"/>
      <c r="CP132" s="96" t="n"/>
      <c r="CQ132" s="96" t="n"/>
      <c r="CR132" s="96" t="n"/>
      <c r="CS132" s="96" t="n"/>
      <c r="CT132" s="96" t="n"/>
      <c r="CU132" s="96" t="n"/>
      <c r="CV132" s="96" t="n"/>
      <c r="CW132" s="96" t="n"/>
      <c r="CX132" s="96" t="n"/>
      <c r="CY132" s="96" t="n"/>
      <c r="CZ132" s="96" t="n"/>
      <c r="DA132" s="96" t="n"/>
      <c r="DB132" s="96" t="n"/>
      <c r="DC132" s="96" t="n"/>
      <c r="DD132" s="96" t="n"/>
      <c r="DE132" s="96" t="n"/>
      <c r="DF132" s="96" t="n"/>
      <c r="DG132" s="96" t="n"/>
      <c r="DH132" s="96" t="n"/>
      <c r="DI132" s="96" t="n"/>
      <c r="DJ132" s="96" t="n"/>
      <c r="DK132" s="96" t="n"/>
      <c r="DL132" s="96" t="n"/>
      <c r="DM132" s="96" t="n"/>
      <c r="DN132" s="96" t="n"/>
      <c r="DO132" s="96" t="n"/>
      <c r="DP132" s="96" t="n"/>
      <c r="DQ132" s="96" t="n"/>
      <c r="DR132" s="96" t="n"/>
    </row>
    <row r="133" hidden="1" outlineLevel="1" ht="15.75" customHeight="1">
      <c r="B133" s="5" t="inlineStr">
        <is>
          <t>IFIS</t>
        </is>
      </c>
      <c r="C133" s="68" t="inlineStr">
        <is>
          <t>Lower Middle Market</t>
        </is>
      </c>
      <c r="F133" s="46">
        <f>+SUMIFS($AA133:$DR133,$AA$7:$DR$7,F$7)</f>
        <v/>
      </c>
      <c r="G133" s="46">
        <f>+SUMIFS($AA133:$DR133,$AA$7:$DR$7,G$7)</f>
        <v/>
      </c>
      <c r="H133" s="46">
        <f>+SUMIFS($AA133:$DR133,$AA$7:$DR$7,H$7)</f>
        <v/>
      </c>
      <c r="I133" s="46">
        <f>+SUMIFS($AA133:$DR133,$AA$7:$DR$7,I$7)</f>
        <v/>
      </c>
      <c r="J133" s="46">
        <f>+SUMIFS($AA133:$DR133,$AA$7:$DR$7,J$7)</f>
        <v/>
      </c>
      <c r="K133" s="46">
        <f>+SUMIFS($AA133:$DR133,$AA$7:$DR$7,K$7)</f>
        <v/>
      </c>
      <c r="L133" s="46">
        <f>+SUMIFS($AA133:$DR133,$AA$7:$DR$7,L$7)</f>
        <v/>
      </c>
      <c r="M133" s="46">
        <f>+SUMIFS($AA133:$DR133,$AA$7:$DR$7,M$7)</f>
        <v/>
      </c>
      <c r="AA133" s="47" t="n">
        <v>0</v>
      </c>
      <c r="AB133" s="47" t="n">
        <v>0</v>
      </c>
      <c r="AC133" s="47" t="n">
        <v>0</v>
      </c>
      <c r="AD133" s="47" t="n">
        <v>0</v>
      </c>
      <c r="AE133" s="47" t="n">
        <v>0</v>
      </c>
      <c r="AF133" s="47" t="n">
        <v>0</v>
      </c>
      <c r="AG133" s="47" t="n">
        <v>0</v>
      </c>
      <c r="AH133" s="47" t="n">
        <v>0</v>
      </c>
      <c r="AI133" s="47" t="n">
        <v>0</v>
      </c>
      <c r="AJ133" s="47" t="n">
        <v>0</v>
      </c>
      <c r="AK133" s="47" t="n">
        <v>0</v>
      </c>
      <c r="AL133" s="47" t="n">
        <v>0</v>
      </c>
      <c r="AM133" s="47" t="n">
        <v>0</v>
      </c>
      <c r="AN133" s="47" t="n">
        <v>0</v>
      </c>
      <c r="AO133" s="47" t="n">
        <v>0</v>
      </c>
      <c r="AP133" s="47" t="n">
        <v>0</v>
      </c>
      <c r="AQ133" s="47" t="n">
        <v>0</v>
      </c>
      <c r="AR133" s="47" t="n">
        <v>0</v>
      </c>
      <c r="AS133" s="47" t="n">
        <v>0.6341669559036864</v>
      </c>
      <c r="AT133" s="47" t="n">
        <v>0.7651695930980131</v>
      </c>
      <c r="AU133" s="47" t="n">
        <v>5.8254330030326</v>
      </c>
      <c r="AV133" s="47" t="n">
        <v>1.48753634907458</v>
      </c>
      <c r="AW133" s="47" t="n">
        <v>0.7171638514281549</v>
      </c>
      <c r="AX133" s="47" t="n">
        <v>0.4111009998004928</v>
      </c>
      <c r="AY133" s="47" t="n">
        <v>0.7114771919062679</v>
      </c>
      <c r="AZ133" s="47" t="n">
        <v>1.245416902333232</v>
      </c>
      <c r="BA133" s="47" t="n">
        <v>1.564874477046329</v>
      </c>
      <c r="BB133" s="47" t="n">
        <v>0.219860145431384</v>
      </c>
      <c r="BC133" s="47" t="n">
        <v>0.02937446064139942</v>
      </c>
      <c r="BD133" s="47" t="n">
        <v>0.1536259771206079</v>
      </c>
      <c r="BE133" s="47" t="n">
        <v>0</v>
      </c>
      <c r="BF133" s="47" t="n">
        <v>0.003524173909595231</v>
      </c>
      <c r="BG133" s="47" t="n">
        <v>0</v>
      </c>
      <c r="BH133" s="47" t="n">
        <v>0.08340168096200933</v>
      </c>
      <c r="BI133" s="47" t="n">
        <v>0</v>
      </c>
      <c r="BJ133" s="47" t="n">
        <v>0</v>
      </c>
      <c r="BK133" s="96" t="n"/>
      <c r="BL133" s="96" t="n"/>
      <c r="BM133" s="96" t="n"/>
      <c r="BN133" s="96" t="n"/>
      <c r="BO133" s="96" t="n"/>
      <c r="BP133" s="96" t="n"/>
      <c r="BQ133" s="96" t="n"/>
      <c r="BR133" s="96" t="n"/>
      <c r="BS133" s="96" t="n"/>
      <c r="BT133" s="96" t="n"/>
      <c r="BU133" s="96" t="n"/>
      <c r="BV133" s="96" t="n"/>
      <c r="BW133" s="96" t="n"/>
      <c r="BX133" s="96" t="n"/>
      <c r="BY133" s="96" t="n"/>
      <c r="BZ133" s="96" t="n"/>
      <c r="CA133" s="96" t="n"/>
      <c r="CB133" s="96" t="n"/>
      <c r="CC133" s="96" t="n"/>
      <c r="CD133" s="96" t="n"/>
      <c r="CE133" s="96" t="n"/>
      <c r="CF133" s="96" t="n"/>
      <c r="CG133" s="96" t="n"/>
      <c r="CH133" s="96" t="n"/>
      <c r="CI133" s="96" t="n"/>
      <c r="CJ133" s="96" t="n"/>
      <c r="CK133" s="96" t="n"/>
      <c r="CL133" s="96" t="n"/>
      <c r="CM133" s="96" t="n"/>
      <c r="CN133" s="96" t="n"/>
      <c r="CO133" s="96" t="n"/>
      <c r="CP133" s="96" t="n"/>
      <c r="CQ133" s="96" t="n"/>
      <c r="CR133" s="96" t="n"/>
      <c r="CS133" s="96" t="n"/>
      <c r="CT133" s="96" t="n"/>
      <c r="CU133" s="96" t="n"/>
      <c r="CV133" s="96" t="n"/>
      <c r="CW133" s="96" t="n"/>
      <c r="CX133" s="96" t="n"/>
      <c r="CY133" s="96" t="n"/>
      <c r="CZ133" s="96" t="n"/>
      <c r="DA133" s="96" t="n"/>
      <c r="DB133" s="96" t="n"/>
      <c r="DC133" s="96" t="n"/>
      <c r="DD133" s="96" t="n"/>
      <c r="DE133" s="96" t="n"/>
      <c r="DF133" s="96" t="n"/>
      <c r="DG133" s="96" t="n"/>
      <c r="DH133" s="96" t="n"/>
      <c r="DI133" s="96" t="n"/>
      <c r="DJ133" s="96" t="n"/>
      <c r="DK133" s="96" t="n"/>
      <c r="DL133" s="96" t="n"/>
      <c r="DM133" s="96" t="n"/>
      <c r="DN133" s="96" t="n"/>
      <c r="DO133" s="96" t="n"/>
      <c r="DP133" s="96" t="n"/>
      <c r="DQ133" s="96" t="n"/>
      <c r="DR133" s="96" t="n"/>
    </row>
    <row r="134" hidden="1" outlineLevel="1" ht="15.75" customHeight="1">
      <c r="B134" s="5" t="inlineStr">
        <is>
          <t>IWA</t>
        </is>
      </c>
      <c r="C134" s="68" t="inlineStr">
        <is>
          <t>Lower Middle Market</t>
        </is>
      </c>
      <c r="F134" s="46">
        <f>+SUMIFS($AA134:$DR134,$AA$7:$DR$7,F$7)</f>
        <v/>
      </c>
      <c r="G134" s="46">
        <f>+SUMIFS($AA134:$DR134,$AA$7:$DR$7,G$7)</f>
        <v/>
      </c>
      <c r="H134" s="46">
        <f>+SUMIFS($AA134:$DR134,$AA$7:$DR$7,H$7)</f>
        <v/>
      </c>
      <c r="I134" s="46">
        <f>+SUMIFS($AA134:$DR134,$AA$7:$DR$7,I$7)</f>
        <v/>
      </c>
      <c r="J134" s="46">
        <f>+SUMIFS($AA134:$DR134,$AA$7:$DR$7,J$7)</f>
        <v/>
      </c>
      <c r="K134" s="46">
        <f>+SUMIFS($AA134:$DR134,$AA$7:$DR$7,K$7)</f>
        <v/>
      </c>
      <c r="L134" s="46">
        <f>+SUMIFS($AA134:$DR134,$AA$7:$DR$7,L$7)</f>
        <v/>
      </c>
      <c r="M134" s="46">
        <f>+SUMIFS($AA134:$DR134,$AA$7:$DR$7,M$7)</f>
        <v/>
      </c>
      <c r="AA134" s="47" t="n">
        <v>0.5109559301371801</v>
      </c>
      <c r="AB134" s="47" t="n">
        <v>0.6691034350103329</v>
      </c>
      <c r="AC134" s="47" t="n">
        <v>0.4732717514707225</v>
      </c>
      <c r="AD134" s="47" t="n">
        <v>1.135550964864386</v>
      </c>
      <c r="AE134" s="47" t="n">
        <v>1.330965578174185</v>
      </c>
      <c r="AF134" s="47" t="n">
        <v>1.191970090947942</v>
      </c>
      <c r="AG134" s="47" t="n">
        <v>1.562032057765237</v>
      </c>
      <c r="AH134" s="47" t="n">
        <v>0.1932536505247622</v>
      </c>
      <c r="AI134" s="47" t="n">
        <v>0.1425175856880854</v>
      </c>
      <c r="AJ134" s="47" t="n">
        <v>0.3039239584366131</v>
      </c>
      <c r="AK134" s="47" t="n">
        <v>1.036863400524869</v>
      </c>
      <c r="AL134" s="47" t="n">
        <v>1.084175066668713</v>
      </c>
      <c r="AM134" s="47" t="n">
        <v>5.616846171058671</v>
      </c>
      <c r="AN134" s="47" t="n">
        <v>3.75246992540121</v>
      </c>
      <c r="AO134" s="47" t="n">
        <v>4.508127987338434</v>
      </c>
      <c r="AP134" s="47" t="n">
        <v>0.04814579151493337</v>
      </c>
      <c r="AQ134" s="47" t="n">
        <v>0.6633772673006143</v>
      </c>
      <c r="AR134" s="47" t="n">
        <v>0.0804242288611715</v>
      </c>
      <c r="AS134" s="47" t="n">
        <v>1.455739676276636</v>
      </c>
      <c r="AT134" s="47" t="n">
        <v>0.1085806851793122</v>
      </c>
      <c r="AU134" s="47" t="n">
        <v>0.1888428147158964</v>
      </c>
      <c r="AV134" s="47" t="n">
        <v>1.39532937109618</v>
      </c>
      <c r="AW134" s="47" t="n">
        <v>0.3567373862491507</v>
      </c>
      <c r="AX134" s="47" t="n">
        <v>0.2104297508178888</v>
      </c>
      <c r="AY134" s="47" t="n">
        <v>0.5089380859480684</v>
      </c>
      <c r="AZ134" s="47" t="n">
        <v>0.2909157628106835</v>
      </c>
      <c r="BA134" s="47" t="n">
        <v>0.4058870595639377</v>
      </c>
      <c r="BB134" s="47" t="n">
        <v>0.5517595161736654</v>
      </c>
      <c r="BC134" s="47" t="n">
        <v>0.1164945008068559</v>
      </c>
      <c r="BD134" s="47" t="n">
        <v>0</v>
      </c>
      <c r="BE134" s="47" t="n">
        <v>0</v>
      </c>
      <c r="BF134" s="47" t="n">
        <v>0.04547243728299345</v>
      </c>
      <c r="BG134" s="47" t="n">
        <v>0.02697848595837335</v>
      </c>
      <c r="BH134" s="47" t="n">
        <v>0.07134502677863488</v>
      </c>
      <c r="BI134" s="47" t="n">
        <v>0.02794174515235457</v>
      </c>
      <c r="BJ134" s="47" t="n">
        <v>0</v>
      </c>
      <c r="BK134" s="96" t="n"/>
      <c r="BL134" s="96" t="n"/>
      <c r="BM134" s="96" t="n"/>
      <c r="BN134" s="96" t="n"/>
      <c r="BO134" s="96" t="n"/>
      <c r="BP134" s="96" t="n"/>
      <c r="BQ134" s="96" t="n"/>
      <c r="BR134" s="96" t="n"/>
      <c r="BS134" s="96" t="n"/>
      <c r="BT134" s="96" t="n"/>
      <c r="BU134" s="96" t="n"/>
      <c r="BV134" s="96" t="n"/>
      <c r="BW134" s="96" t="n"/>
      <c r="BX134" s="96" t="n"/>
      <c r="BY134" s="96" t="n"/>
      <c r="BZ134" s="96" t="n"/>
      <c r="CA134" s="96" t="n"/>
      <c r="CB134" s="96" t="n"/>
      <c r="CC134" s="96" t="n"/>
      <c r="CD134" s="96" t="n"/>
      <c r="CE134" s="96" t="n"/>
      <c r="CF134" s="96" t="n"/>
      <c r="CG134" s="96" t="n"/>
      <c r="CH134" s="96" t="n"/>
      <c r="CI134" s="96" t="n"/>
      <c r="CJ134" s="96" t="n"/>
      <c r="CK134" s="96" t="n"/>
      <c r="CL134" s="96" t="n"/>
      <c r="CM134" s="96" t="n"/>
      <c r="CN134" s="96" t="n"/>
      <c r="CO134" s="96" t="n"/>
      <c r="CP134" s="96" t="n"/>
      <c r="CQ134" s="96" t="n"/>
      <c r="CR134" s="96" t="n"/>
      <c r="CS134" s="96" t="n"/>
      <c r="CT134" s="96" t="n"/>
      <c r="CU134" s="96" t="n"/>
      <c r="CV134" s="96" t="n"/>
      <c r="CW134" s="96" t="n"/>
      <c r="CX134" s="96" t="n"/>
      <c r="CY134" s="96" t="n"/>
      <c r="CZ134" s="96" t="n"/>
      <c r="DA134" s="96" t="n"/>
      <c r="DB134" s="96" t="n"/>
      <c r="DC134" s="96" t="n"/>
      <c r="DD134" s="96" t="n"/>
      <c r="DE134" s="96" t="n"/>
      <c r="DF134" s="96" t="n"/>
      <c r="DG134" s="96" t="n"/>
      <c r="DH134" s="96" t="n"/>
      <c r="DI134" s="96" t="n"/>
      <c r="DJ134" s="96" t="n"/>
      <c r="DK134" s="96" t="n"/>
      <c r="DL134" s="96" t="n"/>
      <c r="DM134" s="96" t="n"/>
      <c r="DN134" s="96" t="n"/>
      <c r="DO134" s="96" t="n"/>
      <c r="DP134" s="96" t="n"/>
      <c r="DQ134" s="96" t="n"/>
      <c r="DR134" s="96" t="n"/>
    </row>
    <row r="135" hidden="1" outlineLevel="1" ht="15.75" customHeight="1">
      <c r="B135" s="5" t="inlineStr">
        <is>
          <t>KARGER</t>
        </is>
      </c>
      <c r="C135" s="68" t="inlineStr">
        <is>
          <t>Upper Middle Market</t>
        </is>
      </c>
      <c r="F135" s="46">
        <f>+SUMIFS($AA135:$DR135,$AA$7:$DR$7,F$7)</f>
        <v/>
      </c>
      <c r="G135" s="46">
        <f>+SUMIFS($AA135:$DR135,$AA$7:$DR$7,G$7)</f>
        <v/>
      </c>
      <c r="H135" s="46">
        <f>+SUMIFS($AA135:$DR135,$AA$7:$DR$7,H$7)</f>
        <v/>
      </c>
      <c r="I135" s="46">
        <f>+SUMIFS($AA135:$DR135,$AA$7:$DR$7,I$7)</f>
        <v/>
      </c>
      <c r="J135" s="46">
        <f>+SUMIFS($AA135:$DR135,$AA$7:$DR$7,J$7)</f>
        <v/>
      </c>
      <c r="K135" s="46">
        <f>+SUMIFS($AA135:$DR135,$AA$7:$DR$7,K$7)</f>
        <v/>
      </c>
      <c r="L135" s="46">
        <f>+SUMIFS($AA135:$DR135,$AA$7:$DR$7,L$7)</f>
        <v/>
      </c>
      <c r="M135" s="46">
        <f>+SUMIFS($AA135:$DR135,$AA$7:$DR$7,M$7)</f>
        <v/>
      </c>
      <c r="AA135" s="47" t="n">
        <v>0</v>
      </c>
      <c r="AB135" s="47" t="n">
        <v>0</v>
      </c>
      <c r="AC135" s="47" t="n">
        <v>0</v>
      </c>
      <c r="AD135" s="47" t="n">
        <v>0</v>
      </c>
      <c r="AE135" s="47" t="n">
        <v>0</v>
      </c>
      <c r="AF135" s="47" t="n">
        <v>0</v>
      </c>
      <c r="AG135" s="47" t="n">
        <v>0</v>
      </c>
      <c r="AH135" s="47" t="n">
        <v>0</v>
      </c>
      <c r="AI135" s="47" t="n">
        <v>0</v>
      </c>
      <c r="AJ135" s="47" t="n">
        <v>0</v>
      </c>
      <c r="AK135" s="47" t="n">
        <v>0</v>
      </c>
      <c r="AL135" s="47" t="n">
        <v>0</v>
      </c>
      <c r="AM135" s="47" t="n">
        <v>0</v>
      </c>
      <c r="AN135" s="47" t="n">
        <v>0</v>
      </c>
      <c r="AO135" s="47" t="n">
        <v>0</v>
      </c>
      <c r="AP135" s="47" t="n">
        <v>0</v>
      </c>
      <c r="AQ135" s="47" t="n">
        <v>0</v>
      </c>
      <c r="AR135" s="47" t="n">
        <v>0</v>
      </c>
      <c r="AS135" s="47" t="n">
        <v>0</v>
      </c>
      <c r="AT135" s="47" t="n">
        <v>0</v>
      </c>
      <c r="AU135" s="47" t="n">
        <v>0</v>
      </c>
      <c r="AV135" s="47" t="n">
        <v>0</v>
      </c>
      <c r="AW135" s="47" t="n">
        <v>0</v>
      </c>
      <c r="AX135" s="47" t="n">
        <v>0</v>
      </c>
      <c r="AY135" s="47" t="n">
        <v>0</v>
      </c>
      <c r="AZ135" s="47" t="n">
        <v>0</v>
      </c>
      <c r="BA135" s="47" t="n">
        <v>0</v>
      </c>
      <c r="BB135" s="47" t="n">
        <v>0</v>
      </c>
      <c r="BC135" s="47" t="n">
        <v>0</v>
      </c>
      <c r="BD135" s="47" t="n">
        <v>0</v>
      </c>
      <c r="BE135" s="47" t="n">
        <v>0.01370621408797526</v>
      </c>
      <c r="BF135" s="47" t="n">
        <v>0.0401504771424562</v>
      </c>
      <c r="BG135" s="47" t="n">
        <v>0.02847022295012189</v>
      </c>
      <c r="BH135" s="47" t="n">
        <v>0</v>
      </c>
      <c r="BI135" s="47" t="n">
        <v>0.01319946873230099</v>
      </c>
      <c r="BJ135" s="47" t="n">
        <v>0.7028728160879314</v>
      </c>
      <c r="BK135" s="96" t="n"/>
      <c r="BL135" s="96" t="n"/>
      <c r="BM135" s="96" t="n"/>
      <c r="BN135" s="96" t="n"/>
      <c r="BO135" s="96" t="n"/>
      <c r="BP135" s="96" t="n"/>
      <c r="BQ135" s="96" t="n"/>
      <c r="BR135" s="96" t="n"/>
      <c r="BS135" s="96" t="n"/>
      <c r="BT135" s="96" t="n"/>
      <c r="BU135" s="96" t="n"/>
      <c r="BV135" s="96" t="n"/>
      <c r="BW135" s="96" t="n"/>
      <c r="BX135" s="96" t="n"/>
      <c r="BY135" s="96" t="n"/>
      <c r="BZ135" s="96" t="n"/>
      <c r="CA135" s="96" t="n"/>
      <c r="CB135" s="96" t="n"/>
      <c r="CC135" s="96" t="n"/>
      <c r="CD135" s="96" t="n"/>
      <c r="CE135" s="96" t="n"/>
      <c r="CF135" s="96" t="n"/>
      <c r="CG135" s="96" t="n"/>
      <c r="CH135" s="96" t="n"/>
      <c r="CI135" s="96" t="n"/>
      <c r="CJ135" s="96" t="n"/>
      <c r="CK135" s="96" t="n"/>
      <c r="CL135" s="96" t="n"/>
      <c r="CM135" s="96" t="n"/>
      <c r="CN135" s="96" t="n"/>
      <c r="CO135" s="96" t="n"/>
      <c r="CP135" s="96" t="n"/>
      <c r="CQ135" s="96" t="n"/>
      <c r="CR135" s="96" t="n"/>
      <c r="CS135" s="96" t="n"/>
      <c r="CT135" s="96" t="n"/>
      <c r="CU135" s="96" t="n"/>
      <c r="CV135" s="96" t="n"/>
      <c r="CW135" s="96" t="n"/>
      <c r="CX135" s="96" t="n"/>
      <c r="CY135" s="96" t="n"/>
      <c r="CZ135" s="96" t="n"/>
      <c r="DA135" s="96" t="n"/>
      <c r="DB135" s="96" t="n"/>
      <c r="DC135" s="96" t="n"/>
      <c r="DD135" s="96" t="n"/>
      <c r="DE135" s="96" t="n"/>
      <c r="DF135" s="96" t="n"/>
      <c r="DG135" s="96" t="n"/>
      <c r="DH135" s="96" t="n"/>
      <c r="DI135" s="96" t="n"/>
      <c r="DJ135" s="96" t="n"/>
      <c r="DK135" s="96" t="n"/>
      <c r="DL135" s="96" t="n"/>
      <c r="DM135" s="96" t="n"/>
      <c r="DN135" s="96" t="n"/>
      <c r="DO135" s="96" t="n"/>
      <c r="DP135" s="96" t="n"/>
      <c r="DQ135" s="96" t="n"/>
      <c r="DR135" s="96" t="n"/>
    </row>
    <row r="136" hidden="1" outlineLevel="1" ht="15.75" customHeight="1">
      <c r="B136" s="5" t="inlineStr">
        <is>
          <t>MGH</t>
        </is>
      </c>
      <c r="C136" s="68" t="inlineStr">
        <is>
          <t>Mega</t>
        </is>
      </c>
      <c r="F136" s="46">
        <f>+SUMIFS($AA136:$DR136,$AA$7:$DR$7,F$7)</f>
        <v/>
      </c>
      <c r="G136" s="46">
        <f>+SUMIFS($AA136:$DR136,$AA$7:$DR$7,G$7)</f>
        <v/>
      </c>
      <c r="H136" s="46">
        <f>+SUMIFS($AA136:$DR136,$AA$7:$DR$7,H$7)</f>
        <v/>
      </c>
      <c r="I136" s="46">
        <f>+SUMIFS($AA136:$DR136,$AA$7:$DR$7,I$7)</f>
        <v/>
      </c>
      <c r="J136" s="46">
        <f>+SUMIFS($AA136:$DR136,$AA$7:$DR$7,J$7)</f>
        <v/>
      </c>
      <c r="K136" s="46">
        <f>+SUMIFS($AA136:$DR136,$AA$7:$DR$7,K$7)</f>
        <v/>
      </c>
      <c r="L136" s="46">
        <f>+SUMIFS($AA136:$DR136,$AA$7:$DR$7,L$7)</f>
        <v/>
      </c>
      <c r="M136" s="46">
        <f>+SUMIFS($AA136:$DR136,$AA$7:$DR$7,M$7)</f>
        <v/>
      </c>
      <c r="AA136" s="47" t="n">
        <v>28.40953152801481</v>
      </c>
      <c r="AB136" s="47" t="n">
        <v>32.36138539667496</v>
      </c>
      <c r="AC136" s="47" t="n">
        <v>32.65586331102897</v>
      </c>
      <c r="AD136" s="47" t="n">
        <v>33.54235894950955</v>
      </c>
      <c r="AE136" s="47" t="n">
        <v>37.78551413628966</v>
      </c>
      <c r="AF136" s="47" t="n">
        <v>40.22492057381212</v>
      </c>
      <c r="AG136" s="47" t="n">
        <v>28.95524214050431</v>
      </c>
      <c r="AH136" s="47" t="n">
        <v>56.72315272600716</v>
      </c>
      <c r="AI136" s="47" t="n">
        <v>52.83528774217299</v>
      </c>
      <c r="AJ136" s="47" t="n">
        <v>48.36392191471807</v>
      </c>
      <c r="AK136" s="47" t="n">
        <v>26.64767057990069</v>
      </c>
      <c r="AL136" s="47" t="n">
        <v>13.84177825787331</v>
      </c>
      <c r="AM136" s="47" t="n">
        <v>34.904200152993</v>
      </c>
      <c r="AN136" s="47" t="n">
        <v>44.37012016432685</v>
      </c>
      <c r="AO136" s="47" t="n">
        <v>39.84347257011028</v>
      </c>
      <c r="AP136" s="47" t="n">
        <v>43.05415337228703</v>
      </c>
      <c r="AQ136" s="47" t="n">
        <v>34.10138341874681</v>
      </c>
      <c r="AR136" s="47" t="n">
        <v>32.2840250955077</v>
      </c>
      <c r="AS136" s="47" t="n">
        <v>59.50260927412138</v>
      </c>
      <c r="AT136" s="47" t="n">
        <v>38.09634411612494</v>
      </c>
      <c r="AU136" s="47" t="n">
        <v>39.67440790146692</v>
      </c>
      <c r="AV136" s="47" t="n">
        <v>27.79060402120831</v>
      </c>
      <c r="AW136" s="47" t="n">
        <v>28.8003278444775</v>
      </c>
      <c r="AX136" s="47" t="n">
        <v>15.93392763646641</v>
      </c>
      <c r="AY136" s="47" t="n">
        <v>42.90813281784751</v>
      </c>
      <c r="AZ136" s="47" t="n">
        <v>60.3756914391461</v>
      </c>
      <c r="BA136" s="47" t="n">
        <v>57.05050209315875</v>
      </c>
      <c r="BB136" s="47" t="n">
        <v>31.07548776871787</v>
      </c>
      <c r="BC136" s="47" t="n">
        <v>28.51288015339333</v>
      </c>
      <c r="BD136" s="47" t="n">
        <v>41.02147335389477</v>
      </c>
      <c r="BE136" s="47" t="n">
        <v>50.21968238116322</v>
      </c>
      <c r="BF136" s="47" t="n">
        <v>39.10552280725989</v>
      </c>
      <c r="BG136" s="47" t="n">
        <v>28.09176410727213</v>
      </c>
      <c r="BH136" s="47" t="n">
        <v>23.01773919340625</v>
      </c>
      <c r="BI136" s="47" t="n">
        <v>32.39102865428366</v>
      </c>
      <c r="BJ136" s="47" t="n">
        <v>21.67222128137718</v>
      </c>
      <c r="BK136" s="96" t="n"/>
      <c r="BL136" s="96" t="n"/>
      <c r="BM136" s="96" t="n"/>
      <c r="BN136" s="96" t="n"/>
      <c r="BO136" s="96" t="n"/>
      <c r="BP136" s="96" t="n"/>
      <c r="BQ136" s="96" t="n"/>
      <c r="BR136" s="96" t="n"/>
      <c r="BS136" s="96" t="n"/>
      <c r="BT136" s="96" t="n"/>
      <c r="BU136" s="96" t="n"/>
      <c r="BV136" s="96" t="n"/>
      <c r="BW136" s="96" t="n"/>
      <c r="BX136" s="96" t="n"/>
      <c r="BY136" s="96" t="n"/>
      <c r="BZ136" s="96" t="n"/>
      <c r="CA136" s="96" t="n"/>
      <c r="CB136" s="96" t="n"/>
      <c r="CC136" s="96" t="n"/>
      <c r="CD136" s="96" t="n"/>
      <c r="CE136" s="96" t="n"/>
      <c r="CF136" s="96" t="n"/>
      <c r="CG136" s="96" t="n"/>
      <c r="CH136" s="96" t="n"/>
      <c r="CI136" s="96" t="n"/>
      <c r="CJ136" s="96" t="n"/>
      <c r="CK136" s="96" t="n"/>
      <c r="CL136" s="96" t="n"/>
      <c r="CM136" s="96" t="n"/>
      <c r="CN136" s="96" t="n"/>
      <c r="CO136" s="96" t="n"/>
      <c r="CP136" s="96" t="n"/>
      <c r="CQ136" s="96" t="n"/>
      <c r="CR136" s="96" t="n"/>
      <c r="CS136" s="96" t="n"/>
      <c r="CT136" s="96" t="n"/>
      <c r="CU136" s="96" t="n"/>
      <c r="CV136" s="96" t="n"/>
      <c r="CW136" s="96" t="n"/>
      <c r="CX136" s="96" t="n"/>
      <c r="CY136" s="96" t="n"/>
      <c r="CZ136" s="96" t="n"/>
      <c r="DA136" s="96" t="n"/>
      <c r="DB136" s="96" t="n"/>
      <c r="DC136" s="96" t="n"/>
      <c r="DD136" s="96" t="n"/>
      <c r="DE136" s="96" t="n"/>
      <c r="DF136" s="96" t="n"/>
      <c r="DG136" s="96" t="n"/>
      <c r="DH136" s="96" t="n"/>
      <c r="DI136" s="96" t="n"/>
      <c r="DJ136" s="96" t="n"/>
      <c r="DK136" s="96" t="n"/>
      <c r="DL136" s="96" t="n"/>
      <c r="DM136" s="96" t="n"/>
      <c r="DN136" s="96" t="n"/>
      <c r="DO136" s="96" t="n"/>
      <c r="DP136" s="96" t="n"/>
      <c r="DQ136" s="96" t="n"/>
      <c r="DR136" s="96" t="n"/>
    </row>
    <row r="137" hidden="1" outlineLevel="1" ht="15.75" customHeight="1">
      <c r="B137" s="5" t="inlineStr">
        <is>
          <t>MIT</t>
        </is>
      </c>
      <c r="C137" s="68" t="inlineStr">
        <is>
          <t>Upper Middle Market</t>
        </is>
      </c>
      <c r="F137" s="46">
        <f>+SUMIFS($AA137:$DR137,$AA$7:$DR$7,F$7)</f>
        <v/>
      </c>
      <c r="G137" s="46">
        <f>+SUMIFS($AA137:$DR137,$AA$7:$DR$7,G$7)</f>
        <v/>
      </c>
      <c r="H137" s="46">
        <f>+SUMIFS($AA137:$DR137,$AA$7:$DR$7,H$7)</f>
        <v/>
      </c>
      <c r="I137" s="46">
        <f>+SUMIFS($AA137:$DR137,$AA$7:$DR$7,I$7)</f>
        <v/>
      </c>
      <c r="J137" s="46">
        <f>+SUMIFS($AA137:$DR137,$AA$7:$DR$7,J$7)</f>
        <v/>
      </c>
      <c r="K137" s="46">
        <f>+SUMIFS($AA137:$DR137,$AA$7:$DR$7,K$7)</f>
        <v/>
      </c>
      <c r="L137" s="46">
        <f>+SUMIFS($AA137:$DR137,$AA$7:$DR$7,L$7)</f>
        <v/>
      </c>
      <c r="M137" s="46">
        <f>+SUMIFS($AA137:$DR137,$AA$7:$DR$7,M$7)</f>
        <v/>
      </c>
      <c r="AA137" s="47" t="n">
        <v>0.00616461055276382</v>
      </c>
      <c r="AB137" s="47" t="n">
        <v>0</v>
      </c>
      <c r="AC137" s="47" t="n">
        <v>0</v>
      </c>
      <c r="AD137" s="47" t="n">
        <v>0.4828938402258286</v>
      </c>
      <c r="AE137" s="47" t="n">
        <v>1.292266344815931</v>
      </c>
      <c r="AF137" s="47" t="n">
        <v>4.424063392749282</v>
      </c>
      <c r="AG137" s="47" t="n">
        <v>1.799445749842454</v>
      </c>
      <c r="AH137" s="47" t="n">
        <v>1.543716816396988</v>
      </c>
      <c r="AI137" s="47" t="n">
        <v>1.89803897086781</v>
      </c>
      <c r="AJ137" s="47" t="n">
        <v>5.736081181182231</v>
      </c>
      <c r="AK137" s="47" t="n">
        <v>3.086380422132327</v>
      </c>
      <c r="AL137" s="47" t="n">
        <v>0.5779260091762445</v>
      </c>
      <c r="AM137" s="47" t="n">
        <v>0.3566110302298968</v>
      </c>
      <c r="AN137" s="47" t="n">
        <v>0.3201954778885472</v>
      </c>
      <c r="AO137" s="47" t="n">
        <v>0.1183184347139261</v>
      </c>
      <c r="AP137" s="47" t="n">
        <v>0.0545595813958017</v>
      </c>
      <c r="AQ137" s="47" t="n">
        <v>0.1403884488641372</v>
      </c>
      <c r="AR137" s="47" t="n">
        <v>0.2535000363166595</v>
      </c>
      <c r="AS137" s="47" t="n">
        <v>1.010670587399478</v>
      </c>
      <c r="AT137" s="47" t="n">
        <v>0.4017160935270029</v>
      </c>
      <c r="AU137" s="47" t="n">
        <v>1.228835110769749</v>
      </c>
      <c r="AV137" s="47" t="n">
        <v>0.705206916182923</v>
      </c>
      <c r="AW137" s="47" t="n">
        <v>0.4408731337786237</v>
      </c>
      <c r="AX137" s="47" t="n">
        <v>3.216893671019034</v>
      </c>
      <c r="AY137" s="47" t="n">
        <v>0.762653023258583</v>
      </c>
      <c r="AZ137" s="47" t="n">
        <v>2.166191464948314</v>
      </c>
      <c r="BA137" s="47" t="n">
        <v>4.188672099183746</v>
      </c>
      <c r="BB137" s="47" t="n">
        <v>2.144083155974358</v>
      </c>
      <c r="BC137" s="47" t="n">
        <v>1.304107599948247</v>
      </c>
      <c r="BD137" s="47" t="n">
        <v>1.704733376169665</v>
      </c>
      <c r="BE137" s="47" t="n">
        <v>1.192102887466897</v>
      </c>
      <c r="BF137" s="47" t="n">
        <v>0.3162459640861578</v>
      </c>
      <c r="BG137" s="47" t="n">
        <v>0.1345197537100816</v>
      </c>
      <c r="BH137" s="47" t="n">
        <v>1.929762251583196</v>
      </c>
      <c r="BI137" s="47" t="n">
        <v>0.3153748427048439</v>
      </c>
      <c r="BJ137" s="47" t="n">
        <v>0.5170323276054019</v>
      </c>
      <c r="BK137" s="96" t="n"/>
      <c r="BL137" s="96" t="n"/>
      <c r="BM137" s="96" t="n"/>
      <c r="BN137" s="96" t="n"/>
      <c r="BO137" s="96" t="n"/>
      <c r="BP137" s="96" t="n"/>
      <c r="BQ137" s="96" t="n"/>
      <c r="BR137" s="96" t="n"/>
      <c r="BS137" s="96" t="n"/>
      <c r="BT137" s="96" t="n"/>
      <c r="BU137" s="96" t="n"/>
      <c r="BV137" s="96" t="n"/>
      <c r="BW137" s="96" t="n"/>
      <c r="BX137" s="96" t="n"/>
      <c r="BY137" s="96" t="n"/>
      <c r="BZ137" s="96" t="n"/>
      <c r="CA137" s="96" t="n"/>
      <c r="CB137" s="96" t="n"/>
      <c r="CC137" s="96" t="n"/>
      <c r="CD137" s="96" t="n"/>
      <c r="CE137" s="96" t="n"/>
      <c r="CF137" s="96" t="n"/>
      <c r="CG137" s="96" t="n"/>
      <c r="CH137" s="96" t="n"/>
      <c r="CI137" s="96" t="n"/>
      <c r="CJ137" s="96" t="n"/>
      <c r="CK137" s="96" t="n"/>
      <c r="CL137" s="96" t="n"/>
      <c r="CM137" s="96" t="n"/>
      <c r="CN137" s="96" t="n"/>
      <c r="CO137" s="96" t="n"/>
      <c r="CP137" s="96" t="n"/>
      <c r="CQ137" s="96" t="n"/>
      <c r="CR137" s="96" t="n"/>
      <c r="CS137" s="96" t="n"/>
      <c r="CT137" s="96" t="n"/>
      <c r="CU137" s="96" t="n"/>
      <c r="CV137" s="96" t="n"/>
      <c r="CW137" s="96" t="n"/>
      <c r="CX137" s="96" t="n"/>
      <c r="CY137" s="96" t="n"/>
      <c r="CZ137" s="96" t="n"/>
      <c r="DA137" s="96" t="n"/>
      <c r="DB137" s="96" t="n"/>
      <c r="DC137" s="96" t="n"/>
      <c r="DD137" s="96" t="n"/>
      <c r="DE137" s="96" t="n"/>
      <c r="DF137" s="96" t="n"/>
      <c r="DG137" s="96" t="n"/>
      <c r="DH137" s="96" t="n"/>
      <c r="DI137" s="96" t="n"/>
      <c r="DJ137" s="96" t="n"/>
      <c r="DK137" s="96" t="n"/>
      <c r="DL137" s="96" t="n"/>
      <c r="DM137" s="96" t="n"/>
      <c r="DN137" s="96" t="n"/>
      <c r="DO137" s="96" t="n"/>
      <c r="DP137" s="96" t="n"/>
      <c r="DQ137" s="96" t="n"/>
      <c r="DR137" s="96" t="n"/>
    </row>
    <row r="138" hidden="1" outlineLevel="1" ht="15.75" customHeight="1">
      <c r="B138" s="5" t="inlineStr">
        <is>
          <t>MLA</t>
        </is>
      </c>
      <c r="C138" s="68" t="inlineStr">
        <is>
          <t>Lower Middle Market</t>
        </is>
      </c>
      <c r="F138" s="46">
        <f>+SUMIFS($AA138:$DR138,$AA$7:$DR$7,F$7)</f>
        <v/>
      </c>
      <c r="G138" s="46">
        <f>+SUMIFS($AA138:$DR138,$AA$7:$DR$7,G$7)</f>
        <v/>
      </c>
      <c r="H138" s="46">
        <f>+SUMIFS($AA138:$DR138,$AA$7:$DR$7,H$7)</f>
        <v/>
      </c>
      <c r="I138" s="46">
        <f>+SUMIFS($AA138:$DR138,$AA$7:$DR$7,I$7)</f>
        <v/>
      </c>
      <c r="J138" s="46">
        <f>+SUMIFS($AA138:$DR138,$AA$7:$DR$7,J$7)</f>
        <v/>
      </c>
      <c r="K138" s="46">
        <f>+SUMIFS($AA138:$DR138,$AA$7:$DR$7,K$7)</f>
        <v/>
      </c>
      <c r="L138" s="46">
        <f>+SUMIFS($AA138:$DR138,$AA$7:$DR$7,L$7)</f>
        <v/>
      </c>
      <c r="M138" s="46">
        <f>+SUMIFS($AA138:$DR138,$AA$7:$DR$7,M$7)</f>
        <v/>
      </c>
      <c r="AA138" s="47" t="n">
        <v>0</v>
      </c>
      <c r="AB138" s="47" t="n">
        <v>0</v>
      </c>
      <c r="AC138" s="47" t="n">
        <v>0</v>
      </c>
      <c r="AD138" s="47" t="n">
        <v>0</v>
      </c>
      <c r="AE138" s="47" t="n">
        <v>0</v>
      </c>
      <c r="AF138" s="47" t="n">
        <v>0</v>
      </c>
      <c r="AG138" s="47" t="n">
        <v>0</v>
      </c>
      <c r="AH138" s="47" t="n">
        <v>0</v>
      </c>
      <c r="AI138" s="47" t="n">
        <v>0</v>
      </c>
      <c r="AJ138" s="47" t="n">
        <v>0</v>
      </c>
      <c r="AK138" s="47" t="n">
        <v>0</v>
      </c>
      <c r="AL138" s="47" t="n">
        <v>0</v>
      </c>
      <c r="AM138" s="47" t="n">
        <v>0</v>
      </c>
      <c r="AN138" s="47" t="n">
        <v>0</v>
      </c>
      <c r="AO138" s="47" t="n">
        <v>0</v>
      </c>
      <c r="AP138" s="47" t="n">
        <v>0</v>
      </c>
      <c r="AQ138" s="47" t="n">
        <v>0</v>
      </c>
      <c r="AR138" s="47" t="n">
        <v>0</v>
      </c>
      <c r="AS138" s="47" t="n">
        <v>0</v>
      </c>
      <c r="AT138" s="47" t="n">
        <v>0</v>
      </c>
      <c r="AU138" s="47" t="n">
        <v>0</v>
      </c>
      <c r="AV138" s="47" t="n">
        <v>0</v>
      </c>
      <c r="AW138" s="47" t="n">
        <v>0</v>
      </c>
      <c r="AX138" s="47" t="n">
        <v>0</v>
      </c>
      <c r="AY138" s="47" t="n">
        <v>0</v>
      </c>
      <c r="AZ138" s="47" t="n">
        <v>0</v>
      </c>
      <c r="BA138" s="47" t="n">
        <v>0</v>
      </c>
      <c r="BB138" s="47" t="n">
        <v>0</v>
      </c>
      <c r="BC138" s="47" t="n">
        <v>0</v>
      </c>
      <c r="BD138" s="47" t="n">
        <v>0</v>
      </c>
      <c r="BE138" s="47" t="n">
        <v>0.2302340215196765</v>
      </c>
      <c r="BF138" s="47" t="n">
        <v>1.646838568671279</v>
      </c>
      <c r="BG138" s="47" t="n">
        <v>1.511721119904036</v>
      </c>
      <c r="BH138" s="47" t="n">
        <v>0.7624106717240036</v>
      </c>
      <c r="BI138" s="47" t="n">
        <v>1.08350997587881</v>
      </c>
      <c r="BJ138" s="47" t="n">
        <v>0.4668567194756313</v>
      </c>
      <c r="BK138" s="96" t="n"/>
      <c r="BL138" s="96" t="n"/>
      <c r="BM138" s="96" t="n"/>
      <c r="BN138" s="96" t="n"/>
      <c r="BO138" s="96" t="n"/>
      <c r="BP138" s="96" t="n"/>
      <c r="BQ138" s="96" t="n"/>
      <c r="BR138" s="96" t="n"/>
      <c r="BS138" s="96" t="n"/>
      <c r="BT138" s="96" t="n"/>
      <c r="BU138" s="96" t="n"/>
      <c r="BV138" s="96" t="n"/>
      <c r="BW138" s="96" t="n"/>
      <c r="BX138" s="96" t="n"/>
      <c r="BY138" s="96" t="n"/>
      <c r="BZ138" s="96" t="n"/>
      <c r="CA138" s="96" t="n"/>
      <c r="CB138" s="96" t="n"/>
      <c r="CC138" s="96" t="n"/>
      <c r="CD138" s="96" t="n"/>
      <c r="CE138" s="96" t="n"/>
      <c r="CF138" s="96" t="n"/>
      <c r="CG138" s="96" t="n"/>
      <c r="CH138" s="96" t="n"/>
      <c r="CI138" s="96" t="n"/>
      <c r="CJ138" s="96" t="n"/>
      <c r="CK138" s="96" t="n"/>
      <c r="CL138" s="96" t="n"/>
      <c r="CM138" s="96" t="n"/>
      <c r="CN138" s="96" t="n"/>
      <c r="CO138" s="96" t="n"/>
      <c r="CP138" s="96" t="n"/>
      <c r="CQ138" s="96" t="n"/>
      <c r="CR138" s="96" t="n"/>
      <c r="CS138" s="96" t="n"/>
      <c r="CT138" s="96" t="n"/>
      <c r="CU138" s="96" t="n"/>
      <c r="CV138" s="96" t="n"/>
      <c r="CW138" s="96" t="n"/>
      <c r="CX138" s="96" t="n"/>
      <c r="CY138" s="96" t="n"/>
      <c r="CZ138" s="96" t="n"/>
      <c r="DA138" s="96" t="n"/>
      <c r="DB138" s="96" t="n"/>
      <c r="DC138" s="96" t="n"/>
      <c r="DD138" s="96" t="n"/>
      <c r="DE138" s="96" t="n"/>
      <c r="DF138" s="96" t="n"/>
      <c r="DG138" s="96" t="n"/>
      <c r="DH138" s="96" t="n"/>
      <c r="DI138" s="96" t="n"/>
      <c r="DJ138" s="96" t="n"/>
      <c r="DK138" s="96" t="n"/>
      <c r="DL138" s="96" t="n"/>
      <c r="DM138" s="96" t="n"/>
      <c r="DN138" s="96" t="n"/>
      <c r="DO138" s="96" t="n"/>
      <c r="DP138" s="96" t="n"/>
      <c r="DQ138" s="96" t="n"/>
      <c r="DR138" s="96" t="n"/>
    </row>
    <row r="139" hidden="1" outlineLevel="1" ht="15.75" customHeight="1">
      <c r="B139" s="5" t="inlineStr">
        <is>
          <t>OUP</t>
        </is>
      </c>
      <c r="C139" s="68" t="inlineStr">
        <is>
          <t>Mega</t>
        </is>
      </c>
      <c r="F139" s="46">
        <f>+SUMIFS($AA139:$DR139,$AA$7:$DR$7,F$7)</f>
        <v/>
      </c>
      <c r="G139" s="46">
        <f>+SUMIFS($AA139:$DR139,$AA$7:$DR$7,G$7)</f>
        <v/>
      </c>
      <c r="H139" s="46">
        <f>+SUMIFS($AA139:$DR139,$AA$7:$DR$7,H$7)</f>
        <v/>
      </c>
      <c r="I139" s="46">
        <f>+SUMIFS($AA139:$DR139,$AA$7:$DR$7,I$7)</f>
        <v/>
      </c>
      <c r="J139" s="46">
        <f>+SUMIFS($AA139:$DR139,$AA$7:$DR$7,J$7)</f>
        <v/>
      </c>
      <c r="K139" s="46">
        <f>+SUMIFS($AA139:$DR139,$AA$7:$DR$7,K$7)</f>
        <v/>
      </c>
      <c r="L139" s="46">
        <f>+SUMIFS($AA139:$DR139,$AA$7:$DR$7,L$7)</f>
        <v/>
      </c>
      <c r="M139" s="46">
        <f>+SUMIFS($AA139:$DR139,$AA$7:$DR$7,M$7)</f>
        <v/>
      </c>
      <c r="AA139" s="47" t="n">
        <v>24.44995149768023</v>
      </c>
      <c r="AB139" s="47" t="n">
        <v>15.69710010967896</v>
      </c>
      <c r="AC139" s="47" t="n">
        <v>15.66352487332737</v>
      </c>
      <c r="AD139" s="47" t="n">
        <v>9.926835973250784</v>
      </c>
      <c r="AE139" s="47" t="n">
        <v>23.56634842203409</v>
      </c>
      <c r="AF139" s="47" t="n">
        <v>20.98718584128007</v>
      </c>
      <c r="AG139" s="47" t="n">
        <v>17.61092817914482</v>
      </c>
      <c r="AH139" s="47" t="n">
        <v>20.71724130965991</v>
      </c>
      <c r="AI139" s="47" t="n">
        <v>18.09231908622823</v>
      </c>
      <c r="AJ139" s="47" t="n">
        <v>20.64157973325155</v>
      </c>
      <c r="AK139" s="47" t="n">
        <v>23.71236451961067</v>
      </c>
      <c r="AL139" s="47" t="n">
        <v>11.80197442117222</v>
      </c>
      <c r="AM139" s="47" t="n">
        <v>20.22880142032248</v>
      </c>
      <c r="AN139" s="47" t="n">
        <v>15.04342300546494</v>
      </c>
      <c r="AO139" s="47" t="n">
        <v>29.2556731376727</v>
      </c>
      <c r="AP139" s="47" t="n">
        <v>35.74197862618629</v>
      </c>
      <c r="AQ139" s="47" t="n">
        <v>38.76471300017312</v>
      </c>
      <c r="AR139" s="47" t="n">
        <v>55.60736249690209</v>
      </c>
      <c r="AS139" s="47" t="n">
        <v>32.64590554618036</v>
      </c>
      <c r="AT139" s="47" t="n">
        <v>31.52319742708491</v>
      </c>
      <c r="AU139" s="47" t="n">
        <v>24.45933327935052</v>
      </c>
      <c r="AV139" s="47" t="n">
        <v>32.93134909705015</v>
      </c>
      <c r="AW139" s="47" t="n">
        <v>27.82706357097923</v>
      </c>
      <c r="AX139" s="47" t="n">
        <v>26.40569942128904</v>
      </c>
      <c r="AY139" s="47" t="n">
        <v>36.15036238603621</v>
      </c>
      <c r="AZ139" s="47" t="n">
        <v>45.51743829118097</v>
      </c>
      <c r="BA139" s="47" t="n">
        <v>37.02719716884298</v>
      </c>
      <c r="BB139" s="47" t="n">
        <v>34.23764659741904</v>
      </c>
      <c r="BC139" s="47" t="n">
        <v>39.89951067577698</v>
      </c>
      <c r="BD139" s="47" t="n">
        <v>29.81658010737819</v>
      </c>
      <c r="BE139" s="47" t="n">
        <v>31.28734777825075</v>
      </c>
      <c r="BF139" s="47" t="n">
        <v>34.75031640702243</v>
      </c>
      <c r="BG139" s="47" t="n">
        <v>32.46131241047751</v>
      </c>
      <c r="BH139" s="47" t="n">
        <v>52.89819926145157</v>
      </c>
      <c r="BI139" s="47" t="n">
        <v>25.75634844449682</v>
      </c>
      <c r="BJ139" s="47" t="n">
        <v>26.5272820699589</v>
      </c>
      <c r="BK139" s="96" t="n"/>
      <c r="BL139" s="96" t="n"/>
      <c r="BM139" s="96" t="n"/>
      <c r="BN139" s="96" t="n"/>
      <c r="BO139" s="96" t="n"/>
      <c r="BP139" s="96" t="n"/>
      <c r="BQ139" s="96" t="n"/>
      <c r="BR139" s="96" t="n"/>
      <c r="BS139" s="96" t="n"/>
      <c r="BT139" s="96" t="n"/>
      <c r="BU139" s="96" t="n"/>
      <c r="BV139" s="96" t="n"/>
      <c r="BW139" s="96" t="n"/>
      <c r="BX139" s="96" t="n"/>
      <c r="BY139" s="96" t="n"/>
      <c r="BZ139" s="96" t="n"/>
      <c r="CA139" s="96" t="n"/>
      <c r="CB139" s="96" t="n"/>
      <c r="CC139" s="96" t="n"/>
      <c r="CD139" s="96" t="n"/>
      <c r="CE139" s="96" t="n"/>
      <c r="CF139" s="96" t="n"/>
      <c r="CG139" s="96" t="n"/>
      <c r="CH139" s="96" t="n"/>
      <c r="CI139" s="96" t="n"/>
      <c r="CJ139" s="96" t="n"/>
      <c r="CK139" s="96" t="n"/>
      <c r="CL139" s="96" t="n"/>
      <c r="CM139" s="96" t="n"/>
      <c r="CN139" s="96" t="n"/>
      <c r="CO139" s="96" t="n"/>
      <c r="CP139" s="96" t="n"/>
      <c r="CQ139" s="96" t="n"/>
      <c r="CR139" s="96" t="n"/>
      <c r="CS139" s="96" t="n"/>
      <c r="CT139" s="96" t="n"/>
      <c r="CU139" s="96" t="n"/>
      <c r="CV139" s="96" t="n"/>
      <c r="CW139" s="96" t="n"/>
      <c r="CX139" s="96" t="n"/>
      <c r="CY139" s="96" t="n"/>
      <c r="CZ139" s="96" t="n"/>
      <c r="DA139" s="96" t="n"/>
      <c r="DB139" s="96" t="n"/>
      <c r="DC139" s="96" t="n"/>
      <c r="DD139" s="96" t="n"/>
      <c r="DE139" s="96" t="n"/>
      <c r="DF139" s="96" t="n"/>
      <c r="DG139" s="96" t="n"/>
      <c r="DH139" s="96" t="n"/>
      <c r="DI139" s="96" t="n"/>
      <c r="DJ139" s="96" t="n"/>
      <c r="DK139" s="96" t="n"/>
      <c r="DL139" s="96" t="n"/>
      <c r="DM139" s="96" t="n"/>
      <c r="DN139" s="96" t="n"/>
      <c r="DO139" s="96" t="n"/>
      <c r="DP139" s="96" t="n"/>
      <c r="DQ139" s="96" t="n"/>
      <c r="DR139" s="96" t="n"/>
    </row>
    <row r="140" hidden="1" outlineLevel="1" ht="15.75" customHeight="1">
      <c r="B140" s="5" t="inlineStr">
        <is>
          <t>PORT</t>
        </is>
      </c>
      <c r="C140" s="68" t="inlineStr">
        <is>
          <t>Lower Middle Market</t>
        </is>
      </c>
      <c r="F140" s="46">
        <f>+SUMIFS($AA140:$DR140,$AA$7:$DR$7,F$7)</f>
        <v/>
      </c>
      <c r="G140" s="46">
        <f>+SUMIFS($AA140:$DR140,$AA$7:$DR$7,G$7)</f>
        <v/>
      </c>
      <c r="H140" s="46">
        <f>+SUMIFS($AA140:$DR140,$AA$7:$DR$7,H$7)</f>
        <v/>
      </c>
      <c r="I140" s="46">
        <f>+SUMIFS($AA140:$DR140,$AA$7:$DR$7,I$7)</f>
        <v/>
      </c>
      <c r="J140" s="46">
        <f>+SUMIFS($AA140:$DR140,$AA$7:$DR$7,J$7)</f>
        <v/>
      </c>
      <c r="K140" s="46">
        <f>+SUMIFS($AA140:$DR140,$AA$7:$DR$7,K$7)</f>
        <v/>
      </c>
      <c r="L140" s="46">
        <f>+SUMIFS($AA140:$DR140,$AA$7:$DR$7,L$7)</f>
        <v/>
      </c>
      <c r="M140" s="46">
        <f>+SUMIFS($AA140:$DR140,$AA$7:$DR$7,M$7)</f>
        <v/>
      </c>
      <c r="AA140" s="47" t="n">
        <v>0</v>
      </c>
      <c r="AB140" s="47" t="n">
        <v>0</v>
      </c>
      <c r="AC140" s="47" t="n">
        <v>0</v>
      </c>
      <c r="AD140" s="47" t="n">
        <v>0</v>
      </c>
      <c r="AE140" s="47" t="n">
        <v>0</v>
      </c>
      <c r="AF140" s="47" t="n">
        <v>0</v>
      </c>
      <c r="AG140" s="47" t="n">
        <v>0</v>
      </c>
      <c r="AH140" s="47" t="n">
        <v>0</v>
      </c>
      <c r="AI140" s="47" t="n">
        <v>0</v>
      </c>
      <c r="AJ140" s="47" t="n">
        <v>0</v>
      </c>
      <c r="AK140" s="47" t="n">
        <v>0</v>
      </c>
      <c r="AL140" s="47" t="n">
        <v>0</v>
      </c>
      <c r="AM140" s="47" t="n">
        <v>0.3963726127265491</v>
      </c>
      <c r="AN140" s="47" t="n">
        <v>0.4318928502377952</v>
      </c>
      <c r="AO140" s="47" t="n">
        <v>0.4344231721608277</v>
      </c>
      <c r="AP140" s="47" t="n">
        <v>0.9640462452689094</v>
      </c>
      <c r="AQ140" s="47" t="n">
        <v>0.3934005643677844</v>
      </c>
      <c r="AR140" s="47" t="n">
        <v>0.7983511242355879</v>
      </c>
      <c r="AS140" s="47" t="n">
        <v>0</v>
      </c>
      <c r="AT140" s="47" t="n">
        <v>0.8968038356017686</v>
      </c>
      <c r="AU140" s="47" t="n">
        <v>0.6286072205433787</v>
      </c>
      <c r="AV140" s="47" t="n">
        <v>0.7690930768404707</v>
      </c>
      <c r="AW140" s="47" t="n">
        <v>4.683971129757021</v>
      </c>
      <c r="AX140" s="47" t="n">
        <v>2.104770973973186</v>
      </c>
      <c r="AY140" s="47" t="n">
        <v>1.271669533192197</v>
      </c>
      <c r="AZ140" s="47" t="n">
        <v>0.1556274203584104</v>
      </c>
      <c r="BA140" s="47" t="n">
        <v>0.4685047284922489</v>
      </c>
      <c r="BB140" s="47" t="n">
        <v>0.3273270459577465</v>
      </c>
      <c r="BC140" s="47" t="n">
        <v>0.01656924120165782</v>
      </c>
      <c r="BD140" s="47" t="n">
        <v>0.2379129357865338</v>
      </c>
      <c r="BE140" s="47" t="n">
        <v>0</v>
      </c>
      <c r="BF140" s="47" t="n">
        <v>0.04547243728299345</v>
      </c>
      <c r="BG140" s="47" t="n">
        <v>0.07748207498773749</v>
      </c>
      <c r="BH140" s="47" t="n">
        <v>0.127315793840864</v>
      </c>
      <c r="BI140" s="47" t="n">
        <v>0</v>
      </c>
      <c r="BJ140" s="47" t="n">
        <v>0</v>
      </c>
      <c r="BK140" s="96" t="n"/>
      <c r="BL140" s="96" t="n"/>
      <c r="BM140" s="96" t="n"/>
      <c r="BN140" s="96" t="n"/>
      <c r="BO140" s="96" t="n"/>
      <c r="BP140" s="96" t="n"/>
      <c r="BQ140" s="96" t="n"/>
      <c r="BR140" s="96" t="n"/>
      <c r="BS140" s="96" t="n"/>
      <c r="BT140" s="96" t="n"/>
      <c r="BU140" s="96" t="n"/>
      <c r="BV140" s="96" t="n"/>
      <c r="BW140" s="96" t="n"/>
      <c r="BX140" s="96" t="n"/>
      <c r="BY140" s="96" t="n"/>
      <c r="BZ140" s="96" t="n"/>
      <c r="CA140" s="96" t="n"/>
      <c r="CB140" s="96" t="n"/>
      <c r="CC140" s="96" t="n"/>
      <c r="CD140" s="96" t="n"/>
      <c r="CE140" s="96" t="n"/>
      <c r="CF140" s="96" t="n"/>
      <c r="CG140" s="96" t="n"/>
      <c r="CH140" s="96" t="n"/>
      <c r="CI140" s="96" t="n"/>
      <c r="CJ140" s="96" t="n"/>
      <c r="CK140" s="96" t="n"/>
      <c r="CL140" s="96" t="n"/>
      <c r="CM140" s="96" t="n"/>
      <c r="CN140" s="96" t="n"/>
      <c r="CO140" s="96" t="n"/>
      <c r="CP140" s="96" t="n"/>
      <c r="CQ140" s="96" t="n"/>
      <c r="CR140" s="96" t="n"/>
      <c r="CS140" s="96" t="n"/>
      <c r="CT140" s="96" t="n"/>
      <c r="CU140" s="96" t="n"/>
      <c r="CV140" s="96" t="n"/>
      <c r="CW140" s="96" t="n"/>
      <c r="CX140" s="96" t="n"/>
      <c r="CY140" s="96" t="n"/>
      <c r="CZ140" s="96" t="n"/>
      <c r="DA140" s="96" t="n"/>
      <c r="DB140" s="96" t="n"/>
      <c r="DC140" s="96" t="n"/>
      <c r="DD140" s="96" t="n"/>
      <c r="DE140" s="96" t="n"/>
      <c r="DF140" s="96" t="n"/>
      <c r="DG140" s="96" t="n"/>
      <c r="DH140" s="96" t="n"/>
      <c r="DI140" s="96" t="n"/>
      <c r="DJ140" s="96" t="n"/>
      <c r="DK140" s="96" t="n"/>
      <c r="DL140" s="96" t="n"/>
      <c r="DM140" s="96" t="n"/>
      <c r="DN140" s="96" t="n"/>
      <c r="DO140" s="96" t="n"/>
      <c r="DP140" s="96" t="n"/>
      <c r="DQ140" s="96" t="n"/>
      <c r="DR140" s="96" t="n"/>
    </row>
    <row r="141" hidden="1" outlineLevel="1" ht="15.75" customHeight="1">
      <c r="B141" s="5" t="inlineStr">
        <is>
          <t>RSC</t>
        </is>
      </c>
      <c r="C141" s="68" t="inlineStr">
        <is>
          <t>Lower Middle Market</t>
        </is>
      </c>
      <c r="F141" s="46">
        <f>+SUMIFS($AA141:$DR141,$AA$7:$DR$7,F$7)</f>
        <v/>
      </c>
      <c r="G141" s="46">
        <f>+SUMIFS($AA141:$DR141,$AA$7:$DR$7,G$7)</f>
        <v/>
      </c>
      <c r="H141" s="46">
        <f>+SUMIFS($AA141:$DR141,$AA$7:$DR$7,H$7)</f>
        <v/>
      </c>
      <c r="I141" s="46">
        <f>+SUMIFS($AA141:$DR141,$AA$7:$DR$7,I$7)</f>
        <v/>
      </c>
      <c r="J141" s="46">
        <f>+SUMIFS($AA141:$DR141,$AA$7:$DR$7,J$7)</f>
        <v/>
      </c>
      <c r="K141" s="46">
        <f>+SUMIFS($AA141:$DR141,$AA$7:$DR$7,K$7)</f>
        <v/>
      </c>
      <c r="L141" s="46">
        <f>+SUMIFS($AA141:$DR141,$AA$7:$DR$7,L$7)</f>
        <v/>
      </c>
      <c r="M141" s="46">
        <f>+SUMIFS($AA141:$DR141,$AA$7:$DR$7,M$7)</f>
        <v/>
      </c>
      <c r="AA141" s="47" t="n">
        <v>0</v>
      </c>
      <c r="AB141" s="47" t="n">
        <v>0</v>
      </c>
      <c r="AC141" s="47" t="n">
        <v>0</v>
      </c>
      <c r="AD141" s="47" t="n">
        <v>0</v>
      </c>
      <c r="AE141" s="47" t="n">
        <v>0</v>
      </c>
      <c r="AF141" s="47" t="n">
        <v>0</v>
      </c>
      <c r="AG141" s="47" t="n">
        <v>0</v>
      </c>
      <c r="AH141" s="47" t="n">
        <v>0</v>
      </c>
      <c r="AI141" s="47" t="n">
        <v>0</v>
      </c>
      <c r="AJ141" s="47" t="n">
        <v>0</v>
      </c>
      <c r="AK141" s="47" t="n">
        <v>0</v>
      </c>
      <c r="AL141" s="47" t="n">
        <v>0</v>
      </c>
      <c r="AM141" s="47" t="n">
        <v>0</v>
      </c>
      <c r="AN141" s="47" t="n">
        <v>0</v>
      </c>
      <c r="AO141" s="47" t="n">
        <v>0</v>
      </c>
      <c r="AP141" s="47" t="n">
        <v>0</v>
      </c>
      <c r="AQ141" s="47" t="n">
        <v>0</v>
      </c>
      <c r="AR141" s="47" t="n">
        <v>0</v>
      </c>
      <c r="AS141" s="47" t="n">
        <v>0</v>
      </c>
      <c r="AT141" s="47" t="n">
        <v>0</v>
      </c>
      <c r="AU141" s="47" t="n">
        <v>0</v>
      </c>
      <c r="AV141" s="47" t="n">
        <v>0</v>
      </c>
      <c r="AW141" s="47" t="n">
        <v>0</v>
      </c>
      <c r="AX141" s="47" t="n">
        <v>0</v>
      </c>
      <c r="AY141" s="47" t="n">
        <v>0</v>
      </c>
      <c r="AZ141" s="47" t="n">
        <v>0</v>
      </c>
      <c r="BA141" s="47" t="n">
        <v>0</v>
      </c>
      <c r="BB141" s="47" t="n">
        <v>0</v>
      </c>
      <c r="BC141" s="47" t="n">
        <v>0</v>
      </c>
      <c r="BD141" s="47" t="n">
        <v>0</v>
      </c>
      <c r="BE141" s="47" t="n">
        <v>0</v>
      </c>
      <c r="BF141" s="47" t="n">
        <v>0</v>
      </c>
      <c r="BG141" s="47" t="n">
        <v>0</v>
      </c>
      <c r="BH141" s="47" t="n">
        <v>0</v>
      </c>
      <c r="BI141" s="47" t="n">
        <v>0</v>
      </c>
      <c r="BJ141" s="47" t="n">
        <v>0</v>
      </c>
      <c r="BK141" s="96" t="n"/>
      <c r="BL141" s="96" t="n"/>
      <c r="BM141" s="96" t="n"/>
      <c r="BN141" s="96" t="n"/>
      <c r="BO141" s="96" t="n"/>
      <c r="BP141" s="96" t="n"/>
      <c r="BQ141" s="96" t="n"/>
      <c r="BR141" s="96" t="n"/>
      <c r="BS141" s="96" t="n"/>
      <c r="BT141" s="96" t="n"/>
      <c r="BU141" s="96" t="n"/>
      <c r="BV141" s="96" t="n"/>
      <c r="BW141" s="96" t="n"/>
      <c r="BX141" s="96" t="n"/>
      <c r="BY141" s="96" t="n"/>
      <c r="BZ141" s="96" t="n"/>
      <c r="CA141" s="96" t="n"/>
      <c r="CB141" s="96" t="n"/>
      <c r="CC141" s="96" t="n"/>
      <c r="CD141" s="96" t="n"/>
      <c r="CE141" s="96" t="n"/>
      <c r="CF141" s="96" t="n"/>
      <c r="CG141" s="96" t="n"/>
      <c r="CH141" s="96" t="n"/>
      <c r="CI141" s="96" t="n"/>
      <c r="CJ141" s="96" t="n"/>
      <c r="CK141" s="96" t="n"/>
      <c r="CL141" s="96" t="n"/>
      <c r="CM141" s="96" t="n"/>
      <c r="CN141" s="96" t="n"/>
      <c r="CO141" s="96" t="n"/>
      <c r="CP141" s="96" t="n"/>
      <c r="CQ141" s="96" t="n"/>
      <c r="CR141" s="96" t="n"/>
      <c r="CS141" s="96" t="n"/>
      <c r="CT141" s="96" t="n"/>
      <c r="CU141" s="96" t="n"/>
      <c r="CV141" s="96" t="n"/>
      <c r="CW141" s="96" t="n"/>
      <c r="CX141" s="96" t="n"/>
      <c r="CY141" s="96" t="n"/>
      <c r="CZ141" s="96" t="n"/>
      <c r="DA141" s="96" t="n"/>
      <c r="DB141" s="96" t="n"/>
      <c r="DC141" s="96" t="n"/>
      <c r="DD141" s="96" t="n"/>
      <c r="DE141" s="96" t="n"/>
      <c r="DF141" s="96" t="n"/>
      <c r="DG141" s="96" t="n"/>
      <c r="DH141" s="96" t="n"/>
      <c r="DI141" s="96" t="n"/>
      <c r="DJ141" s="96" t="n"/>
      <c r="DK141" s="96" t="n"/>
      <c r="DL141" s="96" t="n"/>
      <c r="DM141" s="96" t="n"/>
      <c r="DN141" s="96" t="n"/>
      <c r="DO141" s="96" t="n"/>
      <c r="DP141" s="96" t="n"/>
      <c r="DQ141" s="96" t="n"/>
      <c r="DR141" s="96" t="n"/>
    </row>
    <row r="142" hidden="1" outlineLevel="1" ht="15.75" customHeight="1">
      <c r="B142" s="5" t="inlineStr">
        <is>
          <t>RUP</t>
        </is>
      </c>
      <c r="C142" s="68" t="inlineStr">
        <is>
          <t>Lower Middle Market</t>
        </is>
      </c>
      <c r="F142" s="46">
        <f>+SUMIFS($AA142:$DR142,$AA$7:$DR$7,F$7)</f>
        <v/>
      </c>
      <c r="G142" s="46">
        <f>+SUMIFS($AA142:$DR142,$AA$7:$DR$7,G$7)</f>
        <v/>
      </c>
      <c r="H142" s="46">
        <f>+SUMIFS($AA142:$DR142,$AA$7:$DR$7,H$7)</f>
        <v/>
      </c>
      <c r="I142" s="46">
        <f>+SUMIFS($AA142:$DR142,$AA$7:$DR$7,I$7)</f>
        <v/>
      </c>
      <c r="J142" s="46">
        <f>+SUMIFS($AA142:$DR142,$AA$7:$DR$7,J$7)</f>
        <v/>
      </c>
      <c r="K142" s="46">
        <f>+SUMIFS($AA142:$DR142,$AA$7:$DR$7,K$7)</f>
        <v/>
      </c>
      <c r="L142" s="46">
        <f>+SUMIFS($AA142:$DR142,$AA$7:$DR$7,L$7)</f>
        <v/>
      </c>
      <c r="M142" s="46">
        <f>+SUMIFS($AA142:$DR142,$AA$7:$DR$7,M$7)</f>
        <v/>
      </c>
      <c r="AA142" s="47" t="n">
        <v>0</v>
      </c>
      <c r="AB142" s="47" t="n">
        <v>0</v>
      </c>
      <c r="AC142" s="47" t="n">
        <v>0</v>
      </c>
      <c r="AD142" s="47" t="n">
        <v>0</v>
      </c>
      <c r="AE142" s="47" t="n">
        <v>0</v>
      </c>
      <c r="AF142" s="47" t="n">
        <v>0</v>
      </c>
      <c r="AG142" s="47" t="n">
        <v>0</v>
      </c>
      <c r="AH142" s="47" t="n">
        <v>0</v>
      </c>
      <c r="AI142" s="47" t="n">
        <v>0</v>
      </c>
      <c r="AJ142" s="47" t="n">
        <v>0</v>
      </c>
      <c r="AK142" s="47" t="n">
        <v>0</v>
      </c>
      <c r="AL142" s="47" t="n">
        <v>0</v>
      </c>
      <c r="AM142" s="47" t="n">
        <v>0.6408934559781573</v>
      </c>
      <c r="AN142" s="47" t="n">
        <v>0.5652993252435116</v>
      </c>
      <c r="AO142" s="47" t="n">
        <v>0.6459830421367385</v>
      </c>
      <c r="AP142" s="47" t="n">
        <v>0.5237034025070081</v>
      </c>
      <c r="AQ142" s="47" t="n">
        <v>1.1195908088454</v>
      </c>
      <c r="AR142" s="47" t="n">
        <v>0.7743230686954604</v>
      </c>
      <c r="AS142" s="47" t="n">
        <v>1.390841244280338</v>
      </c>
      <c r="AT142" s="47" t="n">
        <v>2.169423131034715</v>
      </c>
      <c r="AU142" s="47" t="n">
        <v>4.36638360851343</v>
      </c>
      <c r="AV142" s="47" t="n">
        <v>0.8666105674382421</v>
      </c>
      <c r="AW142" s="47" t="n">
        <v>0</v>
      </c>
      <c r="AX142" s="47" t="n">
        <v>0</v>
      </c>
      <c r="AY142" s="47" t="n">
        <v>0.03223828066476175</v>
      </c>
      <c r="AZ142" s="47" t="n">
        <v>0.9411101763947161</v>
      </c>
      <c r="BA142" s="47" t="n">
        <v>0.2837127171294028</v>
      </c>
      <c r="BB142" s="47" t="n">
        <v>0.3278001742886679</v>
      </c>
      <c r="BC142" s="47" t="n">
        <v>0.8275283920098014</v>
      </c>
      <c r="BD142" s="47" t="n">
        <v>3.312996444164912</v>
      </c>
      <c r="BE142" s="47" t="n">
        <v>0.3053358220496392</v>
      </c>
      <c r="BF142" s="47" t="n">
        <v>0</v>
      </c>
      <c r="BG142" s="47" t="n">
        <v>0.672919910524465</v>
      </c>
      <c r="BH142" s="47" t="n">
        <v>0.2733572824670746</v>
      </c>
      <c r="BI142" s="47" t="n">
        <v>0.03919647627616827</v>
      </c>
      <c r="BJ142" s="47" t="n">
        <v>0.01869411400130843</v>
      </c>
      <c r="BK142" s="96" t="n"/>
      <c r="BL142" s="96" t="n"/>
      <c r="BM142" s="96" t="n"/>
      <c r="BN142" s="96" t="n"/>
      <c r="BO142" s="96" t="n"/>
      <c r="BP142" s="96" t="n"/>
      <c r="BQ142" s="96" t="n"/>
      <c r="BR142" s="96" t="n"/>
      <c r="BS142" s="96" t="n"/>
      <c r="BT142" s="96" t="n"/>
      <c r="BU142" s="96" t="n"/>
      <c r="BV142" s="96" t="n"/>
      <c r="BW142" s="96" t="n"/>
      <c r="BX142" s="96" t="n"/>
      <c r="BY142" s="96" t="n"/>
      <c r="BZ142" s="96" t="n"/>
      <c r="CA142" s="96" t="n"/>
      <c r="CB142" s="96" t="n"/>
      <c r="CC142" s="96" t="n"/>
      <c r="CD142" s="96" t="n"/>
      <c r="CE142" s="96" t="n"/>
      <c r="CF142" s="96" t="n"/>
      <c r="CG142" s="96" t="n"/>
      <c r="CH142" s="96" t="n"/>
      <c r="CI142" s="96" t="n"/>
      <c r="CJ142" s="96" t="n"/>
      <c r="CK142" s="96" t="n"/>
      <c r="CL142" s="96" t="n"/>
      <c r="CM142" s="96" t="n"/>
      <c r="CN142" s="96" t="n"/>
      <c r="CO142" s="96" t="n"/>
      <c r="CP142" s="96" t="n"/>
      <c r="CQ142" s="96" t="n"/>
      <c r="CR142" s="96" t="n"/>
      <c r="CS142" s="96" t="n"/>
      <c r="CT142" s="96" t="n"/>
      <c r="CU142" s="96" t="n"/>
      <c r="CV142" s="96" t="n"/>
      <c r="CW142" s="96" t="n"/>
      <c r="CX142" s="96" t="n"/>
      <c r="CY142" s="96" t="n"/>
      <c r="CZ142" s="96" t="n"/>
      <c r="DA142" s="96" t="n"/>
      <c r="DB142" s="96" t="n"/>
      <c r="DC142" s="96" t="n"/>
      <c r="DD142" s="96" t="n"/>
      <c r="DE142" s="96" t="n"/>
      <c r="DF142" s="96" t="n"/>
      <c r="DG142" s="96" t="n"/>
      <c r="DH142" s="96" t="n"/>
      <c r="DI142" s="96" t="n"/>
      <c r="DJ142" s="96" t="n"/>
      <c r="DK142" s="96" t="n"/>
      <c r="DL142" s="96" t="n"/>
      <c r="DM142" s="96" t="n"/>
      <c r="DN142" s="96" t="n"/>
      <c r="DO142" s="96" t="n"/>
      <c r="DP142" s="96" t="n"/>
      <c r="DQ142" s="96" t="n"/>
      <c r="DR142" s="96" t="n"/>
    </row>
    <row r="143" hidden="1" outlineLevel="1" ht="15.75" customHeight="1">
      <c r="B143" s="5" t="inlineStr">
        <is>
          <t>SCORE</t>
        </is>
      </c>
      <c r="C143" s="68" t="inlineStr">
        <is>
          <t>Major</t>
        </is>
      </c>
      <c r="F143" s="46">
        <f>+SUMIFS($AA143:$DR143,$AA$7:$DR$7,F$7)</f>
        <v/>
      </c>
      <c r="G143" s="46">
        <f>+SUMIFS($AA143:$DR143,$AA$7:$DR$7,G$7)</f>
        <v/>
      </c>
      <c r="H143" s="46">
        <f>+SUMIFS($AA143:$DR143,$AA$7:$DR$7,H$7)</f>
        <v/>
      </c>
      <c r="I143" s="46">
        <f>+SUMIFS($AA143:$DR143,$AA$7:$DR$7,I$7)</f>
        <v/>
      </c>
      <c r="J143" s="46">
        <f>+SUMIFS($AA143:$DR143,$AA$7:$DR$7,J$7)</f>
        <v/>
      </c>
      <c r="K143" s="46">
        <f>+SUMIFS($AA143:$DR143,$AA$7:$DR$7,K$7)</f>
        <v/>
      </c>
      <c r="L143" s="46">
        <f>+SUMIFS($AA143:$DR143,$AA$7:$DR$7,L$7)</f>
        <v/>
      </c>
      <c r="M143" s="46">
        <f>+SUMIFS($AA143:$DR143,$AA$7:$DR$7,M$7)</f>
        <v/>
      </c>
      <c r="AA143" s="47" t="n">
        <v>0.8588502437890873</v>
      </c>
      <c r="AB143" s="47" t="n">
        <v>1.448066038807589</v>
      </c>
      <c r="AC143" s="47" t="n">
        <v>7.939745772030142</v>
      </c>
      <c r="AD143" s="47" t="n">
        <v>6.123876511757624</v>
      </c>
      <c r="AE143" s="47" t="n">
        <v>4.369343890639165</v>
      </c>
      <c r="AF143" s="47" t="n">
        <v>6.463996292398742</v>
      </c>
      <c r="AG143" s="47" t="n">
        <v>10.57629056604409</v>
      </c>
      <c r="AH143" s="47" t="n">
        <v>7.524950846816783</v>
      </c>
      <c r="AI143" s="47" t="n">
        <v>2.886734903848416</v>
      </c>
      <c r="AJ143" s="47" t="n">
        <v>11.17626883635863</v>
      </c>
      <c r="AK143" s="47" t="n">
        <v>16.46185075567485</v>
      </c>
      <c r="AL143" s="47" t="n">
        <v>11.31900983202102</v>
      </c>
      <c r="AM143" s="47" t="n">
        <v>3.833421372377579</v>
      </c>
      <c r="AN143" s="47" t="n">
        <v>7.326068666684129</v>
      </c>
      <c r="AO143" s="47" t="n">
        <v>7.028583788171407</v>
      </c>
      <c r="AP143" s="47" t="n">
        <v>4.908355986877124</v>
      </c>
      <c r="AQ143" s="47" t="n">
        <v>2.729213892903255</v>
      </c>
      <c r="AR143" s="47" t="n">
        <v>7.586926031034445</v>
      </c>
      <c r="AS143" s="47" t="n">
        <v>3.291291922659528</v>
      </c>
      <c r="AT143" s="47" t="n">
        <v>8.896358031389676</v>
      </c>
      <c r="AU143" s="47" t="n">
        <v>5.472147476315526</v>
      </c>
      <c r="AV143" s="47" t="n">
        <v>7.454128070648113</v>
      </c>
      <c r="AW143" s="47" t="n">
        <v>2.245023692213012</v>
      </c>
      <c r="AX143" s="47" t="n">
        <v>4.01014801347832</v>
      </c>
      <c r="AY143" s="47" t="n">
        <v>1.045966363742843</v>
      </c>
      <c r="AZ143" s="47" t="n">
        <v>1.938748569844805</v>
      </c>
      <c r="BA143" s="47" t="n">
        <v>1.906724954603067</v>
      </c>
      <c r="BB143" s="47" t="n">
        <v>4.750164577530872</v>
      </c>
      <c r="BC143" s="47" t="n">
        <v>6.409769202884414</v>
      </c>
      <c r="BD143" s="47" t="n">
        <v>7.199108085529859</v>
      </c>
      <c r="BE143" s="47" t="n">
        <v>4.117578121202869</v>
      </c>
      <c r="BF143" s="47" t="n">
        <v>13.60054470230295</v>
      </c>
      <c r="BG143" s="47" t="n">
        <v>3.945138683552956</v>
      </c>
      <c r="BH143" s="47" t="n">
        <v>0.9899037224055146</v>
      </c>
      <c r="BI143" s="47" t="n">
        <v>0.7200266481224578</v>
      </c>
      <c r="BJ143" s="47" t="n">
        <v>0.5439025279778534</v>
      </c>
      <c r="BK143" s="96" t="n"/>
      <c r="BL143" s="96" t="n"/>
      <c r="BM143" s="96" t="n"/>
      <c r="BN143" s="96" t="n"/>
      <c r="BO143" s="96" t="n"/>
      <c r="BP143" s="96" t="n"/>
      <c r="BQ143" s="96" t="n"/>
      <c r="BR143" s="96" t="n"/>
      <c r="BS143" s="96" t="n"/>
      <c r="BT143" s="96" t="n"/>
      <c r="BU143" s="96" t="n"/>
      <c r="BV143" s="96" t="n"/>
      <c r="BW143" s="96" t="n"/>
      <c r="BX143" s="96" t="n"/>
      <c r="BY143" s="96" t="n"/>
      <c r="BZ143" s="96" t="n"/>
      <c r="CA143" s="96" t="n"/>
      <c r="CB143" s="96" t="n"/>
      <c r="CC143" s="96" t="n"/>
      <c r="CD143" s="96" t="n"/>
      <c r="CE143" s="96" t="n"/>
      <c r="CF143" s="96" t="n"/>
      <c r="CG143" s="96" t="n"/>
      <c r="CH143" s="96" t="n"/>
      <c r="CI143" s="96" t="n"/>
      <c r="CJ143" s="96" t="n"/>
      <c r="CK143" s="96" t="n"/>
      <c r="CL143" s="96" t="n"/>
      <c r="CM143" s="96" t="n"/>
      <c r="CN143" s="96" t="n"/>
      <c r="CO143" s="96" t="n"/>
      <c r="CP143" s="96" t="n"/>
      <c r="CQ143" s="96" t="n"/>
      <c r="CR143" s="96" t="n"/>
      <c r="CS143" s="96" t="n"/>
      <c r="CT143" s="96" t="n"/>
      <c r="CU143" s="96" t="n"/>
      <c r="CV143" s="96" t="n"/>
      <c r="CW143" s="96" t="n"/>
      <c r="CX143" s="96" t="n"/>
      <c r="CY143" s="96" t="n"/>
      <c r="CZ143" s="96" t="n"/>
      <c r="DA143" s="96" t="n"/>
      <c r="DB143" s="96" t="n"/>
      <c r="DC143" s="96" t="n"/>
      <c r="DD143" s="96" t="n"/>
      <c r="DE143" s="96" t="n"/>
      <c r="DF143" s="96" t="n"/>
      <c r="DG143" s="96" t="n"/>
      <c r="DH143" s="96" t="n"/>
      <c r="DI143" s="96" t="n"/>
      <c r="DJ143" s="96" t="n"/>
      <c r="DK143" s="96" t="n"/>
      <c r="DL143" s="96" t="n"/>
      <c r="DM143" s="96" t="n"/>
      <c r="DN143" s="96" t="n"/>
      <c r="DO143" s="96" t="n"/>
      <c r="DP143" s="96" t="n"/>
      <c r="DQ143" s="96" t="n"/>
      <c r="DR143" s="96" t="n"/>
    </row>
    <row r="144" hidden="1" outlineLevel="1" ht="15.75" customHeight="1">
      <c r="B144" s="5" t="inlineStr">
        <is>
          <t>SPE</t>
        </is>
      </c>
      <c r="C144" s="68" t="inlineStr">
        <is>
          <t>Upper Middle Market</t>
        </is>
      </c>
      <c r="F144" s="46">
        <f>+SUMIFS($AA144:$DR144,$AA$7:$DR$7,F$7)</f>
        <v/>
      </c>
      <c r="G144" s="46">
        <f>+SUMIFS($AA144:$DR144,$AA$7:$DR$7,G$7)</f>
        <v/>
      </c>
      <c r="H144" s="46">
        <f>+SUMIFS($AA144:$DR144,$AA$7:$DR$7,H$7)</f>
        <v/>
      </c>
      <c r="I144" s="46">
        <f>+SUMIFS($AA144:$DR144,$AA$7:$DR$7,I$7)</f>
        <v/>
      </c>
      <c r="J144" s="46">
        <f>+SUMIFS($AA144:$DR144,$AA$7:$DR$7,J$7)</f>
        <v/>
      </c>
      <c r="K144" s="46">
        <f>+SUMIFS($AA144:$DR144,$AA$7:$DR$7,K$7)</f>
        <v/>
      </c>
      <c r="L144" s="46">
        <f>+SUMIFS($AA144:$DR144,$AA$7:$DR$7,L$7)</f>
        <v/>
      </c>
      <c r="M144" s="46">
        <f>+SUMIFS($AA144:$DR144,$AA$7:$DR$7,M$7)</f>
        <v/>
      </c>
      <c r="AA144" s="47" t="n">
        <v>0</v>
      </c>
      <c r="AB144" s="47" t="n">
        <v>0</v>
      </c>
      <c r="AC144" s="47" t="n">
        <v>0</v>
      </c>
      <c r="AD144" s="47" t="n">
        <v>0</v>
      </c>
      <c r="AE144" s="47" t="n">
        <v>0</v>
      </c>
      <c r="AF144" s="47" t="n">
        <v>0</v>
      </c>
      <c r="AG144" s="47" t="n">
        <v>0</v>
      </c>
      <c r="AH144" s="47" t="n">
        <v>0</v>
      </c>
      <c r="AI144" s="47" t="n">
        <v>0</v>
      </c>
      <c r="AJ144" s="47" t="n">
        <v>0</v>
      </c>
      <c r="AK144" s="47" t="n">
        <v>0</v>
      </c>
      <c r="AL144" s="47" t="n">
        <v>0</v>
      </c>
      <c r="AM144" s="47" t="n">
        <v>0</v>
      </c>
      <c r="AN144" s="47" t="n">
        <v>0</v>
      </c>
      <c r="AO144" s="47" t="n">
        <v>0.09681273197069785</v>
      </c>
      <c r="AP144" s="47" t="n">
        <v>0</v>
      </c>
      <c r="AQ144" s="47" t="n">
        <v>0.2830741615236878</v>
      </c>
      <c r="AR144" s="47" t="n">
        <v>0</v>
      </c>
      <c r="AS144" s="47" t="n">
        <v>0</v>
      </c>
      <c r="AT144" s="47" t="n">
        <v>1.350703543422359</v>
      </c>
      <c r="AU144" s="47" t="n">
        <v>3.07637635020435</v>
      </c>
      <c r="AV144" s="47" t="n">
        <v>1.229745878035553</v>
      </c>
      <c r="AW144" s="47" t="n">
        <v>1.162992187176618</v>
      </c>
      <c r="AX144" s="47" t="n">
        <v>2.028833416252063</v>
      </c>
      <c r="AY144" s="47" t="n">
        <v>0.02698743357153529</v>
      </c>
      <c r="AZ144" s="47" t="n">
        <v>1.232389570907594</v>
      </c>
      <c r="BA144" s="47" t="n">
        <v>0.3364631359269468</v>
      </c>
      <c r="BB144" s="47" t="n">
        <v>0.104275829417216</v>
      </c>
      <c r="BC144" s="47" t="n">
        <v>0.5436851043054317</v>
      </c>
      <c r="BD144" s="47" t="n">
        <v>0.8388919872828342</v>
      </c>
      <c r="BE144" s="47" t="n">
        <v>0.8232380700914305</v>
      </c>
      <c r="BF144" s="47" t="n">
        <v>1.579519563348831</v>
      </c>
      <c r="BG144" s="47" t="n">
        <v>0.2831234818040364</v>
      </c>
      <c r="BH144" s="47" t="n">
        <v>0.5686574485913124</v>
      </c>
      <c r="BI144" s="47" t="n">
        <v>0.2983972955254989</v>
      </c>
      <c r="BJ144" s="47" t="n">
        <v>0.5119449174234546</v>
      </c>
      <c r="BK144" s="96" t="n"/>
      <c r="BL144" s="96" t="n"/>
      <c r="BM144" s="96" t="n"/>
      <c r="BN144" s="96" t="n"/>
      <c r="BO144" s="96" t="n"/>
      <c r="BP144" s="96" t="n"/>
      <c r="BQ144" s="96" t="n"/>
      <c r="BR144" s="96" t="n"/>
      <c r="BS144" s="96" t="n"/>
      <c r="BT144" s="96" t="n"/>
      <c r="BU144" s="96" t="n"/>
      <c r="BV144" s="96" t="n"/>
      <c r="BW144" s="96" t="n"/>
      <c r="BX144" s="96" t="n"/>
      <c r="BY144" s="96" t="n"/>
      <c r="BZ144" s="96" t="n"/>
      <c r="CA144" s="96" t="n"/>
      <c r="CB144" s="96" t="n"/>
      <c r="CC144" s="96" t="n"/>
      <c r="CD144" s="96" t="n"/>
      <c r="CE144" s="96" t="n"/>
      <c r="CF144" s="96" t="n"/>
      <c r="CG144" s="96" t="n"/>
      <c r="CH144" s="96" t="n"/>
      <c r="CI144" s="96" t="n"/>
      <c r="CJ144" s="96" t="n"/>
      <c r="CK144" s="96" t="n"/>
      <c r="CL144" s="96" t="n"/>
      <c r="CM144" s="96" t="n"/>
      <c r="CN144" s="96" t="n"/>
      <c r="CO144" s="96" t="n"/>
      <c r="CP144" s="96" t="n"/>
      <c r="CQ144" s="96" t="n"/>
      <c r="CR144" s="96" t="n"/>
      <c r="CS144" s="96" t="n"/>
      <c r="CT144" s="96" t="n"/>
      <c r="CU144" s="96" t="n"/>
      <c r="CV144" s="96" t="n"/>
      <c r="CW144" s="96" t="n"/>
      <c r="CX144" s="96" t="n"/>
      <c r="CY144" s="96" t="n"/>
      <c r="CZ144" s="96" t="n"/>
      <c r="DA144" s="96" t="n"/>
      <c r="DB144" s="96" t="n"/>
      <c r="DC144" s="96" t="n"/>
      <c r="DD144" s="96" t="n"/>
      <c r="DE144" s="96" t="n"/>
      <c r="DF144" s="96" t="n"/>
      <c r="DG144" s="96" t="n"/>
      <c r="DH144" s="96" t="n"/>
      <c r="DI144" s="96" t="n"/>
      <c r="DJ144" s="96" t="n"/>
      <c r="DK144" s="96" t="n"/>
      <c r="DL144" s="96" t="n"/>
      <c r="DM144" s="96" t="n"/>
      <c r="DN144" s="96" t="n"/>
      <c r="DO144" s="96" t="n"/>
      <c r="DP144" s="96" t="n"/>
      <c r="DQ144" s="96" t="n"/>
      <c r="DR144" s="96" t="n"/>
    </row>
    <row r="145" hidden="1" outlineLevel="1" ht="15.75" customHeight="1">
      <c r="B145" s="5" t="inlineStr">
        <is>
          <t>UCP</t>
        </is>
      </c>
      <c r="C145" s="68" t="inlineStr">
        <is>
          <t>Lower Middle Market</t>
        </is>
      </c>
      <c r="F145" s="46">
        <f>+SUMIFS($AA145:$DR145,$AA$7:$DR$7,F$7)</f>
        <v/>
      </c>
      <c r="G145" s="46">
        <f>+SUMIFS($AA145:$DR145,$AA$7:$DR$7,G$7)</f>
        <v/>
      </c>
      <c r="H145" s="46">
        <f>+SUMIFS($AA145:$DR145,$AA$7:$DR$7,H$7)</f>
        <v/>
      </c>
      <c r="I145" s="46">
        <f>+SUMIFS($AA145:$DR145,$AA$7:$DR$7,I$7)</f>
        <v/>
      </c>
      <c r="J145" s="46">
        <f>+SUMIFS($AA145:$DR145,$AA$7:$DR$7,J$7)</f>
        <v/>
      </c>
      <c r="K145" s="46">
        <f>+SUMIFS($AA145:$DR145,$AA$7:$DR$7,K$7)</f>
        <v/>
      </c>
      <c r="L145" s="46">
        <f>+SUMIFS($AA145:$DR145,$AA$7:$DR$7,L$7)</f>
        <v/>
      </c>
      <c r="M145" s="46">
        <f>+SUMIFS($AA145:$DR145,$AA$7:$DR$7,M$7)</f>
        <v/>
      </c>
      <c r="AA145" s="47" t="n">
        <v>0</v>
      </c>
      <c r="AB145" s="47" t="n">
        <v>0</v>
      </c>
      <c r="AC145" s="47" t="n">
        <v>0</v>
      </c>
      <c r="AD145" s="47" t="n">
        <v>0</v>
      </c>
      <c r="AE145" s="47" t="n">
        <v>0</v>
      </c>
      <c r="AF145" s="47" t="n">
        <v>0</v>
      </c>
      <c r="AG145" s="47" t="n">
        <v>0</v>
      </c>
      <c r="AH145" s="47" t="n">
        <v>0</v>
      </c>
      <c r="AI145" s="47" t="n">
        <v>0</v>
      </c>
      <c r="AJ145" s="47" t="n">
        <v>0</v>
      </c>
      <c r="AK145" s="47" t="n">
        <v>0</v>
      </c>
      <c r="AL145" s="47" t="n">
        <v>0</v>
      </c>
      <c r="AM145" s="47" t="n">
        <v>0</v>
      </c>
      <c r="AN145" s="47" t="n">
        <v>0</v>
      </c>
      <c r="AO145" s="47" t="n">
        <v>0</v>
      </c>
      <c r="AP145" s="47" t="n">
        <v>0</v>
      </c>
      <c r="AQ145" s="47" t="n">
        <v>0</v>
      </c>
      <c r="AR145" s="47" t="n">
        <v>0</v>
      </c>
      <c r="AS145" s="47" t="n">
        <v>0</v>
      </c>
      <c r="AT145" s="47" t="n">
        <v>0.08375979678003088</v>
      </c>
      <c r="AU145" s="47" t="n">
        <v>0</v>
      </c>
      <c r="AV145" s="47" t="n">
        <v>0.1561203383349938</v>
      </c>
      <c r="AW145" s="47" t="n">
        <v>0.1573234004368243</v>
      </c>
      <c r="AX145" s="47" t="n">
        <v>0.9721953560518019</v>
      </c>
      <c r="AY145" s="47" t="n">
        <v>0.6199559361286742</v>
      </c>
      <c r="AZ145" s="47" t="n">
        <v>0.8890743689188638</v>
      </c>
      <c r="BA145" s="47" t="n">
        <v>0.02970446055989974</v>
      </c>
      <c r="BB145" s="47" t="n">
        <v>0.2405955656186552</v>
      </c>
      <c r="BC145" s="47" t="n">
        <v>0.7011049126329654</v>
      </c>
      <c r="BD145" s="47" t="n">
        <v>0.01697650568181818</v>
      </c>
      <c r="BE145" s="47" t="n">
        <v>0</v>
      </c>
      <c r="BF145" s="47" t="n">
        <v>0.09881202445994412</v>
      </c>
      <c r="BG145" s="47" t="n">
        <v>0.1708568145348344</v>
      </c>
      <c r="BH145" s="47" t="n">
        <v>0.3902220055268919</v>
      </c>
      <c r="BI145" s="47" t="n">
        <v>0.3688151542172767</v>
      </c>
      <c r="BJ145" s="47" t="n">
        <v>0.1145015557872867</v>
      </c>
      <c r="BK145" s="96" t="n"/>
      <c r="BL145" s="96" t="n"/>
      <c r="BM145" s="96" t="n"/>
      <c r="BN145" s="96" t="n"/>
      <c r="BO145" s="96" t="n"/>
      <c r="BP145" s="96" t="n"/>
      <c r="BQ145" s="96" t="n"/>
      <c r="BR145" s="96" t="n"/>
      <c r="BS145" s="96" t="n"/>
      <c r="BT145" s="96" t="n"/>
      <c r="BU145" s="96" t="n"/>
      <c r="BV145" s="96" t="n"/>
      <c r="BW145" s="96" t="n"/>
      <c r="BX145" s="96" t="n"/>
      <c r="BY145" s="96" t="n"/>
      <c r="BZ145" s="96" t="n"/>
      <c r="CA145" s="96" t="n"/>
      <c r="CB145" s="96" t="n"/>
      <c r="CC145" s="96" t="n"/>
      <c r="CD145" s="96" t="n"/>
      <c r="CE145" s="96" t="n"/>
      <c r="CF145" s="96" t="n"/>
      <c r="CG145" s="96" t="n"/>
      <c r="CH145" s="96" t="n"/>
      <c r="CI145" s="96" t="n"/>
      <c r="CJ145" s="96" t="n"/>
      <c r="CK145" s="96" t="n"/>
      <c r="CL145" s="96" t="n"/>
      <c r="CM145" s="96" t="n"/>
      <c r="CN145" s="96" t="n"/>
      <c r="CO145" s="96" t="n"/>
      <c r="CP145" s="96" t="n"/>
      <c r="CQ145" s="96" t="n"/>
      <c r="CR145" s="96" t="n"/>
      <c r="CS145" s="96" t="n"/>
      <c r="CT145" s="96" t="n"/>
      <c r="CU145" s="96" t="n"/>
      <c r="CV145" s="96" t="n"/>
      <c r="CW145" s="96" t="n"/>
      <c r="CX145" s="96" t="n"/>
      <c r="CY145" s="96" t="n"/>
      <c r="CZ145" s="96" t="n"/>
      <c r="DA145" s="96" t="n"/>
      <c r="DB145" s="96" t="n"/>
      <c r="DC145" s="96" t="n"/>
      <c r="DD145" s="96" t="n"/>
      <c r="DE145" s="96" t="n"/>
      <c r="DF145" s="96" t="n"/>
      <c r="DG145" s="96" t="n"/>
      <c r="DH145" s="96" t="n"/>
      <c r="DI145" s="96" t="n"/>
      <c r="DJ145" s="96" t="n"/>
      <c r="DK145" s="96" t="n"/>
      <c r="DL145" s="96" t="n"/>
      <c r="DM145" s="96" t="n"/>
      <c r="DN145" s="96" t="n"/>
      <c r="DO145" s="96" t="n"/>
      <c r="DP145" s="96" t="n"/>
      <c r="DQ145" s="96" t="n"/>
      <c r="DR145" s="96" t="n"/>
    </row>
    <row r="146" hidden="1" outlineLevel="1" ht="15.75" customHeight="1">
      <c r="B146" s="5" t="inlineStr">
        <is>
          <t>WK</t>
        </is>
      </c>
      <c r="C146" s="68" t="inlineStr">
        <is>
          <t>Mega</t>
        </is>
      </c>
      <c r="F146" s="46">
        <f>+SUMIFS($AA146:$DR146,$AA$7:$DR$7,F$7)</f>
        <v/>
      </c>
      <c r="G146" s="46">
        <f>+SUMIFS($AA146:$DR146,$AA$7:$DR$7,G$7)</f>
        <v/>
      </c>
      <c r="H146" s="46">
        <f>+SUMIFS($AA146:$DR146,$AA$7:$DR$7,H$7)</f>
        <v/>
      </c>
      <c r="I146" s="46">
        <f>+SUMIFS($AA146:$DR146,$AA$7:$DR$7,I$7)</f>
        <v/>
      </c>
      <c r="J146" s="46">
        <f>+SUMIFS($AA146:$DR146,$AA$7:$DR$7,J$7)</f>
        <v/>
      </c>
      <c r="K146" s="46">
        <f>+SUMIFS($AA146:$DR146,$AA$7:$DR$7,K$7)</f>
        <v/>
      </c>
      <c r="L146" s="46">
        <f>+SUMIFS($AA146:$DR146,$AA$7:$DR$7,L$7)</f>
        <v/>
      </c>
      <c r="M146" s="46">
        <f>+SUMIFS($AA146:$DR146,$AA$7:$DR$7,M$7)</f>
        <v/>
      </c>
      <c r="AA146" s="47" t="n">
        <v>37.56741179728946</v>
      </c>
      <c r="AB146" s="47" t="n">
        <v>40.57669942047937</v>
      </c>
      <c r="AC146" s="47" t="n">
        <v>21.31678923880028</v>
      </c>
      <c r="AD146" s="47" t="n">
        <v>8.838119185463235</v>
      </c>
      <c r="AE146" s="47" t="n">
        <v>20.67381318106713</v>
      </c>
      <c r="AF146" s="47" t="n">
        <v>32.55826572920064</v>
      </c>
      <c r="AG146" s="47" t="n">
        <v>15.3831361387379</v>
      </c>
      <c r="AH146" s="47" t="n">
        <v>11.24775776315178</v>
      </c>
      <c r="AI146" s="47" t="n">
        <v>19.1266435297916</v>
      </c>
      <c r="AJ146" s="47" t="n">
        <v>31.47454819577915</v>
      </c>
      <c r="AK146" s="47" t="n">
        <v>25.30688404703657</v>
      </c>
      <c r="AL146" s="47" t="n">
        <v>18.50987227497897</v>
      </c>
      <c r="AM146" s="47" t="n">
        <v>13.83654432665015</v>
      </c>
      <c r="AN146" s="47" t="n">
        <v>18.50352066623775</v>
      </c>
      <c r="AO146" s="47" t="n">
        <v>8.92455278837601</v>
      </c>
      <c r="AP146" s="47" t="n">
        <v>6.907740783744555</v>
      </c>
      <c r="AQ146" s="47" t="n">
        <v>4.338943996236832</v>
      </c>
      <c r="AR146" s="47" t="n">
        <v>9.59895698457181</v>
      </c>
      <c r="AS146" s="47" t="n">
        <v>5.416949990636332</v>
      </c>
      <c r="AT146" s="47" t="n">
        <v>10.43716556113157</v>
      </c>
      <c r="AU146" s="47" t="n">
        <v>6.515935097761609</v>
      </c>
      <c r="AV146" s="47" t="n">
        <v>10.16158072314598</v>
      </c>
      <c r="AW146" s="47" t="n">
        <v>7.939089681551395</v>
      </c>
      <c r="AX146" s="47" t="n">
        <v>9.628394041127589</v>
      </c>
      <c r="AY146" s="47" t="n">
        <v>11.85442351712699</v>
      </c>
      <c r="AZ146" s="47" t="n">
        <v>24.47210069263549</v>
      </c>
      <c r="BA146" s="47" t="n">
        <v>22.47826027904365</v>
      </c>
      <c r="BB146" s="47" t="n">
        <v>24.98901914424468</v>
      </c>
      <c r="BC146" s="47" t="n">
        <v>19.32200163385184</v>
      </c>
      <c r="BD146" s="47" t="n">
        <v>19.55084109454691</v>
      </c>
      <c r="BE146" s="47" t="n">
        <v>25.85003495569607</v>
      </c>
      <c r="BF146" s="47" t="n">
        <v>31.31988872786469</v>
      </c>
      <c r="BG146" s="47" t="n">
        <v>18.19954085915603</v>
      </c>
      <c r="BH146" s="47" t="n">
        <v>14.74195976774144</v>
      </c>
      <c r="BI146" s="47" t="n">
        <v>8.012383803091025</v>
      </c>
      <c r="BJ146" s="47" t="n">
        <v>10.84690942152956</v>
      </c>
      <c r="BK146" s="96" t="n"/>
      <c r="BL146" s="96" t="n"/>
      <c r="BM146" s="96" t="n"/>
      <c r="BN146" s="96" t="n"/>
      <c r="BO146" s="96" t="n"/>
      <c r="BP146" s="96" t="n"/>
      <c r="BQ146" s="96" t="n"/>
      <c r="BR146" s="96" t="n"/>
      <c r="BS146" s="96" t="n"/>
      <c r="BT146" s="96" t="n"/>
      <c r="BU146" s="96" t="n"/>
      <c r="BV146" s="96" t="n"/>
      <c r="BW146" s="96" t="n"/>
      <c r="BX146" s="96" t="n"/>
      <c r="BY146" s="96" t="n"/>
      <c r="BZ146" s="96" t="n"/>
      <c r="CA146" s="96" t="n"/>
      <c r="CB146" s="96" t="n"/>
      <c r="CC146" s="96" t="n"/>
      <c r="CD146" s="96" t="n"/>
      <c r="CE146" s="96" t="n"/>
      <c r="CF146" s="96" t="n"/>
      <c r="CG146" s="96" t="n"/>
      <c r="CH146" s="96" t="n"/>
      <c r="CI146" s="96" t="n"/>
      <c r="CJ146" s="96" t="n"/>
      <c r="CK146" s="96" t="n"/>
      <c r="CL146" s="96" t="n"/>
      <c r="CM146" s="96" t="n"/>
      <c r="CN146" s="96" t="n"/>
      <c r="CO146" s="96" t="n"/>
      <c r="CP146" s="96" t="n"/>
      <c r="CQ146" s="96" t="n"/>
      <c r="CR146" s="96" t="n"/>
      <c r="CS146" s="96" t="n"/>
      <c r="CT146" s="96" t="n"/>
      <c r="CU146" s="96" t="n"/>
      <c r="CV146" s="96" t="n"/>
      <c r="CW146" s="96" t="n"/>
      <c r="CX146" s="96" t="n"/>
      <c r="CY146" s="96" t="n"/>
      <c r="CZ146" s="96" t="n"/>
      <c r="DA146" s="96" t="n"/>
      <c r="DB146" s="96" t="n"/>
      <c r="DC146" s="96" t="n"/>
      <c r="DD146" s="96" t="n"/>
      <c r="DE146" s="96" t="n"/>
      <c r="DF146" s="96" t="n"/>
      <c r="DG146" s="96" t="n"/>
      <c r="DH146" s="96" t="n"/>
      <c r="DI146" s="96" t="n"/>
      <c r="DJ146" s="96" t="n"/>
      <c r="DK146" s="96" t="n"/>
      <c r="DL146" s="96" t="n"/>
      <c r="DM146" s="96" t="n"/>
      <c r="DN146" s="96" t="n"/>
      <c r="DO146" s="96" t="n"/>
      <c r="DP146" s="96" t="n"/>
      <c r="DQ146" s="96" t="n"/>
      <c r="DR146" s="96" t="n"/>
    </row>
    <row r="147" hidden="1" outlineLevel="1" ht="15.75" customHeight="1">
      <c r="B147" s="5" t="inlineStr">
        <is>
          <t>AAD</t>
        </is>
      </c>
      <c r="C147" s="68" t="inlineStr">
        <is>
          <t>Lower Middle Market</t>
        </is>
      </c>
      <c r="F147" s="46">
        <f>+SUMIFS($AA147:$DR147,$AA$7:$DR$7,F$7)</f>
        <v/>
      </c>
      <c r="G147" s="46">
        <f>+SUMIFS($AA147:$DR147,$AA$7:$DR$7,G$7)</f>
        <v/>
      </c>
      <c r="H147" s="46">
        <f>+SUMIFS($AA147:$DR147,$AA$7:$DR$7,H$7)</f>
        <v/>
      </c>
      <c r="I147" s="46">
        <f>+SUMIFS($AA147:$DR147,$AA$7:$DR$7,I$7)</f>
        <v/>
      </c>
      <c r="J147" s="46">
        <f>+SUMIFS($AA147:$DR147,$AA$7:$DR$7,J$7)</f>
        <v/>
      </c>
      <c r="K147" s="46">
        <f>+SUMIFS($AA147:$DR147,$AA$7:$DR$7,K$7)</f>
        <v/>
      </c>
      <c r="L147" s="46">
        <f>+SUMIFS($AA147:$DR147,$AA$7:$DR$7,L$7)</f>
        <v/>
      </c>
      <c r="M147" s="46">
        <f>+SUMIFS($AA147:$DR147,$AA$7:$DR$7,M$7)</f>
        <v/>
      </c>
      <c r="AA147" s="47" t="n">
        <v>0</v>
      </c>
      <c r="AB147" s="47" t="n">
        <v>0.2183096308582123</v>
      </c>
      <c r="AC147" s="47" t="n">
        <v>0</v>
      </c>
      <c r="AD147" s="47" t="n">
        <v>0</v>
      </c>
      <c r="AE147" s="47" t="n">
        <v>0</v>
      </c>
      <c r="AF147" s="47" t="n">
        <v>0</v>
      </c>
      <c r="AG147" s="47" t="n">
        <v>0</v>
      </c>
      <c r="AH147" s="47" t="n">
        <v>0.3849862545791551</v>
      </c>
      <c r="AI147" s="47" t="n">
        <v>0.8709326125724738</v>
      </c>
      <c r="AJ147" s="47" t="n">
        <v>0.02963208279028039</v>
      </c>
      <c r="AK147" s="47" t="n">
        <v>0</v>
      </c>
      <c r="AL147" s="47" t="n">
        <v>0.0560207027027027</v>
      </c>
      <c r="AM147" s="47" t="n">
        <v>0</v>
      </c>
      <c r="AN147" s="47" t="n">
        <v>0</v>
      </c>
      <c r="AO147" s="47" t="n">
        <v>0</v>
      </c>
      <c r="AP147" s="47" t="n">
        <v>0</v>
      </c>
      <c r="AQ147" s="47" t="n">
        <v>0</v>
      </c>
      <c r="AR147" s="47" t="n">
        <v>0</v>
      </c>
      <c r="AS147" s="47" t="n">
        <v>0</v>
      </c>
      <c r="AT147" s="47" t="n">
        <v>0</v>
      </c>
      <c r="AU147" s="47" t="n">
        <v>0</v>
      </c>
      <c r="AV147" s="47" t="n">
        <v>0</v>
      </c>
      <c r="AW147" s="47" t="n">
        <v>0</v>
      </c>
      <c r="AX147" s="47" t="n">
        <v>0</v>
      </c>
      <c r="AY147" s="47" t="n">
        <v>0</v>
      </c>
      <c r="AZ147" s="47" t="n">
        <v>0</v>
      </c>
      <c r="BA147" s="47" t="n">
        <v>0</v>
      </c>
      <c r="BB147" s="47" t="n">
        <v>0</v>
      </c>
      <c r="BC147" s="47" t="n">
        <v>0</v>
      </c>
      <c r="BD147" s="47" t="n">
        <v>0</v>
      </c>
      <c r="BE147" s="47" t="n">
        <v>0</v>
      </c>
      <c r="BF147" s="47" t="n">
        <v>0</v>
      </c>
      <c r="BG147" s="47" t="n">
        <v>0</v>
      </c>
      <c r="BH147" s="47" t="n">
        <v>0</v>
      </c>
      <c r="BI147" s="47" t="n">
        <v>0</v>
      </c>
      <c r="BJ147" s="47" t="n">
        <v>0</v>
      </c>
      <c r="BK147" s="96" t="n"/>
      <c r="BL147" s="96" t="n"/>
      <c r="BM147" s="96" t="n"/>
      <c r="BN147" s="96" t="n"/>
      <c r="BO147" s="96" t="n"/>
      <c r="BP147" s="96" t="n"/>
      <c r="BQ147" s="96" t="n"/>
      <c r="BR147" s="96" t="n"/>
      <c r="BS147" s="96" t="n"/>
      <c r="BT147" s="96" t="n"/>
      <c r="BU147" s="96" t="n"/>
      <c r="BV147" s="96" t="n"/>
      <c r="BW147" s="96" t="n"/>
      <c r="BX147" s="96" t="n"/>
      <c r="BY147" s="96" t="n"/>
      <c r="BZ147" s="96" t="n"/>
      <c r="CA147" s="96" t="n"/>
      <c r="CB147" s="96" t="n"/>
      <c r="CC147" s="96" t="n"/>
      <c r="CD147" s="96" t="n"/>
      <c r="CE147" s="96" t="n"/>
      <c r="CF147" s="96" t="n"/>
      <c r="CG147" s="96" t="n"/>
      <c r="CH147" s="96" t="n"/>
      <c r="CI147" s="96" t="n"/>
      <c r="CJ147" s="96" t="n"/>
      <c r="CK147" s="96" t="n"/>
      <c r="CL147" s="96" t="n"/>
      <c r="CM147" s="96" t="n"/>
      <c r="CN147" s="96" t="n"/>
      <c r="CO147" s="96" t="n"/>
      <c r="CP147" s="96" t="n"/>
      <c r="CQ147" s="96" t="n"/>
      <c r="CR147" s="96" t="n"/>
      <c r="CS147" s="96" t="n"/>
      <c r="CT147" s="96" t="n"/>
      <c r="CU147" s="96" t="n"/>
      <c r="CV147" s="96" t="n"/>
      <c r="CW147" s="96" t="n"/>
      <c r="CX147" s="96" t="n"/>
      <c r="CY147" s="96" t="n"/>
      <c r="CZ147" s="96" t="n"/>
      <c r="DA147" s="96" t="n"/>
      <c r="DB147" s="96" t="n"/>
      <c r="DC147" s="96" t="n"/>
      <c r="DD147" s="96" t="n"/>
      <c r="DE147" s="96" t="n"/>
      <c r="DF147" s="96" t="n"/>
      <c r="DG147" s="96" t="n"/>
      <c r="DH147" s="96" t="n"/>
      <c r="DI147" s="96" t="n"/>
      <c r="DJ147" s="96" t="n"/>
      <c r="DK147" s="96" t="n"/>
      <c r="DL147" s="96" t="n"/>
      <c r="DM147" s="96" t="n"/>
      <c r="DN147" s="96" t="n"/>
      <c r="DO147" s="96" t="n"/>
      <c r="DP147" s="96" t="n"/>
      <c r="DQ147" s="96" t="n"/>
      <c r="DR147" s="96" t="n"/>
    </row>
    <row r="148" hidden="1" outlineLevel="1" ht="15.75" customHeight="1">
      <c r="B148" s="5" t="inlineStr">
        <is>
          <t>ACP</t>
        </is>
      </c>
      <c r="C148" s="68" t="inlineStr">
        <is>
          <t>Lower Middle Market</t>
        </is>
      </c>
      <c r="F148" s="46">
        <f>+SUMIFS($AA148:$DR148,$AA$7:$DR$7,F$7)</f>
        <v/>
      </c>
      <c r="G148" s="46">
        <f>+SUMIFS($AA148:$DR148,$AA$7:$DR$7,G$7)</f>
        <v/>
      </c>
      <c r="H148" s="46">
        <f>+SUMIFS($AA148:$DR148,$AA$7:$DR$7,H$7)</f>
        <v/>
      </c>
      <c r="I148" s="46">
        <f>+SUMIFS($AA148:$DR148,$AA$7:$DR$7,I$7)</f>
        <v/>
      </c>
      <c r="J148" s="46">
        <f>+SUMIFS($AA148:$DR148,$AA$7:$DR$7,J$7)</f>
        <v/>
      </c>
      <c r="K148" s="46">
        <f>+SUMIFS($AA148:$DR148,$AA$7:$DR$7,K$7)</f>
        <v/>
      </c>
      <c r="L148" s="46">
        <f>+SUMIFS($AA148:$DR148,$AA$7:$DR$7,L$7)</f>
        <v/>
      </c>
      <c r="M148" s="46">
        <f>+SUMIFS($AA148:$DR148,$AA$7:$DR$7,M$7)</f>
        <v/>
      </c>
      <c r="AA148" s="47" t="n">
        <v>4.012016239609007</v>
      </c>
      <c r="AB148" s="47" t="n">
        <v>3.755794722547597</v>
      </c>
      <c r="AC148" s="47" t="n">
        <v>0.7610020959673891</v>
      </c>
      <c r="AD148" s="47" t="n">
        <v>1.366013339236632</v>
      </c>
      <c r="AE148" s="47" t="n">
        <v>0.6406632734406889</v>
      </c>
      <c r="AF148" s="47" t="n">
        <v>0.9950008703252159</v>
      </c>
      <c r="AG148" s="47" t="n">
        <v>1.358868316260893</v>
      </c>
      <c r="AH148" s="47" t="n">
        <v>1.614411817393608</v>
      </c>
      <c r="AI148" s="47" t="n">
        <v>1.226007645503654</v>
      </c>
      <c r="AJ148" s="47" t="n">
        <v>0.1322370746196015</v>
      </c>
      <c r="AK148" s="47" t="n">
        <v>0.03311624676590442</v>
      </c>
      <c r="AL148" s="47" t="n">
        <v>0</v>
      </c>
      <c r="AM148" s="47" t="n">
        <v>0.3132772797493527</v>
      </c>
      <c r="AN148" s="47" t="n">
        <v>0.1185219395552481</v>
      </c>
      <c r="AO148" s="47" t="n">
        <v>0.6627359817393694</v>
      </c>
      <c r="AP148" s="47" t="n">
        <v>0.04767030497237569</v>
      </c>
      <c r="AQ148" s="47" t="n">
        <v>3.72050017623551</v>
      </c>
      <c r="AR148" s="47" t="n">
        <v>0.71358895069242</v>
      </c>
      <c r="AS148" s="47" t="n">
        <v>0.3667118981461317</v>
      </c>
      <c r="AT148" s="47" t="n">
        <v>0.03882862964107575</v>
      </c>
      <c r="AU148" s="47" t="n">
        <v>0.005822248689711131</v>
      </c>
      <c r="AV148" s="47" t="n">
        <v>0</v>
      </c>
      <c r="AW148" s="47" t="n">
        <v>0</v>
      </c>
      <c r="AX148" s="47" t="n">
        <v>0</v>
      </c>
      <c r="AY148" s="47" t="n">
        <v>0</v>
      </c>
      <c r="AZ148" s="47" t="n">
        <v>0</v>
      </c>
      <c r="BA148" s="47" t="n">
        <v>0</v>
      </c>
      <c r="BB148" s="47" t="n">
        <v>0</v>
      </c>
      <c r="BC148" s="47" t="n">
        <v>0</v>
      </c>
      <c r="BD148" s="47" t="n">
        <v>0</v>
      </c>
      <c r="BE148" s="47" t="n">
        <v>0</v>
      </c>
      <c r="BF148" s="47" t="n">
        <v>0</v>
      </c>
      <c r="BG148" s="47" t="n">
        <v>0</v>
      </c>
      <c r="BH148" s="47" t="n">
        <v>0</v>
      </c>
      <c r="BI148" s="47" t="n">
        <v>0</v>
      </c>
      <c r="BJ148" s="47" t="n">
        <v>0</v>
      </c>
      <c r="BK148" s="96" t="n"/>
      <c r="BL148" s="96" t="n"/>
      <c r="BM148" s="96" t="n"/>
      <c r="BN148" s="96" t="n"/>
      <c r="BO148" s="96" t="n"/>
      <c r="BP148" s="96" t="n"/>
      <c r="BQ148" s="96" t="n"/>
      <c r="BR148" s="96" t="n"/>
      <c r="BS148" s="96" t="n"/>
      <c r="BT148" s="96" t="n"/>
      <c r="BU148" s="96" t="n"/>
      <c r="BV148" s="96" t="n"/>
      <c r="BW148" s="96" t="n"/>
      <c r="BX148" s="96" t="n"/>
      <c r="BY148" s="96" t="n"/>
      <c r="BZ148" s="96" t="n"/>
      <c r="CA148" s="96" t="n"/>
      <c r="CB148" s="96" t="n"/>
      <c r="CC148" s="96" t="n"/>
      <c r="CD148" s="96" t="n"/>
      <c r="CE148" s="96" t="n"/>
      <c r="CF148" s="96" t="n"/>
      <c r="CG148" s="96" t="n"/>
      <c r="CH148" s="96" t="n"/>
      <c r="CI148" s="96" t="n"/>
      <c r="CJ148" s="96" t="n"/>
      <c r="CK148" s="96" t="n"/>
      <c r="CL148" s="96" t="n"/>
      <c r="CM148" s="96" t="n"/>
      <c r="CN148" s="96" t="n"/>
      <c r="CO148" s="96" t="n"/>
      <c r="CP148" s="96" t="n"/>
      <c r="CQ148" s="96" t="n"/>
      <c r="CR148" s="96" t="n"/>
      <c r="CS148" s="96" t="n"/>
      <c r="CT148" s="96" t="n"/>
      <c r="CU148" s="96" t="n"/>
      <c r="CV148" s="96" t="n"/>
      <c r="CW148" s="96" t="n"/>
      <c r="CX148" s="96" t="n"/>
      <c r="CY148" s="96" t="n"/>
      <c r="CZ148" s="96" t="n"/>
      <c r="DA148" s="96" t="n"/>
      <c r="DB148" s="96" t="n"/>
      <c r="DC148" s="96" t="n"/>
      <c r="DD148" s="96" t="n"/>
      <c r="DE148" s="96" t="n"/>
      <c r="DF148" s="96" t="n"/>
      <c r="DG148" s="96" t="n"/>
      <c r="DH148" s="96" t="n"/>
      <c r="DI148" s="96" t="n"/>
      <c r="DJ148" s="96" t="n"/>
      <c r="DK148" s="96" t="n"/>
      <c r="DL148" s="96" t="n"/>
      <c r="DM148" s="96" t="n"/>
      <c r="DN148" s="96" t="n"/>
      <c r="DO148" s="96" t="n"/>
      <c r="DP148" s="96" t="n"/>
      <c r="DQ148" s="96" t="n"/>
      <c r="DR148" s="96" t="n"/>
    </row>
    <row r="149" hidden="1" outlineLevel="1" ht="15.75" customHeight="1">
      <c r="B149" s="5" t="inlineStr">
        <is>
          <t>AOA</t>
        </is>
      </c>
      <c r="C149" s="68" t="inlineStr">
        <is>
          <t>Lower Middle Market</t>
        </is>
      </c>
      <c r="F149" s="46">
        <f>+SUMIFS($AA149:$DR149,$AA$7:$DR$7,F$7)</f>
        <v/>
      </c>
      <c r="G149" s="46">
        <f>+SUMIFS($AA149:$DR149,$AA$7:$DR$7,G$7)</f>
        <v/>
      </c>
      <c r="H149" s="46">
        <f>+SUMIFS($AA149:$DR149,$AA$7:$DR$7,H$7)</f>
        <v/>
      </c>
      <c r="I149" s="46">
        <f>+SUMIFS($AA149:$DR149,$AA$7:$DR$7,I$7)</f>
        <v/>
      </c>
      <c r="J149" s="46">
        <f>+SUMIFS($AA149:$DR149,$AA$7:$DR$7,J$7)</f>
        <v/>
      </c>
      <c r="K149" s="46">
        <f>+SUMIFS($AA149:$DR149,$AA$7:$DR$7,K$7)</f>
        <v/>
      </c>
      <c r="L149" s="46">
        <f>+SUMIFS($AA149:$DR149,$AA$7:$DR$7,L$7)</f>
        <v/>
      </c>
      <c r="M149" s="46">
        <f>+SUMIFS($AA149:$DR149,$AA$7:$DR$7,M$7)</f>
        <v/>
      </c>
      <c r="AA149" s="47" t="n">
        <v>0.8961844129788992</v>
      </c>
      <c r="AB149" s="47" t="n">
        <v>0.01765426747585347</v>
      </c>
      <c r="AC149" s="47" t="n">
        <v>0.1693938525376658</v>
      </c>
      <c r="AD149" s="47" t="n">
        <v>0.03810073856620097</v>
      </c>
      <c r="AE149" s="47" t="n">
        <v>0.01260992259776745</v>
      </c>
      <c r="AF149" s="47" t="n">
        <v>0</v>
      </c>
      <c r="AG149" s="47" t="n">
        <v>0</v>
      </c>
      <c r="AH149" s="47" t="n">
        <v>0.2271919455113509</v>
      </c>
      <c r="AI149" s="47" t="n">
        <v>0.08293355107522439</v>
      </c>
      <c r="AJ149" s="47" t="n">
        <v>0</v>
      </c>
      <c r="AK149" s="47" t="n">
        <v>0</v>
      </c>
      <c r="AL149" s="47" t="n">
        <v>0</v>
      </c>
      <c r="AM149" s="47" t="n">
        <v>0.03247884945346476</v>
      </c>
      <c r="AN149" s="47" t="n">
        <v>0.1805743874852875</v>
      </c>
      <c r="AO149" s="47" t="n">
        <v>0.004271656172317175</v>
      </c>
      <c r="AP149" s="47" t="n">
        <v>0.9546365875299867</v>
      </c>
      <c r="AQ149" s="47" t="n">
        <v>0.1178711274432589</v>
      </c>
      <c r="AR149" s="47" t="n">
        <v>0.04119450143123967</v>
      </c>
      <c r="AS149" s="47" t="n">
        <v>0.005168439618547005</v>
      </c>
      <c r="AT149" s="47" t="n">
        <v>0.02775905116894952</v>
      </c>
      <c r="AU149" s="47" t="n">
        <v>0.0253287081571113</v>
      </c>
      <c r="AV149" s="47" t="n">
        <v>0.05625480518957349</v>
      </c>
      <c r="AW149" s="47" t="n">
        <v>0.08326013509582308</v>
      </c>
      <c r="AX149" s="47" t="n">
        <v>0.03824015711231281</v>
      </c>
      <c r="AY149" s="47" t="n">
        <v>0</v>
      </c>
      <c r="AZ149" s="47" t="n">
        <v>0.02291497099402614</v>
      </c>
      <c r="BA149" s="47" t="n">
        <v>0</v>
      </c>
      <c r="BB149" s="47" t="n">
        <v>0.107213479835519</v>
      </c>
      <c r="BC149" s="47" t="n">
        <v>0</v>
      </c>
      <c r="BD149" s="47" t="n">
        <v>0</v>
      </c>
      <c r="BE149" s="47" t="n">
        <v>0</v>
      </c>
      <c r="BF149" s="47" t="n">
        <v>0</v>
      </c>
      <c r="BG149" s="47" t="n">
        <v>0</v>
      </c>
      <c r="BH149" s="47" t="n">
        <v>0</v>
      </c>
      <c r="BI149" s="47" t="n">
        <v>0</v>
      </c>
      <c r="BJ149" s="47" t="n">
        <v>0</v>
      </c>
      <c r="BK149" s="96" t="n"/>
      <c r="BL149" s="96" t="n"/>
      <c r="BM149" s="96" t="n"/>
      <c r="BN149" s="96" t="n"/>
      <c r="BO149" s="96" t="n"/>
      <c r="BP149" s="96" t="n"/>
      <c r="BQ149" s="96" t="n"/>
      <c r="BR149" s="96" t="n"/>
      <c r="BS149" s="96" t="n"/>
      <c r="BT149" s="96" t="n"/>
      <c r="BU149" s="96" t="n"/>
      <c r="BV149" s="96" t="n"/>
      <c r="BW149" s="96" t="n"/>
      <c r="BX149" s="96" t="n"/>
      <c r="BY149" s="96" t="n"/>
      <c r="BZ149" s="96" t="n"/>
      <c r="CA149" s="96" t="n"/>
      <c r="CB149" s="96" t="n"/>
      <c r="CC149" s="96" t="n"/>
      <c r="CD149" s="96" t="n"/>
      <c r="CE149" s="96" t="n"/>
      <c r="CF149" s="96" t="n"/>
      <c r="CG149" s="96" t="n"/>
      <c r="CH149" s="96" t="n"/>
      <c r="CI149" s="96" t="n"/>
      <c r="CJ149" s="96" t="n"/>
      <c r="CK149" s="96" t="n"/>
      <c r="CL149" s="96" t="n"/>
      <c r="CM149" s="96" t="n"/>
      <c r="CN149" s="96" t="n"/>
      <c r="CO149" s="96" t="n"/>
      <c r="CP149" s="96" t="n"/>
      <c r="CQ149" s="96" t="n"/>
      <c r="CR149" s="96" t="n"/>
      <c r="CS149" s="96" t="n"/>
      <c r="CT149" s="96" t="n"/>
      <c r="CU149" s="96" t="n"/>
      <c r="CV149" s="96" t="n"/>
      <c r="CW149" s="96" t="n"/>
      <c r="CX149" s="96" t="n"/>
      <c r="CY149" s="96" t="n"/>
      <c r="CZ149" s="96" t="n"/>
      <c r="DA149" s="96" t="n"/>
      <c r="DB149" s="96" t="n"/>
      <c r="DC149" s="96" t="n"/>
      <c r="DD149" s="96" t="n"/>
      <c r="DE149" s="96" t="n"/>
      <c r="DF149" s="96" t="n"/>
      <c r="DG149" s="96" t="n"/>
      <c r="DH149" s="96" t="n"/>
      <c r="DI149" s="96" t="n"/>
      <c r="DJ149" s="96" t="n"/>
      <c r="DK149" s="96" t="n"/>
      <c r="DL149" s="96" t="n"/>
      <c r="DM149" s="96" t="n"/>
      <c r="DN149" s="96" t="n"/>
      <c r="DO149" s="96" t="n"/>
      <c r="DP149" s="96" t="n"/>
      <c r="DQ149" s="96" t="n"/>
      <c r="DR149" s="96" t="n"/>
    </row>
    <row r="150" hidden="1" outlineLevel="1" ht="15.75" customHeight="1">
      <c r="B150" s="5" t="inlineStr">
        <is>
          <t>ASHA</t>
        </is>
      </c>
      <c r="C150" s="68" t="inlineStr">
        <is>
          <t>Lower Middle Market</t>
        </is>
      </c>
      <c r="F150" s="46">
        <f>+SUMIFS($AA150:$DR150,$AA$7:$DR$7,F$7)</f>
        <v/>
      </c>
      <c r="G150" s="46">
        <f>+SUMIFS($AA150:$DR150,$AA$7:$DR$7,G$7)</f>
        <v/>
      </c>
      <c r="H150" s="46">
        <f>+SUMIFS($AA150:$DR150,$AA$7:$DR$7,H$7)</f>
        <v/>
      </c>
      <c r="I150" s="46">
        <f>+SUMIFS($AA150:$DR150,$AA$7:$DR$7,I$7)</f>
        <v/>
      </c>
      <c r="J150" s="46">
        <f>+SUMIFS($AA150:$DR150,$AA$7:$DR$7,J$7)</f>
        <v/>
      </c>
      <c r="K150" s="46">
        <f>+SUMIFS($AA150:$DR150,$AA$7:$DR$7,K$7)</f>
        <v/>
      </c>
      <c r="L150" s="46">
        <f>+SUMIFS($AA150:$DR150,$AA$7:$DR$7,L$7)</f>
        <v/>
      </c>
      <c r="M150" s="46">
        <f>+SUMIFS($AA150:$DR150,$AA$7:$DR$7,M$7)</f>
        <v/>
      </c>
      <c r="AA150" s="47" t="n">
        <v>0.5785830988671002</v>
      </c>
      <c r="AB150" s="47" t="n">
        <v>0.2827641419070618</v>
      </c>
      <c r="AC150" s="47" t="n">
        <v>0.07897003411928911</v>
      </c>
      <c r="AD150" s="47" t="n">
        <v>0.01056637523362142</v>
      </c>
      <c r="AE150" s="47" t="n">
        <v>0.1002834146341463</v>
      </c>
      <c r="AF150" s="47" t="n">
        <v>0</v>
      </c>
      <c r="AG150" s="47" t="n">
        <v>0</v>
      </c>
      <c r="AH150" s="47" t="n">
        <v>0</v>
      </c>
      <c r="AI150" s="47" t="n">
        <v>0</v>
      </c>
      <c r="AJ150" s="47" t="n">
        <v>0</v>
      </c>
      <c r="AK150" s="47" t="n">
        <v>0</v>
      </c>
      <c r="AL150" s="47" t="n">
        <v>0</v>
      </c>
      <c r="AM150" s="47" t="n">
        <v>0</v>
      </c>
      <c r="AN150" s="47" t="n">
        <v>0</v>
      </c>
      <c r="AO150" s="47" t="n">
        <v>0</v>
      </c>
      <c r="AP150" s="47" t="n">
        <v>0</v>
      </c>
      <c r="AQ150" s="47" t="n">
        <v>0</v>
      </c>
      <c r="AR150" s="47" t="n">
        <v>0</v>
      </c>
      <c r="AS150" s="47" t="n">
        <v>0</v>
      </c>
      <c r="AT150" s="47" t="n">
        <v>0</v>
      </c>
      <c r="AU150" s="47" t="n">
        <v>0</v>
      </c>
      <c r="AV150" s="47" t="n">
        <v>0</v>
      </c>
      <c r="AW150" s="47" t="n">
        <v>0</v>
      </c>
      <c r="AX150" s="47" t="n">
        <v>0</v>
      </c>
      <c r="AY150" s="47" t="n">
        <v>0</v>
      </c>
      <c r="AZ150" s="47" t="n">
        <v>0</v>
      </c>
      <c r="BA150" s="47" t="n">
        <v>0</v>
      </c>
      <c r="BB150" s="47" t="n">
        <v>0</v>
      </c>
      <c r="BC150" s="47" t="n">
        <v>0</v>
      </c>
      <c r="BD150" s="47" t="n">
        <v>0</v>
      </c>
      <c r="BE150" s="47" t="n">
        <v>0</v>
      </c>
      <c r="BF150" s="47" t="n">
        <v>0</v>
      </c>
      <c r="BG150" s="47" t="n">
        <v>0</v>
      </c>
      <c r="BH150" s="47" t="n">
        <v>0</v>
      </c>
      <c r="BI150" s="47" t="n">
        <v>0</v>
      </c>
      <c r="BJ150" s="47" t="n">
        <v>0</v>
      </c>
      <c r="BK150" s="96" t="n"/>
      <c r="BL150" s="96" t="n"/>
      <c r="BM150" s="96" t="n"/>
      <c r="BN150" s="96" t="n"/>
      <c r="BO150" s="96" t="n"/>
      <c r="BP150" s="96" t="n"/>
      <c r="BQ150" s="96" t="n"/>
      <c r="BR150" s="96" t="n"/>
      <c r="BS150" s="96" t="n"/>
      <c r="BT150" s="96" t="n"/>
      <c r="BU150" s="96" t="n"/>
      <c r="BV150" s="96" t="n"/>
      <c r="BW150" s="96" t="n"/>
      <c r="BX150" s="96" t="n"/>
      <c r="BY150" s="96" t="n"/>
      <c r="BZ150" s="96" t="n"/>
      <c r="CA150" s="96" t="n"/>
      <c r="CB150" s="96" t="n"/>
      <c r="CC150" s="96" t="n"/>
      <c r="CD150" s="96" t="n"/>
      <c r="CE150" s="96" t="n"/>
      <c r="CF150" s="96" t="n"/>
      <c r="CG150" s="96" t="n"/>
      <c r="CH150" s="96" t="n"/>
      <c r="CI150" s="96" t="n"/>
      <c r="CJ150" s="96" t="n"/>
      <c r="CK150" s="96" t="n"/>
      <c r="CL150" s="96" t="n"/>
      <c r="CM150" s="96" t="n"/>
      <c r="CN150" s="96" t="n"/>
      <c r="CO150" s="96" t="n"/>
      <c r="CP150" s="96" t="n"/>
      <c r="CQ150" s="96" t="n"/>
      <c r="CR150" s="96" t="n"/>
      <c r="CS150" s="96" t="n"/>
      <c r="CT150" s="96" t="n"/>
      <c r="CU150" s="96" t="n"/>
      <c r="CV150" s="96" t="n"/>
      <c r="CW150" s="96" t="n"/>
      <c r="CX150" s="96" t="n"/>
      <c r="CY150" s="96" t="n"/>
      <c r="CZ150" s="96" t="n"/>
      <c r="DA150" s="96" t="n"/>
      <c r="DB150" s="96" t="n"/>
      <c r="DC150" s="96" t="n"/>
      <c r="DD150" s="96" t="n"/>
      <c r="DE150" s="96" t="n"/>
      <c r="DF150" s="96" t="n"/>
      <c r="DG150" s="96" t="n"/>
      <c r="DH150" s="96" t="n"/>
      <c r="DI150" s="96" t="n"/>
      <c r="DJ150" s="96" t="n"/>
      <c r="DK150" s="96" t="n"/>
      <c r="DL150" s="96" t="n"/>
      <c r="DM150" s="96" t="n"/>
      <c r="DN150" s="96" t="n"/>
      <c r="DO150" s="96" t="n"/>
      <c r="DP150" s="96" t="n"/>
      <c r="DQ150" s="96" t="n"/>
      <c r="DR150" s="96" t="n"/>
    </row>
    <row r="151" hidden="1" outlineLevel="1" ht="15.75" customHeight="1">
      <c r="B151" s="5" t="inlineStr">
        <is>
          <t>ECRI</t>
        </is>
      </c>
      <c r="C151" s="68" t="inlineStr">
        <is>
          <t>Lower Middle Market</t>
        </is>
      </c>
      <c r="F151" s="46">
        <f>+SUMIFS($AA151:$DR151,$AA$7:$DR$7,F$7)</f>
        <v/>
      </c>
      <c r="G151" s="46">
        <f>+SUMIFS($AA151:$DR151,$AA$7:$DR$7,G$7)</f>
        <v/>
      </c>
      <c r="H151" s="46">
        <f>+SUMIFS($AA151:$DR151,$AA$7:$DR$7,H$7)</f>
        <v/>
      </c>
      <c r="I151" s="46">
        <f>+SUMIFS($AA151:$DR151,$AA$7:$DR$7,I$7)</f>
        <v/>
      </c>
      <c r="J151" s="46">
        <f>+SUMIFS($AA151:$DR151,$AA$7:$DR$7,J$7)</f>
        <v/>
      </c>
      <c r="K151" s="46">
        <f>+SUMIFS($AA151:$DR151,$AA$7:$DR$7,K$7)</f>
        <v/>
      </c>
      <c r="L151" s="46">
        <f>+SUMIFS($AA151:$DR151,$AA$7:$DR$7,L$7)</f>
        <v/>
      </c>
      <c r="M151" s="46">
        <f>+SUMIFS($AA151:$DR151,$AA$7:$DR$7,M$7)</f>
        <v/>
      </c>
      <c r="AA151" s="47" t="n">
        <v>0</v>
      </c>
      <c r="AB151" s="47" t="n">
        <v>0.06789884057971016</v>
      </c>
      <c r="AC151" s="47" t="n">
        <v>0.01336646219686163</v>
      </c>
      <c r="AD151" s="47" t="n">
        <v>0.0638275204359673</v>
      </c>
      <c r="AE151" s="47" t="n">
        <v>0</v>
      </c>
      <c r="AF151" s="47" t="n">
        <v>0.0141325641025641</v>
      </c>
      <c r="AG151" s="47" t="n">
        <v>0</v>
      </c>
      <c r="AH151" s="47" t="n">
        <v>0</v>
      </c>
      <c r="AI151" s="47" t="n">
        <v>0</v>
      </c>
      <c r="AJ151" s="47" t="n">
        <v>0.05051148874266433</v>
      </c>
      <c r="AK151" s="47" t="n">
        <v>0</v>
      </c>
      <c r="AL151" s="47" t="n">
        <v>0</v>
      </c>
      <c r="AM151" s="47" t="n">
        <v>0</v>
      </c>
      <c r="AN151" s="47" t="n">
        <v>0.09603352005260511</v>
      </c>
      <c r="AO151" s="47" t="n">
        <v>0</v>
      </c>
      <c r="AP151" s="47" t="n">
        <v>0.004521990580964876</v>
      </c>
      <c r="AQ151" s="47" t="n">
        <v>0.00938153999421628</v>
      </c>
      <c r="AR151" s="47" t="n">
        <v>0</v>
      </c>
      <c r="AS151" s="47" t="n">
        <v>0</v>
      </c>
      <c r="AT151" s="47" t="n">
        <v>0</v>
      </c>
      <c r="AU151" s="47" t="n">
        <v>0</v>
      </c>
      <c r="AV151" s="47" t="n">
        <v>0</v>
      </c>
      <c r="AW151" s="47" t="n">
        <v>0.03313163112063567</v>
      </c>
      <c r="AX151" s="47" t="n">
        <v>0.008639840301519076</v>
      </c>
      <c r="AY151" s="47" t="n">
        <v>0</v>
      </c>
      <c r="AZ151" s="47" t="n">
        <v>0</v>
      </c>
      <c r="BA151" s="47" t="n">
        <v>0</v>
      </c>
      <c r="BB151" s="47" t="n">
        <v>0</v>
      </c>
      <c r="BC151" s="47" t="n">
        <v>0</v>
      </c>
      <c r="BD151" s="47" t="n">
        <v>0</v>
      </c>
      <c r="BE151" s="47" t="n">
        <v>0</v>
      </c>
      <c r="BF151" s="47" t="n">
        <v>0</v>
      </c>
      <c r="BG151" s="47" t="n">
        <v>0</v>
      </c>
      <c r="BH151" s="47" t="n">
        <v>0</v>
      </c>
      <c r="BI151" s="47" t="n">
        <v>0</v>
      </c>
      <c r="BJ151" s="47" t="n">
        <v>0</v>
      </c>
      <c r="BK151" s="96" t="n"/>
      <c r="BL151" s="96" t="n"/>
      <c r="BM151" s="96" t="n"/>
      <c r="BN151" s="96" t="n"/>
      <c r="BO151" s="96" t="n"/>
      <c r="BP151" s="96" t="n"/>
      <c r="BQ151" s="96" t="n"/>
      <c r="BR151" s="96" t="n"/>
      <c r="BS151" s="96" t="n"/>
      <c r="BT151" s="96" t="n"/>
      <c r="BU151" s="96" t="n"/>
      <c r="BV151" s="96" t="n"/>
      <c r="BW151" s="96" t="n"/>
      <c r="BX151" s="96" t="n"/>
      <c r="BY151" s="96" t="n"/>
      <c r="BZ151" s="96" t="n"/>
      <c r="CA151" s="96" t="n"/>
      <c r="CB151" s="96" t="n"/>
      <c r="CC151" s="96" t="n"/>
      <c r="CD151" s="96" t="n"/>
      <c r="CE151" s="96" t="n"/>
      <c r="CF151" s="96" t="n"/>
      <c r="CG151" s="96" t="n"/>
      <c r="CH151" s="96" t="n"/>
      <c r="CI151" s="96" t="n"/>
      <c r="CJ151" s="96" t="n"/>
      <c r="CK151" s="96" t="n"/>
      <c r="CL151" s="96" t="n"/>
      <c r="CM151" s="96" t="n"/>
      <c r="CN151" s="96" t="n"/>
      <c r="CO151" s="96" t="n"/>
      <c r="CP151" s="96" t="n"/>
      <c r="CQ151" s="96" t="n"/>
      <c r="CR151" s="96" t="n"/>
      <c r="CS151" s="96" t="n"/>
      <c r="CT151" s="96" t="n"/>
      <c r="CU151" s="96" t="n"/>
      <c r="CV151" s="96" t="n"/>
      <c r="CW151" s="96" t="n"/>
      <c r="CX151" s="96" t="n"/>
      <c r="CY151" s="96" t="n"/>
      <c r="CZ151" s="96" t="n"/>
      <c r="DA151" s="96" t="n"/>
      <c r="DB151" s="96" t="n"/>
      <c r="DC151" s="96" t="n"/>
      <c r="DD151" s="96" t="n"/>
      <c r="DE151" s="96" t="n"/>
      <c r="DF151" s="96" t="n"/>
      <c r="DG151" s="96" t="n"/>
      <c r="DH151" s="96" t="n"/>
      <c r="DI151" s="96" t="n"/>
      <c r="DJ151" s="96" t="n"/>
      <c r="DK151" s="96" t="n"/>
      <c r="DL151" s="96" t="n"/>
      <c r="DM151" s="96" t="n"/>
      <c r="DN151" s="96" t="n"/>
      <c r="DO151" s="96" t="n"/>
      <c r="DP151" s="96" t="n"/>
      <c r="DQ151" s="96" t="n"/>
      <c r="DR151" s="96" t="n"/>
    </row>
    <row r="152" hidden="1" outlineLevel="1" ht="15.75" customHeight="1">
      <c r="B152" s="5" t="inlineStr">
        <is>
          <t>PCOUK</t>
        </is>
      </c>
      <c r="C152" s="68" t="inlineStr">
        <is>
          <t>Lower Middle Market</t>
        </is>
      </c>
      <c r="F152" s="46">
        <f>+SUMIFS($AA152:$DR152,$AA$7:$DR$7,F$7)</f>
        <v/>
      </c>
      <c r="G152" s="46">
        <f>+SUMIFS($AA152:$DR152,$AA$7:$DR$7,G$7)</f>
        <v/>
      </c>
      <c r="H152" s="46">
        <f>+SUMIFS($AA152:$DR152,$AA$7:$DR$7,H$7)</f>
        <v/>
      </c>
      <c r="I152" s="46">
        <f>+SUMIFS($AA152:$DR152,$AA$7:$DR$7,I$7)</f>
        <v/>
      </c>
      <c r="J152" s="46">
        <f>+SUMIFS($AA152:$DR152,$AA$7:$DR$7,J$7)</f>
        <v/>
      </c>
      <c r="K152" s="46">
        <f>+SUMIFS($AA152:$DR152,$AA$7:$DR$7,K$7)</f>
        <v/>
      </c>
      <c r="L152" s="46">
        <f>+SUMIFS($AA152:$DR152,$AA$7:$DR$7,L$7)</f>
        <v/>
      </c>
      <c r="M152" s="46">
        <f>+SUMIFS($AA152:$DR152,$AA$7:$DR$7,M$7)</f>
        <v/>
      </c>
      <c r="AA152" s="47" t="n">
        <v>0.01076936141304348</v>
      </c>
      <c r="AB152" s="47" t="n">
        <v>0.2759664504469209</v>
      </c>
      <c r="AC152" s="47" t="n">
        <v>0.1253456149182362</v>
      </c>
      <c r="AD152" s="47" t="n">
        <v>0</v>
      </c>
      <c r="AE152" s="47" t="n">
        <v>0.1053250028966855</v>
      </c>
      <c r="AF152" s="47" t="n">
        <v>0</v>
      </c>
      <c r="AG152" s="47" t="n">
        <v>0</v>
      </c>
      <c r="AH152" s="47" t="n">
        <v>0</v>
      </c>
      <c r="AI152" s="47" t="n">
        <v>0.004394859014236651</v>
      </c>
      <c r="AJ152" s="47" t="n">
        <v>0.1167425147163729</v>
      </c>
      <c r="AK152" s="47" t="n">
        <v>0</v>
      </c>
      <c r="AL152" s="47" t="n">
        <v>0</v>
      </c>
      <c r="AM152" s="47" t="n">
        <v>0</v>
      </c>
      <c r="AN152" s="47" t="n">
        <v>0.05113533121084631</v>
      </c>
      <c r="AO152" s="47" t="n">
        <v>0.13504269797544</v>
      </c>
      <c r="AP152" s="47" t="n">
        <v>0</v>
      </c>
      <c r="AQ152" s="47" t="n">
        <v>0.06660400406348556</v>
      </c>
      <c r="AR152" s="47" t="n">
        <v>0.1613535480993969</v>
      </c>
      <c r="AS152" s="47" t="n">
        <v>0.02760977983862628</v>
      </c>
      <c r="AT152" s="47" t="n">
        <v>0.6967920640381047</v>
      </c>
      <c r="AU152" s="47" t="n">
        <v>0.08759685596956121</v>
      </c>
      <c r="AV152" s="47" t="n">
        <v>0.1054367250907888</v>
      </c>
      <c r="AW152" s="47" t="n">
        <v>0.01476544913103012</v>
      </c>
      <c r="AX152" s="47" t="n">
        <v>0</v>
      </c>
      <c r="AY152" s="47" t="n">
        <v>0</v>
      </c>
      <c r="AZ152" s="47" t="n">
        <v>0</v>
      </c>
      <c r="BA152" s="47" t="n">
        <v>0</v>
      </c>
      <c r="BB152" s="47" t="n">
        <v>0</v>
      </c>
      <c r="BC152" s="47" t="n">
        <v>0</v>
      </c>
      <c r="BD152" s="47" t="n">
        <v>0</v>
      </c>
      <c r="BE152" s="47" t="n">
        <v>0</v>
      </c>
      <c r="BF152" s="47" t="n">
        <v>0</v>
      </c>
      <c r="BG152" s="47" t="n">
        <v>0</v>
      </c>
      <c r="BH152" s="47" t="n">
        <v>0</v>
      </c>
      <c r="BI152" s="47" t="n">
        <v>0</v>
      </c>
      <c r="BJ152" s="47" t="n">
        <v>0</v>
      </c>
      <c r="BK152" s="96" t="n"/>
      <c r="BL152" s="96" t="n"/>
      <c r="BM152" s="96" t="n"/>
      <c r="BN152" s="96" t="n"/>
      <c r="BO152" s="96" t="n"/>
      <c r="BP152" s="96" t="n"/>
      <c r="BQ152" s="96" t="n"/>
      <c r="BR152" s="96" t="n"/>
      <c r="BS152" s="96" t="n"/>
      <c r="BT152" s="96" t="n"/>
      <c r="BU152" s="96" t="n"/>
      <c r="BV152" s="96" t="n"/>
      <c r="BW152" s="96" t="n"/>
      <c r="BX152" s="96" t="n"/>
      <c r="BY152" s="96" t="n"/>
      <c r="BZ152" s="96" t="n"/>
      <c r="CA152" s="96" t="n"/>
      <c r="CB152" s="96" t="n"/>
      <c r="CC152" s="96" t="n"/>
      <c r="CD152" s="96" t="n"/>
      <c r="CE152" s="96" t="n"/>
      <c r="CF152" s="96" t="n"/>
      <c r="CG152" s="96" t="n"/>
      <c r="CH152" s="96" t="n"/>
      <c r="CI152" s="96" t="n"/>
      <c r="CJ152" s="96" t="n"/>
      <c r="CK152" s="96" t="n"/>
      <c r="CL152" s="96" t="n"/>
      <c r="CM152" s="96" t="n"/>
      <c r="CN152" s="96" t="n"/>
      <c r="CO152" s="96" t="n"/>
      <c r="CP152" s="96" t="n"/>
      <c r="CQ152" s="96" t="n"/>
      <c r="CR152" s="96" t="n"/>
      <c r="CS152" s="96" t="n"/>
      <c r="CT152" s="96" t="n"/>
      <c r="CU152" s="96" t="n"/>
      <c r="CV152" s="96" t="n"/>
      <c r="CW152" s="96" t="n"/>
      <c r="CX152" s="96" t="n"/>
      <c r="CY152" s="96" t="n"/>
      <c r="CZ152" s="96" t="n"/>
      <c r="DA152" s="96" t="n"/>
      <c r="DB152" s="96" t="n"/>
      <c r="DC152" s="96" t="n"/>
      <c r="DD152" s="96" t="n"/>
      <c r="DE152" s="96" t="n"/>
      <c r="DF152" s="96" t="n"/>
      <c r="DG152" s="96" t="n"/>
      <c r="DH152" s="96" t="n"/>
      <c r="DI152" s="96" t="n"/>
      <c r="DJ152" s="96" t="n"/>
      <c r="DK152" s="96" t="n"/>
      <c r="DL152" s="96" t="n"/>
      <c r="DM152" s="96" t="n"/>
      <c r="DN152" s="96" t="n"/>
      <c r="DO152" s="96" t="n"/>
      <c r="DP152" s="96" t="n"/>
      <c r="DQ152" s="96" t="n"/>
      <c r="DR152" s="96" t="n"/>
    </row>
    <row r="153" hidden="1" outlineLevel="1" ht="15.75" customHeight="1">
      <c r="B153" s="5" t="inlineStr">
        <is>
          <t>TISTA</t>
        </is>
      </c>
      <c r="C153" s="68" t="inlineStr">
        <is>
          <t>Lower Middle Market</t>
        </is>
      </c>
      <c r="F153" s="46">
        <f>+SUMIFS($AA153:$DR153,$AA$7:$DR$7,F$7)</f>
        <v/>
      </c>
      <c r="G153" s="46">
        <f>+SUMIFS($AA153:$DR153,$AA$7:$DR$7,G$7)</f>
        <v/>
      </c>
      <c r="H153" s="46">
        <f>+SUMIFS($AA153:$DR153,$AA$7:$DR$7,H$7)</f>
        <v/>
      </c>
      <c r="I153" s="46">
        <f>+SUMIFS($AA153:$DR153,$AA$7:$DR$7,I$7)</f>
        <v/>
      </c>
      <c r="J153" s="46">
        <f>+SUMIFS($AA153:$DR153,$AA$7:$DR$7,J$7)</f>
        <v/>
      </c>
      <c r="K153" s="46">
        <f>+SUMIFS($AA153:$DR153,$AA$7:$DR$7,K$7)</f>
        <v/>
      </c>
      <c r="L153" s="46">
        <f>+SUMIFS($AA153:$DR153,$AA$7:$DR$7,L$7)</f>
        <v/>
      </c>
      <c r="M153" s="46">
        <f>+SUMIFS($AA153:$DR153,$AA$7:$DR$7,M$7)</f>
        <v/>
      </c>
      <c r="AA153" s="47" t="n">
        <v>0</v>
      </c>
      <c r="AB153" s="47" t="n">
        <v>0</v>
      </c>
      <c r="AC153" s="47" t="n">
        <v>0</v>
      </c>
      <c r="AD153" s="47" t="n">
        <v>0</v>
      </c>
      <c r="AE153" s="47" t="n">
        <v>0</v>
      </c>
      <c r="AF153" s="47" t="n">
        <v>0</v>
      </c>
      <c r="AG153" s="47" t="n">
        <v>0</v>
      </c>
      <c r="AH153" s="47" t="n">
        <v>0</v>
      </c>
      <c r="AI153" s="47" t="n">
        <v>0</v>
      </c>
      <c r="AJ153" s="47" t="n">
        <v>0</v>
      </c>
      <c r="AK153" s="47" t="n">
        <v>0</v>
      </c>
      <c r="AL153" s="47" t="n">
        <v>0</v>
      </c>
      <c r="AM153" s="47" t="n">
        <v>0</v>
      </c>
      <c r="AN153" s="47" t="n">
        <v>0</v>
      </c>
      <c r="AO153" s="47" t="n">
        <v>0</v>
      </c>
      <c r="AP153" s="47" t="n">
        <v>0</v>
      </c>
      <c r="AQ153" s="47" t="n">
        <v>0</v>
      </c>
      <c r="AR153" s="47" t="n">
        <v>0</v>
      </c>
      <c r="AS153" s="47" t="n">
        <v>0</v>
      </c>
      <c r="AT153" s="47" t="n">
        <v>0</v>
      </c>
      <c r="AU153" s="47" t="n">
        <v>0</v>
      </c>
      <c r="AV153" s="47" t="n">
        <v>0</v>
      </c>
      <c r="AW153" s="47" t="n">
        <v>0</v>
      </c>
      <c r="AX153" s="47" t="n">
        <v>0</v>
      </c>
      <c r="AY153" s="47" t="n">
        <v>0</v>
      </c>
      <c r="AZ153" s="47" t="n">
        <v>0</v>
      </c>
      <c r="BA153" s="47" t="n">
        <v>0</v>
      </c>
      <c r="BB153" s="47" t="n">
        <v>0</v>
      </c>
      <c r="BC153" s="47" t="n">
        <v>0</v>
      </c>
      <c r="BD153" s="47" t="n">
        <v>0</v>
      </c>
      <c r="BE153" s="47" t="n">
        <v>0</v>
      </c>
      <c r="BF153" s="47" t="n">
        <v>0</v>
      </c>
      <c r="BG153" s="47" t="n">
        <v>0</v>
      </c>
      <c r="BH153" s="47" t="n">
        <v>0</v>
      </c>
      <c r="BI153" s="47" t="n">
        <v>0</v>
      </c>
      <c r="BJ153" s="47" t="n">
        <v>0</v>
      </c>
      <c r="BK153" s="96" t="n"/>
      <c r="BL153" s="96" t="n"/>
      <c r="BM153" s="96" t="n"/>
      <c r="BN153" s="96" t="n"/>
      <c r="BO153" s="96" t="n"/>
      <c r="BP153" s="96" t="n"/>
      <c r="BQ153" s="96" t="n"/>
      <c r="BR153" s="96" t="n"/>
      <c r="BS153" s="96" t="n"/>
      <c r="BT153" s="96" t="n"/>
      <c r="BU153" s="96" t="n"/>
      <c r="BV153" s="96" t="n"/>
      <c r="BW153" s="96" t="n"/>
      <c r="BX153" s="96" t="n"/>
      <c r="BY153" s="96" t="n"/>
      <c r="BZ153" s="96" t="n"/>
      <c r="CA153" s="96" t="n"/>
      <c r="CB153" s="96" t="n"/>
      <c r="CC153" s="96" t="n"/>
      <c r="CD153" s="96" t="n"/>
      <c r="CE153" s="96" t="n"/>
      <c r="CF153" s="96" t="n"/>
      <c r="CG153" s="96" t="n"/>
      <c r="CH153" s="96" t="n"/>
      <c r="CI153" s="96" t="n"/>
      <c r="CJ153" s="96" t="n"/>
      <c r="CK153" s="96" t="n"/>
      <c r="CL153" s="96" t="n"/>
      <c r="CM153" s="96" t="n"/>
      <c r="CN153" s="96" t="n"/>
      <c r="CO153" s="96" t="n"/>
      <c r="CP153" s="96" t="n"/>
      <c r="CQ153" s="96" t="n"/>
      <c r="CR153" s="96" t="n"/>
      <c r="CS153" s="96" t="n"/>
      <c r="CT153" s="96" t="n"/>
      <c r="CU153" s="96" t="n"/>
      <c r="CV153" s="96" t="n"/>
      <c r="CW153" s="96" t="n"/>
      <c r="CX153" s="96" t="n"/>
      <c r="CY153" s="96" t="n"/>
      <c r="CZ153" s="96" t="n"/>
      <c r="DA153" s="96" t="n"/>
      <c r="DB153" s="96" t="n"/>
      <c r="DC153" s="96" t="n"/>
      <c r="DD153" s="96" t="n"/>
      <c r="DE153" s="96" t="n"/>
      <c r="DF153" s="96" t="n"/>
      <c r="DG153" s="96" t="n"/>
      <c r="DH153" s="96" t="n"/>
      <c r="DI153" s="96" t="n"/>
      <c r="DJ153" s="96" t="n"/>
      <c r="DK153" s="96" t="n"/>
      <c r="DL153" s="96" t="n"/>
      <c r="DM153" s="96" t="n"/>
      <c r="DN153" s="96" t="n"/>
      <c r="DO153" s="96" t="n"/>
      <c r="DP153" s="96" t="n"/>
      <c r="DQ153" s="96" t="n"/>
      <c r="DR153" s="96" t="n"/>
    </row>
    <row r="154" hidden="1" outlineLevel="1" ht="15.75" customHeight="1">
      <c r="B154" s="5" t="inlineStr">
        <is>
          <t>UCSF</t>
        </is>
      </c>
      <c r="C154" s="68" t="inlineStr">
        <is>
          <t>Upper Middle Market</t>
        </is>
      </c>
      <c r="F154" s="46">
        <f>+SUMIFS($AA154:$DR154,$AA$7:$DR$7,F$7)</f>
        <v/>
      </c>
      <c r="G154" s="46">
        <f>+SUMIFS($AA154:$DR154,$AA$7:$DR$7,G$7)</f>
        <v/>
      </c>
      <c r="H154" s="46">
        <f>+SUMIFS($AA154:$DR154,$AA$7:$DR$7,H$7)</f>
        <v/>
      </c>
      <c r="I154" s="46">
        <f>+SUMIFS($AA154:$DR154,$AA$7:$DR$7,I$7)</f>
        <v/>
      </c>
      <c r="J154" s="46">
        <f>+SUMIFS($AA154:$DR154,$AA$7:$DR$7,J$7)</f>
        <v/>
      </c>
      <c r="K154" s="46">
        <f>+SUMIFS($AA154:$DR154,$AA$7:$DR$7,K$7)</f>
        <v/>
      </c>
      <c r="L154" s="46">
        <f>+SUMIFS($AA154:$DR154,$AA$7:$DR$7,L$7)</f>
        <v/>
      </c>
      <c r="M154" s="46">
        <f>+SUMIFS($AA154:$DR154,$AA$7:$DR$7,M$7)</f>
        <v/>
      </c>
      <c r="AA154" s="47" t="n">
        <v>2.365478116937559</v>
      </c>
      <c r="AB154" s="47" t="n">
        <v>2.634660855745496</v>
      </c>
      <c r="AC154" s="47" t="n">
        <v>4.416425242950076</v>
      </c>
      <c r="AD154" s="47" t="n">
        <v>4.281267168775767</v>
      </c>
      <c r="AE154" s="47" t="n">
        <v>2.825448276179755</v>
      </c>
      <c r="AF154" s="47" t="n">
        <v>3.049920121561473</v>
      </c>
      <c r="AG154" s="47" t="n">
        <v>4.058900234367045</v>
      </c>
      <c r="AH154" s="47" t="n">
        <v>4.286737358913934</v>
      </c>
      <c r="AI154" s="47" t="n">
        <v>4.217982619196158</v>
      </c>
      <c r="AJ154" s="47" t="n">
        <v>0.0621750506471535</v>
      </c>
      <c r="AK154" s="47" t="n">
        <v>0</v>
      </c>
      <c r="AL154" s="47" t="n">
        <v>0</v>
      </c>
      <c r="AM154" s="47" t="n">
        <v>0</v>
      </c>
      <c r="AN154" s="47" t="n">
        <v>0</v>
      </c>
      <c r="AO154" s="47" t="n">
        <v>0</v>
      </c>
      <c r="AP154" s="47" t="n">
        <v>0</v>
      </c>
      <c r="AQ154" s="47" t="n">
        <v>0</v>
      </c>
      <c r="AR154" s="47" t="n">
        <v>0</v>
      </c>
      <c r="AS154" s="47" t="n">
        <v>0</v>
      </c>
      <c r="AT154" s="47" t="n">
        <v>0</v>
      </c>
      <c r="AU154" s="47" t="n">
        <v>0</v>
      </c>
      <c r="AV154" s="47" t="n">
        <v>0</v>
      </c>
      <c r="AW154" s="47" t="n">
        <v>0</v>
      </c>
      <c r="AX154" s="47" t="n">
        <v>0</v>
      </c>
      <c r="AY154" s="47" t="n">
        <v>0</v>
      </c>
      <c r="AZ154" s="47" t="n">
        <v>0</v>
      </c>
      <c r="BA154" s="47" t="n">
        <v>0</v>
      </c>
      <c r="BB154" s="47" t="n">
        <v>0</v>
      </c>
      <c r="BC154" s="47" t="n">
        <v>0</v>
      </c>
      <c r="BD154" s="47" t="n">
        <v>0</v>
      </c>
      <c r="BE154" s="47" t="n">
        <v>0</v>
      </c>
      <c r="BF154" s="47" t="n">
        <v>0</v>
      </c>
      <c r="BG154" s="47" t="n">
        <v>0</v>
      </c>
      <c r="BH154" s="47" t="n">
        <v>0</v>
      </c>
      <c r="BI154" s="47" t="n">
        <v>0</v>
      </c>
      <c r="BJ154" s="47" t="n">
        <v>0</v>
      </c>
      <c r="BK154" s="96" t="n"/>
      <c r="BL154" s="96" t="n"/>
      <c r="BM154" s="96" t="n"/>
      <c r="BN154" s="96" t="n"/>
      <c r="BO154" s="96" t="n"/>
      <c r="BP154" s="96" t="n"/>
      <c r="BQ154" s="96" t="n"/>
      <c r="BR154" s="96" t="n"/>
      <c r="BS154" s="96" t="n"/>
      <c r="BT154" s="96" t="n"/>
      <c r="BU154" s="96" t="n"/>
      <c r="BV154" s="96" t="n"/>
      <c r="BW154" s="96" t="n"/>
      <c r="BX154" s="96" t="n"/>
      <c r="BY154" s="96" t="n"/>
      <c r="BZ154" s="96" t="n"/>
      <c r="CA154" s="96" t="n"/>
      <c r="CB154" s="96" t="n"/>
      <c r="CC154" s="96" t="n"/>
      <c r="CD154" s="96" t="n"/>
      <c r="CE154" s="96" t="n"/>
      <c r="CF154" s="96" t="n"/>
      <c r="CG154" s="96" t="n"/>
      <c r="CH154" s="96" t="n"/>
      <c r="CI154" s="96" t="n"/>
      <c r="CJ154" s="96" t="n"/>
      <c r="CK154" s="96" t="n"/>
      <c r="CL154" s="96" t="n"/>
      <c r="CM154" s="96" t="n"/>
      <c r="CN154" s="96" t="n"/>
      <c r="CO154" s="96" t="n"/>
      <c r="CP154" s="96" t="n"/>
      <c r="CQ154" s="96" t="n"/>
      <c r="CR154" s="96" t="n"/>
      <c r="CS154" s="96" t="n"/>
      <c r="CT154" s="96" t="n"/>
      <c r="CU154" s="96" t="n"/>
      <c r="CV154" s="96" t="n"/>
      <c r="CW154" s="96" t="n"/>
      <c r="CX154" s="96" t="n"/>
      <c r="CY154" s="96" t="n"/>
      <c r="CZ154" s="96" t="n"/>
      <c r="DA154" s="96" t="n"/>
      <c r="DB154" s="96" t="n"/>
      <c r="DC154" s="96" t="n"/>
      <c r="DD154" s="96" t="n"/>
      <c r="DE154" s="96" t="n"/>
      <c r="DF154" s="96" t="n"/>
      <c r="DG154" s="96" t="n"/>
      <c r="DH154" s="96" t="n"/>
      <c r="DI154" s="96" t="n"/>
      <c r="DJ154" s="96" t="n"/>
      <c r="DK154" s="96" t="n"/>
      <c r="DL154" s="96" t="n"/>
      <c r="DM154" s="96" t="n"/>
      <c r="DN154" s="96" t="n"/>
      <c r="DO154" s="96" t="n"/>
      <c r="DP154" s="96" t="n"/>
      <c r="DQ154" s="96" t="n"/>
      <c r="DR154" s="96" t="n"/>
    </row>
    <row r="155" hidden="1" outlineLevel="1" ht="15.75" customHeight="1">
      <c r="B155" s="5" t="inlineStr">
        <is>
          <t>OTHER</t>
        </is>
      </c>
      <c r="C155" s="68" t="inlineStr">
        <is>
          <t>Lower Middle Market</t>
        </is>
      </c>
      <c r="F155" s="46">
        <f>+SUMIFS($AA155:$DR155,$AA$7:$DR$7,F$7)</f>
        <v/>
      </c>
      <c r="G155" s="46">
        <f>+SUMIFS($AA155:$DR155,$AA$7:$DR$7,G$7)</f>
        <v/>
      </c>
      <c r="H155" s="46">
        <f>+SUMIFS($AA155:$DR155,$AA$7:$DR$7,H$7)</f>
        <v/>
      </c>
      <c r="I155" s="46">
        <f>+SUMIFS($AA155:$DR155,$AA$7:$DR$7,I$7)</f>
        <v/>
      </c>
      <c r="J155" s="46">
        <f>+SUMIFS($AA155:$DR155,$AA$7:$DR$7,J$7)</f>
        <v/>
      </c>
      <c r="K155" s="46">
        <f>+SUMIFS($AA155:$DR155,$AA$7:$DR$7,K$7)</f>
        <v/>
      </c>
      <c r="L155" s="46">
        <f>+SUMIFS($AA155:$DR155,$AA$7:$DR$7,L$7)</f>
        <v/>
      </c>
      <c r="M155" s="46">
        <f>+SUMIFS($AA155:$DR155,$AA$7:$DR$7,M$7)</f>
        <v/>
      </c>
      <c r="AA155" s="47" t="n">
        <v>0</v>
      </c>
      <c r="AB155" s="47" t="n">
        <v>0</v>
      </c>
      <c r="AC155" s="47" t="n">
        <v>0</v>
      </c>
      <c r="AD155" s="47" t="n">
        <v>0</v>
      </c>
      <c r="AE155" s="47" t="n">
        <v>0</v>
      </c>
      <c r="AF155" s="47" t="n">
        <v>0</v>
      </c>
      <c r="AG155" s="47" t="n">
        <v>0</v>
      </c>
      <c r="AH155" s="47" t="n">
        <v>0</v>
      </c>
      <c r="AI155" s="47" t="n">
        <v>0</v>
      </c>
      <c r="AJ155" s="47" t="n">
        <v>0</v>
      </c>
      <c r="AK155" s="47" t="n">
        <v>0</v>
      </c>
      <c r="AL155" s="47" t="n">
        <v>0</v>
      </c>
      <c r="AM155" s="47" t="n">
        <v>0</v>
      </c>
      <c r="AN155" s="47" t="n">
        <v>0</v>
      </c>
      <c r="AO155" s="47" t="n">
        <v>0</v>
      </c>
      <c r="AP155" s="47" t="n">
        <v>0</v>
      </c>
      <c r="AQ155" s="47" t="n">
        <v>0</v>
      </c>
      <c r="AR155" s="47" t="n">
        <v>0</v>
      </c>
      <c r="AS155" s="47" t="n">
        <v>0</v>
      </c>
      <c r="AT155" s="47" t="n">
        <v>0</v>
      </c>
      <c r="AU155" s="47" t="n">
        <v>0</v>
      </c>
      <c r="AV155" s="47" t="n">
        <v>0</v>
      </c>
      <c r="AW155" s="47" t="n">
        <v>0</v>
      </c>
      <c r="AX155" s="47" t="n">
        <v>0</v>
      </c>
      <c r="AY155" s="47" t="n">
        <v>0</v>
      </c>
      <c r="AZ155" s="47" t="n">
        <v>0</v>
      </c>
      <c r="BA155" s="47" t="n">
        <v>0</v>
      </c>
      <c r="BB155" s="47" t="n">
        <v>0</v>
      </c>
      <c r="BC155" s="47" t="n">
        <v>0</v>
      </c>
      <c r="BD155" s="47" t="n">
        <v>0</v>
      </c>
      <c r="BE155" s="47" t="n">
        <v>0</v>
      </c>
      <c r="BF155" s="47" t="n">
        <v>0</v>
      </c>
      <c r="BG155" s="47" t="n">
        <v>0</v>
      </c>
      <c r="BH155" s="47" t="n">
        <v>0</v>
      </c>
      <c r="BI155" s="47" t="n">
        <v>0</v>
      </c>
      <c r="BJ155" s="47" t="n">
        <v>0</v>
      </c>
      <c r="BK155" s="96" t="n"/>
      <c r="BL155" s="96" t="n"/>
      <c r="BM155" s="96" t="n"/>
      <c r="BN155" s="96" t="n"/>
      <c r="BO155" s="96" t="n"/>
      <c r="BP155" s="96" t="n"/>
      <c r="BQ155" s="96" t="n"/>
      <c r="BR155" s="96" t="n"/>
      <c r="BS155" s="96" t="n"/>
      <c r="BT155" s="96" t="n"/>
      <c r="BU155" s="96" t="n"/>
      <c r="BV155" s="96" t="n"/>
      <c r="BW155" s="96" t="n"/>
      <c r="BX155" s="96" t="n"/>
      <c r="BY155" s="96" t="n"/>
      <c r="BZ155" s="96" t="n"/>
      <c r="CA155" s="96" t="n"/>
      <c r="CB155" s="96" t="n"/>
      <c r="CC155" s="96" t="n"/>
      <c r="CD155" s="96" t="n"/>
      <c r="CE155" s="96" t="n"/>
      <c r="CF155" s="96" t="n"/>
      <c r="CG155" s="96" t="n"/>
      <c r="CH155" s="96" t="n"/>
      <c r="CI155" s="96" t="n"/>
      <c r="CJ155" s="96" t="n"/>
      <c r="CK155" s="96" t="n"/>
      <c r="CL155" s="96" t="n"/>
      <c r="CM155" s="96" t="n"/>
      <c r="CN155" s="96" t="n"/>
      <c r="CO155" s="96" t="n"/>
      <c r="CP155" s="96" t="n"/>
      <c r="CQ155" s="96" t="n"/>
      <c r="CR155" s="96" t="n"/>
      <c r="CS155" s="96" t="n"/>
      <c r="CT155" s="96" t="n"/>
      <c r="CU155" s="96" t="n"/>
      <c r="CV155" s="96" t="n"/>
      <c r="CW155" s="96" t="n"/>
      <c r="CX155" s="96" t="n"/>
      <c r="CY155" s="96" t="n"/>
      <c r="CZ155" s="96" t="n"/>
      <c r="DA155" s="96" t="n"/>
      <c r="DB155" s="96" t="n"/>
      <c r="DC155" s="96" t="n"/>
      <c r="DD155" s="96" t="n"/>
      <c r="DE155" s="96" t="n"/>
      <c r="DF155" s="96" t="n"/>
      <c r="DG155" s="96" t="n"/>
      <c r="DH155" s="96" t="n"/>
      <c r="DI155" s="96" t="n"/>
      <c r="DJ155" s="96" t="n"/>
      <c r="DK155" s="96" t="n"/>
      <c r="DL155" s="96" t="n"/>
      <c r="DM155" s="96" t="n"/>
      <c r="DN155" s="96" t="n"/>
      <c r="DO155" s="96" t="n"/>
      <c r="DP155" s="96" t="n"/>
      <c r="DQ155" s="96" t="n"/>
      <c r="DR155" s="96" t="n"/>
    </row>
    <row r="156" hidden="1" outlineLevel="1" ht="15.75" customHeight="1">
      <c r="B156" s="5" t="inlineStr">
        <is>
          <t>AAAS</t>
        </is>
      </c>
      <c r="C156" s="68" t="inlineStr">
        <is>
          <t>Lower Middle Market</t>
        </is>
      </c>
      <c r="F156" s="46">
        <f>+SUMIFS($AA156:$DR156,$AA$7:$DR$7,F$7)</f>
        <v/>
      </c>
      <c r="G156" s="46">
        <f>+SUMIFS($AA156:$DR156,$AA$7:$DR$7,G$7)</f>
        <v/>
      </c>
      <c r="H156" s="46">
        <f>+SUMIFS($AA156:$DR156,$AA$7:$DR$7,H$7)</f>
        <v/>
      </c>
      <c r="I156" s="46">
        <f>+SUMIFS($AA156:$DR156,$AA$7:$DR$7,I$7)</f>
        <v/>
      </c>
      <c r="J156" s="46">
        <f>+SUMIFS($AA156:$DR156,$AA$7:$DR$7,J$7)</f>
        <v/>
      </c>
      <c r="K156" s="46">
        <f>+SUMIFS($AA156:$DR156,$AA$7:$DR$7,K$7)</f>
        <v/>
      </c>
      <c r="L156" s="46">
        <f>+SUMIFS($AA156:$DR156,$AA$7:$DR$7,L$7)</f>
        <v/>
      </c>
      <c r="M156" s="46">
        <f>+SUMIFS($AA156:$DR156,$AA$7:$DR$7,M$7)</f>
        <v/>
      </c>
      <c r="AA156" s="47" t="n">
        <v>0</v>
      </c>
      <c r="AB156" s="47" t="n">
        <v>0</v>
      </c>
      <c r="AC156" s="47" t="n">
        <v>0</v>
      </c>
      <c r="AD156" s="47" t="n">
        <v>0</v>
      </c>
      <c r="AE156" s="47" t="n">
        <v>0</v>
      </c>
      <c r="AF156" s="47" t="n">
        <v>0</v>
      </c>
      <c r="AG156" s="47" t="n">
        <v>0</v>
      </c>
      <c r="AH156" s="47" t="n">
        <v>0</v>
      </c>
      <c r="AI156" s="47" t="n">
        <v>0</v>
      </c>
      <c r="AJ156" s="47" t="n">
        <v>0</v>
      </c>
      <c r="AK156" s="47" t="n">
        <v>0</v>
      </c>
      <c r="AL156" s="47" t="n">
        <v>0</v>
      </c>
      <c r="AM156" s="47" t="n">
        <v>0</v>
      </c>
      <c r="AN156" s="47" t="n">
        <v>0</v>
      </c>
      <c r="AO156" s="47" t="n">
        <v>0</v>
      </c>
      <c r="AP156" s="47" t="n">
        <v>0</v>
      </c>
      <c r="AQ156" s="47" t="n">
        <v>0</v>
      </c>
      <c r="AR156" s="47" t="n">
        <v>0</v>
      </c>
      <c r="AS156" s="47" t="n">
        <v>0</v>
      </c>
      <c r="AT156" s="47" t="n">
        <v>0</v>
      </c>
      <c r="AU156" s="47" t="n">
        <v>0</v>
      </c>
      <c r="AV156" s="47" t="n">
        <v>0</v>
      </c>
      <c r="AW156" s="47" t="n">
        <v>0</v>
      </c>
      <c r="AX156" s="47" t="n">
        <v>0</v>
      </c>
      <c r="AY156" s="47" t="n">
        <v>0</v>
      </c>
      <c r="AZ156" s="47" t="n">
        <v>0</v>
      </c>
      <c r="BA156" s="47" t="n">
        <v>0</v>
      </c>
      <c r="BB156" s="47" t="n">
        <v>0</v>
      </c>
      <c r="BC156" s="47" t="n">
        <v>0</v>
      </c>
      <c r="BD156" s="47" t="n">
        <v>0</v>
      </c>
      <c r="BE156" s="47" t="n">
        <v>0</v>
      </c>
      <c r="BF156" s="47" t="n">
        <v>0</v>
      </c>
      <c r="BG156" s="47" t="n">
        <v>0</v>
      </c>
      <c r="BH156" s="47" t="n">
        <v>0</v>
      </c>
      <c r="BI156" s="47" t="n">
        <v>0</v>
      </c>
      <c r="BJ156" s="47" t="n">
        <v>0</v>
      </c>
      <c r="BK156" s="96" t="n"/>
      <c r="BL156" s="96" t="n"/>
      <c r="BM156" s="96" t="n"/>
      <c r="BN156" s="96" t="n"/>
      <c r="BO156" s="96" t="n"/>
      <c r="BP156" s="96" t="n"/>
      <c r="BQ156" s="96" t="n"/>
      <c r="BR156" s="96" t="n"/>
      <c r="BS156" s="96" t="n"/>
      <c r="BT156" s="96" t="n"/>
      <c r="BU156" s="96" t="n"/>
      <c r="BV156" s="96" t="n"/>
      <c r="BW156" s="96" t="n"/>
      <c r="BX156" s="96" t="n"/>
      <c r="BY156" s="96" t="n"/>
      <c r="BZ156" s="96" t="n"/>
      <c r="CA156" s="96" t="n"/>
      <c r="CB156" s="96" t="n"/>
      <c r="CC156" s="96" t="n"/>
      <c r="CD156" s="96" t="n"/>
      <c r="CE156" s="96" t="n"/>
      <c r="CF156" s="96" t="n"/>
      <c r="CG156" s="96" t="n"/>
      <c r="CH156" s="96" t="n"/>
      <c r="CI156" s="96" t="n"/>
      <c r="CJ156" s="96" t="n"/>
      <c r="CK156" s="96" t="n"/>
      <c r="CL156" s="96" t="n"/>
      <c r="CM156" s="96" t="n"/>
      <c r="CN156" s="96" t="n"/>
      <c r="CO156" s="96" t="n"/>
      <c r="CP156" s="96" t="n"/>
      <c r="CQ156" s="96" t="n"/>
      <c r="CR156" s="96" t="n"/>
      <c r="CS156" s="96" t="n"/>
      <c r="CT156" s="96" t="n"/>
      <c r="CU156" s="96" t="n"/>
      <c r="CV156" s="96" t="n"/>
      <c r="CW156" s="96" t="n"/>
      <c r="CX156" s="96" t="n"/>
      <c r="CY156" s="96" t="n"/>
      <c r="CZ156" s="96" t="n"/>
      <c r="DA156" s="96" t="n"/>
      <c r="DB156" s="96" t="n"/>
      <c r="DC156" s="96" t="n"/>
      <c r="DD156" s="96" t="n"/>
      <c r="DE156" s="96" t="n"/>
      <c r="DF156" s="96" t="n"/>
      <c r="DG156" s="96" t="n"/>
      <c r="DH156" s="96" t="n"/>
      <c r="DI156" s="96" t="n"/>
      <c r="DJ156" s="96" t="n"/>
      <c r="DK156" s="96" t="n"/>
      <c r="DL156" s="96" t="n"/>
      <c r="DM156" s="96" t="n"/>
      <c r="DN156" s="96" t="n"/>
      <c r="DO156" s="96" t="n"/>
      <c r="DP156" s="96" t="n"/>
      <c r="DQ156" s="96" t="n"/>
      <c r="DR156" s="96" t="n"/>
    </row>
    <row r="157" hidden="1" outlineLevel="1" ht="15.75" customHeight="1">
      <c r="B157" s="5" t="inlineStr">
        <is>
          <t>EL</t>
        </is>
      </c>
      <c r="C157" s="68" t="inlineStr">
        <is>
          <t>Lower Middle Market</t>
        </is>
      </c>
      <c r="F157" s="46">
        <f>+SUMIFS($AA157:$DR157,$AA$7:$DR$7,F$7)</f>
        <v/>
      </c>
      <c r="G157" s="46">
        <f>+SUMIFS($AA157:$DR157,$AA$7:$DR$7,G$7)</f>
        <v/>
      </c>
      <c r="H157" s="46">
        <f>+SUMIFS($AA157:$DR157,$AA$7:$DR$7,H$7)</f>
        <v/>
      </c>
      <c r="I157" s="46">
        <f>+SUMIFS($AA157:$DR157,$AA$7:$DR$7,I$7)</f>
        <v/>
      </c>
      <c r="J157" s="46">
        <f>+SUMIFS($AA157:$DR157,$AA$7:$DR$7,J$7)</f>
        <v/>
      </c>
      <c r="K157" s="46">
        <f>+SUMIFS($AA157:$DR157,$AA$7:$DR$7,K$7)</f>
        <v/>
      </c>
      <c r="L157" s="46">
        <f>+SUMIFS($AA157:$DR157,$AA$7:$DR$7,L$7)</f>
        <v/>
      </c>
      <c r="M157" s="46">
        <f>+SUMIFS($AA157:$DR157,$AA$7:$DR$7,M$7)</f>
        <v/>
      </c>
      <c r="AA157" s="47" t="n">
        <v>0</v>
      </c>
      <c r="AB157" s="47" t="n">
        <v>0</v>
      </c>
      <c r="AC157" s="47" t="n">
        <v>0</v>
      </c>
      <c r="AD157" s="47" t="n">
        <v>0</v>
      </c>
      <c r="AE157" s="47" t="n">
        <v>0</v>
      </c>
      <c r="AF157" s="47" t="n">
        <v>0</v>
      </c>
      <c r="AG157" s="47" t="n">
        <v>0</v>
      </c>
      <c r="AH157" s="47" t="n">
        <v>0</v>
      </c>
      <c r="AI157" s="47" t="n">
        <v>0</v>
      </c>
      <c r="AJ157" s="47" t="n">
        <v>0</v>
      </c>
      <c r="AK157" s="47" t="n">
        <v>0</v>
      </c>
      <c r="AL157" s="47" t="n">
        <v>0</v>
      </c>
      <c r="AM157" s="47" t="n">
        <v>0</v>
      </c>
      <c r="AN157" s="47" t="n">
        <v>0</v>
      </c>
      <c r="AO157" s="47" t="n">
        <v>0</v>
      </c>
      <c r="AP157" s="47" t="n">
        <v>0</v>
      </c>
      <c r="AQ157" s="47" t="n">
        <v>0</v>
      </c>
      <c r="AR157" s="47" t="n">
        <v>0</v>
      </c>
      <c r="AS157" s="47" t="n">
        <v>0</v>
      </c>
      <c r="AT157" s="47" t="n">
        <v>0</v>
      </c>
      <c r="AU157" s="47" t="n">
        <v>0</v>
      </c>
      <c r="AV157" s="47" t="n">
        <v>0</v>
      </c>
      <c r="AW157" s="47" t="n">
        <v>0</v>
      </c>
      <c r="AX157" s="47" t="n">
        <v>0</v>
      </c>
      <c r="AY157" s="47" t="n">
        <v>0</v>
      </c>
      <c r="AZ157" s="47" t="n">
        <v>0</v>
      </c>
      <c r="BA157" s="47" t="n">
        <v>0</v>
      </c>
      <c r="BB157" s="47" t="n">
        <v>0</v>
      </c>
      <c r="BC157" s="47" t="n">
        <v>0</v>
      </c>
      <c r="BD157" s="47" t="n">
        <v>0</v>
      </c>
      <c r="BE157" s="47" t="n">
        <v>0</v>
      </c>
      <c r="BF157" s="47" t="n">
        <v>0</v>
      </c>
      <c r="BG157" s="47" t="n">
        <v>0</v>
      </c>
      <c r="BH157" s="47" t="n">
        <v>0</v>
      </c>
      <c r="BI157" s="47" t="n">
        <v>0</v>
      </c>
      <c r="BJ157" s="47" t="n">
        <v>0</v>
      </c>
      <c r="BK157" s="96" t="n"/>
      <c r="BL157" s="96" t="n"/>
      <c r="BM157" s="96" t="n"/>
      <c r="BN157" s="96" t="n"/>
      <c r="BO157" s="96" t="n"/>
      <c r="BP157" s="96" t="n"/>
      <c r="BQ157" s="96" t="n"/>
      <c r="BR157" s="96" t="n"/>
      <c r="BS157" s="96" t="n"/>
      <c r="BT157" s="96" t="n"/>
      <c r="BU157" s="96" t="n"/>
      <c r="BV157" s="96" t="n"/>
      <c r="BW157" s="96" t="n"/>
      <c r="BX157" s="96" t="n"/>
      <c r="BY157" s="96" t="n"/>
      <c r="BZ157" s="96" t="n"/>
      <c r="CA157" s="96" t="n"/>
      <c r="CB157" s="96" t="n"/>
      <c r="CC157" s="96" t="n"/>
      <c r="CD157" s="96" t="n"/>
      <c r="CE157" s="96" t="n"/>
      <c r="CF157" s="96" t="n"/>
      <c r="CG157" s="96" t="n"/>
      <c r="CH157" s="96" t="n"/>
      <c r="CI157" s="96" t="n"/>
      <c r="CJ157" s="96" t="n"/>
      <c r="CK157" s="96" t="n"/>
      <c r="CL157" s="96" t="n"/>
      <c r="CM157" s="96" t="n"/>
      <c r="CN157" s="96" t="n"/>
      <c r="CO157" s="96" t="n"/>
      <c r="CP157" s="96" t="n"/>
      <c r="CQ157" s="96" t="n"/>
      <c r="CR157" s="96" t="n"/>
      <c r="CS157" s="96" t="n"/>
      <c r="CT157" s="96" t="n"/>
      <c r="CU157" s="96" t="n"/>
      <c r="CV157" s="96" t="n"/>
      <c r="CW157" s="96" t="n"/>
      <c r="CX157" s="96" t="n"/>
      <c r="CY157" s="96" t="n"/>
      <c r="CZ157" s="96" t="n"/>
      <c r="DA157" s="96" t="n"/>
      <c r="DB157" s="96" t="n"/>
      <c r="DC157" s="96" t="n"/>
      <c r="DD157" s="96" t="n"/>
      <c r="DE157" s="96" t="n"/>
      <c r="DF157" s="96" t="n"/>
      <c r="DG157" s="96" t="n"/>
      <c r="DH157" s="96" t="n"/>
      <c r="DI157" s="96" t="n"/>
      <c r="DJ157" s="96" t="n"/>
      <c r="DK157" s="96" t="n"/>
      <c r="DL157" s="96" t="n"/>
      <c r="DM157" s="96" t="n"/>
      <c r="DN157" s="96" t="n"/>
      <c r="DO157" s="96" t="n"/>
      <c r="DP157" s="96" t="n"/>
      <c r="DQ157" s="96" t="n"/>
      <c r="DR157" s="96" t="n"/>
    </row>
    <row r="158" hidden="1" outlineLevel="1" ht="4.5" customHeight="1">
      <c r="F158" s="46" t="n"/>
      <c r="G158" s="46" t="n"/>
      <c r="H158" s="46" t="n"/>
      <c r="I158" s="46" t="n"/>
      <c r="J158" s="46" t="n"/>
      <c r="K158" s="46" t="n"/>
      <c r="L158" s="46" t="n"/>
      <c r="M158" s="46" t="n"/>
    </row>
    <row r="159" hidden="1" outlineLevel="1" ht="15.75" customHeight="1">
      <c r="B159" s="50" t="inlineStr">
        <is>
          <t>Total</t>
        </is>
      </c>
      <c r="C159" s="50" t="n"/>
      <c r="D159" s="50" t="n"/>
      <c r="F159" s="51">
        <f>+SUMIFS($AA159:$DR159,$AA$7:$DR$7,F$7)</f>
        <v/>
      </c>
      <c r="G159" s="51">
        <f>+SUMIFS($AA159:$DR159,$AA$7:$DR$7,G$7)</f>
        <v/>
      </c>
      <c r="H159" s="51">
        <f>+SUMIFS($AA159:$DR159,$AA$7:$DR$7,H$7)</f>
        <v/>
      </c>
      <c r="I159" s="51">
        <f>+SUMIFS($AA159:$DR159,$AA$7:$DR$7,I$7)</f>
        <v/>
      </c>
      <c r="J159" s="51">
        <f>+SUMIFS($AA159:$DR159,$AA$7:$DR$7,J$7)</f>
        <v/>
      </c>
      <c r="K159" s="51">
        <f>+SUMIFS($AA159:$DR159,$AA$7:$DR$7,K$7)</f>
        <v/>
      </c>
      <c r="L159" s="51">
        <f>+SUMIFS($AA159:$DR159,$AA$7:$DR$7,L$7)</f>
        <v/>
      </c>
      <c r="M159" s="51">
        <f>+SUMIFS($AA159:$DR159,$AA$7:$DR$7,M$7)</f>
        <v/>
      </c>
      <c r="AA159" s="51">
        <f>SUM(AA112:AA158)</f>
        <v/>
      </c>
      <c r="AB159" s="51">
        <f>SUM(AB112:AB158)</f>
        <v/>
      </c>
      <c r="AC159" s="51">
        <f>SUM(AC112:AC158)</f>
        <v/>
      </c>
      <c r="AD159" s="51">
        <f>SUM(AD112:AD158)</f>
        <v/>
      </c>
      <c r="AE159" s="51">
        <f>SUM(AE112:AE158)</f>
        <v/>
      </c>
      <c r="AF159" s="51">
        <f>SUM(AF112:AF158)</f>
        <v/>
      </c>
      <c r="AG159" s="51">
        <f>SUM(AG112:AG158)</f>
        <v/>
      </c>
      <c r="AH159" s="51">
        <f>SUM(AH112:AH158)</f>
        <v/>
      </c>
      <c r="AI159" s="51">
        <f>SUM(AI112:AI158)</f>
        <v/>
      </c>
      <c r="AJ159" s="51">
        <f>SUM(AJ112:AJ158)</f>
        <v/>
      </c>
      <c r="AK159" s="51">
        <f>SUM(AK112:AK158)</f>
        <v/>
      </c>
      <c r="AL159" s="51">
        <f>SUM(AL112:AL158)</f>
        <v/>
      </c>
      <c r="AM159" s="51">
        <f>SUM(AM112:AM158)</f>
        <v/>
      </c>
      <c r="AN159" s="51">
        <f>SUM(AN112:AN158)</f>
        <v/>
      </c>
      <c r="AO159" s="51">
        <f>SUM(AO112:AO158)</f>
        <v/>
      </c>
      <c r="AP159" s="51">
        <f>SUM(AP112:AP158)</f>
        <v/>
      </c>
      <c r="AQ159" s="51">
        <f>SUM(AQ112:AQ158)</f>
        <v/>
      </c>
      <c r="AR159" s="51">
        <f>SUM(AR112:AR158)</f>
        <v/>
      </c>
      <c r="AS159" s="51">
        <f>SUM(AS112:AS158)</f>
        <v/>
      </c>
      <c r="AT159" s="51">
        <f>SUM(AT112:AT158)</f>
        <v/>
      </c>
      <c r="AU159" s="51">
        <f>SUM(AU112:AU158)</f>
        <v/>
      </c>
      <c r="AV159" s="51">
        <f>SUM(AV112:AV158)</f>
        <v/>
      </c>
      <c r="AW159" s="51">
        <f>SUM(AW112:AW158)</f>
        <v/>
      </c>
      <c r="AX159" s="51">
        <f>SUM(AX112:AX158)</f>
        <v/>
      </c>
      <c r="AY159" s="51">
        <f>SUM(AY112:AY158)</f>
        <v/>
      </c>
      <c r="AZ159" s="51">
        <f>SUM(AZ112:AZ158)</f>
        <v/>
      </c>
      <c r="BA159" s="51">
        <f>SUM(BA112:BA158)</f>
        <v/>
      </c>
      <c r="BB159" s="51">
        <f>SUM(BB112:BB158)</f>
        <v/>
      </c>
      <c r="BC159" s="51">
        <f>SUM(BC112:BC158)</f>
        <v/>
      </c>
      <c r="BD159" s="51">
        <f>SUM(BD112:BD158)</f>
        <v/>
      </c>
      <c r="BE159" s="51">
        <f>SUM(BE112:BE158)</f>
        <v/>
      </c>
      <c r="BF159" s="51">
        <f>SUM(BF112:BF158)</f>
        <v/>
      </c>
      <c r="BG159" s="51">
        <f>SUM(BG112:BG158)</f>
        <v/>
      </c>
      <c r="BH159" s="51">
        <f>SUM(BH112:BH158)</f>
        <v/>
      </c>
      <c r="BI159" s="51">
        <f>SUM(BI112:BI158)</f>
        <v/>
      </c>
      <c r="BJ159" s="51">
        <f>SUM(BJ112:BJ158)</f>
        <v/>
      </c>
      <c r="BK159" s="51">
        <f>SUM(BK112:BK158)</f>
        <v/>
      </c>
      <c r="BL159" s="51">
        <f>SUM(BL112:BL158)</f>
        <v/>
      </c>
      <c r="BM159" s="51">
        <f>SUM(BM112:BM158)</f>
        <v/>
      </c>
      <c r="BN159" s="51">
        <f>SUM(BN112:BN158)</f>
        <v/>
      </c>
      <c r="BO159" s="51">
        <f>SUM(BO112:BO158)</f>
        <v/>
      </c>
      <c r="BP159" s="51">
        <f>SUM(BP112:BP158)</f>
        <v/>
      </c>
      <c r="BQ159" s="51">
        <f>SUM(BQ112:BQ158)</f>
        <v/>
      </c>
      <c r="BR159" s="51">
        <f>SUM(BR112:BR158)</f>
        <v/>
      </c>
      <c r="BS159" s="51">
        <f>SUM(BS112:BS158)</f>
        <v/>
      </c>
      <c r="BT159" s="51">
        <f>SUM(BT112:BT158)</f>
        <v/>
      </c>
      <c r="BU159" s="51">
        <f>SUM(BU112:BU158)</f>
        <v/>
      </c>
      <c r="BV159" s="51">
        <f>SUM(BV112:BV158)</f>
        <v/>
      </c>
      <c r="BW159" s="51">
        <f>SUM(BW112:BW158)</f>
        <v/>
      </c>
      <c r="BX159" s="51">
        <f>SUM(BX112:BX158)</f>
        <v/>
      </c>
      <c r="BY159" s="51">
        <f>SUM(BY112:BY158)</f>
        <v/>
      </c>
      <c r="BZ159" s="51">
        <f>SUM(BZ112:BZ158)</f>
        <v/>
      </c>
      <c r="CA159" s="51">
        <f>SUM(CA112:CA158)</f>
        <v/>
      </c>
      <c r="CB159" s="51">
        <f>SUM(CB112:CB158)</f>
        <v/>
      </c>
      <c r="CC159" s="51">
        <f>SUM(CC112:CC158)</f>
        <v/>
      </c>
      <c r="CD159" s="51">
        <f>SUM(CD112:CD158)</f>
        <v/>
      </c>
      <c r="CE159" s="51">
        <f>SUM(CE112:CE158)</f>
        <v/>
      </c>
      <c r="CF159" s="51">
        <f>SUM(CF112:CF158)</f>
        <v/>
      </c>
      <c r="CG159" s="51">
        <f>SUM(CG112:CG158)</f>
        <v/>
      </c>
      <c r="CH159" s="51">
        <f>SUM(CH112:CH158)</f>
        <v/>
      </c>
      <c r="CI159" s="51">
        <f>SUM(CI112:CI158)</f>
        <v/>
      </c>
      <c r="CJ159" s="51">
        <f>SUM(CJ112:CJ158)</f>
        <v/>
      </c>
      <c r="CK159" s="51">
        <f>SUM(CK112:CK158)</f>
        <v/>
      </c>
      <c r="CL159" s="51">
        <f>SUM(CL112:CL158)</f>
        <v/>
      </c>
      <c r="CM159" s="51">
        <f>SUM(CM112:CM158)</f>
        <v/>
      </c>
      <c r="CN159" s="51">
        <f>SUM(CN112:CN158)</f>
        <v/>
      </c>
      <c r="CO159" s="51">
        <f>SUM(CO112:CO158)</f>
        <v/>
      </c>
      <c r="CP159" s="51">
        <f>SUM(CP112:CP158)</f>
        <v/>
      </c>
      <c r="CQ159" s="51">
        <f>SUM(CQ112:CQ158)</f>
        <v/>
      </c>
      <c r="CR159" s="51">
        <f>SUM(CR112:CR158)</f>
        <v/>
      </c>
      <c r="CS159" s="51">
        <f>SUM(CS112:CS158)</f>
        <v/>
      </c>
      <c r="CT159" s="51">
        <f>SUM(CT112:CT158)</f>
        <v/>
      </c>
      <c r="CU159" s="51">
        <f>SUM(CU112:CU158)</f>
        <v/>
      </c>
      <c r="CV159" s="51">
        <f>SUM(CV112:CV158)</f>
        <v/>
      </c>
      <c r="CW159" s="51">
        <f>SUM(CW112:CW158)</f>
        <v/>
      </c>
      <c r="CX159" s="51">
        <f>SUM(CX112:CX158)</f>
        <v/>
      </c>
      <c r="CY159" s="51">
        <f>SUM(CY112:CY158)</f>
        <v/>
      </c>
      <c r="CZ159" s="51">
        <f>SUM(CZ112:CZ158)</f>
        <v/>
      </c>
      <c r="DA159" s="51">
        <f>SUM(DA112:DA158)</f>
        <v/>
      </c>
      <c r="DB159" s="51">
        <f>SUM(DB112:DB158)</f>
        <v/>
      </c>
      <c r="DC159" s="51">
        <f>SUM(DC112:DC158)</f>
        <v/>
      </c>
      <c r="DD159" s="51">
        <f>SUM(DD112:DD158)</f>
        <v/>
      </c>
      <c r="DE159" s="51">
        <f>SUM(DE112:DE158)</f>
        <v/>
      </c>
      <c r="DF159" s="51">
        <f>SUM(DF112:DF158)</f>
        <v/>
      </c>
      <c r="DG159" s="51">
        <f>SUM(DG112:DG158)</f>
        <v/>
      </c>
      <c r="DH159" s="51">
        <f>SUM(DH112:DH158)</f>
        <v/>
      </c>
      <c r="DI159" s="51">
        <f>SUM(DI112:DI158)</f>
        <v/>
      </c>
      <c r="DJ159" s="51">
        <f>SUM(DJ112:DJ158)</f>
        <v/>
      </c>
      <c r="DK159" s="51">
        <f>SUM(DK112:DK158)</f>
        <v/>
      </c>
      <c r="DL159" s="51">
        <f>SUM(DL112:DL158)</f>
        <v/>
      </c>
      <c r="DM159" s="51">
        <f>SUM(DM112:DM158)</f>
        <v/>
      </c>
      <c r="DN159" s="51">
        <f>SUM(DN112:DN158)</f>
        <v/>
      </c>
      <c r="DO159" s="51">
        <f>SUM(DO112:DO158)</f>
        <v/>
      </c>
      <c r="DP159" s="51">
        <f>SUM(DP112:DP158)</f>
        <v/>
      </c>
      <c r="DQ159" s="51">
        <f>SUM(DQ112:DQ158)</f>
        <v/>
      </c>
      <c r="DR159" s="51">
        <f>SUM(DR112:DR158)</f>
        <v/>
      </c>
    </row>
    <row r="160" hidden="1" outlineLevel="1" ht="4.5" customHeight="1"/>
    <row r="161" collapsed="1" ht="15.75" customHeight="1">
      <c r="B161" s="44" t="inlineStr">
        <is>
          <t>Revenue</t>
        </is>
      </c>
    </row>
    <row r="162" ht="15.75" customHeight="1">
      <c r="B162" s="5" t="inlineStr">
        <is>
          <t>Mega</t>
        </is>
      </c>
      <c r="F162" s="48">
        <f>+Revenue_Calcs!F192</f>
        <v/>
      </c>
      <c r="G162" s="48">
        <f>+Revenue_Calcs!G192</f>
        <v/>
      </c>
      <c r="H162" s="48">
        <f>+Revenue_Calcs!H192</f>
        <v/>
      </c>
      <c r="I162" s="48">
        <f>+Revenue_Calcs!I192</f>
        <v/>
      </c>
      <c r="J162" s="48">
        <f>+Revenue_Calcs!J192</f>
        <v/>
      </c>
      <c r="K162" s="48">
        <f>+Revenue_Calcs!K192</f>
        <v/>
      </c>
      <c r="L162" s="48">
        <f>+Revenue_Calcs!L192</f>
        <v/>
      </c>
      <c r="M162" s="48">
        <f>+Revenue_Calcs!M192</f>
        <v/>
      </c>
      <c r="AA162" s="96" t="n"/>
      <c r="AB162" s="96" t="n"/>
      <c r="AC162" s="96" t="n"/>
      <c r="AD162" s="96" t="n"/>
      <c r="AE162" s="96" t="n"/>
      <c r="AF162" s="96" t="n"/>
      <c r="AG162" s="96" t="n"/>
      <c r="AH162" s="96" t="n"/>
      <c r="AI162" s="96" t="n"/>
      <c r="AJ162" s="96" t="n"/>
      <c r="AK162" s="96" t="n"/>
      <c r="AL162" s="96" t="n"/>
      <c r="AM162" s="96" t="n"/>
      <c r="AN162" s="96" t="n"/>
      <c r="AO162" s="96" t="n"/>
      <c r="AP162" s="96" t="n"/>
      <c r="AQ162" s="96" t="n"/>
      <c r="AR162" s="96" t="n"/>
      <c r="AS162" s="96" t="n"/>
      <c r="AT162" s="96" t="n"/>
      <c r="AU162" s="96" t="n"/>
      <c r="AV162" s="96" t="n"/>
      <c r="AW162" s="96" t="n"/>
      <c r="AX162" s="96" t="n"/>
      <c r="AY162" s="96" t="n"/>
      <c r="AZ162" s="96" t="n"/>
      <c r="BA162" s="96" t="n"/>
      <c r="BB162" s="96" t="n"/>
      <c r="BC162" s="96" t="n"/>
      <c r="BD162" s="96" t="n"/>
      <c r="BE162" s="96" t="n"/>
      <c r="BF162" s="96" t="n"/>
      <c r="BG162" s="96" t="n"/>
      <c r="BH162" s="96" t="n"/>
      <c r="BI162" s="96" t="n"/>
      <c r="BJ162" s="96" t="n"/>
      <c r="BK162" s="96" t="n"/>
      <c r="BL162" s="96" t="n"/>
      <c r="BM162" s="96" t="n"/>
      <c r="BN162" s="96" t="n"/>
      <c r="BO162" s="96" t="n"/>
      <c r="BP162" s="96" t="n"/>
      <c r="BQ162" s="96" t="n"/>
      <c r="BR162" s="96" t="n"/>
      <c r="BS162" s="96" t="n"/>
      <c r="BT162" s="96" t="n"/>
      <c r="BU162" s="96" t="n"/>
      <c r="BV162" s="96" t="n"/>
      <c r="BW162" s="96" t="n"/>
      <c r="BX162" s="96" t="n"/>
      <c r="BY162" s="96" t="n"/>
      <c r="BZ162" s="96" t="n"/>
      <c r="CA162" s="96" t="n"/>
      <c r="CB162" s="96" t="n"/>
      <c r="CC162" s="96" t="n"/>
      <c r="CD162" s="96" t="n"/>
      <c r="CE162" s="96" t="n"/>
      <c r="CF162" s="96" t="n"/>
      <c r="CG162" s="96" t="n"/>
      <c r="CH162" s="96" t="n"/>
      <c r="CI162" s="96" t="n"/>
      <c r="CJ162" s="96" t="n"/>
      <c r="CK162" s="96" t="n"/>
      <c r="CL162" s="96" t="n"/>
      <c r="CM162" s="96" t="n"/>
      <c r="CN162" s="96" t="n"/>
      <c r="CO162" s="96" t="n"/>
      <c r="CP162" s="96" t="n"/>
      <c r="CQ162" s="96" t="n"/>
      <c r="CR162" s="96" t="n"/>
      <c r="CS162" s="96" t="n"/>
      <c r="CT162" s="96" t="n"/>
      <c r="CU162" s="96" t="n"/>
      <c r="CV162" s="96" t="n"/>
      <c r="CW162" s="96" t="n"/>
      <c r="CX162" s="96" t="n"/>
      <c r="CY162" s="96" t="n"/>
      <c r="CZ162" s="96" t="n"/>
      <c r="DA162" s="96" t="n"/>
      <c r="DB162" s="96" t="n"/>
      <c r="DC162" s="96" t="n"/>
      <c r="DD162" s="96" t="n"/>
      <c r="DE162" s="96" t="n"/>
      <c r="DF162" s="96" t="n"/>
      <c r="DG162" s="96" t="n"/>
      <c r="DH162" s="96" t="n"/>
      <c r="DI162" s="96" t="n"/>
      <c r="DJ162" s="96" t="n"/>
      <c r="DK162" s="96" t="n"/>
      <c r="DL162" s="96" t="n"/>
      <c r="DM162" s="96" t="n"/>
      <c r="DN162" s="96" t="n"/>
      <c r="DO162" s="96" t="n"/>
      <c r="DP162" s="96" t="n"/>
      <c r="DQ162" s="96" t="n"/>
      <c r="DR162" s="96" t="n"/>
    </row>
    <row r="163" ht="15.75" customHeight="1">
      <c r="B163" s="5" t="inlineStr">
        <is>
          <t>Major</t>
        </is>
      </c>
      <c r="F163" s="48">
        <f>+Revenue_Calcs!F197</f>
        <v/>
      </c>
      <c r="G163" s="48">
        <f>+Revenue_Calcs!G197</f>
        <v/>
      </c>
      <c r="H163" s="48">
        <f>+Revenue_Calcs!H197</f>
        <v/>
      </c>
      <c r="I163" s="48">
        <f>+Revenue_Calcs!I197</f>
        <v/>
      </c>
      <c r="J163" s="48">
        <f>+Revenue_Calcs!J197</f>
        <v/>
      </c>
      <c r="K163" s="48">
        <f>+Revenue_Calcs!K197</f>
        <v/>
      </c>
      <c r="L163" s="48">
        <f>+Revenue_Calcs!L197</f>
        <v/>
      </c>
      <c r="M163" s="48">
        <f>+Revenue_Calcs!M197</f>
        <v/>
      </c>
      <c r="AA163" s="96" t="n"/>
      <c r="AB163" s="96" t="n"/>
      <c r="AC163" s="96" t="n"/>
      <c r="AD163" s="96" t="n"/>
      <c r="AE163" s="96" t="n"/>
      <c r="AF163" s="96" t="n"/>
      <c r="AG163" s="96" t="n"/>
      <c r="AH163" s="96" t="n"/>
      <c r="AI163" s="96" t="n"/>
      <c r="AJ163" s="96" t="n"/>
      <c r="AK163" s="96" t="n"/>
      <c r="AL163" s="96" t="n"/>
      <c r="AM163" s="96" t="n"/>
      <c r="AN163" s="96" t="n"/>
      <c r="AO163" s="96" t="n"/>
      <c r="AP163" s="96" t="n"/>
      <c r="AQ163" s="96" t="n"/>
      <c r="AR163" s="96" t="n"/>
      <c r="AS163" s="96" t="n"/>
      <c r="AT163" s="96" t="n"/>
      <c r="AU163" s="96" t="n"/>
      <c r="AV163" s="96" t="n"/>
      <c r="AW163" s="96" t="n"/>
      <c r="AX163" s="96" t="n"/>
      <c r="AY163" s="96" t="n"/>
      <c r="AZ163" s="96" t="n"/>
      <c r="BA163" s="96" t="n"/>
      <c r="BB163" s="96" t="n"/>
      <c r="BC163" s="96" t="n"/>
      <c r="BD163" s="96" t="n"/>
      <c r="BE163" s="96" t="n"/>
      <c r="BF163" s="96" t="n"/>
      <c r="BG163" s="96" t="n"/>
      <c r="BH163" s="96" t="n"/>
      <c r="BI163" s="96" t="n"/>
      <c r="BJ163" s="96" t="n"/>
      <c r="BK163" s="96" t="n"/>
      <c r="BL163" s="96" t="n"/>
      <c r="BM163" s="96" t="n"/>
      <c r="BN163" s="96" t="n"/>
      <c r="BO163" s="96" t="n"/>
      <c r="BP163" s="96" t="n"/>
      <c r="BQ163" s="96" t="n"/>
      <c r="BR163" s="96" t="n"/>
      <c r="BS163" s="96" t="n"/>
      <c r="BT163" s="96" t="n"/>
      <c r="BU163" s="96" t="n"/>
      <c r="BV163" s="96" t="n"/>
      <c r="BW163" s="96" t="n"/>
      <c r="BX163" s="96" t="n"/>
      <c r="BY163" s="96" t="n"/>
      <c r="BZ163" s="96" t="n"/>
      <c r="CA163" s="96" t="n"/>
      <c r="CB163" s="96" t="n"/>
      <c r="CC163" s="96" t="n"/>
      <c r="CD163" s="96" t="n"/>
      <c r="CE163" s="96" t="n"/>
      <c r="CF163" s="96" t="n"/>
      <c r="CG163" s="96" t="n"/>
      <c r="CH163" s="96" t="n"/>
      <c r="CI163" s="96" t="n"/>
      <c r="CJ163" s="96" t="n"/>
      <c r="CK163" s="96" t="n"/>
      <c r="CL163" s="96" t="n"/>
      <c r="CM163" s="96" t="n"/>
      <c r="CN163" s="96" t="n"/>
      <c r="CO163" s="96" t="n"/>
      <c r="CP163" s="96" t="n"/>
      <c r="CQ163" s="96" t="n"/>
      <c r="CR163" s="96" t="n"/>
      <c r="CS163" s="96" t="n"/>
      <c r="CT163" s="96" t="n"/>
      <c r="CU163" s="96" t="n"/>
      <c r="CV163" s="96" t="n"/>
      <c r="CW163" s="96" t="n"/>
      <c r="CX163" s="96" t="n"/>
      <c r="CY163" s="96" t="n"/>
      <c r="CZ163" s="96" t="n"/>
      <c r="DA163" s="96" t="n"/>
      <c r="DB163" s="96" t="n"/>
      <c r="DC163" s="96" t="n"/>
      <c r="DD163" s="96" t="n"/>
      <c r="DE163" s="96" t="n"/>
      <c r="DF163" s="96" t="n"/>
      <c r="DG163" s="96" t="n"/>
      <c r="DH163" s="96" t="n"/>
      <c r="DI163" s="96" t="n"/>
      <c r="DJ163" s="96" t="n"/>
      <c r="DK163" s="96" t="n"/>
      <c r="DL163" s="96" t="n"/>
      <c r="DM163" s="96" t="n"/>
      <c r="DN163" s="96" t="n"/>
      <c r="DO163" s="96" t="n"/>
      <c r="DP163" s="96" t="n"/>
      <c r="DQ163" s="96" t="n"/>
      <c r="DR163" s="96" t="n"/>
    </row>
    <row r="164" ht="15.75" customHeight="1">
      <c r="B164" s="5" t="inlineStr">
        <is>
          <t>Upper Middle Market</t>
        </is>
      </c>
      <c r="F164" s="48">
        <f>+Revenue_Calcs!F202</f>
        <v/>
      </c>
      <c r="G164" s="48">
        <f>+Revenue_Calcs!G202</f>
        <v/>
      </c>
      <c r="H164" s="48">
        <f>+Revenue_Calcs!H202</f>
        <v/>
      </c>
      <c r="I164" s="48">
        <f>+Revenue_Calcs!I202</f>
        <v/>
      </c>
      <c r="J164" s="48">
        <f>+Revenue_Calcs!J202</f>
        <v/>
      </c>
      <c r="K164" s="48">
        <f>+Revenue_Calcs!K202</f>
        <v/>
      </c>
      <c r="L164" s="48">
        <f>+Revenue_Calcs!L202</f>
        <v/>
      </c>
      <c r="M164" s="48">
        <f>+Revenue_Calcs!M202</f>
        <v/>
      </c>
      <c r="AA164" s="96" t="n"/>
      <c r="AB164" s="96" t="n"/>
      <c r="AC164" s="96" t="n"/>
      <c r="AD164" s="96" t="n"/>
      <c r="AE164" s="96" t="n"/>
      <c r="AF164" s="96" t="n"/>
      <c r="AG164" s="96" t="n"/>
      <c r="AH164" s="96" t="n"/>
      <c r="AI164" s="96" t="n"/>
      <c r="AJ164" s="96" t="n"/>
      <c r="AK164" s="96" t="n"/>
      <c r="AL164" s="96" t="n"/>
      <c r="AM164" s="96" t="n"/>
      <c r="AN164" s="96" t="n"/>
      <c r="AO164" s="96" t="n"/>
      <c r="AP164" s="96" t="n"/>
      <c r="AQ164" s="96" t="n"/>
      <c r="AR164" s="96" t="n"/>
      <c r="AS164" s="96" t="n"/>
      <c r="AT164" s="96" t="n"/>
      <c r="AU164" s="96" t="n"/>
      <c r="AV164" s="96" t="n"/>
      <c r="AW164" s="96" t="n"/>
      <c r="AX164" s="96" t="n"/>
      <c r="AY164" s="96" t="n"/>
      <c r="AZ164" s="96" t="n"/>
      <c r="BA164" s="96" t="n"/>
      <c r="BB164" s="96" t="n"/>
      <c r="BC164" s="96" t="n"/>
      <c r="BD164" s="96" t="n"/>
      <c r="BE164" s="96" t="n"/>
      <c r="BF164" s="96" t="n"/>
      <c r="BG164" s="96" t="n"/>
      <c r="BH164" s="96" t="n"/>
      <c r="BI164" s="96" t="n"/>
      <c r="BJ164" s="96" t="n"/>
      <c r="BK164" s="96" t="n"/>
      <c r="BL164" s="96" t="n"/>
      <c r="BM164" s="96" t="n"/>
      <c r="BN164" s="96" t="n"/>
      <c r="BO164" s="96" t="n"/>
      <c r="BP164" s="96" t="n"/>
      <c r="BQ164" s="96" t="n"/>
      <c r="BR164" s="96" t="n"/>
      <c r="BS164" s="96" t="n"/>
      <c r="BT164" s="96" t="n"/>
      <c r="BU164" s="96" t="n"/>
      <c r="BV164" s="96" t="n"/>
      <c r="BW164" s="96" t="n"/>
      <c r="BX164" s="96" t="n"/>
      <c r="BY164" s="96" t="n"/>
      <c r="BZ164" s="96" t="n"/>
      <c r="CA164" s="96" t="n"/>
      <c r="CB164" s="96" t="n"/>
      <c r="CC164" s="96" t="n"/>
      <c r="CD164" s="96" t="n"/>
      <c r="CE164" s="96" t="n"/>
      <c r="CF164" s="96" t="n"/>
      <c r="CG164" s="96" t="n"/>
      <c r="CH164" s="96" t="n"/>
      <c r="CI164" s="96" t="n"/>
      <c r="CJ164" s="96" t="n"/>
      <c r="CK164" s="96" t="n"/>
      <c r="CL164" s="96" t="n"/>
      <c r="CM164" s="96" t="n"/>
      <c r="CN164" s="96" t="n"/>
      <c r="CO164" s="96" t="n"/>
      <c r="CP164" s="96" t="n"/>
      <c r="CQ164" s="96" t="n"/>
      <c r="CR164" s="96" t="n"/>
      <c r="CS164" s="96" t="n"/>
      <c r="CT164" s="96" t="n"/>
      <c r="CU164" s="96" t="n"/>
      <c r="CV164" s="96" t="n"/>
      <c r="CW164" s="96" t="n"/>
      <c r="CX164" s="96" t="n"/>
      <c r="CY164" s="96" t="n"/>
      <c r="CZ164" s="96" t="n"/>
      <c r="DA164" s="96" t="n"/>
      <c r="DB164" s="96" t="n"/>
      <c r="DC164" s="96" t="n"/>
      <c r="DD164" s="96" t="n"/>
      <c r="DE164" s="96" t="n"/>
      <c r="DF164" s="96" t="n"/>
      <c r="DG164" s="96" t="n"/>
      <c r="DH164" s="96" t="n"/>
      <c r="DI164" s="96" t="n"/>
      <c r="DJ164" s="96" t="n"/>
      <c r="DK164" s="96" t="n"/>
      <c r="DL164" s="96" t="n"/>
      <c r="DM164" s="96" t="n"/>
      <c r="DN164" s="96" t="n"/>
      <c r="DO164" s="96" t="n"/>
      <c r="DP164" s="96" t="n"/>
      <c r="DQ164" s="96" t="n"/>
      <c r="DR164" s="96" t="n"/>
    </row>
    <row r="165" ht="15.75" customHeight="1">
      <c r="B165" s="5" t="inlineStr">
        <is>
          <t>Lower Middle Market</t>
        </is>
      </c>
      <c r="F165" s="48">
        <f>+Revenue_Calcs!F207</f>
        <v/>
      </c>
      <c r="G165" s="48">
        <f>+Revenue_Calcs!G207</f>
        <v/>
      </c>
      <c r="H165" s="48">
        <f>+Revenue_Calcs!H207</f>
        <v/>
      </c>
      <c r="I165" s="48">
        <f>+Revenue_Calcs!I207</f>
        <v/>
      </c>
      <c r="J165" s="48">
        <f>+Revenue_Calcs!J207</f>
        <v/>
      </c>
      <c r="K165" s="48">
        <f>+Revenue_Calcs!K207</f>
        <v/>
      </c>
      <c r="L165" s="48">
        <f>+Revenue_Calcs!L207</f>
        <v/>
      </c>
      <c r="M165" s="48">
        <f>+Revenue_Calcs!M207</f>
        <v/>
      </c>
      <c r="AA165" s="96" t="n"/>
      <c r="AB165" s="96" t="n"/>
      <c r="AC165" s="96" t="n"/>
      <c r="AD165" s="96" t="n"/>
      <c r="AE165" s="96" t="n"/>
      <c r="AF165" s="96" t="n"/>
      <c r="AG165" s="96" t="n"/>
      <c r="AH165" s="96" t="n"/>
      <c r="AI165" s="96" t="n"/>
      <c r="AJ165" s="96" t="n"/>
      <c r="AK165" s="96" t="n"/>
      <c r="AL165" s="96" t="n"/>
      <c r="AM165" s="96" t="n"/>
      <c r="AN165" s="96" t="n"/>
      <c r="AO165" s="96" t="n"/>
      <c r="AP165" s="96" t="n"/>
      <c r="AQ165" s="96" t="n"/>
      <c r="AR165" s="96" t="n"/>
      <c r="AS165" s="96" t="n"/>
      <c r="AT165" s="96" t="n"/>
      <c r="AU165" s="96" t="n"/>
      <c r="AV165" s="96" t="n"/>
      <c r="AW165" s="96" t="n"/>
      <c r="AX165" s="96" t="n"/>
      <c r="AY165" s="96" t="n"/>
      <c r="AZ165" s="96" t="n"/>
      <c r="BA165" s="96" t="n"/>
      <c r="BB165" s="96" t="n"/>
      <c r="BC165" s="96" t="n"/>
      <c r="BD165" s="96" t="n"/>
      <c r="BE165" s="96" t="n"/>
      <c r="BF165" s="96" t="n"/>
      <c r="BG165" s="96" t="n"/>
      <c r="BH165" s="96" t="n"/>
      <c r="BI165" s="96" t="n"/>
      <c r="BJ165" s="96" t="n"/>
      <c r="BK165" s="96" t="n"/>
      <c r="BL165" s="96" t="n"/>
      <c r="BM165" s="96" t="n"/>
      <c r="BN165" s="96" t="n"/>
      <c r="BO165" s="96" t="n"/>
      <c r="BP165" s="96" t="n"/>
      <c r="BQ165" s="96" t="n"/>
      <c r="BR165" s="96" t="n"/>
      <c r="BS165" s="96" t="n"/>
      <c r="BT165" s="96" t="n"/>
      <c r="BU165" s="96" t="n"/>
      <c r="BV165" s="96" t="n"/>
      <c r="BW165" s="96" t="n"/>
      <c r="BX165" s="96" t="n"/>
      <c r="BY165" s="96" t="n"/>
      <c r="BZ165" s="96" t="n"/>
      <c r="CA165" s="96" t="n"/>
      <c r="CB165" s="96" t="n"/>
      <c r="CC165" s="96" t="n"/>
      <c r="CD165" s="96" t="n"/>
      <c r="CE165" s="96" t="n"/>
      <c r="CF165" s="96" t="n"/>
      <c r="CG165" s="96" t="n"/>
      <c r="CH165" s="96" t="n"/>
      <c r="CI165" s="96" t="n"/>
      <c r="CJ165" s="96" t="n"/>
      <c r="CK165" s="96" t="n"/>
      <c r="CL165" s="96" t="n"/>
      <c r="CM165" s="96" t="n"/>
      <c r="CN165" s="96" t="n"/>
      <c r="CO165" s="96" t="n"/>
      <c r="CP165" s="96" t="n"/>
      <c r="CQ165" s="96" t="n"/>
      <c r="CR165" s="96" t="n"/>
      <c r="CS165" s="96" t="n"/>
      <c r="CT165" s="96" t="n"/>
      <c r="CU165" s="96" t="n"/>
      <c r="CV165" s="96" t="n"/>
      <c r="CW165" s="96" t="n"/>
      <c r="CX165" s="96" t="n"/>
      <c r="CY165" s="96" t="n"/>
      <c r="CZ165" s="96" t="n"/>
      <c r="DA165" s="96" t="n"/>
      <c r="DB165" s="96" t="n"/>
      <c r="DC165" s="96" t="n"/>
      <c r="DD165" s="96" t="n"/>
      <c r="DE165" s="96" t="n"/>
      <c r="DF165" s="96" t="n"/>
      <c r="DG165" s="96" t="n"/>
      <c r="DH165" s="96" t="n"/>
      <c r="DI165" s="96" t="n"/>
      <c r="DJ165" s="96" t="n"/>
      <c r="DK165" s="96" t="n"/>
      <c r="DL165" s="96" t="n"/>
      <c r="DM165" s="96" t="n"/>
      <c r="DN165" s="96" t="n"/>
      <c r="DO165" s="96" t="n"/>
      <c r="DP165" s="96" t="n"/>
      <c r="DQ165" s="96" t="n"/>
      <c r="DR165" s="96" t="n"/>
    </row>
    <row r="166" ht="15.75" customHeight="1">
      <c r="B166" s="50" t="inlineStr">
        <is>
          <t>Total</t>
        </is>
      </c>
      <c r="C166" s="50" t="n"/>
      <c r="D166" s="50" t="n"/>
      <c r="F166" s="51">
        <f>SUM(F162:F165)</f>
        <v/>
      </c>
      <c r="G166" s="51">
        <f>SUM(G162:G165)</f>
        <v/>
      </c>
      <c r="H166" s="51">
        <f>SUM(H162:H165)</f>
        <v/>
      </c>
      <c r="I166" s="51">
        <f>SUM(I162:I165)</f>
        <v/>
      </c>
      <c r="J166" s="51">
        <f>SUM(J162:J165)</f>
        <v/>
      </c>
      <c r="K166" s="51">
        <f>SUM(K162:K165)</f>
        <v/>
      </c>
      <c r="L166" s="51">
        <f>SUM(L162:L165)</f>
        <v/>
      </c>
      <c r="M166" s="51">
        <f>SUM(M162:M165)</f>
        <v/>
      </c>
      <c r="AA166" s="96" t="n"/>
      <c r="AB166" s="96" t="n"/>
      <c r="AC166" s="96" t="n"/>
      <c r="AD166" s="96" t="n"/>
      <c r="AE166" s="96" t="n"/>
      <c r="AF166" s="96" t="n"/>
      <c r="AG166" s="96" t="n"/>
      <c r="AH166" s="96" t="n"/>
      <c r="AI166" s="96" t="n"/>
      <c r="AJ166" s="96" t="n"/>
      <c r="AK166" s="96" t="n"/>
      <c r="AL166" s="96" t="n"/>
      <c r="AM166" s="96" t="n"/>
      <c r="AN166" s="96" t="n"/>
      <c r="AO166" s="96" t="n"/>
      <c r="AP166" s="96" t="n"/>
      <c r="AQ166" s="96" t="n"/>
      <c r="AR166" s="96" t="n"/>
      <c r="AS166" s="96" t="n"/>
      <c r="AT166" s="96" t="n"/>
      <c r="AU166" s="96" t="n"/>
      <c r="AV166" s="96" t="n"/>
      <c r="AW166" s="96" t="n"/>
      <c r="AX166" s="96" t="n"/>
      <c r="AY166" s="96" t="n"/>
      <c r="AZ166" s="96" t="n"/>
      <c r="BA166" s="96" t="n"/>
      <c r="BB166" s="96" t="n"/>
      <c r="BC166" s="96" t="n"/>
      <c r="BD166" s="96" t="n"/>
      <c r="BE166" s="96" t="n"/>
      <c r="BF166" s="96" t="n"/>
      <c r="BG166" s="96" t="n"/>
      <c r="BH166" s="96" t="n"/>
      <c r="BI166" s="96" t="n"/>
      <c r="BJ166" s="96" t="n"/>
      <c r="BK166" s="96" t="n"/>
      <c r="BL166" s="96" t="n"/>
      <c r="BM166" s="96" t="n"/>
      <c r="BN166" s="96" t="n"/>
      <c r="BO166" s="96" t="n"/>
      <c r="BP166" s="96" t="n"/>
      <c r="BQ166" s="96" t="n"/>
      <c r="BR166" s="96" t="n"/>
      <c r="BS166" s="96" t="n"/>
      <c r="BT166" s="96" t="n"/>
      <c r="BU166" s="96" t="n"/>
      <c r="BV166" s="96" t="n"/>
      <c r="BW166" s="96" t="n"/>
      <c r="BX166" s="96" t="n"/>
      <c r="BY166" s="96" t="n"/>
      <c r="BZ166" s="96" t="n"/>
      <c r="CA166" s="96" t="n"/>
      <c r="CB166" s="96" t="n"/>
      <c r="CC166" s="96" t="n"/>
      <c r="CD166" s="96" t="n"/>
      <c r="CE166" s="96" t="n"/>
      <c r="CF166" s="96" t="n"/>
      <c r="CG166" s="96" t="n"/>
      <c r="CH166" s="96" t="n"/>
      <c r="CI166" s="96" t="n"/>
      <c r="CJ166" s="96" t="n"/>
      <c r="CK166" s="96" t="n"/>
      <c r="CL166" s="96" t="n"/>
      <c r="CM166" s="96" t="n"/>
      <c r="CN166" s="96" t="n"/>
      <c r="CO166" s="96" t="n"/>
      <c r="CP166" s="96" t="n"/>
      <c r="CQ166" s="96" t="n"/>
      <c r="CR166" s="96" t="n"/>
      <c r="CS166" s="96" t="n"/>
      <c r="CT166" s="96" t="n"/>
      <c r="CU166" s="96" t="n"/>
      <c r="CV166" s="96" t="n"/>
      <c r="CW166" s="96" t="n"/>
      <c r="CX166" s="96" t="n"/>
      <c r="CY166" s="96" t="n"/>
      <c r="CZ166" s="96" t="n"/>
      <c r="DA166" s="96" t="n"/>
      <c r="DB166" s="96" t="n"/>
      <c r="DC166" s="96" t="n"/>
      <c r="DD166" s="96" t="n"/>
      <c r="DE166" s="96" t="n"/>
      <c r="DF166" s="96" t="n"/>
      <c r="DG166" s="96" t="n"/>
      <c r="DH166" s="96" t="n"/>
      <c r="DI166" s="96" t="n"/>
      <c r="DJ166" s="96" t="n"/>
      <c r="DK166" s="96" t="n"/>
      <c r="DL166" s="96" t="n"/>
      <c r="DM166" s="96" t="n"/>
      <c r="DN166" s="96" t="n"/>
      <c r="DO166" s="96" t="n"/>
      <c r="DP166" s="96" t="n"/>
      <c r="DQ166" s="96" t="n"/>
      <c r="DR166" s="96" t="n"/>
    </row>
    <row r="167" ht="4.5" customHeight="1"/>
    <row r="168" ht="15.75" customHeight="1">
      <c r="B168" s="44" t="inlineStr">
        <is>
          <t>Cost of Sales</t>
        </is>
      </c>
    </row>
    <row r="169" ht="15.75" customHeight="1">
      <c r="B169" s="5" t="inlineStr">
        <is>
          <t>Mega</t>
        </is>
      </c>
      <c r="F169" s="46">
        <f>+SUMIFS($AA169:$DR169,$AA$7:$DR$7,F$7)</f>
        <v/>
      </c>
      <c r="G169" s="46">
        <f>+SUMIFS($AA169:$DR169,$AA$7:$DR$7,G$7)</f>
        <v/>
      </c>
      <c r="H169" s="46">
        <f>+SUMIFS($AA169:$DR169,$AA$7:$DR$7,H$7)</f>
        <v/>
      </c>
      <c r="I169" s="48">
        <f>+I162*(1-COGS_Assumptions!I24)</f>
        <v/>
      </c>
      <c r="J169" s="48">
        <f>+J162*(1-COGS_Assumptions!J24)</f>
        <v/>
      </c>
      <c r="K169" s="48">
        <f>+K162*(1-COGS_Assumptions!K24)</f>
        <v/>
      </c>
      <c r="L169" s="48">
        <f>+L162*(1-COGS_Assumptions!L24)</f>
        <v/>
      </c>
      <c r="M169" s="48">
        <f>+M162*(1-COGS_Assumptions!M24)</f>
        <v/>
      </c>
      <c r="AA169" s="46">
        <f>+SUMIFS(AA$112:AA$157,$C$13:$C$58,$B169)</f>
        <v/>
      </c>
      <c r="AB169" s="46">
        <f>+SUMIFS(AB$112:AB$157,$C$13:$C$58,$B169)</f>
        <v/>
      </c>
      <c r="AC169" s="46">
        <f>+SUMIFS(AC$112:AC$157,$C$13:$C$58,$B169)</f>
        <v/>
      </c>
      <c r="AD169" s="46">
        <f>+SUMIFS(AD$112:AD$157,$C$13:$C$58,$B169)</f>
        <v/>
      </c>
      <c r="AE169" s="46">
        <f>+SUMIFS(AE$112:AE$157,$C$13:$C$58,$B169)</f>
        <v/>
      </c>
      <c r="AF169" s="46">
        <f>+SUMIFS(AF$112:AF$157,$C$13:$C$58,$B169)</f>
        <v/>
      </c>
      <c r="AG169" s="46">
        <f>+SUMIFS(AG$112:AG$157,$C$13:$C$58,$B169)</f>
        <v/>
      </c>
      <c r="AH169" s="46">
        <f>+SUMIFS(AH$112:AH$157,$C$13:$C$58,$B169)</f>
        <v/>
      </c>
      <c r="AI169" s="46">
        <f>+SUMIFS(AI$112:AI$157,$C$13:$C$58,$B169)</f>
        <v/>
      </c>
      <c r="AJ169" s="46">
        <f>+SUMIFS(AJ$112:AJ$157,$C$13:$C$58,$B169)</f>
        <v/>
      </c>
      <c r="AK169" s="46">
        <f>+SUMIFS(AK$112:AK$157,$C$13:$C$58,$B169)</f>
        <v/>
      </c>
      <c r="AL169" s="46">
        <f>+SUMIFS(AL$112:AL$157,$C$13:$C$58,$B169)</f>
        <v/>
      </c>
      <c r="AM169" s="46">
        <f>+SUMIFS(AM$112:AM$157,$C$13:$C$58,$B169)</f>
        <v/>
      </c>
      <c r="AN169" s="46">
        <f>+SUMIFS(AN$112:AN$157,$C$13:$C$58,$B169)</f>
        <v/>
      </c>
      <c r="AO169" s="46">
        <f>+SUMIFS(AO$112:AO$157,$C$13:$C$58,$B169)</f>
        <v/>
      </c>
      <c r="AP169" s="46">
        <f>+SUMIFS(AP$112:AP$157,$C$13:$C$58,$B169)</f>
        <v/>
      </c>
      <c r="AQ169" s="46">
        <f>+SUMIFS(AQ$112:AQ$157,$C$13:$C$58,$B169)</f>
        <v/>
      </c>
      <c r="AR169" s="46">
        <f>+SUMIFS(AR$112:AR$157,$C$13:$C$58,$B169)</f>
        <v/>
      </c>
      <c r="AS169" s="46">
        <f>+SUMIFS(AS$112:AS$157,$C$13:$C$58,$B169)</f>
        <v/>
      </c>
      <c r="AT169" s="46">
        <f>+SUMIFS(AT$112:AT$157,$C$13:$C$58,$B169)</f>
        <v/>
      </c>
      <c r="AU169" s="46">
        <f>+SUMIFS(AU$112:AU$157,$C$13:$C$58,$B169)</f>
        <v/>
      </c>
      <c r="AV169" s="46">
        <f>+SUMIFS(AV$112:AV$157,$C$13:$C$58,$B169)</f>
        <v/>
      </c>
      <c r="AW169" s="46">
        <f>+SUMIFS(AW$112:AW$157,$C$13:$C$58,$B169)</f>
        <v/>
      </c>
      <c r="AX169" s="46">
        <f>+SUMIFS(AX$112:AX$157,$C$13:$C$58,$B169)</f>
        <v/>
      </c>
      <c r="AY169" s="46">
        <f>+SUMIFS(AY$112:AY$157,$C$13:$C$58,$B169)</f>
        <v/>
      </c>
      <c r="AZ169" s="46">
        <f>+SUMIFS(AZ$112:AZ$157,$C$13:$C$58,$B169)</f>
        <v/>
      </c>
      <c r="BA169" s="46">
        <f>+SUMIFS(BA$112:BA$157,$C$13:$C$58,$B169)</f>
        <v/>
      </c>
      <c r="BB169" s="46">
        <f>+SUMIFS(BB$112:BB$157,$C$13:$C$58,$B169)</f>
        <v/>
      </c>
      <c r="BC169" s="46">
        <f>+SUMIFS(BC$112:BC$157,$C$13:$C$58,$B169)</f>
        <v/>
      </c>
      <c r="BD169" s="46">
        <f>+SUMIFS(BD$112:BD$157,$C$13:$C$58,$B169)</f>
        <v/>
      </c>
      <c r="BE169" s="46">
        <f>+SUMIFS(BE$112:BE$157,$C$13:$C$58,$B169)</f>
        <v/>
      </c>
      <c r="BF169" s="46">
        <f>+SUMIFS(BF$112:BF$157,$C$13:$C$58,$B169)</f>
        <v/>
      </c>
      <c r="BG169" s="46">
        <f>+SUMIFS(BG$112:BG$157,$C$13:$C$58,$B169)</f>
        <v/>
      </c>
      <c r="BH169" s="46">
        <f>+SUMIFS(BH$112:BH$157,$C$13:$C$58,$B169)</f>
        <v/>
      </c>
      <c r="BI169" s="46">
        <f>+SUMIFS(BI$112:BI$157,$C$13:$C$58,$B169)</f>
        <v/>
      </c>
      <c r="BJ169" s="46">
        <f>+SUMIFS(BJ$112:BJ$157,$C$13:$C$58,$B169)</f>
        <v/>
      </c>
      <c r="BK169" s="115">
        <f>+SUMIFS($F169:$M169,$F$7:$M$7,BK$7)*BK$175</f>
        <v/>
      </c>
      <c r="BL169" s="115">
        <f>+SUMIFS($F169:$M169,$F$7:$M$7,BL$7)*BL$175</f>
        <v/>
      </c>
      <c r="BM169" s="115">
        <f>+SUMIFS($F169:$M169,$F$7:$M$7,BM$7)*BM$175</f>
        <v/>
      </c>
      <c r="BN169" s="115">
        <f>+SUMIFS($F169:$M169,$F$7:$M$7,BN$7)*BN$175</f>
        <v/>
      </c>
      <c r="BO169" s="115">
        <f>+SUMIFS($F169:$M169,$F$7:$M$7,BO$7)*BO$175</f>
        <v/>
      </c>
      <c r="BP169" s="115">
        <f>+SUMIFS($F169:$M169,$F$7:$M$7,BP$7)*BP$175</f>
        <v/>
      </c>
      <c r="BQ169" s="115">
        <f>+SUMIFS($F169:$M169,$F$7:$M$7,BQ$7)*BQ$175</f>
        <v/>
      </c>
      <c r="BR169" s="115">
        <f>+SUMIFS($F169:$M169,$F$7:$M$7,BR$7)*BR$175</f>
        <v/>
      </c>
      <c r="BS169" s="115">
        <f>+SUMIFS($F169:$M169,$F$7:$M$7,BS$7)*BS$175</f>
        <v/>
      </c>
      <c r="BT169" s="115">
        <f>+SUMIFS($F169:$M169,$F$7:$M$7,BT$7)*BT$175</f>
        <v/>
      </c>
      <c r="BU169" s="115">
        <f>+SUMIFS($F169:$M169,$F$7:$M$7,BU$7)*BU$175</f>
        <v/>
      </c>
      <c r="BV169" s="115">
        <f>+SUMIFS($F169:$M169,$F$7:$M$7,BV$7)*BV$175</f>
        <v/>
      </c>
      <c r="BW169" s="115">
        <f>+SUMIFS($F169:$M169,$F$7:$M$7,BW$7)*BW$175</f>
        <v/>
      </c>
      <c r="BX169" s="115">
        <f>+SUMIFS($F169:$M169,$F$7:$M$7,BX$7)*BX$175</f>
        <v/>
      </c>
      <c r="BY169" s="115">
        <f>+SUMIFS($F169:$M169,$F$7:$M$7,BY$7)*BY$175</f>
        <v/>
      </c>
      <c r="BZ169" s="115">
        <f>+SUMIFS($F169:$M169,$F$7:$M$7,BZ$7)*BZ$175</f>
        <v/>
      </c>
      <c r="CA169" s="115">
        <f>+SUMIFS($F169:$M169,$F$7:$M$7,CA$7)*CA$175</f>
        <v/>
      </c>
      <c r="CB169" s="115">
        <f>+SUMIFS($F169:$M169,$F$7:$M$7,CB$7)*CB$175</f>
        <v/>
      </c>
      <c r="CC169" s="115">
        <f>+SUMIFS($F169:$M169,$F$7:$M$7,CC$7)*CC$175</f>
        <v/>
      </c>
      <c r="CD169" s="115">
        <f>+SUMIFS($F169:$M169,$F$7:$M$7,CD$7)*CD$175</f>
        <v/>
      </c>
      <c r="CE169" s="115">
        <f>+SUMIFS($F169:$M169,$F$7:$M$7,CE$7)*CE$175</f>
        <v/>
      </c>
      <c r="CF169" s="115">
        <f>+SUMIFS($F169:$M169,$F$7:$M$7,CF$7)*CF$175</f>
        <v/>
      </c>
      <c r="CG169" s="115">
        <f>+SUMIFS($F169:$M169,$F$7:$M$7,CG$7)*CG$175</f>
        <v/>
      </c>
      <c r="CH169" s="115">
        <f>+SUMIFS($F169:$M169,$F$7:$M$7,CH$7)*CH$175</f>
        <v/>
      </c>
      <c r="CI169" s="115">
        <f>+SUMIFS($F169:$M169,$F$7:$M$7,CI$7)*CI$175</f>
        <v/>
      </c>
      <c r="CJ169" s="115">
        <f>+SUMIFS($F169:$M169,$F$7:$M$7,CJ$7)*CJ$175</f>
        <v/>
      </c>
      <c r="CK169" s="115">
        <f>+SUMIFS($F169:$M169,$F$7:$M$7,CK$7)*CK$175</f>
        <v/>
      </c>
      <c r="CL169" s="115">
        <f>+SUMIFS($F169:$M169,$F$7:$M$7,CL$7)*CL$175</f>
        <v/>
      </c>
      <c r="CM169" s="115">
        <f>+SUMIFS($F169:$M169,$F$7:$M$7,CM$7)*CM$175</f>
        <v/>
      </c>
      <c r="CN169" s="115">
        <f>+SUMIFS($F169:$M169,$F$7:$M$7,CN$7)*CN$175</f>
        <v/>
      </c>
      <c r="CO169" s="115">
        <f>+SUMIFS($F169:$M169,$F$7:$M$7,CO$7)*CO$175</f>
        <v/>
      </c>
      <c r="CP169" s="115">
        <f>+SUMIFS($F169:$M169,$F$7:$M$7,CP$7)*CP$175</f>
        <v/>
      </c>
      <c r="CQ169" s="115">
        <f>+SUMIFS($F169:$M169,$F$7:$M$7,CQ$7)*CQ$175</f>
        <v/>
      </c>
      <c r="CR169" s="115">
        <f>+SUMIFS($F169:$M169,$F$7:$M$7,CR$7)*CR$175</f>
        <v/>
      </c>
      <c r="CS169" s="115">
        <f>+SUMIFS($F169:$M169,$F$7:$M$7,CS$7)*CS$175</f>
        <v/>
      </c>
      <c r="CT169" s="115">
        <f>+SUMIFS($F169:$M169,$F$7:$M$7,CT$7)*CT$175</f>
        <v/>
      </c>
      <c r="CU169" s="115">
        <f>+SUMIFS($F169:$M169,$F$7:$M$7,CU$7)*CU$175</f>
        <v/>
      </c>
      <c r="CV169" s="115">
        <f>+SUMIFS($F169:$M169,$F$7:$M$7,CV$7)*CV$175</f>
        <v/>
      </c>
      <c r="CW169" s="115">
        <f>+SUMIFS($F169:$M169,$F$7:$M$7,CW$7)*CW$175</f>
        <v/>
      </c>
      <c r="CX169" s="115">
        <f>+SUMIFS($F169:$M169,$F$7:$M$7,CX$7)*CX$175</f>
        <v/>
      </c>
      <c r="CY169" s="115">
        <f>+SUMIFS($F169:$M169,$F$7:$M$7,CY$7)*CY$175</f>
        <v/>
      </c>
      <c r="CZ169" s="115">
        <f>+SUMIFS($F169:$M169,$F$7:$M$7,CZ$7)*CZ$175</f>
        <v/>
      </c>
      <c r="DA169" s="115">
        <f>+SUMIFS($F169:$M169,$F$7:$M$7,DA$7)*DA$175</f>
        <v/>
      </c>
      <c r="DB169" s="115">
        <f>+SUMIFS($F169:$M169,$F$7:$M$7,DB$7)*DB$175</f>
        <v/>
      </c>
      <c r="DC169" s="115">
        <f>+SUMIFS($F169:$M169,$F$7:$M$7,DC$7)*DC$175</f>
        <v/>
      </c>
      <c r="DD169" s="115">
        <f>+SUMIFS($F169:$M169,$F$7:$M$7,DD$7)*DD$175</f>
        <v/>
      </c>
      <c r="DE169" s="115">
        <f>+SUMIFS($F169:$M169,$F$7:$M$7,DE$7)*DE$175</f>
        <v/>
      </c>
      <c r="DF169" s="115">
        <f>+SUMIFS($F169:$M169,$F$7:$M$7,DF$7)*DF$175</f>
        <v/>
      </c>
      <c r="DG169" s="115">
        <f>+SUMIFS($F169:$M169,$F$7:$M$7,DG$7)*DG$175</f>
        <v/>
      </c>
      <c r="DH169" s="115">
        <f>+SUMIFS($F169:$M169,$F$7:$M$7,DH$7)*DH$175</f>
        <v/>
      </c>
      <c r="DI169" s="115">
        <f>+SUMIFS($F169:$M169,$F$7:$M$7,DI$7)*DI$175</f>
        <v/>
      </c>
      <c r="DJ169" s="115">
        <f>+SUMIFS($F169:$M169,$F$7:$M$7,DJ$7)*DJ$175</f>
        <v/>
      </c>
      <c r="DK169" s="115">
        <f>+SUMIFS($F169:$M169,$F$7:$M$7,DK$7)*DK$175</f>
        <v/>
      </c>
      <c r="DL169" s="115">
        <f>+SUMIFS($F169:$M169,$F$7:$M$7,DL$7)*DL$175</f>
        <v/>
      </c>
      <c r="DM169" s="115">
        <f>+SUMIFS($F169:$M169,$F$7:$M$7,DM$7)*DM$175</f>
        <v/>
      </c>
      <c r="DN169" s="115">
        <f>+SUMIFS($F169:$M169,$F$7:$M$7,DN$7)*DN$175</f>
        <v/>
      </c>
      <c r="DO169" s="115">
        <f>+SUMIFS($F169:$M169,$F$7:$M$7,DO$7)*DO$175</f>
        <v/>
      </c>
      <c r="DP169" s="115">
        <f>+SUMIFS($F169:$M169,$F$7:$M$7,DP$7)*DP$175</f>
        <v/>
      </c>
      <c r="DQ169" s="115">
        <f>+SUMIFS($F169:$M169,$F$7:$M$7,DQ$7)*DQ$175</f>
        <v/>
      </c>
      <c r="DR169" s="115">
        <f>+SUMIFS($F169:$M169,$F$7:$M$7,DR$7)*DR$175</f>
        <v/>
      </c>
    </row>
    <row r="170" ht="15.75" customHeight="1">
      <c r="B170" s="5" t="inlineStr">
        <is>
          <t>Major</t>
        </is>
      </c>
      <c r="F170" s="46">
        <f>+SUMIFS($AA170:$DR170,$AA$7:$DR$7,F$7)</f>
        <v/>
      </c>
      <c r="G170" s="46">
        <f>+SUMIFS($AA170:$DR170,$AA$7:$DR$7,G$7)</f>
        <v/>
      </c>
      <c r="H170" s="46">
        <f>+SUMIFS($AA170:$DR170,$AA$7:$DR$7,H$7)</f>
        <v/>
      </c>
      <c r="I170" s="48">
        <f>+I163*(1-COGS_Assumptions!I25)</f>
        <v/>
      </c>
      <c r="J170" s="48">
        <f>+J163*(1-COGS_Assumptions!J25)</f>
        <v/>
      </c>
      <c r="K170" s="48">
        <f>+K163*(1-COGS_Assumptions!K25)</f>
        <v/>
      </c>
      <c r="L170" s="48">
        <f>+L163*(1-COGS_Assumptions!L25)</f>
        <v/>
      </c>
      <c r="M170" s="48">
        <f>+M163*(1-COGS_Assumptions!M25)</f>
        <v/>
      </c>
      <c r="AA170" s="46">
        <f>+SUMIFS(AA$112:AA$157,$C$13:$C$58,$B170)</f>
        <v/>
      </c>
      <c r="AB170" s="46">
        <f>+SUMIFS(AB$112:AB$157,$C$13:$C$58,$B170)</f>
        <v/>
      </c>
      <c r="AC170" s="46">
        <f>+SUMIFS(AC$112:AC$157,$C$13:$C$58,$B170)</f>
        <v/>
      </c>
      <c r="AD170" s="46">
        <f>+SUMIFS(AD$112:AD$157,$C$13:$C$58,$B170)</f>
        <v/>
      </c>
      <c r="AE170" s="46">
        <f>+SUMIFS(AE$112:AE$157,$C$13:$C$58,$B170)</f>
        <v/>
      </c>
      <c r="AF170" s="46">
        <f>+SUMIFS(AF$112:AF$157,$C$13:$C$58,$B170)</f>
        <v/>
      </c>
      <c r="AG170" s="46">
        <f>+SUMIFS(AG$112:AG$157,$C$13:$C$58,$B170)</f>
        <v/>
      </c>
      <c r="AH170" s="46">
        <f>+SUMIFS(AH$112:AH$157,$C$13:$C$58,$B170)</f>
        <v/>
      </c>
      <c r="AI170" s="46">
        <f>+SUMIFS(AI$112:AI$157,$C$13:$C$58,$B170)</f>
        <v/>
      </c>
      <c r="AJ170" s="46">
        <f>+SUMIFS(AJ$112:AJ$157,$C$13:$C$58,$B170)</f>
        <v/>
      </c>
      <c r="AK170" s="46">
        <f>+SUMIFS(AK$112:AK$157,$C$13:$C$58,$B170)</f>
        <v/>
      </c>
      <c r="AL170" s="46">
        <f>+SUMIFS(AL$112:AL$157,$C$13:$C$58,$B170)</f>
        <v/>
      </c>
      <c r="AM170" s="46">
        <f>+SUMIFS(AM$112:AM$157,$C$13:$C$58,$B170)</f>
        <v/>
      </c>
      <c r="AN170" s="46">
        <f>+SUMIFS(AN$112:AN$157,$C$13:$C$58,$B170)</f>
        <v/>
      </c>
      <c r="AO170" s="46">
        <f>+SUMIFS(AO$112:AO$157,$C$13:$C$58,$B170)</f>
        <v/>
      </c>
      <c r="AP170" s="46">
        <f>+SUMIFS(AP$112:AP$157,$C$13:$C$58,$B170)</f>
        <v/>
      </c>
      <c r="AQ170" s="46">
        <f>+SUMIFS(AQ$112:AQ$157,$C$13:$C$58,$B170)</f>
        <v/>
      </c>
      <c r="AR170" s="46">
        <f>+SUMIFS(AR$112:AR$157,$C$13:$C$58,$B170)</f>
        <v/>
      </c>
      <c r="AS170" s="46">
        <f>+SUMIFS(AS$112:AS$157,$C$13:$C$58,$B170)</f>
        <v/>
      </c>
      <c r="AT170" s="46">
        <f>+SUMIFS(AT$112:AT$157,$C$13:$C$58,$B170)</f>
        <v/>
      </c>
      <c r="AU170" s="46">
        <f>+SUMIFS(AU$112:AU$157,$C$13:$C$58,$B170)</f>
        <v/>
      </c>
      <c r="AV170" s="46">
        <f>+SUMIFS(AV$112:AV$157,$C$13:$C$58,$B170)</f>
        <v/>
      </c>
      <c r="AW170" s="46">
        <f>+SUMIFS(AW$112:AW$157,$C$13:$C$58,$B170)</f>
        <v/>
      </c>
      <c r="AX170" s="46">
        <f>+SUMIFS(AX$112:AX$157,$C$13:$C$58,$B170)</f>
        <v/>
      </c>
      <c r="AY170" s="46">
        <f>+SUMIFS(AY$112:AY$157,$C$13:$C$58,$B170)</f>
        <v/>
      </c>
      <c r="AZ170" s="46">
        <f>+SUMIFS(AZ$112:AZ$157,$C$13:$C$58,$B170)</f>
        <v/>
      </c>
      <c r="BA170" s="46">
        <f>+SUMIFS(BA$112:BA$157,$C$13:$C$58,$B170)</f>
        <v/>
      </c>
      <c r="BB170" s="46">
        <f>+SUMIFS(BB$112:BB$157,$C$13:$C$58,$B170)</f>
        <v/>
      </c>
      <c r="BC170" s="46">
        <f>+SUMIFS(BC$112:BC$157,$C$13:$C$58,$B170)</f>
        <v/>
      </c>
      <c r="BD170" s="46">
        <f>+SUMIFS(BD$112:BD$157,$C$13:$C$58,$B170)</f>
        <v/>
      </c>
      <c r="BE170" s="46">
        <f>+SUMIFS(BE$112:BE$157,$C$13:$C$58,$B170)</f>
        <v/>
      </c>
      <c r="BF170" s="46">
        <f>+SUMIFS(BF$112:BF$157,$C$13:$C$58,$B170)</f>
        <v/>
      </c>
      <c r="BG170" s="46">
        <f>+SUMIFS(BG$112:BG$157,$C$13:$C$58,$B170)</f>
        <v/>
      </c>
      <c r="BH170" s="46">
        <f>+SUMIFS(BH$112:BH$157,$C$13:$C$58,$B170)</f>
        <v/>
      </c>
      <c r="BI170" s="46">
        <f>+SUMIFS(BI$112:BI$157,$C$13:$C$58,$B170)</f>
        <v/>
      </c>
      <c r="BJ170" s="46">
        <f>+SUMIFS(BJ$112:BJ$157,$C$13:$C$58,$B170)</f>
        <v/>
      </c>
      <c r="BK170" s="115">
        <f>+SUMIFS($F170:$M170,$F$7:$M$7,BK$7)*BK$175</f>
        <v/>
      </c>
      <c r="BL170" s="115">
        <f>+SUMIFS($F170:$M170,$F$7:$M$7,BL$7)*BL$175</f>
        <v/>
      </c>
      <c r="BM170" s="115">
        <f>+SUMIFS($F170:$M170,$F$7:$M$7,BM$7)*BM$175</f>
        <v/>
      </c>
      <c r="BN170" s="115">
        <f>+SUMIFS($F170:$M170,$F$7:$M$7,BN$7)*BN$175</f>
        <v/>
      </c>
      <c r="BO170" s="115">
        <f>+SUMIFS($F170:$M170,$F$7:$M$7,BO$7)*BO$175</f>
        <v/>
      </c>
      <c r="BP170" s="115">
        <f>+SUMIFS($F170:$M170,$F$7:$M$7,BP$7)*BP$175</f>
        <v/>
      </c>
      <c r="BQ170" s="115">
        <f>+SUMIFS($F170:$M170,$F$7:$M$7,BQ$7)*BQ$175</f>
        <v/>
      </c>
      <c r="BR170" s="115">
        <f>+SUMIFS($F170:$M170,$F$7:$M$7,BR$7)*BR$175</f>
        <v/>
      </c>
      <c r="BS170" s="115">
        <f>+SUMIFS($F170:$M170,$F$7:$M$7,BS$7)*BS$175</f>
        <v/>
      </c>
      <c r="BT170" s="115">
        <f>+SUMIFS($F170:$M170,$F$7:$M$7,BT$7)*BT$175</f>
        <v/>
      </c>
      <c r="BU170" s="115">
        <f>+SUMIFS($F170:$M170,$F$7:$M$7,BU$7)*BU$175</f>
        <v/>
      </c>
      <c r="BV170" s="115">
        <f>+SUMIFS($F170:$M170,$F$7:$M$7,BV$7)*BV$175</f>
        <v/>
      </c>
      <c r="BW170" s="115">
        <f>+SUMIFS($F170:$M170,$F$7:$M$7,BW$7)*BW$175</f>
        <v/>
      </c>
      <c r="BX170" s="115">
        <f>+SUMIFS($F170:$M170,$F$7:$M$7,BX$7)*BX$175</f>
        <v/>
      </c>
      <c r="BY170" s="115">
        <f>+SUMIFS($F170:$M170,$F$7:$M$7,BY$7)*BY$175</f>
        <v/>
      </c>
      <c r="BZ170" s="115">
        <f>+SUMIFS($F170:$M170,$F$7:$M$7,BZ$7)*BZ$175</f>
        <v/>
      </c>
      <c r="CA170" s="115">
        <f>+SUMIFS($F170:$M170,$F$7:$M$7,CA$7)*CA$175</f>
        <v/>
      </c>
      <c r="CB170" s="115">
        <f>+SUMIFS($F170:$M170,$F$7:$M$7,CB$7)*CB$175</f>
        <v/>
      </c>
      <c r="CC170" s="115">
        <f>+SUMIFS($F170:$M170,$F$7:$M$7,CC$7)*CC$175</f>
        <v/>
      </c>
      <c r="CD170" s="115">
        <f>+SUMIFS($F170:$M170,$F$7:$M$7,CD$7)*CD$175</f>
        <v/>
      </c>
      <c r="CE170" s="115">
        <f>+SUMIFS($F170:$M170,$F$7:$M$7,CE$7)*CE$175</f>
        <v/>
      </c>
      <c r="CF170" s="115">
        <f>+SUMIFS($F170:$M170,$F$7:$M$7,CF$7)*CF$175</f>
        <v/>
      </c>
      <c r="CG170" s="115">
        <f>+SUMIFS($F170:$M170,$F$7:$M$7,CG$7)*CG$175</f>
        <v/>
      </c>
      <c r="CH170" s="115">
        <f>+SUMIFS($F170:$M170,$F$7:$M$7,CH$7)*CH$175</f>
        <v/>
      </c>
      <c r="CI170" s="115">
        <f>+SUMIFS($F170:$M170,$F$7:$M$7,CI$7)*CI$175</f>
        <v/>
      </c>
      <c r="CJ170" s="115">
        <f>+SUMIFS($F170:$M170,$F$7:$M$7,CJ$7)*CJ$175</f>
        <v/>
      </c>
      <c r="CK170" s="115">
        <f>+SUMIFS($F170:$M170,$F$7:$M$7,CK$7)*CK$175</f>
        <v/>
      </c>
      <c r="CL170" s="115">
        <f>+SUMIFS($F170:$M170,$F$7:$M$7,CL$7)*CL$175</f>
        <v/>
      </c>
      <c r="CM170" s="115">
        <f>+SUMIFS($F170:$M170,$F$7:$M$7,CM$7)*CM$175</f>
        <v/>
      </c>
      <c r="CN170" s="115">
        <f>+SUMIFS($F170:$M170,$F$7:$M$7,CN$7)*CN$175</f>
        <v/>
      </c>
      <c r="CO170" s="115">
        <f>+SUMIFS($F170:$M170,$F$7:$M$7,CO$7)*CO$175</f>
        <v/>
      </c>
      <c r="CP170" s="115">
        <f>+SUMIFS($F170:$M170,$F$7:$M$7,CP$7)*CP$175</f>
        <v/>
      </c>
      <c r="CQ170" s="115">
        <f>+SUMIFS($F170:$M170,$F$7:$M$7,CQ$7)*CQ$175</f>
        <v/>
      </c>
      <c r="CR170" s="115">
        <f>+SUMIFS($F170:$M170,$F$7:$M$7,CR$7)*CR$175</f>
        <v/>
      </c>
      <c r="CS170" s="115">
        <f>+SUMIFS($F170:$M170,$F$7:$M$7,CS$7)*CS$175</f>
        <v/>
      </c>
      <c r="CT170" s="115">
        <f>+SUMIFS($F170:$M170,$F$7:$M$7,CT$7)*CT$175</f>
        <v/>
      </c>
      <c r="CU170" s="115">
        <f>+SUMIFS($F170:$M170,$F$7:$M$7,CU$7)*CU$175</f>
        <v/>
      </c>
      <c r="CV170" s="115">
        <f>+SUMIFS($F170:$M170,$F$7:$M$7,CV$7)*CV$175</f>
        <v/>
      </c>
      <c r="CW170" s="115">
        <f>+SUMIFS($F170:$M170,$F$7:$M$7,CW$7)*CW$175</f>
        <v/>
      </c>
      <c r="CX170" s="115">
        <f>+SUMIFS($F170:$M170,$F$7:$M$7,CX$7)*CX$175</f>
        <v/>
      </c>
      <c r="CY170" s="115">
        <f>+SUMIFS($F170:$M170,$F$7:$M$7,CY$7)*CY$175</f>
        <v/>
      </c>
      <c r="CZ170" s="115">
        <f>+SUMIFS($F170:$M170,$F$7:$M$7,CZ$7)*CZ$175</f>
        <v/>
      </c>
      <c r="DA170" s="115">
        <f>+SUMIFS($F170:$M170,$F$7:$M$7,DA$7)*DA$175</f>
        <v/>
      </c>
      <c r="DB170" s="115">
        <f>+SUMIFS($F170:$M170,$F$7:$M$7,DB$7)*DB$175</f>
        <v/>
      </c>
      <c r="DC170" s="115">
        <f>+SUMIFS($F170:$M170,$F$7:$M$7,DC$7)*DC$175</f>
        <v/>
      </c>
      <c r="DD170" s="115">
        <f>+SUMIFS($F170:$M170,$F$7:$M$7,DD$7)*DD$175</f>
        <v/>
      </c>
      <c r="DE170" s="115">
        <f>+SUMIFS($F170:$M170,$F$7:$M$7,DE$7)*DE$175</f>
        <v/>
      </c>
      <c r="DF170" s="115">
        <f>+SUMIFS($F170:$M170,$F$7:$M$7,DF$7)*DF$175</f>
        <v/>
      </c>
      <c r="DG170" s="115">
        <f>+SUMIFS($F170:$M170,$F$7:$M$7,DG$7)*DG$175</f>
        <v/>
      </c>
      <c r="DH170" s="115">
        <f>+SUMIFS($F170:$M170,$F$7:$M$7,DH$7)*DH$175</f>
        <v/>
      </c>
      <c r="DI170" s="115">
        <f>+SUMIFS($F170:$M170,$F$7:$M$7,DI$7)*DI$175</f>
        <v/>
      </c>
      <c r="DJ170" s="115">
        <f>+SUMIFS($F170:$M170,$F$7:$M$7,DJ$7)*DJ$175</f>
        <v/>
      </c>
      <c r="DK170" s="115">
        <f>+SUMIFS($F170:$M170,$F$7:$M$7,DK$7)*DK$175</f>
        <v/>
      </c>
      <c r="DL170" s="115">
        <f>+SUMIFS($F170:$M170,$F$7:$M$7,DL$7)*DL$175</f>
        <v/>
      </c>
      <c r="DM170" s="115">
        <f>+SUMIFS($F170:$M170,$F$7:$M$7,DM$7)*DM$175</f>
        <v/>
      </c>
      <c r="DN170" s="115">
        <f>+SUMIFS($F170:$M170,$F$7:$M$7,DN$7)*DN$175</f>
        <v/>
      </c>
      <c r="DO170" s="115">
        <f>+SUMIFS($F170:$M170,$F$7:$M$7,DO$7)*DO$175</f>
        <v/>
      </c>
      <c r="DP170" s="115">
        <f>+SUMIFS($F170:$M170,$F$7:$M$7,DP$7)*DP$175</f>
        <v/>
      </c>
      <c r="DQ170" s="115">
        <f>+SUMIFS($F170:$M170,$F$7:$M$7,DQ$7)*DQ$175</f>
        <v/>
      </c>
      <c r="DR170" s="115">
        <f>+SUMIFS($F170:$M170,$F$7:$M$7,DR$7)*DR$175</f>
        <v/>
      </c>
    </row>
    <row r="171" ht="15.75" customHeight="1">
      <c r="B171" s="5" t="inlineStr">
        <is>
          <t>Upper Middle Market</t>
        </is>
      </c>
      <c r="F171" s="46">
        <f>+SUMIFS($AA171:$DR171,$AA$7:$DR$7,F$7)</f>
        <v/>
      </c>
      <c r="G171" s="46">
        <f>+SUMIFS($AA171:$DR171,$AA$7:$DR$7,G$7)</f>
        <v/>
      </c>
      <c r="H171" s="46">
        <f>+SUMIFS($AA171:$DR171,$AA$7:$DR$7,H$7)</f>
        <v/>
      </c>
      <c r="I171" s="48">
        <f>+I164*(1-COGS_Assumptions!I26)</f>
        <v/>
      </c>
      <c r="J171" s="48">
        <f>+J164*(1-COGS_Assumptions!J26)</f>
        <v/>
      </c>
      <c r="K171" s="48">
        <f>+K164*(1-COGS_Assumptions!K26)</f>
        <v/>
      </c>
      <c r="L171" s="48">
        <f>+L164*(1-COGS_Assumptions!L26)</f>
        <v/>
      </c>
      <c r="M171" s="48">
        <f>+M164*(1-COGS_Assumptions!M26)</f>
        <v/>
      </c>
      <c r="AA171" s="46">
        <f>+SUMIFS(AA$112:AA$157,$C$13:$C$58,$B171)</f>
        <v/>
      </c>
      <c r="AB171" s="46">
        <f>+SUMIFS(AB$112:AB$157,$C$13:$C$58,$B171)</f>
        <v/>
      </c>
      <c r="AC171" s="46">
        <f>+SUMIFS(AC$112:AC$157,$C$13:$C$58,$B171)</f>
        <v/>
      </c>
      <c r="AD171" s="46">
        <f>+SUMIFS(AD$112:AD$157,$C$13:$C$58,$B171)</f>
        <v/>
      </c>
      <c r="AE171" s="46">
        <f>+SUMIFS(AE$112:AE$157,$C$13:$C$58,$B171)</f>
        <v/>
      </c>
      <c r="AF171" s="46">
        <f>+SUMIFS(AF$112:AF$157,$C$13:$C$58,$B171)</f>
        <v/>
      </c>
      <c r="AG171" s="46">
        <f>+SUMIFS(AG$112:AG$157,$C$13:$C$58,$B171)</f>
        <v/>
      </c>
      <c r="AH171" s="46">
        <f>+SUMIFS(AH$112:AH$157,$C$13:$C$58,$B171)</f>
        <v/>
      </c>
      <c r="AI171" s="46">
        <f>+SUMIFS(AI$112:AI$157,$C$13:$C$58,$B171)</f>
        <v/>
      </c>
      <c r="AJ171" s="46">
        <f>+SUMIFS(AJ$112:AJ$157,$C$13:$C$58,$B171)</f>
        <v/>
      </c>
      <c r="AK171" s="46">
        <f>+SUMIFS(AK$112:AK$157,$C$13:$C$58,$B171)</f>
        <v/>
      </c>
      <c r="AL171" s="46">
        <f>+SUMIFS(AL$112:AL$157,$C$13:$C$58,$B171)</f>
        <v/>
      </c>
      <c r="AM171" s="46">
        <f>+SUMIFS(AM$112:AM$157,$C$13:$C$58,$B171)</f>
        <v/>
      </c>
      <c r="AN171" s="46">
        <f>+SUMIFS(AN$112:AN$157,$C$13:$C$58,$B171)</f>
        <v/>
      </c>
      <c r="AO171" s="46">
        <f>+SUMIFS(AO$112:AO$157,$C$13:$C$58,$B171)</f>
        <v/>
      </c>
      <c r="AP171" s="46">
        <f>+SUMIFS(AP$112:AP$157,$C$13:$C$58,$B171)</f>
        <v/>
      </c>
      <c r="AQ171" s="46">
        <f>+SUMIFS(AQ$112:AQ$157,$C$13:$C$58,$B171)</f>
        <v/>
      </c>
      <c r="AR171" s="46">
        <f>+SUMIFS(AR$112:AR$157,$C$13:$C$58,$B171)</f>
        <v/>
      </c>
      <c r="AS171" s="46">
        <f>+SUMIFS(AS$112:AS$157,$C$13:$C$58,$B171)</f>
        <v/>
      </c>
      <c r="AT171" s="46">
        <f>+SUMIFS(AT$112:AT$157,$C$13:$C$58,$B171)</f>
        <v/>
      </c>
      <c r="AU171" s="46">
        <f>+SUMIFS(AU$112:AU$157,$C$13:$C$58,$B171)</f>
        <v/>
      </c>
      <c r="AV171" s="46">
        <f>+SUMIFS(AV$112:AV$157,$C$13:$C$58,$B171)</f>
        <v/>
      </c>
      <c r="AW171" s="46">
        <f>+SUMIFS(AW$112:AW$157,$C$13:$C$58,$B171)</f>
        <v/>
      </c>
      <c r="AX171" s="46">
        <f>+SUMIFS(AX$112:AX$157,$C$13:$C$58,$B171)</f>
        <v/>
      </c>
      <c r="AY171" s="46">
        <f>+SUMIFS(AY$112:AY$157,$C$13:$C$58,$B171)</f>
        <v/>
      </c>
      <c r="AZ171" s="46">
        <f>+SUMIFS(AZ$112:AZ$157,$C$13:$C$58,$B171)</f>
        <v/>
      </c>
      <c r="BA171" s="46">
        <f>+SUMIFS(BA$112:BA$157,$C$13:$C$58,$B171)</f>
        <v/>
      </c>
      <c r="BB171" s="46">
        <f>+SUMIFS(BB$112:BB$157,$C$13:$C$58,$B171)</f>
        <v/>
      </c>
      <c r="BC171" s="46">
        <f>+SUMIFS(BC$112:BC$157,$C$13:$C$58,$B171)</f>
        <v/>
      </c>
      <c r="BD171" s="46">
        <f>+SUMIFS(BD$112:BD$157,$C$13:$C$58,$B171)</f>
        <v/>
      </c>
      <c r="BE171" s="46">
        <f>+SUMIFS(BE$112:BE$157,$C$13:$C$58,$B171)</f>
        <v/>
      </c>
      <c r="BF171" s="46">
        <f>+SUMIFS(BF$112:BF$157,$C$13:$C$58,$B171)</f>
        <v/>
      </c>
      <c r="BG171" s="46">
        <f>+SUMIFS(BG$112:BG$157,$C$13:$C$58,$B171)</f>
        <v/>
      </c>
      <c r="BH171" s="46">
        <f>+SUMIFS(BH$112:BH$157,$C$13:$C$58,$B171)</f>
        <v/>
      </c>
      <c r="BI171" s="46">
        <f>+SUMIFS(BI$112:BI$157,$C$13:$C$58,$B171)</f>
        <v/>
      </c>
      <c r="BJ171" s="46">
        <f>+SUMIFS(BJ$112:BJ$157,$C$13:$C$58,$B171)</f>
        <v/>
      </c>
      <c r="BK171" s="115">
        <f>+SUMIFS($F171:$M171,$F$7:$M$7,BK$7)*BK$75</f>
        <v/>
      </c>
      <c r="BL171" s="115">
        <f>+SUMIFS($F171:$M171,$F$7:$M$7,BL$7)*BL$75</f>
        <v/>
      </c>
      <c r="BM171" s="115">
        <f>+SUMIFS($F171:$M171,$F$7:$M$7,BM$7)*BM$75</f>
        <v/>
      </c>
      <c r="BN171" s="115">
        <f>+SUMIFS($F171:$M171,$F$7:$M$7,BN$7)*BN$75</f>
        <v/>
      </c>
      <c r="BO171" s="115">
        <f>+SUMIFS($F171:$M171,$F$7:$M$7,BO$7)*BO$75</f>
        <v/>
      </c>
      <c r="BP171" s="115">
        <f>+SUMIFS($F171:$M171,$F$7:$M$7,BP$7)*BP$75</f>
        <v/>
      </c>
      <c r="BQ171" s="115">
        <f>+SUMIFS($F171:$M171,$F$7:$M$7,BQ$7)*BQ$75</f>
        <v/>
      </c>
      <c r="BR171" s="115">
        <f>+SUMIFS($F171:$M171,$F$7:$M$7,BR$7)*BR$75</f>
        <v/>
      </c>
      <c r="BS171" s="115">
        <f>+SUMIFS($F171:$M171,$F$7:$M$7,BS$7)*BS$75</f>
        <v/>
      </c>
      <c r="BT171" s="115">
        <f>+SUMIFS($F171:$M171,$F$7:$M$7,BT$7)*BT$75</f>
        <v/>
      </c>
      <c r="BU171" s="115">
        <f>+SUMIFS($F171:$M171,$F$7:$M$7,BU$7)*BU$75</f>
        <v/>
      </c>
      <c r="BV171" s="115">
        <f>+SUMIFS($F171:$M171,$F$7:$M$7,BV$7)*BV$75</f>
        <v/>
      </c>
      <c r="BW171" s="115">
        <f>+SUMIFS($F171:$M171,$F$7:$M$7,BW$7)*BW$75</f>
        <v/>
      </c>
      <c r="BX171" s="115">
        <f>+SUMIFS($F171:$M171,$F$7:$M$7,BX$7)*BX$75</f>
        <v/>
      </c>
      <c r="BY171" s="115">
        <f>+SUMIFS($F171:$M171,$F$7:$M$7,BY$7)*BY$75</f>
        <v/>
      </c>
      <c r="BZ171" s="115">
        <f>+SUMIFS($F171:$M171,$F$7:$M$7,BZ$7)*BZ$75</f>
        <v/>
      </c>
      <c r="CA171" s="115">
        <f>+SUMIFS($F171:$M171,$F$7:$M$7,CA$7)*CA$75</f>
        <v/>
      </c>
      <c r="CB171" s="115">
        <f>+SUMIFS($F171:$M171,$F$7:$M$7,CB$7)*CB$75</f>
        <v/>
      </c>
      <c r="CC171" s="115">
        <f>+SUMIFS($F171:$M171,$F$7:$M$7,CC$7)*CC$75</f>
        <v/>
      </c>
      <c r="CD171" s="115">
        <f>+SUMIFS($F171:$M171,$F$7:$M$7,CD$7)*CD$75</f>
        <v/>
      </c>
      <c r="CE171" s="115">
        <f>+SUMIFS($F171:$M171,$F$7:$M$7,CE$7)*CE$75</f>
        <v/>
      </c>
      <c r="CF171" s="115">
        <f>+SUMIFS($F171:$M171,$F$7:$M$7,CF$7)*CF$75</f>
        <v/>
      </c>
      <c r="CG171" s="115">
        <f>+SUMIFS($F171:$M171,$F$7:$M$7,CG$7)*CG$75</f>
        <v/>
      </c>
      <c r="CH171" s="115">
        <f>+SUMIFS($F171:$M171,$F$7:$M$7,CH$7)*CH$75</f>
        <v/>
      </c>
      <c r="CI171" s="115">
        <f>+SUMIFS($F171:$M171,$F$7:$M$7,CI$7)*CI$75</f>
        <v/>
      </c>
      <c r="CJ171" s="115">
        <f>+SUMIFS($F171:$M171,$F$7:$M$7,CJ$7)*CJ$75</f>
        <v/>
      </c>
      <c r="CK171" s="115">
        <f>+SUMIFS($F171:$M171,$F$7:$M$7,CK$7)*CK$75</f>
        <v/>
      </c>
      <c r="CL171" s="115">
        <f>+SUMIFS($F171:$M171,$F$7:$M$7,CL$7)*CL$75</f>
        <v/>
      </c>
      <c r="CM171" s="115">
        <f>+SUMIFS($F171:$M171,$F$7:$M$7,CM$7)*CM$75</f>
        <v/>
      </c>
      <c r="CN171" s="115">
        <f>+SUMIFS($F171:$M171,$F$7:$M$7,CN$7)*CN$75</f>
        <v/>
      </c>
      <c r="CO171" s="115">
        <f>+SUMIFS($F171:$M171,$F$7:$M$7,CO$7)*CO$75</f>
        <v/>
      </c>
      <c r="CP171" s="115">
        <f>+SUMIFS($F171:$M171,$F$7:$M$7,CP$7)*CP$75</f>
        <v/>
      </c>
      <c r="CQ171" s="115">
        <f>+SUMIFS($F171:$M171,$F$7:$M$7,CQ$7)*CQ$75</f>
        <v/>
      </c>
      <c r="CR171" s="115">
        <f>+SUMIFS($F171:$M171,$F$7:$M$7,CR$7)*CR$75</f>
        <v/>
      </c>
      <c r="CS171" s="115">
        <f>+SUMIFS($F171:$M171,$F$7:$M$7,CS$7)*CS$75</f>
        <v/>
      </c>
      <c r="CT171" s="115">
        <f>+SUMIFS($F171:$M171,$F$7:$M$7,CT$7)*CT$75</f>
        <v/>
      </c>
      <c r="CU171" s="115">
        <f>+SUMIFS($F171:$M171,$F$7:$M$7,CU$7)*CU$75</f>
        <v/>
      </c>
      <c r="CV171" s="115">
        <f>+SUMIFS($F171:$M171,$F$7:$M$7,CV$7)*CV$75</f>
        <v/>
      </c>
      <c r="CW171" s="115">
        <f>+SUMIFS($F171:$M171,$F$7:$M$7,CW$7)*CW$75</f>
        <v/>
      </c>
      <c r="CX171" s="115">
        <f>+SUMIFS($F171:$M171,$F$7:$M$7,CX$7)*CX$75</f>
        <v/>
      </c>
      <c r="CY171" s="115">
        <f>+SUMIFS($F171:$M171,$F$7:$M$7,CY$7)*CY$75</f>
        <v/>
      </c>
      <c r="CZ171" s="115">
        <f>+SUMIFS($F171:$M171,$F$7:$M$7,CZ$7)*CZ$75</f>
        <v/>
      </c>
      <c r="DA171" s="115">
        <f>+SUMIFS($F171:$M171,$F$7:$M$7,DA$7)*DA$75</f>
        <v/>
      </c>
      <c r="DB171" s="115">
        <f>+SUMIFS($F171:$M171,$F$7:$M$7,DB$7)*DB$75</f>
        <v/>
      </c>
      <c r="DC171" s="115">
        <f>+SUMIFS($F171:$M171,$F$7:$M$7,DC$7)*DC$75</f>
        <v/>
      </c>
      <c r="DD171" s="115">
        <f>+SUMIFS($F171:$M171,$F$7:$M$7,DD$7)*DD$75</f>
        <v/>
      </c>
      <c r="DE171" s="115">
        <f>+SUMIFS($F171:$M171,$F$7:$M$7,DE$7)*DE$75</f>
        <v/>
      </c>
      <c r="DF171" s="115">
        <f>+SUMIFS($F171:$M171,$F$7:$M$7,DF$7)*DF$75</f>
        <v/>
      </c>
      <c r="DG171" s="115">
        <f>+SUMIFS($F171:$M171,$F$7:$M$7,DG$7)*DG$75</f>
        <v/>
      </c>
      <c r="DH171" s="115">
        <f>+SUMIFS($F171:$M171,$F$7:$M$7,DH$7)*DH$75</f>
        <v/>
      </c>
      <c r="DI171" s="115">
        <f>+SUMIFS($F171:$M171,$F$7:$M$7,DI$7)*DI$75</f>
        <v/>
      </c>
      <c r="DJ171" s="115">
        <f>+SUMIFS($F171:$M171,$F$7:$M$7,DJ$7)*DJ$75</f>
        <v/>
      </c>
      <c r="DK171" s="115">
        <f>+SUMIFS($F171:$M171,$F$7:$M$7,DK$7)*DK$75</f>
        <v/>
      </c>
      <c r="DL171" s="115">
        <f>+SUMIFS($F171:$M171,$F$7:$M$7,DL$7)*DL$75</f>
        <v/>
      </c>
      <c r="DM171" s="115">
        <f>+SUMIFS($F171:$M171,$F$7:$M$7,DM$7)*DM$75</f>
        <v/>
      </c>
      <c r="DN171" s="115">
        <f>+SUMIFS($F171:$M171,$F$7:$M$7,DN$7)*DN$75</f>
        <v/>
      </c>
      <c r="DO171" s="115">
        <f>+SUMIFS($F171:$M171,$F$7:$M$7,DO$7)*DO$75</f>
        <v/>
      </c>
      <c r="DP171" s="115">
        <f>+SUMIFS($F171:$M171,$F$7:$M$7,DP$7)*DP$75</f>
        <v/>
      </c>
      <c r="DQ171" s="115">
        <f>+SUMIFS($F171:$M171,$F$7:$M$7,DQ$7)*DQ$75</f>
        <v/>
      </c>
      <c r="DR171" s="115">
        <f>+SUMIFS($F171:$M171,$F$7:$M$7,DR$7)*DR$75</f>
        <v/>
      </c>
    </row>
    <row r="172" ht="15.75" customHeight="1">
      <c r="B172" s="5" t="inlineStr">
        <is>
          <t>Lower Middle Market</t>
        </is>
      </c>
      <c r="F172" s="46">
        <f>+SUMIFS($AA172:$DR172,$AA$7:$DR$7,F$7)</f>
        <v/>
      </c>
      <c r="G172" s="46">
        <f>+SUMIFS($AA172:$DR172,$AA$7:$DR$7,G$7)</f>
        <v/>
      </c>
      <c r="H172" s="46">
        <f>+SUMIFS($AA172:$DR172,$AA$7:$DR$7,H$7)</f>
        <v/>
      </c>
      <c r="I172" s="48">
        <f>+I165*(1-COGS_Assumptions!I27)</f>
        <v/>
      </c>
      <c r="J172" s="48">
        <f>+J165*(1-COGS_Assumptions!J27)</f>
        <v/>
      </c>
      <c r="K172" s="48">
        <f>+K165*(1-COGS_Assumptions!K27)</f>
        <v/>
      </c>
      <c r="L172" s="48">
        <f>+L165*(1-COGS_Assumptions!L27)</f>
        <v/>
      </c>
      <c r="M172" s="48">
        <f>+M165*(1-COGS_Assumptions!M27)</f>
        <v/>
      </c>
      <c r="AA172" s="46">
        <f>+SUMIFS(AA$112:AA$157,$C$13:$C$58,$B172)</f>
        <v/>
      </c>
      <c r="AB172" s="46">
        <f>+SUMIFS(AB$112:AB$157,$C$13:$C$58,$B172)</f>
        <v/>
      </c>
      <c r="AC172" s="46">
        <f>+SUMIFS(AC$112:AC$157,$C$13:$C$58,$B172)</f>
        <v/>
      </c>
      <c r="AD172" s="46">
        <f>+SUMIFS(AD$112:AD$157,$C$13:$C$58,$B172)</f>
        <v/>
      </c>
      <c r="AE172" s="46">
        <f>+SUMIFS(AE$112:AE$157,$C$13:$C$58,$B172)</f>
        <v/>
      </c>
      <c r="AF172" s="46">
        <f>+SUMIFS(AF$112:AF$157,$C$13:$C$58,$B172)</f>
        <v/>
      </c>
      <c r="AG172" s="46">
        <f>+SUMIFS(AG$112:AG$157,$C$13:$C$58,$B172)</f>
        <v/>
      </c>
      <c r="AH172" s="46">
        <f>+SUMIFS(AH$112:AH$157,$C$13:$C$58,$B172)</f>
        <v/>
      </c>
      <c r="AI172" s="46">
        <f>+SUMIFS(AI$112:AI$157,$C$13:$C$58,$B172)</f>
        <v/>
      </c>
      <c r="AJ172" s="46">
        <f>+SUMIFS(AJ$112:AJ$157,$C$13:$C$58,$B172)</f>
        <v/>
      </c>
      <c r="AK172" s="46">
        <f>+SUMIFS(AK$112:AK$157,$C$13:$C$58,$B172)</f>
        <v/>
      </c>
      <c r="AL172" s="46">
        <f>+SUMIFS(AL$112:AL$157,$C$13:$C$58,$B172)</f>
        <v/>
      </c>
      <c r="AM172" s="46">
        <f>+SUMIFS(AM$112:AM$157,$C$13:$C$58,$B172)</f>
        <v/>
      </c>
      <c r="AN172" s="46">
        <f>+SUMIFS(AN$112:AN$157,$C$13:$C$58,$B172)</f>
        <v/>
      </c>
      <c r="AO172" s="46">
        <f>+SUMIFS(AO$112:AO$157,$C$13:$C$58,$B172)</f>
        <v/>
      </c>
      <c r="AP172" s="46">
        <f>+SUMIFS(AP$112:AP$157,$C$13:$C$58,$B172)</f>
        <v/>
      </c>
      <c r="AQ172" s="46">
        <f>+SUMIFS(AQ$112:AQ$157,$C$13:$C$58,$B172)</f>
        <v/>
      </c>
      <c r="AR172" s="46">
        <f>+SUMIFS(AR$112:AR$157,$C$13:$C$58,$B172)</f>
        <v/>
      </c>
      <c r="AS172" s="46">
        <f>+SUMIFS(AS$112:AS$157,$C$13:$C$58,$B172)</f>
        <v/>
      </c>
      <c r="AT172" s="46">
        <f>+SUMIFS(AT$112:AT$157,$C$13:$C$58,$B172)</f>
        <v/>
      </c>
      <c r="AU172" s="46">
        <f>+SUMIFS(AU$112:AU$157,$C$13:$C$58,$B172)</f>
        <v/>
      </c>
      <c r="AV172" s="46">
        <f>+SUMIFS(AV$112:AV$157,$C$13:$C$58,$B172)</f>
        <v/>
      </c>
      <c r="AW172" s="46">
        <f>+SUMIFS(AW$112:AW$157,$C$13:$C$58,$B172)</f>
        <v/>
      </c>
      <c r="AX172" s="46">
        <f>+SUMIFS(AX$112:AX$157,$C$13:$C$58,$B172)</f>
        <v/>
      </c>
      <c r="AY172" s="46">
        <f>+SUMIFS(AY$112:AY$157,$C$13:$C$58,$B172)</f>
        <v/>
      </c>
      <c r="AZ172" s="46">
        <f>+SUMIFS(AZ$112:AZ$157,$C$13:$C$58,$B172)</f>
        <v/>
      </c>
      <c r="BA172" s="46">
        <f>+SUMIFS(BA$112:BA$157,$C$13:$C$58,$B172)</f>
        <v/>
      </c>
      <c r="BB172" s="46">
        <f>+SUMIFS(BB$112:BB$157,$C$13:$C$58,$B172)</f>
        <v/>
      </c>
      <c r="BC172" s="46">
        <f>+SUMIFS(BC$112:BC$157,$C$13:$C$58,$B172)</f>
        <v/>
      </c>
      <c r="BD172" s="46">
        <f>+SUMIFS(BD$112:BD$157,$C$13:$C$58,$B172)</f>
        <v/>
      </c>
      <c r="BE172" s="46">
        <f>+SUMIFS(BE$112:BE$157,$C$13:$C$58,$B172)</f>
        <v/>
      </c>
      <c r="BF172" s="46">
        <f>+SUMIFS(BF$112:BF$157,$C$13:$C$58,$B172)</f>
        <v/>
      </c>
      <c r="BG172" s="46">
        <f>+SUMIFS(BG$112:BG$157,$C$13:$C$58,$B172)</f>
        <v/>
      </c>
      <c r="BH172" s="46">
        <f>+SUMIFS(BH$112:BH$157,$C$13:$C$58,$B172)</f>
        <v/>
      </c>
      <c r="BI172" s="46">
        <f>+SUMIFS(BI$112:BI$157,$C$13:$C$58,$B172)</f>
        <v/>
      </c>
      <c r="BJ172" s="46">
        <f>+SUMIFS(BJ$112:BJ$157,$C$13:$C$58,$B172)</f>
        <v/>
      </c>
      <c r="BK172" s="115">
        <f>+SUMIFS($F172:$M172,$F$7:$M$7,BK$7)*BK$75</f>
        <v/>
      </c>
      <c r="BL172" s="115">
        <f>+SUMIFS($F172:$M172,$F$7:$M$7,BL$7)*BL$75</f>
        <v/>
      </c>
      <c r="BM172" s="115">
        <f>+SUMIFS($F172:$M172,$F$7:$M$7,BM$7)*BM$75</f>
        <v/>
      </c>
      <c r="BN172" s="115">
        <f>+SUMIFS($F172:$M172,$F$7:$M$7,BN$7)*BN$75</f>
        <v/>
      </c>
      <c r="BO172" s="115">
        <f>+SUMIFS($F172:$M172,$F$7:$M$7,BO$7)*BO$75</f>
        <v/>
      </c>
      <c r="BP172" s="115">
        <f>+SUMIFS($F172:$M172,$F$7:$M$7,BP$7)*BP$75</f>
        <v/>
      </c>
      <c r="BQ172" s="115">
        <f>+SUMIFS($F172:$M172,$F$7:$M$7,BQ$7)*BQ$75</f>
        <v/>
      </c>
      <c r="BR172" s="115">
        <f>+SUMIFS($F172:$M172,$F$7:$M$7,BR$7)*BR$75</f>
        <v/>
      </c>
      <c r="BS172" s="115">
        <f>+SUMIFS($F172:$M172,$F$7:$M$7,BS$7)*BS$75</f>
        <v/>
      </c>
      <c r="BT172" s="115">
        <f>+SUMIFS($F172:$M172,$F$7:$M$7,BT$7)*BT$75</f>
        <v/>
      </c>
      <c r="BU172" s="115">
        <f>+SUMIFS($F172:$M172,$F$7:$M$7,BU$7)*BU$75</f>
        <v/>
      </c>
      <c r="BV172" s="115">
        <f>+SUMIFS($F172:$M172,$F$7:$M$7,BV$7)*BV$75</f>
        <v/>
      </c>
      <c r="BW172" s="115">
        <f>+SUMIFS($F172:$M172,$F$7:$M$7,BW$7)*BW$75</f>
        <v/>
      </c>
      <c r="BX172" s="115">
        <f>+SUMIFS($F172:$M172,$F$7:$M$7,BX$7)*BX$75</f>
        <v/>
      </c>
      <c r="BY172" s="115">
        <f>+SUMIFS($F172:$M172,$F$7:$M$7,BY$7)*BY$75</f>
        <v/>
      </c>
      <c r="BZ172" s="115">
        <f>+SUMIFS($F172:$M172,$F$7:$M$7,BZ$7)*BZ$75</f>
        <v/>
      </c>
      <c r="CA172" s="115">
        <f>+SUMIFS($F172:$M172,$F$7:$M$7,CA$7)*CA$75</f>
        <v/>
      </c>
      <c r="CB172" s="115">
        <f>+SUMIFS($F172:$M172,$F$7:$M$7,CB$7)*CB$75</f>
        <v/>
      </c>
      <c r="CC172" s="115">
        <f>+SUMIFS($F172:$M172,$F$7:$M$7,CC$7)*CC$75</f>
        <v/>
      </c>
      <c r="CD172" s="115">
        <f>+SUMIFS($F172:$M172,$F$7:$M$7,CD$7)*CD$75</f>
        <v/>
      </c>
      <c r="CE172" s="115">
        <f>+SUMIFS($F172:$M172,$F$7:$M$7,CE$7)*CE$75</f>
        <v/>
      </c>
      <c r="CF172" s="115">
        <f>+SUMIFS($F172:$M172,$F$7:$M$7,CF$7)*CF$75</f>
        <v/>
      </c>
      <c r="CG172" s="115">
        <f>+SUMIFS($F172:$M172,$F$7:$M$7,CG$7)*CG$75</f>
        <v/>
      </c>
      <c r="CH172" s="115">
        <f>+SUMIFS($F172:$M172,$F$7:$M$7,CH$7)*CH$75</f>
        <v/>
      </c>
      <c r="CI172" s="115">
        <f>+SUMIFS($F172:$M172,$F$7:$M$7,CI$7)*CI$75</f>
        <v/>
      </c>
      <c r="CJ172" s="115">
        <f>+SUMIFS($F172:$M172,$F$7:$M$7,CJ$7)*CJ$75</f>
        <v/>
      </c>
      <c r="CK172" s="115">
        <f>+SUMIFS($F172:$M172,$F$7:$M$7,CK$7)*CK$75</f>
        <v/>
      </c>
      <c r="CL172" s="115">
        <f>+SUMIFS($F172:$M172,$F$7:$M$7,CL$7)*CL$75</f>
        <v/>
      </c>
      <c r="CM172" s="115">
        <f>+SUMIFS($F172:$M172,$F$7:$M$7,CM$7)*CM$75</f>
        <v/>
      </c>
      <c r="CN172" s="115">
        <f>+SUMIFS($F172:$M172,$F$7:$M$7,CN$7)*CN$75</f>
        <v/>
      </c>
      <c r="CO172" s="115">
        <f>+SUMIFS($F172:$M172,$F$7:$M$7,CO$7)*CO$75</f>
        <v/>
      </c>
      <c r="CP172" s="115">
        <f>+SUMIFS($F172:$M172,$F$7:$M$7,CP$7)*CP$75</f>
        <v/>
      </c>
      <c r="CQ172" s="115">
        <f>+SUMIFS($F172:$M172,$F$7:$M$7,CQ$7)*CQ$75</f>
        <v/>
      </c>
      <c r="CR172" s="115">
        <f>+SUMIFS($F172:$M172,$F$7:$M$7,CR$7)*CR$75</f>
        <v/>
      </c>
      <c r="CS172" s="115">
        <f>+SUMIFS($F172:$M172,$F$7:$M$7,CS$7)*CS$75</f>
        <v/>
      </c>
      <c r="CT172" s="115">
        <f>+SUMIFS($F172:$M172,$F$7:$M$7,CT$7)*CT$75</f>
        <v/>
      </c>
      <c r="CU172" s="115">
        <f>+SUMIFS($F172:$M172,$F$7:$M$7,CU$7)*CU$75</f>
        <v/>
      </c>
      <c r="CV172" s="115">
        <f>+SUMIFS($F172:$M172,$F$7:$M$7,CV$7)*CV$75</f>
        <v/>
      </c>
      <c r="CW172" s="115">
        <f>+SUMIFS($F172:$M172,$F$7:$M$7,CW$7)*CW$75</f>
        <v/>
      </c>
      <c r="CX172" s="115">
        <f>+SUMIFS($F172:$M172,$F$7:$M$7,CX$7)*CX$75</f>
        <v/>
      </c>
      <c r="CY172" s="115">
        <f>+SUMIFS($F172:$M172,$F$7:$M$7,CY$7)*CY$75</f>
        <v/>
      </c>
      <c r="CZ172" s="115">
        <f>+SUMIFS($F172:$M172,$F$7:$M$7,CZ$7)*CZ$75</f>
        <v/>
      </c>
      <c r="DA172" s="115">
        <f>+SUMIFS($F172:$M172,$F$7:$M$7,DA$7)*DA$75</f>
        <v/>
      </c>
      <c r="DB172" s="115">
        <f>+SUMIFS($F172:$M172,$F$7:$M$7,DB$7)*DB$75</f>
        <v/>
      </c>
      <c r="DC172" s="115">
        <f>+SUMIFS($F172:$M172,$F$7:$M$7,DC$7)*DC$75</f>
        <v/>
      </c>
      <c r="DD172" s="115">
        <f>+SUMIFS($F172:$M172,$F$7:$M$7,DD$7)*DD$75</f>
        <v/>
      </c>
      <c r="DE172" s="115">
        <f>+SUMIFS($F172:$M172,$F$7:$M$7,DE$7)*DE$75</f>
        <v/>
      </c>
      <c r="DF172" s="115">
        <f>+SUMIFS($F172:$M172,$F$7:$M$7,DF$7)*DF$75</f>
        <v/>
      </c>
      <c r="DG172" s="115">
        <f>+SUMIFS($F172:$M172,$F$7:$M$7,DG$7)*DG$75</f>
        <v/>
      </c>
      <c r="DH172" s="115">
        <f>+SUMIFS($F172:$M172,$F$7:$M$7,DH$7)*DH$75</f>
        <v/>
      </c>
      <c r="DI172" s="115">
        <f>+SUMIFS($F172:$M172,$F$7:$M$7,DI$7)*DI$75</f>
        <v/>
      </c>
      <c r="DJ172" s="115">
        <f>+SUMIFS($F172:$M172,$F$7:$M$7,DJ$7)*DJ$75</f>
        <v/>
      </c>
      <c r="DK172" s="115">
        <f>+SUMIFS($F172:$M172,$F$7:$M$7,DK$7)*DK$75</f>
        <v/>
      </c>
      <c r="DL172" s="115">
        <f>+SUMIFS($F172:$M172,$F$7:$M$7,DL$7)*DL$75</f>
        <v/>
      </c>
      <c r="DM172" s="115">
        <f>+SUMIFS($F172:$M172,$F$7:$M$7,DM$7)*DM$75</f>
        <v/>
      </c>
      <c r="DN172" s="115">
        <f>+SUMIFS($F172:$M172,$F$7:$M$7,DN$7)*DN$75</f>
        <v/>
      </c>
      <c r="DO172" s="115">
        <f>+SUMIFS($F172:$M172,$F$7:$M$7,DO$7)*DO$75</f>
        <v/>
      </c>
      <c r="DP172" s="115">
        <f>+SUMIFS($F172:$M172,$F$7:$M$7,DP$7)*DP$75</f>
        <v/>
      </c>
      <c r="DQ172" s="115">
        <f>+SUMIFS($F172:$M172,$F$7:$M$7,DQ$7)*DQ$75</f>
        <v/>
      </c>
      <c r="DR172" s="115">
        <f>+SUMIFS($F172:$M172,$F$7:$M$7,DR$7)*DR$75</f>
        <v/>
      </c>
    </row>
    <row r="173" ht="15.75" customHeight="1">
      <c r="B173" s="50" t="inlineStr">
        <is>
          <t>Total</t>
        </is>
      </c>
      <c r="C173" s="50" t="n"/>
      <c r="D173" s="50" t="n"/>
      <c r="F173" s="51">
        <f>+SUMIFS($AA173:$DR173,$AA$7:$DR$7,F$7)</f>
        <v/>
      </c>
      <c r="G173" s="51">
        <f>+SUMIFS($AA173:$DR173,$AA$7:$DR$7,G$7)</f>
        <v/>
      </c>
      <c r="H173" s="51">
        <f>+SUMIFS($AA173:$DR173,$AA$7:$DR$7,H$7)</f>
        <v/>
      </c>
      <c r="I173" s="51">
        <f>+SUMIFS($AA173:$DR173,$AA$7:$DR$7,I$7)</f>
        <v/>
      </c>
      <c r="J173" s="51">
        <f>+SUMIFS($AA173:$DR173,$AA$7:$DR$7,J$7)</f>
        <v/>
      </c>
      <c r="K173" s="51">
        <f>+SUMIFS($AA173:$DR173,$AA$7:$DR$7,K$7)</f>
        <v/>
      </c>
      <c r="L173" s="51">
        <f>+SUMIFS($AA173:$DR173,$AA$7:$DR$7,L$7)</f>
        <v/>
      </c>
      <c r="M173" s="51">
        <f>+SUMIFS($AA173:$DR173,$AA$7:$DR$7,M$7)</f>
        <v/>
      </c>
      <c r="AA173" s="51">
        <f>SUM(AA169:AA172)</f>
        <v/>
      </c>
      <c r="AB173" s="51">
        <f>SUM(AB169:AB172)</f>
        <v/>
      </c>
      <c r="AC173" s="51">
        <f>SUM(AC169:AC172)</f>
        <v/>
      </c>
      <c r="AD173" s="51">
        <f>SUM(AD169:AD172)</f>
        <v/>
      </c>
      <c r="AE173" s="51">
        <f>SUM(AE169:AE172)</f>
        <v/>
      </c>
      <c r="AF173" s="51">
        <f>SUM(AF169:AF172)</f>
        <v/>
      </c>
      <c r="AG173" s="51">
        <f>SUM(AG169:AG172)</f>
        <v/>
      </c>
      <c r="AH173" s="51">
        <f>SUM(AH169:AH172)</f>
        <v/>
      </c>
      <c r="AI173" s="51">
        <f>SUM(AI169:AI172)</f>
        <v/>
      </c>
      <c r="AJ173" s="51">
        <f>SUM(AJ169:AJ172)</f>
        <v/>
      </c>
      <c r="AK173" s="51">
        <f>SUM(AK169:AK172)</f>
        <v/>
      </c>
      <c r="AL173" s="51">
        <f>SUM(AL169:AL172)</f>
        <v/>
      </c>
      <c r="AM173" s="51">
        <f>SUM(AM169:AM172)</f>
        <v/>
      </c>
      <c r="AN173" s="51">
        <f>SUM(AN169:AN172)</f>
        <v/>
      </c>
      <c r="AO173" s="51">
        <f>SUM(AO169:AO172)</f>
        <v/>
      </c>
      <c r="AP173" s="51">
        <f>SUM(AP169:AP172)</f>
        <v/>
      </c>
      <c r="AQ173" s="51">
        <f>SUM(AQ169:AQ172)</f>
        <v/>
      </c>
      <c r="AR173" s="51">
        <f>SUM(AR169:AR172)</f>
        <v/>
      </c>
      <c r="AS173" s="51">
        <f>SUM(AS169:AS172)</f>
        <v/>
      </c>
      <c r="AT173" s="51">
        <f>SUM(AT169:AT172)</f>
        <v/>
      </c>
      <c r="AU173" s="51">
        <f>SUM(AU169:AU172)</f>
        <v/>
      </c>
      <c r="AV173" s="51">
        <f>SUM(AV169:AV172)</f>
        <v/>
      </c>
      <c r="AW173" s="51">
        <f>SUM(AW169:AW172)</f>
        <v/>
      </c>
      <c r="AX173" s="51">
        <f>SUM(AX169:AX172)</f>
        <v/>
      </c>
      <c r="AY173" s="51">
        <f>SUM(AY169:AY172)</f>
        <v/>
      </c>
      <c r="AZ173" s="51">
        <f>SUM(AZ169:AZ172)</f>
        <v/>
      </c>
      <c r="BA173" s="51">
        <f>SUM(BA169:BA172)</f>
        <v/>
      </c>
      <c r="BB173" s="51">
        <f>SUM(BB169:BB172)</f>
        <v/>
      </c>
      <c r="BC173" s="51">
        <f>SUM(BC169:BC172)</f>
        <v/>
      </c>
      <c r="BD173" s="51">
        <f>SUM(BD169:BD172)</f>
        <v/>
      </c>
      <c r="BE173" s="51">
        <f>SUM(BE169:BE172)</f>
        <v/>
      </c>
      <c r="BF173" s="51">
        <f>SUM(BF169:BF172)</f>
        <v/>
      </c>
      <c r="BG173" s="51">
        <f>SUM(BG169:BG172)</f>
        <v/>
      </c>
      <c r="BH173" s="51">
        <f>SUM(BH169:BH172)</f>
        <v/>
      </c>
      <c r="BI173" s="51">
        <f>SUM(BI169:BI172)</f>
        <v/>
      </c>
      <c r="BJ173" s="51">
        <f>SUM(BJ169:BJ172)</f>
        <v/>
      </c>
      <c r="BK173" s="51">
        <f>SUM(BK169:BK172)</f>
        <v/>
      </c>
      <c r="BL173" s="51">
        <f>SUM(BL169:BL172)</f>
        <v/>
      </c>
      <c r="BM173" s="51">
        <f>SUM(BM169:BM172)</f>
        <v/>
      </c>
      <c r="BN173" s="51">
        <f>SUM(BN169:BN172)</f>
        <v/>
      </c>
      <c r="BO173" s="51">
        <f>SUM(BO169:BO172)</f>
        <v/>
      </c>
      <c r="BP173" s="51">
        <f>SUM(BP169:BP172)</f>
        <v/>
      </c>
      <c r="BQ173" s="51">
        <f>SUM(BQ169:BQ172)</f>
        <v/>
      </c>
      <c r="BR173" s="51">
        <f>SUM(BR169:BR172)</f>
        <v/>
      </c>
      <c r="BS173" s="51">
        <f>SUM(BS169:BS172)</f>
        <v/>
      </c>
      <c r="BT173" s="51">
        <f>SUM(BT169:BT172)</f>
        <v/>
      </c>
      <c r="BU173" s="51">
        <f>SUM(BU169:BU172)</f>
        <v/>
      </c>
      <c r="BV173" s="51">
        <f>SUM(BV169:BV172)</f>
        <v/>
      </c>
      <c r="BW173" s="51">
        <f>SUM(BW169:BW172)</f>
        <v/>
      </c>
      <c r="BX173" s="51">
        <f>SUM(BX169:BX172)</f>
        <v/>
      </c>
      <c r="BY173" s="51">
        <f>SUM(BY169:BY172)</f>
        <v/>
      </c>
      <c r="BZ173" s="51">
        <f>SUM(BZ169:BZ172)</f>
        <v/>
      </c>
      <c r="CA173" s="51">
        <f>SUM(CA169:CA172)</f>
        <v/>
      </c>
      <c r="CB173" s="51">
        <f>SUM(CB169:CB172)</f>
        <v/>
      </c>
      <c r="CC173" s="51">
        <f>SUM(CC169:CC172)</f>
        <v/>
      </c>
      <c r="CD173" s="51">
        <f>SUM(CD169:CD172)</f>
        <v/>
      </c>
      <c r="CE173" s="51">
        <f>SUM(CE169:CE172)</f>
        <v/>
      </c>
      <c r="CF173" s="51">
        <f>SUM(CF169:CF172)</f>
        <v/>
      </c>
      <c r="CG173" s="51">
        <f>SUM(CG169:CG172)</f>
        <v/>
      </c>
      <c r="CH173" s="51">
        <f>SUM(CH169:CH172)</f>
        <v/>
      </c>
      <c r="CI173" s="51">
        <f>SUM(CI169:CI172)</f>
        <v/>
      </c>
      <c r="CJ173" s="51">
        <f>SUM(CJ169:CJ172)</f>
        <v/>
      </c>
      <c r="CK173" s="51">
        <f>SUM(CK169:CK172)</f>
        <v/>
      </c>
      <c r="CL173" s="51">
        <f>SUM(CL169:CL172)</f>
        <v/>
      </c>
      <c r="CM173" s="51">
        <f>SUM(CM169:CM172)</f>
        <v/>
      </c>
      <c r="CN173" s="51">
        <f>SUM(CN169:CN172)</f>
        <v/>
      </c>
      <c r="CO173" s="51">
        <f>SUM(CO169:CO172)</f>
        <v/>
      </c>
      <c r="CP173" s="51">
        <f>SUM(CP169:CP172)</f>
        <v/>
      </c>
      <c r="CQ173" s="51">
        <f>SUM(CQ169:CQ172)</f>
        <v/>
      </c>
      <c r="CR173" s="51">
        <f>SUM(CR169:CR172)</f>
        <v/>
      </c>
      <c r="CS173" s="51">
        <f>SUM(CS169:CS172)</f>
        <v/>
      </c>
      <c r="CT173" s="51">
        <f>SUM(CT169:CT172)</f>
        <v/>
      </c>
      <c r="CU173" s="51">
        <f>SUM(CU169:CU172)</f>
        <v/>
      </c>
      <c r="CV173" s="51">
        <f>SUM(CV169:CV172)</f>
        <v/>
      </c>
      <c r="CW173" s="51">
        <f>SUM(CW169:CW172)</f>
        <v/>
      </c>
      <c r="CX173" s="51">
        <f>SUM(CX169:CX172)</f>
        <v/>
      </c>
      <c r="CY173" s="51">
        <f>SUM(CY169:CY172)</f>
        <v/>
      </c>
      <c r="CZ173" s="51">
        <f>SUM(CZ169:CZ172)</f>
        <v/>
      </c>
      <c r="DA173" s="51">
        <f>SUM(DA169:DA172)</f>
        <v/>
      </c>
      <c r="DB173" s="51">
        <f>SUM(DB169:DB172)</f>
        <v/>
      </c>
      <c r="DC173" s="51">
        <f>SUM(DC169:DC172)</f>
        <v/>
      </c>
      <c r="DD173" s="51">
        <f>SUM(DD169:DD172)</f>
        <v/>
      </c>
      <c r="DE173" s="51">
        <f>SUM(DE169:DE172)</f>
        <v/>
      </c>
      <c r="DF173" s="51">
        <f>SUM(DF169:DF172)</f>
        <v/>
      </c>
      <c r="DG173" s="51">
        <f>SUM(DG169:DG172)</f>
        <v/>
      </c>
      <c r="DH173" s="51">
        <f>SUM(DH169:DH172)</f>
        <v/>
      </c>
      <c r="DI173" s="51">
        <f>SUM(DI169:DI172)</f>
        <v/>
      </c>
      <c r="DJ173" s="51">
        <f>SUM(DJ169:DJ172)</f>
        <v/>
      </c>
      <c r="DK173" s="51">
        <f>SUM(DK169:DK172)</f>
        <v/>
      </c>
      <c r="DL173" s="51">
        <f>SUM(DL169:DL172)</f>
        <v/>
      </c>
      <c r="DM173" s="51">
        <f>SUM(DM169:DM172)</f>
        <v/>
      </c>
      <c r="DN173" s="51">
        <f>SUM(DN169:DN172)</f>
        <v/>
      </c>
      <c r="DO173" s="51">
        <f>SUM(DO169:DO172)</f>
        <v/>
      </c>
      <c r="DP173" s="51">
        <f>SUM(DP169:DP172)</f>
        <v/>
      </c>
      <c r="DQ173" s="51">
        <f>SUM(DQ169:DQ172)</f>
        <v/>
      </c>
      <c r="DR173" s="51">
        <f>SUM(DR169:DR172)</f>
        <v/>
      </c>
    </row>
    <row r="174" ht="15.75" customHeight="1">
      <c r="F174" s="46" t="n"/>
      <c r="G174" s="46" t="n"/>
      <c r="H174" s="120" t="n"/>
      <c r="I174" s="120" t="n"/>
      <c r="J174" s="120" t="n"/>
      <c r="K174" s="46" t="n"/>
      <c r="L174" s="46" t="n"/>
      <c r="M174" s="46" t="n"/>
      <c r="AA174" s="46" t="n"/>
      <c r="AB174" s="46" t="n"/>
      <c r="AC174" s="46" t="n"/>
      <c r="AD174" s="46" t="n"/>
      <c r="AE174" s="46" t="n"/>
      <c r="AF174" s="46" t="n"/>
      <c r="AG174" s="46" t="n"/>
      <c r="AH174" s="46" t="n"/>
      <c r="AI174" s="46" t="n"/>
      <c r="AJ174" s="46" t="n"/>
      <c r="AK174" s="46" t="n"/>
      <c r="AL174" s="46" t="n"/>
      <c r="AM174" s="46" t="n"/>
      <c r="AN174" s="46" t="n"/>
      <c r="AO174" s="46" t="n"/>
      <c r="AP174" s="46" t="n"/>
      <c r="AQ174" s="46" t="n"/>
      <c r="AR174" s="46" t="n"/>
      <c r="AS174" s="46" t="n"/>
      <c r="AT174" s="46" t="n"/>
      <c r="AU174" s="46" t="n"/>
      <c r="AV174" s="46" t="n"/>
      <c r="AW174" s="46" t="n"/>
      <c r="AX174" s="46" t="n"/>
      <c r="AY174" s="46" t="n"/>
      <c r="AZ174" s="46" t="n"/>
      <c r="BA174" s="46" t="n"/>
      <c r="BB174" s="46" t="n"/>
      <c r="BC174" s="46" t="n"/>
      <c r="BD174" s="46" t="n"/>
      <c r="BE174" s="46" t="n"/>
      <c r="BF174" s="46" t="n"/>
      <c r="BG174" s="46" t="n"/>
      <c r="BH174" s="46" t="n"/>
      <c r="BI174" s="46" t="n"/>
      <c r="BJ174" s="46" t="n"/>
      <c r="BK174" s="46" t="n"/>
      <c r="BL174" s="46" t="n"/>
      <c r="BM174" s="46" t="n"/>
      <c r="BN174" s="46" t="n"/>
      <c r="BO174" s="46" t="n"/>
      <c r="BP174" s="46" t="n"/>
      <c r="BQ174" s="46" t="n"/>
      <c r="BR174" s="46" t="n"/>
      <c r="BS174" s="46" t="n"/>
      <c r="BT174" s="46" t="n"/>
      <c r="BU174" s="46" t="n"/>
      <c r="BV174" s="46" t="n"/>
      <c r="BW174" s="46" t="n"/>
      <c r="BX174" s="46" t="n"/>
      <c r="BY174" s="46" t="n"/>
      <c r="BZ174" s="46" t="n"/>
      <c r="CA174" s="46" t="n"/>
      <c r="CB174" s="46" t="n"/>
      <c r="CC174" s="46" t="n"/>
      <c r="CD174" s="46" t="n"/>
      <c r="CE174" s="46" t="n"/>
      <c r="CF174" s="46" t="n"/>
      <c r="CG174" s="46" t="n"/>
      <c r="CH174" s="46" t="n"/>
      <c r="CI174" s="46" t="n"/>
      <c r="CJ174" s="46" t="n"/>
      <c r="CK174" s="46" t="n"/>
      <c r="CL174" s="46" t="n"/>
      <c r="CM174" s="46" t="n"/>
      <c r="CN174" s="46" t="n"/>
      <c r="CO174" s="46" t="n"/>
      <c r="CP174" s="46" t="n"/>
      <c r="CQ174" s="46" t="n"/>
      <c r="CR174" s="46" t="n"/>
      <c r="CS174" s="46" t="n"/>
      <c r="CT174" s="46" t="n"/>
      <c r="CU174" s="46" t="n"/>
      <c r="CV174" s="46" t="n"/>
      <c r="CW174" s="46" t="n"/>
      <c r="CX174" s="46" t="n"/>
      <c r="CY174" s="46" t="n"/>
      <c r="CZ174" s="46" t="n"/>
      <c r="DA174" s="46" t="n"/>
      <c r="DB174" s="46" t="n"/>
      <c r="DC174" s="46" t="n"/>
      <c r="DD174" s="46" t="n"/>
      <c r="DE174" s="46" t="n"/>
      <c r="DF174" s="46" t="n"/>
      <c r="DG174" s="46" t="n"/>
      <c r="DH174" s="46" t="n"/>
      <c r="DI174" s="46" t="n"/>
      <c r="DJ174" s="46" t="n"/>
      <c r="DK174" s="46" t="n"/>
      <c r="DL174" s="46" t="n"/>
      <c r="DM174" s="46" t="n"/>
      <c r="DN174" s="46" t="n"/>
      <c r="DO174" s="46" t="n"/>
      <c r="DP174" s="46" t="n"/>
      <c r="DQ174" s="46" t="n"/>
      <c r="DR174" s="46" t="n"/>
    </row>
    <row r="175" ht="15.75" customHeight="1">
      <c r="A175" s="66" t="n"/>
      <c r="B175" s="66" t="inlineStr">
        <is>
          <t>% Seasonality</t>
        </is>
      </c>
      <c r="C175" s="66" t="n"/>
      <c r="D175" s="66" t="n"/>
      <c r="E175" s="66" t="n"/>
      <c r="F175" s="100">
        <f>+F173/SUMIFS($AA173:$DR173,$AA$7:$DR$7,F$7)</f>
        <v/>
      </c>
      <c r="G175" s="100">
        <f>+G173/SUMIFS($AA173:$DR173,$AA$7:$DR$7,G$7)</f>
        <v/>
      </c>
      <c r="H175" s="100">
        <f>+H173/SUMIFS($AA173:$DR173,$AA$7:$DR$7,H$7)</f>
        <v/>
      </c>
      <c r="I175" s="100">
        <f>+I173/SUMIFS($AA173:$DR173,$AA$7:$DR$7,I$7)</f>
        <v/>
      </c>
      <c r="J175" s="100">
        <f>+J173/SUMIFS($AA173:$DR173,$AA$7:$DR$7,J$7)</f>
        <v/>
      </c>
      <c r="K175" s="100">
        <f>+K173/SUMIFS($AA173:$DR173,$AA$7:$DR$7,K$7)</f>
        <v/>
      </c>
      <c r="L175" s="100">
        <f>+L173/SUMIFS($AA173:$DR173,$AA$7:$DR$7,L$7)</f>
        <v/>
      </c>
      <c r="M175" s="100">
        <f>+M173/SUMIFS($AA173:$DR173,$AA$7:$DR$7,M$7)</f>
        <v/>
      </c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100">
        <f>+AA173/SUMIFS($AA173:$DR173,$AA$7:$DR$7,AA$7)</f>
        <v/>
      </c>
      <c r="AB175" s="100">
        <f>+AB173/SUMIFS($AA173:$DR173,$AA$7:$DR$7,AB$7)</f>
        <v/>
      </c>
      <c r="AC175" s="100">
        <f>+AC173/SUMIFS($AA173:$DR173,$AA$7:$DR$7,AC$7)</f>
        <v/>
      </c>
      <c r="AD175" s="100">
        <f>+AD173/SUMIFS($AA173:$DR173,$AA$7:$DR$7,AD$7)</f>
        <v/>
      </c>
      <c r="AE175" s="100">
        <f>+AE173/SUMIFS($AA173:$DR173,$AA$7:$DR$7,AE$7)</f>
        <v/>
      </c>
      <c r="AF175" s="100">
        <f>+AF173/SUMIFS($AA173:$DR173,$AA$7:$DR$7,AF$7)</f>
        <v/>
      </c>
      <c r="AG175" s="100">
        <f>+AG173/SUMIFS($AA173:$DR173,$AA$7:$DR$7,AG$7)</f>
        <v/>
      </c>
      <c r="AH175" s="100">
        <f>+AH173/SUMIFS($AA173:$DR173,$AA$7:$DR$7,AH$7)</f>
        <v/>
      </c>
      <c r="AI175" s="100">
        <f>+AI173/SUMIFS($AA173:$DR173,$AA$7:$DR$7,AI$7)</f>
        <v/>
      </c>
      <c r="AJ175" s="100">
        <f>+AJ173/SUMIFS($AA173:$DR173,$AA$7:$DR$7,AJ$7)</f>
        <v/>
      </c>
      <c r="AK175" s="100">
        <f>+AK173/SUMIFS($AA173:$DR173,$AA$7:$DR$7,AK$7)</f>
        <v/>
      </c>
      <c r="AL175" s="100">
        <f>+AL173/SUMIFS($AA173:$DR173,$AA$7:$DR$7,AL$7)</f>
        <v/>
      </c>
      <c r="AM175" s="100">
        <f>+AM173/SUMIFS($AA173:$DR173,$AA$7:$DR$7,AM$7)</f>
        <v/>
      </c>
      <c r="AN175" s="100">
        <f>+AN173/SUMIFS($AA173:$DR173,$AA$7:$DR$7,AN$7)</f>
        <v/>
      </c>
      <c r="AO175" s="100">
        <f>+AO173/SUMIFS($AA173:$DR173,$AA$7:$DR$7,AO$7)</f>
        <v/>
      </c>
      <c r="AP175" s="100">
        <f>+AP173/SUMIFS($AA173:$DR173,$AA$7:$DR$7,AP$7)</f>
        <v/>
      </c>
      <c r="AQ175" s="100">
        <f>+AQ173/SUMIFS($AA173:$DR173,$AA$7:$DR$7,AQ$7)</f>
        <v/>
      </c>
      <c r="AR175" s="100">
        <f>+AR173/SUMIFS($AA173:$DR173,$AA$7:$DR$7,AR$7)</f>
        <v/>
      </c>
      <c r="AS175" s="100">
        <f>+AS173/SUMIFS($AA173:$DR173,$AA$7:$DR$7,AS$7)</f>
        <v/>
      </c>
      <c r="AT175" s="100">
        <f>+AT173/SUMIFS($AA173:$DR173,$AA$7:$DR$7,AT$7)</f>
        <v/>
      </c>
      <c r="AU175" s="100">
        <f>+AU173/SUMIFS($AA173:$DR173,$AA$7:$DR$7,AU$7)</f>
        <v/>
      </c>
      <c r="AV175" s="100">
        <f>+AV173/SUMIFS($AA173:$DR173,$AA$7:$DR$7,AV$7)</f>
        <v/>
      </c>
      <c r="AW175" s="100">
        <f>+AW173/SUMIFS($AA173:$DR173,$AA$7:$DR$7,AW$7)</f>
        <v/>
      </c>
      <c r="AX175" s="100">
        <f>+AX173/SUMIFS($AA173:$DR173,$AA$7:$DR$7,AX$7)</f>
        <v/>
      </c>
      <c r="AY175" s="100">
        <f>+AY173/SUMIFS($AA173:$DR173,$AA$7:$DR$7,AY$7)</f>
        <v/>
      </c>
      <c r="AZ175" s="100">
        <f>+AZ173/SUMIFS($AA173:$DR173,$AA$7:$DR$7,AZ$7)</f>
        <v/>
      </c>
      <c r="BA175" s="100">
        <f>+BA173/SUMIFS($AA173:$DR173,$AA$7:$DR$7,BA$7)</f>
        <v/>
      </c>
      <c r="BB175" s="100">
        <f>+BB173/SUMIFS($AA173:$DR173,$AA$7:$DR$7,BB$7)</f>
        <v/>
      </c>
      <c r="BC175" s="100">
        <f>+BC173/SUMIFS($AA173:$DR173,$AA$7:$DR$7,BC$7)</f>
        <v/>
      </c>
      <c r="BD175" s="100">
        <f>+BD173/SUMIFS($AA173:$DR173,$AA$7:$DR$7,BD$7)</f>
        <v/>
      </c>
      <c r="BE175" s="100">
        <f>+BE173/SUMIFS($AA173:$DR173,$AA$7:$DR$7,BE$7)</f>
        <v/>
      </c>
      <c r="BF175" s="100">
        <f>+BF173/SUMIFS($AA173:$DR173,$AA$7:$DR$7,BF$7)</f>
        <v/>
      </c>
      <c r="BG175" s="100">
        <f>+BG173/SUMIFS($AA173:$DR173,$AA$7:$DR$7,BG$7)</f>
        <v/>
      </c>
      <c r="BH175" s="100">
        <f>+BH173/SUMIFS($AA173:$DR173,$AA$7:$DR$7,BH$7)</f>
        <v/>
      </c>
      <c r="BI175" s="100">
        <f>+BI173/SUMIFS($AA173:$DR173,$AA$7:$DR$7,BI$7)</f>
        <v/>
      </c>
      <c r="BJ175" s="100">
        <f>+BJ173/SUMIFS($AA173:$DR173,$AA$7:$DR$7,BJ$7)</f>
        <v/>
      </c>
      <c r="BK175" s="101">
        <f>+AVERAGE(AA175,AM175,AY175)</f>
        <v/>
      </c>
      <c r="BL175" s="101">
        <f>+AVERAGE(AB175,AN175,AZ175)</f>
        <v/>
      </c>
      <c r="BM175" s="101">
        <f>+AVERAGE(AC175,AO175,BA175)</f>
        <v/>
      </c>
      <c r="BN175" s="101">
        <f>+AVERAGE(AD175,AP175,BB175)</f>
        <v/>
      </c>
      <c r="BO175" s="101">
        <f>+AVERAGE(AE175,AQ175,BC175)</f>
        <v/>
      </c>
      <c r="BP175" s="101">
        <f>+AVERAGE(AF175,AR175,BD175)</f>
        <v/>
      </c>
      <c r="BQ175" s="101">
        <f>+AVERAGE(AG175,AS175,BE175)</f>
        <v/>
      </c>
      <c r="BR175" s="101">
        <f>+AVERAGE(AH175,AT175,BF175)</f>
        <v/>
      </c>
      <c r="BS175" s="101">
        <f>+AVERAGE(AI175,AU175,BG175)</f>
        <v/>
      </c>
      <c r="BT175" s="101">
        <f>+AVERAGE(AJ175,AV175,BH175)</f>
        <v/>
      </c>
      <c r="BU175" s="101">
        <f>+AVERAGE(AK175,AW175,BI175)</f>
        <v/>
      </c>
      <c r="BV175" s="101">
        <f>+AVERAGE(AL175,AX175,BJ175)</f>
        <v/>
      </c>
      <c r="BW175" s="101">
        <f>+AVERAGE(AM175,AY175,BK175)</f>
        <v/>
      </c>
      <c r="BX175" s="101">
        <f>+AVERAGE(AN175,AZ175,BL175)</f>
        <v/>
      </c>
      <c r="BY175" s="101">
        <f>+AVERAGE(AO175,BA175,BM175)</f>
        <v/>
      </c>
      <c r="BZ175" s="101">
        <f>+AVERAGE(AP175,BB175,BN175)</f>
        <v/>
      </c>
      <c r="CA175" s="101">
        <f>+AVERAGE(AQ175,BC175,BO175)</f>
        <v/>
      </c>
      <c r="CB175" s="101">
        <f>+AVERAGE(AR175,BD175,BP175)</f>
        <v/>
      </c>
      <c r="CC175" s="101">
        <f>+AVERAGE(AS175,BE175,BQ175)</f>
        <v/>
      </c>
      <c r="CD175" s="101">
        <f>+AVERAGE(AT175,BF175,BR175)</f>
        <v/>
      </c>
      <c r="CE175" s="101">
        <f>+AVERAGE(AU175,BG175,BS175)</f>
        <v/>
      </c>
      <c r="CF175" s="101">
        <f>+AVERAGE(AV175,BH175,BT175)</f>
        <v/>
      </c>
      <c r="CG175" s="101">
        <f>+AVERAGE(AW175,BI175,BU175)</f>
        <v/>
      </c>
      <c r="CH175" s="101">
        <f>+AVERAGE(AX175,BJ175,BV175)</f>
        <v/>
      </c>
      <c r="CI175" s="101">
        <f>+AVERAGE(AY175,BK175,BW175)</f>
        <v/>
      </c>
      <c r="CJ175" s="101">
        <f>+AVERAGE(AZ175,BL175,BX175)</f>
        <v/>
      </c>
      <c r="CK175" s="101">
        <f>+AVERAGE(BA175,BM175,BY175)</f>
        <v/>
      </c>
      <c r="CL175" s="101">
        <f>+AVERAGE(BB175,BN175,BZ175)</f>
        <v/>
      </c>
      <c r="CM175" s="101">
        <f>+AVERAGE(BC175,BO175,CA175)</f>
        <v/>
      </c>
      <c r="CN175" s="101">
        <f>+AVERAGE(BD175,BP175,CB175)</f>
        <v/>
      </c>
      <c r="CO175" s="101">
        <f>+AVERAGE(BE175,BQ175,CC175)</f>
        <v/>
      </c>
      <c r="CP175" s="101">
        <f>+AVERAGE(BF175,BR175,CD175)</f>
        <v/>
      </c>
      <c r="CQ175" s="101">
        <f>+AVERAGE(BG175,BS175,CE175)</f>
        <v/>
      </c>
      <c r="CR175" s="101">
        <f>+AVERAGE(BH175,BT175,CF175)</f>
        <v/>
      </c>
      <c r="CS175" s="101">
        <f>+AVERAGE(BI175,BU175,CG175)</f>
        <v/>
      </c>
      <c r="CT175" s="101">
        <f>+AVERAGE(BJ175,BV175,CH175)</f>
        <v/>
      </c>
      <c r="CU175" s="101">
        <f>+AVERAGE(BK175,BW175,CI175)</f>
        <v/>
      </c>
      <c r="CV175" s="101">
        <f>+AVERAGE(BL175,BX175,CJ175)</f>
        <v/>
      </c>
      <c r="CW175" s="101">
        <f>+AVERAGE(BM175,BY175,CK175)</f>
        <v/>
      </c>
      <c r="CX175" s="101">
        <f>+AVERAGE(BN175,BZ175,CL175)</f>
        <v/>
      </c>
      <c r="CY175" s="101">
        <f>+AVERAGE(BO175,CA175,CM175)</f>
        <v/>
      </c>
      <c r="CZ175" s="101">
        <f>+AVERAGE(BP175,CB175,CN175)</f>
        <v/>
      </c>
      <c r="DA175" s="101">
        <f>+AVERAGE(BQ175,CC175,CO175)</f>
        <v/>
      </c>
      <c r="DB175" s="101">
        <f>+AVERAGE(BR175,CD175,CP175)</f>
        <v/>
      </c>
      <c r="DC175" s="101">
        <f>+AVERAGE(BS175,CE175,CQ175)</f>
        <v/>
      </c>
      <c r="DD175" s="101">
        <f>+AVERAGE(BT175,CF175,CR175)</f>
        <v/>
      </c>
      <c r="DE175" s="101">
        <f>+AVERAGE(BU175,CG175,CS175)</f>
        <v/>
      </c>
      <c r="DF175" s="101">
        <f>+AVERAGE(BV175,CH175,CT175)</f>
        <v/>
      </c>
      <c r="DG175" s="101">
        <f>+AVERAGE(BW175,CI175,CU175)</f>
        <v/>
      </c>
      <c r="DH175" s="101">
        <f>+AVERAGE(BX175,CJ175,CV175)</f>
        <v/>
      </c>
      <c r="DI175" s="101">
        <f>+AVERAGE(BY175,CK175,CW175)</f>
        <v/>
      </c>
      <c r="DJ175" s="101">
        <f>+AVERAGE(BZ175,CL175,CX175)</f>
        <v/>
      </c>
      <c r="DK175" s="101">
        <f>+AVERAGE(CA175,CM175,CY175)</f>
        <v/>
      </c>
      <c r="DL175" s="101">
        <f>+AVERAGE(CB175,CN175,CZ175)</f>
        <v/>
      </c>
      <c r="DM175" s="101">
        <f>+AVERAGE(CC175,CO175,DA175)</f>
        <v/>
      </c>
      <c r="DN175" s="101">
        <f>+AVERAGE(CD175,CP175,DB175)</f>
        <v/>
      </c>
      <c r="DO175" s="101">
        <f>+AVERAGE(CE175,CQ175,DC175)</f>
        <v/>
      </c>
      <c r="DP175" s="101">
        <f>+AVERAGE(CF175,CR175,DD175)</f>
        <v/>
      </c>
      <c r="DQ175" s="101">
        <f>+AVERAGE(CG175,CS175,DE175)</f>
        <v/>
      </c>
      <c r="DR175" s="101">
        <f>+AVERAGE(CH175,CT175,DF175)</f>
        <v/>
      </c>
      <c r="DS175" s="66" t="n"/>
    </row>
    <row r="176" ht="4.5" customHeight="1"/>
    <row r="177" ht="15.75" customHeight="1">
      <c r="B177" s="44" t="inlineStr">
        <is>
          <t>Gross Profit</t>
        </is>
      </c>
    </row>
    <row r="178" ht="15.75" customHeight="1">
      <c r="B178" s="5" t="inlineStr">
        <is>
          <t>Mega</t>
        </is>
      </c>
      <c r="F178" s="46">
        <f>+F162-F169</f>
        <v/>
      </c>
      <c r="G178" s="46">
        <f>+G162-G169</f>
        <v/>
      </c>
      <c r="H178" s="46">
        <f>+H162-H169</f>
        <v/>
      </c>
      <c r="I178" s="46">
        <f>+I162-I169</f>
        <v/>
      </c>
      <c r="J178" s="46">
        <f>+J162-J169</f>
        <v/>
      </c>
      <c r="K178" s="46">
        <f>+K162-K169</f>
        <v/>
      </c>
      <c r="L178" s="46">
        <f>+L162-L169</f>
        <v/>
      </c>
      <c r="M178" s="46">
        <f>+M162-M169</f>
        <v/>
      </c>
      <c r="AA178" s="49" t="n"/>
      <c r="AB178" s="96" t="n"/>
      <c r="AC178" s="96" t="n"/>
      <c r="AD178" s="96" t="n"/>
      <c r="AE178" s="96" t="n"/>
      <c r="AF178" s="96" t="n"/>
      <c r="AG178" s="96" t="n"/>
      <c r="AH178" s="96" t="n"/>
      <c r="AI178" s="96" t="n"/>
      <c r="AJ178" s="96" t="n"/>
      <c r="AK178" s="96" t="n"/>
      <c r="AL178" s="96" t="n"/>
      <c r="AM178" s="96" t="n"/>
      <c r="AN178" s="96" t="n"/>
      <c r="AO178" s="96" t="n"/>
      <c r="AP178" s="96" t="n"/>
      <c r="AQ178" s="96" t="n"/>
      <c r="AR178" s="96" t="n"/>
      <c r="AS178" s="96" t="n"/>
      <c r="AT178" s="96" t="n"/>
      <c r="AU178" s="96" t="n"/>
      <c r="AV178" s="96" t="n"/>
      <c r="AW178" s="96" t="n"/>
      <c r="AX178" s="96" t="n"/>
      <c r="AY178" s="96" t="n"/>
      <c r="AZ178" s="96" t="n"/>
      <c r="BA178" s="96" t="n"/>
      <c r="BB178" s="96" t="n"/>
      <c r="BC178" s="96" t="n"/>
      <c r="BD178" s="96" t="n"/>
      <c r="BE178" s="96" t="n"/>
      <c r="BF178" s="96" t="n"/>
      <c r="BG178" s="96" t="n"/>
      <c r="BH178" s="96" t="n"/>
      <c r="BI178" s="96" t="n"/>
      <c r="BJ178" s="96" t="n"/>
      <c r="BK178" s="96" t="n"/>
      <c r="BL178" s="96" t="n"/>
      <c r="BM178" s="96" t="n"/>
      <c r="BN178" s="96" t="n"/>
      <c r="BO178" s="96" t="n"/>
      <c r="BP178" s="96" t="n"/>
      <c r="BQ178" s="96" t="n"/>
      <c r="BR178" s="96" t="n"/>
      <c r="BS178" s="96" t="n"/>
      <c r="BT178" s="96" t="n"/>
      <c r="BU178" s="96" t="n"/>
      <c r="BV178" s="96" t="n"/>
      <c r="BW178" s="96" t="n"/>
      <c r="BX178" s="96" t="n"/>
      <c r="BY178" s="96" t="n"/>
      <c r="BZ178" s="96" t="n"/>
      <c r="CA178" s="96" t="n"/>
      <c r="CB178" s="96" t="n"/>
      <c r="CC178" s="96" t="n"/>
      <c r="CD178" s="96" t="n"/>
      <c r="CE178" s="96" t="n"/>
      <c r="CF178" s="96" t="n"/>
      <c r="CG178" s="96" t="n"/>
      <c r="CH178" s="96" t="n"/>
      <c r="CI178" s="96" t="n"/>
      <c r="CJ178" s="96" t="n"/>
      <c r="CK178" s="96" t="n"/>
      <c r="CL178" s="96" t="n"/>
      <c r="CM178" s="96" t="n"/>
      <c r="CN178" s="96" t="n"/>
      <c r="CO178" s="96" t="n"/>
      <c r="CP178" s="96" t="n"/>
      <c r="CQ178" s="96" t="n"/>
      <c r="CR178" s="96" t="n"/>
      <c r="CS178" s="96" t="n"/>
      <c r="CT178" s="96" t="n"/>
      <c r="CU178" s="96" t="n"/>
      <c r="CV178" s="96" t="n"/>
      <c r="CW178" s="96" t="n"/>
      <c r="CX178" s="96" t="n"/>
      <c r="CY178" s="96" t="n"/>
      <c r="CZ178" s="96" t="n"/>
      <c r="DA178" s="96" t="n"/>
      <c r="DB178" s="96" t="n"/>
      <c r="DC178" s="96" t="n"/>
      <c r="DD178" s="96" t="n"/>
      <c r="DE178" s="96" t="n"/>
      <c r="DF178" s="96" t="n"/>
      <c r="DG178" s="96" t="n"/>
      <c r="DH178" s="96" t="n"/>
      <c r="DI178" s="96" t="n"/>
      <c r="DJ178" s="96" t="n"/>
      <c r="DK178" s="96" t="n"/>
      <c r="DL178" s="96" t="n"/>
      <c r="DM178" s="96" t="n"/>
      <c r="DN178" s="96" t="n"/>
      <c r="DO178" s="96" t="n"/>
      <c r="DP178" s="96" t="n"/>
      <c r="DQ178" s="96" t="n"/>
      <c r="DR178" s="96" t="n"/>
    </row>
    <row r="179" ht="15.75" customHeight="1">
      <c r="B179" s="5" t="inlineStr">
        <is>
          <t>Major</t>
        </is>
      </c>
      <c r="F179" s="46">
        <f>+F163-F170</f>
        <v/>
      </c>
      <c r="G179" s="46">
        <f>+G163-G170</f>
        <v/>
      </c>
      <c r="H179" s="46">
        <f>+H163-H170</f>
        <v/>
      </c>
      <c r="I179" s="46">
        <f>+I163-I170</f>
        <v/>
      </c>
      <c r="J179" s="46">
        <f>+J163-J170</f>
        <v/>
      </c>
      <c r="K179" s="46">
        <f>+K163-K170</f>
        <v/>
      </c>
      <c r="L179" s="46">
        <f>+L163-L170</f>
        <v/>
      </c>
      <c r="M179" s="46">
        <f>+M163-M170</f>
        <v/>
      </c>
      <c r="AA179" s="49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  <c r="AM179" s="96" t="n"/>
      <c r="AN179" s="96" t="n"/>
      <c r="AO179" s="96" t="n"/>
      <c r="AP179" s="96" t="n"/>
      <c r="AQ179" s="96" t="n"/>
      <c r="AR179" s="96" t="n"/>
      <c r="AS179" s="96" t="n"/>
      <c r="AT179" s="96" t="n"/>
      <c r="AU179" s="96" t="n"/>
      <c r="AV179" s="96" t="n"/>
      <c r="AW179" s="96" t="n"/>
      <c r="AX179" s="96" t="n"/>
      <c r="AY179" s="96" t="n"/>
      <c r="AZ179" s="96" t="n"/>
      <c r="BA179" s="96" t="n"/>
      <c r="BB179" s="96" t="n"/>
      <c r="BC179" s="96" t="n"/>
      <c r="BD179" s="96" t="n"/>
      <c r="BE179" s="96" t="n"/>
      <c r="BF179" s="96" t="n"/>
      <c r="BG179" s="96" t="n"/>
      <c r="BH179" s="96" t="n"/>
      <c r="BI179" s="96" t="n"/>
      <c r="BJ179" s="96" t="n"/>
      <c r="BK179" s="96" t="n"/>
      <c r="BL179" s="96" t="n"/>
      <c r="BM179" s="96" t="n"/>
      <c r="BN179" s="96" t="n"/>
      <c r="BO179" s="96" t="n"/>
      <c r="BP179" s="96" t="n"/>
      <c r="BQ179" s="96" t="n"/>
      <c r="BR179" s="96" t="n"/>
      <c r="BS179" s="96" t="n"/>
      <c r="BT179" s="96" t="n"/>
      <c r="BU179" s="96" t="n"/>
      <c r="BV179" s="96" t="n"/>
      <c r="BW179" s="96" t="n"/>
      <c r="BX179" s="96" t="n"/>
      <c r="BY179" s="96" t="n"/>
      <c r="BZ179" s="96" t="n"/>
      <c r="CA179" s="96" t="n"/>
      <c r="CB179" s="96" t="n"/>
      <c r="CC179" s="96" t="n"/>
      <c r="CD179" s="96" t="n"/>
      <c r="CE179" s="96" t="n"/>
      <c r="CF179" s="96" t="n"/>
      <c r="CG179" s="96" t="n"/>
      <c r="CH179" s="96" t="n"/>
      <c r="CI179" s="96" t="n"/>
      <c r="CJ179" s="96" t="n"/>
      <c r="CK179" s="96" t="n"/>
      <c r="CL179" s="96" t="n"/>
      <c r="CM179" s="96" t="n"/>
      <c r="CN179" s="96" t="n"/>
      <c r="CO179" s="96" t="n"/>
      <c r="CP179" s="96" t="n"/>
      <c r="CQ179" s="96" t="n"/>
      <c r="CR179" s="96" t="n"/>
      <c r="CS179" s="96" t="n"/>
      <c r="CT179" s="96" t="n"/>
      <c r="CU179" s="96" t="n"/>
      <c r="CV179" s="96" t="n"/>
      <c r="CW179" s="96" t="n"/>
      <c r="CX179" s="96" t="n"/>
      <c r="CY179" s="96" t="n"/>
      <c r="CZ179" s="96" t="n"/>
      <c r="DA179" s="96" t="n"/>
      <c r="DB179" s="96" t="n"/>
      <c r="DC179" s="96" t="n"/>
      <c r="DD179" s="96" t="n"/>
      <c r="DE179" s="96" t="n"/>
      <c r="DF179" s="96" t="n"/>
      <c r="DG179" s="96" t="n"/>
      <c r="DH179" s="96" t="n"/>
      <c r="DI179" s="96" t="n"/>
      <c r="DJ179" s="96" t="n"/>
      <c r="DK179" s="96" t="n"/>
      <c r="DL179" s="96" t="n"/>
      <c r="DM179" s="96" t="n"/>
      <c r="DN179" s="96" t="n"/>
      <c r="DO179" s="96" t="n"/>
      <c r="DP179" s="96" t="n"/>
      <c r="DQ179" s="96" t="n"/>
      <c r="DR179" s="96" t="n"/>
    </row>
    <row r="180" ht="15.75" customHeight="1">
      <c r="B180" s="5" t="inlineStr">
        <is>
          <t>Upper Middle Market</t>
        </is>
      </c>
      <c r="F180" s="46">
        <f>+F164-F171</f>
        <v/>
      </c>
      <c r="G180" s="46">
        <f>+G164-G171</f>
        <v/>
      </c>
      <c r="H180" s="46">
        <f>+H164-H171</f>
        <v/>
      </c>
      <c r="I180" s="46">
        <f>+I164-I171</f>
        <v/>
      </c>
      <c r="J180" s="46">
        <f>+J164-J171</f>
        <v/>
      </c>
      <c r="K180" s="46">
        <f>+K164-K171</f>
        <v/>
      </c>
      <c r="L180" s="46">
        <f>+L164-L171</f>
        <v/>
      </c>
      <c r="M180" s="46">
        <f>+M164-M171</f>
        <v/>
      </c>
      <c r="AA180" s="49" t="n"/>
      <c r="AB180" s="96" t="n"/>
      <c r="AC180" s="96" t="n"/>
      <c r="AD180" s="96" t="n"/>
      <c r="AE180" s="96" t="n"/>
      <c r="AF180" s="96" t="n"/>
      <c r="AG180" s="96" t="n"/>
      <c r="AH180" s="96" t="n"/>
      <c r="AI180" s="96" t="n"/>
      <c r="AJ180" s="96" t="n"/>
      <c r="AK180" s="96" t="n"/>
      <c r="AL180" s="96" t="n"/>
      <c r="AM180" s="96" t="n"/>
      <c r="AN180" s="96" t="n"/>
      <c r="AO180" s="96" t="n"/>
      <c r="AP180" s="96" t="n"/>
      <c r="AQ180" s="96" t="n"/>
      <c r="AR180" s="96" t="n"/>
      <c r="AS180" s="96" t="n"/>
      <c r="AT180" s="96" t="n"/>
      <c r="AU180" s="96" t="n"/>
      <c r="AV180" s="96" t="n"/>
      <c r="AW180" s="96" t="n"/>
      <c r="AX180" s="96" t="n"/>
      <c r="AY180" s="96" t="n"/>
      <c r="AZ180" s="96" t="n"/>
      <c r="BA180" s="96" t="n"/>
      <c r="BB180" s="96" t="n"/>
      <c r="BC180" s="96" t="n"/>
      <c r="BD180" s="96" t="n"/>
      <c r="BE180" s="96" t="n"/>
      <c r="BF180" s="96" t="n"/>
      <c r="BG180" s="96" t="n"/>
      <c r="BH180" s="96" t="n"/>
      <c r="BI180" s="96" t="n"/>
      <c r="BJ180" s="96" t="n"/>
      <c r="BK180" s="96" t="n"/>
      <c r="BL180" s="96" t="n"/>
      <c r="BM180" s="96" t="n"/>
      <c r="BN180" s="96" t="n"/>
      <c r="BO180" s="96" t="n"/>
      <c r="BP180" s="96" t="n"/>
      <c r="BQ180" s="96" t="n"/>
      <c r="BR180" s="96" t="n"/>
      <c r="BS180" s="96" t="n"/>
      <c r="BT180" s="96" t="n"/>
      <c r="BU180" s="96" t="n"/>
      <c r="BV180" s="96" t="n"/>
      <c r="BW180" s="96" t="n"/>
      <c r="BX180" s="96" t="n"/>
      <c r="BY180" s="96" t="n"/>
      <c r="BZ180" s="96" t="n"/>
      <c r="CA180" s="96" t="n"/>
      <c r="CB180" s="96" t="n"/>
      <c r="CC180" s="96" t="n"/>
      <c r="CD180" s="96" t="n"/>
      <c r="CE180" s="96" t="n"/>
      <c r="CF180" s="96" t="n"/>
      <c r="CG180" s="96" t="n"/>
      <c r="CH180" s="96" t="n"/>
      <c r="CI180" s="96" t="n"/>
      <c r="CJ180" s="96" t="n"/>
      <c r="CK180" s="96" t="n"/>
      <c r="CL180" s="96" t="n"/>
      <c r="CM180" s="96" t="n"/>
      <c r="CN180" s="96" t="n"/>
      <c r="CO180" s="96" t="n"/>
      <c r="CP180" s="96" t="n"/>
      <c r="CQ180" s="96" t="n"/>
      <c r="CR180" s="96" t="n"/>
      <c r="CS180" s="96" t="n"/>
      <c r="CT180" s="96" t="n"/>
      <c r="CU180" s="96" t="n"/>
      <c r="CV180" s="96" t="n"/>
      <c r="CW180" s="96" t="n"/>
      <c r="CX180" s="96" t="n"/>
      <c r="CY180" s="96" t="n"/>
      <c r="CZ180" s="96" t="n"/>
      <c r="DA180" s="96" t="n"/>
      <c r="DB180" s="96" t="n"/>
      <c r="DC180" s="96" t="n"/>
      <c r="DD180" s="96" t="n"/>
      <c r="DE180" s="96" t="n"/>
      <c r="DF180" s="96" t="n"/>
      <c r="DG180" s="96" t="n"/>
      <c r="DH180" s="96" t="n"/>
      <c r="DI180" s="96" t="n"/>
      <c r="DJ180" s="96" t="n"/>
      <c r="DK180" s="96" t="n"/>
      <c r="DL180" s="96" t="n"/>
      <c r="DM180" s="96" t="n"/>
      <c r="DN180" s="96" t="n"/>
      <c r="DO180" s="96" t="n"/>
      <c r="DP180" s="96" t="n"/>
      <c r="DQ180" s="96" t="n"/>
      <c r="DR180" s="96" t="n"/>
    </row>
    <row r="181" ht="15.75" customHeight="1">
      <c r="B181" s="5" t="inlineStr">
        <is>
          <t>Lower Middle Market</t>
        </is>
      </c>
      <c r="F181" s="46">
        <f>+F165-F172</f>
        <v/>
      </c>
      <c r="G181" s="46">
        <f>+G165-G172</f>
        <v/>
      </c>
      <c r="H181" s="46">
        <f>+H165-H172</f>
        <v/>
      </c>
      <c r="I181" s="46">
        <f>+I165-I172</f>
        <v/>
      </c>
      <c r="J181" s="46">
        <f>+J165-J172</f>
        <v/>
      </c>
      <c r="K181" s="46">
        <f>+K165-K172</f>
        <v/>
      </c>
      <c r="L181" s="46">
        <f>+L165-L172</f>
        <v/>
      </c>
      <c r="M181" s="46">
        <f>+M165-M172</f>
        <v/>
      </c>
      <c r="AA181" s="49" t="n"/>
      <c r="AB181" s="96" t="n"/>
      <c r="AC181" s="96" t="n"/>
      <c r="AD181" s="96" t="n"/>
      <c r="AE181" s="96" t="n"/>
      <c r="AF181" s="96" t="n"/>
      <c r="AG181" s="96" t="n"/>
      <c r="AH181" s="96" t="n"/>
      <c r="AI181" s="96" t="n"/>
      <c r="AJ181" s="96" t="n"/>
      <c r="AK181" s="96" t="n"/>
      <c r="AL181" s="96" t="n"/>
      <c r="AM181" s="96" t="n"/>
      <c r="AN181" s="96" t="n"/>
      <c r="AO181" s="96" t="n"/>
      <c r="AP181" s="96" t="n"/>
      <c r="AQ181" s="96" t="n"/>
      <c r="AR181" s="96" t="n"/>
      <c r="AS181" s="96" t="n"/>
      <c r="AT181" s="96" t="n"/>
      <c r="AU181" s="96" t="n"/>
      <c r="AV181" s="96" t="n"/>
      <c r="AW181" s="96" t="n"/>
      <c r="AX181" s="96" t="n"/>
      <c r="AY181" s="96" t="n"/>
      <c r="AZ181" s="96" t="n"/>
      <c r="BA181" s="96" t="n"/>
      <c r="BB181" s="96" t="n"/>
      <c r="BC181" s="96" t="n"/>
      <c r="BD181" s="96" t="n"/>
      <c r="BE181" s="96" t="n"/>
      <c r="BF181" s="96" t="n"/>
      <c r="BG181" s="96" t="n"/>
      <c r="BH181" s="96" t="n"/>
      <c r="BI181" s="96" t="n"/>
      <c r="BJ181" s="96" t="n"/>
      <c r="BK181" s="96" t="n"/>
      <c r="BL181" s="96" t="n"/>
      <c r="BM181" s="96" t="n"/>
      <c r="BN181" s="96" t="n"/>
      <c r="BO181" s="96" t="n"/>
      <c r="BP181" s="96" t="n"/>
      <c r="BQ181" s="96" t="n"/>
      <c r="BR181" s="96" t="n"/>
      <c r="BS181" s="96" t="n"/>
      <c r="BT181" s="96" t="n"/>
      <c r="BU181" s="96" t="n"/>
      <c r="BV181" s="96" t="n"/>
      <c r="BW181" s="96" t="n"/>
      <c r="BX181" s="96" t="n"/>
      <c r="BY181" s="96" t="n"/>
      <c r="BZ181" s="96" t="n"/>
      <c r="CA181" s="96" t="n"/>
      <c r="CB181" s="96" t="n"/>
      <c r="CC181" s="96" t="n"/>
      <c r="CD181" s="96" t="n"/>
      <c r="CE181" s="96" t="n"/>
      <c r="CF181" s="96" t="n"/>
      <c r="CG181" s="96" t="n"/>
      <c r="CH181" s="96" t="n"/>
      <c r="CI181" s="96" t="n"/>
      <c r="CJ181" s="96" t="n"/>
      <c r="CK181" s="96" t="n"/>
      <c r="CL181" s="96" t="n"/>
      <c r="CM181" s="96" t="n"/>
      <c r="CN181" s="96" t="n"/>
      <c r="CO181" s="96" t="n"/>
      <c r="CP181" s="96" t="n"/>
      <c r="CQ181" s="96" t="n"/>
      <c r="CR181" s="96" t="n"/>
      <c r="CS181" s="96" t="n"/>
      <c r="CT181" s="96" t="n"/>
      <c r="CU181" s="96" t="n"/>
      <c r="CV181" s="96" t="n"/>
      <c r="CW181" s="96" t="n"/>
      <c r="CX181" s="96" t="n"/>
      <c r="CY181" s="96" t="n"/>
      <c r="CZ181" s="96" t="n"/>
      <c r="DA181" s="96" t="n"/>
      <c r="DB181" s="96" t="n"/>
      <c r="DC181" s="96" t="n"/>
      <c r="DD181" s="96" t="n"/>
      <c r="DE181" s="96" t="n"/>
      <c r="DF181" s="96" t="n"/>
      <c r="DG181" s="96" t="n"/>
      <c r="DH181" s="96" t="n"/>
      <c r="DI181" s="96" t="n"/>
      <c r="DJ181" s="96" t="n"/>
      <c r="DK181" s="96" t="n"/>
      <c r="DL181" s="96" t="n"/>
      <c r="DM181" s="96" t="n"/>
      <c r="DN181" s="96" t="n"/>
      <c r="DO181" s="96" t="n"/>
      <c r="DP181" s="96" t="n"/>
      <c r="DQ181" s="96" t="n"/>
      <c r="DR181" s="96" t="n"/>
    </row>
    <row r="182" ht="15.75" customHeight="1">
      <c r="B182" s="50" t="inlineStr">
        <is>
          <t>Total</t>
        </is>
      </c>
      <c r="C182" s="50" t="n"/>
      <c r="D182" s="50" t="n"/>
      <c r="F182" s="51">
        <f>SUM(F178:F181)</f>
        <v/>
      </c>
      <c r="G182" s="51">
        <f>SUM(G178:G181)</f>
        <v/>
      </c>
      <c r="H182" s="51">
        <f>SUM(H178:H181)</f>
        <v/>
      </c>
      <c r="I182" s="51">
        <f>SUM(I178:I181)</f>
        <v/>
      </c>
      <c r="J182" s="51">
        <f>SUM(J178:J181)</f>
        <v/>
      </c>
      <c r="K182" s="51">
        <f>SUM(K178:K181)</f>
        <v/>
      </c>
      <c r="L182" s="51">
        <f>SUM(L178:L181)</f>
        <v/>
      </c>
      <c r="M182" s="51">
        <f>SUM(M178:M181)</f>
        <v/>
      </c>
      <c r="AA182" s="49" t="n"/>
      <c r="AB182" s="96" t="n"/>
      <c r="AC182" s="96" t="n"/>
      <c r="AD182" s="96" t="n"/>
      <c r="AE182" s="96" t="n"/>
      <c r="AF182" s="96" t="n"/>
      <c r="AG182" s="96" t="n"/>
      <c r="AH182" s="96" t="n"/>
      <c r="AI182" s="96" t="n"/>
      <c r="AJ182" s="96" t="n"/>
      <c r="AK182" s="96" t="n"/>
      <c r="AL182" s="96" t="n"/>
      <c r="AM182" s="96" t="n"/>
      <c r="AN182" s="96" t="n"/>
      <c r="AO182" s="96" t="n"/>
      <c r="AP182" s="96" t="n"/>
      <c r="AQ182" s="96" t="n"/>
      <c r="AR182" s="96" t="n"/>
      <c r="AS182" s="96" t="n"/>
      <c r="AT182" s="96" t="n"/>
      <c r="AU182" s="96" t="n"/>
      <c r="AV182" s="96" t="n"/>
      <c r="AW182" s="96" t="n"/>
      <c r="AX182" s="96" t="n"/>
      <c r="AY182" s="96" t="n"/>
      <c r="AZ182" s="96" t="n"/>
      <c r="BA182" s="96" t="n"/>
      <c r="BB182" s="96" t="n"/>
      <c r="BC182" s="96" t="n"/>
      <c r="BD182" s="96" t="n"/>
      <c r="BE182" s="96" t="n"/>
      <c r="BF182" s="96" t="n"/>
      <c r="BG182" s="96" t="n"/>
      <c r="BH182" s="96" t="n"/>
      <c r="BI182" s="96" t="n"/>
      <c r="BJ182" s="96" t="n"/>
      <c r="BK182" s="96" t="n"/>
      <c r="BL182" s="96" t="n"/>
      <c r="BM182" s="96" t="n"/>
      <c r="BN182" s="96" t="n"/>
      <c r="BO182" s="96" t="n"/>
      <c r="BP182" s="96" t="n"/>
      <c r="BQ182" s="96" t="n"/>
      <c r="BR182" s="96" t="n"/>
      <c r="BS182" s="96" t="n"/>
      <c r="BT182" s="96" t="n"/>
      <c r="BU182" s="96" t="n"/>
      <c r="BV182" s="96" t="n"/>
      <c r="BW182" s="96" t="n"/>
      <c r="BX182" s="96" t="n"/>
      <c r="BY182" s="96" t="n"/>
      <c r="BZ182" s="96" t="n"/>
      <c r="CA182" s="96" t="n"/>
      <c r="CB182" s="96" t="n"/>
      <c r="CC182" s="96" t="n"/>
      <c r="CD182" s="96" t="n"/>
      <c r="CE182" s="96" t="n"/>
      <c r="CF182" s="96" t="n"/>
      <c r="CG182" s="96" t="n"/>
      <c r="CH182" s="96" t="n"/>
      <c r="CI182" s="96" t="n"/>
      <c r="CJ182" s="96" t="n"/>
      <c r="CK182" s="96" t="n"/>
      <c r="CL182" s="96" t="n"/>
      <c r="CM182" s="96" t="n"/>
      <c r="CN182" s="96" t="n"/>
      <c r="CO182" s="96" t="n"/>
      <c r="CP182" s="96" t="n"/>
      <c r="CQ182" s="96" t="n"/>
      <c r="CR182" s="96" t="n"/>
      <c r="CS182" s="96" t="n"/>
      <c r="CT182" s="96" t="n"/>
      <c r="CU182" s="96" t="n"/>
      <c r="CV182" s="96" t="n"/>
      <c r="CW182" s="96" t="n"/>
      <c r="CX182" s="96" t="n"/>
      <c r="CY182" s="96" t="n"/>
      <c r="CZ182" s="96" t="n"/>
      <c r="DA182" s="96" t="n"/>
      <c r="DB182" s="96" t="n"/>
      <c r="DC182" s="96" t="n"/>
      <c r="DD182" s="96" t="n"/>
      <c r="DE182" s="96" t="n"/>
      <c r="DF182" s="96" t="n"/>
      <c r="DG182" s="96" t="n"/>
      <c r="DH182" s="96" t="n"/>
      <c r="DI182" s="96" t="n"/>
      <c r="DJ182" s="96" t="n"/>
      <c r="DK182" s="96" t="n"/>
      <c r="DL182" s="96" t="n"/>
      <c r="DM182" s="96" t="n"/>
      <c r="DN182" s="96" t="n"/>
      <c r="DO182" s="96" t="n"/>
      <c r="DP182" s="96" t="n"/>
      <c r="DQ182" s="96" t="n"/>
      <c r="DR182" s="96" t="n"/>
    </row>
    <row r="183" ht="4.5" customHeight="1"/>
    <row r="184" ht="15.75" customHeight="1">
      <c r="B184" s="44" t="inlineStr">
        <is>
          <t>Gross Margin</t>
        </is>
      </c>
    </row>
    <row r="185" ht="15.75" customHeight="1">
      <c r="B185" s="5" t="inlineStr">
        <is>
          <t>Mega</t>
        </is>
      </c>
      <c r="F185" s="45">
        <f>+F178/F162</f>
        <v/>
      </c>
      <c r="G185" s="45">
        <f>+G178/G162</f>
        <v/>
      </c>
      <c r="H185" s="45">
        <f>+H178/H162</f>
        <v/>
      </c>
      <c r="I185" s="45">
        <f>+I178/I162</f>
        <v/>
      </c>
      <c r="J185" s="45">
        <f>+J178/J162</f>
        <v/>
      </c>
      <c r="K185" s="45">
        <f>+K178/K162</f>
        <v/>
      </c>
      <c r="L185" s="45">
        <f>+L178/L162</f>
        <v/>
      </c>
      <c r="M185" s="45">
        <f>+M178/M162</f>
        <v/>
      </c>
      <c r="AA185" s="49" t="n"/>
      <c r="AB185" s="96" t="n"/>
      <c r="AC185" s="96" t="n"/>
      <c r="AD185" s="96" t="n"/>
      <c r="AE185" s="96" t="n"/>
      <c r="AF185" s="96" t="n"/>
      <c r="AG185" s="96" t="n"/>
      <c r="AH185" s="96" t="n"/>
      <c r="AI185" s="96" t="n"/>
      <c r="AJ185" s="96" t="n"/>
      <c r="AK185" s="96" t="n"/>
      <c r="AL185" s="96" t="n"/>
      <c r="AM185" s="96" t="n"/>
      <c r="AN185" s="96" t="n"/>
      <c r="AO185" s="96" t="n"/>
      <c r="AP185" s="96" t="n"/>
      <c r="AQ185" s="96" t="n"/>
      <c r="AR185" s="96" t="n"/>
      <c r="AS185" s="96" t="n"/>
      <c r="AT185" s="96" t="n"/>
      <c r="AU185" s="96" t="n"/>
      <c r="AV185" s="96" t="n"/>
      <c r="AW185" s="96" t="n"/>
      <c r="AX185" s="96" t="n"/>
      <c r="AY185" s="96" t="n"/>
      <c r="AZ185" s="96" t="n"/>
      <c r="BA185" s="96" t="n"/>
      <c r="BB185" s="96" t="n"/>
      <c r="BC185" s="96" t="n"/>
      <c r="BD185" s="96" t="n"/>
      <c r="BE185" s="96" t="n"/>
      <c r="BF185" s="96" t="n"/>
      <c r="BG185" s="96" t="n"/>
      <c r="BH185" s="96" t="n"/>
      <c r="BI185" s="96" t="n"/>
      <c r="BJ185" s="96" t="n"/>
      <c r="BK185" s="96" t="n"/>
      <c r="BL185" s="96" t="n"/>
      <c r="BM185" s="96" t="n"/>
      <c r="BN185" s="96" t="n"/>
      <c r="BO185" s="96" t="n"/>
      <c r="BP185" s="96" t="n"/>
      <c r="BQ185" s="96" t="n"/>
      <c r="BR185" s="96" t="n"/>
      <c r="BS185" s="96" t="n"/>
      <c r="BT185" s="96" t="n"/>
      <c r="BU185" s="96" t="n"/>
      <c r="BV185" s="96" t="n"/>
      <c r="BW185" s="96" t="n"/>
      <c r="BX185" s="96" t="n"/>
      <c r="BY185" s="96" t="n"/>
      <c r="BZ185" s="96" t="n"/>
      <c r="CA185" s="96" t="n"/>
      <c r="CB185" s="96" t="n"/>
      <c r="CC185" s="96" t="n"/>
      <c r="CD185" s="96" t="n"/>
      <c r="CE185" s="96" t="n"/>
      <c r="CF185" s="96" t="n"/>
      <c r="CG185" s="96" t="n"/>
      <c r="CH185" s="96" t="n"/>
      <c r="CI185" s="96" t="n"/>
      <c r="CJ185" s="96" t="n"/>
      <c r="CK185" s="96" t="n"/>
      <c r="CL185" s="96" t="n"/>
      <c r="CM185" s="96" t="n"/>
      <c r="CN185" s="96" t="n"/>
      <c r="CO185" s="96" t="n"/>
      <c r="CP185" s="96" t="n"/>
      <c r="CQ185" s="96" t="n"/>
      <c r="CR185" s="96" t="n"/>
      <c r="CS185" s="96" t="n"/>
      <c r="CT185" s="96" t="n"/>
      <c r="CU185" s="96" t="n"/>
      <c r="CV185" s="96" t="n"/>
      <c r="CW185" s="96" t="n"/>
      <c r="CX185" s="96" t="n"/>
      <c r="CY185" s="96" t="n"/>
      <c r="CZ185" s="96" t="n"/>
      <c r="DA185" s="96" t="n"/>
      <c r="DB185" s="96" t="n"/>
      <c r="DC185" s="96" t="n"/>
      <c r="DD185" s="96" t="n"/>
      <c r="DE185" s="96" t="n"/>
      <c r="DF185" s="96" t="n"/>
      <c r="DG185" s="96" t="n"/>
      <c r="DH185" s="96" t="n"/>
      <c r="DI185" s="96" t="n"/>
      <c r="DJ185" s="96" t="n"/>
      <c r="DK185" s="96" t="n"/>
      <c r="DL185" s="96" t="n"/>
      <c r="DM185" s="96" t="n"/>
      <c r="DN185" s="96" t="n"/>
      <c r="DO185" s="96" t="n"/>
      <c r="DP185" s="96" t="n"/>
      <c r="DQ185" s="96" t="n"/>
      <c r="DR185" s="96" t="n"/>
    </row>
    <row r="186" ht="15.75" customHeight="1">
      <c r="B186" s="5" t="inlineStr">
        <is>
          <t>Major</t>
        </is>
      </c>
      <c r="F186" s="45">
        <f>+F179/F163</f>
        <v/>
      </c>
      <c r="G186" s="45">
        <f>+G179/G163</f>
        <v/>
      </c>
      <c r="H186" s="45">
        <f>+H179/H163</f>
        <v/>
      </c>
      <c r="I186" s="45">
        <f>+I179/I163</f>
        <v/>
      </c>
      <c r="J186" s="45">
        <f>+J179/J163</f>
        <v/>
      </c>
      <c r="K186" s="45">
        <f>+K179/K163</f>
        <v/>
      </c>
      <c r="L186" s="45">
        <f>+L179/L163</f>
        <v/>
      </c>
      <c r="M186" s="45">
        <f>+M179/M163</f>
        <v/>
      </c>
      <c r="AA186" s="49" t="n"/>
      <c r="AB186" s="96" t="n"/>
      <c r="AC186" s="96" t="n"/>
      <c r="AD186" s="96" t="n"/>
      <c r="AE186" s="96" t="n"/>
      <c r="AF186" s="96" t="n"/>
      <c r="AG186" s="96" t="n"/>
      <c r="AH186" s="96" t="n"/>
      <c r="AI186" s="96" t="n"/>
      <c r="AJ186" s="96" t="n"/>
      <c r="AK186" s="96" t="n"/>
      <c r="AL186" s="96" t="n"/>
      <c r="AM186" s="96" t="n"/>
      <c r="AN186" s="96" t="n"/>
      <c r="AO186" s="96" t="n"/>
      <c r="AP186" s="96" t="n"/>
      <c r="AQ186" s="96" t="n"/>
      <c r="AR186" s="96" t="n"/>
      <c r="AS186" s="96" t="n"/>
      <c r="AT186" s="96" t="n"/>
      <c r="AU186" s="96" t="n"/>
      <c r="AV186" s="96" t="n"/>
      <c r="AW186" s="96" t="n"/>
      <c r="AX186" s="96" t="n"/>
      <c r="AY186" s="96" t="n"/>
      <c r="AZ186" s="96" t="n"/>
      <c r="BA186" s="96" t="n"/>
      <c r="BB186" s="96" t="n"/>
      <c r="BC186" s="96" t="n"/>
      <c r="BD186" s="96" t="n"/>
      <c r="BE186" s="96" t="n"/>
      <c r="BF186" s="96" t="n"/>
      <c r="BG186" s="96" t="n"/>
      <c r="BH186" s="96" t="n"/>
      <c r="BI186" s="96" t="n"/>
      <c r="BJ186" s="96" t="n"/>
      <c r="BK186" s="96" t="n"/>
      <c r="BL186" s="96" t="n"/>
      <c r="BM186" s="96" t="n"/>
      <c r="BN186" s="96" t="n"/>
      <c r="BO186" s="96" t="n"/>
      <c r="BP186" s="96" t="n"/>
      <c r="BQ186" s="96" t="n"/>
      <c r="BR186" s="96" t="n"/>
      <c r="BS186" s="96" t="n"/>
      <c r="BT186" s="96" t="n"/>
      <c r="BU186" s="96" t="n"/>
      <c r="BV186" s="96" t="n"/>
      <c r="BW186" s="96" t="n"/>
      <c r="BX186" s="96" t="n"/>
      <c r="BY186" s="96" t="n"/>
      <c r="BZ186" s="96" t="n"/>
      <c r="CA186" s="96" t="n"/>
      <c r="CB186" s="96" t="n"/>
      <c r="CC186" s="96" t="n"/>
      <c r="CD186" s="96" t="n"/>
      <c r="CE186" s="96" t="n"/>
      <c r="CF186" s="96" t="n"/>
      <c r="CG186" s="96" t="n"/>
      <c r="CH186" s="96" t="n"/>
      <c r="CI186" s="96" t="n"/>
      <c r="CJ186" s="96" t="n"/>
      <c r="CK186" s="96" t="n"/>
      <c r="CL186" s="96" t="n"/>
      <c r="CM186" s="96" t="n"/>
      <c r="CN186" s="96" t="n"/>
      <c r="CO186" s="96" t="n"/>
      <c r="CP186" s="96" t="n"/>
      <c r="CQ186" s="96" t="n"/>
      <c r="CR186" s="96" t="n"/>
      <c r="CS186" s="96" t="n"/>
      <c r="CT186" s="96" t="n"/>
      <c r="CU186" s="96" t="n"/>
      <c r="CV186" s="96" t="n"/>
      <c r="CW186" s="96" t="n"/>
      <c r="CX186" s="96" t="n"/>
      <c r="CY186" s="96" t="n"/>
      <c r="CZ186" s="96" t="n"/>
      <c r="DA186" s="96" t="n"/>
      <c r="DB186" s="96" t="n"/>
      <c r="DC186" s="96" t="n"/>
      <c r="DD186" s="96" t="n"/>
      <c r="DE186" s="96" t="n"/>
      <c r="DF186" s="96" t="n"/>
      <c r="DG186" s="96" t="n"/>
      <c r="DH186" s="96" t="n"/>
      <c r="DI186" s="96" t="n"/>
      <c r="DJ186" s="96" t="n"/>
      <c r="DK186" s="96" t="n"/>
      <c r="DL186" s="96" t="n"/>
      <c r="DM186" s="96" t="n"/>
      <c r="DN186" s="96" t="n"/>
      <c r="DO186" s="96" t="n"/>
      <c r="DP186" s="96" t="n"/>
      <c r="DQ186" s="96" t="n"/>
      <c r="DR186" s="96" t="n"/>
    </row>
    <row r="187" ht="15.75" customHeight="1">
      <c r="B187" s="5" t="inlineStr">
        <is>
          <t>Upper Middle Market</t>
        </is>
      </c>
      <c r="F187" s="45">
        <f>+F180/F164</f>
        <v/>
      </c>
      <c r="G187" s="45">
        <f>+G180/G164</f>
        <v/>
      </c>
      <c r="H187" s="45">
        <f>+H180/H164</f>
        <v/>
      </c>
      <c r="I187" s="45">
        <f>+I180/I164</f>
        <v/>
      </c>
      <c r="J187" s="45">
        <f>+J180/J164</f>
        <v/>
      </c>
      <c r="K187" s="45">
        <f>+K180/K164</f>
        <v/>
      </c>
      <c r="L187" s="45">
        <f>+L180/L164</f>
        <v/>
      </c>
      <c r="M187" s="45">
        <f>+M180/M164</f>
        <v/>
      </c>
      <c r="AA187" s="49" t="n"/>
      <c r="AB187" s="96" t="n"/>
      <c r="AC187" s="96" t="n"/>
      <c r="AD187" s="96" t="n"/>
      <c r="AE187" s="96" t="n"/>
      <c r="AF187" s="96" t="n"/>
      <c r="AG187" s="96" t="n"/>
      <c r="AH187" s="96" t="n"/>
      <c r="AI187" s="96" t="n"/>
      <c r="AJ187" s="96" t="n"/>
      <c r="AK187" s="96" t="n"/>
      <c r="AL187" s="96" t="n"/>
      <c r="AM187" s="96" t="n"/>
      <c r="AN187" s="96" t="n"/>
      <c r="AO187" s="96" t="n"/>
      <c r="AP187" s="96" t="n"/>
      <c r="AQ187" s="96" t="n"/>
      <c r="AR187" s="96" t="n"/>
      <c r="AS187" s="96" t="n"/>
      <c r="AT187" s="96" t="n"/>
      <c r="AU187" s="96" t="n"/>
      <c r="AV187" s="96" t="n"/>
      <c r="AW187" s="96" t="n"/>
      <c r="AX187" s="96" t="n"/>
      <c r="AY187" s="96" t="n"/>
      <c r="AZ187" s="96" t="n"/>
      <c r="BA187" s="96" t="n"/>
      <c r="BB187" s="96" t="n"/>
      <c r="BC187" s="96" t="n"/>
      <c r="BD187" s="96" t="n"/>
      <c r="BE187" s="96" t="n"/>
      <c r="BF187" s="96" t="n"/>
      <c r="BG187" s="96" t="n"/>
      <c r="BH187" s="96" t="n"/>
      <c r="BI187" s="96" t="n"/>
      <c r="BJ187" s="96" t="n"/>
      <c r="BK187" s="96" t="n"/>
      <c r="BL187" s="96" t="n"/>
      <c r="BM187" s="96" t="n"/>
      <c r="BN187" s="96" t="n"/>
      <c r="BO187" s="96" t="n"/>
      <c r="BP187" s="96" t="n"/>
      <c r="BQ187" s="96" t="n"/>
      <c r="BR187" s="96" t="n"/>
      <c r="BS187" s="96" t="n"/>
      <c r="BT187" s="96" t="n"/>
      <c r="BU187" s="96" t="n"/>
      <c r="BV187" s="96" t="n"/>
      <c r="BW187" s="96" t="n"/>
      <c r="BX187" s="96" t="n"/>
      <c r="BY187" s="96" t="n"/>
      <c r="BZ187" s="96" t="n"/>
      <c r="CA187" s="96" t="n"/>
      <c r="CB187" s="96" t="n"/>
      <c r="CC187" s="96" t="n"/>
      <c r="CD187" s="96" t="n"/>
      <c r="CE187" s="96" t="n"/>
      <c r="CF187" s="96" t="n"/>
      <c r="CG187" s="96" t="n"/>
      <c r="CH187" s="96" t="n"/>
      <c r="CI187" s="96" t="n"/>
      <c r="CJ187" s="96" t="n"/>
      <c r="CK187" s="96" t="n"/>
      <c r="CL187" s="96" t="n"/>
      <c r="CM187" s="96" t="n"/>
      <c r="CN187" s="96" t="n"/>
      <c r="CO187" s="96" t="n"/>
      <c r="CP187" s="96" t="n"/>
      <c r="CQ187" s="96" t="n"/>
      <c r="CR187" s="96" t="n"/>
      <c r="CS187" s="96" t="n"/>
      <c r="CT187" s="96" t="n"/>
      <c r="CU187" s="96" t="n"/>
      <c r="CV187" s="96" t="n"/>
      <c r="CW187" s="96" t="n"/>
      <c r="CX187" s="96" t="n"/>
      <c r="CY187" s="96" t="n"/>
      <c r="CZ187" s="96" t="n"/>
      <c r="DA187" s="96" t="n"/>
      <c r="DB187" s="96" t="n"/>
      <c r="DC187" s="96" t="n"/>
      <c r="DD187" s="96" t="n"/>
      <c r="DE187" s="96" t="n"/>
      <c r="DF187" s="96" t="n"/>
      <c r="DG187" s="96" t="n"/>
      <c r="DH187" s="96" t="n"/>
      <c r="DI187" s="96" t="n"/>
      <c r="DJ187" s="96" t="n"/>
      <c r="DK187" s="96" t="n"/>
      <c r="DL187" s="96" t="n"/>
      <c r="DM187" s="96" t="n"/>
      <c r="DN187" s="96" t="n"/>
      <c r="DO187" s="96" t="n"/>
      <c r="DP187" s="96" t="n"/>
      <c r="DQ187" s="96" t="n"/>
      <c r="DR187" s="96" t="n"/>
    </row>
    <row r="188" ht="15.75" customHeight="1">
      <c r="B188" s="5" t="inlineStr">
        <is>
          <t>Lower Middle Market</t>
        </is>
      </c>
      <c r="F188" s="45">
        <f>+F181/F165</f>
        <v/>
      </c>
      <c r="G188" s="45">
        <f>+G181/G165</f>
        <v/>
      </c>
      <c r="H188" s="45">
        <f>+H181/H165</f>
        <v/>
      </c>
      <c r="I188" s="45">
        <f>+I181/I165</f>
        <v/>
      </c>
      <c r="J188" s="45">
        <f>+J181/J165</f>
        <v/>
      </c>
      <c r="K188" s="45">
        <f>+K181/K165</f>
        <v/>
      </c>
      <c r="L188" s="45">
        <f>+L181/L165</f>
        <v/>
      </c>
      <c r="M188" s="45">
        <f>+M181/M165</f>
        <v/>
      </c>
      <c r="AA188" s="49" t="n"/>
      <c r="AB188" s="96" t="n"/>
      <c r="AC188" s="96" t="n"/>
      <c r="AD188" s="96" t="n"/>
      <c r="AE188" s="96" t="n"/>
      <c r="AF188" s="96" t="n"/>
      <c r="AG188" s="96" t="n"/>
      <c r="AH188" s="96" t="n"/>
      <c r="AI188" s="96" t="n"/>
      <c r="AJ188" s="96" t="n"/>
      <c r="AK188" s="96" t="n"/>
      <c r="AL188" s="96" t="n"/>
      <c r="AM188" s="96" t="n"/>
      <c r="AN188" s="96" t="n"/>
      <c r="AO188" s="96" t="n"/>
      <c r="AP188" s="96" t="n"/>
      <c r="AQ188" s="96" t="n"/>
      <c r="AR188" s="96" t="n"/>
      <c r="AS188" s="96" t="n"/>
      <c r="AT188" s="96" t="n"/>
      <c r="AU188" s="96" t="n"/>
      <c r="AV188" s="96" t="n"/>
      <c r="AW188" s="96" t="n"/>
      <c r="AX188" s="96" t="n"/>
      <c r="AY188" s="96" t="n"/>
      <c r="AZ188" s="96" t="n"/>
      <c r="BA188" s="96" t="n"/>
      <c r="BB188" s="96" t="n"/>
      <c r="BC188" s="96" t="n"/>
      <c r="BD188" s="96" t="n"/>
      <c r="BE188" s="96" t="n"/>
      <c r="BF188" s="96" t="n"/>
      <c r="BG188" s="96" t="n"/>
      <c r="BH188" s="96" t="n"/>
      <c r="BI188" s="96" t="n"/>
      <c r="BJ188" s="96" t="n"/>
      <c r="BK188" s="96" t="n"/>
      <c r="BL188" s="96" t="n"/>
      <c r="BM188" s="96" t="n"/>
      <c r="BN188" s="96" t="n"/>
      <c r="BO188" s="96" t="n"/>
      <c r="BP188" s="96" t="n"/>
      <c r="BQ188" s="96" t="n"/>
      <c r="BR188" s="96" t="n"/>
      <c r="BS188" s="96" t="n"/>
      <c r="BT188" s="96" t="n"/>
      <c r="BU188" s="96" t="n"/>
      <c r="BV188" s="96" t="n"/>
      <c r="BW188" s="96" t="n"/>
      <c r="BX188" s="96" t="n"/>
      <c r="BY188" s="96" t="n"/>
      <c r="BZ188" s="96" t="n"/>
      <c r="CA188" s="96" t="n"/>
      <c r="CB188" s="96" t="n"/>
      <c r="CC188" s="96" t="n"/>
      <c r="CD188" s="96" t="n"/>
      <c r="CE188" s="96" t="n"/>
      <c r="CF188" s="96" t="n"/>
      <c r="CG188" s="96" t="n"/>
      <c r="CH188" s="96" t="n"/>
      <c r="CI188" s="96" t="n"/>
      <c r="CJ188" s="96" t="n"/>
      <c r="CK188" s="96" t="n"/>
      <c r="CL188" s="96" t="n"/>
      <c r="CM188" s="96" t="n"/>
      <c r="CN188" s="96" t="n"/>
      <c r="CO188" s="96" t="n"/>
      <c r="CP188" s="96" t="n"/>
      <c r="CQ188" s="96" t="n"/>
      <c r="CR188" s="96" t="n"/>
      <c r="CS188" s="96" t="n"/>
      <c r="CT188" s="96" t="n"/>
      <c r="CU188" s="96" t="n"/>
      <c r="CV188" s="96" t="n"/>
      <c r="CW188" s="96" t="n"/>
      <c r="CX188" s="96" t="n"/>
      <c r="CY188" s="96" t="n"/>
      <c r="CZ188" s="96" t="n"/>
      <c r="DA188" s="96" t="n"/>
      <c r="DB188" s="96" t="n"/>
      <c r="DC188" s="96" t="n"/>
      <c r="DD188" s="96" t="n"/>
      <c r="DE188" s="96" t="n"/>
      <c r="DF188" s="96" t="n"/>
      <c r="DG188" s="96" t="n"/>
      <c r="DH188" s="96" t="n"/>
      <c r="DI188" s="96" t="n"/>
      <c r="DJ188" s="96" t="n"/>
      <c r="DK188" s="96" t="n"/>
      <c r="DL188" s="96" t="n"/>
      <c r="DM188" s="96" t="n"/>
      <c r="DN188" s="96" t="n"/>
      <c r="DO188" s="96" t="n"/>
      <c r="DP188" s="96" t="n"/>
      <c r="DQ188" s="96" t="n"/>
      <c r="DR188" s="96" t="n"/>
    </row>
    <row r="189" ht="15.75" customHeight="1">
      <c r="B189" s="50" t="inlineStr">
        <is>
          <t>Total</t>
        </is>
      </c>
      <c r="C189" s="50" t="n"/>
      <c r="D189" s="50" t="n"/>
      <c r="F189" s="53">
        <f>+F182/F166</f>
        <v/>
      </c>
      <c r="G189" s="53">
        <f>+G182/G166</f>
        <v/>
      </c>
      <c r="H189" s="53">
        <f>+H182/H166</f>
        <v/>
      </c>
      <c r="I189" s="53">
        <f>+I182/I166</f>
        <v/>
      </c>
      <c r="J189" s="53">
        <f>+J182/J166</f>
        <v/>
      </c>
      <c r="K189" s="53">
        <f>+K182/K166</f>
        <v/>
      </c>
      <c r="L189" s="53">
        <f>+L182/L166</f>
        <v/>
      </c>
      <c r="M189" s="53">
        <f>+M182/M166</f>
        <v/>
      </c>
      <c r="AA189" s="49" t="n"/>
      <c r="AB189" s="96" t="n"/>
      <c r="AC189" s="96" t="n"/>
      <c r="AD189" s="96" t="n"/>
      <c r="AE189" s="96" t="n"/>
      <c r="AF189" s="96" t="n"/>
      <c r="AG189" s="96" t="n"/>
      <c r="AH189" s="96" t="n"/>
      <c r="AI189" s="96" t="n"/>
      <c r="AJ189" s="96" t="n"/>
      <c r="AK189" s="96" t="n"/>
      <c r="AL189" s="96" t="n"/>
      <c r="AM189" s="96" t="n"/>
      <c r="AN189" s="96" t="n"/>
      <c r="AO189" s="96" t="n"/>
      <c r="AP189" s="96" t="n"/>
      <c r="AQ189" s="96" t="n"/>
      <c r="AR189" s="96" t="n"/>
      <c r="AS189" s="96" t="n"/>
      <c r="AT189" s="96" t="n"/>
      <c r="AU189" s="96" t="n"/>
      <c r="AV189" s="96" t="n"/>
      <c r="AW189" s="96" t="n"/>
      <c r="AX189" s="96" t="n"/>
      <c r="AY189" s="96" t="n"/>
      <c r="AZ189" s="96" t="n"/>
      <c r="BA189" s="96" t="n"/>
      <c r="BB189" s="96" t="n"/>
      <c r="BC189" s="96" t="n"/>
      <c r="BD189" s="96" t="n"/>
      <c r="BE189" s="96" t="n"/>
      <c r="BF189" s="96" t="n"/>
      <c r="BG189" s="96" t="n"/>
      <c r="BH189" s="96" t="n"/>
      <c r="BI189" s="96" t="n"/>
      <c r="BJ189" s="96" t="n"/>
      <c r="BK189" s="96" t="n"/>
      <c r="BL189" s="96" t="n"/>
      <c r="BM189" s="96" t="n"/>
      <c r="BN189" s="96" t="n"/>
      <c r="BO189" s="96" t="n"/>
      <c r="BP189" s="96" t="n"/>
      <c r="BQ189" s="96" t="n"/>
      <c r="BR189" s="96" t="n"/>
      <c r="BS189" s="96" t="n"/>
      <c r="BT189" s="96" t="n"/>
      <c r="BU189" s="96" t="n"/>
      <c r="BV189" s="96" t="n"/>
      <c r="BW189" s="96" t="n"/>
      <c r="BX189" s="96" t="n"/>
      <c r="BY189" s="96" t="n"/>
      <c r="BZ189" s="96" t="n"/>
      <c r="CA189" s="96" t="n"/>
      <c r="CB189" s="96" t="n"/>
      <c r="CC189" s="96" t="n"/>
      <c r="CD189" s="96" t="n"/>
      <c r="CE189" s="96" t="n"/>
      <c r="CF189" s="96" t="n"/>
      <c r="CG189" s="96" t="n"/>
      <c r="CH189" s="96" t="n"/>
      <c r="CI189" s="96" t="n"/>
      <c r="CJ189" s="96" t="n"/>
      <c r="CK189" s="96" t="n"/>
      <c r="CL189" s="96" t="n"/>
      <c r="CM189" s="96" t="n"/>
      <c r="CN189" s="96" t="n"/>
      <c r="CO189" s="96" t="n"/>
      <c r="CP189" s="96" t="n"/>
      <c r="CQ189" s="96" t="n"/>
      <c r="CR189" s="96" t="n"/>
      <c r="CS189" s="96" t="n"/>
      <c r="CT189" s="96" t="n"/>
      <c r="CU189" s="96" t="n"/>
      <c r="CV189" s="96" t="n"/>
      <c r="CW189" s="96" t="n"/>
      <c r="CX189" s="96" t="n"/>
      <c r="CY189" s="96" t="n"/>
      <c r="CZ189" s="96" t="n"/>
      <c r="DA189" s="96" t="n"/>
      <c r="DB189" s="96" t="n"/>
      <c r="DC189" s="96" t="n"/>
      <c r="DD189" s="96" t="n"/>
      <c r="DE189" s="96" t="n"/>
      <c r="DF189" s="96" t="n"/>
      <c r="DG189" s="96" t="n"/>
      <c r="DH189" s="96" t="n"/>
      <c r="DI189" s="96" t="n"/>
      <c r="DJ189" s="96" t="n"/>
      <c r="DK189" s="96" t="n"/>
      <c r="DL189" s="96" t="n"/>
      <c r="DM189" s="96" t="n"/>
      <c r="DN189" s="96" t="n"/>
      <c r="DO189" s="96" t="n"/>
      <c r="DP189" s="96" t="n"/>
      <c r="DQ189" s="96" t="n"/>
      <c r="DR189" s="96" t="n"/>
    </row>
    <row r="190" ht="4.5" customHeight="1"/>
    <row r="191" ht="15.75" customHeight="1">
      <c r="B191" s="118" t="inlineStr">
        <is>
          <t>Total Managed Services</t>
        </is>
      </c>
      <c r="C191" s="118" t="n"/>
      <c r="D191" s="118" t="n"/>
      <c r="F191" s="112">
        <f>+F173</f>
        <v/>
      </c>
      <c r="G191" s="112">
        <f>+G173</f>
        <v/>
      </c>
      <c r="H191" s="112">
        <f>+H173</f>
        <v/>
      </c>
      <c r="I191" s="112">
        <f>+I173</f>
        <v/>
      </c>
      <c r="J191" s="112">
        <f>+J173</f>
        <v/>
      </c>
      <c r="K191" s="112">
        <f>+K173</f>
        <v/>
      </c>
      <c r="L191" s="112">
        <f>+L173</f>
        <v/>
      </c>
      <c r="M191" s="112">
        <f>+M173</f>
        <v/>
      </c>
      <c r="AA191" s="112">
        <f>+AA173</f>
        <v/>
      </c>
      <c r="AB191" s="112">
        <f>+AB173</f>
        <v/>
      </c>
      <c r="AC191" s="112">
        <f>+AC173</f>
        <v/>
      </c>
      <c r="AD191" s="112">
        <f>+AD173</f>
        <v/>
      </c>
      <c r="AE191" s="112">
        <f>+AE173</f>
        <v/>
      </c>
      <c r="AF191" s="112">
        <f>+AF173</f>
        <v/>
      </c>
      <c r="AG191" s="112">
        <f>+AG173</f>
        <v/>
      </c>
      <c r="AH191" s="112">
        <f>+AH173</f>
        <v/>
      </c>
      <c r="AI191" s="112">
        <f>+AI173</f>
        <v/>
      </c>
      <c r="AJ191" s="112">
        <f>+AJ173</f>
        <v/>
      </c>
      <c r="AK191" s="112">
        <f>+AK173</f>
        <v/>
      </c>
      <c r="AL191" s="112">
        <f>+AL173</f>
        <v/>
      </c>
      <c r="AM191" s="112">
        <f>+AM173</f>
        <v/>
      </c>
      <c r="AN191" s="112">
        <f>+AN173</f>
        <v/>
      </c>
      <c r="AO191" s="112">
        <f>+AO173</f>
        <v/>
      </c>
      <c r="AP191" s="112">
        <f>+AP173</f>
        <v/>
      </c>
      <c r="AQ191" s="112">
        <f>+AQ173</f>
        <v/>
      </c>
      <c r="AR191" s="112">
        <f>+AR173</f>
        <v/>
      </c>
      <c r="AS191" s="112">
        <f>+AS173</f>
        <v/>
      </c>
      <c r="AT191" s="112">
        <f>+AT173</f>
        <v/>
      </c>
      <c r="AU191" s="112">
        <f>+AU173</f>
        <v/>
      </c>
      <c r="AV191" s="112">
        <f>+AV173</f>
        <v/>
      </c>
      <c r="AW191" s="112">
        <f>+AW173</f>
        <v/>
      </c>
      <c r="AX191" s="112">
        <f>+AX173</f>
        <v/>
      </c>
      <c r="AY191" s="112">
        <f>+AY173</f>
        <v/>
      </c>
      <c r="AZ191" s="112">
        <f>+AZ173</f>
        <v/>
      </c>
      <c r="BA191" s="112">
        <f>+BA173</f>
        <v/>
      </c>
      <c r="BB191" s="112">
        <f>+BB173</f>
        <v/>
      </c>
      <c r="BC191" s="112">
        <f>+BC173</f>
        <v/>
      </c>
      <c r="BD191" s="112">
        <f>+BD173</f>
        <v/>
      </c>
      <c r="BE191" s="112">
        <f>+BE173</f>
        <v/>
      </c>
      <c r="BF191" s="112">
        <f>+BF173</f>
        <v/>
      </c>
      <c r="BG191" s="112">
        <f>+BG173</f>
        <v/>
      </c>
      <c r="BH191" s="112">
        <f>+BH173</f>
        <v/>
      </c>
      <c r="BI191" s="112">
        <f>+BI173</f>
        <v/>
      </c>
      <c r="BJ191" s="112">
        <f>+BJ173</f>
        <v/>
      </c>
      <c r="BK191" s="112">
        <f>+BK173</f>
        <v/>
      </c>
      <c r="BL191" s="112">
        <f>+BL173</f>
        <v/>
      </c>
      <c r="BM191" s="112">
        <f>+BM173</f>
        <v/>
      </c>
      <c r="BN191" s="112">
        <f>+BN173</f>
        <v/>
      </c>
      <c r="BO191" s="112">
        <f>+BO173</f>
        <v/>
      </c>
      <c r="BP191" s="112">
        <f>+BP173</f>
        <v/>
      </c>
      <c r="BQ191" s="112">
        <f>+BQ173</f>
        <v/>
      </c>
      <c r="BR191" s="112">
        <f>+BR173</f>
        <v/>
      </c>
      <c r="BS191" s="112">
        <f>+BS173</f>
        <v/>
      </c>
      <c r="BT191" s="112">
        <f>+BT173</f>
        <v/>
      </c>
      <c r="BU191" s="112">
        <f>+BU173</f>
        <v/>
      </c>
      <c r="BV191" s="112">
        <f>+BV173</f>
        <v/>
      </c>
      <c r="BW191" s="112">
        <f>+BW173</f>
        <v/>
      </c>
      <c r="BX191" s="112">
        <f>+BX173</f>
        <v/>
      </c>
      <c r="BY191" s="112">
        <f>+BY173</f>
        <v/>
      </c>
      <c r="BZ191" s="112">
        <f>+BZ173</f>
        <v/>
      </c>
      <c r="CA191" s="112">
        <f>+CA173</f>
        <v/>
      </c>
      <c r="CB191" s="112">
        <f>+CB173</f>
        <v/>
      </c>
      <c r="CC191" s="112">
        <f>+CC173</f>
        <v/>
      </c>
      <c r="CD191" s="112">
        <f>+CD173</f>
        <v/>
      </c>
      <c r="CE191" s="112">
        <f>+CE173</f>
        <v/>
      </c>
      <c r="CF191" s="112">
        <f>+CF173</f>
        <v/>
      </c>
      <c r="CG191" s="112">
        <f>+CG173</f>
        <v/>
      </c>
      <c r="CH191" s="112">
        <f>+CH173</f>
        <v/>
      </c>
      <c r="CI191" s="112">
        <f>+CI173</f>
        <v/>
      </c>
      <c r="CJ191" s="112">
        <f>+CJ173</f>
        <v/>
      </c>
      <c r="CK191" s="112">
        <f>+CK173</f>
        <v/>
      </c>
      <c r="CL191" s="112">
        <f>+CL173</f>
        <v/>
      </c>
      <c r="CM191" s="112">
        <f>+CM173</f>
        <v/>
      </c>
      <c r="CN191" s="112">
        <f>+CN173</f>
        <v/>
      </c>
      <c r="CO191" s="112">
        <f>+CO173</f>
        <v/>
      </c>
      <c r="CP191" s="112">
        <f>+CP173</f>
        <v/>
      </c>
      <c r="CQ191" s="112">
        <f>+CQ173</f>
        <v/>
      </c>
      <c r="CR191" s="112">
        <f>+CR173</f>
        <v/>
      </c>
      <c r="CS191" s="112">
        <f>+CS173</f>
        <v/>
      </c>
      <c r="CT191" s="112">
        <f>+CT173</f>
        <v/>
      </c>
      <c r="CU191" s="112">
        <f>+CU173</f>
        <v/>
      </c>
      <c r="CV191" s="112">
        <f>+CV173</f>
        <v/>
      </c>
      <c r="CW191" s="112">
        <f>+CW173</f>
        <v/>
      </c>
      <c r="CX191" s="112">
        <f>+CX173</f>
        <v/>
      </c>
      <c r="CY191" s="112">
        <f>+CY173</f>
        <v/>
      </c>
      <c r="CZ191" s="112">
        <f>+CZ173</f>
        <v/>
      </c>
      <c r="DA191" s="112">
        <f>+DA173</f>
        <v/>
      </c>
      <c r="DB191" s="112">
        <f>+DB173</f>
        <v/>
      </c>
      <c r="DC191" s="112">
        <f>+DC173</f>
        <v/>
      </c>
      <c r="DD191" s="112">
        <f>+DD173</f>
        <v/>
      </c>
      <c r="DE191" s="112">
        <f>+DE173</f>
        <v/>
      </c>
      <c r="DF191" s="112">
        <f>+DF173</f>
        <v/>
      </c>
      <c r="DG191" s="112">
        <f>+DG173</f>
        <v/>
      </c>
      <c r="DH191" s="112">
        <f>+DH173</f>
        <v/>
      </c>
      <c r="DI191" s="112">
        <f>+DI173</f>
        <v/>
      </c>
      <c r="DJ191" s="112">
        <f>+DJ173</f>
        <v/>
      </c>
      <c r="DK191" s="112">
        <f>+DK173</f>
        <v/>
      </c>
      <c r="DL191" s="112">
        <f>+DL173</f>
        <v/>
      </c>
      <c r="DM191" s="112">
        <f>+DM173</f>
        <v/>
      </c>
      <c r="DN191" s="112">
        <f>+DN173</f>
        <v/>
      </c>
      <c r="DO191" s="112">
        <f>+DO173</f>
        <v/>
      </c>
      <c r="DP191" s="112">
        <f>+DP173</f>
        <v/>
      </c>
      <c r="DQ191" s="112">
        <f>+DQ173</f>
        <v/>
      </c>
      <c r="DR191" s="112">
        <f>+DR173</f>
        <v/>
      </c>
    </row>
    <row r="192" ht="15.75" customHeight="1"/>
    <row r="193" ht="15.75" customHeight="1">
      <c r="B193" s="67" t="inlineStr">
        <is>
          <t>Implementation</t>
        </is>
      </c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  <c r="AA193" s="67" t="n"/>
      <c r="AB193" s="67" t="n"/>
      <c r="AC193" s="67" t="n"/>
      <c r="AD193" s="67" t="n"/>
      <c r="AE193" s="67" t="n"/>
      <c r="AF193" s="67" t="n"/>
      <c r="AG193" s="67" t="n"/>
      <c r="AH193" s="67" t="n"/>
      <c r="AI193" s="67" t="n"/>
      <c r="AJ193" s="67" t="n"/>
      <c r="AK193" s="67" t="n"/>
      <c r="AL193" s="67" t="n"/>
      <c r="AM193" s="67" t="n"/>
      <c r="AN193" s="67" t="n"/>
      <c r="AO193" s="67" t="n"/>
      <c r="AP193" s="67" t="n"/>
      <c r="AQ193" s="67" t="n"/>
      <c r="AR193" s="67" t="n"/>
      <c r="AS193" s="67" t="n"/>
      <c r="AT193" s="67" t="n"/>
      <c r="AU193" s="67" t="n"/>
      <c r="AV193" s="67" t="n"/>
      <c r="AW193" s="67" t="n"/>
      <c r="AX193" s="67" t="n"/>
      <c r="AY193" s="67" t="n"/>
      <c r="AZ193" s="67" t="n"/>
      <c r="BA193" s="67" t="n"/>
      <c r="BB193" s="67" t="n"/>
      <c r="BC193" s="67" t="n"/>
      <c r="BD193" s="67" t="n"/>
      <c r="BE193" s="67" t="n"/>
      <c r="BF193" s="67" t="n"/>
      <c r="BG193" s="67" t="n"/>
      <c r="BH193" s="67" t="n"/>
      <c r="BI193" s="67" t="n"/>
      <c r="BJ193" s="67" t="n"/>
      <c r="BK193" s="67" t="n"/>
      <c r="BL193" s="67" t="n"/>
      <c r="BM193" s="67" t="n"/>
      <c r="BN193" s="67" t="n"/>
      <c r="BO193" s="67" t="n"/>
      <c r="BP193" s="67" t="n"/>
      <c r="BQ193" s="67" t="n"/>
      <c r="BR193" s="67" t="n"/>
      <c r="BS193" s="67" t="n"/>
      <c r="BT193" s="67" t="n"/>
      <c r="BU193" s="67" t="n"/>
      <c r="BV193" s="67" t="n"/>
      <c r="BW193" s="67" t="n"/>
      <c r="BX193" s="67" t="n"/>
      <c r="BY193" s="67" t="n"/>
      <c r="BZ193" s="67" t="n"/>
      <c r="CA193" s="67" t="n"/>
      <c r="CB193" s="67" t="n"/>
      <c r="CC193" s="67" t="n"/>
      <c r="CD193" s="67" t="n"/>
      <c r="CE193" s="67" t="n"/>
      <c r="CF193" s="67" t="n"/>
      <c r="CG193" s="67" t="n"/>
      <c r="CH193" s="67" t="n"/>
      <c r="CI193" s="67" t="n"/>
      <c r="CJ193" s="67" t="n"/>
      <c r="CK193" s="67" t="n"/>
      <c r="CL193" s="67" t="n"/>
      <c r="CM193" s="67" t="n"/>
      <c r="CN193" s="67" t="n"/>
      <c r="CO193" s="67" t="n"/>
      <c r="CP193" s="67" t="n"/>
      <c r="CQ193" s="67" t="n"/>
      <c r="CR193" s="67" t="n"/>
      <c r="CS193" s="67" t="n"/>
      <c r="CT193" s="67" t="n"/>
      <c r="CU193" s="67" t="n"/>
      <c r="CV193" s="67" t="n"/>
      <c r="CW193" s="67" t="n"/>
      <c r="CX193" s="67" t="n"/>
      <c r="CY193" s="67" t="n"/>
      <c r="CZ193" s="67" t="n"/>
      <c r="DA193" s="67" t="n"/>
      <c r="DB193" s="67" t="n"/>
      <c r="DC193" s="67" t="n"/>
      <c r="DD193" s="67" t="n"/>
      <c r="DE193" s="67" t="n"/>
      <c r="DF193" s="67" t="n"/>
      <c r="DG193" s="67" t="n"/>
      <c r="DH193" s="67" t="n"/>
      <c r="DI193" s="67" t="n"/>
      <c r="DJ193" s="67" t="n"/>
      <c r="DK193" s="67" t="n"/>
      <c r="DL193" s="67" t="n"/>
      <c r="DM193" s="67" t="n"/>
      <c r="DN193" s="67" t="n"/>
      <c r="DO193" s="67" t="n"/>
      <c r="DP193" s="67" t="n"/>
      <c r="DQ193" s="67" t="n"/>
      <c r="DR193" s="67" t="n"/>
      <c r="DS193" s="67" t="n"/>
    </row>
    <row r="194" ht="4.5" customHeight="1"/>
    <row r="195" outlineLevel="1" ht="15.75" customHeight="1">
      <c r="B195" s="5" t="inlineStr">
        <is>
          <t>AACN</t>
        </is>
      </c>
      <c r="C195" s="68" t="inlineStr">
        <is>
          <t>Lower Middle Market</t>
        </is>
      </c>
      <c r="F195" s="46">
        <f>+SUMIFS($AA195:$DR195,$AA$7:$DR$7,F$7)</f>
        <v/>
      </c>
      <c r="G195" s="46">
        <f>+SUMIFS($AA195:$DR195,$AA$7:$DR$7,G$7)</f>
        <v/>
      </c>
      <c r="H195" s="46">
        <f>+SUMIFS($AA195:$DR195,$AA$7:$DR$7,H$7)</f>
        <v/>
      </c>
      <c r="I195" s="46">
        <f>+SUMIFS($AA195:$DR195,$AA$7:$DR$7,I$7)</f>
        <v/>
      </c>
      <c r="J195" s="46">
        <f>+SUMIFS($AA195:$DR195,$AA$7:$DR$7,J$7)</f>
        <v/>
      </c>
      <c r="K195" s="46">
        <f>+SUMIFS($AA195:$DR195,$AA$7:$DR$7,K$7)</f>
        <v/>
      </c>
      <c r="L195" s="46">
        <f>+SUMIFS($AA195:$DR195,$AA$7:$DR$7,L$7)</f>
        <v/>
      </c>
      <c r="M195" s="46">
        <f>+SUMIFS($AA195:$DR195,$AA$7:$DR$7,M$7)</f>
        <v/>
      </c>
      <c r="AA195" s="47" t="n">
        <v>0.5327979973094205</v>
      </c>
      <c r="AB195" s="47" t="n">
        <v>3.792695194265088</v>
      </c>
      <c r="AC195" s="47" t="n">
        <v>3.042904959616583</v>
      </c>
      <c r="AD195" s="47" t="n">
        <v>11.1776250407733</v>
      </c>
      <c r="AE195" s="47" t="n">
        <v>17.90081732736233</v>
      </c>
      <c r="AF195" s="47" t="n">
        <v>10.76313306303104</v>
      </c>
      <c r="AG195" s="47" t="n">
        <v>7.028926103520268</v>
      </c>
      <c r="AH195" s="47" t="n">
        <v>14.88251339586195</v>
      </c>
      <c r="AI195" s="47" t="n">
        <v>11.31212971323041</v>
      </c>
      <c r="AJ195" s="47" t="n">
        <v>14.52302705849515</v>
      </c>
      <c r="AK195" s="47" t="n">
        <v>17.64973390550043</v>
      </c>
      <c r="AL195" s="47" t="n">
        <v>7.064205013931929</v>
      </c>
      <c r="AM195" s="47" t="n">
        <v>2.774753513351236</v>
      </c>
      <c r="AN195" s="47" t="n">
        <v>7.021499162428557</v>
      </c>
      <c r="AO195" s="47" t="n">
        <v>3.658802616569403</v>
      </c>
      <c r="AP195" s="47" t="n">
        <v>1.252920963598591</v>
      </c>
      <c r="AQ195" s="47" t="n">
        <v>0.2073510510580193</v>
      </c>
      <c r="AR195" s="47" t="n">
        <v>0.01065248435482153</v>
      </c>
      <c r="AS195" s="47" t="n">
        <v>0.08383328611740065</v>
      </c>
      <c r="AT195" s="47" t="n">
        <v>0</v>
      </c>
      <c r="AU195" s="47" t="n">
        <v>0</v>
      </c>
      <c r="AV195" s="47" t="n">
        <v>0</v>
      </c>
      <c r="AW195" s="47" t="n">
        <v>0</v>
      </c>
      <c r="AX195" s="47" t="n">
        <v>0</v>
      </c>
      <c r="AY195" s="47" t="n">
        <v>0</v>
      </c>
      <c r="AZ195" s="47" t="n">
        <v>0</v>
      </c>
      <c r="BA195" s="47" t="n">
        <v>0</v>
      </c>
      <c r="BB195" s="47" t="n">
        <v>0</v>
      </c>
      <c r="BC195" s="47" t="n">
        <v>0</v>
      </c>
      <c r="BD195" s="47" t="n">
        <v>0</v>
      </c>
      <c r="BE195" s="47" t="n">
        <v>0</v>
      </c>
      <c r="BF195" s="47" t="n">
        <v>0</v>
      </c>
      <c r="BG195" s="47" t="n">
        <v>0</v>
      </c>
      <c r="BH195" s="47" t="n">
        <v>0</v>
      </c>
      <c r="BI195" s="47" t="n">
        <v>0</v>
      </c>
      <c r="BJ195" s="47" t="n">
        <v>0</v>
      </c>
    </row>
    <row r="196" outlineLevel="1" ht="15.75" customHeight="1">
      <c r="B196" s="5" t="inlineStr">
        <is>
          <t>AACR</t>
        </is>
      </c>
      <c r="C196" s="68" t="inlineStr">
        <is>
          <t>Lower Middle Market</t>
        </is>
      </c>
      <c r="F196" s="46">
        <f>+SUMIFS($AA196:$DR196,$AA$7:$DR$7,F$7)</f>
        <v/>
      </c>
      <c r="G196" s="46">
        <f>+SUMIFS($AA196:$DR196,$AA$7:$DR$7,G$7)</f>
        <v/>
      </c>
      <c r="H196" s="46">
        <f>+SUMIFS($AA196:$DR196,$AA$7:$DR$7,H$7)</f>
        <v/>
      </c>
      <c r="I196" s="46">
        <f>+SUMIFS($AA196:$DR196,$AA$7:$DR$7,I$7)</f>
        <v/>
      </c>
      <c r="J196" s="46">
        <f>+SUMIFS($AA196:$DR196,$AA$7:$DR$7,J$7)</f>
        <v/>
      </c>
      <c r="K196" s="46">
        <f>+SUMIFS($AA196:$DR196,$AA$7:$DR$7,K$7)</f>
        <v/>
      </c>
      <c r="L196" s="46">
        <f>+SUMIFS($AA196:$DR196,$AA$7:$DR$7,L$7)</f>
        <v/>
      </c>
      <c r="M196" s="46">
        <f>+SUMIFS($AA196:$DR196,$AA$7:$DR$7,M$7)</f>
        <v/>
      </c>
      <c r="AA196" s="47" t="n">
        <v>0</v>
      </c>
      <c r="AB196" s="47" t="n">
        <v>0</v>
      </c>
      <c r="AC196" s="47" t="n">
        <v>0</v>
      </c>
      <c r="AD196" s="47" t="n">
        <v>0</v>
      </c>
      <c r="AE196" s="47" t="n">
        <v>0</v>
      </c>
      <c r="AF196" s="47" t="n">
        <v>0</v>
      </c>
      <c r="AG196" s="47" t="n">
        <v>0</v>
      </c>
      <c r="AH196" s="47" t="n">
        <v>0</v>
      </c>
      <c r="AI196" s="47" t="n">
        <v>0</v>
      </c>
      <c r="AJ196" s="47" t="n">
        <v>0</v>
      </c>
      <c r="AK196" s="47" t="n">
        <v>0</v>
      </c>
      <c r="AL196" s="47" t="n">
        <v>0</v>
      </c>
      <c r="AM196" s="47" t="n">
        <v>0</v>
      </c>
      <c r="AN196" s="47" t="n">
        <v>0</v>
      </c>
      <c r="AO196" s="47" t="n">
        <v>0</v>
      </c>
      <c r="AP196" s="47" t="n">
        <v>0</v>
      </c>
      <c r="AQ196" s="47" t="n">
        <v>0</v>
      </c>
      <c r="AR196" s="47" t="n">
        <v>0</v>
      </c>
      <c r="AS196" s="47" t="n">
        <v>0</v>
      </c>
      <c r="AT196" s="47" t="n">
        <v>0</v>
      </c>
      <c r="AU196" s="47" t="n">
        <v>0</v>
      </c>
      <c r="AV196" s="47" t="n">
        <v>0</v>
      </c>
      <c r="AW196" s="47" t="n">
        <v>0</v>
      </c>
      <c r="AX196" s="47" t="n">
        <v>0</v>
      </c>
      <c r="AY196" s="47" t="n">
        <v>0</v>
      </c>
      <c r="AZ196" s="47" t="n">
        <v>0</v>
      </c>
      <c r="BA196" s="47" t="n">
        <v>6.154176448255703</v>
      </c>
      <c r="BB196" s="47" t="n">
        <v>7.739461644031347</v>
      </c>
      <c r="BC196" s="47" t="n">
        <v>14.83183669373689</v>
      </c>
      <c r="BD196" s="47" t="n">
        <v>19.84659344187092</v>
      </c>
      <c r="BE196" s="47" t="n">
        <v>13.26524574084297</v>
      </c>
      <c r="BF196" s="47" t="n">
        <v>10.19859622668391</v>
      </c>
      <c r="BG196" s="47" t="n">
        <v>8.023127742850587</v>
      </c>
      <c r="BH196" s="47" t="n">
        <v>9.675962202803243</v>
      </c>
      <c r="BI196" s="47" t="n">
        <v>6.041242204361746</v>
      </c>
      <c r="BJ196" s="47" t="n">
        <v>5.400231964421901</v>
      </c>
    </row>
    <row r="197" outlineLevel="1" ht="15.75" customHeight="1">
      <c r="B197" s="5" t="inlineStr">
        <is>
          <t>AAI</t>
        </is>
      </c>
      <c r="C197" s="68" t="inlineStr">
        <is>
          <t>Lower Middle Market</t>
        </is>
      </c>
      <c r="F197" s="46">
        <f>+SUMIFS($AA197:$DR197,$AA$7:$DR$7,F$7)</f>
        <v/>
      </c>
      <c r="G197" s="46">
        <f>+SUMIFS($AA197:$DR197,$AA$7:$DR$7,G$7)</f>
        <v/>
      </c>
      <c r="H197" s="46">
        <f>+SUMIFS($AA197:$DR197,$AA$7:$DR$7,H$7)</f>
        <v/>
      </c>
      <c r="I197" s="46">
        <f>+SUMIFS($AA197:$DR197,$AA$7:$DR$7,I$7)</f>
        <v/>
      </c>
      <c r="J197" s="46">
        <f>+SUMIFS($AA197:$DR197,$AA$7:$DR$7,J$7)</f>
        <v/>
      </c>
      <c r="K197" s="46">
        <f>+SUMIFS($AA197:$DR197,$AA$7:$DR$7,K$7)</f>
        <v/>
      </c>
      <c r="L197" s="46">
        <f>+SUMIFS($AA197:$DR197,$AA$7:$DR$7,L$7)</f>
        <v/>
      </c>
      <c r="M197" s="46">
        <f>+SUMIFS($AA197:$DR197,$AA$7:$DR$7,M$7)</f>
        <v/>
      </c>
      <c r="AA197" s="47" t="n">
        <v>0</v>
      </c>
      <c r="AB197" s="47" t="n">
        <v>0</v>
      </c>
      <c r="AC197" s="47" t="n">
        <v>0</v>
      </c>
      <c r="AD197" s="47" t="n">
        <v>0</v>
      </c>
      <c r="AE197" s="47" t="n">
        <v>0</v>
      </c>
      <c r="AF197" s="47" t="n">
        <v>0</v>
      </c>
      <c r="AG197" s="47" t="n">
        <v>0</v>
      </c>
      <c r="AH197" s="47" t="n">
        <v>0</v>
      </c>
      <c r="AI197" s="47" t="n">
        <v>0</v>
      </c>
      <c r="AJ197" s="47" t="n">
        <v>0</v>
      </c>
      <c r="AK197" s="47" t="n">
        <v>0</v>
      </c>
      <c r="AL197" s="47" t="n">
        <v>0</v>
      </c>
      <c r="AM197" s="47" t="n">
        <v>0</v>
      </c>
      <c r="AN197" s="47" t="n">
        <v>0</v>
      </c>
      <c r="AO197" s="47" t="n">
        <v>0</v>
      </c>
      <c r="AP197" s="47" t="n">
        <v>0</v>
      </c>
      <c r="AQ197" s="47" t="n">
        <v>0</v>
      </c>
      <c r="AR197" s="47" t="n">
        <v>0</v>
      </c>
      <c r="AS197" s="47" t="n">
        <v>0</v>
      </c>
      <c r="AT197" s="47" t="n">
        <v>0</v>
      </c>
      <c r="AU197" s="47" t="n">
        <v>0</v>
      </c>
      <c r="AV197" s="47" t="n">
        <v>0</v>
      </c>
      <c r="AW197" s="47" t="n">
        <v>0</v>
      </c>
      <c r="AX197" s="47" t="n">
        <v>0</v>
      </c>
      <c r="AY197" s="47" t="n">
        <v>0</v>
      </c>
      <c r="AZ197" s="47" t="n">
        <v>0</v>
      </c>
      <c r="BA197" s="47" t="n">
        <v>0</v>
      </c>
      <c r="BB197" s="47" t="n">
        <v>0</v>
      </c>
      <c r="BC197" s="47" t="n">
        <v>0</v>
      </c>
      <c r="BD197" s="47" t="n">
        <v>0</v>
      </c>
      <c r="BE197" s="47" t="n">
        <v>0</v>
      </c>
      <c r="BF197" s="47" t="n">
        <v>0</v>
      </c>
      <c r="BG197" s="47" t="n">
        <v>0</v>
      </c>
      <c r="BH197" s="47" t="n">
        <v>0</v>
      </c>
      <c r="BI197" s="47" t="n">
        <v>0</v>
      </c>
      <c r="BJ197" s="47" t="n">
        <v>0.3283670057533551</v>
      </c>
    </row>
    <row r="198" outlineLevel="1" ht="15.75" customHeight="1">
      <c r="B198" s="5" t="inlineStr">
        <is>
          <t>AAOS</t>
        </is>
      </c>
      <c r="C198" s="68" t="inlineStr">
        <is>
          <t>Upper Middle Market</t>
        </is>
      </c>
      <c r="F198" s="46">
        <f>+SUMIFS($AA198:$DR198,$AA$7:$DR$7,F$7)</f>
        <v/>
      </c>
      <c r="G198" s="46">
        <f>+SUMIFS($AA198:$DR198,$AA$7:$DR$7,G$7)</f>
        <v/>
      </c>
      <c r="H198" s="46">
        <f>+SUMIFS($AA198:$DR198,$AA$7:$DR$7,H$7)</f>
        <v/>
      </c>
      <c r="I198" s="46">
        <f>+SUMIFS($AA198:$DR198,$AA$7:$DR$7,I$7)</f>
        <v/>
      </c>
      <c r="J198" s="46">
        <f>+SUMIFS($AA198:$DR198,$AA$7:$DR$7,J$7)</f>
        <v/>
      </c>
      <c r="K198" s="46">
        <f>+SUMIFS($AA198:$DR198,$AA$7:$DR$7,K$7)</f>
        <v/>
      </c>
      <c r="L198" s="46">
        <f>+SUMIFS($AA198:$DR198,$AA$7:$DR$7,L$7)</f>
        <v/>
      </c>
      <c r="M198" s="46">
        <f>+SUMIFS($AA198:$DR198,$AA$7:$DR$7,M$7)</f>
        <v/>
      </c>
      <c r="AA198" s="47" t="n">
        <v>0</v>
      </c>
      <c r="AB198" s="47" t="n">
        <v>0</v>
      </c>
      <c r="AC198" s="47" t="n">
        <v>0</v>
      </c>
      <c r="AD198" s="47" t="n">
        <v>0</v>
      </c>
      <c r="AE198" s="47" t="n">
        <v>0</v>
      </c>
      <c r="AF198" s="47" t="n">
        <v>0</v>
      </c>
      <c r="AG198" s="47" t="n">
        <v>0</v>
      </c>
      <c r="AH198" s="47" t="n">
        <v>0</v>
      </c>
      <c r="AI198" s="47" t="n">
        <v>0</v>
      </c>
      <c r="AJ198" s="47" t="n">
        <v>0</v>
      </c>
      <c r="AK198" s="47" t="n">
        <v>0</v>
      </c>
      <c r="AL198" s="47" t="n">
        <v>0</v>
      </c>
      <c r="AM198" s="47" t="n">
        <v>0</v>
      </c>
      <c r="AN198" s="47" t="n">
        <v>0</v>
      </c>
      <c r="AO198" s="47" t="n">
        <v>0</v>
      </c>
      <c r="AP198" s="47" t="n">
        <v>0</v>
      </c>
      <c r="AQ198" s="47" t="n">
        <v>2.242660967826067</v>
      </c>
      <c r="AR198" s="47" t="n">
        <v>9.037751797531069</v>
      </c>
      <c r="AS198" s="47" t="n">
        <v>3.181142412092013</v>
      </c>
      <c r="AT198" s="47" t="n">
        <v>7.616529068345416</v>
      </c>
      <c r="AU198" s="47" t="n">
        <v>18.9117762107663</v>
      </c>
      <c r="AV198" s="47" t="n">
        <v>12.46556863478613</v>
      </c>
      <c r="AW198" s="47" t="n">
        <v>3.340801462984013</v>
      </c>
      <c r="AX198" s="47" t="n">
        <v>4.475355987315369</v>
      </c>
      <c r="AY198" s="47" t="n">
        <v>1.746331940383928</v>
      </c>
      <c r="AZ198" s="47" t="n">
        <v>3.808434582828601</v>
      </c>
      <c r="BA198" s="47" t="n">
        <v>3.950628522385032</v>
      </c>
      <c r="BB198" s="47" t="n">
        <v>9.529158517979992</v>
      </c>
      <c r="BC198" s="47" t="n">
        <v>8.786373095528614</v>
      </c>
      <c r="BD198" s="47" t="n">
        <v>1.312734495082883</v>
      </c>
      <c r="BE198" s="47" t="n">
        <v>0.4579752940797321</v>
      </c>
      <c r="BF198" s="47" t="n">
        <v>0.06167204021367334</v>
      </c>
      <c r="BG198" s="47" t="n">
        <v>0</v>
      </c>
      <c r="BH198" s="47" t="n">
        <v>0</v>
      </c>
      <c r="BI198" s="47" t="n">
        <v>0</v>
      </c>
      <c r="BJ198" s="47" t="n">
        <v>0</v>
      </c>
    </row>
    <row r="199" outlineLevel="1" ht="15.75" customHeight="1">
      <c r="B199" s="5" t="inlineStr">
        <is>
          <t>AAP</t>
        </is>
      </c>
      <c r="C199" s="68" t="inlineStr">
        <is>
          <t>Major</t>
        </is>
      </c>
      <c r="F199" s="46">
        <f>+SUMIFS($AA199:$DR199,$AA$7:$DR$7,F$7)</f>
        <v/>
      </c>
      <c r="G199" s="46">
        <f>+SUMIFS($AA199:$DR199,$AA$7:$DR$7,G$7)</f>
        <v/>
      </c>
      <c r="H199" s="46">
        <f>+SUMIFS($AA199:$DR199,$AA$7:$DR$7,H$7)</f>
        <v/>
      </c>
      <c r="I199" s="46">
        <f>+SUMIFS($AA199:$DR199,$AA$7:$DR$7,I$7)</f>
        <v/>
      </c>
      <c r="J199" s="46">
        <f>+SUMIFS($AA199:$DR199,$AA$7:$DR$7,J$7)</f>
        <v/>
      </c>
      <c r="K199" s="46">
        <f>+SUMIFS($AA199:$DR199,$AA$7:$DR$7,K$7)</f>
        <v/>
      </c>
      <c r="L199" s="46">
        <f>+SUMIFS($AA199:$DR199,$AA$7:$DR$7,L$7)</f>
        <v/>
      </c>
      <c r="M199" s="46">
        <f>+SUMIFS($AA199:$DR199,$AA$7:$DR$7,M$7)</f>
        <v/>
      </c>
      <c r="AA199" s="47" t="n">
        <v>0</v>
      </c>
      <c r="AB199" s="47" t="n">
        <v>0</v>
      </c>
      <c r="AC199" s="47" t="n">
        <v>0</v>
      </c>
      <c r="AD199" s="47" t="n">
        <v>0</v>
      </c>
      <c r="AE199" s="47" t="n">
        <v>0.01007616112697835</v>
      </c>
      <c r="AF199" s="47" t="n">
        <v>0</v>
      </c>
      <c r="AG199" s="47" t="n">
        <v>0</v>
      </c>
      <c r="AH199" s="47" t="n">
        <v>0</v>
      </c>
      <c r="AI199" s="47" t="n">
        <v>0</v>
      </c>
      <c r="AJ199" s="47" t="n">
        <v>0</v>
      </c>
      <c r="AK199" s="47" t="n">
        <v>0</v>
      </c>
      <c r="AL199" s="47" t="n">
        <v>0</v>
      </c>
      <c r="AM199" s="47" t="n">
        <v>0</v>
      </c>
      <c r="AN199" s="47" t="n">
        <v>0</v>
      </c>
      <c r="AO199" s="47" t="n">
        <v>0</v>
      </c>
      <c r="AP199" s="47" t="n">
        <v>0</v>
      </c>
      <c r="AQ199" s="47" t="n">
        <v>0</v>
      </c>
      <c r="AR199" s="47" t="n">
        <v>0.02291905067416521</v>
      </c>
      <c r="AS199" s="47" t="n">
        <v>0</v>
      </c>
      <c r="AT199" s="47" t="n">
        <v>0</v>
      </c>
      <c r="AU199" s="47" t="n">
        <v>0</v>
      </c>
      <c r="AV199" s="47" t="n">
        <v>0</v>
      </c>
      <c r="AW199" s="47" t="n">
        <v>0</v>
      </c>
      <c r="AX199" s="47" t="n">
        <v>0.7395563024833289</v>
      </c>
      <c r="AY199" s="47" t="n">
        <v>1.289129562187494</v>
      </c>
      <c r="AZ199" s="47" t="n">
        <v>10.57525462608076</v>
      </c>
      <c r="BA199" s="47" t="n">
        <v>20.92448974500867</v>
      </c>
      <c r="BB199" s="47" t="n">
        <v>15.75856744402911</v>
      </c>
      <c r="BC199" s="47" t="n">
        <v>15.49900111841272</v>
      </c>
      <c r="BD199" s="47" t="n">
        <v>18.35631879835422</v>
      </c>
      <c r="BE199" s="47" t="n">
        <v>17.44646179375692</v>
      </c>
      <c r="BF199" s="47" t="n">
        <v>19.52570258238724</v>
      </c>
      <c r="BG199" s="47" t="n">
        <v>18.34588882749279</v>
      </c>
      <c r="BH199" s="47" t="n">
        <v>31.13860669573347</v>
      </c>
      <c r="BI199" s="47" t="n">
        <v>23.44262113447753</v>
      </c>
      <c r="BJ199" s="47" t="n">
        <v>7.846627107169085</v>
      </c>
    </row>
    <row r="200" outlineLevel="1" ht="15.75" customHeight="1">
      <c r="B200" s="5" t="inlineStr">
        <is>
          <t>ADA</t>
        </is>
      </c>
      <c r="C200" s="68" t="inlineStr">
        <is>
          <t>Lower Middle Market</t>
        </is>
      </c>
      <c r="F200" s="46">
        <f>+SUMIFS($AA200:$DR200,$AA$7:$DR$7,F$7)</f>
        <v/>
      </c>
      <c r="G200" s="46">
        <f>+SUMIFS($AA200:$DR200,$AA$7:$DR$7,G$7)</f>
        <v/>
      </c>
      <c r="H200" s="46">
        <f>+SUMIFS($AA200:$DR200,$AA$7:$DR$7,H$7)</f>
        <v/>
      </c>
      <c r="I200" s="46">
        <f>+SUMIFS($AA200:$DR200,$AA$7:$DR$7,I$7)</f>
        <v/>
      </c>
      <c r="J200" s="46">
        <f>+SUMIFS($AA200:$DR200,$AA$7:$DR$7,J$7)</f>
        <v/>
      </c>
      <c r="K200" s="46">
        <f>+SUMIFS($AA200:$DR200,$AA$7:$DR$7,K$7)</f>
        <v/>
      </c>
      <c r="L200" s="46">
        <f>+SUMIFS($AA200:$DR200,$AA$7:$DR$7,L$7)</f>
        <v/>
      </c>
      <c r="M200" s="46">
        <f>+SUMIFS($AA200:$DR200,$AA$7:$DR$7,M$7)</f>
        <v/>
      </c>
      <c r="AA200" s="47" t="n">
        <v>0</v>
      </c>
      <c r="AB200" s="47" t="n">
        <v>0</v>
      </c>
      <c r="AC200" s="47" t="n">
        <v>0</v>
      </c>
      <c r="AD200" s="47" t="n">
        <v>0</v>
      </c>
      <c r="AE200" s="47" t="n">
        <v>0</v>
      </c>
      <c r="AF200" s="47" t="n">
        <v>0</v>
      </c>
      <c r="AG200" s="47" t="n">
        <v>0</v>
      </c>
      <c r="AH200" s="47" t="n">
        <v>0</v>
      </c>
      <c r="AI200" s="47" t="n">
        <v>0</v>
      </c>
      <c r="AJ200" s="47" t="n">
        <v>0</v>
      </c>
      <c r="AK200" s="47" t="n">
        <v>0</v>
      </c>
      <c r="AL200" s="47" t="n">
        <v>0</v>
      </c>
      <c r="AM200" s="47" t="n">
        <v>0</v>
      </c>
      <c r="AN200" s="47" t="n">
        <v>0</v>
      </c>
      <c r="AO200" s="47" t="n">
        <v>0</v>
      </c>
      <c r="AP200" s="47" t="n">
        <v>0</v>
      </c>
      <c r="AQ200" s="47" t="n">
        <v>0</v>
      </c>
      <c r="AR200" s="47" t="n">
        <v>0</v>
      </c>
      <c r="AS200" s="47" t="n">
        <v>0</v>
      </c>
      <c r="AT200" s="47" t="n">
        <v>0</v>
      </c>
      <c r="AU200" s="47" t="n">
        <v>0</v>
      </c>
      <c r="AV200" s="47" t="n">
        <v>0</v>
      </c>
      <c r="AW200" s="47" t="n">
        <v>0</v>
      </c>
      <c r="AX200" s="47" t="n">
        <v>0</v>
      </c>
      <c r="AY200" s="47" t="n">
        <v>0</v>
      </c>
      <c r="AZ200" s="47" t="n">
        <v>0</v>
      </c>
      <c r="BA200" s="47" t="n">
        <v>0.02647693989908784</v>
      </c>
      <c r="BB200" s="47" t="n">
        <v>2.076333348059308</v>
      </c>
      <c r="BC200" s="47" t="n">
        <v>3.576677187484616</v>
      </c>
      <c r="BD200" s="47" t="n">
        <v>4.973568342792764</v>
      </c>
      <c r="BE200" s="47" t="n">
        <v>11.47935932829077</v>
      </c>
      <c r="BF200" s="47" t="n">
        <v>7.74092824661094</v>
      </c>
      <c r="BG200" s="47" t="n">
        <v>9.56002218466047</v>
      </c>
      <c r="BH200" s="47" t="n">
        <v>12.8543564914305</v>
      </c>
      <c r="BI200" s="47" t="n">
        <v>8.586776119251816</v>
      </c>
      <c r="BJ200" s="47" t="n">
        <v>11.87080000644663</v>
      </c>
    </row>
    <row r="201" outlineLevel="1" ht="15.75" customHeight="1">
      <c r="B201" s="5" t="inlineStr">
        <is>
          <t>AHRQ</t>
        </is>
      </c>
      <c r="C201" s="68" t="inlineStr">
        <is>
          <t>Lower Middle Market</t>
        </is>
      </c>
      <c r="F201" s="46">
        <f>+SUMIFS($AA201:$DR201,$AA$7:$DR$7,F$7)</f>
        <v/>
      </c>
      <c r="G201" s="46">
        <f>+SUMIFS($AA201:$DR201,$AA$7:$DR$7,G$7)</f>
        <v/>
      </c>
      <c r="H201" s="46">
        <f>+SUMIFS($AA201:$DR201,$AA$7:$DR$7,H$7)</f>
        <v/>
      </c>
      <c r="I201" s="46">
        <f>+SUMIFS($AA201:$DR201,$AA$7:$DR$7,I$7)</f>
        <v/>
      </c>
      <c r="J201" s="46">
        <f>+SUMIFS($AA201:$DR201,$AA$7:$DR$7,J$7)</f>
        <v/>
      </c>
      <c r="K201" s="46">
        <f>+SUMIFS($AA201:$DR201,$AA$7:$DR$7,K$7)</f>
        <v/>
      </c>
      <c r="L201" s="46">
        <f>+SUMIFS($AA201:$DR201,$AA$7:$DR$7,L$7)</f>
        <v/>
      </c>
      <c r="M201" s="46">
        <f>+SUMIFS($AA201:$DR201,$AA$7:$DR$7,M$7)</f>
        <v/>
      </c>
      <c r="AA201" s="47" t="n">
        <v>0</v>
      </c>
      <c r="AB201" s="47" t="n">
        <v>0</v>
      </c>
      <c r="AC201" s="47" t="n">
        <v>0</v>
      </c>
      <c r="AD201" s="47" t="n">
        <v>0</v>
      </c>
      <c r="AE201" s="47" t="n">
        <v>0</v>
      </c>
      <c r="AF201" s="47" t="n">
        <v>0</v>
      </c>
      <c r="AG201" s="47" t="n">
        <v>0</v>
      </c>
      <c r="AH201" s="47" t="n">
        <v>0</v>
      </c>
      <c r="AI201" s="47" t="n">
        <v>0</v>
      </c>
      <c r="AJ201" s="47" t="n">
        <v>0</v>
      </c>
      <c r="AK201" s="47" t="n">
        <v>0</v>
      </c>
      <c r="AL201" s="47" t="n">
        <v>0</v>
      </c>
      <c r="AM201" s="47" t="n">
        <v>0</v>
      </c>
      <c r="AN201" s="47" t="n">
        <v>0</v>
      </c>
      <c r="AO201" s="47" t="n">
        <v>0</v>
      </c>
      <c r="AP201" s="47" t="n">
        <v>0</v>
      </c>
      <c r="AQ201" s="47" t="n">
        <v>0</v>
      </c>
      <c r="AR201" s="47" t="n">
        <v>0</v>
      </c>
      <c r="AS201" s="47" t="n">
        <v>0</v>
      </c>
      <c r="AT201" s="47" t="n">
        <v>0</v>
      </c>
      <c r="AU201" s="47" t="n">
        <v>0</v>
      </c>
      <c r="AV201" s="47" t="n">
        <v>0</v>
      </c>
      <c r="AW201" s="47" t="n">
        <v>0</v>
      </c>
      <c r="AX201" s="47" t="n">
        <v>0</v>
      </c>
      <c r="AY201" s="47" t="n">
        <v>0</v>
      </c>
      <c r="AZ201" s="47" t="n">
        <v>0</v>
      </c>
      <c r="BA201" s="47" t="n">
        <v>0</v>
      </c>
      <c r="BB201" s="47" t="n">
        <v>0</v>
      </c>
      <c r="BC201" s="47" t="n">
        <v>0</v>
      </c>
      <c r="BD201" s="47" t="n">
        <v>0</v>
      </c>
      <c r="BE201" s="47" t="n">
        <v>0</v>
      </c>
      <c r="BF201" s="47" t="n">
        <v>0</v>
      </c>
      <c r="BG201" s="47" t="n">
        <v>0</v>
      </c>
      <c r="BH201" s="47" t="n">
        <v>0</v>
      </c>
      <c r="BI201" s="47" t="n">
        <v>0</v>
      </c>
      <c r="BJ201" s="47" t="n">
        <v>0</v>
      </c>
    </row>
    <row r="202" outlineLevel="1" ht="15.75" customHeight="1">
      <c r="B202" s="5" t="inlineStr">
        <is>
          <t>AIPP</t>
        </is>
      </c>
      <c r="C202" s="68" t="inlineStr">
        <is>
          <t>Major</t>
        </is>
      </c>
      <c r="F202" s="46">
        <f>+SUMIFS($AA202:$DR202,$AA$7:$DR$7,F$7)</f>
        <v/>
      </c>
      <c r="G202" s="46">
        <f>+SUMIFS($AA202:$DR202,$AA$7:$DR$7,G$7)</f>
        <v/>
      </c>
      <c r="H202" s="46">
        <f>+SUMIFS($AA202:$DR202,$AA$7:$DR$7,H$7)</f>
        <v/>
      </c>
      <c r="I202" s="46">
        <f>+SUMIFS($AA202:$DR202,$AA$7:$DR$7,I$7)</f>
        <v/>
      </c>
      <c r="J202" s="46">
        <f>+SUMIFS($AA202:$DR202,$AA$7:$DR$7,J$7)</f>
        <v/>
      </c>
      <c r="K202" s="46">
        <f>+SUMIFS($AA202:$DR202,$AA$7:$DR$7,K$7)</f>
        <v/>
      </c>
      <c r="L202" s="46">
        <f>+SUMIFS($AA202:$DR202,$AA$7:$DR$7,L$7)</f>
        <v/>
      </c>
      <c r="M202" s="46">
        <f>+SUMIFS($AA202:$DR202,$AA$7:$DR$7,M$7)</f>
        <v/>
      </c>
      <c r="AA202" s="47" t="n">
        <v>0</v>
      </c>
      <c r="AB202" s="47" t="n">
        <v>0</v>
      </c>
      <c r="AC202" s="47" t="n">
        <v>0</v>
      </c>
      <c r="AD202" s="47" t="n">
        <v>0</v>
      </c>
      <c r="AE202" s="47" t="n">
        <v>0</v>
      </c>
      <c r="AF202" s="47" t="n">
        <v>0</v>
      </c>
      <c r="AG202" s="47" t="n">
        <v>0</v>
      </c>
      <c r="AH202" s="47" t="n">
        <v>0</v>
      </c>
      <c r="AI202" s="47" t="n">
        <v>0</v>
      </c>
      <c r="AJ202" s="47" t="n">
        <v>0</v>
      </c>
      <c r="AK202" s="47" t="n">
        <v>0</v>
      </c>
      <c r="AL202" s="47" t="n">
        <v>0</v>
      </c>
      <c r="AM202" s="47" t="n">
        <v>0</v>
      </c>
      <c r="AN202" s="47" t="n">
        <v>0</v>
      </c>
      <c r="AO202" s="47" t="n">
        <v>0</v>
      </c>
      <c r="AP202" s="47" t="n">
        <v>0</v>
      </c>
      <c r="AQ202" s="47" t="n">
        <v>0</v>
      </c>
      <c r="AR202" s="47" t="n">
        <v>0</v>
      </c>
      <c r="AS202" s="47" t="n">
        <v>0</v>
      </c>
      <c r="AT202" s="47" t="n">
        <v>0</v>
      </c>
      <c r="AU202" s="47" t="n">
        <v>0</v>
      </c>
      <c r="AV202" s="47" t="n">
        <v>0</v>
      </c>
      <c r="AW202" s="47" t="n">
        <v>0</v>
      </c>
      <c r="AX202" s="47" t="n">
        <v>0</v>
      </c>
      <c r="AY202" s="47" t="n">
        <v>0</v>
      </c>
      <c r="AZ202" s="47" t="n">
        <v>0</v>
      </c>
      <c r="BA202" s="47" t="n">
        <v>0</v>
      </c>
      <c r="BB202" s="47" t="n">
        <v>0</v>
      </c>
      <c r="BC202" s="47" t="n">
        <v>0</v>
      </c>
      <c r="BD202" s="47" t="n">
        <v>0</v>
      </c>
      <c r="BE202" s="47" t="n">
        <v>0</v>
      </c>
      <c r="BF202" s="47" t="n">
        <v>0</v>
      </c>
      <c r="BG202" s="47" t="n">
        <v>0</v>
      </c>
      <c r="BH202" s="47" t="n">
        <v>0</v>
      </c>
      <c r="BI202" s="47" t="n">
        <v>0</v>
      </c>
      <c r="BJ202" s="47" t="n">
        <v>0</v>
      </c>
    </row>
    <row r="203" outlineLevel="1" ht="15.75" customHeight="1">
      <c r="B203" s="5" t="inlineStr">
        <is>
          <t>ALLEN</t>
        </is>
      </c>
      <c r="C203" s="68" t="inlineStr">
        <is>
          <t>Upper Middle Market</t>
        </is>
      </c>
      <c r="F203" s="46">
        <f>+SUMIFS($AA203:$DR203,$AA$7:$DR$7,F$7)</f>
        <v/>
      </c>
      <c r="G203" s="46">
        <f>+SUMIFS($AA203:$DR203,$AA$7:$DR$7,G$7)</f>
        <v/>
      </c>
      <c r="H203" s="46">
        <f>+SUMIFS($AA203:$DR203,$AA$7:$DR$7,H$7)</f>
        <v/>
      </c>
      <c r="I203" s="46">
        <f>+SUMIFS($AA203:$DR203,$AA$7:$DR$7,I$7)</f>
        <v/>
      </c>
      <c r="J203" s="46">
        <f>+SUMIFS($AA203:$DR203,$AA$7:$DR$7,J$7)</f>
        <v/>
      </c>
      <c r="K203" s="46">
        <f>+SUMIFS($AA203:$DR203,$AA$7:$DR$7,K$7)</f>
        <v/>
      </c>
      <c r="L203" s="46">
        <f>+SUMIFS($AA203:$DR203,$AA$7:$DR$7,L$7)</f>
        <v/>
      </c>
      <c r="M203" s="46">
        <f>+SUMIFS($AA203:$DR203,$AA$7:$DR$7,M$7)</f>
        <v/>
      </c>
      <c r="AA203" s="47" t="n">
        <v>2.038759336088133</v>
      </c>
      <c r="AB203" s="47" t="n">
        <v>5.24335055658222</v>
      </c>
      <c r="AC203" s="47" t="n">
        <v>10.90107186050357</v>
      </c>
      <c r="AD203" s="47" t="n">
        <v>8.78952858632632</v>
      </c>
      <c r="AE203" s="47" t="n">
        <v>13.52322427238646</v>
      </c>
      <c r="AF203" s="47" t="n">
        <v>27.56124429924176</v>
      </c>
      <c r="AG203" s="47" t="n">
        <v>17.20392602618529</v>
      </c>
      <c r="AH203" s="47" t="n">
        <v>29.78737810669196</v>
      </c>
      <c r="AI203" s="47" t="n">
        <v>24.30333315741026</v>
      </c>
      <c r="AJ203" s="47" t="n">
        <v>54.74323362883715</v>
      </c>
      <c r="AK203" s="47" t="n">
        <v>51.35358229479974</v>
      </c>
      <c r="AL203" s="47" t="n">
        <v>25.90175759341373</v>
      </c>
      <c r="AM203" s="47" t="n">
        <v>34.093250148187</v>
      </c>
      <c r="AN203" s="47" t="n">
        <v>41.82032882987215</v>
      </c>
      <c r="AO203" s="47" t="n">
        <v>40.6345636708965</v>
      </c>
      <c r="AP203" s="47" t="n">
        <v>38.58252187672434</v>
      </c>
      <c r="AQ203" s="47" t="n">
        <v>33.78384383701278</v>
      </c>
      <c r="AR203" s="47" t="n">
        <v>26.28526043073044</v>
      </c>
      <c r="AS203" s="47" t="n">
        <v>14.30739972417597</v>
      </c>
      <c r="AT203" s="47" t="n">
        <v>12.19430206673387</v>
      </c>
      <c r="AU203" s="47" t="n">
        <v>5.890821501716797</v>
      </c>
      <c r="AV203" s="47" t="n">
        <v>5.536828998193361</v>
      </c>
      <c r="AW203" s="47" t="n">
        <v>9.863092136265557</v>
      </c>
      <c r="AX203" s="47" t="n">
        <v>2.201211646019755</v>
      </c>
      <c r="AY203" s="47" t="n">
        <v>1.454542258077248</v>
      </c>
      <c r="AZ203" s="47" t="n">
        <v>0.2050589347870209</v>
      </c>
      <c r="BA203" s="47" t="n">
        <v>0.002401882889281477</v>
      </c>
      <c r="BB203" s="47" t="n">
        <v>0</v>
      </c>
      <c r="BC203" s="47" t="n">
        <v>0</v>
      </c>
      <c r="BD203" s="47" t="n">
        <v>0</v>
      </c>
      <c r="BE203" s="47" t="n">
        <v>0</v>
      </c>
      <c r="BF203" s="47" t="n">
        <v>0</v>
      </c>
      <c r="BG203" s="47" t="n">
        <v>0</v>
      </c>
      <c r="BH203" s="47" t="n">
        <v>0</v>
      </c>
      <c r="BI203" s="47" t="n">
        <v>0</v>
      </c>
      <c r="BJ203" s="47" t="n">
        <v>0</v>
      </c>
    </row>
    <row r="204" outlineLevel="1" ht="15.75" customHeight="1">
      <c r="B204" s="5" t="inlineStr">
        <is>
          <t>AMA</t>
        </is>
      </c>
      <c r="C204" s="68" t="inlineStr">
        <is>
          <t>Mega</t>
        </is>
      </c>
      <c r="F204" s="46">
        <f>+SUMIFS($AA204:$DR204,$AA$7:$DR$7,F$7)</f>
        <v/>
      </c>
      <c r="G204" s="46">
        <f>+SUMIFS($AA204:$DR204,$AA$7:$DR$7,G$7)</f>
        <v/>
      </c>
      <c r="H204" s="46">
        <f>+SUMIFS($AA204:$DR204,$AA$7:$DR$7,H$7)</f>
        <v/>
      </c>
      <c r="I204" s="46">
        <f>+SUMIFS($AA204:$DR204,$AA$7:$DR$7,I$7)</f>
        <v/>
      </c>
      <c r="J204" s="46">
        <f>+SUMIFS($AA204:$DR204,$AA$7:$DR$7,J$7)</f>
        <v/>
      </c>
      <c r="K204" s="46">
        <f>+SUMIFS($AA204:$DR204,$AA$7:$DR$7,K$7)</f>
        <v/>
      </c>
      <c r="L204" s="46">
        <f>+SUMIFS($AA204:$DR204,$AA$7:$DR$7,L$7)</f>
        <v/>
      </c>
      <c r="M204" s="46">
        <f>+SUMIFS($AA204:$DR204,$AA$7:$DR$7,M$7)</f>
        <v/>
      </c>
      <c r="AA204" s="47" t="n">
        <v>0</v>
      </c>
      <c r="AB204" s="47" t="n">
        <v>0</v>
      </c>
      <c r="AC204" s="47" t="n">
        <v>0</v>
      </c>
      <c r="AD204" s="47" t="n">
        <v>0</v>
      </c>
      <c r="AE204" s="47" t="n">
        <v>0</v>
      </c>
      <c r="AF204" s="47" t="n">
        <v>0</v>
      </c>
      <c r="AG204" s="47" t="n">
        <v>0</v>
      </c>
      <c r="AH204" s="47" t="n">
        <v>0</v>
      </c>
      <c r="AI204" s="47" t="n">
        <v>0.926561440231398</v>
      </c>
      <c r="AJ204" s="47" t="n">
        <v>12.25181213928385</v>
      </c>
      <c r="AK204" s="47" t="n">
        <v>4.769001585429613</v>
      </c>
      <c r="AL204" s="47" t="n">
        <v>0.01512556818181818</v>
      </c>
      <c r="AM204" s="47" t="n">
        <v>1.093125169073229</v>
      </c>
      <c r="AN204" s="47" t="n">
        <v>2.017237290301279</v>
      </c>
      <c r="AO204" s="47" t="n">
        <v>0.02190830811432674</v>
      </c>
      <c r="AP204" s="47" t="n">
        <v>0.2177416608078818</v>
      </c>
      <c r="AQ204" s="47" t="n">
        <v>0.7027182902788843</v>
      </c>
      <c r="AR204" s="47" t="n">
        <v>8.204225225351474</v>
      </c>
      <c r="AS204" s="47" t="n">
        <v>18.26221451741132</v>
      </c>
      <c r="AT204" s="47" t="n">
        <v>15.50413467154384</v>
      </c>
      <c r="AU204" s="47" t="n">
        <v>15.3874742413669</v>
      </c>
      <c r="AV204" s="47" t="n">
        <v>24.36209769895202</v>
      </c>
      <c r="AW204" s="47" t="n">
        <v>8.116946339206748</v>
      </c>
      <c r="AX204" s="47" t="n">
        <v>6.504801671414579</v>
      </c>
      <c r="AY204" s="47" t="n">
        <v>0.7458310270838554</v>
      </c>
      <c r="AZ204" s="47" t="n">
        <v>0.7778732441572315</v>
      </c>
      <c r="BA204" s="47" t="n">
        <v>0.2547421325387543</v>
      </c>
      <c r="BB204" s="47" t="n">
        <v>0</v>
      </c>
      <c r="BC204" s="47" t="n">
        <v>0</v>
      </c>
      <c r="BD204" s="47" t="n">
        <v>0</v>
      </c>
      <c r="BE204" s="47" t="n">
        <v>0</v>
      </c>
      <c r="BF204" s="47" t="n">
        <v>0</v>
      </c>
      <c r="BG204" s="47" t="n">
        <v>0</v>
      </c>
      <c r="BH204" s="47" t="n">
        <v>0</v>
      </c>
      <c r="BI204" s="47" t="n">
        <v>0</v>
      </c>
      <c r="BJ204" s="47" t="n">
        <v>0</v>
      </c>
    </row>
    <row r="205" outlineLevel="1" ht="15.75" customHeight="1">
      <c r="B205" s="5" t="inlineStr">
        <is>
          <t>AORN</t>
        </is>
      </c>
      <c r="C205" s="68" t="inlineStr">
        <is>
          <t>Lower Middle Market</t>
        </is>
      </c>
      <c r="F205" s="46">
        <f>+SUMIFS($AA205:$DR205,$AA$7:$DR$7,F$7)</f>
        <v/>
      </c>
      <c r="G205" s="46">
        <f>+SUMIFS($AA205:$DR205,$AA$7:$DR$7,G$7)</f>
        <v/>
      </c>
      <c r="H205" s="46">
        <f>+SUMIFS($AA205:$DR205,$AA$7:$DR$7,H$7)</f>
        <v/>
      </c>
      <c r="I205" s="46">
        <f>+SUMIFS($AA205:$DR205,$AA$7:$DR$7,I$7)</f>
        <v/>
      </c>
      <c r="J205" s="46">
        <f>+SUMIFS($AA205:$DR205,$AA$7:$DR$7,J$7)</f>
        <v/>
      </c>
      <c r="K205" s="46">
        <f>+SUMIFS($AA205:$DR205,$AA$7:$DR$7,K$7)</f>
        <v/>
      </c>
      <c r="L205" s="46">
        <f>+SUMIFS($AA205:$DR205,$AA$7:$DR$7,L$7)</f>
        <v/>
      </c>
      <c r="M205" s="46">
        <f>+SUMIFS($AA205:$DR205,$AA$7:$DR$7,M$7)</f>
        <v/>
      </c>
      <c r="AA205" s="47" t="n">
        <v>0</v>
      </c>
      <c r="AB205" s="47" t="n">
        <v>0</v>
      </c>
      <c r="AC205" s="47" t="n">
        <v>0</v>
      </c>
      <c r="AD205" s="47" t="n">
        <v>0</v>
      </c>
      <c r="AE205" s="47" t="n">
        <v>0</v>
      </c>
      <c r="AF205" s="47" t="n">
        <v>0</v>
      </c>
      <c r="AG205" s="47" t="n">
        <v>0</v>
      </c>
      <c r="AH205" s="47" t="n">
        <v>0</v>
      </c>
      <c r="AI205" s="47" t="n">
        <v>0</v>
      </c>
      <c r="AJ205" s="47" t="n">
        <v>0</v>
      </c>
      <c r="AK205" s="47" t="n">
        <v>0</v>
      </c>
      <c r="AL205" s="47" t="n">
        <v>0</v>
      </c>
      <c r="AM205" s="47" t="n">
        <v>0</v>
      </c>
      <c r="AN205" s="47" t="n">
        <v>0</v>
      </c>
      <c r="AO205" s="47" t="n">
        <v>0</v>
      </c>
      <c r="AP205" s="47" t="n">
        <v>0</v>
      </c>
      <c r="AQ205" s="47" t="n">
        <v>0</v>
      </c>
      <c r="AR205" s="47" t="n">
        <v>0</v>
      </c>
      <c r="AS205" s="47" t="n">
        <v>0</v>
      </c>
      <c r="AT205" s="47" t="n">
        <v>0</v>
      </c>
      <c r="AU205" s="47" t="n">
        <v>0</v>
      </c>
      <c r="AV205" s="47" t="n">
        <v>0</v>
      </c>
      <c r="AW205" s="47" t="n">
        <v>0</v>
      </c>
      <c r="AX205" s="47" t="n">
        <v>0</v>
      </c>
      <c r="AY205" s="47" t="n">
        <v>0</v>
      </c>
      <c r="AZ205" s="47" t="n">
        <v>0</v>
      </c>
      <c r="BA205" s="47" t="n">
        <v>0</v>
      </c>
      <c r="BB205" s="47" t="n">
        <v>0</v>
      </c>
      <c r="BC205" s="47" t="n">
        <v>0</v>
      </c>
      <c r="BD205" s="47" t="n">
        <v>0</v>
      </c>
      <c r="BE205" s="47" t="n">
        <v>0</v>
      </c>
      <c r="BF205" s="47" t="n">
        <v>0</v>
      </c>
      <c r="BG205" s="47" t="n">
        <v>0</v>
      </c>
      <c r="BH205" s="47" t="n">
        <v>0</v>
      </c>
      <c r="BI205" s="47" t="n">
        <v>0</v>
      </c>
      <c r="BJ205" s="47" t="n">
        <v>0</v>
      </c>
    </row>
    <row r="206" outlineLevel="1" ht="15.75" customHeight="1">
      <c r="B206" s="5" t="inlineStr">
        <is>
          <t>AOTA</t>
        </is>
      </c>
      <c r="C206" s="68" t="inlineStr">
        <is>
          <t>Lower Middle Market</t>
        </is>
      </c>
      <c r="F206" s="46">
        <f>+SUMIFS($AA206:$DR206,$AA$7:$DR$7,F$7)</f>
        <v/>
      </c>
      <c r="G206" s="46">
        <f>+SUMIFS($AA206:$DR206,$AA$7:$DR$7,G$7)</f>
        <v/>
      </c>
      <c r="H206" s="46">
        <f>+SUMIFS($AA206:$DR206,$AA$7:$DR$7,H$7)</f>
        <v/>
      </c>
      <c r="I206" s="46">
        <f>+SUMIFS($AA206:$DR206,$AA$7:$DR$7,I$7)</f>
        <v/>
      </c>
      <c r="J206" s="46">
        <f>+SUMIFS($AA206:$DR206,$AA$7:$DR$7,J$7)</f>
        <v/>
      </c>
      <c r="K206" s="46">
        <f>+SUMIFS($AA206:$DR206,$AA$7:$DR$7,K$7)</f>
        <v/>
      </c>
      <c r="L206" s="46">
        <f>+SUMIFS($AA206:$DR206,$AA$7:$DR$7,L$7)</f>
        <v/>
      </c>
      <c r="M206" s="46">
        <f>+SUMIFS($AA206:$DR206,$AA$7:$DR$7,M$7)</f>
        <v/>
      </c>
      <c r="AA206" s="47" t="n">
        <v>0</v>
      </c>
      <c r="AB206" s="47" t="n">
        <v>0</v>
      </c>
      <c r="AC206" s="47" t="n">
        <v>0</v>
      </c>
      <c r="AD206" s="47" t="n">
        <v>0</v>
      </c>
      <c r="AE206" s="47" t="n">
        <v>0</v>
      </c>
      <c r="AF206" s="47" t="n">
        <v>0</v>
      </c>
      <c r="AG206" s="47" t="n">
        <v>0</v>
      </c>
      <c r="AH206" s="47" t="n">
        <v>0</v>
      </c>
      <c r="AI206" s="47" t="n">
        <v>0</v>
      </c>
      <c r="AJ206" s="47" t="n">
        <v>0</v>
      </c>
      <c r="AK206" s="47" t="n">
        <v>0</v>
      </c>
      <c r="AL206" s="47" t="n">
        <v>0</v>
      </c>
      <c r="AM206" s="47" t="n">
        <v>0</v>
      </c>
      <c r="AN206" s="47" t="n">
        <v>0</v>
      </c>
      <c r="AO206" s="47" t="n">
        <v>0</v>
      </c>
      <c r="AP206" s="47" t="n">
        <v>0</v>
      </c>
      <c r="AQ206" s="47" t="n">
        <v>0</v>
      </c>
      <c r="AR206" s="47" t="n">
        <v>0</v>
      </c>
      <c r="AS206" s="47" t="n">
        <v>0</v>
      </c>
      <c r="AT206" s="47" t="n">
        <v>0</v>
      </c>
      <c r="AU206" s="47" t="n">
        <v>0</v>
      </c>
      <c r="AV206" s="47" t="n">
        <v>0</v>
      </c>
      <c r="AW206" s="47" t="n">
        <v>0</v>
      </c>
      <c r="AX206" s="47" t="n">
        <v>0</v>
      </c>
      <c r="AY206" s="47" t="n">
        <v>0.888857090448956</v>
      </c>
      <c r="AZ206" s="47" t="n">
        <v>7.190895125422667</v>
      </c>
      <c r="BA206" s="47" t="n">
        <v>2.951254123626625</v>
      </c>
      <c r="BB206" s="47" t="n">
        <v>5.636291212336121</v>
      </c>
      <c r="BC206" s="47" t="n">
        <v>11.52938842483517</v>
      </c>
      <c r="BD206" s="47" t="n">
        <v>5.345158407479405</v>
      </c>
      <c r="BE206" s="47" t="n">
        <v>4.117236356896833</v>
      </c>
      <c r="BF206" s="47" t="n">
        <v>6.818715809617943</v>
      </c>
      <c r="BG206" s="47" t="n">
        <v>10.18447282937255</v>
      </c>
      <c r="BH206" s="47" t="n">
        <v>2.204086165993253</v>
      </c>
      <c r="BI206" s="47" t="n">
        <v>1.313110091599831</v>
      </c>
      <c r="BJ206" s="47" t="n">
        <v>3.017155669204379</v>
      </c>
    </row>
    <row r="207" outlineLevel="1" ht="15.75" customHeight="1">
      <c r="B207" s="5" t="inlineStr">
        <is>
          <t>ARP</t>
        </is>
      </c>
      <c r="C207" s="68" t="inlineStr">
        <is>
          <t>Lower Middle Market</t>
        </is>
      </c>
      <c r="F207" s="46">
        <f>+SUMIFS($AA207:$DR207,$AA$7:$DR$7,F$7)</f>
        <v/>
      </c>
      <c r="G207" s="46">
        <f>+SUMIFS($AA207:$DR207,$AA$7:$DR$7,G$7)</f>
        <v/>
      </c>
      <c r="H207" s="46">
        <f>+SUMIFS($AA207:$DR207,$AA$7:$DR$7,H$7)</f>
        <v/>
      </c>
      <c r="I207" s="46">
        <f>+SUMIFS($AA207:$DR207,$AA$7:$DR$7,I$7)</f>
        <v/>
      </c>
      <c r="J207" s="46">
        <f>+SUMIFS($AA207:$DR207,$AA$7:$DR$7,J$7)</f>
        <v/>
      </c>
      <c r="K207" s="46">
        <f>+SUMIFS($AA207:$DR207,$AA$7:$DR$7,K$7)</f>
        <v/>
      </c>
      <c r="L207" s="46">
        <f>+SUMIFS($AA207:$DR207,$AA$7:$DR$7,L$7)</f>
        <v/>
      </c>
      <c r="M207" s="46">
        <f>+SUMIFS($AA207:$DR207,$AA$7:$DR$7,M$7)</f>
        <v/>
      </c>
      <c r="AA207" s="47" t="n">
        <v>0</v>
      </c>
      <c r="AB207" s="47" t="n">
        <v>0</v>
      </c>
      <c r="AC207" s="47" t="n">
        <v>0</v>
      </c>
      <c r="AD207" s="47" t="n">
        <v>0</v>
      </c>
      <c r="AE207" s="47" t="n">
        <v>0</v>
      </c>
      <c r="AF207" s="47" t="n">
        <v>0</v>
      </c>
      <c r="AG207" s="47" t="n">
        <v>0</v>
      </c>
      <c r="AH207" s="47" t="n">
        <v>0</v>
      </c>
      <c r="AI207" s="47" t="n">
        <v>0</v>
      </c>
      <c r="AJ207" s="47" t="n">
        <v>0</v>
      </c>
      <c r="AK207" s="47" t="n">
        <v>0</v>
      </c>
      <c r="AL207" s="47" t="n">
        <v>0</v>
      </c>
      <c r="AM207" s="47" t="n">
        <v>0</v>
      </c>
      <c r="AN207" s="47" t="n">
        <v>0</v>
      </c>
      <c r="AO207" s="47" t="n">
        <v>0</v>
      </c>
      <c r="AP207" s="47" t="n">
        <v>0</v>
      </c>
      <c r="AQ207" s="47" t="n">
        <v>0</v>
      </c>
      <c r="AR207" s="47" t="n">
        <v>0</v>
      </c>
      <c r="AS207" s="47" t="n">
        <v>0</v>
      </c>
      <c r="AT207" s="47" t="n">
        <v>0</v>
      </c>
      <c r="AU207" s="47" t="n">
        <v>0</v>
      </c>
      <c r="AV207" s="47" t="n">
        <v>0</v>
      </c>
      <c r="AW207" s="47" t="n">
        <v>0</v>
      </c>
      <c r="AX207" s="47" t="n">
        <v>0</v>
      </c>
      <c r="AY207" s="47" t="n">
        <v>0</v>
      </c>
      <c r="AZ207" s="47" t="n">
        <v>0</v>
      </c>
      <c r="BA207" s="47" t="n">
        <v>0</v>
      </c>
      <c r="BB207" s="47" t="n">
        <v>0.009482479539453243</v>
      </c>
      <c r="BC207" s="47" t="n">
        <v>0.0339853007057776</v>
      </c>
      <c r="BD207" s="47" t="n">
        <v>0.1296398807143608</v>
      </c>
      <c r="BE207" s="47" t="n">
        <v>0</v>
      </c>
      <c r="BF207" s="47" t="n">
        <v>0</v>
      </c>
      <c r="BG207" s="47" t="n">
        <v>1.132027257360964</v>
      </c>
      <c r="BH207" s="47" t="n">
        <v>5.522300154438409</v>
      </c>
      <c r="BI207" s="47" t="n">
        <v>6.104079621736498</v>
      </c>
      <c r="BJ207" s="47" t="n">
        <v>4.592155544313667</v>
      </c>
    </row>
    <row r="208" outlineLevel="1" ht="15.75" customHeight="1">
      <c r="B208" s="5" t="inlineStr">
        <is>
          <t>ARVO</t>
        </is>
      </c>
      <c r="C208" s="68" t="inlineStr">
        <is>
          <t>Lower Middle Market</t>
        </is>
      </c>
      <c r="F208" s="46">
        <f>+SUMIFS($AA208:$DR208,$AA$7:$DR$7,F$7)</f>
        <v/>
      </c>
      <c r="G208" s="46">
        <f>+SUMIFS($AA208:$DR208,$AA$7:$DR$7,G$7)</f>
        <v/>
      </c>
      <c r="H208" s="46">
        <f>+SUMIFS($AA208:$DR208,$AA$7:$DR$7,H$7)</f>
        <v/>
      </c>
      <c r="I208" s="46">
        <f>+SUMIFS($AA208:$DR208,$AA$7:$DR$7,I$7)</f>
        <v/>
      </c>
      <c r="J208" s="46">
        <f>+SUMIFS($AA208:$DR208,$AA$7:$DR$7,J$7)</f>
        <v/>
      </c>
      <c r="K208" s="46">
        <f>+SUMIFS($AA208:$DR208,$AA$7:$DR$7,K$7)</f>
        <v/>
      </c>
      <c r="L208" s="46">
        <f>+SUMIFS($AA208:$DR208,$AA$7:$DR$7,L$7)</f>
        <v/>
      </c>
      <c r="M208" s="46">
        <f>+SUMIFS($AA208:$DR208,$AA$7:$DR$7,M$7)</f>
        <v/>
      </c>
      <c r="AA208" s="47" t="n">
        <v>0</v>
      </c>
      <c r="AB208" s="47" t="n">
        <v>0</v>
      </c>
      <c r="AC208" s="47" t="n">
        <v>0</v>
      </c>
      <c r="AD208" s="47" t="n">
        <v>0</v>
      </c>
      <c r="AE208" s="47" t="n">
        <v>0</v>
      </c>
      <c r="AF208" s="47" t="n">
        <v>0</v>
      </c>
      <c r="AG208" s="47" t="n">
        <v>0</v>
      </c>
      <c r="AH208" s="47" t="n">
        <v>0</v>
      </c>
      <c r="AI208" s="47" t="n">
        <v>0</v>
      </c>
      <c r="AJ208" s="47" t="n">
        <v>0</v>
      </c>
      <c r="AK208" s="47" t="n">
        <v>0</v>
      </c>
      <c r="AL208" s="47" t="n">
        <v>0</v>
      </c>
      <c r="AM208" s="47" t="n">
        <v>0</v>
      </c>
      <c r="AN208" s="47" t="n">
        <v>0</v>
      </c>
      <c r="AO208" s="47" t="n">
        <v>0</v>
      </c>
      <c r="AP208" s="47" t="n">
        <v>0</v>
      </c>
      <c r="AQ208" s="47" t="n">
        <v>0</v>
      </c>
      <c r="AR208" s="47" t="n">
        <v>0</v>
      </c>
      <c r="AS208" s="47" t="n">
        <v>0</v>
      </c>
      <c r="AT208" s="47" t="n">
        <v>0</v>
      </c>
      <c r="AU208" s="47" t="n">
        <v>0</v>
      </c>
      <c r="AV208" s="47" t="n">
        <v>0</v>
      </c>
      <c r="AW208" s="47" t="n">
        <v>0</v>
      </c>
      <c r="AX208" s="47" t="n">
        <v>0</v>
      </c>
      <c r="AY208" s="47" t="n">
        <v>0</v>
      </c>
      <c r="AZ208" s="47" t="n">
        <v>0</v>
      </c>
      <c r="BA208" s="47" t="n">
        <v>0</v>
      </c>
      <c r="BB208" s="47" t="n">
        <v>0</v>
      </c>
      <c r="BC208" s="47" t="n">
        <v>0</v>
      </c>
      <c r="BD208" s="47" t="n">
        <v>0</v>
      </c>
      <c r="BE208" s="47" t="n">
        <v>0</v>
      </c>
      <c r="BF208" s="47" t="n">
        <v>0</v>
      </c>
      <c r="BG208" s="47" t="n">
        <v>0</v>
      </c>
      <c r="BH208" s="47" t="n">
        <v>0</v>
      </c>
      <c r="BI208" s="47" t="n">
        <v>0</v>
      </c>
      <c r="BJ208" s="47" t="n">
        <v>0</v>
      </c>
    </row>
    <row r="209" outlineLevel="1" ht="15.75" customHeight="1">
      <c r="B209" s="5" t="inlineStr">
        <is>
          <t>ASA</t>
        </is>
      </c>
      <c r="C209" s="68" t="inlineStr">
        <is>
          <t>Upper Middle Market</t>
        </is>
      </c>
      <c r="F209" s="46">
        <f>+SUMIFS($AA209:$DR209,$AA$7:$DR$7,F$7)</f>
        <v/>
      </c>
      <c r="G209" s="46">
        <f>+SUMIFS($AA209:$DR209,$AA$7:$DR$7,G$7)</f>
        <v/>
      </c>
      <c r="H209" s="46">
        <f>+SUMIFS($AA209:$DR209,$AA$7:$DR$7,H$7)</f>
        <v/>
      </c>
      <c r="I209" s="46">
        <f>+SUMIFS($AA209:$DR209,$AA$7:$DR$7,I$7)</f>
        <v/>
      </c>
      <c r="J209" s="46">
        <f>+SUMIFS($AA209:$DR209,$AA$7:$DR$7,J$7)</f>
        <v/>
      </c>
      <c r="K209" s="46">
        <f>+SUMIFS($AA209:$DR209,$AA$7:$DR$7,K$7)</f>
        <v/>
      </c>
      <c r="L209" s="46">
        <f>+SUMIFS($AA209:$DR209,$AA$7:$DR$7,L$7)</f>
        <v/>
      </c>
      <c r="M209" s="46">
        <f>+SUMIFS($AA209:$DR209,$AA$7:$DR$7,M$7)</f>
        <v/>
      </c>
      <c r="AA209" s="47" t="n">
        <v>0</v>
      </c>
      <c r="AB209" s="47" t="n">
        <v>0</v>
      </c>
      <c r="AC209" s="47" t="n">
        <v>0</v>
      </c>
      <c r="AD209" s="47" t="n">
        <v>0</v>
      </c>
      <c r="AE209" s="47" t="n">
        <v>0</v>
      </c>
      <c r="AF209" s="47" t="n">
        <v>0</v>
      </c>
      <c r="AG209" s="47" t="n">
        <v>0.9096224860637435</v>
      </c>
      <c r="AH209" s="47" t="n">
        <v>1.780521827897057</v>
      </c>
      <c r="AI209" s="47" t="n">
        <v>0.7799704325060483</v>
      </c>
      <c r="AJ209" s="47" t="n">
        <v>1.521693300007686</v>
      </c>
      <c r="AK209" s="47" t="n">
        <v>6.786015302536845</v>
      </c>
      <c r="AL209" s="47" t="n">
        <v>11.82155308537686</v>
      </c>
      <c r="AM209" s="47" t="n">
        <v>15.61265287351806</v>
      </c>
      <c r="AN209" s="47" t="n">
        <v>19.00930615250397</v>
      </c>
      <c r="AO209" s="47" t="n">
        <v>26.4966091012741</v>
      </c>
      <c r="AP209" s="47" t="n">
        <v>22.60005602815336</v>
      </c>
      <c r="AQ209" s="47" t="n">
        <v>16.78312928820725</v>
      </c>
      <c r="AR209" s="47" t="n">
        <v>21.79612009665466</v>
      </c>
      <c r="AS209" s="47" t="n">
        <v>11.28670465689341</v>
      </c>
      <c r="AT209" s="47" t="n">
        <v>20.60511814590174</v>
      </c>
      <c r="AU209" s="47" t="n">
        <v>16.62846549258221</v>
      </c>
      <c r="AV209" s="47" t="n">
        <v>2.95543349411026</v>
      </c>
      <c r="AW209" s="47" t="n">
        <v>3.063285648869506</v>
      </c>
      <c r="AX209" s="47" t="n">
        <v>1.637929516306753</v>
      </c>
      <c r="AY209" s="47" t="n">
        <v>0.3699351889971842</v>
      </c>
      <c r="AZ209" s="47" t="n">
        <v>0.01075389886880377</v>
      </c>
      <c r="BA209" s="47" t="n">
        <v>0.1141738674596851</v>
      </c>
      <c r="BB209" s="47" t="n">
        <v>0</v>
      </c>
      <c r="BC209" s="47" t="n">
        <v>0</v>
      </c>
      <c r="BD209" s="47" t="n">
        <v>0.01415600395213004</v>
      </c>
      <c r="BE209" s="47" t="n">
        <v>0</v>
      </c>
      <c r="BF209" s="47" t="n">
        <v>0</v>
      </c>
      <c r="BG209" s="47" t="n">
        <v>0</v>
      </c>
      <c r="BH209" s="47" t="n">
        <v>0</v>
      </c>
      <c r="BI209" s="47" t="n">
        <v>0</v>
      </c>
      <c r="BJ209" s="47" t="n">
        <v>0</v>
      </c>
    </row>
    <row r="210" outlineLevel="1" ht="15.75" customHeight="1">
      <c r="B210" s="5" t="inlineStr">
        <is>
          <t>ASM</t>
        </is>
      </c>
      <c r="C210" s="68" t="inlineStr">
        <is>
          <t>Upper Middle Market</t>
        </is>
      </c>
      <c r="F210" s="46">
        <f>+SUMIFS($AA210:$DR210,$AA$7:$DR$7,F$7)</f>
        <v/>
      </c>
      <c r="G210" s="46">
        <f>+SUMIFS($AA210:$DR210,$AA$7:$DR$7,G$7)</f>
        <v/>
      </c>
      <c r="H210" s="46">
        <f>+SUMIFS($AA210:$DR210,$AA$7:$DR$7,H$7)</f>
        <v/>
      </c>
      <c r="I210" s="46">
        <f>+SUMIFS($AA210:$DR210,$AA$7:$DR$7,I$7)</f>
        <v/>
      </c>
      <c r="J210" s="46">
        <f>+SUMIFS($AA210:$DR210,$AA$7:$DR$7,J$7)</f>
        <v/>
      </c>
      <c r="K210" s="46">
        <f>+SUMIFS($AA210:$DR210,$AA$7:$DR$7,K$7)</f>
        <v/>
      </c>
      <c r="L210" s="46">
        <f>+SUMIFS($AA210:$DR210,$AA$7:$DR$7,L$7)</f>
        <v/>
      </c>
      <c r="M210" s="46">
        <f>+SUMIFS($AA210:$DR210,$AA$7:$DR$7,M$7)</f>
        <v/>
      </c>
      <c r="AA210" s="47" t="n">
        <v>6.095895262619991</v>
      </c>
      <c r="AB210" s="47" t="n">
        <v>0.3933839567011022</v>
      </c>
      <c r="AC210" s="47" t="n">
        <v>0.1091367028964729</v>
      </c>
      <c r="AD210" s="47" t="n">
        <v>0.0226563679720415</v>
      </c>
      <c r="AE210" s="47" t="n">
        <v>0.01010401149369106</v>
      </c>
      <c r="AF210" s="47" t="n">
        <v>0.04965871775104773</v>
      </c>
      <c r="AG210" s="47" t="n">
        <v>0</v>
      </c>
      <c r="AH210" s="47" t="n">
        <v>0.05218367210633534</v>
      </c>
      <c r="AI210" s="47" t="n">
        <v>0</v>
      </c>
      <c r="AJ210" s="47" t="n">
        <v>0</v>
      </c>
      <c r="AK210" s="47" t="n">
        <v>0</v>
      </c>
      <c r="AL210" s="47" t="n">
        <v>0</v>
      </c>
      <c r="AM210" s="47" t="n">
        <v>0.01851982771613275</v>
      </c>
      <c r="AN210" s="47" t="n">
        <v>0</v>
      </c>
      <c r="AO210" s="47" t="n">
        <v>0</v>
      </c>
      <c r="AP210" s="47" t="n">
        <v>0</v>
      </c>
      <c r="AQ210" s="47" t="n">
        <v>0</v>
      </c>
      <c r="AR210" s="47" t="n">
        <v>0</v>
      </c>
      <c r="AS210" s="47" t="n">
        <v>0</v>
      </c>
      <c r="AT210" s="47" t="n">
        <v>0</v>
      </c>
      <c r="AU210" s="47" t="n">
        <v>0</v>
      </c>
      <c r="AV210" s="47" t="n">
        <v>0</v>
      </c>
      <c r="AW210" s="47" t="n">
        <v>0</v>
      </c>
      <c r="AX210" s="47" t="n">
        <v>0</v>
      </c>
      <c r="AY210" s="47" t="n">
        <v>0</v>
      </c>
      <c r="AZ210" s="47" t="n">
        <v>0</v>
      </c>
      <c r="BA210" s="47" t="n">
        <v>0</v>
      </c>
      <c r="BB210" s="47" t="n">
        <v>0</v>
      </c>
      <c r="BC210" s="47" t="n">
        <v>0</v>
      </c>
      <c r="BD210" s="47" t="n">
        <v>0</v>
      </c>
      <c r="BE210" s="47" t="n">
        <v>0</v>
      </c>
      <c r="BF210" s="47" t="n">
        <v>0</v>
      </c>
      <c r="BG210" s="47" t="n">
        <v>0</v>
      </c>
      <c r="BH210" s="47" t="n">
        <v>0</v>
      </c>
      <c r="BI210" s="47" t="n">
        <v>0</v>
      </c>
      <c r="BJ210" s="47" t="n">
        <v>0</v>
      </c>
    </row>
    <row r="211" outlineLevel="1" ht="15.75" customHeight="1">
      <c r="B211" s="5" t="inlineStr">
        <is>
          <t>ASME</t>
        </is>
      </c>
      <c r="C211" s="68" t="inlineStr">
        <is>
          <t>Major</t>
        </is>
      </c>
      <c r="F211" s="46">
        <f>+SUMIFS($AA211:$DR211,$AA$7:$DR$7,F$7)</f>
        <v/>
      </c>
      <c r="G211" s="46">
        <f>+SUMIFS($AA211:$DR211,$AA$7:$DR$7,G$7)</f>
        <v/>
      </c>
      <c r="H211" s="46">
        <f>+SUMIFS($AA211:$DR211,$AA$7:$DR$7,H$7)</f>
        <v/>
      </c>
      <c r="I211" s="46">
        <f>+SUMIFS($AA211:$DR211,$AA$7:$DR$7,I$7)</f>
        <v/>
      </c>
      <c r="J211" s="46">
        <f>+SUMIFS($AA211:$DR211,$AA$7:$DR$7,J$7)</f>
        <v/>
      </c>
      <c r="K211" s="46">
        <f>+SUMIFS($AA211:$DR211,$AA$7:$DR$7,K$7)</f>
        <v/>
      </c>
      <c r="L211" s="46">
        <f>+SUMIFS($AA211:$DR211,$AA$7:$DR$7,L$7)</f>
        <v/>
      </c>
      <c r="M211" s="46">
        <f>+SUMIFS($AA211:$DR211,$AA$7:$DR$7,M$7)</f>
        <v/>
      </c>
      <c r="AA211" s="47" t="n">
        <v>60.85505007065645</v>
      </c>
      <c r="AB211" s="47" t="n">
        <v>77.17829193436265</v>
      </c>
      <c r="AC211" s="47" t="n">
        <v>87.92124055154839</v>
      </c>
      <c r="AD211" s="47" t="n">
        <v>64.04779591929045</v>
      </c>
      <c r="AE211" s="47" t="n">
        <v>59.04057742336218</v>
      </c>
      <c r="AF211" s="47" t="n">
        <v>59.76642426127072</v>
      </c>
      <c r="AG211" s="47" t="n">
        <v>39.7045656098866</v>
      </c>
      <c r="AH211" s="47" t="n">
        <v>43.66137373510686</v>
      </c>
      <c r="AI211" s="47" t="n">
        <v>11.01613369547522</v>
      </c>
      <c r="AJ211" s="47" t="n">
        <v>6.267761141641464</v>
      </c>
      <c r="AK211" s="47" t="n">
        <v>1.771785546614091</v>
      </c>
      <c r="AL211" s="47" t="n">
        <v>1.527866616468986</v>
      </c>
      <c r="AM211" s="47" t="n">
        <v>0.8221611537576153</v>
      </c>
      <c r="AN211" s="47" t="n">
        <v>0.9387661120280477</v>
      </c>
      <c r="AO211" s="47" t="n">
        <v>0.005706093637911512</v>
      </c>
      <c r="AP211" s="47" t="n">
        <v>0</v>
      </c>
      <c r="AQ211" s="47" t="n">
        <v>0</v>
      </c>
      <c r="AR211" s="47" t="n">
        <v>0.1938390268174259</v>
      </c>
      <c r="AS211" s="47" t="n">
        <v>0.03237407847418802</v>
      </c>
      <c r="AT211" s="47" t="n">
        <v>0.1274643065067426</v>
      </c>
      <c r="AU211" s="47" t="n">
        <v>0</v>
      </c>
      <c r="AV211" s="47" t="n">
        <v>0.446474670975807</v>
      </c>
      <c r="AW211" s="47" t="n">
        <v>0.05680945107127362</v>
      </c>
      <c r="AX211" s="47" t="n">
        <v>0.7180495906294523</v>
      </c>
      <c r="AY211" s="47" t="n">
        <v>0.1819812558729542</v>
      </c>
      <c r="AZ211" s="47" t="n">
        <v>0</v>
      </c>
      <c r="BA211" s="47" t="n">
        <v>0</v>
      </c>
      <c r="BB211" s="47" t="n">
        <v>0</v>
      </c>
      <c r="BC211" s="47" t="n">
        <v>0</v>
      </c>
      <c r="BD211" s="47" t="n">
        <v>0</v>
      </c>
      <c r="BE211" s="47" t="n">
        <v>0</v>
      </c>
      <c r="BF211" s="47" t="n">
        <v>0</v>
      </c>
      <c r="BG211" s="47" t="n">
        <v>0</v>
      </c>
      <c r="BH211" s="47" t="n">
        <v>0</v>
      </c>
      <c r="BI211" s="47" t="n">
        <v>0</v>
      </c>
      <c r="BJ211" s="47" t="n">
        <v>0</v>
      </c>
    </row>
    <row r="212" outlineLevel="1" ht="15.75" customHeight="1">
      <c r="B212" s="5" t="inlineStr">
        <is>
          <t>COB</t>
        </is>
      </c>
      <c r="C212" s="68" t="inlineStr">
        <is>
          <t>Upper Middle Market</t>
        </is>
      </c>
      <c r="F212" s="46">
        <f>+SUMIFS($AA212:$DR212,$AA$7:$DR$7,F$7)</f>
        <v/>
      </c>
      <c r="G212" s="46">
        <f>+SUMIFS($AA212:$DR212,$AA$7:$DR$7,G$7)</f>
        <v/>
      </c>
      <c r="H212" s="46">
        <f>+SUMIFS($AA212:$DR212,$AA$7:$DR$7,H$7)</f>
        <v/>
      </c>
      <c r="I212" s="46">
        <f>+SUMIFS($AA212:$DR212,$AA$7:$DR$7,I$7)</f>
        <v/>
      </c>
      <c r="J212" s="46">
        <f>+SUMIFS($AA212:$DR212,$AA$7:$DR$7,J$7)</f>
        <v/>
      </c>
      <c r="K212" s="46">
        <f>+SUMIFS($AA212:$DR212,$AA$7:$DR$7,K$7)</f>
        <v/>
      </c>
      <c r="L212" s="46">
        <f>+SUMIFS($AA212:$DR212,$AA$7:$DR$7,L$7)</f>
        <v/>
      </c>
      <c r="M212" s="46">
        <f>+SUMIFS($AA212:$DR212,$AA$7:$DR$7,M$7)</f>
        <v/>
      </c>
      <c r="AA212" s="47" t="n">
        <v>0</v>
      </c>
      <c r="AB212" s="47" t="n">
        <v>0</v>
      </c>
      <c r="AC212" s="47" t="n">
        <v>0</v>
      </c>
      <c r="AD212" s="47" t="n">
        <v>0</v>
      </c>
      <c r="AE212" s="47" t="n">
        <v>0</v>
      </c>
      <c r="AF212" s="47" t="n">
        <v>0</v>
      </c>
      <c r="AG212" s="47" t="n">
        <v>0</v>
      </c>
      <c r="AH212" s="47" t="n">
        <v>0</v>
      </c>
      <c r="AI212" s="47" t="n">
        <v>0</v>
      </c>
      <c r="AJ212" s="47" t="n">
        <v>0</v>
      </c>
      <c r="AK212" s="47" t="n">
        <v>0</v>
      </c>
      <c r="AL212" s="47" t="n">
        <v>0</v>
      </c>
      <c r="AM212" s="47" t="n">
        <v>0</v>
      </c>
      <c r="AN212" s="47" t="n">
        <v>0</v>
      </c>
      <c r="AO212" s="47" t="n">
        <v>0</v>
      </c>
      <c r="AP212" s="47" t="n">
        <v>1.291683995622451</v>
      </c>
      <c r="AQ212" s="47" t="n">
        <v>1.66874912846145</v>
      </c>
      <c r="AR212" s="47" t="n">
        <v>6.205313510979043</v>
      </c>
      <c r="AS212" s="47" t="n">
        <v>6.289612123727617</v>
      </c>
      <c r="AT212" s="47" t="n">
        <v>7.997009441569728</v>
      </c>
      <c r="AU212" s="47" t="n">
        <v>10.71713451002588</v>
      </c>
      <c r="AV212" s="47" t="n">
        <v>10.15513661343441</v>
      </c>
      <c r="AW212" s="47" t="n">
        <v>5.958295258509521</v>
      </c>
      <c r="AX212" s="47" t="n">
        <v>5.02772110440215</v>
      </c>
      <c r="AY212" s="47" t="n">
        <v>11.80358371824587</v>
      </c>
      <c r="AZ212" s="47" t="n">
        <v>9.641998237522122</v>
      </c>
      <c r="BA212" s="47" t="n">
        <v>9.211983606020141</v>
      </c>
      <c r="BB212" s="47" t="n">
        <v>11.86731001736857</v>
      </c>
      <c r="BC212" s="47" t="n">
        <v>1.821195976620368</v>
      </c>
      <c r="BD212" s="47" t="n">
        <v>4.831448906647464</v>
      </c>
      <c r="BE212" s="47" t="n">
        <v>2.433887013175695</v>
      </c>
      <c r="BF212" s="47" t="n">
        <v>0.8323513416327291</v>
      </c>
      <c r="BG212" s="47" t="n">
        <v>0.01311568316425748</v>
      </c>
      <c r="BH212" s="47" t="n">
        <v>0</v>
      </c>
      <c r="BI212" s="47" t="n">
        <v>0</v>
      </c>
      <c r="BJ212" s="47" t="n">
        <v>0</v>
      </c>
    </row>
    <row r="213" outlineLevel="1" ht="15.75" customHeight="1">
      <c r="B213" s="5" t="inlineStr">
        <is>
          <t>DUP</t>
        </is>
      </c>
      <c r="C213" s="68" t="inlineStr">
        <is>
          <t>Upper Middle Market</t>
        </is>
      </c>
      <c r="F213" s="46">
        <f>+SUMIFS($AA213:$DR213,$AA$7:$DR$7,F$7)</f>
        <v/>
      </c>
      <c r="G213" s="46">
        <f>+SUMIFS($AA213:$DR213,$AA$7:$DR$7,G$7)</f>
        <v/>
      </c>
      <c r="H213" s="46">
        <f>+SUMIFS($AA213:$DR213,$AA$7:$DR$7,H$7)</f>
        <v/>
      </c>
      <c r="I213" s="46">
        <f>+SUMIFS($AA213:$DR213,$AA$7:$DR$7,I$7)</f>
        <v/>
      </c>
      <c r="J213" s="46">
        <f>+SUMIFS($AA213:$DR213,$AA$7:$DR$7,J$7)</f>
        <v/>
      </c>
      <c r="K213" s="46">
        <f>+SUMIFS($AA213:$DR213,$AA$7:$DR$7,K$7)</f>
        <v/>
      </c>
      <c r="L213" s="46">
        <f>+SUMIFS($AA213:$DR213,$AA$7:$DR$7,L$7)</f>
        <v/>
      </c>
      <c r="M213" s="46">
        <f>+SUMIFS($AA213:$DR213,$AA$7:$DR$7,M$7)</f>
        <v/>
      </c>
      <c r="AA213" s="47" t="n">
        <v>7.741367185884391</v>
      </c>
      <c r="AB213" s="47" t="n">
        <v>3.55921382858191</v>
      </c>
      <c r="AC213" s="47" t="n">
        <v>2.379924071774532</v>
      </c>
      <c r="AD213" s="47" t="n">
        <v>0.3086358091063391</v>
      </c>
      <c r="AE213" s="47" t="n">
        <v>0.05653301749131194</v>
      </c>
      <c r="AF213" s="47" t="n">
        <v>0.01162007131417627</v>
      </c>
      <c r="AG213" s="47" t="n">
        <v>0.1104894125998914</v>
      </c>
      <c r="AH213" s="47" t="n">
        <v>0.01145263345904266</v>
      </c>
      <c r="AI213" s="47" t="n">
        <v>0</v>
      </c>
      <c r="AJ213" s="47" t="n">
        <v>0</v>
      </c>
      <c r="AK213" s="47" t="n">
        <v>0</v>
      </c>
      <c r="AL213" s="47" t="n">
        <v>0</v>
      </c>
      <c r="AM213" s="47" t="n">
        <v>0.0239474251162659</v>
      </c>
      <c r="AN213" s="47" t="n">
        <v>0</v>
      </c>
      <c r="AO213" s="47" t="n">
        <v>0</v>
      </c>
      <c r="AP213" s="47" t="n">
        <v>0</v>
      </c>
      <c r="AQ213" s="47" t="n">
        <v>0</v>
      </c>
      <c r="AR213" s="47" t="n">
        <v>0</v>
      </c>
      <c r="AS213" s="47" t="n">
        <v>0</v>
      </c>
      <c r="AT213" s="47" t="n">
        <v>0</v>
      </c>
      <c r="AU213" s="47" t="n">
        <v>0</v>
      </c>
      <c r="AV213" s="47" t="n">
        <v>0</v>
      </c>
      <c r="AW213" s="47" t="n">
        <v>0</v>
      </c>
      <c r="AX213" s="47" t="n">
        <v>0</v>
      </c>
      <c r="AY213" s="47" t="n">
        <v>0</v>
      </c>
      <c r="AZ213" s="47" t="n">
        <v>0</v>
      </c>
      <c r="BA213" s="47" t="n">
        <v>0</v>
      </c>
      <c r="BB213" s="47" t="n">
        <v>0</v>
      </c>
      <c r="BC213" s="47" t="n">
        <v>0</v>
      </c>
      <c r="BD213" s="47" t="n">
        <v>0</v>
      </c>
      <c r="BE213" s="47" t="n">
        <v>0</v>
      </c>
      <c r="BF213" s="47" t="n">
        <v>0</v>
      </c>
      <c r="BG213" s="47" t="n">
        <v>0</v>
      </c>
      <c r="BH213" s="47" t="n">
        <v>0</v>
      </c>
      <c r="BI213" s="47" t="n">
        <v>0</v>
      </c>
      <c r="BJ213" s="47" t="n">
        <v>0</v>
      </c>
    </row>
    <row r="214" outlineLevel="1" ht="15.75" customHeight="1">
      <c r="B214" s="5" t="inlineStr">
        <is>
          <t>GSW</t>
        </is>
      </c>
      <c r="C214" s="68" t="inlineStr">
        <is>
          <t>Major</t>
        </is>
      </c>
      <c r="F214" s="46">
        <f>+SUMIFS($AA214:$DR214,$AA$7:$DR$7,F$7)</f>
        <v/>
      </c>
      <c r="G214" s="46">
        <f>+SUMIFS($AA214:$DR214,$AA$7:$DR$7,G$7)</f>
        <v/>
      </c>
      <c r="H214" s="46">
        <f>+SUMIFS($AA214:$DR214,$AA$7:$DR$7,H$7)</f>
        <v/>
      </c>
      <c r="I214" s="46">
        <f>+SUMIFS($AA214:$DR214,$AA$7:$DR$7,I$7)</f>
        <v/>
      </c>
      <c r="J214" s="46">
        <f>+SUMIFS($AA214:$DR214,$AA$7:$DR$7,J$7)</f>
        <v/>
      </c>
      <c r="K214" s="46">
        <f>+SUMIFS($AA214:$DR214,$AA$7:$DR$7,K$7)</f>
        <v/>
      </c>
      <c r="L214" s="46">
        <f>+SUMIFS($AA214:$DR214,$AA$7:$DR$7,L$7)</f>
        <v/>
      </c>
      <c r="M214" s="46">
        <f>+SUMIFS($AA214:$DR214,$AA$7:$DR$7,M$7)</f>
        <v/>
      </c>
      <c r="AA214" s="47" t="n">
        <v>3.453360587560278</v>
      </c>
      <c r="AB214" s="47" t="n">
        <v>0.9162864901703054</v>
      </c>
      <c r="AC214" s="47" t="n">
        <v>0.1397221453050521</v>
      </c>
      <c r="AD214" s="47" t="n">
        <v>0</v>
      </c>
      <c r="AE214" s="47" t="n">
        <v>0</v>
      </c>
      <c r="AF214" s="47" t="n">
        <v>0.02433404162231755</v>
      </c>
      <c r="AG214" s="47" t="n">
        <v>0.4273366808292838</v>
      </c>
      <c r="AH214" s="47" t="n">
        <v>0.0760560688792974</v>
      </c>
      <c r="AI214" s="47" t="n">
        <v>0</v>
      </c>
      <c r="AJ214" s="47" t="n">
        <v>0.2031363454778078</v>
      </c>
      <c r="AK214" s="47" t="n">
        <v>0</v>
      </c>
      <c r="AL214" s="47" t="n">
        <v>0</v>
      </c>
      <c r="AM214" s="47" t="n">
        <v>0.03538113759871088</v>
      </c>
      <c r="AN214" s="47" t="n">
        <v>0</v>
      </c>
      <c r="AO214" s="47" t="n">
        <v>0</v>
      </c>
      <c r="AP214" s="47" t="n">
        <v>0</v>
      </c>
      <c r="AQ214" s="47" t="n">
        <v>0.09217537091988132</v>
      </c>
      <c r="AR214" s="47" t="n">
        <v>0</v>
      </c>
      <c r="AS214" s="47" t="n">
        <v>0</v>
      </c>
      <c r="AT214" s="47" t="n">
        <v>0</v>
      </c>
      <c r="AU214" s="47" t="n">
        <v>0</v>
      </c>
      <c r="AV214" s="47" t="n">
        <v>0</v>
      </c>
      <c r="AW214" s="47" t="n">
        <v>0</v>
      </c>
      <c r="AX214" s="47" t="n">
        <v>0</v>
      </c>
      <c r="AY214" s="47" t="n">
        <v>0</v>
      </c>
      <c r="AZ214" s="47" t="n">
        <v>0</v>
      </c>
      <c r="BA214" s="47" t="n">
        <v>0</v>
      </c>
      <c r="BB214" s="47" t="n">
        <v>0</v>
      </c>
      <c r="BC214" s="47" t="n">
        <v>0</v>
      </c>
      <c r="BD214" s="47" t="n">
        <v>0</v>
      </c>
      <c r="BE214" s="47" t="n">
        <v>0</v>
      </c>
      <c r="BF214" s="47" t="n">
        <v>0</v>
      </c>
      <c r="BG214" s="47" t="n">
        <v>0</v>
      </c>
      <c r="BH214" s="47" t="n">
        <v>0</v>
      </c>
      <c r="BI214" s="47" t="n">
        <v>0</v>
      </c>
      <c r="BJ214" s="47" t="n">
        <v>0</v>
      </c>
    </row>
    <row r="215" outlineLevel="1" ht="15.75" customHeight="1">
      <c r="B215" s="5" t="inlineStr">
        <is>
          <t>HEM</t>
        </is>
      </c>
      <c r="C215" s="68" t="inlineStr">
        <is>
          <t>Upper Middle Market</t>
        </is>
      </c>
      <c r="F215" s="46">
        <f>+SUMIFS($AA215:$DR215,$AA$7:$DR$7,F$7)</f>
        <v/>
      </c>
      <c r="G215" s="46">
        <f>+SUMIFS($AA215:$DR215,$AA$7:$DR$7,G$7)</f>
        <v/>
      </c>
      <c r="H215" s="46">
        <f>+SUMIFS($AA215:$DR215,$AA$7:$DR$7,H$7)</f>
        <v/>
      </c>
      <c r="I215" s="46">
        <f>+SUMIFS($AA215:$DR215,$AA$7:$DR$7,I$7)</f>
        <v/>
      </c>
      <c r="J215" s="46">
        <f>+SUMIFS($AA215:$DR215,$AA$7:$DR$7,J$7)</f>
        <v/>
      </c>
      <c r="K215" s="46">
        <f>+SUMIFS($AA215:$DR215,$AA$7:$DR$7,K$7)</f>
        <v/>
      </c>
      <c r="L215" s="46">
        <f>+SUMIFS($AA215:$DR215,$AA$7:$DR$7,L$7)</f>
        <v/>
      </c>
      <c r="M215" s="46">
        <f>+SUMIFS($AA215:$DR215,$AA$7:$DR$7,M$7)</f>
        <v/>
      </c>
      <c r="AA215" s="47" t="n">
        <v>4.809980888295138</v>
      </c>
      <c r="AB215" s="47" t="n">
        <v>6.426597254046562</v>
      </c>
      <c r="AC215" s="47" t="n">
        <v>19.81813219701487</v>
      </c>
      <c r="AD215" s="47" t="n">
        <v>25.24159305204768</v>
      </c>
      <c r="AE215" s="47" t="n">
        <v>15.09456635155085</v>
      </c>
      <c r="AF215" s="47" t="n">
        <v>15.03598559539756</v>
      </c>
      <c r="AG215" s="47" t="n">
        <v>24.04437282392996</v>
      </c>
      <c r="AH215" s="47" t="n">
        <v>27.56561503590503</v>
      </c>
      <c r="AI215" s="47" t="n">
        <v>30.16379776715896</v>
      </c>
      <c r="AJ215" s="47" t="n">
        <v>24.81348244851393</v>
      </c>
      <c r="AK215" s="47" t="n">
        <v>18.25746738635159</v>
      </c>
      <c r="AL215" s="47" t="n">
        <v>5.85688904691045</v>
      </c>
      <c r="AM215" s="47" t="n">
        <v>8.893694825514084</v>
      </c>
      <c r="AN215" s="47" t="n">
        <v>2.041109077614317</v>
      </c>
      <c r="AO215" s="47" t="n">
        <v>11.04905445796689</v>
      </c>
      <c r="AP215" s="47" t="n">
        <v>8.474670023862815</v>
      </c>
      <c r="AQ215" s="47" t="n">
        <v>0.07079328593995603</v>
      </c>
      <c r="AR215" s="47" t="n">
        <v>0.816798308241302</v>
      </c>
      <c r="AS215" s="47" t="n">
        <v>0.1237947698739543</v>
      </c>
      <c r="AT215" s="47" t="n">
        <v>0.1552369364116651</v>
      </c>
      <c r="AU215" s="47" t="n">
        <v>0</v>
      </c>
      <c r="AV215" s="47" t="n">
        <v>0</v>
      </c>
      <c r="AW215" s="47" t="n">
        <v>0</v>
      </c>
      <c r="AX215" s="47" t="n">
        <v>0</v>
      </c>
      <c r="AY215" s="47" t="n">
        <v>0</v>
      </c>
      <c r="AZ215" s="47" t="n">
        <v>0</v>
      </c>
      <c r="BA215" s="47" t="n">
        <v>0</v>
      </c>
      <c r="BB215" s="47" t="n">
        <v>0</v>
      </c>
      <c r="BC215" s="47" t="n">
        <v>0</v>
      </c>
      <c r="BD215" s="47" t="n">
        <v>0</v>
      </c>
      <c r="BE215" s="47" t="n">
        <v>0</v>
      </c>
      <c r="BF215" s="47" t="n">
        <v>0</v>
      </c>
      <c r="BG215" s="47" t="n">
        <v>0</v>
      </c>
      <c r="BH215" s="47" t="n">
        <v>0</v>
      </c>
      <c r="BI215" s="47" t="n">
        <v>0</v>
      </c>
      <c r="BJ215" s="47" t="n">
        <v>0</v>
      </c>
    </row>
    <row r="216" outlineLevel="1" ht="15.75" customHeight="1">
      <c r="B216" s="5" t="inlineStr">
        <is>
          <t>IFIS</t>
        </is>
      </c>
      <c r="C216" s="68" t="inlineStr">
        <is>
          <t>Lower Middle Market</t>
        </is>
      </c>
      <c r="F216" s="46">
        <f>+SUMIFS($AA216:$DR216,$AA$7:$DR$7,F$7)</f>
        <v/>
      </c>
      <c r="G216" s="46">
        <f>+SUMIFS($AA216:$DR216,$AA$7:$DR$7,G$7)</f>
        <v/>
      </c>
      <c r="H216" s="46">
        <f>+SUMIFS($AA216:$DR216,$AA$7:$DR$7,H$7)</f>
        <v/>
      </c>
      <c r="I216" s="46">
        <f>+SUMIFS($AA216:$DR216,$AA$7:$DR$7,I$7)</f>
        <v/>
      </c>
      <c r="J216" s="46">
        <f>+SUMIFS($AA216:$DR216,$AA$7:$DR$7,J$7)</f>
        <v/>
      </c>
      <c r="K216" s="46">
        <f>+SUMIFS($AA216:$DR216,$AA$7:$DR$7,K$7)</f>
        <v/>
      </c>
      <c r="L216" s="46">
        <f>+SUMIFS($AA216:$DR216,$AA$7:$DR$7,L$7)</f>
        <v/>
      </c>
      <c r="M216" s="46">
        <f>+SUMIFS($AA216:$DR216,$AA$7:$DR$7,M$7)</f>
        <v/>
      </c>
      <c r="AA216" s="47" t="n">
        <v>0</v>
      </c>
      <c r="AB216" s="47" t="n">
        <v>0</v>
      </c>
      <c r="AC216" s="47" t="n">
        <v>0</v>
      </c>
      <c r="AD216" s="47" t="n">
        <v>0</v>
      </c>
      <c r="AE216" s="47" t="n">
        <v>0</v>
      </c>
      <c r="AF216" s="47" t="n">
        <v>0</v>
      </c>
      <c r="AG216" s="47" t="n">
        <v>0</v>
      </c>
      <c r="AH216" s="47" t="n">
        <v>0</v>
      </c>
      <c r="AI216" s="47" t="n">
        <v>0</v>
      </c>
      <c r="AJ216" s="47" t="n">
        <v>0</v>
      </c>
      <c r="AK216" s="47" t="n">
        <v>0</v>
      </c>
      <c r="AL216" s="47" t="n">
        <v>0</v>
      </c>
      <c r="AM216" s="47" t="n">
        <v>0</v>
      </c>
      <c r="AN216" s="47" t="n">
        <v>0</v>
      </c>
      <c r="AO216" s="47" t="n">
        <v>0</v>
      </c>
      <c r="AP216" s="47" t="n">
        <v>0</v>
      </c>
      <c r="AQ216" s="47" t="n">
        <v>0</v>
      </c>
      <c r="AR216" s="47" t="n">
        <v>0</v>
      </c>
      <c r="AS216" s="47" t="n">
        <v>6.237966760932739</v>
      </c>
      <c r="AT216" s="47" t="n">
        <v>6.590405734627866</v>
      </c>
      <c r="AU216" s="47" t="n">
        <v>6.867417654352861</v>
      </c>
      <c r="AV216" s="47" t="n">
        <v>9.364828112441664</v>
      </c>
      <c r="AW216" s="47" t="n">
        <v>3.903241230838655</v>
      </c>
      <c r="AX216" s="47" t="n">
        <v>4.011027821093657</v>
      </c>
      <c r="AY216" s="47" t="n">
        <v>3.330180343727659</v>
      </c>
      <c r="AZ216" s="47" t="n">
        <v>2.972495074753283</v>
      </c>
      <c r="BA216" s="47" t="n">
        <v>1.055817650707771</v>
      </c>
      <c r="BB216" s="47" t="n">
        <v>0.01650085106382979</v>
      </c>
      <c r="BC216" s="47" t="n">
        <v>0</v>
      </c>
      <c r="BD216" s="47" t="n">
        <v>0</v>
      </c>
      <c r="BE216" s="47" t="n">
        <v>0</v>
      </c>
      <c r="BF216" s="47" t="n">
        <v>0</v>
      </c>
      <c r="BG216" s="47" t="n">
        <v>0</v>
      </c>
      <c r="BH216" s="47" t="n">
        <v>0</v>
      </c>
      <c r="BI216" s="47" t="n">
        <v>0</v>
      </c>
      <c r="BJ216" s="47" t="n">
        <v>0</v>
      </c>
    </row>
    <row r="217" outlineLevel="1" ht="15.75" customHeight="1">
      <c r="B217" s="5" t="inlineStr">
        <is>
          <t>IWA</t>
        </is>
      </c>
      <c r="C217" s="68" t="inlineStr">
        <is>
          <t>Lower Middle Market</t>
        </is>
      </c>
      <c r="F217" s="46">
        <f>+SUMIFS($AA217:$DR217,$AA$7:$DR$7,F$7)</f>
        <v/>
      </c>
      <c r="G217" s="46">
        <f>+SUMIFS($AA217:$DR217,$AA$7:$DR$7,G$7)</f>
        <v/>
      </c>
      <c r="H217" s="46">
        <f>+SUMIFS($AA217:$DR217,$AA$7:$DR$7,H$7)</f>
        <v/>
      </c>
      <c r="I217" s="46">
        <f>+SUMIFS($AA217:$DR217,$AA$7:$DR$7,I$7)</f>
        <v/>
      </c>
      <c r="J217" s="46">
        <f>+SUMIFS($AA217:$DR217,$AA$7:$DR$7,J$7)</f>
        <v/>
      </c>
      <c r="K217" s="46">
        <f>+SUMIFS($AA217:$DR217,$AA$7:$DR$7,K$7)</f>
        <v/>
      </c>
      <c r="L217" s="46">
        <f>+SUMIFS($AA217:$DR217,$AA$7:$DR$7,L$7)</f>
        <v/>
      </c>
      <c r="M217" s="46">
        <f>+SUMIFS($AA217:$DR217,$AA$7:$DR$7,M$7)</f>
        <v/>
      </c>
      <c r="AA217" s="47" t="n">
        <v>0</v>
      </c>
      <c r="AB217" s="47" t="n">
        <v>0</v>
      </c>
      <c r="AC217" s="47" t="n">
        <v>0</v>
      </c>
      <c r="AD217" s="47" t="n">
        <v>0</v>
      </c>
      <c r="AE217" s="47" t="n">
        <v>0</v>
      </c>
      <c r="AF217" s="47" t="n">
        <v>0</v>
      </c>
      <c r="AG217" s="47" t="n">
        <v>0</v>
      </c>
      <c r="AH217" s="47" t="n">
        <v>0.08690647623064401</v>
      </c>
      <c r="AI217" s="47" t="n">
        <v>0</v>
      </c>
      <c r="AJ217" s="47" t="n">
        <v>0</v>
      </c>
      <c r="AK217" s="47" t="n">
        <v>0.02734746402784958</v>
      </c>
      <c r="AL217" s="47" t="n">
        <v>0.007693522727272728</v>
      </c>
      <c r="AM217" s="47" t="n">
        <v>0.353802119377525</v>
      </c>
      <c r="AN217" s="47" t="n">
        <v>0</v>
      </c>
      <c r="AO217" s="47" t="n">
        <v>0</v>
      </c>
      <c r="AP217" s="47" t="n">
        <v>0</v>
      </c>
      <c r="AQ217" s="47" t="n">
        <v>0</v>
      </c>
      <c r="AR217" s="47" t="n">
        <v>0</v>
      </c>
      <c r="AS217" s="47" t="n">
        <v>0</v>
      </c>
      <c r="AT217" s="47" t="n">
        <v>0</v>
      </c>
      <c r="AU217" s="47" t="n">
        <v>0</v>
      </c>
      <c r="AV217" s="47" t="n">
        <v>0</v>
      </c>
      <c r="AW217" s="47" t="n">
        <v>0</v>
      </c>
      <c r="AX217" s="47" t="n">
        <v>0</v>
      </c>
      <c r="AY217" s="47" t="n">
        <v>0</v>
      </c>
      <c r="AZ217" s="47" t="n">
        <v>0</v>
      </c>
      <c r="BA217" s="47" t="n">
        <v>0</v>
      </c>
      <c r="BB217" s="47" t="n">
        <v>0</v>
      </c>
      <c r="BC217" s="47" t="n">
        <v>0</v>
      </c>
      <c r="BD217" s="47" t="n">
        <v>0</v>
      </c>
      <c r="BE217" s="47" t="n">
        <v>0</v>
      </c>
      <c r="BF217" s="47" t="n">
        <v>0</v>
      </c>
      <c r="BG217" s="47" t="n">
        <v>0</v>
      </c>
      <c r="BH217" s="47" t="n">
        <v>0</v>
      </c>
      <c r="BI217" s="47" t="n">
        <v>0</v>
      </c>
      <c r="BJ217" s="47" t="n">
        <v>0</v>
      </c>
    </row>
    <row r="218" outlineLevel="1" ht="15.75" customHeight="1">
      <c r="B218" s="5" t="inlineStr">
        <is>
          <t>KARGER</t>
        </is>
      </c>
      <c r="C218" s="68" t="inlineStr">
        <is>
          <t>Upper Middle Market</t>
        </is>
      </c>
      <c r="F218" s="46">
        <f>+SUMIFS($AA218:$DR218,$AA$7:$DR$7,F$7)</f>
        <v/>
      </c>
      <c r="G218" s="46">
        <f>+SUMIFS($AA218:$DR218,$AA$7:$DR$7,G$7)</f>
        <v/>
      </c>
      <c r="H218" s="46">
        <f>+SUMIFS($AA218:$DR218,$AA$7:$DR$7,H$7)</f>
        <v/>
      </c>
      <c r="I218" s="46">
        <f>+SUMIFS($AA218:$DR218,$AA$7:$DR$7,I$7)</f>
        <v/>
      </c>
      <c r="J218" s="46">
        <f>+SUMIFS($AA218:$DR218,$AA$7:$DR$7,J$7)</f>
        <v/>
      </c>
      <c r="K218" s="46">
        <f>+SUMIFS($AA218:$DR218,$AA$7:$DR$7,K$7)</f>
        <v/>
      </c>
      <c r="L218" s="46">
        <f>+SUMIFS($AA218:$DR218,$AA$7:$DR$7,L$7)</f>
        <v/>
      </c>
      <c r="M218" s="46">
        <f>+SUMIFS($AA218:$DR218,$AA$7:$DR$7,M$7)</f>
        <v/>
      </c>
      <c r="AA218" s="47" t="n">
        <v>0</v>
      </c>
      <c r="AB218" s="47" t="n">
        <v>0</v>
      </c>
      <c r="AC218" s="47" t="n">
        <v>0</v>
      </c>
      <c r="AD218" s="47" t="n">
        <v>0</v>
      </c>
      <c r="AE218" s="47" t="n">
        <v>0</v>
      </c>
      <c r="AF218" s="47" t="n">
        <v>0</v>
      </c>
      <c r="AG218" s="47" t="n">
        <v>0</v>
      </c>
      <c r="AH218" s="47" t="n">
        <v>0</v>
      </c>
      <c r="AI218" s="47" t="n">
        <v>0</v>
      </c>
      <c r="AJ218" s="47" t="n">
        <v>0</v>
      </c>
      <c r="AK218" s="47" t="n">
        <v>0</v>
      </c>
      <c r="AL218" s="47" t="n">
        <v>0</v>
      </c>
      <c r="AM218" s="47" t="n">
        <v>0</v>
      </c>
      <c r="AN218" s="47" t="n">
        <v>0</v>
      </c>
      <c r="AO218" s="47" t="n">
        <v>0</v>
      </c>
      <c r="AP218" s="47" t="n">
        <v>0</v>
      </c>
      <c r="AQ218" s="47" t="n">
        <v>0</v>
      </c>
      <c r="AR218" s="47" t="n">
        <v>0</v>
      </c>
      <c r="AS218" s="47" t="n">
        <v>0</v>
      </c>
      <c r="AT218" s="47" t="n">
        <v>0</v>
      </c>
      <c r="AU218" s="47" t="n">
        <v>0</v>
      </c>
      <c r="AV218" s="47" t="n">
        <v>0</v>
      </c>
      <c r="AW218" s="47" t="n">
        <v>0.09919418879330899</v>
      </c>
      <c r="AX218" s="47" t="n">
        <v>4.941160286260665</v>
      </c>
      <c r="AY218" s="47" t="n">
        <v>2.397563790518664</v>
      </c>
      <c r="AZ218" s="47" t="n">
        <v>0.3005449059557109</v>
      </c>
      <c r="BA218" s="47" t="n">
        <v>0.1089014755831825</v>
      </c>
      <c r="BB218" s="47" t="n">
        <v>0.07338752418086872</v>
      </c>
      <c r="BC218" s="47" t="n">
        <v>0.07428721410808001</v>
      </c>
      <c r="BD218" s="47" t="n">
        <v>0.06010231721298803</v>
      </c>
      <c r="BE218" s="47" t="n">
        <v>1.440746404075415</v>
      </c>
      <c r="BF218" s="47" t="n">
        <v>2.210638544984567</v>
      </c>
      <c r="BG218" s="47" t="n">
        <v>5.403477472945427</v>
      </c>
      <c r="BH218" s="47" t="n">
        <v>6.866864082673106</v>
      </c>
      <c r="BI218" s="47" t="n">
        <v>12.35861715285508</v>
      </c>
      <c r="BJ218" s="47" t="n">
        <v>18.23316807536545</v>
      </c>
    </row>
    <row r="219" outlineLevel="1" ht="15.75" customHeight="1">
      <c r="B219" s="5" t="inlineStr">
        <is>
          <t>MGH</t>
        </is>
      </c>
      <c r="C219" s="68" t="inlineStr">
        <is>
          <t>Mega</t>
        </is>
      </c>
      <c r="F219" s="46">
        <f>+SUMIFS($AA219:$DR219,$AA$7:$DR$7,F$7)</f>
        <v/>
      </c>
      <c r="G219" s="46">
        <f>+SUMIFS($AA219:$DR219,$AA$7:$DR$7,G$7)</f>
        <v/>
      </c>
      <c r="H219" s="46">
        <f>+SUMIFS($AA219:$DR219,$AA$7:$DR$7,H$7)</f>
        <v/>
      </c>
      <c r="I219" s="46">
        <f>+SUMIFS($AA219:$DR219,$AA$7:$DR$7,I$7)</f>
        <v/>
      </c>
      <c r="J219" s="46">
        <f>+SUMIFS($AA219:$DR219,$AA$7:$DR$7,J$7)</f>
        <v/>
      </c>
      <c r="K219" s="46">
        <f>+SUMIFS($AA219:$DR219,$AA$7:$DR$7,K$7)</f>
        <v/>
      </c>
      <c r="L219" s="46">
        <f>+SUMIFS($AA219:$DR219,$AA$7:$DR$7,L$7)</f>
        <v/>
      </c>
      <c r="M219" s="46">
        <f>+SUMIFS($AA219:$DR219,$AA$7:$DR$7,M$7)</f>
        <v/>
      </c>
      <c r="AA219" s="47" t="n">
        <v>0</v>
      </c>
      <c r="AB219" s="47" t="n">
        <v>0</v>
      </c>
      <c r="AC219" s="47" t="n">
        <v>0</v>
      </c>
      <c r="AD219" s="47" t="n">
        <v>0</v>
      </c>
      <c r="AE219" s="47" t="n">
        <v>0</v>
      </c>
      <c r="AF219" s="47" t="n">
        <v>0</v>
      </c>
      <c r="AG219" s="47" t="n">
        <v>0</v>
      </c>
      <c r="AH219" s="47" t="n">
        <v>0</v>
      </c>
      <c r="AI219" s="47" t="n">
        <v>0</v>
      </c>
      <c r="AJ219" s="47" t="n">
        <v>0</v>
      </c>
      <c r="AK219" s="47" t="n">
        <v>0</v>
      </c>
      <c r="AL219" s="47" t="n">
        <v>0</v>
      </c>
      <c r="AM219" s="47" t="n">
        <v>0</v>
      </c>
      <c r="AN219" s="47" t="n">
        <v>0</v>
      </c>
      <c r="AO219" s="47" t="n">
        <v>0</v>
      </c>
      <c r="AP219" s="47" t="n">
        <v>0</v>
      </c>
      <c r="AQ219" s="47" t="n">
        <v>0</v>
      </c>
      <c r="AR219" s="47" t="n">
        <v>0</v>
      </c>
      <c r="AS219" s="47" t="n">
        <v>0</v>
      </c>
      <c r="AT219" s="47" t="n">
        <v>0</v>
      </c>
      <c r="AU219" s="47" t="n">
        <v>0</v>
      </c>
      <c r="AV219" s="47" t="n">
        <v>0</v>
      </c>
      <c r="AW219" s="47" t="n">
        <v>0</v>
      </c>
      <c r="AX219" s="47" t="n">
        <v>0</v>
      </c>
      <c r="AY219" s="47" t="n">
        <v>0</v>
      </c>
      <c r="AZ219" s="47" t="n">
        <v>0</v>
      </c>
      <c r="BA219" s="47" t="n">
        <v>0</v>
      </c>
      <c r="BB219" s="47" t="n">
        <v>0</v>
      </c>
      <c r="BC219" s="47" t="n">
        <v>0</v>
      </c>
      <c r="BD219" s="47" t="n">
        <v>0</v>
      </c>
      <c r="BE219" s="47" t="n">
        <v>0</v>
      </c>
      <c r="BF219" s="47" t="n">
        <v>0</v>
      </c>
      <c r="BG219" s="47" t="n">
        <v>0</v>
      </c>
      <c r="BH219" s="47" t="n">
        <v>0</v>
      </c>
      <c r="BI219" s="47" t="n">
        <v>0</v>
      </c>
      <c r="BJ219" s="47" t="n">
        <v>0</v>
      </c>
    </row>
    <row r="220" outlineLevel="1" ht="15.75" customHeight="1">
      <c r="B220" s="5" t="inlineStr">
        <is>
          <t>MIT</t>
        </is>
      </c>
      <c r="C220" s="68" t="inlineStr">
        <is>
          <t>Upper Middle Market</t>
        </is>
      </c>
      <c r="F220" s="46">
        <f>+SUMIFS($AA220:$DR220,$AA$7:$DR$7,F$7)</f>
        <v/>
      </c>
      <c r="G220" s="46">
        <f>+SUMIFS($AA220:$DR220,$AA$7:$DR$7,G$7)</f>
        <v/>
      </c>
      <c r="H220" s="46">
        <f>+SUMIFS($AA220:$DR220,$AA$7:$DR$7,H$7)</f>
        <v/>
      </c>
      <c r="I220" s="46">
        <f>+SUMIFS($AA220:$DR220,$AA$7:$DR$7,I$7)</f>
        <v/>
      </c>
      <c r="J220" s="46">
        <f>+SUMIFS($AA220:$DR220,$AA$7:$DR$7,J$7)</f>
        <v/>
      </c>
      <c r="K220" s="46">
        <f>+SUMIFS($AA220:$DR220,$AA$7:$DR$7,K$7)</f>
        <v/>
      </c>
      <c r="L220" s="46">
        <f>+SUMIFS($AA220:$DR220,$AA$7:$DR$7,L$7)</f>
        <v/>
      </c>
      <c r="M220" s="46">
        <f>+SUMIFS($AA220:$DR220,$AA$7:$DR$7,M$7)</f>
        <v/>
      </c>
      <c r="AA220" s="47" t="n">
        <v>2.588053358194187</v>
      </c>
      <c r="AB220" s="47" t="n">
        <v>0.3155894879064498</v>
      </c>
      <c r="AC220" s="47" t="n">
        <v>0.7786009039185426</v>
      </c>
      <c r="AD220" s="47" t="n">
        <v>0.04865650799853636</v>
      </c>
      <c r="AE220" s="47" t="n">
        <v>0.1165377152589674</v>
      </c>
      <c r="AF220" s="47" t="n">
        <v>0.07996453507498791</v>
      </c>
      <c r="AG220" s="47" t="n">
        <v>0.05374649411225798</v>
      </c>
      <c r="AH220" s="47" t="n">
        <v>0.01327178590565765</v>
      </c>
      <c r="AI220" s="47" t="n">
        <v>0.0272697661122991</v>
      </c>
      <c r="AJ220" s="47" t="n">
        <v>0.2112654526775803</v>
      </c>
      <c r="AK220" s="47" t="n">
        <v>3.144354452663209</v>
      </c>
      <c r="AL220" s="47" t="n">
        <v>1.609710911774297</v>
      </c>
      <c r="AM220" s="47" t="n">
        <v>2.22796323551625</v>
      </c>
      <c r="AN220" s="47" t="n">
        <v>2.912464602914918</v>
      </c>
      <c r="AO220" s="47" t="n">
        <v>2.046239399367532</v>
      </c>
      <c r="AP220" s="47" t="n">
        <v>4.990000529609277</v>
      </c>
      <c r="AQ220" s="47" t="n">
        <v>7.697256786615483</v>
      </c>
      <c r="AR220" s="47" t="n">
        <v>12.54930780002318</v>
      </c>
      <c r="AS220" s="47" t="n">
        <v>4.948507938669015</v>
      </c>
      <c r="AT220" s="47" t="n">
        <v>10.72954631970729</v>
      </c>
      <c r="AU220" s="47" t="n">
        <v>10.71820843489609</v>
      </c>
      <c r="AV220" s="47" t="n">
        <v>9.517406423501356</v>
      </c>
      <c r="AW220" s="47" t="n">
        <v>5.75901357994643</v>
      </c>
      <c r="AX220" s="47" t="n">
        <v>4.590070662661756</v>
      </c>
      <c r="AY220" s="47" t="n">
        <v>4.144052153715625</v>
      </c>
      <c r="AZ220" s="47" t="n">
        <v>4.142216441919367</v>
      </c>
      <c r="BA220" s="47" t="n">
        <v>9.026648427824755</v>
      </c>
      <c r="BB220" s="47" t="n">
        <v>1.836518673863957</v>
      </c>
      <c r="BC220" s="47" t="n">
        <v>1.079341559261108</v>
      </c>
      <c r="BD220" s="47" t="n">
        <v>0.1460007231876871</v>
      </c>
      <c r="BE220" s="47" t="n">
        <v>0</v>
      </c>
      <c r="BF220" s="47" t="n">
        <v>0</v>
      </c>
      <c r="BG220" s="47" t="n">
        <v>0</v>
      </c>
      <c r="BH220" s="47" t="n">
        <v>0</v>
      </c>
      <c r="BI220" s="47" t="n">
        <v>0</v>
      </c>
      <c r="BJ220" s="47" t="n">
        <v>0</v>
      </c>
    </row>
    <row r="221" outlineLevel="1" ht="15.75" customHeight="1">
      <c r="B221" s="5" t="inlineStr">
        <is>
          <t>MLA</t>
        </is>
      </c>
      <c r="C221" s="68" t="inlineStr">
        <is>
          <t>Lower Middle Market</t>
        </is>
      </c>
      <c r="F221" s="46">
        <f>+SUMIFS($AA221:$DR221,$AA$7:$DR$7,F$7)</f>
        <v/>
      </c>
      <c r="G221" s="46">
        <f>+SUMIFS($AA221:$DR221,$AA$7:$DR$7,G$7)</f>
        <v/>
      </c>
      <c r="H221" s="46">
        <f>+SUMIFS($AA221:$DR221,$AA$7:$DR$7,H$7)</f>
        <v/>
      </c>
      <c r="I221" s="46">
        <f>+SUMIFS($AA221:$DR221,$AA$7:$DR$7,I$7)</f>
        <v/>
      </c>
      <c r="J221" s="46">
        <f>+SUMIFS($AA221:$DR221,$AA$7:$DR$7,J$7)</f>
        <v/>
      </c>
      <c r="K221" s="46">
        <f>+SUMIFS($AA221:$DR221,$AA$7:$DR$7,K$7)</f>
        <v/>
      </c>
      <c r="L221" s="46">
        <f>+SUMIFS($AA221:$DR221,$AA$7:$DR$7,L$7)</f>
        <v/>
      </c>
      <c r="M221" s="46">
        <f>+SUMIFS($AA221:$DR221,$AA$7:$DR$7,M$7)</f>
        <v/>
      </c>
      <c r="AA221" s="47" t="n">
        <v>0</v>
      </c>
      <c r="AB221" s="47" t="n">
        <v>0</v>
      </c>
      <c r="AC221" s="47" t="n">
        <v>0</v>
      </c>
      <c r="AD221" s="47" t="n">
        <v>0</v>
      </c>
      <c r="AE221" s="47" t="n">
        <v>0</v>
      </c>
      <c r="AF221" s="47" t="n">
        <v>0</v>
      </c>
      <c r="AG221" s="47" t="n">
        <v>0</v>
      </c>
      <c r="AH221" s="47" t="n">
        <v>0</v>
      </c>
      <c r="AI221" s="47" t="n">
        <v>0</v>
      </c>
      <c r="AJ221" s="47" t="n">
        <v>0</v>
      </c>
      <c r="AK221" s="47" t="n">
        <v>0</v>
      </c>
      <c r="AL221" s="47" t="n">
        <v>0</v>
      </c>
      <c r="AM221" s="47" t="n">
        <v>0</v>
      </c>
      <c r="AN221" s="47" t="n">
        <v>0</v>
      </c>
      <c r="AO221" s="47" t="n">
        <v>0</v>
      </c>
      <c r="AP221" s="47" t="n">
        <v>0</v>
      </c>
      <c r="AQ221" s="47" t="n">
        <v>0</v>
      </c>
      <c r="AR221" s="47" t="n">
        <v>0</v>
      </c>
      <c r="AS221" s="47" t="n">
        <v>0</v>
      </c>
      <c r="AT221" s="47" t="n">
        <v>0</v>
      </c>
      <c r="AU221" s="47" t="n">
        <v>0</v>
      </c>
      <c r="AV221" s="47" t="n">
        <v>0</v>
      </c>
      <c r="AW221" s="47" t="n">
        <v>0</v>
      </c>
      <c r="AX221" s="47" t="n">
        <v>0</v>
      </c>
      <c r="AY221" s="47" t="n">
        <v>0</v>
      </c>
      <c r="AZ221" s="47" t="n">
        <v>0</v>
      </c>
      <c r="BA221" s="47" t="n">
        <v>3.594240494258944</v>
      </c>
      <c r="BB221" s="47" t="n">
        <v>3.521437397027695</v>
      </c>
      <c r="BC221" s="47" t="n">
        <v>8.790678934723134</v>
      </c>
      <c r="BD221" s="47" t="n">
        <v>6.498848282827398</v>
      </c>
      <c r="BE221" s="47" t="n">
        <v>9.466571829803517</v>
      </c>
      <c r="BF221" s="47" t="n">
        <v>9.298798316896136</v>
      </c>
      <c r="BG221" s="47" t="n">
        <v>3.718798071843219</v>
      </c>
      <c r="BH221" s="47" t="n">
        <v>3.628873901407468</v>
      </c>
      <c r="BI221" s="47" t="n">
        <v>0.3181659439020033</v>
      </c>
      <c r="BJ221" s="47" t="n">
        <v>0.7314252797505626</v>
      </c>
    </row>
    <row r="222" outlineLevel="1" ht="15.75" customHeight="1">
      <c r="B222" s="5" t="inlineStr">
        <is>
          <t>OUP</t>
        </is>
      </c>
      <c r="C222" s="68" t="inlineStr">
        <is>
          <t>Mega</t>
        </is>
      </c>
      <c r="F222" s="46">
        <f>+SUMIFS($AA222:$DR222,$AA$7:$DR$7,F$7)</f>
        <v/>
      </c>
      <c r="G222" s="46">
        <f>+SUMIFS($AA222:$DR222,$AA$7:$DR$7,G$7)</f>
        <v/>
      </c>
      <c r="H222" s="46">
        <f>+SUMIFS($AA222:$DR222,$AA$7:$DR$7,H$7)</f>
        <v/>
      </c>
      <c r="I222" s="46">
        <f>+SUMIFS($AA222:$DR222,$AA$7:$DR$7,I$7)</f>
        <v/>
      </c>
      <c r="J222" s="46">
        <f>+SUMIFS($AA222:$DR222,$AA$7:$DR$7,J$7)</f>
        <v/>
      </c>
      <c r="K222" s="46">
        <f>+SUMIFS($AA222:$DR222,$AA$7:$DR$7,K$7)</f>
        <v/>
      </c>
      <c r="L222" s="46">
        <f>+SUMIFS($AA222:$DR222,$AA$7:$DR$7,L$7)</f>
        <v/>
      </c>
      <c r="M222" s="46">
        <f>+SUMIFS($AA222:$DR222,$AA$7:$DR$7,M$7)</f>
        <v/>
      </c>
      <c r="AA222" s="47" t="n">
        <v>26.25568141119298</v>
      </c>
      <c r="AB222" s="47" t="n">
        <v>44.38810115467488</v>
      </c>
      <c r="AC222" s="47" t="n">
        <v>43.74843153436306</v>
      </c>
      <c r="AD222" s="47" t="n">
        <v>39.14730036199202</v>
      </c>
      <c r="AE222" s="47" t="n">
        <v>56.9455029496964</v>
      </c>
      <c r="AF222" s="47" t="n">
        <v>65.1555448974123</v>
      </c>
      <c r="AG222" s="47" t="n">
        <v>51.21712195016594</v>
      </c>
      <c r="AH222" s="47" t="n">
        <v>54.13537316401288</v>
      </c>
      <c r="AI222" s="47" t="n">
        <v>58.75134022603822</v>
      </c>
      <c r="AJ222" s="47" t="n">
        <v>75.19843199143078</v>
      </c>
      <c r="AK222" s="47" t="n">
        <v>68.95428201083094</v>
      </c>
      <c r="AL222" s="47" t="n">
        <v>64.11034182177958</v>
      </c>
      <c r="AM222" s="47" t="n">
        <v>84.20771459655914</v>
      </c>
      <c r="AN222" s="47" t="n">
        <v>101.6443350226201</v>
      </c>
      <c r="AO222" s="47" t="n">
        <v>104.1022305238368</v>
      </c>
      <c r="AP222" s="47" t="n">
        <v>103.8820303336474</v>
      </c>
      <c r="AQ222" s="47" t="n">
        <v>100.3537112906603</v>
      </c>
      <c r="AR222" s="47" t="n">
        <v>45.09128934646936</v>
      </c>
      <c r="AS222" s="47" t="n">
        <v>33.43331760093771</v>
      </c>
      <c r="AT222" s="47" t="n">
        <v>26.33850245624931</v>
      </c>
      <c r="AU222" s="47" t="n">
        <v>30.7165093874432</v>
      </c>
      <c r="AV222" s="47" t="n">
        <v>24.56881227635292</v>
      </c>
      <c r="AW222" s="47" t="n">
        <v>13.4229618162722</v>
      </c>
      <c r="AX222" s="47" t="n">
        <v>10.08028272357678</v>
      </c>
      <c r="AY222" s="47" t="n">
        <v>16.36186317372514</v>
      </c>
      <c r="AZ222" s="47" t="n">
        <v>27.26470632065238</v>
      </c>
      <c r="BA222" s="47" t="n">
        <v>36.99400259132495</v>
      </c>
      <c r="BB222" s="47" t="n">
        <v>29.23105899854571</v>
      </c>
      <c r="BC222" s="47" t="n">
        <v>22.93897652926068</v>
      </c>
      <c r="BD222" s="47" t="n">
        <v>22.61010109101284</v>
      </c>
      <c r="BE222" s="47" t="n">
        <v>16.37858551959937</v>
      </c>
      <c r="BF222" s="47" t="n">
        <v>15.053204921513</v>
      </c>
      <c r="BG222" s="47" t="n">
        <v>10.24401558412331</v>
      </c>
      <c r="BH222" s="47" t="n">
        <v>13.10876291024936</v>
      </c>
      <c r="BI222" s="47" t="n">
        <v>16.58185352575119</v>
      </c>
      <c r="BJ222" s="47" t="n">
        <v>14.45627295585922</v>
      </c>
    </row>
    <row r="223" outlineLevel="1" ht="15.75" customHeight="1">
      <c r="B223" s="5" t="inlineStr">
        <is>
          <t>PORT</t>
        </is>
      </c>
      <c r="C223" s="68" t="inlineStr">
        <is>
          <t>Lower Middle Market</t>
        </is>
      </c>
      <c r="F223" s="46">
        <f>+SUMIFS($AA223:$DR223,$AA$7:$DR$7,F$7)</f>
        <v/>
      </c>
      <c r="G223" s="46">
        <f>+SUMIFS($AA223:$DR223,$AA$7:$DR$7,G$7)</f>
        <v/>
      </c>
      <c r="H223" s="46">
        <f>+SUMIFS($AA223:$DR223,$AA$7:$DR$7,H$7)</f>
        <v/>
      </c>
      <c r="I223" s="46">
        <f>+SUMIFS($AA223:$DR223,$AA$7:$DR$7,I$7)</f>
        <v/>
      </c>
      <c r="J223" s="46">
        <f>+SUMIFS($AA223:$DR223,$AA$7:$DR$7,J$7)</f>
        <v/>
      </c>
      <c r="K223" s="46">
        <f>+SUMIFS($AA223:$DR223,$AA$7:$DR$7,K$7)</f>
        <v/>
      </c>
      <c r="L223" s="46">
        <f>+SUMIFS($AA223:$DR223,$AA$7:$DR$7,L$7)</f>
        <v/>
      </c>
      <c r="M223" s="46">
        <f>+SUMIFS($AA223:$DR223,$AA$7:$DR$7,M$7)</f>
        <v/>
      </c>
      <c r="AA223" s="47" t="n">
        <v>1.187448591488837</v>
      </c>
      <c r="AB223" s="47" t="n">
        <v>1.062019698774331</v>
      </c>
      <c r="AC223" s="47" t="n">
        <v>3.373128356991731</v>
      </c>
      <c r="AD223" s="47" t="n">
        <v>5.382079026504243</v>
      </c>
      <c r="AE223" s="47" t="n">
        <v>9.212717515248485</v>
      </c>
      <c r="AF223" s="47" t="n">
        <v>13.90984998470423</v>
      </c>
      <c r="AG223" s="47" t="n">
        <v>19.42154821115767</v>
      </c>
      <c r="AH223" s="47" t="n">
        <v>28.56584719124071</v>
      </c>
      <c r="AI223" s="47" t="n">
        <v>28.40656176853819</v>
      </c>
      <c r="AJ223" s="47" t="n">
        <v>27.88217811988997</v>
      </c>
      <c r="AK223" s="47" t="n">
        <v>14.27012368735389</v>
      </c>
      <c r="AL223" s="47" t="n">
        <v>6.406666189551537</v>
      </c>
      <c r="AM223" s="47" t="n">
        <v>2.027625253451031</v>
      </c>
      <c r="AN223" s="47" t="n">
        <v>0.2591727945879779</v>
      </c>
      <c r="AO223" s="47" t="n">
        <v>0.04499908441832889</v>
      </c>
      <c r="AP223" s="47" t="n">
        <v>0.9463702775688659</v>
      </c>
      <c r="AQ223" s="47" t="n">
        <v>0</v>
      </c>
      <c r="AR223" s="47" t="n">
        <v>0</v>
      </c>
      <c r="AS223" s="47" t="n">
        <v>0</v>
      </c>
      <c r="AT223" s="47" t="n">
        <v>0</v>
      </c>
      <c r="AU223" s="47" t="n">
        <v>0</v>
      </c>
      <c r="AV223" s="47" t="n">
        <v>0</v>
      </c>
      <c r="AW223" s="47" t="n">
        <v>0</v>
      </c>
      <c r="AX223" s="47" t="n">
        <v>0</v>
      </c>
      <c r="AY223" s="47" t="n">
        <v>0</v>
      </c>
      <c r="AZ223" s="47" t="n">
        <v>0</v>
      </c>
      <c r="BA223" s="47" t="n">
        <v>0</v>
      </c>
      <c r="BB223" s="47" t="n">
        <v>0</v>
      </c>
      <c r="BC223" s="47" t="n">
        <v>0</v>
      </c>
      <c r="BD223" s="47" t="n">
        <v>0</v>
      </c>
      <c r="BE223" s="47" t="n">
        <v>0</v>
      </c>
      <c r="BF223" s="47" t="n">
        <v>0</v>
      </c>
      <c r="BG223" s="47" t="n">
        <v>0</v>
      </c>
      <c r="BH223" s="47" t="n">
        <v>0</v>
      </c>
      <c r="BI223" s="47" t="n">
        <v>0</v>
      </c>
      <c r="BJ223" s="47" t="n">
        <v>0</v>
      </c>
    </row>
    <row r="224" outlineLevel="1" ht="15.75" customHeight="1">
      <c r="B224" s="5" t="inlineStr">
        <is>
          <t>RSC</t>
        </is>
      </c>
      <c r="C224" s="68" t="inlineStr">
        <is>
          <t>Lower Middle Market</t>
        </is>
      </c>
      <c r="F224" s="46">
        <f>+SUMIFS($AA224:$DR224,$AA$7:$DR$7,F$7)</f>
        <v/>
      </c>
      <c r="G224" s="46">
        <f>+SUMIFS($AA224:$DR224,$AA$7:$DR$7,G$7)</f>
        <v/>
      </c>
      <c r="H224" s="46">
        <f>+SUMIFS($AA224:$DR224,$AA$7:$DR$7,H$7)</f>
        <v/>
      </c>
      <c r="I224" s="46">
        <f>+SUMIFS($AA224:$DR224,$AA$7:$DR$7,I$7)</f>
        <v/>
      </c>
      <c r="J224" s="46">
        <f>+SUMIFS($AA224:$DR224,$AA$7:$DR$7,J$7)</f>
        <v/>
      </c>
      <c r="K224" s="46">
        <f>+SUMIFS($AA224:$DR224,$AA$7:$DR$7,K$7)</f>
        <v/>
      </c>
      <c r="L224" s="46">
        <f>+SUMIFS($AA224:$DR224,$AA$7:$DR$7,L$7)</f>
        <v/>
      </c>
      <c r="M224" s="46">
        <f>+SUMIFS($AA224:$DR224,$AA$7:$DR$7,M$7)</f>
        <v/>
      </c>
      <c r="AA224" s="47" t="n">
        <v>0</v>
      </c>
      <c r="AB224" s="47" t="n">
        <v>0</v>
      </c>
      <c r="AC224" s="47" t="n">
        <v>0</v>
      </c>
      <c r="AD224" s="47" t="n">
        <v>0</v>
      </c>
      <c r="AE224" s="47" t="n">
        <v>0</v>
      </c>
      <c r="AF224" s="47" t="n">
        <v>0</v>
      </c>
      <c r="AG224" s="47" t="n">
        <v>0</v>
      </c>
      <c r="AH224" s="47" t="n">
        <v>0</v>
      </c>
      <c r="AI224" s="47" t="n">
        <v>0</v>
      </c>
      <c r="AJ224" s="47" t="n">
        <v>0</v>
      </c>
      <c r="AK224" s="47" t="n">
        <v>0</v>
      </c>
      <c r="AL224" s="47" t="n">
        <v>0</v>
      </c>
      <c r="AM224" s="47" t="n">
        <v>0</v>
      </c>
      <c r="AN224" s="47" t="n">
        <v>0</v>
      </c>
      <c r="AO224" s="47" t="n">
        <v>0</v>
      </c>
      <c r="AP224" s="47" t="n">
        <v>0</v>
      </c>
      <c r="AQ224" s="47" t="n">
        <v>0</v>
      </c>
      <c r="AR224" s="47" t="n">
        <v>0</v>
      </c>
      <c r="AS224" s="47" t="n">
        <v>0</v>
      </c>
      <c r="AT224" s="47" t="n">
        <v>0</v>
      </c>
      <c r="AU224" s="47" t="n">
        <v>0</v>
      </c>
      <c r="AV224" s="47" t="n">
        <v>0</v>
      </c>
      <c r="AW224" s="47" t="n">
        <v>0</v>
      </c>
      <c r="AX224" s="47" t="n">
        <v>0</v>
      </c>
      <c r="AY224" s="47" t="n">
        <v>0</v>
      </c>
      <c r="AZ224" s="47" t="n">
        <v>0</v>
      </c>
      <c r="BA224" s="47" t="n">
        <v>0</v>
      </c>
      <c r="BB224" s="47" t="n">
        <v>0</v>
      </c>
      <c r="BC224" s="47" t="n">
        <v>0</v>
      </c>
      <c r="BD224" s="47" t="n">
        <v>0</v>
      </c>
      <c r="BE224" s="47" t="n">
        <v>0</v>
      </c>
      <c r="BF224" s="47" t="n">
        <v>0</v>
      </c>
      <c r="BG224" s="47" t="n">
        <v>0</v>
      </c>
      <c r="BH224" s="47" t="n">
        <v>0</v>
      </c>
      <c r="BI224" s="47" t="n">
        <v>0</v>
      </c>
      <c r="BJ224" s="47" t="n">
        <v>0</v>
      </c>
    </row>
    <row r="225" outlineLevel="1" ht="15.75" customHeight="1">
      <c r="B225" s="5" t="inlineStr">
        <is>
          <t>RUP</t>
        </is>
      </c>
      <c r="C225" s="68" t="inlineStr">
        <is>
          <t>Lower Middle Market</t>
        </is>
      </c>
      <c r="F225" s="46">
        <f>+SUMIFS($AA225:$DR225,$AA$7:$DR$7,F$7)</f>
        <v/>
      </c>
      <c r="G225" s="46">
        <f>+SUMIFS($AA225:$DR225,$AA$7:$DR$7,G$7)</f>
        <v/>
      </c>
      <c r="H225" s="46">
        <f>+SUMIFS($AA225:$DR225,$AA$7:$DR$7,H$7)</f>
        <v/>
      </c>
      <c r="I225" s="46">
        <f>+SUMIFS($AA225:$DR225,$AA$7:$DR$7,I$7)</f>
        <v/>
      </c>
      <c r="J225" s="46">
        <f>+SUMIFS($AA225:$DR225,$AA$7:$DR$7,J$7)</f>
        <v/>
      </c>
      <c r="K225" s="46">
        <f>+SUMIFS($AA225:$DR225,$AA$7:$DR$7,K$7)</f>
        <v/>
      </c>
      <c r="L225" s="46">
        <f>+SUMIFS($AA225:$DR225,$AA$7:$DR$7,L$7)</f>
        <v/>
      </c>
      <c r="M225" s="46">
        <f>+SUMIFS($AA225:$DR225,$AA$7:$DR$7,M$7)</f>
        <v/>
      </c>
      <c r="AA225" s="47" t="n">
        <v>0.7480846089835199</v>
      </c>
      <c r="AB225" s="47" t="n">
        <v>3.389771721895876</v>
      </c>
      <c r="AC225" s="47" t="n">
        <v>4.638357571237652</v>
      </c>
      <c r="AD225" s="47" t="n">
        <v>2.74354915666936</v>
      </c>
      <c r="AE225" s="47" t="n">
        <v>3.83202200678823</v>
      </c>
      <c r="AF225" s="47" t="n">
        <v>9.101750717727047</v>
      </c>
      <c r="AG225" s="47" t="n">
        <v>16.52177475234749</v>
      </c>
      <c r="AH225" s="47" t="n">
        <v>18.98495943016551</v>
      </c>
      <c r="AI225" s="47" t="n">
        <v>22.80472969494803</v>
      </c>
      <c r="AJ225" s="47" t="n">
        <v>19.56313039562876</v>
      </c>
      <c r="AK225" s="47" t="n">
        <v>19.49356634558871</v>
      </c>
      <c r="AL225" s="47" t="n">
        <v>27.07348913731662</v>
      </c>
      <c r="AM225" s="47" t="n">
        <v>14.70170061133632</v>
      </c>
      <c r="AN225" s="47" t="n">
        <v>6.943145679500325</v>
      </c>
      <c r="AO225" s="47" t="n">
        <v>1.579393993854022</v>
      </c>
      <c r="AP225" s="47" t="n">
        <v>2.30420077901451</v>
      </c>
      <c r="AQ225" s="47" t="n">
        <v>5.828231349453699</v>
      </c>
      <c r="AR225" s="47" t="n">
        <v>3.456162698553298</v>
      </c>
      <c r="AS225" s="47" t="n">
        <v>0.6820507527508823</v>
      </c>
      <c r="AT225" s="47" t="n">
        <v>0.01547016097853639</v>
      </c>
      <c r="AU225" s="47" t="n">
        <v>0</v>
      </c>
      <c r="AV225" s="47" t="n">
        <v>0</v>
      </c>
      <c r="AW225" s="47" t="n">
        <v>0</v>
      </c>
      <c r="AX225" s="47" t="n">
        <v>0</v>
      </c>
      <c r="AY225" s="47" t="n">
        <v>0</v>
      </c>
      <c r="AZ225" s="47" t="n">
        <v>0</v>
      </c>
      <c r="BA225" s="47" t="n">
        <v>0</v>
      </c>
      <c r="BB225" s="47" t="n">
        <v>0</v>
      </c>
      <c r="BC225" s="47" t="n">
        <v>0</v>
      </c>
      <c r="BD225" s="47" t="n">
        <v>0</v>
      </c>
      <c r="BE225" s="47" t="n">
        <v>0</v>
      </c>
      <c r="BF225" s="47" t="n">
        <v>0</v>
      </c>
      <c r="BG225" s="47" t="n">
        <v>0</v>
      </c>
      <c r="BH225" s="47" t="n">
        <v>0</v>
      </c>
      <c r="BI225" s="47" t="n">
        <v>0</v>
      </c>
      <c r="BJ225" s="47" t="n">
        <v>0</v>
      </c>
    </row>
    <row r="226" outlineLevel="1" ht="15.75" customHeight="1">
      <c r="B226" s="5" t="inlineStr">
        <is>
          <t>SCORE</t>
        </is>
      </c>
      <c r="C226" s="68" t="inlineStr">
        <is>
          <t>Major</t>
        </is>
      </c>
      <c r="F226" s="46">
        <f>+SUMIFS($AA226:$DR226,$AA$7:$DR$7,F$7)</f>
        <v/>
      </c>
      <c r="G226" s="46">
        <f>+SUMIFS($AA226:$DR226,$AA$7:$DR$7,G$7)</f>
        <v/>
      </c>
      <c r="H226" s="46">
        <f>+SUMIFS($AA226:$DR226,$AA$7:$DR$7,H$7)</f>
        <v/>
      </c>
      <c r="I226" s="46">
        <f>+SUMIFS($AA226:$DR226,$AA$7:$DR$7,I$7)</f>
        <v/>
      </c>
      <c r="J226" s="46">
        <f>+SUMIFS($AA226:$DR226,$AA$7:$DR$7,J$7)</f>
        <v/>
      </c>
      <c r="K226" s="46">
        <f>+SUMIFS($AA226:$DR226,$AA$7:$DR$7,K$7)</f>
        <v/>
      </c>
      <c r="L226" s="46">
        <f>+SUMIFS($AA226:$DR226,$AA$7:$DR$7,L$7)</f>
        <v/>
      </c>
      <c r="M226" s="46">
        <f>+SUMIFS($AA226:$DR226,$AA$7:$DR$7,M$7)</f>
        <v/>
      </c>
      <c r="AA226" s="47" t="n">
        <v>0</v>
      </c>
      <c r="AB226" s="47" t="n">
        <v>0</v>
      </c>
      <c r="AC226" s="47" t="n">
        <v>0</v>
      </c>
      <c r="AD226" s="47" t="n">
        <v>0</v>
      </c>
      <c r="AE226" s="47" t="n">
        <v>0</v>
      </c>
      <c r="AF226" s="47" t="n">
        <v>0</v>
      </c>
      <c r="AG226" s="47" t="n">
        <v>0</v>
      </c>
      <c r="AH226" s="47" t="n">
        <v>0</v>
      </c>
      <c r="AI226" s="47" t="n">
        <v>0</v>
      </c>
      <c r="AJ226" s="47" t="n">
        <v>0</v>
      </c>
      <c r="AK226" s="47" t="n">
        <v>0</v>
      </c>
      <c r="AL226" s="47" t="n">
        <v>0</v>
      </c>
      <c r="AM226" s="47" t="n">
        <v>0</v>
      </c>
      <c r="AN226" s="47" t="n">
        <v>0</v>
      </c>
      <c r="AO226" s="47" t="n">
        <v>0</v>
      </c>
      <c r="AP226" s="47" t="n">
        <v>0</v>
      </c>
      <c r="AQ226" s="47" t="n">
        <v>0</v>
      </c>
      <c r="AR226" s="47" t="n">
        <v>0</v>
      </c>
      <c r="AS226" s="47" t="n">
        <v>0</v>
      </c>
      <c r="AT226" s="47" t="n">
        <v>0</v>
      </c>
      <c r="AU226" s="47" t="n">
        <v>0</v>
      </c>
      <c r="AV226" s="47" t="n">
        <v>0</v>
      </c>
      <c r="AW226" s="47" t="n">
        <v>0</v>
      </c>
      <c r="AX226" s="47" t="n">
        <v>0</v>
      </c>
      <c r="AY226" s="47" t="n">
        <v>0</v>
      </c>
      <c r="AZ226" s="47" t="n">
        <v>0</v>
      </c>
      <c r="BA226" s="47" t="n">
        <v>0</v>
      </c>
      <c r="BB226" s="47" t="n">
        <v>0</v>
      </c>
      <c r="BC226" s="47" t="n">
        <v>0</v>
      </c>
      <c r="BD226" s="47" t="n">
        <v>0</v>
      </c>
      <c r="BE226" s="47" t="n">
        <v>0</v>
      </c>
      <c r="BF226" s="47" t="n">
        <v>0</v>
      </c>
      <c r="BG226" s="47" t="n">
        <v>0</v>
      </c>
      <c r="BH226" s="47" t="n">
        <v>0</v>
      </c>
      <c r="BI226" s="47" t="n">
        <v>0</v>
      </c>
      <c r="BJ226" s="47" t="n">
        <v>0</v>
      </c>
    </row>
    <row r="227" outlineLevel="1" ht="15.75" customHeight="1">
      <c r="B227" s="5" t="inlineStr">
        <is>
          <t>SPE</t>
        </is>
      </c>
      <c r="C227" s="68" t="inlineStr">
        <is>
          <t>Upper Middle Market</t>
        </is>
      </c>
      <c r="F227" s="46">
        <f>+SUMIFS($AA227:$DR227,$AA$7:$DR$7,F$7)</f>
        <v/>
      </c>
      <c r="G227" s="46">
        <f>+SUMIFS($AA227:$DR227,$AA$7:$DR$7,G$7)</f>
        <v/>
      </c>
      <c r="H227" s="46">
        <f>+SUMIFS($AA227:$DR227,$AA$7:$DR$7,H$7)</f>
        <v/>
      </c>
      <c r="I227" s="46">
        <f>+SUMIFS($AA227:$DR227,$AA$7:$DR$7,I$7)</f>
        <v/>
      </c>
      <c r="J227" s="46">
        <f>+SUMIFS($AA227:$DR227,$AA$7:$DR$7,J$7)</f>
        <v/>
      </c>
      <c r="K227" s="46">
        <f>+SUMIFS($AA227:$DR227,$AA$7:$DR$7,K$7)</f>
        <v/>
      </c>
      <c r="L227" s="46">
        <f>+SUMIFS($AA227:$DR227,$AA$7:$DR$7,L$7)</f>
        <v/>
      </c>
      <c r="M227" s="46">
        <f>+SUMIFS($AA227:$DR227,$AA$7:$DR$7,M$7)</f>
        <v/>
      </c>
      <c r="AA227" s="47" t="n">
        <v>0</v>
      </c>
      <c r="AB227" s="47" t="n">
        <v>0</v>
      </c>
      <c r="AC227" s="47" t="n">
        <v>0</v>
      </c>
      <c r="AD227" s="47" t="n">
        <v>0</v>
      </c>
      <c r="AE227" s="47" t="n">
        <v>0</v>
      </c>
      <c r="AF227" s="47" t="n">
        <v>0</v>
      </c>
      <c r="AG227" s="47" t="n">
        <v>0.9814533619151536</v>
      </c>
      <c r="AH227" s="47" t="n">
        <v>1.685497560255634</v>
      </c>
      <c r="AI227" s="47" t="n">
        <v>0.04561406711409396</v>
      </c>
      <c r="AJ227" s="47" t="n">
        <v>0.8608398094123534</v>
      </c>
      <c r="AK227" s="47" t="n">
        <v>1.519655710598363</v>
      </c>
      <c r="AL227" s="47" t="n">
        <v>9.391704721323876</v>
      </c>
      <c r="AM227" s="47" t="n">
        <v>17.56869661158747</v>
      </c>
      <c r="AN227" s="47" t="n">
        <v>19.15633678150566</v>
      </c>
      <c r="AO227" s="47" t="n">
        <v>24.83099766910433</v>
      </c>
      <c r="AP227" s="47" t="n">
        <v>36.49921596142913</v>
      </c>
      <c r="AQ227" s="47" t="n">
        <v>34.9655428142153</v>
      </c>
      <c r="AR227" s="47" t="n">
        <v>19.89102933677261</v>
      </c>
      <c r="AS227" s="47" t="n">
        <v>25.36208718835618</v>
      </c>
      <c r="AT227" s="47" t="n">
        <v>24.13814921365766</v>
      </c>
      <c r="AU227" s="47" t="n">
        <v>23.64505756357929</v>
      </c>
      <c r="AV227" s="47" t="n">
        <v>29.70593000111908</v>
      </c>
      <c r="AW227" s="47" t="n">
        <v>16.34537866188451</v>
      </c>
      <c r="AX227" s="47" t="n">
        <v>9.823606773459048</v>
      </c>
      <c r="AY227" s="47" t="n">
        <v>16.21928978499174</v>
      </c>
      <c r="AZ227" s="47" t="n">
        <v>10.04037772558583</v>
      </c>
      <c r="BA227" s="47" t="n">
        <v>4.148438326850733</v>
      </c>
      <c r="BB227" s="47" t="n">
        <v>1.105786539039897</v>
      </c>
      <c r="BC227" s="47" t="n">
        <v>0.1402798705322332</v>
      </c>
      <c r="BD227" s="47" t="n">
        <v>0</v>
      </c>
      <c r="BE227" s="47" t="n">
        <v>0</v>
      </c>
      <c r="BF227" s="47" t="n">
        <v>0</v>
      </c>
      <c r="BG227" s="47" t="n">
        <v>0</v>
      </c>
      <c r="BH227" s="47" t="n">
        <v>0</v>
      </c>
      <c r="BI227" s="47" t="n">
        <v>0.05642504763285685</v>
      </c>
      <c r="BJ227" s="47" t="n">
        <v>0</v>
      </c>
    </row>
    <row r="228" outlineLevel="1" ht="15.75" customHeight="1">
      <c r="B228" s="5" t="inlineStr">
        <is>
          <t>UCP</t>
        </is>
      </c>
      <c r="C228" s="68" t="inlineStr">
        <is>
          <t>Lower Middle Market</t>
        </is>
      </c>
      <c r="F228" s="46">
        <f>+SUMIFS($AA228:$DR228,$AA$7:$DR$7,F$7)</f>
        <v/>
      </c>
      <c r="G228" s="46">
        <f>+SUMIFS($AA228:$DR228,$AA$7:$DR$7,G$7)</f>
        <v/>
      </c>
      <c r="H228" s="46">
        <f>+SUMIFS($AA228:$DR228,$AA$7:$DR$7,H$7)</f>
        <v/>
      </c>
      <c r="I228" s="46">
        <f>+SUMIFS($AA228:$DR228,$AA$7:$DR$7,I$7)</f>
        <v/>
      </c>
      <c r="J228" s="46">
        <f>+SUMIFS($AA228:$DR228,$AA$7:$DR$7,J$7)</f>
        <v/>
      </c>
      <c r="K228" s="46">
        <f>+SUMIFS($AA228:$DR228,$AA$7:$DR$7,K$7)</f>
        <v/>
      </c>
      <c r="L228" s="46">
        <f>+SUMIFS($AA228:$DR228,$AA$7:$DR$7,L$7)</f>
        <v/>
      </c>
      <c r="M228" s="46">
        <f>+SUMIFS($AA228:$DR228,$AA$7:$DR$7,M$7)</f>
        <v/>
      </c>
      <c r="AA228" s="47" t="n">
        <v>0</v>
      </c>
      <c r="AB228" s="47" t="n">
        <v>0</v>
      </c>
      <c r="AC228" s="47" t="n">
        <v>0</v>
      </c>
      <c r="AD228" s="47" t="n">
        <v>0</v>
      </c>
      <c r="AE228" s="47" t="n">
        <v>0</v>
      </c>
      <c r="AF228" s="47" t="n">
        <v>0</v>
      </c>
      <c r="AG228" s="47" t="n">
        <v>1.748648653744487</v>
      </c>
      <c r="AH228" s="47" t="n">
        <v>11.64667074667807</v>
      </c>
      <c r="AI228" s="47" t="n">
        <v>16.64300926606748</v>
      </c>
      <c r="AJ228" s="47" t="n">
        <v>13.07812667597272</v>
      </c>
      <c r="AK228" s="47" t="n">
        <v>14.5317694321821</v>
      </c>
      <c r="AL228" s="47" t="n">
        <v>15.47330554412957</v>
      </c>
      <c r="AM228" s="47" t="n">
        <v>17.61208014416902</v>
      </c>
      <c r="AN228" s="47" t="n">
        <v>17.00645169740588</v>
      </c>
      <c r="AO228" s="47" t="n">
        <v>12.09802493166674</v>
      </c>
      <c r="AP228" s="47" t="n">
        <v>7.578930076214759</v>
      </c>
      <c r="AQ228" s="47" t="n">
        <v>12.69964931557809</v>
      </c>
      <c r="AR228" s="47" t="n">
        <v>3.414644937329097</v>
      </c>
      <c r="AS228" s="47" t="n">
        <v>3.590106653315415</v>
      </c>
      <c r="AT228" s="47" t="n">
        <v>9.471328608139647</v>
      </c>
      <c r="AU228" s="47" t="n">
        <v>4.457992495572594</v>
      </c>
      <c r="AV228" s="47" t="n">
        <v>4.684476068557172</v>
      </c>
      <c r="AW228" s="47" t="n">
        <v>7.023309960757679</v>
      </c>
      <c r="AX228" s="47" t="n">
        <v>0.9646498130959585</v>
      </c>
      <c r="AY228" s="47" t="n">
        <v>0.008299991030682494</v>
      </c>
      <c r="AZ228" s="47" t="n">
        <v>0.1348021082007674</v>
      </c>
      <c r="BA228" s="47" t="n">
        <v>0.02604639508440343</v>
      </c>
      <c r="BB228" s="47" t="n">
        <v>1.097623190691195</v>
      </c>
      <c r="BC228" s="47" t="n">
        <v>0.02805719498603864</v>
      </c>
      <c r="BD228" s="47" t="n">
        <v>0.01135246549370628</v>
      </c>
      <c r="BE228" s="47" t="n">
        <v>0</v>
      </c>
      <c r="BF228" s="47" t="n">
        <v>0</v>
      </c>
      <c r="BG228" s="47" t="n">
        <v>0</v>
      </c>
      <c r="BH228" s="47" t="n">
        <v>0</v>
      </c>
      <c r="BI228" s="47" t="n">
        <v>0</v>
      </c>
      <c r="BJ228" s="47" t="n">
        <v>0</v>
      </c>
    </row>
    <row r="229" outlineLevel="1" ht="15.75" customHeight="1">
      <c r="B229" s="5" t="inlineStr">
        <is>
          <t>WK</t>
        </is>
      </c>
      <c r="C229" s="68" t="inlineStr">
        <is>
          <t>Mega</t>
        </is>
      </c>
      <c r="F229" s="46">
        <f>+SUMIFS($AA229:$DR229,$AA$7:$DR$7,F$7)</f>
        <v/>
      </c>
      <c r="G229" s="46">
        <f>+SUMIFS($AA229:$DR229,$AA$7:$DR$7,G$7)</f>
        <v/>
      </c>
      <c r="H229" s="46">
        <f>+SUMIFS($AA229:$DR229,$AA$7:$DR$7,H$7)</f>
        <v/>
      </c>
      <c r="I229" s="46">
        <f>+SUMIFS($AA229:$DR229,$AA$7:$DR$7,I$7)</f>
        <v/>
      </c>
      <c r="J229" s="46">
        <f>+SUMIFS($AA229:$DR229,$AA$7:$DR$7,J$7)</f>
        <v/>
      </c>
      <c r="K229" s="46">
        <f>+SUMIFS($AA229:$DR229,$AA$7:$DR$7,K$7)</f>
        <v/>
      </c>
      <c r="L229" s="46">
        <f>+SUMIFS($AA229:$DR229,$AA$7:$DR$7,L$7)</f>
        <v/>
      </c>
      <c r="M229" s="46">
        <f>+SUMIFS($AA229:$DR229,$AA$7:$DR$7,M$7)</f>
        <v/>
      </c>
      <c r="AA229" s="47" t="n">
        <v>0</v>
      </c>
      <c r="AB229" s="47" t="n">
        <v>0</v>
      </c>
      <c r="AC229" s="47" t="n">
        <v>0</v>
      </c>
      <c r="AD229" s="47" t="n">
        <v>0</v>
      </c>
      <c r="AE229" s="47" t="n">
        <v>0</v>
      </c>
      <c r="AF229" s="47" t="n">
        <v>0</v>
      </c>
      <c r="AG229" s="47" t="n">
        <v>0</v>
      </c>
      <c r="AH229" s="47" t="n">
        <v>0</v>
      </c>
      <c r="AI229" s="47" t="n">
        <v>0</v>
      </c>
      <c r="AJ229" s="47" t="n">
        <v>0</v>
      </c>
      <c r="AK229" s="47" t="n">
        <v>0</v>
      </c>
      <c r="AL229" s="47" t="n">
        <v>0</v>
      </c>
      <c r="AM229" s="47" t="n">
        <v>0</v>
      </c>
      <c r="AN229" s="47" t="n">
        <v>0</v>
      </c>
      <c r="AO229" s="47" t="n">
        <v>0</v>
      </c>
      <c r="AP229" s="47" t="n">
        <v>0</v>
      </c>
      <c r="AQ229" s="47" t="n">
        <v>0</v>
      </c>
      <c r="AR229" s="47" t="n">
        <v>0</v>
      </c>
      <c r="AS229" s="47" t="n">
        <v>0</v>
      </c>
      <c r="AT229" s="47" t="n">
        <v>0</v>
      </c>
      <c r="AU229" s="47" t="n">
        <v>0</v>
      </c>
      <c r="AV229" s="47" t="n">
        <v>0</v>
      </c>
      <c r="AW229" s="47" t="n">
        <v>0</v>
      </c>
      <c r="AX229" s="47" t="n">
        <v>0</v>
      </c>
      <c r="AY229" s="47" t="n">
        <v>0</v>
      </c>
      <c r="AZ229" s="47" t="n">
        <v>0</v>
      </c>
      <c r="BA229" s="47" t="n">
        <v>0</v>
      </c>
      <c r="BB229" s="47" t="n">
        <v>0</v>
      </c>
      <c r="BC229" s="47" t="n">
        <v>0</v>
      </c>
      <c r="BD229" s="47" t="n">
        <v>0</v>
      </c>
      <c r="BE229" s="47" t="n">
        <v>0</v>
      </c>
      <c r="BF229" s="47" t="n">
        <v>0</v>
      </c>
      <c r="BG229" s="47" t="n">
        <v>0</v>
      </c>
      <c r="BH229" s="47" t="n">
        <v>0</v>
      </c>
      <c r="BI229" s="47" t="n">
        <v>0</v>
      </c>
      <c r="BJ229" s="47" t="n">
        <v>0</v>
      </c>
    </row>
    <row r="230" outlineLevel="1" ht="15.75" customHeight="1">
      <c r="B230" s="5" t="inlineStr">
        <is>
          <t>AAD</t>
        </is>
      </c>
      <c r="C230" s="68" t="inlineStr">
        <is>
          <t>Lower Middle Market</t>
        </is>
      </c>
      <c r="F230" s="46">
        <f>+SUMIFS($AA230:$DR230,$AA$7:$DR$7,F$7)</f>
        <v/>
      </c>
      <c r="G230" s="46">
        <f>+SUMIFS($AA230:$DR230,$AA$7:$DR$7,G$7)</f>
        <v/>
      </c>
      <c r="H230" s="46">
        <f>+SUMIFS($AA230:$DR230,$AA$7:$DR$7,H$7)</f>
        <v/>
      </c>
      <c r="I230" s="46">
        <f>+SUMIFS($AA230:$DR230,$AA$7:$DR$7,I$7)</f>
        <v/>
      </c>
      <c r="J230" s="46">
        <f>+SUMIFS($AA230:$DR230,$AA$7:$DR$7,J$7)</f>
        <v/>
      </c>
      <c r="K230" s="46">
        <f>+SUMIFS($AA230:$DR230,$AA$7:$DR$7,K$7)</f>
        <v/>
      </c>
      <c r="L230" s="46">
        <f>+SUMIFS($AA230:$DR230,$AA$7:$DR$7,L$7)</f>
        <v/>
      </c>
      <c r="M230" s="46">
        <f>+SUMIFS($AA230:$DR230,$AA$7:$DR$7,M$7)</f>
        <v/>
      </c>
      <c r="AA230" s="47" t="n">
        <v>0</v>
      </c>
      <c r="AB230" s="47" t="n">
        <v>0</v>
      </c>
      <c r="AC230" s="47" t="n">
        <v>0</v>
      </c>
      <c r="AD230" s="47" t="n">
        <v>0</v>
      </c>
      <c r="AE230" s="47" t="n">
        <v>0</v>
      </c>
      <c r="AF230" s="47" t="n">
        <v>0</v>
      </c>
      <c r="AG230" s="47" t="n">
        <v>0</v>
      </c>
      <c r="AH230" s="47" t="n">
        <v>0</v>
      </c>
      <c r="AI230" s="47" t="n">
        <v>0</v>
      </c>
      <c r="AJ230" s="47" t="n">
        <v>0</v>
      </c>
      <c r="AK230" s="47" t="n">
        <v>0</v>
      </c>
      <c r="AL230" s="47" t="n">
        <v>0</v>
      </c>
      <c r="AM230" s="47" t="n">
        <v>0</v>
      </c>
      <c r="AN230" s="47" t="n">
        <v>0</v>
      </c>
      <c r="AO230" s="47" t="n">
        <v>0</v>
      </c>
      <c r="AP230" s="47" t="n">
        <v>0</v>
      </c>
      <c r="AQ230" s="47" t="n">
        <v>0</v>
      </c>
      <c r="AR230" s="47" t="n">
        <v>0</v>
      </c>
      <c r="AS230" s="47" t="n">
        <v>0</v>
      </c>
      <c r="AT230" s="47" t="n">
        <v>0</v>
      </c>
      <c r="AU230" s="47" t="n">
        <v>0</v>
      </c>
      <c r="AV230" s="47" t="n">
        <v>0</v>
      </c>
      <c r="AW230" s="47" t="n">
        <v>0</v>
      </c>
      <c r="AX230" s="47" t="n">
        <v>0</v>
      </c>
      <c r="AY230" s="47" t="n">
        <v>0</v>
      </c>
      <c r="AZ230" s="47" t="n">
        <v>0</v>
      </c>
      <c r="BA230" s="47" t="n">
        <v>0</v>
      </c>
      <c r="BB230" s="47" t="n">
        <v>0</v>
      </c>
      <c r="BC230" s="47" t="n">
        <v>0</v>
      </c>
      <c r="BD230" s="47" t="n">
        <v>0</v>
      </c>
      <c r="BE230" s="47" t="n">
        <v>0</v>
      </c>
      <c r="BF230" s="47" t="n">
        <v>0</v>
      </c>
      <c r="BG230" s="47" t="n">
        <v>0</v>
      </c>
      <c r="BH230" s="47" t="n">
        <v>0</v>
      </c>
      <c r="BI230" s="47" t="n">
        <v>0</v>
      </c>
      <c r="BJ230" s="47" t="n">
        <v>0</v>
      </c>
    </row>
    <row r="231" outlineLevel="1" ht="15.75" customHeight="1">
      <c r="B231" s="5" t="inlineStr">
        <is>
          <t>ACP</t>
        </is>
      </c>
      <c r="C231" s="68" t="inlineStr">
        <is>
          <t>Lower Middle Market</t>
        </is>
      </c>
      <c r="F231" s="46">
        <f>+SUMIFS($AA231:$DR231,$AA$7:$DR$7,F$7)</f>
        <v/>
      </c>
      <c r="G231" s="46">
        <f>+SUMIFS($AA231:$DR231,$AA$7:$DR$7,G$7)</f>
        <v/>
      </c>
      <c r="H231" s="46">
        <f>+SUMIFS($AA231:$DR231,$AA$7:$DR$7,H$7)</f>
        <v/>
      </c>
      <c r="I231" s="46">
        <f>+SUMIFS($AA231:$DR231,$AA$7:$DR$7,I$7)</f>
        <v/>
      </c>
      <c r="J231" s="46">
        <f>+SUMIFS($AA231:$DR231,$AA$7:$DR$7,J$7)</f>
        <v/>
      </c>
      <c r="K231" s="46">
        <f>+SUMIFS($AA231:$DR231,$AA$7:$DR$7,K$7)</f>
        <v/>
      </c>
      <c r="L231" s="46">
        <f>+SUMIFS($AA231:$DR231,$AA$7:$DR$7,L$7)</f>
        <v/>
      </c>
      <c r="M231" s="46">
        <f>+SUMIFS($AA231:$DR231,$AA$7:$DR$7,M$7)</f>
        <v/>
      </c>
      <c r="AA231" s="47" t="n">
        <v>0</v>
      </c>
      <c r="AB231" s="47" t="n">
        <v>0</v>
      </c>
      <c r="AC231" s="47" t="n">
        <v>0</v>
      </c>
      <c r="AD231" s="47" t="n">
        <v>0</v>
      </c>
      <c r="AE231" s="47" t="n">
        <v>0</v>
      </c>
      <c r="AF231" s="47" t="n">
        <v>0</v>
      </c>
      <c r="AG231" s="47" t="n">
        <v>0</v>
      </c>
      <c r="AH231" s="47" t="n">
        <v>0</v>
      </c>
      <c r="AI231" s="47" t="n">
        <v>0</v>
      </c>
      <c r="AJ231" s="47" t="n">
        <v>0</v>
      </c>
      <c r="AK231" s="47" t="n">
        <v>0</v>
      </c>
      <c r="AL231" s="47" t="n">
        <v>0</v>
      </c>
      <c r="AM231" s="47" t="n">
        <v>0</v>
      </c>
      <c r="AN231" s="47" t="n">
        <v>0</v>
      </c>
      <c r="AO231" s="47" t="n">
        <v>0</v>
      </c>
      <c r="AP231" s="47" t="n">
        <v>0</v>
      </c>
      <c r="AQ231" s="47" t="n">
        <v>0</v>
      </c>
      <c r="AR231" s="47" t="n">
        <v>0</v>
      </c>
      <c r="AS231" s="47" t="n">
        <v>0</v>
      </c>
      <c r="AT231" s="47" t="n">
        <v>0</v>
      </c>
      <c r="AU231" s="47" t="n">
        <v>0</v>
      </c>
      <c r="AV231" s="47" t="n">
        <v>0</v>
      </c>
      <c r="AW231" s="47" t="n">
        <v>0</v>
      </c>
      <c r="AX231" s="47" t="n">
        <v>0</v>
      </c>
      <c r="AY231" s="47" t="n">
        <v>0</v>
      </c>
      <c r="AZ231" s="47" t="n">
        <v>0</v>
      </c>
      <c r="BA231" s="47" t="n">
        <v>0</v>
      </c>
      <c r="BB231" s="47" t="n">
        <v>0</v>
      </c>
      <c r="BC231" s="47" t="n">
        <v>0</v>
      </c>
      <c r="BD231" s="47" t="n">
        <v>0</v>
      </c>
      <c r="BE231" s="47" t="n">
        <v>0</v>
      </c>
      <c r="BF231" s="47" t="n">
        <v>0</v>
      </c>
      <c r="BG231" s="47" t="n">
        <v>0</v>
      </c>
      <c r="BH231" s="47" t="n">
        <v>0</v>
      </c>
      <c r="BI231" s="47" t="n">
        <v>0</v>
      </c>
      <c r="BJ231" s="47" t="n">
        <v>0</v>
      </c>
    </row>
    <row r="232" outlineLevel="1" ht="15.75" customHeight="1">
      <c r="B232" s="5" t="inlineStr">
        <is>
          <t>AOA</t>
        </is>
      </c>
      <c r="C232" s="68" t="inlineStr">
        <is>
          <t>Lower Middle Market</t>
        </is>
      </c>
      <c r="F232" s="46">
        <f>+SUMIFS($AA232:$DR232,$AA$7:$DR$7,F$7)</f>
        <v/>
      </c>
      <c r="G232" s="46">
        <f>+SUMIFS($AA232:$DR232,$AA$7:$DR$7,G$7)</f>
        <v/>
      </c>
      <c r="H232" s="46">
        <f>+SUMIFS($AA232:$DR232,$AA$7:$DR$7,H$7)</f>
        <v/>
      </c>
      <c r="I232" s="46">
        <f>+SUMIFS($AA232:$DR232,$AA$7:$DR$7,I$7)</f>
        <v/>
      </c>
      <c r="J232" s="46">
        <f>+SUMIFS($AA232:$DR232,$AA$7:$DR$7,J$7)</f>
        <v/>
      </c>
      <c r="K232" s="46">
        <f>+SUMIFS($AA232:$DR232,$AA$7:$DR$7,K$7)</f>
        <v/>
      </c>
      <c r="L232" s="46">
        <f>+SUMIFS($AA232:$DR232,$AA$7:$DR$7,L$7)</f>
        <v/>
      </c>
      <c r="M232" s="46">
        <f>+SUMIFS($AA232:$DR232,$AA$7:$DR$7,M$7)</f>
        <v/>
      </c>
      <c r="AA232" s="47" t="n">
        <v>0</v>
      </c>
      <c r="AB232" s="47" t="n">
        <v>0</v>
      </c>
      <c r="AC232" s="47" t="n">
        <v>0</v>
      </c>
      <c r="AD232" s="47" t="n">
        <v>0</v>
      </c>
      <c r="AE232" s="47" t="n">
        <v>0</v>
      </c>
      <c r="AF232" s="47" t="n">
        <v>0</v>
      </c>
      <c r="AG232" s="47" t="n">
        <v>0</v>
      </c>
      <c r="AH232" s="47" t="n">
        <v>0</v>
      </c>
      <c r="AI232" s="47" t="n">
        <v>0</v>
      </c>
      <c r="AJ232" s="47" t="n">
        <v>0</v>
      </c>
      <c r="AK232" s="47" t="n">
        <v>0</v>
      </c>
      <c r="AL232" s="47" t="n">
        <v>0</v>
      </c>
      <c r="AM232" s="47" t="n">
        <v>0</v>
      </c>
      <c r="AN232" s="47" t="n">
        <v>0</v>
      </c>
      <c r="AO232" s="47" t="n">
        <v>0</v>
      </c>
      <c r="AP232" s="47" t="n">
        <v>0</v>
      </c>
      <c r="AQ232" s="47" t="n">
        <v>0</v>
      </c>
      <c r="AR232" s="47" t="n">
        <v>0</v>
      </c>
      <c r="AS232" s="47" t="n">
        <v>0</v>
      </c>
      <c r="AT232" s="47" t="n">
        <v>0</v>
      </c>
      <c r="AU232" s="47" t="n">
        <v>0</v>
      </c>
      <c r="AV232" s="47" t="n">
        <v>0</v>
      </c>
      <c r="AW232" s="47" t="n">
        <v>0</v>
      </c>
      <c r="AX232" s="47" t="n">
        <v>0</v>
      </c>
      <c r="AY232" s="47" t="n">
        <v>0</v>
      </c>
      <c r="AZ232" s="47" t="n">
        <v>0</v>
      </c>
      <c r="BA232" s="47" t="n">
        <v>0</v>
      </c>
      <c r="BB232" s="47" t="n">
        <v>0</v>
      </c>
      <c r="BC232" s="47" t="n">
        <v>0</v>
      </c>
      <c r="BD232" s="47" t="n">
        <v>0</v>
      </c>
      <c r="BE232" s="47" t="n">
        <v>0</v>
      </c>
      <c r="BF232" s="47" t="n">
        <v>0</v>
      </c>
      <c r="BG232" s="47" t="n">
        <v>0</v>
      </c>
      <c r="BH232" s="47" t="n">
        <v>0</v>
      </c>
      <c r="BI232" s="47" t="n">
        <v>0</v>
      </c>
      <c r="BJ232" s="47" t="n">
        <v>0</v>
      </c>
    </row>
    <row r="233" outlineLevel="1" ht="15.75" customHeight="1">
      <c r="B233" s="5" t="inlineStr">
        <is>
          <t>ASHA</t>
        </is>
      </c>
      <c r="C233" s="68" t="inlineStr">
        <is>
          <t>Lower Middle Market</t>
        </is>
      </c>
      <c r="F233" s="46">
        <f>+SUMIFS($AA233:$DR233,$AA$7:$DR$7,F$7)</f>
        <v/>
      </c>
      <c r="G233" s="46">
        <f>+SUMIFS($AA233:$DR233,$AA$7:$DR$7,G$7)</f>
        <v/>
      </c>
      <c r="H233" s="46">
        <f>+SUMIFS($AA233:$DR233,$AA$7:$DR$7,H$7)</f>
        <v/>
      </c>
      <c r="I233" s="46">
        <f>+SUMIFS($AA233:$DR233,$AA$7:$DR$7,I$7)</f>
        <v/>
      </c>
      <c r="J233" s="46">
        <f>+SUMIFS($AA233:$DR233,$AA$7:$DR$7,J$7)</f>
        <v/>
      </c>
      <c r="K233" s="46">
        <f>+SUMIFS($AA233:$DR233,$AA$7:$DR$7,K$7)</f>
        <v/>
      </c>
      <c r="L233" s="46">
        <f>+SUMIFS($AA233:$DR233,$AA$7:$DR$7,L$7)</f>
        <v/>
      </c>
      <c r="M233" s="46">
        <f>+SUMIFS($AA233:$DR233,$AA$7:$DR$7,M$7)</f>
        <v/>
      </c>
      <c r="AA233" s="47" t="n">
        <v>0</v>
      </c>
      <c r="AB233" s="47" t="n">
        <v>0</v>
      </c>
      <c r="AC233" s="47" t="n">
        <v>0</v>
      </c>
      <c r="AD233" s="47" t="n">
        <v>0</v>
      </c>
      <c r="AE233" s="47" t="n">
        <v>0</v>
      </c>
      <c r="AF233" s="47" t="n">
        <v>0</v>
      </c>
      <c r="AG233" s="47" t="n">
        <v>0</v>
      </c>
      <c r="AH233" s="47" t="n">
        <v>0</v>
      </c>
      <c r="AI233" s="47" t="n">
        <v>0</v>
      </c>
      <c r="AJ233" s="47" t="n">
        <v>0</v>
      </c>
      <c r="AK233" s="47" t="n">
        <v>0</v>
      </c>
      <c r="AL233" s="47" t="n">
        <v>0</v>
      </c>
      <c r="AM233" s="47" t="n">
        <v>0</v>
      </c>
      <c r="AN233" s="47" t="n">
        <v>0</v>
      </c>
      <c r="AO233" s="47" t="n">
        <v>0</v>
      </c>
      <c r="AP233" s="47" t="n">
        <v>0</v>
      </c>
      <c r="AQ233" s="47" t="n">
        <v>0</v>
      </c>
      <c r="AR233" s="47" t="n">
        <v>0</v>
      </c>
      <c r="AS233" s="47" t="n">
        <v>0</v>
      </c>
      <c r="AT233" s="47" t="n">
        <v>0</v>
      </c>
      <c r="AU233" s="47" t="n">
        <v>0</v>
      </c>
      <c r="AV233" s="47" t="n">
        <v>0</v>
      </c>
      <c r="AW233" s="47" t="n">
        <v>0</v>
      </c>
      <c r="AX233" s="47" t="n">
        <v>0</v>
      </c>
      <c r="AY233" s="47" t="n">
        <v>0</v>
      </c>
      <c r="AZ233" s="47" t="n">
        <v>0</v>
      </c>
      <c r="BA233" s="47" t="n">
        <v>0</v>
      </c>
      <c r="BB233" s="47" t="n">
        <v>0</v>
      </c>
      <c r="BC233" s="47" t="n">
        <v>0</v>
      </c>
      <c r="BD233" s="47" t="n">
        <v>0</v>
      </c>
      <c r="BE233" s="47" t="n">
        <v>0</v>
      </c>
      <c r="BF233" s="47" t="n">
        <v>0</v>
      </c>
      <c r="BG233" s="47" t="n">
        <v>0</v>
      </c>
      <c r="BH233" s="47" t="n">
        <v>0</v>
      </c>
      <c r="BI233" s="47" t="n">
        <v>0</v>
      </c>
      <c r="BJ233" s="47" t="n">
        <v>0</v>
      </c>
    </row>
    <row r="234" outlineLevel="1" ht="15.75" customHeight="1">
      <c r="B234" s="5" t="inlineStr">
        <is>
          <t>ECRI</t>
        </is>
      </c>
      <c r="C234" s="68" t="inlineStr">
        <is>
          <t>Lower Middle Market</t>
        </is>
      </c>
      <c r="F234" s="46">
        <f>+SUMIFS($AA234:$DR234,$AA$7:$DR$7,F$7)</f>
        <v/>
      </c>
      <c r="G234" s="46">
        <f>+SUMIFS($AA234:$DR234,$AA$7:$DR$7,G$7)</f>
        <v/>
      </c>
      <c r="H234" s="46">
        <f>+SUMIFS($AA234:$DR234,$AA$7:$DR$7,H$7)</f>
        <v/>
      </c>
      <c r="I234" s="46">
        <f>+SUMIFS($AA234:$DR234,$AA$7:$DR$7,I$7)</f>
        <v/>
      </c>
      <c r="J234" s="46">
        <f>+SUMIFS($AA234:$DR234,$AA$7:$DR$7,J$7)</f>
        <v/>
      </c>
      <c r="K234" s="46">
        <f>+SUMIFS($AA234:$DR234,$AA$7:$DR$7,K$7)</f>
        <v/>
      </c>
      <c r="L234" s="46">
        <f>+SUMIFS($AA234:$DR234,$AA$7:$DR$7,L$7)</f>
        <v/>
      </c>
      <c r="M234" s="46">
        <f>+SUMIFS($AA234:$DR234,$AA$7:$DR$7,M$7)</f>
        <v/>
      </c>
      <c r="AA234" s="47" t="n">
        <v>0</v>
      </c>
      <c r="AB234" s="47" t="n">
        <v>0</v>
      </c>
      <c r="AC234" s="47" t="n">
        <v>0</v>
      </c>
      <c r="AD234" s="47" t="n">
        <v>0</v>
      </c>
      <c r="AE234" s="47" t="n">
        <v>0</v>
      </c>
      <c r="AF234" s="47" t="n">
        <v>0</v>
      </c>
      <c r="AG234" s="47" t="n">
        <v>0</v>
      </c>
      <c r="AH234" s="47" t="n">
        <v>0</v>
      </c>
      <c r="AI234" s="47" t="n">
        <v>0</v>
      </c>
      <c r="AJ234" s="47" t="n">
        <v>0</v>
      </c>
      <c r="AK234" s="47" t="n">
        <v>0</v>
      </c>
      <c r="AL234" s="47" t="n">
        <v>0</v>
      </c>
      <c r="AM234" s="47" t="n">
        <v>0</v>
      </c>
      <c r="AN234" s="47" t="n">
        <v>0</v>
      </c>
      <c r="AO234" s="47" t="n">
        <v>0</v>
      </c>
      <c r="AP234" s="47" t="n">
        <v>0</v>
      </c>
      <c r="AQ234" s="47" t="n">
        <v>0</v>
      </c>
      <c r="AR234" s="47" t="n">
        <v>0</v>
      </c>
      <c r="AS234" s="47" t="n">
        <v>0</v>
      </c>
      <c r="AT234" s="47" t="n">
        <v>0</v>
      </c>
      <c r="AU234" s="47" t="n">
        <v>0</v>
      </c>
      <c r="AV234" s="47" t="n">
        <v>0</v>
      </c>
      <c r="AW234" s="47" t="n">
        <v>0</v>
      </c>
      <c r="AX234" s="47" t="n">
        <v>0</v>
      </c>
      <c r="AY234" s="47" t="n">
        <v>0</v>
      </c>
      <c r="AZ234" s="47" t="n">
        <v>0</v>
      </c>
      <c r="BA234" s="47" t="n">
        <v>0</v>
      </c>
      <c r="BB234" s="47" t="n">
        <v>0</v>
      </c>
      <c r="BC234" s="47" t="n">
        <v>0</v>
      </c>
      <c r="BD234" s="47" t="n">
        <v>0</v>
      </c>
      <c r="BE234" s="47" t="n">
        <v>0</v>
      </c>
      <c r="BF234" s="47" t="n">
        <v>0</v>
      </c>
      <c r="BG234" s="47" t="n">
        <v>0</v>
      </c>
      <c r="BH234" s="47" t="n">
        <v>0</v>
      </c>
      <c r="BI234" s="47" t="n">
        <v>0</v>
      </c>
      <c r="BJ234" s="47" t="n">
        <v>0</v>
      </c>
    </row>
    <row r="235" outlineLevel="1" ht="15.75" customHeight="1">
      <c r="B235" s="5" t="inlineStr">
        <is>
          <t>PCOUK</t>
        </is>
      </c>
      <c r="C235" s="68" t="inlineStr">
        <is>
          <t>Lower Middle Market</t>
        </is>
      </c>
      <c r="F235" s="46">
        <f>+SUMIFS($AA235:$DR235,$AA$7:$DR$7,F$7)</f>
        <v/>
      </c>
      <c r="G235" s="46">
        <f>+SUMIFS($AA235:$DR235,$AA$7:$DR$7,G$7)</f>
        <v/>
      </c>
      <c r="H235" s="46">
        <f>+SUMIFS($AA235:$DR235,$AA$7:$DR$7,H$7)</f>
        <v/>
      </c>
      <c r="I235" s="46">
        <f>+SUMIFS($AA235:$DR235,$AA$7:$DR$7,I$7)</f>
        <v/>
      </c>
      <c r="J235" s="46">
        <f>+SUMIFS($AA235:$DR235,$AA$7:$DR$7,J$7)</f>
        <v/>
      </c>
      <c r="K235" s="46">
        <f>+SUMIFS($AA235:$DR235,$AA$7:$DR$7,K$7)</f>
        <v/>
      </c>
      <c r="L235" s="46">
        <f>+SUMIFS($AA235:$DR235,$AA$7:$DR$7,L$7)</f>
        <v/>
      </c>
      <c r="M235" s="46">
        <f>+SUMIFS($AA235:$DR235,$AA$7:$DR$7,M$7)</f>
        <v/>
      </c>
      <c r="AA235" s="47" t="n">
        <v>0</v>
      </c>
      <c r="AB235" s="47" t="n">
        <v>0</v>
      </c>
      <c r="AC235" s="47" t="n">
        <v>0</v>
      </c>
      <c r="AD235" s="47" t="n">
        <v>0</v>
      </c>
      <c r="AE235" s="47" t="n">
        <v>0</v>
      </c>
      <c r="AF235" s="47" t="n">
        <v>0</v>
      </c>
      <c r="AG235" s="47" t="n">
        <v>0</v>
      </c>
      <c r="AH235" s="47" t="n">
        <v>0</v>
      </c>
      <c r="AI235" s="47" t="n">
        <v>0</v>
      </c>
      <c r="AJ235" s="47" t="n">
        <v>0</v>
      </c>
      <c r="AK235" s="47" t="n">
        <v>0</v>
      </c>
      <c r="AL235" s="47" t="n">
        <v>0</v>
      </c>
      <c r="AM235" s="47" t="n">
        <v>0</v>
      </c>
      <c r="AN235" s="47" t="n">
        <v>0</v>
      </c>
      <c r="AO235" s="47" t="n">
        <v>0</v>
      </c>
      <c r="AP235" s="47" t="n">
        <v>0</v>
      </c>
      <c r="AQ235" s="47" t="n">
        <v>0</v>
      </c>
      <c r="AR235" s="47" t="n">
        <v>0</v>
      </c>
      <c r="AS235" s="47" t="n">
        <v>0</v>
      </c>
      <c r="AT235" s="47" t="n">
        <v>0</v>
      </c>
      <c r="AU235" s="47" t="n">
        <v>0</v>
      </c>
      <c r="AV235" s="47" t="n">
        <v>0</v>
      </c>
      <c r="AW235" s="47" t="n">
        <v>0</v>
      </c>
      <c r="AX235" s="47" t="n">
        <v>0</v>
      </c>
      <c r="AY235" s="47" t="n">
        <v>0</v>
      </c>
      <c r="AZ235" s="47" t="n">
        <v>0</v>
      </c>
      <c r="BA235" s="47" t="n">
        <v>0</v>
      </c>
      <c r="BB235" s="47" t="n">
        <v>0</v>
      </c>
      <c r="BC235" s="47" t="n">
        <v>0</v>
      </c>
      <c r="BD235" s="47" t="n">
        <v>0</v>
      </c>
      <c r="BE235" s="47" t="n">
        <v>0</v>
      </c>
      <c r="BF235" s="47" t="n">
        <v>0</v>
      </c>
      <c r="BG235" s="47" t="n">
        <v>0</v>
      </c>
      <c r="BH235" s="47" t="n">
        <v>0</v>
      </c>
      <c r="BI235" s="47" t="n">
        <v>0</v>
      </c>
      <c r="BJ235" s="47" t="n">
        <v>0</v>
      </c>
    </row>
    <row r="236" outlineLevel="1" ht="15.75" customHeight="1">
      <c r="B236" s="5" t="inlineStr">
        <is>
          <t>TISTA</t>
        </is>
      </c>
      <c r="C236" s="68" t="inlineStr">
        <is>
          <t>Lower Middle Market</t>
        </is>
      </c>
      <c r="F236" s="46">
        <f>+SUMIFS($AA236:$DR236,$AA$7:$DR$7,F$7)</f>
        <v/>
      </c>
      <c r="G236" s="46">
        <f>+SUMIFS($AA236:$DR236,$AA$7:$DR$7,G$7)</f>
        <v/>
      </c>
      <c r="H236" s="46">
        <f>+SUMIFS($AA236:$DR236,$AA$7:$DR$7,H$7)</f>
        <v/>
      </c>
      <c r="I236" s="46">
        <f>+SUMIFS($AA236:$DR236,$AA$7:$DR$7,I$7)</f>
        <v/>
      </c>
      <c r="J236" s="46">
        <f>+SUMIFS($AA236:$DR236,$AA$7:$DR$7,J$7)</f>
        <v/>
      </c>
      <c r="K236" s="46">
        <f>+SUMIFS($AA236:$DR236,$AA$7:$DR$7,K$7)</f>
        <v/>
      </c>
      <c r="L236" s="46">
        <f>+SUMIFS($AA236:$DR236,$AA$7:$DR$7,L$7)</f>
        <v/>
      </c>
      <c r="M236" s="46">
        <f>+SUMIFS($AA236:$DR236,$AA$7:$DR$7,M$7)</f>
        <v/>
      </c>
      <c r="AA236" s="47" t="n">
        <v>0</v>
      </c>
      <c r="AB236" s="47" t="n">
        <v>0</v>
      </c>
      <c r="AC236" s="47" t="n">
        <v>0</v>
      </c>
      <c r="AD236" s="47" t="n">
        <v>0</v>
      </c>
      <c r="AE236" s="47" t="n">
        <v>0</v>
      </c>
      <c r="AF236" s="47" t="n">
        <v>0</v>
      </c>
      <c r="AG236" s="47" t="n">
        <v>0</v>
      </c>
      <c r="AH236" s="47" t="n">
        <v>0</v>
      </c>
      <c r="AI236" s="47" t="n">
        <v>0</v>
      </c>
      <c r="AJ236" s="47" t="n">
        <v>0</v>
      </c>
      <c r="AK236" s="47" t="n">
        <v>0</v>
      </c>
      <c r="AL236" s="47" t="n">
        <v>0</v>
      </c>
      <c r="AM236" s="47" t="n">
        <v>0</v>
      </c>
      <c r="AN236" s="47" t="n">
        <v>0</v>
      </c>
      <c r="AO236" s="47" t="n">
        <v>0</v>
      </c>
      <c r="AP236" s="47" t="n">
        <v>0</v>
      </c>
      <c r="AQ236" s="47" t="n">
        <v>0</v>
      </c>
      <c r="AR236" s="47" t="n">
        <v>0</v>
      </c>
      <c r="AS236" s="47" t="n">
        <v>0</v>
      </c>
      <c r="AT236" s="47" t="n">
        <v>0</v>
      </c>
      <c r="AU236" s="47" t="n">
        <v>0</v>
      </c>
      <c r="AV236" s="47" t="n">
        <v>0</v>
      </c>
      <c r="AW236" s="47" t="n">
        <v>0</v>
      </c>
      <c r="AX236" s="47" t="n">
        <v>0</v>
      </c>
      <c r="AY236" s="47" t="n">
        <v>0</v>
      </c>
      <c r="AZ236" s="47" t="n">
        <v>0</v>
      </c>
      <c r="BA236" s="47" t="n">
        <v>0</v>
      </c>
      <c r="BB236" s="47" t="n">
        <v>0</v>
      </c>
      <c r="BC236" s="47" t="n">
        <v>0</v>
      </c>
      <c r="BD236" s="47" t="n">
        <v>0</v>
      </c>
      <c r="BE236" s="47" t="n">
        <v>0</v>
      </c>
      <c r="BF236" s="47" t="n">
        <v>0</v>
      </c>
      <c r="BG236" s="47" t="n">
        <v>0</v>
      </c>
      <c r="BH236" s="47" t="n">
        <v>0</v>
      </c>
      <c r="BI236" s="47" t="n">
        <v>0</v>
      </c>
      <c r="BJ236" s="47" t="n">
        <v>0</v>
      </c>
    </row>
    <row r="237" outlineLevel="1" ht="15.75" customHeight="1">
      <c r="B237" s="5" t="inlineStr">
        <is>
          <t>UCSF</t>
        </is>
      </c>
      <c r="C237" s="68" t="inlineStr">
        <is>
          <t>Upper Middle Market</t>
        </is>
      </c>
      <c r="F237" s="46">
        <f>+SUMIFS($AA237:$DR237,$AA$7:$DR$7,F$7)</f>
        <v/>
      </c>
      <c r="G237" s="46">
        <f>+SUMIFS($AA237:$DR237,$AA$7:$DR$7,G$7)</f>
        <v/>
      </c>
      <c r="H237" s="46">
        <f>+SUMIFS($AA237:$DR237,$AA$7:$DR$7,H$7)</f>
        <v/>
      </c>
      <c r="I237" s="46">
        <f>+SUMIFS($AA237:$DR237,$AA$7:$DR$7,I$7)</f>
        <v/>
      </c>
      <c r="J237" s="46">
        <f>+SUMIFS($AA237:$DR237,$AA$7:$DR$7,J$7)</f>
        <v/>
      </c>
      <c r="K237" s="46">
        <f>+SUMIFS($AA237:$DR237,$AA$7:$DR$7,K$7)</f>
        <v/>
      </c>
      <c r="L237" s="46">
        <f>+SUMIFS($AA237:$DR237,$AA$7:$DR$7,L$7)</f>
        <v/>
      </c>
      <c r="M237" s="46">
        <f>+SUMIFS($AA237:$DR237,$AA$7:$DR$7,M$7)</f>
        <v/>
      </c>
      <c r="AA237" s="47" t="n">
        <v>0</v>
      </c>
      <c r="AB237" s="47" t="n">
        <v>0</v>
      </c>
      <c r="AC237" s="47" t="n">
        <v>0</v>
      </c>
      <c r="AD237" s="47" t="n">
        <v>0</v>
      </c>
      <c r="AE237" s="47" t="n">
        <v>0</v>
      </c>
      <c r="AF237" s="47" t="n">
        <v>0</v>
      </c>
      <c r="AG237" s="47" t="n">
        <v>0</v>
      </c>
      <c r="AH237" s="47" t="n">
        <v>0</v>
      </c>
      <c r="AI237" s="47" t="n">
        <v>0</v>
      </c>
      <c r="AJ237" s="47" t="n">
        <v>0</v>
      </c>
      <c r="AK237" s="47" t="n">
        <v>0</v>
      </c>
      <c r="AL237" s="47" t="n">
        <v>0</v>
      </c>
      <c r="AM237" s="47" t="n">
        <v>0</v>
      </c>
      <c r="AN237" s="47" t="n">
        <v>0</v>
      </c>
      <c r="AO237" s="47" t="n">
        <v>0</v>
      </c>
      <c r="AP237" s="47" t="n">
        <v>0</v>
      </c>
      <c r="AQ237" s="47" t="n">
        <v>0</v>
      </c>
      <c r="AR237" s="47" t="n">
        <v>0</v>
      </c>
      <c r="AS237" s="47" t="n">
        <v>0</v>
      </c>
      <c r="AT237" s="47" t="n">
        <v>0</v>
      </c>
      <c r="AU237" s="47" t="n">
        <v>0</v>
      </c>
      <c r="AV237" s="47" t="n">
        <v>0</v>
      </c>
      <c r="AW237" s="47" t="n">
        <v>0</v>
      </c>
      <c r="AX237" s="47" t="n">
        <v>0</v>
      </c>
      <c r="AY237" s="47" t="n">
        <v>0</v>
      </c>
      <c r="AZ237" s="47" t="n">
        <v>0</v>
      </c>
      <c r="BA237" s="47" t="n">
        <v>0</v>
      </c>
      <c r="BB237" s="47" t="n">
        <v>0</v>
      </c>
      <c r="BC237" s="47" t="n">
        <v>0</v>
      </c>
      <c r="BD237" s="47" t="n">
        <v>0</v>
      </c>
      <c r="BE237" s="47" t="n">
        <v>0</v>
      </c>
      <c r="BF237" s="47" t="n">
        <v>0</v>
      </c>
      <c r="BG237" s="47" t="n">
        <v>0</v>
      </c>
      <c r="BH237" s="47" t="n">
        <v>0</v>
      </c>
      <c r="BI237" s="47" t="n">
        <v>0</v>
      </c>
      <c r="BJ237" s="47" t="n">
        <v>0</v>
      </c>
    </row>
    <row r="238" outlineLevel="1" ht="15.75" customHeight="1">
      <c r="B238" s="5" t="inlineStr">
        <is>
          <t>OTHER</t>
        </is>
      </c>
      <c r="C238" s="68" t="inlineStr">
        <is>
          <t>Lower Middle Market</t>
        </is>
      </c>
      <c r="F238" s="46">
        <f>+SUMIFS($AA238:$DR238,$AA$7:$DR$7,F$7)</f>
        <v/>
      </c>
      <c r="G238" s="46">
        <f>+SUMIFS($AA238:$DR238,$AA$7:$DR$7,G$7)</f>
        <v/>
      </c>
      <c r="H238" s="46">
        <f>+SUMIFS($AA238:$DR238,$AA$7:$DR$7,H$7)</f>
        <v/>
      </c>
      <c r="I238" s="46">
        <f>+SUMIFS($AA238:$DR238,$AA$7:$DR$7,I$7)</f>
        <v/>
      </c>
      <c r="J238" s="46">
        <f>+SUMIFS($AA238:$DR238,$AA$7:$DR$7,J$7)</f>
        <v/>
      </c>
      <c r="K238" s="46">
        <f>+SUMIFS($AA238:$DR238,$AA$7:$DR$7,K$7)</f>
        <v/>
      </c>
      <c r="L238" s="46">
        <f>+SUMIFS($AA238:$DR238,$AA$7:$DR$7,L$7)</f>
        <v/>
      </c>
      <c r="M238" s="46">
        <f>+SUMIFS($AA238:$DR238,$AA$7:$DR$7,M$7)</f>
        <v/>
      </c>
      <c r="AA238" s="47" t="n">
        <v>0</v>
      </c>
      <c r="AB238" s="47" t="n">
        <v>0</v>
      </c>
      <c r="AC238" s="47" t="n">
        <v>0</v>
      </c>
      <c r="AD238" s="47" t="n">
        <v>0</v>
      </c>
      <c r="AE238" s="47" t="n">
        <v>0</v>
      </c>
      <c r="AF238" s="47" t="n">
        <v>0</v>
      </c>
      <c r="AG238" s="47" t="n">
        <v>0</v>
      </c>
      <c r="AH238" s="47" t="n">
        <v>0</v>
      </c>
      <c r="AI238" s="47" t="n">
        <v>0</v>
      </c>
      <c r="AJ238" s="47" t="n">
        <v>0</v>
      </c>
      <c r="AK238" s="47" t="n">
        <v>0</v>
      </c>
      <c r="AL238" s="47" t="n">
        <v>0</v>
      </c>
      <c r="AM238" s="47" t="n">
        <v>0</v>
      </c>
      <c r="AN238" s="47" t="n">
        <v>0</v>
      </c>
      <c r="AO238" s="47" t="n">
        <v>0</v>
      </c>
      <c r="AP238" s="47" t="n">
        <v>0</v>
      </c>
      <c r="AQ238" s="47" t="n">
        <v>0</v>
      </c>
      <c r="AR238" s="47" t="n">
        <v>0</v>
      </c>
      <c r="AS238" s="47" t="n">
        <v>0</v>
      </c>
      <c r="AT238" s="47" t="n">
        <v>0</v>
      </c>
      <c r="AU238" s="47" t="n">
        <v>0</v>
      </c>
      <c r="AV238" s="47" t="n">
        <v>0</v>
      </c>
      <c r="AW238" s="47" t="n">
        <v>0</v>
      </c>
      <c r="AX238" s="47" t="n">
        <v>0</v>
      </c>
      <c r="AY238" s="47" t="n">
        <v>0</v>
      </c>
      <c r="AZ238" s="47" t="n">
        <v>0</v>
      </c>
      <c r="BA238" s="47" t="n">
        <v>0</v>
      </c>
      <c r="BB238" s="47" t="n">
        <v>0</v>
      </c>
      <c r="BC238" s="47" t="n">
        <v>0</v>
      </c>
      <c r="BD238" s="47" t="n">
        <v>0</v>
      </c>
      <c r="BE238" s="47" t="n">
        <v>0</v>
      </c>
      <c r="BF238" s="47" t="n">
        <v>0</v>
      </c>
      <c r="BG238" s="47" t="n">
        <v>0</v>
      </c>
      <c r="BH238" s="47" t="n">
        <v>0</v>
      </c>
      <c r="BI238" s="47" t="n">
        <v>0</v>
      </c>
      <c r="BJ238" s="47" t="n">
        <v>0</v>
      </c>
    </row>
    <row r="239" outlineLevel="1" ht="15.75" customHeight="1">
      <c r="B239" s="5" t="inlineStr">
        <is>
          <t>AAAS</t>
        </is>
      </c>
      <c r="C239" s="68" t="inlineStr">
        <is>
          <t>Lower Middle Market</t>
        </is>
      </c>
      <c r="F239" s="46">
        <f>+SUMIFS($AA239:$DR239,$AA$7:$DR$7,F$7)</f>
        <v/>
      </c>
      <c r="G239" s="46">
        <f>+SUMIFS($AA239:$DR239,$AA$7:$DR$7,G$7)</f>
        <v/>
      </c>
      <c r="H239" s="46">
        <f>+SUMIFS($AA239:$DR239,$AA$7:$DR$7,H$7)</f>
        <v/>
      </c>
      <c r="I239" s="46">
        <f>+SUMIFS($AA239:$DR239,$AA$7:$DR$7,I$7)</f>
        <v/>
      </c>
      <c r="J239" s="46">
        <f>+SUMIFS($AA239:$DR239,$AA$7:$DR$7,J$7)</f>
        <v/>
      </c>
      <c r="K239" s="46">
        <f>+SUMIFS($AA239:$DR239,$AA$7:$DR$7,K$7)</f>
        <v/>
      </c>
      <c r="L239" s="46">
        <f>+SUMIFS($AA239:$DR239,$AA$7:$DR$7,L$7)</f>
        <v/>
      </c>
      <c r="M239" s="46">
        <f>+SUMIFS($AA239:$DR239,$AA$7:$DR$7,M$7)</f>
        <v/>
      </c>
      <c r="AA239" s="47" t="n">
        <v>0</v>
      </c>
      <c r="AB239" s="47" t="n">
        <v>0</v>
      </c>
      <c r="AC239" s="47" t="n">
        <v>0</v>
      </c>
      <c r="AD239" s="47" t="n">
        <v>0</v>
      </c>
      <c r="AE239" s="47" t="n">
        <v>0</v>
      </c>
      <c r="AF239" s="47" t="n">
        <v>0</v>
      </c>
      <c r="AG239" s="47" t="n">
        <v>0</v>
      </c>
      <c r="AH239" s="47" t="n">
        <v>0</v>
      </c>
      <c r="AI239" s="47" t="n">
        <v>0</v>
      </c>
      <c r="AJ239" s="47" t="n">
        <v>0</v>
      </c>
      <c r="AK239" s="47" t="n">
        <v>0</v>
      </c>
      <c r="AL239" s="47" t="n">
        <v>7.704466823094069</v>
      </c>
      <c r="AM239" s="47" t="n">
        <v>14.45869910370535</v>
      </c>
      <c r="AN239" s="47" t="n">
        <v>8.873448250921212</v>
      </c>
      <c r="AO239" s="47" t="n">
        <v>4.839428962373791</v>
      </c>
      <c r="AP239" s="47" t="n">
        <v>2.788660103900205</v>
      </c>
      <c r="AQ239" s="47" t="n">
        <v>0.8441066990251185</v>
      </c>
      <c r="AR239" s="47" t="n">
        <v>0.2208565194805195</v>
      </c>
      <c r="AS239" s="47" t="n">
        <v>0</v>
      </c>
      <c r="AT239" s="47" t="n">
        <v>0</v>
      </c>
      <c r="AU239" s="47" t="n">
        <v>0</v>
      </c>
      <c r="AV239" s="47" t="n">
        <v>0</v>
      </c>
      <c r="AW239" s="47" t="n">
        <v>0</v>
      </c>
      <c r="AX239" s="47" t="n">
        <v>0</v>
      </c>
      <c r="AY239" s="47" t="n">
        <v>0</v>
      </c>
      <c r="AZ239" s="47" t="n">
        <v>0</v>
      </c>
      <c r="BA239" s="47" t="n">
        <v>0</v>
      </c>
      <c r="BB239" s="47" t="n">
        <v>0</v>
      </c>
      <c r="BC239" s="47" t="n">
        <v>0</v>
      </c>
      <c r="BD239" s="47" t="n">
        <v>0</v>
      </c>
      <c r="BE239" s="47" t="n">
        <v>0</v>
      </c>
      <c r="BF239" s="47" t="n">
        <v>0</v>
      </c>
      <c r="BG239" s="47" t="n">
        <v>0</v>
      </c>
      <c r="BH239" s="47" t="n">
        <v>0</v>
      </c>
      <c r="BI239" s="47" t="n">
        <v>0</v>
      </c>
      <c r="BJ239" s="47" t="n">
        <v>0</v>
      </c>
    </row>
    <row r="240" outlineLevel="1" ht="15.75" customHeight="1">
      <c r="B240" s="5" t="inlineStr">
        <is>
          <t>EL</t>
        </is>
      </c>
      <c r="C240" s="68" t="inlineStr">
        <is>
          <t>Lower Middle Market</t>
        </is>
      </c>
      <c r="F240" s="46">
        <f>+SUMIFS($AA240:$DR240,$AA$7:$DR$7,F$7)</f>
        <v/>
      </c>
      <c r="G240" s="46">
        <f>+SUMIFS($AA240:$DR240,$AA$7:$DR$7,G$7)</f>
        <v/>
      </c>
      <c r="H240" s="46">
        <f>+SUMIFS($AA240:$DR240,$AA$7:$DR$7,H$7)</f>
        <v/>
      </c>
      <c r="I240" s="46">
        <f>+SUMIFS($AA240:$DR240,$AA$7:$DR$7,I$7)</f>
        <v/>
      </c>
      <c r="J240" s="46">
        <f>+SUMIFS($AA240:$DR240,$AA$7:$DR$7,J$7)</f>
        <v/>
      </c>
      <c r="K240" s="46">
        <f>+SUMIFS($AA240:$DR240,$AA$7:$DR$7,K$7)</f>
        <v/>
      </c>
      <c r="L240" s="46">
        <f>+SUMIFS($AA240:$DR240,$AA$7:$DR$7,L$7)</f>
        <v/>
      </c>
      <c r="M240" s="46">
        <f>+SUMIFS($AA240:$DR240,$AA$7:$DR$7,M$7)</f>
        <v/>
      </c>
      <c r="AA240" s="47" t="n">
        <v>0</v>
      </c>
      <c r="AB240" s="47" t="n">
        <v>0</v>
      </c>
      <c r="AC240" s="47" t="n">
        <v>0</v>
      </c>
      <c r="AD240" s="47" t="n">
        <v>0</v>
      </c>
      <c r="AE240" s="47" t="n">
        <v>0</v>
      </c>
      <c r="AF240" s="47" t="n">
        <v>0</v>
      </c>
      <c r="AG240" s="47" t="n">
        <v>0.5682760534042631</v>
      </c>
      <c r="AH240" s="47" t="n">
        <v>0</v>
      </c>
      <c r="AI240" s="47" t="n">
        <v>0</v>
      </c>
      <c r="AJ240" s="47" t="n">
        <v>0</v>
      </c>
      <c r="AK240" s="47" t="n">
        <v>0</v>
      </c>
      <c r="AL240" s="47" t="n">
        <v>0</v>
      </c>
      <c r="AM240" s="47" t="n">
        <v>0</v>
      </c>
      <c r="AN240" s="47" t="n">
        <v>0</v>
      </c>
      <c r="AO240" s="47" t="n">
        <v>0</v>
      </c>
      <c r="AP240" s="47" t="n">
        <v>0.01240953270148496</v>
      </c>
      <c r="AQ240" s="47" t="n">
        <v>0</v>
      </c>
      <c r="AR240" s="47" t="n">
        <v>0</v>
      </c>
      <c r="AS240" s="47" t="n">
        <v>0</v>
      </c>
      <c r="AT240" s="47" t="n">
        <v>0</v>
      </c>
      <c r="AU240" s="47" t="n">
        <v>0</v>
      </c>
      <c r="AV240" s="47" t="n">
        <v>0</v>
      </c>
      <c r="AW240" s="47" t="n">
        <v>0</v>
      </c>
      <c r="AX240" s="47" t="n">
        <v>0</v>
      </c>
      <c r="AY240" s="47" t="n">
        <v>0</v>
      </c>
      <c r="AZ240" s="47" t="n">
        <v>0</v>
      </c>
      <c r="BA240" s="47" t="n">
        <v>0</v>
      </c>
      <c r="BB240" s="47" t="n">
        <v>0</v>
      </c>
      <c r="BC240" s="47" t="n">
        <v>0</v>
      </c>
      <c r="BD240" s="47" t="n">
        <v>0</v>
      </c>
      <c r="BE240" s="47" t="n">
        <v>0</v>
      </c>
      <c r="BF240" s="47" t="n">
        <v>0</v>
      </c>
      <c r="BG240" s="47" t="n">
        <v>0</v>
      </c>
      <c r="BH240" s="47" t="n">
        <v>0</v>
      </c>
      <c r="BI240" s="47" t="n">
        <v>0</v>
      </c>
      <c r="BJ240" s="47" t="n">
        <v>0</v>
      </c>
    </row>
    <row r="241" outlineLevel="1" ht="4.5" customHeight="1">
      <c r="F241" s="46" t="n"/>
      <c r="G241" s="46" t="n"/>
      <c r="H241" s="46" t="n"/>
      <c r="I241" s="46" t="n"/>
      <c r="J241" s="46" t="n"/>
      <c r="K241" s="46" t="n"/>
      <c r="L241" s="46" t="n"/>
      <c r="M241" s="46" t="n"/>
    </row>
    <row r="242" outlineLevel="1" ht="15.75" customHeight="1">
      <c r="B242" s="50" t="inlineStr">
        <is>
          <t>Total</t>
        </is>
      </c>
      <c r="C242" s="50" t="n"/>
      <c r="D242" s="50" t="n"/>
      <c r="F242" s="51">
        <f>+SUMIFS($AA242:$DR242,$AA$7:$DR$7,F$7)</f>
        <v/>
      </c>
      <c r="G242" s="51">
        <f>+SUMIFS($AA242:$DR242,$AA$7:$DR$7,G$7)</f>
        <v/>
      </c>
      <c r="H242" s="51">
        <f>+SUMIFS($AA242:$DR242,$AA$7:$DR$7,H$7)</f>
        <v/>
      </c>
      <c r="I242" s="51">
        <f>+SUMIFS($AA242:$DR242,$AA$7:$DR$7,I$7)</f>
        <v/>
      </c>
      <c r="J242" s="51">
        <f>+SUMIFS($AA242:$DR242,$AA$7:$DR$7,J$7)</f>
        <v/>
      </c>
      <c r="K242" s="51">
        <f>+SUMIFS($AA242:$DR242,$AA$7:$DR$7,K$7)</f>
        <v/>
      </c>
      <c r="L242" s="51">
        <f>+SUMIFS($AA242:$DR242,$AA$7:$DR$7,L$7)</f>
        <v/>
      </c>
      <c r="M242" s="51">
        <f>+SUMIFS($AA242:$DR242,$AA$7:$DR$7,M$7)</f>
        <v/>
      </c>
      <c r="AA242" s="51">
        <f>SUM(AA195:AA241)</f>
        <v/>
      </c>
      <c r="AB242" s="51">
        <f>SUM(AB195:AB241)</f>
        <v/>
      </c>
      <c r="AC242" s="51">
        <f>SUM(AC195:AC241)</f>
        <v/>
      </c>
      <c r="AD242" s="51">
        <f>SUM(AD195:AD241)</f>
        <v/>
      </c>
      <c r="AE242" s="51">
        <f>SUM(AE195:AE241)</f>
        <v/>
      </c>
      <c r="AF242" s="51">
        <f>SUM(AF195:AF241)</f>
        <v/>
      </c>
      <c r="AG242" s="51">
        <f>SUM(AG195:AG241)</f>
        <v/>
      </c>
      <c r="AH242" s="51">
        <f>SUM(AH195:AH241)</f>
        <v/>
      </c>
      <c r="AI242" s="51">
        <f>SUM(AI195:AI241)</f>
        <v/>
      </c>
      <c r="AJ242" s="51">
        <f>SUM(AJ195:AJ241)</f>
        <v/>
      </c>
      <c r="AK242" s="51">
        <f>SUM(AK195:AK241)</f>
        <v/>
      </c>
      <c r="AL242" s="51">
        <f>SUM(AL195:AL241)</f>
        <v/>
      </c>
      <c r="AM242" s="51">
        <f>SUM(AM195:AM241)</f>
        <v/>
      </c>
      <c r="AN242" s="51">
        <f>SUM(AN195:AN241)</f>
        <v/>
      </c>
      <c r="AO242" s="51">
        <f>SUM(AO195:AO241)</f>
        <v/>
      </c>
      <c r="AP242" s="51">
        <f>SUM(AP195:AP241)</f>
        <v/>
      </c>
      <c r="AQ242" s="51">
        <f>SUM(AQ195:AQ241)</f>
        <v/>
      </c>
      <c r="AR242" s="51">
        <f>SUM(AR195:AR241)</f>
        <v/>
      </c>
      <c r="AS242" s="51">
        <f>SUM(AS195:AS241)</f>
        <v/>
      </c>
      <c r="AT242" s="51">
        <f>SUM(AT195:AT241)</f>
        <v/>
      </c>
      <c r="AU242" s="51">
        <f>SUM(AU195:AU241)</f>
        <v/>
      </c>
      <c r="AV242" s="51">
        <f>SUM(AV195:AV241)</f>
        <v/>
      </c>
      <c r="AW242" s="51">
        <f>SUM(AW195:AW241)</f>
        <v/>
      </c>
      <c r="AX242" s="51">
        <f>SUM(AX195:AX241)</f>
        <v/>
      </c>
      <c r="AY242" s="51">
        <f>SUM(AY195:AY241)</f>
        <v/>
      </c>
      <c r="AZ242" s="51">
        <f>SUM(AZ195:AZ241)</f>
        <v/>
      </c>
      <c r="BA242" s="51">
        <f>SUM(BA195:BA241)</f>
        <v/>
      </c>
      <c r="BB242" s="51">
        <f>SUM(BB195:BB241)</f>
        <v/>
      </c>
      <c r="BC242" s="51">
        <f>SUM(BC195:BC241)</f>
        <v/>
      </c>
      <c r="BD242" s="51">
        <f>SUM(BD195:BD241)</f>
        <v/>
      </c>
      <c r="BE242" s="51">
        <f>SUM(BE195:BE241)</f>
        <v/>
      </c>
      <c r="BF242" s="51">
        <f>SUM(BF195:BF241)</f>
        <v/>
      </c>
      <c r="BG242" s="51">
        <f>SUM(BG195:BG241)</f>
        <v/>
      </c>
      <c r="BH242" s="51">
        <f>SUM(BH195:BH241)</f>
        <v/>
      </c>
      <c r="BI242" s="51">
        <f>SUM(BI195:BI241)</f>
        <v/>
      </c>
      <c r="BJ242" s="51">
        <f>SUM(BJ195:BJ241)</f>
        <v/>
      </c>
    </row>
    <row r="243" outlineLevel="1" ht="4.5" customHeight="1"/>
    <row r="244" ht="15.75" customHeight="1">
      <c r="B244" s="44" t="inlineStr">
        <is>
          <t>Revenue</t>
        </is>
      </c>
    </row>
    <row r="245" ht="15.75" customHeight="1">
      <c r="B245" s="5" t="inlineStr">
        <is>
          <t>Mega</t>
        </is>
      </c>
      <c r="F245" s="48">
        <f>+Revenue_Calcs!F266</f>
        <v/>
      </c>
      <c r="G245" s="48">
        <f>+Revenue_Calcs!G266</f>
        <v/>
      </c>
      <c r="H245" s="48">
        <f>+Revenue_Calcs!H266</f>
        <v/>
      </c>
      <c r="I245" s="48">
        <f>+Revenue_Calcs!I266</f>
        <v/>
      </c>
      <c r="J245" s="48">
        <f>+Revenue_Calcs!J266</f>
        <v/>
      </c>
      <c r="K245" s="48">
        <f>+Revenue_Calcs!K266</f>
        <v/>
      </c>
      <c r="L245" s="48">
        <f>+Revenue_Calcs!L266</f>
        <v/>
      </c>
      <c r="M245" s="48">
        <f>+Revenue_Calcs!M266</f>
        <v/>
      </c>
      <c r="AA245" s="49" t="n"/>
      <c r="AB245" s="96" t="n"/>
      <c r="AC245" s="96" t="n"/>
      <c r="AD245" s="96" t="n"/>
      <c r="AE245" s="96" t="n"/>
      <c r="AF245" s="96" t="n"/>
      <c r="AG245" s="96" t="n"/>
      <c r="AH245" s="96" t="n"/>
      <c r="AI245" s="96" t="n"/>
      <c r="AJ245" s="96" t="n"/>
      <c r="AK245" s="96" t="n"/>
      <c r="AL245" s="96" t="n"/>
      <c r="AM245" s="96" t="n"/>
      <c r="AN245" s="96" t="n"/>
      <c r="AO245" s="96" t="n"/>
      <c r="AP245" s="96" t="n"/>
      <c r="AQ245" s="96" t="n"/>
      <c r="AR245" s="96" t="n"/>
      <c r="AS245" s="96" t="n"/>
      <c r="AT245" s="96" t="n"/>
      <c r="AU245" s="96" t="n"/>
      <c r="AV245" s="96" t="n"/>
      <c r="AW245" s="96" t="n"/>
      <c r="AX245" s="96" t="n"/>
      <c r="AY245" s="96" t="n"/>
      <c r="AZ245" s="96" t="n"/>
      <c r="BA245" s="96" t="n"/>
      <c r="BB245" s="96" t="n"/>
      <c r="BC245" s="96" t="n"/>
      <c r="BD245" s="96" t="n"/>
      <c r="BE245" s="96" t="n"/>
      <c r="BF245" s="96" t="n"/>
      <c r="BG245" s="96" t="n"/>
      <c r="BH245" s="96" t="n"/>
      <c r="BI245" s="96" t="n"/>
      <c r="BJ245" s="96" t="n"/>
      <c r="BK245" s="96" t="n"/>
      <c r="BL245" s="96" t="n"/>
      <c r="BM245" s="96" t="n"/>
      <c r="BN245" s="96" t="n"/>
      <c r="BO245" s="96" t="n"/>
      <c r="BP245" s="96" t="n"/>
      <c r="BQ245" s="96" t="n"/>
      <c r="BR245" s="96" t="n"/>
      <c r="BS245" s="96" t="n"/>
      <c r="BT245" s="96" t="n"/>
      <c r="BU245" s="96" t="n"/>
      <c r="BV245" s="96" t="n"/>
      <c r="BW245" s="96" t="n"/>
      <c r="BX245" s="96" t="n"/>
      <c r="BY245" s="96" t="n"/>
      <c r="BZ245" s="96" t="n"/>
      <c r="CA245" s="96" t="n"/>
      <c r="CB245" s="96" t="n"/>
      <c r="CC245" s="96" t="n"/>
      <c r="CD245" s="96" t="n"/>
      <c r="CE245" s="96" t="n"/>
      <c r="CF245" s="96" t="n"/>
      <c r="CG245" s="96" t="n"/>
      <c r="CH245" s="96" t="n"/>
      <c r="CI245" s="96" t="n"/>
      <c r="CJ245" s="96" t="n"/>
      <c r="CK245" s="96" t="n"/>
      <c r="CL245" s="96" t="n"/>
      <c r="CM245" s="96" t="n"/>
      <c r="CN245" s="96" t="n"/>
      <c r="CO245" s="96" t="n"/>
      <c r="CP245" s="96" t="n"/>
      <c r="CQ245" s="96" t="n"/>
      <c r="CR245" s="96" t="n"/>
      <c r="CS245" s="96" t="n"/>
      <c r="CT245" s="96" t="n"/>
      <c r="CU245" s="96" t="n"/>
      <c r="CV245" s="96" t="n"/>
      <c r="CW245" s="96" t="n"/>
      <c r="CX245" s="96" t="n"/>
      <c r="CY245" s="96" t="n"/>
      <c r="CZ245" s="96" t="n"/>
      <c r="DA245" s="96" t="n"/>
      <c r="DB245" s="96" t="n"/>
      <c r="DC245" s="96" t="n"/>
      <c r="DD245" s="96" t="n"/>
      <c r="DE245" s="96" t="n"/>
      <c r="DF245" s="96" t="n"/>
      <c r="DG245" s="96" t="n"/>
      <c r="DH245" s="96" t="n"/>
      <c r="DI245" s="96" t="n"/>
      <c r="DJ245" s="96" t="n"/>
      <c r="DK245" s="96" t="n"/>
      <c r="DL245" s="96" t="n"/>
      <c r="DM245" s="96" t="n"/>
      <c r="DN245" s="96" t="n"/>
      <c r="DO245" s="96" t="n"/>
      <c r="DP245" s="96" t="n"/>
      <c r="DQ245" s="96" t="n"/>
      <c r="DR245" s="96" t="n"/>
    </row>
    <row r="246" ht="15.75" customHeight="1">
      <c r="B246" s="5" t="inlineStr">
        <is>
          <t>Major</t>
        </is>
      </c>
      <c r="F246" s="48">
        <f>+Revenue_Calcs!F271</f>
        <v/>
      </c>
      <c r="G246" s="48">
        <f>+Revenue_Calcs!G271</f>
        <v/>
      </c>
      <c r="H246" s="48">
        <f>+Revenue_Calcs!H271</f>
        <v/>
      </c>
      <c r="I246" s="48">
        <f>+Revenue_Calcs!I271</f>
        <v/>
      </c>
      <c r="J246" s="48">
        <f>+Revenue_Calcs!J271</f>
        <v/>
      </c>
      <c r="K246" s="48">
        <f>+Revenue_Calcs!K271</f>
        <v/>
      </c>
      <c r="L246" s="48">
        <f>+Revenue_Calcs!L271</f>
        <v/>
      </c>
      <c r="M246" s="48">
        <f>+Revenue_Calcs!M271</f>
        <v/>
      </c>
      <c r="AA246" s="49" t="n"/>
      <c r="AB246" s="96" t="n"/>
      <c r="AC246" s="96" t="n"/>
      <c r="AD246" s="96" t="n"/>
      <c r="AE246" s="96" t="n"/>
      <c r="AF246" s="96" t="n"/>
      <c r="AG246" s="96" t="n"/>
      <c r="AH246" s="96" t="n"/>
      <c r="AI246" s="96" t="n"/>
      <c r="AJ246" s="96" t="n"/>
      <c r="AK246" s="96" t="n"/>
      <c r="AL246" s="96" t="n"/>
      <c r="AM246" s="96" t="n"/>
      <c r="AN246" s="96" t="n"/>
      <c r="AO246" s="96" t="n"/>
      <c r="AP246" s="96" t="n"/>
      <c r="AQ246" s="96" t="n"/>
      <c r="AR246" s="96" t="n"/>
      <c r="AS246" s="96" t="n"/>
      <c r="AT246" s="96" t="n"/>
      <c r="AU246" s="96" t="n"/>
      <c r="AV246" s="96" t="n"/>
      <c r="AW246" s="96" t="n"/>
      <c r="AX246" s="96" t="n"/>
      <c r="AY246" s="96" t="n"/>
      <c r="AZ246" s="96" t="n"/>
      <c r="BA246" s="96" t="n"/>
      <c r="BB246" s="96" t="n"/>
      <c r="BC246" s="96" t="n"/>
      <c r="BD246" s="96" t="n"/>
      <c r="BE246" s="96" t="n"/>
      <c r="BF246" s="96" t="n"/>
      <c r="BG246" s="96" t="n"/>
      <c r="BH246" s="96" t="n"/>
      <c r="BI246" s="96" t="n"/>
      <c r="BJ246" s="96" t="n"/>
      <c r="BK246" s="96" t="n"/>
      <c r="BL246" s="96" t="n"/>
      <c r="BM246" s="96" t="n"/>
      <c r="BN246" s="96" t="n"/>
      <c r="BO246" s="96" t="n"/>
      <c r="BP246" s="96" t="n"/>
      <c r="BQ246" s="96" t="n"/>
      <c r="BR246" s="96" t="n"/>
      <c r="BS246" s="96" t="n"/>
      <c r="BT246" s="96" t="n"/>
      <c r="BU246" s="96" t="n"/>
      <c r="BV246" s="96" t="n"/>
      <c r="BW246" s="96" t="n"/>
      <c r="BX246" s="96" t="n"/>
      <c r="BY246" s="96" t="n"/>
      <c r="BZ246" s="96" t="n"/>
      <c r="CA246" s="96" t="n"/>
      <c r="CB246" s="96" t="n"/>
      <c r="CC246" s="96" t="n"/>
      <c r="CD246" s="96" t="n"/>
      <c r="CE246" s="96" t="n"/>
      <c r="CF246" s="96" t="n"/>
      <c r="CG246" s="96" t="n"/>
      <c r="CH246" s="96" t="n"/>
      <c r="CI246" s="96" t="n"/>
      <c r="CJ246" s="96" t="n"/>
      <c r="CK246" s="96" t="n"/>
      <c r="CL246" s="96" t="n"/>
      <c r="CM246" s="96" t="n"/>
      <c r="CN246" s="96" t="n"/>
      <c r="CO246" s="96" t="n"/>
      <c r="CP246" s="96" t="n"/>
      <c r="CQ246" s="96" t="n"/>
      <c r="CR246" s="96" t="n"/>
      <c r="CS246" s="96" t="n"/>
      <c r="CT246" s="96" t="n"/>
      <c r="CU246" s="96" t="n"/>
      <c r="CV246" s="96" t="n"/>
      <c r="CW246" s="96" t="n"/>
      <c r="CX246" s="96" t="n"/>
      <c r="CY246" s="96" t="n"/>
      <c r="CZ246" s="96" t="n"/>
      <c r="DA246" s="96" t="n"/>
      <c r="DB246" s="96" t="n"/>
      <c r="DC246" s="96" t="n"/>
      <c r="DD246" s="96" t="n"/>
      <c r="DE246" s="96" t="n"/>
      <c r="DF246" s="96" t="n"/>
      <c r="DG246" s="96" t="n"/>
      <c r="DH246" s="96" t="n"/>
      <c r="DI246" s="96" t="n"/>
      <c r="DJ246" s="96" t="n"/>
      <c r="DK246" s="96" t="n"/>
      <c r="DL246" s="96" t="n"/>
      <c r="DM246" s="96" t="n"/>
      <c r="DN246" s="96" t="n"/>
      <c r="DO246" s="96" t="n"/>
      <c r="DP246" s="96" t="n"/>
      <c r="DQ246" s="96" t="n"/>
      <c r="DR246" s="96" t="n"/>
    </row>
    <row r="247" ht="15.75" customHeight="1">
      <c r="B247" s="5" t="inlineStr">
        <is>
          <t>Upper Middle Market</t>
        </is>
      </c>
      <c r="F247" s="48">
        <f>+Revenue_Calcs!F276</f>
        <v/>
      </c>
      <c r="G247" s="48">
        <f>+Revenue_Calcs!G276</f>
        <v/>
      </c>
      <c r="H247" s="48">
        <f>+Revenue_Calcs!H276</f>
        <v/>
      </c>
      <c r="I247" s="48">
        <f>+Revenue_Calcs!I276</f>
        <v/>
      </c>
      <c r="J247" s="48">
        <f>+Revenue_Calcs!J276</f>
        <v/>
      </c>
      <c r="K247" s="48">
        <f>+Revenue_Calcs!K276</f>
        <v/>
      </c>
      <c r="L247" s="48">
        <f>+Revenue_Calcs!L276</f>
        <v/>
      </c>
      <c r="M247" s="48">
        <f>+Revenue_Calcs!M276</f>
        <v/>
      </c>
      <c r="AA247" s="49" t="n"/>
      <c r="AB247" s="96" t="n"/>
      <c r="AC247" s="96" t="n"/>
      <c r="AD247" s="96" t="n"/>
      <c r="AE247" s="96" t="n"/>
      <c r="AF247" s="96" t="n"/>
      <c r="AG247" s="96" t="n"/>
      <c r="AH247" s="96" t="n"/>
      <c r="AI247" s="96" t="n"/>
      <c r="AJ247" s="96" t="n"/>
      <c r="AK247" s="96" t="n"/>
      <c r="AL247" s="96" t="n"/>
      <c r="AM247" s="96" t="n"/>
      <c r="AN247" s="96" t="n"/>
      <c r="AO247" s="96" t="n"/>
      <c r="AP247" s="96" t="n"/>
      <c r="AQ247" s="96" t="n"/>
      <c r="AR247" s="96" t="n"/>
      <c r="AS247" s="96" t="n"/>
      <c r="AT247" s="96" t="n"/>
      <c r="AU247" s="96" t="n"/>
      <c r="AV247" s="96" t="n"/>
      <c r="AW247" s="96" t="n"/>
      <c r="AX247" s="96" t="n"/>
      <c r="AY247" s="96" t="n"/>
      <c r="AZ247" s="96" t="n"/>
      <c r="BA247" s="96" t="n"/>
      <c r="BB247" s="96" t="n"/>
      <c r="BC247" s="96" t="n"/>
      <c r="BD247" s="96" t="n"/>
      <c r="BE247" s="96" t="n"/>
      <c r="BF247" s="96" t="n"/>
      <c r="BG247" s="96" t="n"/>
      <c r="BH247" s="96" t="n"/>
      <c r="BI247" s="96" t="n"/>
      <c r="BJ247" s="96" t="n"/>
      <c r="BK247" s="96" t="n"/>
      <c r="BL247" s="96" t="n"/>
      <c r="BM247" s="96" t="n"/>
      <c r="BN247" s="96" t="n"/>
      <c r="BO247" s="96" t="n"/>
      <c r="BP247" s="96" t="n"/>
      <c r="BQ247" s="96" t="n"/>
      <c r="BR247" s="96" t="n"/>
      <c r="BS247" s="96" t="n"/>
      <c r="BT247" s="96" t="n"/>
      <c r="BU247" s="96" t="n"/>
      <c r="BV247" s="96" t="n"/>
      <c r="BW247" s="96" t="n"/>
      <c r="BX247" s="96" t="n"/>
      <c r="BY247" s="96" t="n"/>
      <c r="BZ247" s="96" t="n"/>
      <c r="CA247" s="96" t="n"/>
      <c r="CB247" s="96" t="n"/>
      <c r="CC247" s="96" t="n"/>
      <c r="CD247" s="96" t="n"/>
      <c r="CE247" s="96" t="n"/>
      <c r="CF247" s="96" t="n"/>
      <c r="CG247" s="96" t="n"/>
      <c r="CH247" s="96" t="n"/>
      <c r="CI247" s="96" t="n"/>
      <c r="CJ247" s="96" t="n"/>
      <c r="CK247" s="96" t="n"/>
      <c r="CL247" s="96" t="n"/>
      <c r="CM247" s="96" t="n"/>
      <c r="CN247" s="96" t="n"/>
      <c r="CO247" s="96" t="n"/>
      <c r="CP247" s="96" t="n"/>
      <c r="CQ247" s="96" t="n"/>
      <c r="CR247" s="96" t="n"/>
      <c r="CS247" s="96" t="n"/>
      <c r="CT247" s="96" t="n"/>
      <c r="CU247" s="96" t="n"/>
      <c r="CV247" s="96" t="n"/>
      <c r="CW247" s="96" t="n"/>
      <c r="CX247" s="96" t="n"/>
      <c r="CY247" s="96" t="n"/>
      <c r="CZ247" s="96" t="n"/>
      <c r="DA247" s="96" t="n"/>
      <c r="DB247" s="96" t="n"/>
      <c r="DC247" s="96" t="n"/>
      <c r="DD247" s="96" t="n"/>
      <c r="DE247" s="96" t="n"/>
      <c r="DF247" s="96" t="n"/>
      <c r="DG247" s="96" t="n"/>
      <c r="DH247" s="96" t="n"/>
      <c r="DI247" s="96" t="n"/>
      <c r="DJ247" s="96" t="n"/>
      <c r="DK247" s="96" t="n"/>
      <c r="DL247" s="96" t="n"/>
      <c r="DM247" s="96" t="n"/>
      <c r="DN247" s="96" t="n"/>
      <c r="DO247" s="96" t="n"/>
      <c r="DP247" s="96" t="n"/>
      <c r="DQ247" s="96" t="n"/>
      <c r="DR247" s="96" t="n"/>
    </row>
    <row r="248" ht="15.75" customHeight="1">
      <c r="B248" s="5" t="inlineStr">
        <is>
          <t>Lower Middle Market</t>
        </is>
      </c>
      <c r="F248" s="48">
        <f>+Revenue_Calcs!F281</f>
        <v/>
      </c>
      <c r="G248" s="48">
        <f>+Revenue_Calcs!G281</f>
        <v/>
      </c>
      <c r="H248" s="48">
        <f>+Revenue_Calcs!H281</f>
        <v/>
      </c>
      <c r="I248" s="48">
        <f>+Revenue_Calcs!I281</f>
        <v/>
      </c>
      <c r="J248" s="48">
        <f>+Revenue_Calcs!J281</f>
        <v/>
      </c>
      <c r="K248" s="48">
        <f>+Revenue_Calcs!K281</f>
        <v/>
      </c>
      <c r="L248" s="48">
        <f>+Revenue_Calcs!L281</f>
        <v/>
      </c>
      <c r="M248" s="48">
        <f>+Revenue_Calcs!M281</f>
        <v/>
      </c>
      <c r="AA248" s="49" t="n"/>
      <c r="AB248" s="96" t="n"/>
      <c r="AC248" s="96" t="n"/>
      <c r="AD248" s="96" t="n"/>
      <c r="AE248" s="96" t="n"/>
      <c r="AF248" s="96" t="n"/>
      <c r="AG248" s="96" t="n"/>
      <c r="AH248" s="96" t="n"/>
      <c r="AI248" s="96" t="n"/>
      <c r="AJ248" s="96" t="n"/>
      <c r="AK248" s="96" t="n"/>
      <c r="AL248" s="96" t="n"/>
      <c r="AM248" s="96" t="n"/>
      <c r="AN248" s="96" t="n"/>
      <c r="AO248" s="96" t="n"/>
      <c r="AP248" s="96" t="n"/>
      <c r="AQ248" s="96" t="n"/>
      <c r="AR248" s="96" t="n"/>
      <c r="AS248" s="96" t="n"/>
      <c r="AT248" s="96" t="n"/>
      <c r="AU248" s="96" t="n"/>
      <c r="AV248" s="96" t="n"/>
      <c r="AW248" s="96" t="n"/>
      <c r="AX248" s="96" t="n"/>
      <c r="AY248" s="96" t="n"/>
      <c r="AZ248" s="96" t="n"/>
      <c r="BA248" s="96" t="n"/>
      <c r="BB248" s="96" t="n"/>
      <c r="BC248" s="96" t="n"/>
      <c r="BD248" s="96" t="n"/>
      <c r="BE248" s="96" t="n"/>
      <c r="BF248" s="96" t="n"/>
      <c r="BG248" s="96" t="n"/>
      <c r="BH248" s="96" t="n"/>
      <c r="BI248" s="96" t="n"/>
      <c r="BJ248" s="96" t="n"/>
      <c r="BK248" s="96" t="n"/>
      <c r="BL248" s="96" t="n"/>
      <c r="BM248" s="96" t="n"/>
      <c r="BN248" s="96" t="n"/>
      <c r="BO248" s="96" t="n"/>
      <c r="BP248" s="96" t="n"/>
      <c r="BQ248" s="96" t="n"/>
      <c r="BR248" s="96" t="n"/>
      <c r="BS248" s="96" t="n"/>
      <c r="BT248" s="96" t="n"/>
      <c r="BU248" s="96" t="n"/>
      <c r="BV248" s="96" t="n"/>
      <c r="BW248" s="96" t="n"/>
      <c r="BX248" s="96" t="n"/>
      <c r="BY248" s="96" t="n"/>
      <c r="BZ248" s="96" t="n"/>
      <c r="CA248" s="96" t="n"/>
      <c r="CB248" s="96" t="n"/>
      <c r="CC248" s="96" t="n"/>
      <c r="CD248" s="96" t="n"/>
      <c r="CE248" s="96" t="n"/>
      <c r="CF248" s="96" t="n"/>
      <c r="CG248" s="96" t="n"/>
      <c r="CH248" s="96" t="n"/>
      <c r="CI248" s="96" t="n"/>
      <c r="CJ248" s="96" t="n"/>
      <c r="CK248" s="96" t="n"/>
      <c r="CL248" s="96" t="n"/>
      <c r="CM248" s="96" t="n"/>
      <c r="CN248" s="96" t="n"/>
      <c r="CO248" s="96" t="n"/>
      <c r="CP248" s="96" t="n"/>
      <c r="CQ248" s="96" t="n"/>
      <c r="CR248" s="96" t="n"/>
      <c r="CS248" s="96" t="n"/>
      <c r="CT248" s="96" t="n"/>
      <c r="CU248" s="96" t="n"/>
      <c r="CV248" s="96" t="n"/>
      <c r="CW248" s="96" t="n"/>
      <c r="CX248" s="96" t="n"/>
      <c r="CY248" s="96" t="n"/>
      <c r="CZ248" s="96" t="n"/>
      <c r="DA248" s="96" t="n"/>
      <c r="DB248" s="96" t="n"/>
      <c r="DC248" s="96" t="n"/>
      <c r="DD248" s="96" t="n"/>
      <c r="DE248" s="96" t="n"/>
      <c r="DF248" s="96" t="n"/>
      <c r="DG248" s="96" t="n"/>
      <c r="DH248" s="96" t="n"/>
      <c r="DI248" s="96" t="n"/>
      <c r="DJ248" s="96" t="n"/>
      <c r="DK248" s="96" t="n"/>
      <c r="DL248" s="96" t="n"/>
      <c r="DM248" s="96" t="n"/>
      <c r="DN248" s="96" t="n"/>
      <c r="DO248" s="96" t="n"/>
      <c r="DP248" s="96" t="n"/>
      <c r="DQ248" s="96" t="n"/>
      <c r="DR248" s="96" t="n"/>
    </row>
    <row r="249" ht="15.75" customHeight="1">
      <c r="B249" s="50" t="inlineStr">
        <is>
          <t>Total</t>
        </is>
      </c>
      <c r="C249" s="50" t="n"/>
      <c r="D249" s="50" t="n"/>
      <c r="F249" s="51">
        <f>SUM(F245:F248)</f>
        <v/>
      </c>
      <c r="G249" s="51">
        <f>SUM(G245:G248)</f>
        <v/>
      </c>
      <c r="H249" s="51">
        <f>SUM(H245:H248)</f>
        <v/>
      </c>
      <c r="I249" s="51">
        <f>SUM(I245:I248)</f>
        <v/>
      </c>
      <c r="J249" s="51">
        <f>SUM(J245:J248)</f>
        <v/>
      </c>
      <c r="K249" s="51">
        <f>SUM(K245:K248)</f>
        <v/>
      </c>
      <c r="L249" s="51">
        <f>SUM(L245:L248)</f>
        <v/>
      </c>
      <c r="M249" s="51">
        <f>SUM(M245:M248)</f>
        <v/>
      </c>
      <c r="AA249" s="49" t="n"/>
      <c r="AB249" s="96" t="n"/>
      <c r="AC249" s="96" t="n"/>
      <c r="AD249" s="96" t="n"/>
      <c r="AE249" s="96" t="n"/>
      <c r="AF249" s="96" t="n"/>
      <c r="AG249" s="96" t="n"/>
      <c r="AH249" s="96" t="n"/>
      <c r="AI249" s="96" t="n"/>
      <c r="AJ249" s="96" t="n"/>
      <c r="AK249" s="96" t="n"/>
      <c r="AL249" s="96" t="n"/>
      <c r="AM249" s="96" t="n"/>
      <c r="AN249" s="96" t="n"/>
      <c r="AO249" s="96" t="n"/>
      <c r="AP249" s="96" t="n"/>
      <c r="AQ249" s="96" t="n"/>
      <c r="AR249" s="96" t="n"/>
      <c r="AS249" s="96" t="n"/>
      <c r="AT249" s="96" t="n"/>
      <c r="AU249" s="96" t="n"/>
      <c r="AV249" s="96" t="n"/>
      <c r="AW249" s="96" t="n"/>
      <c r="AX249" s="96" t="n"/>
      <c r="AY249" s="96" t="n"/>
      <c r="AZ249" s="96" t="n"/>
      <c r="BA249" s="96" t="n"/>
      <c r="BB249" s="96" t="n"/>
      <c r="BC249" s="96" t="n"/>
      <c r="BD249" s="96" t="n"/>
      <c r="BE249" s="96" t="n"/>
      <c r="BF249" s="96" t="n"/>
      <c r="BG249" s="96" t="n"/>
      <c r="BH249" s="96" t="n"/>
      <c r="BI249" s="96" t="n"/>
      <c r="BJ249" s="96" t="n"/>
      <c r="BK249" s="96" t="n"/>
      <c r="BL249" s="96" t="n"/>
      <c r="BM249" s="96" t="n"/>
      <c r="BN249" s="96" t="n"/>
      <c r="BO249" s="96" t="n"/>
      <c r="BP249" s="96" t="n"/>
      <c r="BQ249" s="96" t="n"/>
      <c r="BR249" s="96" t="n"/>
      <c r="BS249" s="96" t="n"/>
      <c r="BT249" s="96" t="n"/>
      <c r="BU249" s="96" t="n"/>
      <c r="BV249" s="96" t="n"/>
      <c r="BW249" s="96" t="n"/>
      <c r="BX249" s="96" t="n"/>
      <c r="BY249" s="96" t="n"/>
      <c r="BZ249" s="96" t="n"/>
      <c r="CA249" s="96" t="n"/>
      <c r="CB249" s="96" t="n"/>
      <c r="CC249" s="96" t="n"/>
      <c r="CD249" s="96" t="n"/>
      <c r="CE249" s="96" t="n"/>
      <c r="CF249" s="96" t="n"/>
      <c r="CG249" s="96" t="n"/>
      <c r="CH249" s="96" t="n"/>
      <c r="CI249" s="96" t="n"/>
      <c r="CJ249" s="96" t="n"/>
      <c r="CK249" s="96" t="n"/>
      <c r="CL249" s="96" t="n"/>
      <c r="CM249" s="96" t="n"/>
      <c r="CN249" s="96" t="n"/>
      <c r="CO249" s="96" t="n"/>
      <c r="CP249" s="96" t="n"/>
      <c r="CQ249" s="96" t="n"/>
      <c r="CR249" s="96" t="n"/>
      <c r="CS249" s="96" t="n"/>
      <c r="CT249" s="96" t="n"/>
      <c r="CU249" s="96" t="n"/>
      <c r="CV249" s="96" t="n"/>
      <c r="CW249" s="96" t="n"/>
      <c r="CX249" s="96" t="n"/>
      <c r="CY249" s="96" t="n"/>
      <c r="CZ249" s="96" t="n"/>
      <c r="DA249" s="96" t="n"/>
      <c r="DB249" s="96" t="n"/>
      <c r="DC249" s="96" t="n"/>
      <c r="DD249" s="96" t="n"/>
      <c r="DE249" s="96" t="n"/>
      <c r="DF249" s="96" t="n"/>
      <c r="DG249" s="96" t="n"/>
      <c r="DH249" s="96" t="n"/>
      <c r="DI249" s="96" t="n"/>
      <c r="DJ249" s="96" t="n"/>
      <c r="DK249" s="96" t="n"/>
      <c r="DL249" s="96" t="n"/>
      <c r="DM249" s="96" t="n"/>
      <c r="DN249" s="96" t="n"/>
      <c r="DO249" s="96" t="n"/>
      <c r="DP249" s="96" t="n"/>
      <c r="DQ249" s="96" t="n"/>
      <c r="DR249" s="96" t="n"/>
    </row>
    <row r="250" ht="4.5" customHeight="1"/>
    <row r="251" ht="15.75" customHeight="1">
      <c r="B251" s="44" t="inlineStr">
        <is>
          <t>Cost of Sales</t>
        </is>
      </c>
    </row>
    <row r="252" ht="15.75" customHeight="1">
      <c r="B252" s="5" t="inlineStr">
        <is>
          <t>Mega</t>
        </is>
      </c>
      <c r="F252" s="46">
        <f>+SUMIFS($AA252:$DR252,$AA$7:$DR$7,F$7)</f>
        <v/>
      </c>
      <c r="G252" s="46">
        <f>+SUMIFS($AA252:$DR252,$AA$7:$DR$7,G$7)</f>
        <v/>
      </c>
      <c r="H252" s="46">
        <f>+SUMIFS($AA252:$DR252,$AA$7:$DR$7,H$7)</f>
        <v/>
      </c>
      <c r="I252" s="48">
        <f>+I245*(1-COGS_Assumptions!I31)</f>
        <v/>
      </c>
      <c r="J252" s="48">
        <f>+J245*(1-COGS_Assumptions!J31)</f>
        <v/>
      </c>
      <c r="K252" s="48">
        <f>+K245*(1-COGS_Assumptions!K31)</f>
        <v/>
      </c>
      <c r="L252" s="48">
        <f>+L245*(1-COGS_Assumptions!L31)</f>
        <v/>
      </c>
      <c r="M252" s="48">
        <f>+M245*(1-COGS_Assumptions!M31)</f>
        <v/>
      </c>
      <c r="AA252" s="46">
        <f>+SUMIFS(AA$195:AA$240,$C$13:$C$58,$B252)</f>
        <v/>
      </c>
      <c r="AB252" s="46">
        <f>+SUMIFS(AB$195:AB$240,$C$13:$C$58,$B252)</f>
        <v/>
      </c>
      <c r="AC252" s="46">
        <f>+SUMIFS(AC$195:AC$240,$C$13:$C$58,$B252)</f>
        <v/>
      </c>
      <c r="AD252" s="46">
        <f>+SUMIFS(AD$195:AD$240,$C$13:$C$58,$B252)</f>
        <v/>
      </c>
      <c r="AE252" s="46">
        <f>+SUMIFS(AE$195:AE$240,$C$13:$C$58,$B252)</f>
        <v/>
      </c>
      <c r="AF252" s="46">
        <f>+SUMIFS(AF$195:AF$240,$C$13:$C$58,$B252)</f>
        <v/>
      </c>
      <c r="AG252" s="46">
        <f>+SUMIFS(AG$195:AG$240,$C$13:$C$58,$B252)</f>
        <v/>
      </c>
      <c r="AH252" s="46">
        <f>+SUMIFS(AH$195:AH$240,$C$13:$C$58,$B252)</f>
        <v/>
      </c>
      <c r="AI252" s="46">
        <f>+SUMIFS(AI$195:AI$240,$C$13:$C$58,$B252)</f>
        <v/>
      </c>
      <c r="AJ252" s="46">
        <f>+SUMIFS(AJ$195:AJ$240,$C$13:$C$58,$B252)</f>
        <v/>
      </c>
      <c r="AK252" s="46">
        <f>+SUMIFS(AK$195:AK$240,$C$13:$C$58,$B252)</f>
        <v/>
      </c>
      <c r="AL252" s="46">
        <f>+SUMIFS(AL$195:AL$240,$C$13:$C$58,$B252)</f>
        <v/>
      </c>
      <c r="AM252" s="46">
        <f>+SUMIFS(AM$195:AM$240,$C$13:$C$58,$B252)</f>
        <v/>
      </c>
      <c r="AN252" s="46">
        <f>+SUMIFS(AN$195:AN$240,$C$13:$C$58,$B252)</f>
        <v/>
      </c>
      <c r="AO252" s="46">
        <f>+SUMIFS(AO$195:AO$240,$C$13:$C$58,$B252)</f>
        <v/>
      </c>
      <c r="AP252" s="46">
        <f>+SUMIFS(AP$195:AP$240,$C$13:$C$58,$B252)</f>
        <v/>
      </c>
      <c r="AQ252" s="46">
        <f>+SUMIFS(AQ$195:AQ$240,$C$13:$C$58,$B252)</f>
        <v/>
      </c>
      <c r="AR252" s="46">
        <f>+SUMIFS(AR$195:AR$240,$C$13:$C$58,$B252)</f>
        <v/>
      </c>
      <c r="AS252" s="46">
        <f>+SUMIFS(AS$195:AS$240,$C$13:$C$58,$B252)</f>
        <v/>
      </c>
      <c r="AT252" s="46">
        <f>+SUMIFS(AT$195:AT$240,$C$13:$C$58,$B252)</f>
        <v/>
      </c>
      <c r="AU252" s="46">
        <f>+SUMIFS(AU$195:AU$240,$C$13:$C$58,$B252)</f>
        <v/>
      </c>
      <c r="AV252" s="46">
        <f>+SUMIFS(AV$195:AV$240,$C$13:$C$58,$B252)</f>
        <v/>
      </c>
      <c r="AW252" s="46">
        <f>+SUMIFS(AW$195:AW$240,$C$13:$C$58,$B252)</f>
        <v/>
      </c>
      <c r="AX252" s="46">
        <f>+SUMIFS(AX$195:AX$240,$C$13:$C$58,$B252)</f>
        <v/>
      </c>
      <c r="AY252" s="46">
        <f>+SUMIFS(AY$195:AY$240,$C$13:$C$58,$B252)</f>
        <v/>
      </c>
      <c r="AZ252" s="46">
        <f>+SUMIFS(AZ$195:AZ$240,$C$13:$C$58,$B252)</f>
        <v/>
      </c>
      <c r="BA252" s="46">
        <f>+SUMIFS(BA$195:BA$240,$C$13:$C$58,$B252)</f>
        <v/>
      </c>
      <c r="BB252" s="46">
        <f>+SUMIFS(BB$195:BB$240,$C$13:$C$58,$B252)</f>
        <v/>
      </c>
      <c r="BC252" s="46">
        <f>+SUMIFS(BC$195:BC$240,$C$13:$C$58,$B252)</f>
        <v/>
      </c>
      <c r="BD252" s="46">
        <f>+SUMIFS(BD$195:BD$240,$C$13:$C$58,$B252)</f>
        <v/>
      </c>
      <c r="BE252" s="46">
        <f>+SUMIFS(BE$195:BE$240,$C$13:$C$58,$B252)</f>
        <v/>
      </c>
      <c r="BF252" s="46">
        <f>+SUMIFS(BF$195:BF$240,$C$13:$C$58,$B252)</f>
        <v/>
      </c>
      <c r="BG252" s="46">
        <f>+SUMIFS(BG$195:BG$240,$C$13:$C$58,$B252)</f>
        <v/>
      </c>
      <c r="BH252" s="46">
        <f>+SUMIFS(BH$195:BH$240,$C$13:$C$58,$B252)</f>
        <v/>
      </c>
      <c r="BI252" s="46">
        <f>+SUMIFS(BI$195:BI$240,$C$13:$C$58,$B252)</f>
        <v/>
      </c>
      <c r="BJ252" s="46">
        <f>+SUMIFS(BJ$195:BJ$240,$C$13:$C$58,$B252)</f>
        <v/>
      </c>
      <c r="BK252" s="115">
        <f>+SUMIFS($F252:$M252,$F$7:$M$7,BK$7)*BK$257</f>
        <v/>
      </c>
      <c r="BL252" s="115">
        <f>+SUMIFS($F252:$M252,$F$7:$M$7,BL$7)*BL$257</f>
        <v/>
      </c>
      <c r="BM252" s="115">
        <f>+SUMIFS($F252:$M252,$F$7:$M$7,BM$7)*BM$257</f>
        <v/>
      </c>
      <c r="BN252" s="115">
        <f>+SUMIFS($F252:$M252,$F$7:$M$7,BN$7)*BN$257</f>
        <v/>
      </c>
      <c r="BO252" s="115">
        <f>+SUMIFS($F252:$M252,$F$7:$M$7,BO$7)*BO$257</f>
        <v/>
      </c>
      <c r="BP252" s="115">
        <f>+SUMIFS($F252:$M252,$F$7:$M$7,BP$7)*BP$257</f>
        <v/>
      </c>
      <c r="BQ252" s="115">
        <f>+SUMIFS($F252:$M252,$F$7:$M$7,BQ$7)*BQ$257</f>
        <v/>
      </c>
      <c r="BR252" s="115">
        <f>+SUMIFS($F252:$M252,$F$7:$M$7,BR$7)*BR$257</f>
        <v/>
      </c>
      <c r="BS252" s="115">
        <f>+SUMIFS($F252:$M252,$F$7:$M$7,BS$7)*BS$257</f>
        <v/>
      </c>
      <c r="BT252" s="115">
        <f>+SUMIFS($F252:$M252,$F$7:$M$7,BT$7)*BT$257</f>
        <v/>
      </c>
      <c r="BU252" s="115">
        <f>+SUMIFS($F252:$M252,$F$7:$M$7,BU$7)*BU$257</f>
        <v/>
      </c>
      <c r="BV252" s="115">
        <f>+SUMIFS($F252:$M252,$F$7:$M$7,BV$7)*BV$257</f>
        <v/>
      </c>
      <c r="BW252" s="115">
        <f>+SUMIFS($F252:$M252,$F$7:$M$7,BW$7)*BW$257</f>
        <v/>
      </c>
      <c r="BX252" s="115">
        <f>+SUMIFS($F252:$M252,$F$7:$M$7,BX$7)*BX$257</f>
        <v/>
      </c>
      <c r="BY252" s="115">
        <f>+SUMIFS($F252:$M252,$F$7:$M$7,BY$7)*BY$257</f>
        <v/>
      </c>
      <c r="BZ252" s="115">
        <f>+SUMIFS($F252:$M252,$F$7:$M$7,BZ$7)*BZ$257</f>
        <v/>
      </c>
      <c r="CA252" s="115">
        <f>+SUMIFS($F252:$M252,$F$7:$M$7,CA$7)*CA$257</f>
        <v/>
      </c>
      <c r="CB252" s="115">
        <f>+SUMIFS($F252:$M252,$F$7:$M$7,CB$7)*CB$257</f>
        <v/>
      </c>
      <c r="CC252" s="115">
        <f>+SUMIFS($F252:$M252,$F$7:$M$7,CC$7)*CC$257</f>
        <v/>
      </c>
      <c r="CD252" s="115">
        <f>+SUMIFS($F252:$M252,$F$7:$M$7,CD$7)*CD$257</f>
        <v/>
      </c>
      <c r="CE252" s="115">
        <f>+SUMIFS($F252:$M252,$F$7:$M$7,CE$7)*CE$257</f>
        <v/>
      </c>
      <c r="CF252" s="115">
        <f>+SUMIFS($F252:$M252,$F$7:$M$7,CF$7)*CF$257</f>
        <v/>
      </c>
      <c r="CG252" s="115">
        <f>+SUMIFS($F252:$M252,$F$7:$M$7,CG$7)*CG$257</f>
        <v/>
      </c>
      <c r="CH252" s="115">
        <f>+SUMIFS($F252:$M252,$F$7:$M$7,CH$7)*CH$257</f>
        <v/>
      </c>
      <c r="CI252" s="115">
        <f>+SUMIFS($F252:$M252,$F$7:$M$7,CI$7)*CI$257</f>
        <v/>
      </c>
      <c r="CJ252" s="115">
        <f>+SUMIFS($F252:$M252,$F$7:$M$7,CJ$7)*CJ$257</f>
        <v/>
      </c>
      <c r="CK252" s="115">
        <f>+SUMIFS($F252:$M252,$F$7:$M$7,CK$7)*CK$257</f>
        <v/>
      </c>
      <c r="CL252" s="115">
        <f>+SUMIFS($F252:$M252,$F$7:$M$7,CL$7)*CL$257</f>
        <v/>
      </c>
      <c r="CM252" s="115">
        <f>+SUMIFS($F252:$M252,$F$7:$M$7,CM$7)*CM$257</f>
        <v/>
      </c>
      <c r="CN252" s="115">
        <f>+SUMIFS($F252:$M252,$F$7:$M$7,CN$7)*CN$257</f>
        <v/>
      </c>
      <c r="CO252" s="115">
        <f>+SUMIFS($F252:$M252,$F$7:$M$7,CO$7)*CO$257</f>
        <v/>
      </c>
      <c r="CP252" s="115">
        <f>+SUMIFS($F252:$M252,$F$7:$M$7,CP$7)*CP$257</f>
        <v/>
      </c>
      <c r="CQ252" s="115">
        <f>+SUMIFS($F252:$M252,$F$7:$M$7,CQ$7)*CQ$257</f>
        <v/>
      </c>
      <c r="CR252" s="115">
        <f>+SUMIFS($F252:$M252,$F$7:$M$7,CR$7)*CR$257</f>
        <v/>
      </c>
      <c r="CS252" s="115">
        <f>+SUMIFS($F252:$M252,$F$7:$M$7,CS$7)*CS$257</f>
        <v/>
      </c>
      <c r="CT252" s="115">
        <f>+SUMIFS($F252:$M252,$F$7:$M$7,CT$7)*CT$257</f>
        <v/>
      </c>
      <c r="CU252" s="115">
        <f>+SUMIFS($F252:$M252,$F$7:$M$7,CU$7)*CU$257</f>
        <v/>
      </c>
      <c r="CV252" s="115">
        <f>+SUMIFS($F252:$M252,$F$7:$M$7,CV$7)*CV$257</f>
        <v/>
      </c>
      <c r="CW252" s="115">
        <f>+SUMIFS($F252:$M252,$F$7:$M$7,CW$7)*CW$257</f>
        <v/>
      </c>
      <c r="CX252" s="115">
        <f>+SUMIFS($F252:$M252,$F$7:$M$7,CX$7)*CX$257</f>
        <v/>
      </c>
      <c r="CY252" s="115">
        <f>+SUMIFS($F252:$M252,$F$7:$M$7,CY$7)*CY$257</f>
        <v/>
      </c>
      <c r="CZ252" s="115">
        <f>+SUMIFS($F252:$M252,$F$7:$M$7,CZ$7)*CZ$257</f>
        <v/>
      </c>
      <c r="DA252" s="115">
        <f>+SUMIFS($F252:$M252,$F$7:$M$7,DA$7)*DA$257</f>
        <v/>
      </c>
      <c r="DB252" s="115">
        <f>+SUMIFS($F252:$M252,$F$7:$M$7,DB$7)*DB$257</f>
        <v/>
      </c>
      <c r="DC252" s="115">
        <f>+SUMIFS($F252:$M252,$F$7:$M$7,DC$7)*DC$257</f>
        <v/>
      </c>
      <c r="DD252" s="115">
        <f>+SUMIFS($F252:$M252,$F$7:$M$7,DD$7)*DD$257</f>
        <v/>
      </c>
      <c r="DE252" s="115">
        <f>+SUMIFS($F252:$M252,$F$7:$M$7,DE$7)*DE$257</f>
        <v/>
      </c>
      <c r="DF252" s="115">
        <f>+SUMIFS($F252:$M252,$F$7:$M$7,DF$7)*DF$257</f>
        <v/>
      </c>
      <c r="DG252" s="115">
        <f>+SUMIFS($F252:$M252,$F$7:$M$7,DG$7)*DG$257</f>
        <v/>
      </c>
      <c r="DH252" s="115">
        <f>+SUMIFS($F252:$M252,$F$7:$M$7,DH$7)*DH$257</f>
        <v/>
      </c>
      <c r="DI252" s="115">
        <f>+SUMIFS($F252:$M252,$F$7:$M$7,DI$7)*DI$257</f>
        <v/>
      </c>
      <c r="DJ252" s="115">
        <f>+SUMIFS($F252:$M252,$F$7:$M$7,DJ$7)*DJ$257</f>
        <v/>
      </c>
      <c r="DK252" s="115">
        <f>+SUMIFS($F252:$M252,$F$7:$M$7,DK$7)*DK$257</f>
        <v/>
      </c>
      <c r="DL252" s="115">
        <f>+SUMIFS($F252:$M252,$F$7:$M$7,DL$7)*DL$257</f>
        <v/>
      </c>
      <c r="DM252" s="115">
        <f>+SUMIFS($F252:$M252,$F$7:$M$7,DM$7)*DM$257</f>
        <v/>
      </c>
      <c r="DN252" s="115">
        <f>+SUMIFS($F252:$M252,$F$7:$M$7,DN$7)*DN$257</f>
        <v/>
      </c>
      <c r="DO252" s="115">
        <f>+SUMIFS($F252:$M252,$F$7:$M$7,DO$7)*DO$257</f>
        <v/>
      </c>
      <c r="DP252" s="115">
        <f>+SUMIFS($F252:$M252,$F$7:$M$7,DP$7)*DP$257</f>
        <v/>
      </c>
      <c r="DQ252" s="115">
        <f>+SUMIFS($F252:$M252,$F$7:$M$7,DQ$7)*DQ$257</f>
        <v/>
      </c>
      <c r="DR252" s="115">
        <f>+SUMIFS($F252:$M252,$F$7:$M$7,DR$7)*DR$257</f>
        <v/>
      </c>
    </row>
    <row r="253" ht="15.75" customHeight="1">
      <c r="B253" s="5" t="inlineStr">
        <is>
          <t>Major</t>
        </is>
      </c>
      <c r="F253" s="46">
        <f>+SUMIFS($AA253:$DR253,$AA$7:$DR$7,F$7)</f>
        <v/>
      </c>
      <c r="G253" s="46">
        <f>+SUMIFS($AA253:$DR253,$AA$7:$DR$7,G$7)</f>
        <v/>
      </c>
      <c r="H253" s="46">
        <f>+SUMIFS($AA253:$DR253,$AA$7:$DR$7,H$7)</f>
        <v/>
      </c>
      <c r="I253" s="48">
        <f>+I246*(1-COGS_Assumptions!I32)</f>
        <v/>
      </c>
      <c r="J253" s="48">
        <f>+J246*(1-COGS_Assumptions!J32)</f>
        <v/>
      </c>
      <c r="K253" s="48">
        <f>+K246*(1-COGS_Assumptions!K32)</f>
        <v/>
      </c>
      <c r="L253" s="48">
        <f>+L246*(1-COGS_Assumptions!L32)</f>
        <v/>
      </c>
      <c r="M253" s="48">
        <f>+M246*(1-COGS_Assumptions!M32)</f>
        <v/>
      </c>
      <c r="AA253" s="46">
        <f>+SUMIFS(AA$195:AA$240,$C$13:$C$58,$B253)</f>
        <v/>
      </c>
      <c r="AB253" s="46">
        <f>+SUMIFS(AB$195:AB$240,$C$13:$C$58,$B253)</f>
        <v/>
      </c>
      <c r="AC253" s="46">
        <f>+SUMIFS(AC$195:AC$240,$C$13:$C$58,$B253)</f>
        <v/>
      </c>
      <c r="AD253" s="46">
        <f>+SUMIFS(AD$195:AD$240,$C$13:$C$58,$B253)</f>
        <v/>
      </c>
      <c r="AE253" s="46">
        <f>+SUMIFS(AE$195:AE$240,$C$13:$C$58,$B253)</f>
        <v/>
      </c>
      <c r="AF253" s="46">
        <f>+SUMIFS(AF$195:AF$240,$C$13:$C$58,$B253)</f>
        <v/>
      </c>
      <c r="AG253" s="46">
        <f>+SUMIFS(AG$195:AG$240,$C$13:$C$58,$B253)</f>
        <v/>
      </c>
      <c r="AH253" s="46">
        <f>+SUMIFS(AH$195:AH$240,$C$13:$C$58,$B253)</f>
        <v/>
      </c>
      <c r="AI253" s="46">
        <f>+SUMIFS(AI$195:AI$240,$C$13:$C$58,$B253)</f>
        <v/>
      </c>
      <c r="AJ253" s="46">
        <f>+SUMIFS(AJ$195:AJ$240,$C$13:$C$58,$B253)</f>
        <v/>
      </c>
      <c r="AK253" s="46">
        <f>+SUMIFS(AK$195:AK$240,$C$13:$C$58,$B253)</f>
        <v/>
      </c>
      <c r="AL253" s="46">
        <f>+SUMIFS(AL$195:AL$240,$C$13:$C$58,$B253)</f>
        <v/>
      </c>
      <c r="AM253" s="46">
        <f>+SUMIFS(AM$195:AM$240,$C$13:$C$58,$B253)</f>
        <v/>
      </c>
      <c r="AN253" s="46">
        <f>+SUMIFS(AN$195:AN$240,$C$13:$C$58,$B253)</f>
        <v/>
      </c>
      <c r="AO253" s="46">
        <f>+SUMIFS(AO$195:AO$240,$C$13:$C$58,$B253)</f>
        <v/>
      </c>
      <c r="AP253" s="46">
        <f>+SUMIFS(AP$195:AP$240,$C$13:$C$58,$B253)</f>
        <v/>
      </c>
      <c r="AQ253" s="46">
        <f>+SUMIFS(AQ$195:AQ$240,$C$13:$C$58,$B253)</f>
        <v/>
      </c>
      <c r="AR253" s="46">
        <f>+SUMIFS(AR$195:AR$240,$C$13:$C$58,$B253)</f>
        <v/>
      </c>
      <c r="AS253" s="46">
        <f>+SUMIFS(AS$195:AS$240,$C$13:$C$58,$B253)</f>
        <v/>
      </c>
      <c r="AT253" s="46">
        <f>+SUMIFS(AT$195:AT$240,$C$13:$C$58,$B253)</f>
        <v/>
      </c>
      <c r="AU253" s="46">
        <f>+SUMIFS(AU$195:AU$240,$C$13:$C$58,$B253)</f>
        <v/>
      </c>
      <c r="AV253" s="46">
        <f>+SUMIFS(AV$195:AV$240,$C$13:$C$58,$B253)</f>
        <v/>
      </c>
      <c r="AW253" s="46">
        <f>+SUMIFS(AW$195:AW$240,$C$13:$C$58,$B253)</f>
        <v/>
      </c>
      <c r="AX253" s="46">
        <f>+SUMIFS(AX$195:AX$240,$C$13:$C$58,$B253)</f>
        <v/>
      </c>
      <c r="AY253" s="46">
        <f>+SUMIFS(AY$195:AY$240,$C$13:$C$58,$B253)</f>
        <v/>
      </c>
      <c r="AZ253" s="46">
        <f>+SUMIFS(AZ$195:AZ$240,$C$13:$C$58,$B253)</f>
        <v/>
      </c>
      <c r="BA253" s="46">
        <f>+SUMIFS(BA$195:BA$240,$C$13:$C$58,$B253)</f>
        <v/>
      </c>
      <c r="BB253" s="46">
        <f>+SUMIFS(BB$195:BB$240,$C$13:$C$58,$B253)</f>
        <v/>
      </c>
      <c r="BC253" s="46">
        <f>+SUMIFS(BC$195:BC$240,$C$13:$C$58,$B253)</f>
        <v/>
      </c>
      <c r="BD253" s="46">
        <f>+SUMIFS(BD$195:BD$240,$C$13:$C$58,$B253)</f>
        <v/>
      </c>
      <c r="BE253" s="46">
        <f>+SUMIFS(BE$195:BE$240,$C$13:$C$58,$B253)</f>
        <v/>
      </c>
      <c r="BF253" s="46">
        <f>+SUMIFS(BF$195:BF$240,$C$13:$C$58,$B253)</f>
        <v/>
      </c>
      <c r="BG253" s="46">
        <f>+SUMIFS(BG$195:BG$240,$C$13:$C$58,$B253)</f>
        <v/>
      </c>
      <c r="BH253" s="46">
        <f>+SUMIFS(BH$195:BH$240,$C$13:$C$58,$B253)</f>
        <v/>
      </c>
      <c r="BI253" s="46">
        <f>+SUMIFS(BI$195:BI$240,$C$13:$C$58,$B253)</f>
        <v/>
      </c>
      <c r="BJ253" s="46">
        <f>+SUMIFS(BJ$195:BJ$240,$C$13:$C$58,$B253)</f>
        <v/>
      </c>
      <c r="BK253" s="115">
        <f>+SUMIFS($F253:$M253,$F$7:$M$7,BK$7)*BK$257</f>
        <v/>
      </c>
      <c r="BL253" s="115">
        <f>+SUMIFS($F253:$M253,$F$7:$M$7,BL$7)*BL$257</f>
        <v/>
      </c>
      <c r="BM253" s="115">
        <f>+SUMIFS($F253:$M253,$F$7:$M$7,BM$7)*BM$257</f>
        <v/>
      </c>
      <c r="BN253" s="115">
        <f>+SUMIFS($F253:$M253,$F$7:$M$7,BN$7)*BN$257</f>
        <v/>
      </c>
      <c r="BO253" s="115">
        <f>+SUMIFS($F253:$M253,$F$7:$M$7,BO$7)*BO$257</f>
        <v/>
      </c>
      <c r="BP253" s="115">
        <f>+SUMIFS($F253:$M253,$F$7:$M$7,BP$7)*BP$257</f>
        <v/>
      </c>
      <c r="BQ253" s="115">
        <f>+SUMIFS($F253:$M253,$F$7:$M$7,BQ$7)*BQ$257</f>
        <v/>
      </c>
      <c r="BR253" s="115">
        <f>+SUMIFS($F253:$M253,$F$7:$M$7,BR$7)*BR$257</f>
        <v/>
      </c>
      <c r="BS253" s="115">
        <f>+SUMIFS($F253:$M253,$F$7:$M$7,BS$7)*BS$257</f>
        <v/>
      </c>
      <c r="BT253" s="115">
        <f>+SUMIFS($F253:$M253,$F$7:$M$7,BT$7)*BT$257</f>
        <v/>
      </c>
      <c r="BU253" s="115">
        <f>+SUMIFS($F253:$M253,$F$7:$M$7,BU$7)*BU$257</f>
        <v/>
      </c>
      <c r="BV253" s="115">
        <f>+SUMIFS($F253:$M253,$F$7:$M$7,BV$7)*BV$257</f>
        <v/>
      </c>
      <c r="BW253" s="115">
        <f>+SUMIFS($F253:$M253,$F$7:$M$7,BW$7)*BW$257</f>
        <v/>
      </c>
      <c r="BX253" s="115">
        <f>+SUMIFS($F253:$M253,$F$7:$M$7,BX$7)*BX$257</f>
        <v/>
      </c>
      <c r="BY253" s="115">
        <f>+SUMIFS($F253:$M253,$F$7:$M$7,BY$7)*BY$257</f>
        <v/>
      </c>
      <c r="BZ253" s="115">
        <f>+SUMIFS($F253:$M253,$F$7:$M$7,BZ$7)*BZ$257</f>
        <v/>
      </c>
      <c r="CA253" s="115">
        <f>+SUMIFS($F253:$M253,$F$7:$M$7,CA$7)*CA$257</f>
        <v/>
      </c>
      <c r="CB253" s="115">
        <f>+SUMIFS($F253:$M253,$F$7:$M$7,CB$7)*CB$257</f>
        <v/>
      </c>
      <c r="CC253" s="115">
        <f>+SUMIFS($F253:$M253,$F$7:$M$7,CC$7)*CC$257</f>
        <v/>
      </c>
      <c r="CD253" s="115">
        <f>+SUMIFS($F253:$M253,$F$7:$M$7,CD$7)*CD$257</f>
        <v/>
      </c>
      <c r="CE253" s="115">
        <f>+SUMIFS($F253:$M253,$F$7:$M$7,CE$7)*CE$257</f>
        <v/>
      </c>
      <c r="CF253" s="115">
        <f>+SUMIFS($F253:$M253,$F$7:$M$7,CF$7)*CF$257</f>
        <v/>
      </c>
      <c r="CG253" s="115">
        <f>+SUMIFS($F253:$M253,$F$7:$M$7,CG$7)*CG$257</f>
        <v/>
      </c>
      <c r="CH253" s="115">
        <f>+SUMIFS($F253:$M253,$F$7:$M$7,CH$7)*CH$257</f>
        <v/>
      </c>
      <c r="CI253" s="115">
        <f>+SUMIFS($F253:$M253,$F$7:$M$7,CI$7)*CI$257</f>
        <v/>
      </c>
      <c r="CJ253" s="115">
        <f>+SUMIFS($F253:$M253,$F$7:$M$7,CJ$7)*CJ$257</f>
        <v/>
      </c>
      <c r="CK253" s="115">
        <f>+SUMIFS($F253:$M253,$F$7:$M$7,CK$7)*CK$257</f>
        <v/>
      </c>
      <c r="CL253" s="115">
        <f>+SUMIFS($F253:$M253,$F$7:$M$7,CL$7)*CL$257</f>
        <v/>
      </c>
      <c r="CM253" s="115">
        <f>+SUMIFS($F253:$M253,$F$7:$M$7,CM$7)*CM$257</f>
        <v/>
      </c>
      <c r="CN253" s="115">
        <f>+SUMIFS($F253:$M253,$F$7:$M$7,CN$7)*CN$257</f>
        <v/>
      </c>
      <c r="CO253" s="115">
        <f>+SUMIFS($F253:$M253,$F$7:$M$7,CO$7)*CO$257</f>
        <v/>
      </c>
      <c r="CP253" s="115">
        <f>+SUMIFS($F253:$M253,$F$7:$M$7,CP$7)*CP$257</f>
        <v/>
      </c>
      <c r="CQ253" s="115">
        <f>+SUMIFS($F253:$M253,$F$7:$M$7,CQ$7)*CQ$257</f>
        <v/>
      </c>
      <c r="CR253" s="115">
        <f>+SUMIFS($F253:$M253,$F$7:$M$7,CR$7)*CR$257</f>
        <v/>
      </c>
      <c r="CS253" s="115">
        <f>+SUMIFS($F253:$M253,$F$7:$M$7,CS$7)*CS$257</f>
        <v/>
      </c>
      <c r="CT253" s="115">
        <f>+SUMIFS($F253:$M253,$F$7:$M$7,CT$7)*CT$257</f>
        <v/>
      </c>
      <c r="CU253" s="115">
        <f>+SUMIFS($F253:$M253,$F$7:$M$7,CU$7)*CU$257</f>
        <v/>
      </c>
      <c r="CV253" s="115">
        <f>+SUMIFS($F253:$M253,$F$7:$M$7,CV$7)*CV$257</f>
        <v/>
      </c>
      <c r="CW253" s="115">
        <f>+SUMIFS($F253:$M253,$F$7:$M$7,CW$7)*CW$257</f>
        <v/>
      </c>
      <c r="CX253" s="115">
        <f>+SUMIFS($F253:$M253,$F$7:$M$7,CX$7)*CX$257</f>
        <v/>
      </c>
      <c r="CY253" s="115">
        <f>+SUMIFS($F253:$M253,$F$7:$M$7,CY$7)*CY$257</f>
        <v/>
      </c>
      <c r="CZ253" s="115">
        <f>+SUMIFS($F253:$M253,$F$7:$M$7,CZ$7)*CZ$257</f>
        <v/>
      </c>
      <c r="DA253" s="115">
        <f>+SUMIFS($F253:$M253,$F$7:$M$7,DA$7)*DA$257</f>
        <v/>
      </c>
      <c r="DB253" s="115">
        <f>+SUMIFS($F253:$M253,$F$7:$M$7,DB$7)*DB$257</f>
        <v/>
      </c>
      <c r="DC253" s="115">
        <f>+SUMIFS($F253:$M253,$F$7:$M$7,DC$7)*DC$257</f>
        <v/>
      </c>
      <c r="DD253" s="115">
        <f>+SUMIFS($F253:$M253,$F$7:$M$7,DD$7)*DD$257</f>
        <v/>
      </c>
      <c r="DE253" s="115">
        <f>+SUMIFS($F253:$M253,$F$7:$M$7,DE$7)*DE$257</f>
        <v/>
      </c>
      <c r="DF253" s="115">
        <f>+SUMIFS($F253:$M253,$F$7:$M$7,DF$7)*DF$257</f>
        <v/>
      </c>
      <c r="DG253" s="115">
        <f>+SUMIFS($F253:$M253,$F$7:$M$7,DG$7)*DG$257</f>
        <v/>
      </c>
      <c r="DH253" s="115">
        <f>+SUMIFS($F253:$M253,$F$7:$M$7,DH$7)*DH$257</f>
        <v/>
      </c>
      <c r="DI253" s="115">
        <f>+SUMIFS($F253:$M253,$F$7:$M$7,DI$7)*DI$257</f>
        <v/>
      </c>
      <c r="DJ253" s="115">
        <f>+SUMIFS($F253:$M253,$F$7:$M$7,DJ$7)*DJ$257</f>
        <v/>
      </c>
      <c r="DK253" s="115">
        <f>+SUMIFS($F253:$M253,$F$7:$M$7,DK$7)*DK$257</f>
        <v/>
      </c>
      <c r="DL253" s="115">
        <f>+SUMIFS($F253:$M253,$F$7:$M$7,DL$7)*DL$257</f>
        <v/>
      </c>
      <c r="DM253" s="115">
        <f>+SUMIFS($F253:$M253,$F$7:$M$7,DM$7)*DM$257</f>
        <v/>
      </c>
      <c r="DN253" s="115">
        <f>+SUMIFS($F253:$M253,$F$7:$M$7,DN$7)*DN$257</f>
        <v/>
      </c>
      <c r="DO253" s="115">
        <f>+SUMIFS($F253:$M253,$F$7:$M$7,DO$7)*DO$257</f>
        <v/>
      </c>
      <c r="DP253" s="115">
        <f>+SUMIFS($F253:$M253,$F$7:$M$7,DP$7)*DP$257</f>
        <v/>
      </c>
      <c r="DQ253" s="115">
        <f>+SUMIFS($F253:$M253,$F$7:$M$7,DQ$7)*DQ$257</f>
        <v/>
      </c>
      <c r="DR253" s="115">
        <f>+SUMIFS($F253:$M253,$F$7:$M$7,DR$7)*DR$257</f>
        <v/>
      </c>
    </row>
    <row r="254" ht="15.75" customHeight="1">
      <c r="B254" s="5" t="inlineStr">
        <is>
          <t>Upper Middle Market</t>
        </is>
      </c>
      <c r="F254" s="46">
        <f>+SUMIFS($AA254:$DR254,$AA$7:$DR$7,F$7)</f>
        <v/>
      </c>
      <c r="G254" s="46">
        <f>+SUMIFS($AA254:$DR254,$AA$7:$DR$7,G$7)</f>
        <v/>
      </c>
      <c r="H254" s="46">
        <f>+SUMIFS($AA254:$DR254,$AA$7:$DR$7,H$7)</f>
        <v/>
      </c>
      <c r="I254" s="48">
        <f>+I247*(1-COGS_Assumptions!I33)</f>
        <v/>
      </c>
      <c r="J254" s="48">
        <f>+J247*(1-COGS_Assumptions!J33)</f>
        <v/>
      </c>
      <c r="K254" s="48">
        <f>+K247*(1-COGS_Assumptions!K33)</f>
        <v/>
      </c>
      <c r="L254" s="48">
        <f>+L247*(1-COGS_Assumptions!L33)</f>
        <v/>
      </c>
      <c r="M254" s="48">
        <f>+M247*(1-COGS_Assumptions!M33)</f>
        <v/>
      </c>
      <c r="AA254" s="46">
        <f>+SUMIFS(AA$195:AA$240,$C$13:$C$58,$B254)</f>
        <v/>
      </c>
      <c r="AB254" s="46">
        <f>+SUMIFS(AB$195:AB$240,$C$13:$C$58,$B254)</f>
        <v/>
      </c>
      <c r="AC254" s="46">
        <f>+SUMIFS(AC$195:AC$240,$C$13:$C$58,$B254)</f>
        <v/>
      </c>
      <c r="AD254" s="46">
        <f>+SUMIFS(AD$195:AD$240,$C$13:$C$58,$B254)</f>
        <v/>
      </c>
      <c r="AE254" s="46">
        <f>+SUMIFS(AE$195:AE$240,$C$13:$C$58,$B254)</f>
        <v/>
      </c>
      <c r="AF254" s="46">
        <f>+SUMIFS(AF$195:AF$240,$C$13:$C$58,$B254)</f>
        <v/>
      </c>
      <c r="AG254" s="46">
        <f>+SUMIFS(AG$195:AG$240,$C$13:$C$58,$B254)</f>
        <v/>
      </c>
      <c r="AH254" s="46">
        <f>+SUMIFS(AH$195:AH$240,$C$13:$C$58,$B254)</f>
        <v/>
      </c>
      <c r="AI254" s="46">
        <f>+SUMIFS(AI$195:AI$240,$C$13:$C$58,$B254)</f>
        <v/>
      </c>
      <c r="AJ254" s="46">
        <f>+SUMIFS(AJ$195:AJ$240,$C$13:$C$58,$B254)</f>
        <v/>
      </c>
      <c r="AK254" s="46">
        <f>+SUMIFS(AK$195:AK$240,$C$13:$C$58,$B254)</f>
        <v/>
      </c>
      <c r="AL254" s="46">
        <f>+SUMIFS(AL$195:AL$240,$C$13:$C$58,$B254)</f>
        <v/>
      </c>
      <c r="AM254" s="46">
        <f>+SUMIFS(AM$195:AM$240,$C$13:$C$58,$B254)</f>
        <v/>
      </c>
      <c r="AN254" s="46">
        <f>+SUMIFS(AN$195:AN$240,$C$13:$C$58,$B254)</f>
        <v/>
      </c>
      <c r="AO254" s="46">
        <f>+SUMIFS(AO$195:AO$240,$C$13:$C$58,$B254)</f>
        <v/>
      </c>
      <c r="AP254" s="46">
        <f>+SUMIFS(AP$195:AP$240,$C$13:$C$58,$B254)</f>
        <v/>
      </c>
      <c r="AQ254" s="46">
        <f>+SUMIFS(AQ$195:AQ$240,$C$13:$C$58,$B254)</f>
        <v/>
      </c>
      <c r="AR254" s="46">
        <f>+SUMIFS(AR$195:AR$240,$C$13:$C$58,$B254)</f>
        <v/>
      </c>
      <c r="AS254" s="46">
        <f>+SUMIFS(AS$195:AS$240,$C$13:$C$58,$B254)</f>
        <v/>
      </c>
      <c r="AT254" s="46">
        <f>+SUMIFS(AT$195:AT$240,$C$13:$C$58,$B254)</f>
        <v/>
      </c>
      <c r="AU254" s="46">
        <f>+SUMIFS(AU$195:AU$240,$C$13:$C$58,$B254)</f>
        <v/>
      </c>
      <c r="AV254" s="46">
        <f>+SUMIFS(AV$195:AV$240,$C$13:$C$58,$B254)</f>
        <v/>
      </c>
      <c r="AW254" s="46">
        <f>+SUMIFS(AW$195:AW$240,$C$13:$C$58,$B254)</f>
        <v/>
      </c>
      <c r="AX254" s="46">
        <f>+SUMIFS(AX$195:AX$240,$C$13:$C$58,$B254)</f>
        <v/>
      </c>
      <c r="AY254" s="46">
        <f>+SUMIFS(AY$195:AY$240,$C$13:$C$58,$B254)</f>
        <v/>
      </c>
      <c r="AZ254" s="46">
        <f>+SUMIFS(AZ$195:AZ$240,$C$13:$C$58,$B254)</f>
        <v/>
      </c>
      <c r="BA254" s="46">
        <f>+SUMIFS(BA$195:BA$240,$C$13:$C$58,$B254)</f>
        <v/>
      </c>
      <c r="BB254" s="46">
        <f>+SUMIFS(BB$195:BB$240,$C$13:$C$58,$B254)</f>
        <v/>
      </c>
      <c r="BC254" s="46">
        <f>+SUMIFS(BC$195:BC$240,$C$13:$C$58,$B254)</f>
        <v/>
      </c>
      <c r="BD254" s="46">
        <f>+SUMIFS(BD$195:BD$240,$C$13:$C$58,$B254)</f>
        <v/>
      </c>
      <c r="BE254" s="46">
        <f>+SUMIFS(BE$195:BE$240,$C$13:$C$58,$B254)</f>
        <v/>
      </c>
      <c r="BF254" s="46">
        <f>+SUMIFS(BF$195:BF$240,$C$13:$C$58,$B254)</f>
        <v/>
      </c>
      <c r="BG254" s="46">
        <f>+SUMIFS(BG$195:BG$240,$C$13:$C$58,$B254)</f>
        <v/>
      </c>
      <c r="BH254" s="46">
        <f>+SUMIFS(BH$195:BH$240,$C$13:$C$58,$B254)</f>
        <v/>
      </c>
      <c r="BI254" s="46">
        <f>+SUMIFS(BI$195:BI$240,$C$13:$C$58,$B254)</f>
        <v/>
      </c>
      <c r="BJ254" s="46">
        <f>+SUMIFS(BJ$195:BJ$240,$C$13:$C$58,$B254)</f>
        <v/>
      </c>
      <c r="BK254" s="115">
        <f>+SUMIFS($F254:$M254,$F$7:$M$7,BK$7)*BK$257</f>
        <v/>
      </c>
      <c r="BL254" s="115">
        <f>+SUMIFS($F254:$M254,$F$7:$M$7,BL$7)*BL$257</f>
        <v/>
      </c>
      <c r="BM254" s="115">
        <f>+SUMIFS($F254:$M254,$F$7:$M$7,BM$7)*BM$257</f>
        <v/>
      </c>
      <c r="BN254" s="115">
        <f>+SUMIFS($F254:$M254,$F$7:$M$7,BN$7)*BN$257</f>
        <v/>
      </c>
      <c r="BO254" s="115">
        <f>+SUMIFS($F254:$M254,$F$7:$M$7,BO$7)*BO$257</f>
        <v/>
      </c>
      <c r="BP254" s="115">
        <f>+SUMIFS($F254:$M254,$F$7:$M$7,BP$7)*BP$257</f>
        <v/>
      </c>
      <c r="BQ254" s="115">
        <f>+SUMIFS($F254:$M254,$F$7:$M$7,BQ$7)*BQ$257</f>
        <v/>
      </c>
      <c r="BR254" s="115">
        <f>+SUMIFS($F254:$M254,$F$7:$M$7,BR$7)*BR$257</f>
        <v/>
      </c>
      <c r="BS254" s="115">
        <f>+SUMIFS($F254:$M254,$F$7:$M$7,BS$7)*BS$257</f>
        <v/>
      </c>
      <c r="BT254" s="115">
        <f>+SUMIFS($F254:$M254,$F$7:$M$7,BT$7)*BT$257</f>
        <v/>
      </c>
      <c r="BU254" s="115">
        <f>+SUMIFS($F254:$M254,$F$7:$M$7,BU$7)*BU$257</f>
        <v/>
      </c>
      <c r="BV254" s="115">
        <f>+SUMIFS($F254:$M254,$F$7:$M$7,BV$7)*BV$257</f>
        <v/>
      </c>
      <c r="BW254" s="115">
        <f>+SUMIFS($F254:$M254,$F$7:$M$7,BW$7)*BW$257</f>
        <v/>
      </c>
      <c r="BX254" s="115">
        <f>+SUMIFS($F254:$M254,$F$7:$M$7,BX$7)*BX$257</f>
        <v/>
      </c>
      <c r="BY254" s="115">
        <f>+SUMIFS($F254:$M254,$F$7:$M$7,BY$7)*BY$257</f>
        <v/>
      </c>
      <c r="BZ254" s="115">
        <f>+SUMIFS($F254:$M254,$F$7:$M$7,BZ$7)*BZ$257</f>
        <v/>
      </c>
      <c r="CA254" s="115">
        <f>+SUMIFS($F254:$M254,$F$7:$M$7,CA$7)*CA$257</f>
        <v/>
      </c>
      <c r="CB254" s="115">
        <f>+SUMIFS($F254:$M254,$F$7:$M$7,CB$7)*CB$257</f>
        <v/>
      </c>
      <c r="CC254" s="115">
        <f>+SUMIFS($F254:$M254,$F$7:$M$7,CC$7)*CC$257</f>
        <v/>
      </c>
      <c r="CD254" s="115">
        <f>+SUMIFS($F254:$M254,$F$7:$M$7,CD$7)*CD$257</f>
        <v/>
      </c>
      <c r="CE254" s="115">
        <f>+SUMIFS($F254:$M254,$F$7:$M$7,CE$7)*CE$257</f>
        <v/>
      </c>
      <c r="CF254" s="115">
        <f>+SUMIFS($F254:$M254,$F$7:$M$7,CF$7)*CF$257</f>
        <v/>
      </c>
      <c r="CG254" s="115">
        <f>+SUMIFS($F254:$M254,$F$7:$M$7,CG$7)*CG$257</f>
        <v/>
      </c>
      <c r="CH254" s="115">
        <f>+SUMIFS($F254:$M254,$F$7:$M$7,CH$7)*CH$257</f>
        <v/>
      </c>
      <c r="CI254" s="115">
        <f>+SUMIFS($F254:$M254,$F$7:$M$7,CI$7)*CI$257</f>
        <v/>
      </c>
      <c r="CJ254" s="115">
        <f>+SUMIFS($F254:$M254,$F$7:$M$7,CJ$7)*CJ$257</f>
        <v/>
      </c>
      <c r="CK254" s="115">
        <f>+SUMIFS($F254:$M254,$F$7:$M$7,CK$7)*CK$257</f>
        <v/>
      </c>
      <c r="CL254" s="115">
        <f>+SUMIFS($F254:$M254,$F$7:$M$7,CL$7)*CL$257</f>
        <v/>
      </c>
      <c r="CM254" s="115">
        <f>+SUMIFS($F254:$M254,$F$7:$M$7,CM$7)*CM$257</f>
        <v/>
      </c>
      <c r="CN254" s="115">
        <f>+SUMIFS($F254:$M254,$F$7:$M$7,CN$7)*CN$257</f>
        <v/>
      </c>
      <c r="CO254" s="115">
        <f>+SUMIFS($F254:$M254,$F$7:$M$7,CO$7)*CO$257</f>
        <v/>
      </c>
      <c r="CP254" s="115">
        <f>+SUMIFS($F254:$M254,$F$7:$M$7,CP$7)*CP$257</f>
        <v/>
      </c>
      <c r="CQ254" s="115">
        <f>+SUMIFS($F254:$M254,$F$7:$M$7,CQ$7)*CQ$257</f>
        <v/>
      </c>
      <c r="CR254" s="115">
        <f>+SUMIFS($F254:$M254,$F$7:$M$7,CR$7)*CR$257</f>
        <v/>
      </c>
      <c r="CS254" s="115">
        <f>+SUMIFS($F254:$M254,$F$7:$M$7,CS$7)*CS$257</f>
        <v/>
      </c>
      <c r="CT254" s="115">
        <f>+SUMIFS($F254:$M254,$F$7:$M$7,CT$7)*CT$257</f>
        <v/>
      </c>
      <c r="CU254" s="115">
        <f>+SUMIFS($F254:$M254,$F$7:$M$7,CU$7)*CU$257</f>
        <v/>
      </c>
      <c r="CV254" s="115">
        <f>+SUMIFS($F254:$M254,$F$7:$M$7,CV$7)*CV$257</f>
        <v/>
      </c>
      <c r="CW254" s="115">
        <f>+SUMIFS($F254:$M254,$F$7:$M$7,CW$7)*CW$257</f>
        <v/>
      </c>
      <c r="CX254" s="115">
        <f>+SUMIFS($F254:$M254,$F$7:$M$7,CX$7)*CX$257</f>
        <v/>
      </c>
      <c r="CY254" s="115">
        <f>+SUMIFS($F254:$M254,$F$7:$M$7,CY$7)*CY$257</f>
        <v/>
      </c>
      <c r="CZ254" s="115">
        <f>+SUMIFS($F254:$M254,$F$7:$M$7,CZ$7)*CZ$257</f>
        <v/>
      </c>
      <c r="DA254" s="115">
        <f>+SUMIFS($F254:$M254,$F$7:$M$7,DA$7)*DA$257</f>
        <v/>
      </c>
      <c r="DB254" s="115">
        <f>+SUMIFS($F254:$M254,$F$7:$M$7,DB$7)*DB$257</f>
        <v/>
      </c>
      <c r="DC254" s="115">
        <f>+SUMIFS($F254:$M254,$F$7:$M$7,DC$7)*DC$257</f>
        <v/>
      </c>
      <c r="DD254" s="115">
        <f>+SUMIFS($F254:$M254,$F$7:$M$7,DD$7)*DD$257</f>
        <v/>
      </c>
      <c r="DE254" s="115">
        <f>+SUMIFS($F254:$M254,$F$7:$M$7,DE$7)*DE$257</f>
        <v/>
      </c>
      <c r="DF254" s="115">
        <f>+SUMIFS($F254:$M254,$F$7:$M$7,DF$7)*DF$257</f>
        <v/>
      </c>
      <c r="DG254" s="115">
        <f>+SUMIFS($F254:$M254,$F$7:$M$7,DG$7)*DG$257</f>
        <v/>
      </c>
      <c r="DH254" s="115">
        <f>+SUMIFS($F254:$M254,$F$7:$M$7,DH$7)*DH$257</f>
        <v/>
      </c>
      <c r="DI254" s="115">
        <f>+SUMIFS($F254:$M254,$F$7:$M$7,DI$7)*DI$257</f>
        <v/>
      </c>
      <c r="DJ254" s="115">
        <f>+SUMIFS($F254:$M254,$F$7:$M$7,DJ$7)*DJ$257</f>
        <v/>
      </c>
      <c r="DK254" s="115">
        <f>+SUMIFS($F254:$M254,$F$7:$M$7,DK$7)*DK$257</f>
        <v/>
      </c>
      <c r="DL254" s="115">
        <f>+SUMIFS($F254:$M254,$F$7:$M$7,DL$7)*DL$257</f>
        <v/>
      </c>
      <c r="DM254" s="115">
        <f>+SUMIFS($F254:$M254,$F$7:$M$7,DM$7)*DM$257</f>
        <v/>
      </c>
      <c r="DN254" s="115">
        <f>+SUMIFS($F254:$M254,$F$7:$M$7,DN$7)*DN$257</f>
        <v/>
      </c>
      <c r="DO254" s="115">
        <f>+SUMIFS($F254:$M254,$F$7:$M$7,DO$7)*DO$257</f>
        <v/>
      </c>
      <c r="DP254" s="115">
        <f>+SUMIFS($F254:$M254,$F$7:$M$7,DP$7)*DP$257</f>
        <v/>
      </c>
      <c r="DQ254" s="115">
        <f>+SUMIFS($F254:$M254,$F$7:$M$7,DQ$7)*DQ$257</f>
        <v/>
      </c>
      <c r="DR254" s="115">
        <f>+SUMIFS($F254:$M254,$F$7:$M$7,DR$7)*DR$257</f>
        <v/>
      </c>
    </row>
    <row r="255" ht="15.75" customHeight="1">
      <c r="B255" s="5" t="inlineStr">
        <is>
          <t>Lower Middle Market</t>
        </is>
      </c>
      <c r="F255" s="46">
        <f>+SUMIFS($AA255:$DR255,$AA$7:$DR$7,F$7)</f>
        <v/>
      </c>
      <c r="G255" s="46">
        <f>+SUMIFS($AA255:$DR255,$AA$7:$DR$7,G$7)</f>
        <v/>
      </c>
      <c r="H255" s="46">
        <f>+SUMIFS($AA255:$DR255,$AA$7:$DR$7,H$7)</f>
        <v/>
      </c>
      <c r="I255" s="48">
        <f>+I248*(1-COGS_Assumptions!I34)</f>
        <v/>
      </c>
      <c r="J255" s="48">
        <f>+J248*(1-COGS_Assumptions!J34)</f>
        <v/>
      </c>
      <c r="K255" s="48">
        <f>+K248*(1-COGS_Assumptions!K34)</f>
        <v/>
      </c>
      <c r="L255" s="48">
        <f>+L248*(1-COGS_Assumptions!L34)</f>
        <v/>
      </c>
      <c r="M255" s="48">
        <f>+M248*(1-COGS_Assumptions!M34)</f>
        <v/>
      </c>
      <c r="AA255" s="46">
        <f>+SUMIFS(AA$195:AA$240,$C$13:$C$58,$B255)</f>
        <v/>
      </c>
      <c r="AB255" s="46">
        <f>+SUMIFS(AB$195:AB$240,$C$13:$C$58,$B255)</f>
        <v/>
      </c>
      <c r="AC255" s="46">
        <f>+SUMIFS(AC$195:AC$240,$C$13:$C$58,$B255)</f>
        <v/>
      </c>
      <c r="AD255" s="46">
        <f>+SUMIFS(AD$195:AD$240,$C$13:$C$58,$B255)</f>
        <v/>
      </c>
      <c r="AE255" s="46">
        <f>+SUMIFS(AE$195:AE$240,$C$13:$C$58,$B255)</f>
        <v/>
      </c>
      <c r="AF255" s="46">
        <f>+SUMIFS(AF$195:AF$240,$C$13:$C$58,$B255)</f>
        <v/>
      </c>
      <c r="AG255" s="46">
        <f>+SUMIFS(AG$195:AG$240,$C$13:$C$58,$B255)</f>
        <v/>
      </c>
      <c r="AH255" s="46">
        <f>+SUMIFS(AH$195:AH$240,$C$13:$C$58,$B255)</f>
        <v/>
      </c>
      <c r="AI255" s="46">
        <f>+SUMIFS(AI$195:AI$240,$C$13:$C$58,$B255)</f>
        <v/>
      </c>
      <c r="AJ255" s="46">
        <f>+SUMIFS(AJ$195:AJ$240,$C$13:$C$58,$B255)</f>
        <v/>
      </c>
      <c r="AK255" s="46">
        <f>+SUMIFS(AK$195:AK$240,$C$13:$C$58,$B255)</f>
        <v/>
      </c>
      <c r="AL255" s="46">
        <f>+SUMIFS(AL$195:AL$240,$C$13:$C$58,$B255)</f>
        <v/>
      </c>
      <c r="AM255" s="46">
        <f>+SUMIFS(AM$195:AM$240,$C$13:$C$58,$B255)</f>
        <v/>
      </c>
      <c r="AN255" s="46">
        <f>+SUMIFS(AN$195:AN$240,$C$13:$C$58,$B255)</f>
        <v/>
      </c>
      <c r="AO255" s="46">
        <f>+SUMIFS(AO$195:AO$240,$C$13:$C$58,$B255)</f>
        <v/>
      </c>
      <c r="AP255" s="46">
        <f>+SUMIFS(AP$195:AP$240,$C$13:$C$58,$B255)</f>
        <v/>
      </c>
      <c r="AQ255" s="46">
        <f>+SUMIFS(AQ$195:AQ$240,$C$13:$C$58,$B255)</f>
        <v/>
      </c>
      <c r="AR255" s="46">
        <f>+SUMIFS(AR$195:AR$240,$C$13:$C$58,$B255)</f>
        <v/>
      </c>
      <c r="AS255" s="46">
        <f>+SUMIFS(AS$195:AS$240,$C$13:$C$58,$B255)</f>
        <v/>
      </c>
      <c r="AT255" s="46">
        <f>+SUMIFS(AT$195:AT$240,$C$13:$C$58,$B255)</f>
        <v/>
      </c>
      <c r="AU255" s="46">
        <f>+SUMIFS(AU$195:AU$240,$C$13:$C$58,$B255)</f>
        <v/>
      </c>
      <c r="AV255" s="46">
        <f>+SUMIFS(AV$195:AV$240,$C$13:$C$58,$B255)</f>
        <v/>
      </c>
      <c r="AW255" s="46">
        <f>+SUMIFS(AW$195:AW$240,$C$13:$C$58,$B255)</f>
        <v/>
      </c>
      <c r="AX255" s="46">
        <f>+SUMIFS(AX$195:AX$240,$C$13:$C$58,$B255)</f>
        <v/>
      </c>
      <c r="AY255" s="46">
        <f>+SUMIFS(AY$195:AY$240,$C$13:$C$58,$B255)</f>
        <v/>
      </c>
      <c r="AZ255" s="46">
        <f>+SUMIFS(AZ$195:AZ$240,$C$13:$C$58,$B255)</f>
        <v/>
      </c>
      <c r="BA255" s="46">
        <f>+SUMIFS(BA$195:BA$240,$C$13:$C$58,$B255)</f>
        <v/>
      </c>
      <c r="BB255" s="46">
        <f>+SUMIFS(BB$195:BB$240,$C$13:$C$58,$B255)</f>
        <v/>
      </c>
      <c r="BC255" s="46">
        <f>+SUMIFS(BC$195:BC$240,$C$13:$C$58,$B255)</f>
        <v/>
      </c>
      <c r="BD255" s="46">
        <f>+SUMIFS(BD$195:BD$240,$C$13:$C$58,$B255)</f>
        <v/>
      </c>
      <c r="BE255" s="46">
        <f>+SUMIFS(BE$195:BE$240,$C$13:$C$58,$B255)</f>
        <v/>
      </c>
      <c r="BF255" s="46">
        <f>+SUMIFS(BF$195:BF$240,$C$13:$C$58,$B255)</f>
        <v/>
      </c>
      <c r="BG255" s="46">
        <f>+SUMIFS(BG$195:BG$240,$C$13:$C$58,$B255)</f>
        <v/>
      </c>
      <c r="BH255" s="46">
        <f>+SUMIFS(BH$195:BH$240,$C$13:$C$58,$B255)</f>
        <v/>
      </c>
      <c r="BI255" s="46">
        <f>+SUMIFS(BI$195:BI$240,$C$13:$C$58,$B255)</f>
        <v/>
      </c>
      <c r="BJ255" s="46">
        <f>+SUMIFS(BJ$195:BJ$240,$C$13:$C$58,$B255)</f>
        <v/>
      </c>
      <c r="BK255" s="115">
        <f>+SUMIFS($F255:$M255,$F$7:$M$7,BK$7)*BK$257</f>
        <v/>
      </c>
      <c r="BL255" s="115">
        <f>+SUMIFS($F255:$M255,$F$7:$M$7,BL$7)*BL$257</f>
        <v/>
      </c>
      <c r="BM255" s="115">
        <f>+SUMIFS($F255:$M255,$F$7:$M$7,BM$7)*BM$257</f>
        <v/>
      </c>
      <c r="BN255" s="115">
        <f>+SUMIFS($F255:$M255,$F$7:$M$7,BN$7)*BN$257</f>
        <v/>
      </c>
      <c r="BO255" s="115">
        <f>+SUMIFS($F255:$M255,$F$7:$M$7,BO$7)*BO$257</f>
        <v/>
      </c>
      <c r="BP255" s="115">
        <f>+SUMIFS($F255:$M255,$F$7:$M$7,BP$7)*BP$257</f>
        <v/>
      </c>
      <c r="BQ255" s="115">
        <f>+SUMIFS($F255:$M255,$F$7:$M$7,BQ$7)*BQ$257</f>
        <v/>
      </c>
      <c r="BR255" s="115">
        <f>+SUMIFS($F255:$M255,$F$7:$M$7,BR$7)*BR$257</f>
        <v/>
      </c>
      <c r="BS255" s="115">
        <f>+SUMIFS($F255:$M255,$F$7:$M$7,BS$7)*BS$257</f>
        <v/>
      </c>
      <c r="BT255" s="115">
        <f>+SUMIFS($F255:$M255,$F$7:$M$7,BT$7)*BT$257</f>
        <v/>
      </c>
      <c r="BU255" s="115">
        <f>+SUMIFS($F255:$M255,$F$7:$M$7,BU$7)*BU$257</f>
        <v/>
      </c>
      <c r="BV255" s="115">
        <f>+SUMIFS($F255:$M255,$F$7:$M$7,BV$7)*BV$257</f>
        <v/>
      </c>
      <c r="BW255" s="115">
        <f>+SUMIFS($F255:$M255,$F$7:$M$7,BW$7)*BW$257</f>
        <v/>
      </c>
      <c r="BX255" s="115">
        <f>+SUMIFS($F255:$M255,$F$7:$M$7,BX$7)*BX$257</f>
        <v/>
      </c>
      <c r="BY255" s="115">
        <f>+SUMIFS($F255:$M255,$F$7:$M$7,BY$7)*BY$257</f>
        <v/>
      </c>
      <c r="BZ255" s="115">
        <f>+SUMIFS($F255:$M255,$F$7:$M$7,BZ$7)*BZ$257</f>
        <v/>
      </c>
      <c r="CA255" s="115">
        <f>+SUMIFS($F255:$M255,$F$7:$M$7,CA$7)*CA$257</f>
        <v/>
      </c>
      <c r="CB255" s="115">
        <f>+SUMIFS($F255:$M255,$F$7:$M$7,CB$7)*CB$257</f>
        <v/>
      </c>
      <c r="CC255" s="115">
        <f>+SUMIFS($F255:$M255,$F$7:$M$7,CC$7)*CC$257</f>
        <v/>
      </c>
      <c r="CD255" s="115">
        <f>+SUMIFS($F255:$M255,$F$7:$M$7,CD$7)*CD$257</f>
        <v/>
      </c>
      <c r="CE255" s="115">
        <f>+SUMIFS($F255:$M255,$F$7:$M$7,CE$7)*CE$257</f>
        <v/>
      </c>
      <c r="CF255" s="115">
        <f>+SUMIFS($F255:$M255,$F$7:$M$7,CF$7)*CF$257</f>
        <v/>
      </c>
      <c r="CG255" s="115">
        <f>+SUMIFS($F255:$M255,$F$7:$M$7,CG$7)*CG$257</f>
        <v/>
      </c>
      <c r="CH255" s="115">
        <f>+SUMIFS($F255:$M255,$F$7:$M$7,CH$7)*CH$257</f>
        <v/>
      </c>
      <c r="CI255" s="115">
        <f>+SUMIFS($F255:$M255,$F$7:$M$7,CI$7)*CI$257</f>
        <v/>
      </c>
      <c r="CJ255" s="115">
        <f>+SUMIFS($F255:$M255,$F$7:$M$7,CJ$7)*CJ$257</f>
        <v/>
      </c>
      <c r="CK255" s="115">
        <f>+SUMIFS($F255:$M255,$F$7:$M$7,CK$7)*CK$257</f>
        <v/>
      </c>
      <c r="CL255" s="115">
        <f>+SUMIFS($F255:$M255,$F$7:$M$7,CL$7)*CL$257</f>
        <v/>
      </c>
      <c r="CM255" s="115">
        <f>+SUMIFS($F255:$M255,$F$7:$M$7,CM$7)*CM$257</f>
        <v/>
      </c>
      <c r="CN255" s="115">
        <f>+SUMIFS($F255:$M255,$F$7:$M$7,CN$7)*CN$257</f>
        <v/>
      </c>
      <c r="CO255" s="115">
        <f>+SUMIFS($F255:$M255,$F$7:$M$7,CO$7)*CO$257</f>
        <v/>
      </c>
      <c r="CP255" s="115">
        <f>+SUMIFS($F255:$M255,$F$7:$M$7,CP$7)*CP$257</f>
        <v/>
      </c>
      <c r="CQ255" s="115">
        <f>+SUMIFS($F255:$M255,$F$7:$M$7,CQ$7)*CQ$257</f>
        <v/>
      </c>
      <c r="CR255" s="115">
        <f>+SUMIFS($F255:$M255,$F$7:$M$7,CR$7)*CR$257</f>
        <v/>
      </c>
      <c r="CS255" s="115">
        <f>+SUMIFS($F255:$M255,$F$7:$M$7,CS$7)*CS$257</f>
        <v/>
      </c>
      <c r="CT255" s="115">
        <f>+SUMIFS($F255:$M255,$F$7:$M$7,CT$7)*CT$257</f>
        <v/>
      </c>
      <c r="CU255" s="115">
        <f>+SUMIFS($F255:$M255,$F$7:$M$7,CU$7)*CU$257</f>
        <v/>
      </c>
      <c r="CV255" s="115">
        <f>+SUMIFS($F255:$M255,$F$7:$M$7,CV$7)*CV$257</f>
        <v/>
      </c>
      <c r="CW255" s="115">
        <f>+SUMIFS($F255:$M255,$F$7:$M$7,CW$7)*CW$257</f>
        <v/>
      </c>
      <c r="CX255" s="115">
        <f>+SUMIFS($F255:$M255,$F$7:$M$7,CX$7)*CX$257</f>
        <v/>
      </c>
      <c r="CY255" s="115">
        <f>+SUMIFS($F255:$M255,$F$7:$M$7,CY$7)*CY$257</f>
        <v/>
      </c>
      <c r="CZ255" s="115">
        <f>+SUMIFS($F255:$M255,$F$7:$M$7,CZ$7)*CZ$257</f>
        <v/>
      </c>
      <c r="DA255" s="115">
        <f>+SUMIFS($F255:$M255,$F$7:$M$7,DA$7)*DA$257</f>
        <v/>
      </c>
      <c r="DB255" s="115">
        <f>+SUMIFS($F255:$M255,$F$7:$M$7,DB$7)*DB$257</f>
        <v/>
      </c>
      <c r="DC255" s="115">
        <f>+SUMIFS($F255:$M255,$F$7:$M$7,DC$7)*DC$257</f>
        <v/>
      </c>
      <c r="DD255" s="115">
        <f>+SUMIFS($F255:$M255,$F$7:$M$7,DD$7)*DD$257</f>
        <v/>
      </c>
      <c r="DE255" s="115">
        <f>+SUMIFS($F255:$M255,$F$7:$M$7,DE$7)*DE$257</f>
        <v/>
      </c>
      <c r="DF255" s="115">
        <f>+SUMIFS($F255:$M255,$F$7:$M$7,DF$7)*DF$257</f>
        <v/>
      </c>
      <c r="DG255" s="115">
        <f>+SUMIFS($F255:$M255,$F$7:$M$7,DG$7)*DG$257</f>
        <v/>
      </c>
      <c r="DH255" s="115">
        <f>+SUMIFS($F255:$M255,$F$7:$M$7,DH$7)*DH$257</f>
        <v/>
      </c>
      <c r="DI255" s="115">
        <f>+SUMIFS($F255:$M255,$F$7:$M$7,DI$7)*DI$257</f>
        <v/>
      </c>
      <c r="DJ255" s="115">
        <f>+SUMIFS($F255:$M255,$F$7:$M$7,DJ$7)*DJ$257</f>
        <v/>
      </c>
      <c r="DK255" s="115">
        <f>+SUMIFS($F255:$M255,$F$7:$M$7,DK$7)*DK$257</f>
        <v/>
      </c>
      <c r="DL255" s="115">
        <f>+SUMIFS($F255:$M255,$F$7:$M$7,DL$7)*DL$257</f>
        <v/>
      </c>
      <c r="DM255" s="115">
        <f>+SUMIFS($F255:$M255,$F$7:$M$7,DM$7)*DM$257</f>
        <v/>
      </c>
      <c r="DN255" s="115">
        <f>+SUMIFS($F255:$M255,$F$7:$M$7,DN$7)*DN$257</f>
        <v/>
      </c>
      <c r="DO255" s="115">
        <f>+SUMIFS($F255:$M255,$F$7:$M$7,DO$7)*DO$257</f>
        <v/>
      </c>
      <c r="DP255" s="115">
        <f>+SUMIFS($F255:$M255,$F$7:$M$7,DP$7)*DP$257</f>
        <v/>
      </c>
      <c r="DQ255" s="115">
        <f>+SUMIFS($F255:$M255,$F$7:$M$7,DQ$7)*DQ$257</f>
        <v/>
      </c>
      <c r="DR255" s="115">
        <f>+SUMIFS($F255:$M255,$F$7:$M$7,DR$7)*DR$257</f>
        <v/>
      </c>
    </row>
    <row r="256" ht="15.75" customHeight="1">
      <c r="B256" s="50" t="inlineStr">
        <is>
          <t>Total</t>
        </is>
      </c>
      <c r="C256" s="50" t="n"/>
      <c r="D256" s="50" t="n"/>
      <c r="F256" s="51">
        <f>+SUMIFS($AA256:$DR256,$AA$7:$DR$7,F$7)</f>
        <v/>
      </c>
      <c r="G256" s="51">
        <f>+SUMIFS($AA256:$DR256,$AA$7:$DR$7,G$7)</f>
        <v/>
      </c>
      <c r="H256" s="51">
        <f>+SUMIFS($AA256:$DR256,$AA$7:$DR$7,H$7)</f>
        <v/>
      </c>
      <c r="I256" s="51">
        <f>+SUMIFS($AA256:$DR256,$AA$7:$DR$7,I$7)</f>
        <v/>
      </c>
      <c r="J256" s="51">
        <f>+SUMIFS($AA256:$DR256,$AA$7:$DR$7,J$7)</f>
        <v/>
      </c>
      <c r="K256" s="51">
        <f>+SUMIFS($AA256:$DR256,$AA$7:$DR$7,K$7)</f>
        <v/>
      </c>
      <c r="L256" s="51">
        <f>+SUMIFS($AA256:$DR256,$AA$7:$DR$7,L$7)</f>
        <v/>
      </c>
      <c r="M256" s="51">
        <f>+SUMIFS($AA256:$DR256,$AA$7:$DR$7,M$7)</f>
        <v/>
      </c>
      <c r="AA256" s="51">
        <f>SUM(AA252:AA255)</f>
        <v/>
      </c>
      <c r="AB256" s="51">
        <f>SUM(AB252:AB255)</f>
        <v/>
      </c>
      <c r="AC256" s="51">
        <f>SUM(AC252:AC255)</f>
        <v/>
      </c>
      <c r="AD256" s="51">
        <f>SUM(AD252:AD255)</f>
        <v/>
      </c>
      <c r="AE256" s="51">
        <f>SUM(AE252:AE255)</f>
        <v/>
      </c>
      <c r="AF256" s="51">
        <f>SUM(AF252:AF255)</f>
        <v/>
      </c>
      <c r="AG256" s="51">
        <f>SUM(AG252:AG255)</f>
        <v/>
      </c>
      <c r="AH256" s="51">
        <f>SUM(AH252:AH255)</f>
        <v/>
      </c>
      <c r="AI256" s="51">
        <f>SUM(AI252:AI255)</f>
        <v/>
      </c>
      <c r="AJ256" s="51">
        <f>SUM(AJ252:AJ255)</f>
        <v/>
      </c>
      <c r="AK256" s="51">
        <f>SUM(AK252:AK255)</f>
        <v/>
      </c>
      <c r="AL256" s="51">
        <f>SUM(AL252:AL255)</f>
        <v/>
      </c>
      <c r="AM256" s="51">
        <f>SUM(AM252:AM255)</f>
        <v/>
      </c>
      <c r="AN256" s="51">
        <f>SUM(AN252:AN255)</f>
        <v/>
      </c>
      <c r="AO256" s="51">
        <f>SUM(AO252:AO255)</f>
        <v/>
      </c>
      <c r="AP256" s="51">
        <f>SUM(AP252:AP255)</f>
        <v/>
      </c>
      <c r="AQ256" s="51">
        <f>SUM(AQ252:AQ255)</f>
        <v/>
      </c>
      <c r="AR256" s="51">
        <f>SUM(AR252:AR255)</f>
        <v/>
      </c>
      <c r="AS256" s="51">
        <f>SUM(AS252:AS255)</f>
        <v/>
      </c>
      <c r="AT256" s="51">
        <f>SUM(AT252:AT255)</f>
        <v/>
      </c>
      <c r="AU256" s="51">
        <f>SUM(AU252:AU255)</f>
        <v/>
      </c>
      <c r="AV256" s="51">
        <f>SUM(AV252:AV255)</f>
        <v/>
      </c>
      <c r="AW256" s="51">
        <f>SUM(AW252:AW255)</f>
        <v/>
      </c>
      <c r="AX256" s="51">
        <f>SUM(AX252:AX255)</f>
        <v/>
      </c>
      <c r="AY256" s="51">
        <f>SUM(AY252:AY255)</f>
        <v/>
      </c>
      <c r="AZ256" s="51">
        <f>SUM(AZ252:AZ255)</f>
        <v/>
      </c>
      <c r="BA256" s="51">
        <f>SUM(BA252:BA255)</f>
        <v/>
      </c>
      <c r="BB256" s="51">
        <f>SUM(BB252:BB255)</f>
        <v/>
      </c>
      <c r="BC256" s="51">
        <f>SUM(BC252:BC255)</f>
        <v/>
      </c>
      <c r="BD256" s="51">
        <f>SUM(BD252:BD255)</f>
        <v/>
      </c>
      <c r="BE256" s="51">
        <f>SUM(BE252:BE255)</f>
        <v/>
      </c>
      <c r="BF256" s="51">
        <f>SUM(BF252:BF255)</f>
        <v/>
      </c>
      <c r="BG256" s="51">
        <f>SUM(BG252:BG255)</f>
        <v/>
      </c>
      <c r="BH256" s="51">
        <f>SUM(BH252:BH255)</f>
        <v/>
      </c>
      <c r="BI256" s="51">
        <f>SUM(BI252:BI255)</f>
        <v/>
      </c>
      <c r="BJ256" s="51">
        <f>SUM(BJ252:BJ255)</f>
        <v/>
      </c>
      <c r="BK256" s="51">
        <f>SUM(BK252:BK255)</f>
        <v/>
      </c>
      <c r="BL256" s="51">
        <f>SUM(BL252:BL255)</f>
        <v/>
      </c>
      <c r="BM256" s="51">
        <f>SUM(BM252:BM255)</f>
        <v/>
      </c>
      <c r="BN256" s="51">
        <f>SUM(BN252:BN255)</f>
        <v/>
      </c>
      <c r="BO256" s="51">
        <f>SUM(BO252:BO255)</f>
        <v/>
      </c>
      <c r="BP256" s="51">
        <f>SUM(BP252:BP255)</f>
        <v/>
      </c>
      <c r="BQ256" s="51">
        <f>SUM(BQ252:BQ255)</f>
        <v/>
      </c>
      <c r="BR256" s="51">
        <f>SUM(BR252:BR255)</f>
        <v/>
      </c>
      <c r="BS256" s="51">
        <f>SUM(BS252:BS255)</f>
        <v/>
      </c>
      <c r="BT256" s="51">
        <f>SUM(BT252:BT255)</f>
        <v/>
      </c>
      <c r="BU256" s="51">
        <f>SUM(BU252:BU255)</f>
        <v/>
      </c>
      <c r="BV256" s="51">
        <f>SUM(BV252:BV255)</f>
        <v/>
      </c>
      <c r="BW256" s="51">
        <f>SUM(BW252:BW255)</f>
        <v/>
      </c>
      <c r="BX256" s="51">
        <f>SUM(BX252:BX255)</f>
        <v/>
      </c>
      <c r="BY256" s="51">
        <f>SUM(BY252:BY255)</f>
        <v/>
      </c>
      <c r="BZ256" s="51">
        <f>SUM(BZ252:BZ255)</f>
        <v/>
      </c>
      <c r="CA256" s="51">
        <f>SUM(CA252:CA255)</f>
        <v/>
      </c>
      <c r="CB256" s="51">
        <f>SUM(CB252:CB255)</f>
        <v/>
      </c>
      <c r="CC256" s="51">
        <f>SUM(CC252:CC255)</f>
        <v/>
      </c>
      <c r="CD256" s="51">
        <f>SUM(CD252:CD255)</f>
        <v/>
      </c>
      <c r="CE256" s="51">
        <f>SUM(CE252:CE255)</f>
        <v/>
      </c>
      <c r="CF256" s="51">
        <f>SUM(CF252:CF255)</f>
        <v/>
      </c>
      <c r="CG256" s="51">
        <f>SUM(CG252:CG255)</f>
        <v/>
      </c>
      <c r="CH256" s="51">
        <f>SUM(CH252:CH255)</f>
        <v/>
      </c>
      <c r="CI256" s="51">
        <f>SUM(CI252:CI255)</f>
        <v/>
      </c>
      <c r="CJ256" s="51">
        <f>SUM(CJ252:CJ255)</f>
        <v/>
      </c>
      <c r="CK256" s="51">
        <f>SUM(CK252:CK255)</f>
        <v/>
      </c>
      <c r="CL256" s="51">
        <f>SUM(CL252:CL255)</f>
        <v/>
      </c>
      <c r="CM256" s="51">
        <f>SUM(CM252:CM255)</f>
        <v/>
      </c>
      <c r="CN256" s="51">
        <f>SUM(CN252:CN255)</f>
        <v/>
      </c>
      <c r="CO256" s="51">
        <f>SUM(CO252:CO255)</f>
        <v/>
      </c>
      <c r="CP256" s="51">
        <f>SUM(CP252:CP255)</f>
        <v/>
      </c>
      <c r="CQ256" s="51">
        <f>SUM(CQ252:CQ255)</f>
        <v/>
      </c>
      <c r="CR256" s="51">
        <f>SUM(CR252:CR255)</f>
        <v/>
      </c>
      <c r="CS256" s="51">
        <f>SUM(CS252:CS255)</f>
        <v/>
      </c>
      <c r="CT256" s="51">
        <f>SUM(CT252:CT255)</f>
        <v/>
      </c>
      <c r="CU256" s="51">
        <f>SUM(CU252:CU255)</f>
        <v/>
      </c>
      <c r="CV256" s="51">
        <f>SUM(CV252:CV255)</f>
        <v/>
      </c>
      <c r="CW256" s="51">
        <f>SUM(CW252:CW255)</f>
        <v/>
      </c>
      <c r="CX256" s="51">
        <f>SUM(CX252:CX255)</f>
        <v/>
      </c>
      <c r="CY256" s="51">
        <f>SUM(CY252:CY255)</f>
        <v/>
      </c>
      <c r="CZ256" s="51">
        <f>SUM(CZ252:CZ255)</f>
        <v/>
      </c>
      <c r="DA256" s="51">
        <f>SUM(DA252:DA255)</f>
        <v/>
      </c>
      <c r="DB256" s="51">
        <f>SUM(DB252:DB255)</f>
        <v/>
      </c>
      <c r="DC256" s="51">
        <f>SUM(DC252:DC255)</f>
        <v/>
      </c>
      <c r="DD256" s="51">
        <f>SUM(DD252:DD255)</f>
        <v/>
      </c>
      <c r="DE256" s="51">
        <f>SUM(DE252:DE255)</f>
        <v/>
      </c>
      <c r="DF256" s="51">
        <f>SUM(DF252:DF255)</f>
        <v/>
      </c>
      <c r="DG256" s="51">
        <f>SUM(DG252:DG255)</f>
        <v/>
      </c>
      <c r="DH256" s="51">
        <f>SUM(DH252:DH255)</f>
        <v/>
      </c>
      <c r="DI256" s="51">
        <f>SUM(DI252:DI255)</f>
        <v/>
      </c>
      <c r="DJ256" s="51">
        <f>SUM(DJ252:DJ255)</f>
        <v/>
      </c>
      <c r="DK256" s="51">
        <f>SUM(DK252:DK255)</f>
        <v/>
      </c>
      <c r="DL256" s="51">
        <f>SUM(DL252:DL255)</f>
        <v/>
      </c>
      <c r="DM256" s="51">
        <f>SUM(DM252:DM255)</f>
        <v/>
      </c>
      <c r="DN256" s="51">
        <f>SUM(DN252:DN255)</f>
        <v/>
      </c>
      <c r="DO256" s="51">
        <f>SUM(DO252:DO255)</f>
        <v/>
      </c>
      <c r="DP256" s="51">
        <f>SUM(DP252:DP255)</f>
        <v/>
      </c>
      <c r="DQ256" s="51">
        <f>SUM(DQ252:DQ255)</f>
        <v/>
      </c>
      <c r="DR256" s="51">
        <f>SUM(DR252:DR255)</f>
        <v/>
      </c>
    </row>
    <row r="257" ht="15.75" customHeight="1">
      <c r="A257" s="66" t="n"/>
      <c r="B257" s="66" t="inlineStr">
        <is>
          <t>% Seasonality</t>
        </is>
      </c>
      <c r="C257" s="66" t="n"/>
      <c r="D257" s="66" t="n"/>
      <c r="E257" s="66" t="n"/>
      <c r="F257" s="100">
        <f>+F256/SUMIFS($AA256:$DR256,$AA$7:$DR$7,F$7)</f>
        <v/>
      </c>
      <c r="G257" s="100">
        <f>+G256/SUMIFS($AA256:$DR256,$AA$7:$DR$7,G$7)</f>
        <v/>
      </c>
      <c r="H257" s="100">
        <f>+H256/SUMIFS($AA256:$DR256,$AA$7:$DR$7,H$7)</f>
        <v/>
      </c>
      <c r="I257" s="100">
        <f>+I256/SUMIFS($AA256:$DR256,$AA$7:$DR$7,I$7)</f>
        <v/>
      </c>
      <c r="J257" s="100">
        <f>+J256/SUMIFS($AA256:$DR256,$AA$7:$DR$7,J$7)</f>
        <v/>
      </c>
      <c r="K257" s="100">
        <f>+K256/SUMIFS($AA256:$DR256,$AA$7:$DR$7,K$7)</f>
        <v/>
      </c>
      <c r="L257" s="100">
        <f>+L256/SUMIFS($AA256:$DR256,$AA$7:$DR$7,L$7)</f>
        <v/>
      </c>
      <c r="M257" s="100">
        <f>+M256/SUMIFS($AA256:$DR256,$AA$7:$DR$7,M$7)</f>
        <v/>
      </c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100">
        <f>+AA256/SUMIFS($AA256:$DR256,$AA$7:$DR$7,AA$7)</f>
        <v/>
      </c>
      <c r="AB257" s="100">
        <f>+AB256/SUMIFS($AA256:$DR256,$AA$7:$DR$7,AB$7)</f>
        <v/>
      </c>
      <c r="AC257" s="100">
        <f>+AC256/SUMIFS($AA256:$DR256,$AA$7:$DR$7,AC$7)</f>
        <v/>
      </c>
      <c r="AD257" s="100">
        <f>+AD256/SUMIFS($AA256:$DR256,$AA$7:$DR$7,AD$7)</f>
        <v/>
      </c>
      <c r="AE257" s="100">
        <f>+AE256/SUMIFS($AA256:$DR256,$AA$7:$DR$7,AE$7)</f>
        <v/>
      </c>
      <c r="AF257" s="100">
        <f>+AF256/SUMIFS($AA256:$DR256,$AA$7:$DR$7,AF$7)</f>
        <v/>
      </c>
      <c r="AG257" s="100">
        <f>+AG256/SUMIFS($AA256:$DR256,$AA$7:$DR$7,AG$7)</f>
        <v/>
      </c>
      <c r="AH257" s="100">
        <f>+AH256/SUMIFS($AA256:$DR256,$AA$7:$DR$7,AH$7)</f>
        <v/>
      </c>
      <c r="AI257" s="100">
        <f>+AI256/SUMIFS($AA256:$DR256,$AA$7:$DR$7,AI$7)</f>
        <v/>
      </c>
      <c r="AJ257" s="100">
        <f>+AJ256/SUMIFS($AA256:$DR256,$AA$7:$DR$7,AJ$7)</f>
        <v/>
      </c>
      <c r="AK257" s="100">
        <f>+AK256/SUMIFS($AA256:$DR256,$AA$7:$DR$7,AK$7)</f>
        <v/>
      </c>
      <c r="AL257" s="100">
        <f>+AL256/SUMIFS($AA256:$DR256,$AA$7:$DR$7,AL$7)</f>
        <v/>
      </c>
      <c r="AM257" s="100">
        <f>+AM256/SUMIFS($AA256:$DR256,$AA$7:$DR$7,AM$7)</f>
        <v/>
      </c>
      <c r="AN257" s="100">
        <f>+AN256/SUMIFS($AA256:$DR256,$AA$7:$DR$7,AN$7)</f>
        <v/>
      </c>
      <c r="AO257" s="100">
        <f>+AO256/SUMIFS($AA256:$DR256,$AA$7:$DR$7,AO$7)</f>
        <v/>
      </c>
      <c r="AP257" s="100">
        <f>+AP256/SUMIFS($AA256:$DR256,$AA$7:$DR$7,AP$7)</f>
        <v/>
      </c>
      <c r="AQ257" s="100">
        <f>+AQ256/SUMIFS($AA256:$DR256,$AA$7:$DR$7,AQ$7)</f>
        <v/>
      </c>
      <c r="AR257" s="100">
        <f>+AR256/SUMIFS($AA256:$DR256,$AA$7:$DR$7,AR$7)</f>
        <v/>
      </c>
      <c r="AS257" s="100">
        <f>+AS256/SUMIFS($AA256:$DR256,$AA$7:$DR$7,AS$7)</f>
        <v/>
      </c>
      <c r="AT257" s="100">
        <f>+AT256/SUMIFS($AA256:$DR256,$AA$7:$DR$7,AT$7)</f>
        <v/>
      </c>
      <c r="AU257" s="100">
        <f>+AU256/SUMIFS($AA256:$DR256,$AA$7:$DR$7,AU$7)</f>
        <v/>
      </c>
      <c r="AV257" s="100">
        <f>+AV256/SUMIFS($AA256:$DR256,$AA$7:$DR$7,AV$7)</f>
        <v/>
      </c>
      <c r="AW257" s="100">
        <f>+AW256/SUMIFS($AA256:$DR256,$AA$7:$DR$7,AW$7)</f>
        <v/>
      </c>
      <c r="AX257" s="100">
        <f>+AX256/SUMIFS($AA256:$DR256,$AA$7:$DR$7,AX$7)</f>
        <v/>
      </c>
      <c r="AY257" s="100">
        <f>+AY256/SUMIFS($AA256:$DR256,$AA$7:$DR$7,AY$7)</f>
        <v/>
      </c>
      <c r="AZ257" s="100">
        <f>+AZ256/SUMIFS($AA256:$DR256,$AA$7:$DR$7,AZ$7)</f>
        <v/>
      </c>
      <c r="BA257" s="100">
        <f>+BA256/SUMIFS($AA256:$DR256,$AA$7:$DR$7,BA$7)</f>
        <v/>
      </c>
      <c r="BB257" s="100">
        <f>+BB256/SUMIFS($AA256:$DR256,$AA$7:$DR$7,BB$7)</f>
        <v/>
      </c>
      <c r="BC257" s="100">
        <f>+BC256/SUMIFS($AA256:$DR256,$AA$7:$DR$7,BC$7)</f>
        <v/>
      </c>
      <c r="BD257" s="100">
        <f>+BD256/SUMIFS($AA256:$DR256,$AA$7:$DR$7,BD$7)</f>
        <v/>
      </c>
      <c r="BE257" s="100">
        <f>+BE256/SUMIFS($AA256:$DR256,$AA$7:$DR$7,BE$7)</f>
        <v/>
      </c>
      <c r="BF257" s="100">
        <f>+BF256/SUMIFS($AA256:$DR256,$AA$7:$DR$7,BF$7)</f>
        <v/>
      </c>
      <c r="BG257" s="100">
        <f>+BG256/SUMIFS($AA256:$DR256,$AA$7:$DR$7,BG$7)</f>
        <v/>
      </c>
      <c r="BH257" s="100">
        <f>+BH256/SUMIFS($AA256:$DR256,$AA$7:$DR$7,BH$7)</f>
        <v/>
      </c>
      <c r="BI257" s="100">
        <f>+BI256/SUMIFS($AA256:$DR256,$AA$7:$DR$7,BI$7)</f>
        <v/>
      </c>
      <c r="BJ257" s="100">
        <f>+BJ256/SUMIFS($AA256:$DR256,$AA$7:$DR$7,BJ$7)</f>
        <v/>
      </c>
      <c r="BK257" s="101">
        <f>+AVERAGE(AA257,AM257,AY257)</f>
        <v/>
      </c>
      <c r="BL257" s="101">
        <f>+AVERAGE(AB257,AN257,AZ257)</f>
        <v/>
      </c>
      <c r="BM257" s="101">
        <f>+AVERAGE(AC257,AO257,BA257)</f>
        <v/>
      </c>
      <c r="BN257" s="101">
        <f>+AVERAGE(AD257,AP257,BB257)</f>
        <v/>
      </c>
      <c r="BO257" s="101">
        <f>+AVERAGE(AE257,AQ257,BC257)</f>
        <v/>
      </c>
      <c r="BP257" s="101">
        <f>+AVERAGE(AF257,AR257,BD257)</f>
        <v/>
      </c>
      <c r="BQ257" s="101">
        <f>+AVERAGE(AG257,AS257,BE257)</f>
        <v/>
      </c>
      <c r="BR257" s="101">
        <f>+AVERAGE(AH257,AT257,BF257)</f>
        <v/>
      </c>
      <c r="BS257" s="101">
        <f>+AVERAGE(AI257,AU257,BG257)</f>
        <v/>
      </c>
      <c r="BT257" s="101">
        <f>+AVERAGE(AJ257,AV257,BH257)</f>
        <v/>
      </c>
      <c r="BU257" s="101">
        <f>+AVERAGE(AK257,AW257,BI257)</f>
        <v/>
      </c>
      <c r="BV257" s="101">
        <f>+AVERAGE(AL257,AX257,BJ257)</f>
        <v/>
      </c>
      <c r="BW257" s="101">
        <f>+AVERAGE(AM257,AY257,BK257)</f>
        <v/>
      </c>
      <c r="BX257" s="101">
        <f>+AVERAGE(AN257,AZ257,BL257)</f>
        <v/>
      </c>
      <c r="BY257" s="101">
        <f>+AVERAGE(AO257,BA257,BM257)</f>
        <v/>
      </c>
      <c r="BZ257" s="101">
        <f>+AVERAGE(AP257,BB257,BN257)</f>
        <v/>
      </c>
      <c r="CA257" s="101">
        <f>+AVERAGE(AQ257,BC257,BO257)</f>
        <v/>
      </c>
      <c r="CB257" s="101">
        <f>+AVERAGE(AR257,BD257,BP257)</f>
        <v/>
      </c>
      <c r="CC257" s="101">
        <f>+AVERAGE(AS257,BE257,BQ257)</f>
        <v/>
      </c>
      <c r="CD257" s="101">
        <f>+AVERAGE(AT257,BF257,BR257)</f>
        <v/>
      </c>
      <c r="CE257" s="101">
        <f>+AVERAGE(AU257,BG257,BS257)</f>
        <v/>
      </c>
      <c r="CF257" s="101">
        <f>+AVERAGE(AV257,BH257,BT257)</f>
        <v/>
      </c>
      <c r="CG257" s="101">
        <f>+AVERAGE(AW257,BI257,BU257)</f>
        <v/>
      </c>
      <c r="CH257" s="101">
        <f>+AVERAGE(AX257,BJ257,BV257)</f>
        <v/>
      </c>
      <c r="CI257" s="101">
        <f>+AVERAGE(AY257,BK257,BW257)</f>
        <v/>
      </c>
      <c r="CJ257" s="101">
        <f>+AVERAGE(AZ257,BL257,BX257)</f>
        <v/>
      </c>
      <c r="CK257" s="101">
        <f>+AVERAGE(BA257,BM257,BY257)</f>
        <v/>
      </c>
      <c r="CL257" s="101">
        <f>+AVERAGE(BB257,BN257,BZ257)</f>
        <v/>
      </c>
      <c r="CM257" s="101">
        <f>+AVERAGE(BC257,BO257,CA257)</f>
        <v/>
      </c>
      <c r="CN257" s="101">
        <f>+AVERAGE(BD257,BP257,CB257)</f>
        <v/>
      </c>
      <c r="CO257" s="101">
        <f>+AVERAGE(BE257,BQ257,CC257)</f>
        <v/>
      </c>
      <c r="CP257" s="101">
        <f>+AVERAGE(BF257,BR257,CD257)</f>
        <v/>
      </c>
      <c r="CQ257" s="101">
        <f>+AVERAGE(BG257,BS257,CE257)</f>
        <v/>
      </c>
      <c r="CR257" s="101">
        <f>+AVERAGE(BH257,BT257,CF257)</f>
        <v/>
      </c>
      <c r="CS257" s="101">
        <f>+AVERAGE(BI257,BU257,CG257)</f>
        <v/>
      </c>
      <c r="CT257" s="101">
        <f>+AVERAGE(BJ257,BV257,CH257)</f>
        <v/>
      </c>
      <c r="CU257" s="101">
        <f>+AVERAGE(BK257,BW257,CI257)</f>
        <v/>
      </c>
      <c r="CV257" s="101">
        <f>+AVERAGE(BL257,BX257,CJ257)</f>
        <v/>
      </c>
      <c r="CW257" s="101">
        <f>+AVERAGE(BM257,BY257,CK257)</f>
        <v/>
      </c>
      <c r="CX257" s="101">
        <f>+AVERAGE(BN257,BZ257,CL257)</f>
        <v/>
      </c>
      <c r="CY257" s="101">
        <f>+AVERAGE(BO257,CA257,CM257)</f>
        <v/>
      </c>
      <c r="CZ257" s="101">
        <f>+AVERAGE(BP257,CB257,CN257)</f>
        <v/>
      </c>
      <c r="DA257" s="101">
        <f>+AVERAGE(BQ257,CC257,CO257)</f>
        <v/>
      </c>
      <c r="DB257" s="101">
        <f>+AVERAGE(BR257,CD257,CP257)</f>
        <v/>
      </c>
      <c r="DC257" s="101">
        <f>+AVERAGE(BS257,CE257,CQ257)</f>
        <v/>
      </c>
      <c r="DD257" s="101">
        <f>+AVERAGE(BT257,CF257,CR257)</f>
        <v/>
      </c>
      <c r="DE257" s="101">
        <f>+AVERAGE(BU257,CG257,CS257)</f>
        <v/>
      </c>
      <c r="DF257" s="101">
        <f>+AVERAGE(BV257,CH257,CT257)</f>
        <v/>
      </c>
      <c r="DG257" s="101">
        <f>+AVERAGE(BW257,CI257,CU257)</f>
        <v/>
      </c>
      <c r="DH257" s="101">
        <f>+AVERAGE(BX257,CJ257,CV257)</f>
        <v/>
      </c>
      <c r="DI257" s="101">
        <f>+AVERAGE(BY257,CK257,CW257)</f>
        <v/>
      </c>
      <c r="DJ257" s="101">
        <f>+AVERAGE(BZ257,CL257,CX257)</f>
        <v/>
      </c>
      <c r="DK257" s="101">
        <f>+AVERAGE(CA257,CM257,CY257)</f>
        <v/>
      </c>
      <c r="DL257" s="101">
        <f>+AVERAGE(CB257,CN257,CZ257)</f>
        <v/>
      </c>
      <c r="DM257" s="101">
        <f>+AVERAGE(CC257,CO257,DA257)</f>
        <v/>
      </c>
      <c r="DN257" s="101">
        <f>+AVERAGE(CD257,CP257,DB257)</f>
        <v/>
      </c>
      <c r="DO257" s="101">
        <f>+AVERAGE(CE257,CQ257,DC257)</f>
        <v/>
      </c>
      <c r="DP257" s="101">
        <f>+AVERAGE(CF257,CR257,DD257)</f>
        <v/>
      </c>
      <c r="DQ257" s="101">
        <f>+AVERAGE(CG257,CS257,DE257)</f>
        <v/>
      </c>
      <c r="DR257" s="101">
        <f>+AVERAGE(CH257,CT257,DF257)</f>
        <v/>
      </c>
      <c r="DS257" s="66" t="n"/>
    </row>
    <row r="258" ht="4.5" customHeight="1"/>
    <row r="259" ht="15.75" customHeight="1">
      <c r="B259" s="44" t="inlineStr">
        <is>
          <t>Gross Profit</t>
        </is>
      </c>
    </row>
    <row r="260" ht="15.75" customHeight="1">
      <c r="B260" s="5" t="inlineStr">
        <is>
          <t>Mega</t>
        </is>
      </c>
      <c r="F260" s="46">
        <f>+F245-F252</f>
        <v/>
      </c>
      <c r="G260" s="46">
        <f>+G245-G252</f>
        <v/>
      </c>
      <c r="H260" s="46">
        <f>+H245-H252</f>
        <v/>
      </c>
      <c r="I260" s="46">
        <f>+I245-I252</f>
        <v/>
      </c>
      <c r="J260" s="46">
        <f>+J245-J252</f>
        <v/>
      </c>
      <c r="K260" s="46">
        <f>+K245-K252</f>
        <v/>
      </c>
      <c r="L260" s="46">
        <f>+L245-L252</f>
        <v/>
      </c>
      <c r="M260" s="46">
        <f>+M245-M252</f>
        <v/>
      </c>
      <c r="AA260" s="49" t="n"/>
      <c r="AB260" s="96" t="n"/>
      <c r="AC260" s="96" t="n"/>
      <c r="AD260" s="96" t="n"/>
      <c r="AE260" s="96" t="n"/>
      <c r="AF260" s="96" t="n"/>
      <c r="AG260" s="96" t="n"/>
      <c r="AH260" s="96" t="n"/>
      <c r="AI260" s="96" t="n"/>
      <c r="AJ260" s="96" t="n"/>
      <c r="AK260" s="96" t="n"/>
      <c r="AL260" s="96" t="n"/>
      <c r="AM260" s="96" t="n"/>
      <c r="AN260" s="96" t="n"/>
      <c r="AO260" s="96" t="n"/>
      <c r="AP260" s="96" t="n"/>
      <c r="AQ260" s="96" t="n"/>
      <c r="AR260" s="96" t="n"/>
      <c r="AS260" s="96" t="n"/>
      <c r="AT260" s="96" t="n"/>
      <c r="AU260" s="96" t="n"/>
      <c r="AV260" s="96" t="n"/>
      <c r="AW260" s="96" t="n"/>
      <c r="AX260" s="96" t="n"/>
      <c r="AY260" s="96" t="n"/>
      <c r="AZ260" s="96" t="n"/>
      <c r="BA260" s="96" t="n"/>
      <c r="BB260" s="96" t="n"/>
      <c r="BC260" s="96" t="n"/>
      <c r="BD260" s="96" t="n"/>
      <c r="BE260" s="96" t="n"/>
      <c r="BF260" s="96" t="n"/>
      <c r="BG260" s="96" t="n"/>
      <c r="BH260" s="96" t="n"/>
      <c r="BI260" s="96" t="n"/>
      <c r="BJ260" s="96" t="n"/>
      <c r="BK260" s="96" t="n"/>
      <c r="BL260" s="96" t="n"/>
      <c r="BM260" s="96" t="n"/>
      <c r="BN260" s="96" t="n"/>
      <c r="BO260" s="96" t="n"/>
      <c r="BP260" s="96" t="n"/>
      <c r="BQ260" s="96" t="n"/>
      <c r="BR260" s="96" t="n"/>
      <c r="BS260" s="96" t="n"/>
      <c r="BT260" s="96" t="n"/>
      <c r="BU260" s="96" t="n"/>
      <c r="BV260" s="96" t="n"/>
      <c r="BW260" s="96" t="n"/>
      <c r="BX260" s="96" t="n"/>
      <c r="BY260" s="96" t="n"/>
      <c r="BZ260" s="96" t="n"/>
      <c r="CA260" s="96" t="n"/>
      <c r="CB260" s="96" t="n"/>
      <c r="CC260" s="96" t="n"/>
      <c r="CD260" s="96" t="n"/>
      <c r="CE260" s="96" t="n"/>
      <c r="CF260" s="96" t="n"/>
      <c r="CG260" s="96" t="n"/>
      <c r="CH260" s="96" t="n"/>
      <c r="CI260" s="96" t="n"/>
      <c r="CJ260" s="96" t="n"/>
      <c r="CK260" s="96" t="n"/>
      <c r="CL260" s="96" t="n"/>
      <c r="CM260" s="96" t="n"/>
      <c r="CN260" s="96" t="n"/>
      <c r="CO260" s="96" t="n"/>
      <c r="CP260" s="96" t="n"/>
      <c r="CQ260" s="96" t="n"/>
      <c r="CR260" s="96" t="n"/>
      <c r="CS260" s="96" t="n"/>
      <c r="CT260" s="96" t="n"/>
      <c r="CU260" s="96" t="n"/>
      <c r="CV260" s="96" t="n"/>
      <c r="CW260" s="96" t="n"/>
      <c r="CX260" s="96" t="n"/>
      <c r="CY260" s="96" t="n"/>
      <c r="CZ260" s="96" t="n"/>
      <c r="DA260" s="96" t="n"/>
      <c r="DB260" s="96" t="n"/>
      <c r="DC260" s="96" t="n"/>
      <c r="DD260" s="96" t="n"/>
      <c r="DE260" s="96" t="n"/>
      <c r="DF260" s="96" t="n"/>
      <c r="DG260" s="96" t="n"/>
      <c r="DH260" s="96" t="n"/>
      <c r="DI260" s="96" t="n"/>
      <c r="DJ260" s="96" t="n"/>
      <c r="DK260" s="96" t="n"/>
      <c r="DL260" s="96" t="n"/>
      <c r="DM260" s="96" t="n"/>
      <c r="DN260" s="96" t="n"/>
      <c r="DO260" s="96" t="n"/>
      <c r="DP260" s="96" t="n"/>
      <c r="DQ260" s="96" t="n"/>
      <c r="DR260" s="96" t="n"/>
    </row>
    <row r="261" ht="15.75" customHeight="1">
      <c r="B261" s="5" t="inlineStr">
        <is>
          <t>Major</t>
        </is>
      </c>
      <c r="F261" s="46">
        <f>+F247-F254</f>
        <v/>
      </c>
      <c r="G261" s="46">
        <f>+G247-G254</f>
        <v/>
      </c>
      <c r="H261" s="46">
        <f>+H247-H254</f>
        <v/>
      </c>
      <c r="I261" s="46">
        <f>+I247-I254</f>
        <v/>
      </c>
      <c r="J261" s="46">
        <f>+J246-J253</f>
        <v/>
      </c>
      <c r="K261" s="46">
        <f>+K246-K253</f>
        <v/>
      </c>
      <c r="L261" s="46">
        <f>+L246-L253</f>
        <v/>
      </c>
      <c r="M261" s="46">
        <f>+M246-M253</f>
        <v/>
      </c>
      <c r="AA261" s="49" t="n"/>
      <c r="AB261" s="96" t="n"/>
      <c r="AC261" s="96" t="n"/>
      <c r="AD261" s="96" t="n"/>
      <c r="AE261" s="96" t="n"/>
      <c r="AF261" s="96" t="n"/>
      <c r="AG261" s="96" t="n"/>
      <c r="AH261" s="96" t="n"/>
      <c r="AI261" s="96" t="n"/>
      <c r="AJ261" s="96" t="n"/>
      <c r="AK261" s="96" t="n"/>
      <c r="AL261" s="96" t="n"/>
      <c r="AM261" s="96" t="n"/>
      <c r="AN261" s="96" t="n"/>
      <c r="AO261" s="96" t="n"/>
      <c r="AP261" s="96" t="n"/>
      <c r="AQ261" s="96" t="n"/>
      <c r="AR261" s="96" t="n"/>
      <c r="AS261" s="96" t="n"/>
      <c r="AT261" s="96" t="n"/>
      <c r="AU261" s="96" t="n"/>
      <c r="AV261" s="96" t="n"/>
      <c r="AW261" s="96" t="n"/>
      <c r="AX261" s="96" t="n"/>
      <c r="AY261" s="96" t="n"/>
      <c r="AZ261" s="96" t="n"/>
      <c r="BA261" s="96" t="n"/>
      <c r="BB261" s="96" t="n"/>
      <c r="BC261" s="96" t="n"/>
      <c r="BD261" s="96" t="n"/>
      <c r="BE261" s="96" t="n"/>
      <c r="BF261" s="96" t="n"/>
      <c r="BG261" s="96" t="n"/>
      <c r="BH261" s="96" t="n"/>
      <c r="BI261" s="96" t="n"/>
      <c r="BJ261" s="96" t="n"/>
      <c r="BK261" s="96" t="n"/>
      <c r="BL261" s="96" t="n"/>
      <c r="BM261" s="96" t="n"/>
      <c r="BN261" s="96" t="n"/>
      <c r="BO261" s="96" t="n"/>
      <c r="BP261" s="96" t="n"/>
      <c r="BQ261" s="96" t="n"/>
      <c r="BR261" s="96" t="n"/>
      <c r="BS261" s="96" t="n"/>
      <c r="BT261" s="96" t="n"/>
      <c r="BU261" s="96" t="n"/>
      <c r="BV261" s="96" t="n"/>
      <c r="BW261" s="96" t="n"/>
      <c r="BX261" s="96" t="n"/>
      <c r="BY261" s="96" t="n"/>
      <c r="BZ261" s="96" t="n"/>
      <c r="CA261" s="96" t="n"/>
      <c r="CB261" s="96" t="n"/>
      <c r="CC261" s="96" t="n"/>
      <c r="CD261" s="96" t="n"/>
      <c r="CE261" s="96" t="n"/>
      <c r="CF261" s="96" t="n"/>
      <c r="CG261" s="96" t="n"/>
      <c r="CH261" s="96" t="n"/>
      <c r="CI261" s="96" t="n"/>
      <c r="CJ261" s="96" t="n"/>
      <c r="CK261" s="96" t="n"/>
      <c r="CL261" s="96" t="n"/>
      <c r="CM261" s="96" t="n"/>
      <c r="CN261" s="96" t="n"/>
      <c r="CO261" s="96" t="n"/>
      <c r="CP261" s="96" t="n"/>
      <c r="CQ261" s="96" t="n"/>
      <c r="CR261" s="96" t="n"/>
      <c r="CS261" s="96" t="n"/>
      <c r="CT261" s="96" t="n"/>
      <c r="CU261" s="96" t="n"/>
      <c r="CV261" s="96" t="n"/>
      <c r="CW261" s="96" t="n"/>
      <c r="CX261" s="96" t="n"/>
      <c r="CY261" s="96" t="n"/>
      <c r="CZ261" s="96" t="n"/>
      <c r="DA261" s="96" t="n"/>
      <c r="DB261" s="96" t="n"/>
      <c r="DC261" s="96" t="n"/>
      <c r="DD261" s="96" t="n"/>
      <c r="DE261" s="96" t="n"/>
      <c r="DF261" s="96" t="n"/>
      <c r="DG261" s="96" t="n"/>
      <c r="DH261" s="96" t="n"/>
      <c r="DI261" s="96" t="n"/>
      <c r="DJ261" s="96" t="n"/>
      <c r="DK261" s="96" t="n"/>
      <c r="DL261" s="96" t="n"/>
      <c r="DM261" s="96" t="n"/>
      <c r="DN261" s="96" t="n"/>
      <c r="DO261" s="96" t="n"/>
      <c r="DP261" s="96" t="n"/>
      <c r="DQ261" s="96" t="n"/>
      <c r="DR261" s="96" t="n"/>
    </row>
    <row r="262" ht="15.75" customHeight="1">
      <c r="B262" s="5" t="inlineStr">
        <is>
          <t>Upper Middle Market</t>
        </is>
      </c>
      <c r="F262" s="46">
        <f>+F248-F255</f>
        <v/>
      </c>
      <c r="G262" s="46">
        <f>+G248-G255</f>
        <v/>
      </c>
      <c r="H262" s="46">
        <f>+H248-H255</f>
        <v/>
      </c>
      <c r="I262" s="46">
        <f>+I248-I255</f>
        <v/>
      </c>
      <c r="J262" s="46">
        <f>+J247-J254</f>
        <v/>
      </c>
      <c r="K262" s="46">
        <f>+K247-K254</f>
        <v/>
      </c>
      <c r="L262" s="46">
        <f>+L247-L254</f>
        <v/>
      </c>
      <c r="M262" s="46">
        <f>+M247-M254</f>
        <v/>
      </c>
      <c r="AA262" s="49" t="n"/>
      <c r="AB262" s="96" t="n"/>
      <c r="AC262" s="96" t="n"/>
      <c r="AD262" s="96" t="n"/>
      <c r="AE262" s="96" t="n"/>
      <c r="AF262" s="96" t="n"/>
      <c r="AG262" s="96" t="n"/>
      <c r="AH262" s="96" t="n"/>
      <c r="AI262" s="96" t="n"/>
      <c r="AJ262" s="96" t="n"/>
      <c r="AK262" s="96" t="n"/>
      <c r="AL262" s="96" t="n"/>
      <c r="AM262" s="96" t="n"/>
      <c r="AN262" s="96" t="n"/>
      <c r="AO262" s="96" t="n"/>
      <c r="AP262" s="96" t="n"/>
      <c r="AQ262" s="96" t="n"/>
      <c r="AR262" s="96" t="n"/>
      <c r="AS262" s="96" t="n"/>
      <c r="AT262" s="96" t="n"/>
      <c r="AU262" s="96" t="n"/>
      <c r="AV262" s="96" t="n"/>
      <c r="AW262" s="96" t="n"/>
      <c r="AX262" s="96" t="n"/>
      <c r="AY262" s="96" t="n"/>
      <c r="AZ262" s="96" t="n"/>
      <c r="BA262" s="96" t="n"/>
      <c r="BB262" s="96" t="n"/>
      <c r="BC262" s="96" t="n"/>
      <c r="BD262" s="96" t="n"/>
      <c r="BE262" s="96" t="n"/>
      <c r="BF262" s="96" t="n"/>
      <c r="BG262" s="96" t="n"/>
      <c r="BH262" s="96" t="n"/>
      <c r="BI262" s="96" t="n"/>
      <c r="BJ262" s="96" t="n"/>
      <c r="BK262" s="96" t="n"/>
      <c r="BL262" s="96" t="n"/>
      <c r="BM262" s="96" t="n"/>
      <c r="BN262" s="96" t="n"/>
      <c r="BO262" s="96" t="n"/>
      <c r="BP262" s="96" t="n"/>
      <c r="BQ262" s="96" t="n"/>
      <c r="BR262" s="96" t="n"/>
      <c r="BS262" s="96" t="n"/>
      <c r="BT262" s="96" t="n"/>
      <c r="BU262" s="96" t="n"/>
      <c r="BV262" s="96" t="n"/>
      <c r="BW262" s="96" t="n"/>
      <c r="BX262" s="96" t="n"/>
      <c r="BY262" s="96" t="n"/>
      <c r="BZ262" s="96" t="n"/>
      <c r="CA262" s="96" t="n"/>
      <c r="CB262" s="96" t="n"/>
      <c r="CC262" s="96" t="n"/>
      <c r="CD262" s="96" t="n"/>
      <c r="CE262" s="96" t="n"/>
      <c r="CF262" s="96" t="n"/>
      <c r="CG262" s="96" t="n"/>
      <c r="CH262" s="96" t="n"/>
      <c r="CI262" s="96" t="n"/>
      <c r="CJ262" s="96" t="n"/>
      <c r="CK262" s="96" t="n"/>
      <c r="CL262" s="96" t="n"/>
      <c r="CM262" s="96" t="n"/>
      <c r="CN262" s="96" t="n"/>
      <c r="CO262" s="96" t="n"/>
      <c r="CP262" s="96" t="n"/>
      <c r="CQ262" s="96" t="n"/>
      <c r="CR262" s="96" t="n"/>
      <c r="CS262" s="96" t="n"/>
      <c r="CT262" s="96" t="n"/>
      <c r="CU262" s="96" t="n"/>
      <c r="CV262" s="96" t="n"/>
      <c r="CW262" s="96" t="n"/>
      <c r="CX262" s="96" t="n"/>
      <c r="CY262" s="96" t="n"/>
      <c r="CZ262" s="96" t="n"/>
      <c r="DA262" s="96" t="n"/>
      <c r="DB262" s="96" t="n"/>
      <c r="DC262" s="96" t="n"/>
      <c r="DD262" s="96" t="n"/>
      <c r="DE262" s="96" t="n"/>
      <c r="DF262" s="96" t="n"/>
      <c r="DG262" s="96" t="n"/>
      <c r="DH262" s="96" t="n"/>
      <c r="DI262" s="96" t="n"/>
      <c r="DJ262" s="96" t="n"/>
      <c r="DK262" s="96" t="n"/>
      <c r="DL262" s="96" t="n"/>
      <c r="DM262" s="96" t="n"/>
      <c r="DN262" s="96" t="n"/>
      <c r="DO262" s="96" t="n"/>
      <c r="DP262" s="96" t="n"/>
      <c r="DQ262" s="96" t="n"/>
      <c r="DR262" s="96" t="n"/>
    </row>
    <row r="263" ht="15.75" customHeight="1">
      <c r="B263" s="5" t="inlineStr">
        <is>
          <t>Lower Middle Market</t>
        </is>
      </c>
      <c r="F263" s="46">
        <f>+F248-F255</f>
        <v/>
      </c>
      <c r="G263" s="46">
        <f>+G248-G255</f>
        <v/>
      </c>
      <c r="H263" s="46">
        <f>+H248-H255</f>
        <v/>
      </c>
      <c r="I263" s="46">
        <f>+I248-I255</f>
        <v/>
      </c>
      <c r="J263" s="46">
        <f>+J248-J255</f>
        <v/>
      </c>
      <c r="K263" s="46">
        <f>+K248-K255</f>
        <v/>
      </c>
      <c r="L263" s="46">
        <f>+L248-L255</f>
        <v/>
      </c>
      <c r="M263" s="46">
        <f>+M248-M255</f>
        <v/>
      </c>
      <c r="AA263" s="49" t="n"/>
      <c r="AB263" s="96" t="n"/>
      <c r="AC263" s="96" t="n"/>
      <c r="AD263" s="96" t="n"/>
      <c r="AE263" s="96" t="n"/>
      <c r="AF263" s="96" t="n"/>
      <c r="AG263" s="96" t="n"/>
      <c r="AH263" s="96" t="n"/>
      <c r="AI263" s="96" t="n"/>
      <c r="AJ263" s="96" t="n"/>
      <c r="AK263" s="96" t="n"/>
      <c r="AL263" s="96" t="n"/>
      <c r="AM263" s="96" t="n"/>
      <c r="AN263" s="96" t="n"/>
      <c r="AO263" s="96" t="n"/>
      <c r="AP263" s="96" t="n"/>
      <c r="AQ263" s="96" t="n"/>
      <c r="AR263" s="96" t="n"/>
      <c r="AS263" s="96" t="n"/>
      <c r="AT263" s="96" t="n"/>
      <c r="AU263" s="96" t="n"/>
      <c r="AV263" s="96" t="n"/>
      <c r="AW263" s="96" t="n"/>
      <c r="AX263" s="96" t="n"/>
      <c r="AY263" s="96" t="n"/>
      <c r="AZ263" s="96" t="n"/>
      <c r="BA263" s="96" t="n"/>
      <c r="BB263" s="96" t="n"/>
      <c r="BC263" s="96" t="n"/>
      <c r="BD263" s="96" t="n"/>
      <c r="BE263" s="96" t="n"/>
      <c r="BF263" s="96" t="n"/>
      <c r="BG263" s="96" t="n"/>
      <c r="BH263" s="96" t="n"/>
      <c r="BI263" s="96" t="n"/>
      <c r="BJ263" s="96" t="n"/>
      <c r="BK263" s="96" t="n"/>
      <c r="BL263" s="96" t="n"/>
      <c r="BM263" s="96" t="n"/>
      <c r="BN263" s="96" t="n"/>
      <c r="BO263" s="96" t="n"/>
      <c r="BP263" s="96" t="n"/>
      <c r="BQ263" s="96" t="n"/>
      <c r="BR263" s="96" t="n"/>
      <c r="BS263" s="96" t="n"/>
      <c r="BT263" s="96" t="n"/>
      <c r="BU263" s="96" t="n"/>
      <c r="BV263" s="96" t="n"/>
      <c r="BW263" s="96" t="n"/>
      <c r="BX263" s="96" t="n"/>
      <c r="BY263" s="96" t="n"/>
      <c r="BZ263" s="96" t="n"/>
      <c r="CA263" s="96" t="n"/>
      <c r="CB263" s="96" t="n"/>
      <c r="CC263" s="96" t="n"/>
      <c r="CD263" s="96" t="n"/>
      <c r="CE263" s="96" t="n"/>
      <c r="CF263" s="96" t="n"/>
      <c r="CG263" s="96" t="n"/>
      <c r="CH263" s="96" t="n"/>
      <c r="CI263" s="96" t="n"/>
      <c r="CJ263" s="96" t="n"/>
      <c r="CK263" s="96" t="n"/>
      <c r="CL263" s="96" t="n"/>
      <c r="CM263" s="96" t="n"/>
      <c r="CN263" s="96" t="n"/>
      <c r="CO263" s="96" t="n"/>
      <c r="CP263" s="96" t="n"/>
      <c r="CQ263" s="96" t="n"/>
      <c r="CR263" s="96" t="n"/>
      <c r="CS263" s="96" t="n"/>
      <c r="CT263" s="96" t="n"/>
      <c r="CU263" s="96" t="n"/>
      <c r="CV263" s="96" t="n"/>
      <c r="CW263" s="96" t="n"/>
      <c r="CX263" s="96" t="n"/>
      <c r="CY263" s="96" t="n"/>
      <c r="CZ263" s="96" t="n"/>
      <c r="DA263" s="96" t="n"/>
      <c r="DB263" s="96" t="n"/>
      <c r="DC263" s="96" t="n"/>
      <c r="DD263" s="96" t="n"/>
      <c r="DE263" s="96" t="n"/>
      <c r="DF263" s="96" t="n"/>
      <c r="DG263" s="96" t="n"/>
      <c r="DH263" s="96" t="n"/>
      <c r="DI263" s="96" t="n"/>
      <c r="DJ263" s="96" t="n"/>
      <c r="DK263" s="96" t="n"/>
      <c r="DL263" s="96" t="n"/>
      <c r="DM263" s="96" t="n"/>
      <c r="DN263" s="96" t="n"/>
      <c r="DO263" s="96" t="n"/>
      <c r="DP263" s="96" t="n"/>
      <c r="DQ263" s="96" t="n"/>
      <c r="DR263" s="96" t="n"/>
    </row>
    <row r="264" ht="15.75" customHeight="1">
      <c r="B264" s="50" t="inlineStr">
        <is>
          <t>Total</t>
        </is>
      </c>
      <c r="C264" s="50" t="n"/>
      <c r="D264" s="50" t="n"/>
      <c r="F264" s="51">
        <f>SUM(F260:F263)</f>
        <v/>
      </c>
      <c r="G264" s="51">
        <f>SUM(G260:G263)</f>
        <v/>
      </c>
      <c r="H264" s="51">
        <f>SUM(H260:H263)</f>
        <v/>
      </c>
      <c r="I264" s="51">
        <f>SUM(I260:I263)</f>
        <v/>
      </c>
      <c r="J264" s="51">
        <f>SUM(J260:J263)</f>
        <v/>
      </c>
      <c r="K264" s="51">
        <f>SUM(K260:K263)</f>
        <v/>
      </c>
      <c r="L264" s="51">
        <f>SUM(L260:L263)</f>
        <v/>
      </c>
      <c r="M264" s="51">
        <f>SUM(M260:M263)</f>
        <v/>
      </c>
      <c r="AA264" s="49" t="n"/>
      <c r="AB264" s="96" t="n"/>
      <c r="AC264" s="96" t="n"/>
      <c r="AD264" s="96" t="n"/>
      <c r="AE264" s="96" t="n"/>
      <c r="AF264" s="96" t="n"/>
      <c r="AG264" s="96" t="n"/>
      <c r="AH264" s="96" t="n"/>
      <c r="AI264" s="96" t="n"/>
      <c r="AJ264" s="96" t="n"/>
      <c r="AK264" s="96" t="n"/>
      <c r="AL264" s="96" t="n"/>
      <c r="AM264" s="96" t="n"/>
      <c r="AN264" s="96" t="n"/>
      <c r="AO264" s="96" t="n"/>
      <c r="AP264" s="96" t="n"/>
      <c r="AQ264" s="96" t="n"/>
      <c r="AR264" s="96" t="n"/>
      <c r="AS264" s="96" t="n"/>
      <c r="AT264" s="96" t="n"/>
      <c r="AU264" s="96" t="n"/>
      <c r="AV264" s="96" t="n"/>
      <c r="AW264" s="96" t="n"/>
      <c r="AX264" s="96" t="n"/>
      <c r="AY264" s="96" t="n"/>
      <c r="AZ264" s="96" t="n"/>
      <c r="BA264" s="96" t="n"/>
      <c r="BB264" s="96" t="n"/>
      <c r="BC264" s="96" t="n"/>
      <c r="BD264" s="96" t="n"/>
      <c r="BE264" s="96" t="n"/>
      <c r="BF264" s="96" t="n"/>
      <c r="BG264" s="96" t="n"/>
      <c r="BH264" s="96" t="n"/>
      <c r="BI264" s="96" t="n"/>
      <c r="BJ264" s="96" t="n"/>
      <c r="BK264" s="96" t="n"/>
      <c r="BL264" s="96" t="n"/>
      <c r="BM264" s="96" t="n"/>
      <c r="BN264" s="96" t="n"/>
      <c r="BO264" s="96" t="n"/>
      <c r="BP264" s="96" t="n"/>
      <c r="BQ264" s="96" t="n"/>
      <c r="BR264" s="96" t="n"/>
      <c r="BS264" s="96" t="n"/>
      <c r="BT264" s="96" t="n"/>
      <c r="BU264" s="96" t="n"/>
      <c r="BV264" s="96" t="n"/>
      <c r="BW264" s="96" t="n"/>
      <c r="BX264" s="96" t="n"/>
      <c r="BY264" s="96" t="n"/>
      <c r="BZ264" s="96" t="n"/>
      <c r="CA264" s="96" t="n"/>
      <c r="CB264" s="96" t="n"/>
      <c r="CC264" s="96" t="n"/>
      <c r="CD264" s="96" t="n"/>
      <c r="CE264" s="96" t="n"/>
      <c r="CF264" s="96" t="n"/>
      <c r="CG264" s="96" t="n"/>
      <c r="CH264" s="96" t="n"/>
      <c r="CI264" s="96" t="n"/>
      <c r="CJ264" s="96" t="n"/>
      <c r="CK264" s="96" t="n"/>
      <c r="CL264" s="96" t="n"/>
      <c r="CM264" s="96" t="n"/>
      <c r="CN264" s="96" t="n"/>
      <c r="CO264" s="96" t="n"/>
      <c r="CP264" s="96" t="n"/>
      <c r="CQ264" s="96" t="n"/>
      <c r="CR264" s="96" t="n"/>
      <c r="CS264" s="96" t="n"/>
      <c r="CT264" s="96" t="n"/>
      <c r="CU264" s="96" t="n"/>
      <c r="CV264" s="96" t="n"/>
      <c r="CW264" s="96" t="n"/>
      <c r="CX264" s="96" t="n"/>
      <c r="CY264" s="96" t="n"/>
      <c r="CZ264" s="96" t="n"/>
      <c r="DA264" s="96" t="n"/>
      <c r="DB264" s="96" t="n"/>
      <c r="DC264" s="96" t="n"/>
      <c r="DD264" s="96" t="n"/>
      <c r="DE264" s="96" t="n"/>
      <c r="DF264" s="96" t="n"/>
      <c r="DG264" s="96" t="n"/>
      <c r="DH264" s="96" t="n"/>
      <c r="DI264" s="96" t="n"/>
      <c r="DJ264" s="96" t="n"/>
      <c r="DK264" s="96" t="n"/>
      <c r="DL264" s="96" t="n"/>
      <c r="DM264" s="96" t="n"/>
      <c r="DN264" s="96" t="n"/>
      <c r="DO264" s="96" t="n"/>
      <c r="DP264" s="96" t="n"/>
      <c r="DQ264" s="96" t="n"/>
      <c r="DR264" s="96" t="n"/>
    </row>
    <row r="265" ht="4.5" customHeight="1"/>
    <row r="266" ht="15.75" customHeight="1">
      <c r="B266" s="44" t="inlineStr">
        <is>
          <t>Gross Margin</t>
        </is>
      </c>
    </row>
    <row r="267" ht="15.75" customHeight="1">
      <c r="B267" s="5" t="inlineStr">
        <is>
          <t>Mega</t>
        </is>
      </c>
      <c r="F267" s="45">
        <f>+IFERROR(F260/F245,0)</f>
        <v/>
      </c>
      <c r="G267" s="45">
        <f>+IFERROR(G260/G245,0)</f>
        <v/>
      </c>
      <c r="H267" s="45">
        <f>+IFERROR(H260/H245,0)</f>
        <v/>
      </c>
      <c r="I267" s="45">
        <f>+IFERROR(I260/I245,0)</f>
        <v/>
      </c>
      <c r="J267" s="45">
        <f>+IFERROR(J260/J245,0)</f>
        <v/>
      </c>
      <c r="K267" s="45">
        <f>+IFERROR(K260/K245,0)</f>
        <v/>
      </c>
      <c r="L267" s="45">
        <f>+IFERROR(L260/L245,0)</f>
        <v/>
      </c>
      <c r="M267" s="45">
        <f>+IFERROR(M260/M245,0)</f>
        <v/>
      </c>
      <c r="AA267" s="49" t="n"/>
      <c r="AB267" s="96" t="n"/>
      <c r="AC267" s="96" t="n"/>
      <c r="AD267" s="96" t="n"/>
      <c r="AE267" s="96" t="n"/>
      <c r="AF267" s="96" t="n"/>
      <c r="AG267" s="96" t="n"/>
      <c r="AH267" s="96" t="n"/>
      <c r="AI267" s="96" t="n"/>
      <c r="AJ267" s="96" t="n"/>
      <c r="AK267" s="96" t="n"/>
      <c r="AL267" s="96" t="n"/>
      <c r="AM267" s="96" t="n"/>
      <c r="AN267" s="96" t="n"/>
      <c r="AO267" s="96" t="n"/>
      <c r="AP267" s="96" t="n"/>
      <c r="AQ267" s="96" t="n"/>
      <c r="AR267" s="96" t="n"/>
      <c r="AS267" s="96" t="n"/>
      <c r="AT267" s="96" t="n"/>
      <c r="AU267" s="96" t="n"/>
      <c r="AV267" s="96" t="n"/>
      <c r="AW267" s="96" t="n"/>
      <c r="AX267" s="96" t="n"/>
      <c r="AY267" s="96" t="n"/>
      <c r="AZ267" s="96" t="n"/>
      <c r="BA267" s="96" t="n"/>
      <c r="BB267" s="96" t="n"/>
      <c r="BC267" s="96" t="n"/>
      <c r="BD267" s="96" t="n"/>
      <c r="BE267" s="96" t="n"/>
      <c r="BF267" s="96" t="n"/>
      <c r="BG267" s="96" t="n"/>
      <c r="BH267" s="96" t="n"/>
      <c r="BI267" s="96" t="n"/>
      <c r="BJ267" s="96" t="n"/>
      <c r="BK267" s="96" t="n"/>
      <c r="BL267" s="96" t="n"/>
      <c r="BM267" s="96" t="n"/>
      <c r="BN267" s="96" t="n"/>
      <c r="BO267" s="96" t="n"/>
      <c r="BP267" s="96" t="n"/>
      <c r="BQ267" s="96" t="n"/>
      <c r="BR267" s="96" t="n"/>
      <c r="BS267" s="96" t="n"/>
      <c r="BT267" s="96" t="n"/>
      <c r="BU267" s="96" t="n"/>
      <c r="BV267" s="96" t="n"/>
      <c r="BW267" s="96" t="n"/>
      <c r="BX267" s="96" t="n"/>
      <c r="BY267" s="96" t="n"/>
      <c r="BZ267" s="96" t="n"/>
      <c r="CA267" s="96" t="n"/>
      <c r="CB267" s="96" t="n"/>
      <c r="CC267" s="96" t="n"/>
      <c r="CD267" s="96" t="n"/>
      <c r="CE267" s="96" t="n"/>
      <c r="CF267" s="96" t="n"/>
      <c r="CG267" s="96" t="n"/>
      <c r="CH267" s="96" t="n"/>
      <c r="CI267" s="96" t="n"/>
      <c r="CJ267" s="96" t="n"/>
      <c r="CK267" s="96" t="n"/>
      <c r="CL267" s="96" t="n"/>
      <c r="CM267" s="96" t="n"/>
      <c r="CN267" s="96" t="n"/>
      <c r="CO267" s="96" t="n"/>
      <c r="CP267" s="96" t="n"/>
      <c r="CQ267" s="96" t="n"/>
      <c r="CR267" s="96" t="n"/>
      <c r="CS267" s="96" t="n"/>
      <c r="CT267" s="96" t="n"/>
      <c r="CU267" s="96" t="n"/>
      <c r="CV267" s="96" t="n"/>
      <c r="CW267" s="96" t="n"/>
      <c r="CX267" s="96" t="n"/>
      <c r="CY267" s="96" t="n"/>
      <c r="CZ267" s="96" t="n"/>
      <c r="DA267" s="96" t="n"/>
      <c r="DB267" s="96" t="n"/>
      <c r="DC267" s="96" t="n"/>
      <c r="DD267" s="96" t="n"/>
      <c r="DE267" s="96" t="n"/>
      <c r="DF267" s="96" t="n"/>
      <c r="DG267" s="96" t="n"/>
      <c r="DH267" s="96" t="n"/>
      <c r="DI267" s="96" t="n"/>
      <c r="DJ267" s="96" t="n"/>
      <c r="DK267" s="96" t="n"/>
      <c r="DL267" s="96" t="n"/>
      <c r="DM267" s="96" t="n"/>
      <c r="DN267" s="96" t="n"/>
      <c r="DO267" s="96" t="n"/>
      <c r="DP267" s="96" t="n"/>
      <c r="DQ267" s="96" t="n"/>
      <c r="DR267" s="96" t="n"/>
    </row>
    <row r="268" ht="15.75" customHeight="1">
      <c r="B268" s="5" t="inlineStr">
        <is>
          <t>Major</t>
        </is>
      </c>
      <c r="F268" s="45">
        <f>+IFERROR(F261/F246,0)</f>
        <v/>
      </c>
      <c r="G268" s="45">
        <f>+IFERROR(MROUND(G261/G246,2),0)</f>
        <v/>
      </c>
      <c r="H268" s="45">
        <f>+IFERROR(H261/H246,0)</f>
        <v/>
      </c>
      <c r="I268" s="45">
        <f>+IFERROR(I261/I246,0)</f>
        <v/>
      </c>
      <c r="J268" s="45">
        <f>+IFERROR(J261/J246,0)</f>
        <v/>
      </c>
      <c r="K268" s="45">
        <f>+IFERROR(K261/K246,0)</f>
        <v/>
      </c>
      <c r="L268" s="45">
        <f>+IFERROR(L261/L246,0)</f>
        <v/>
      </c>
      <c r="M268" s="45">
        <f>+IFERROR(M261/M246,0)</f>
        <v/>
      </c>
      <c r="AA268" s="49" t="n"/>
      <c r="AB268" s="96" t="n"/>
      <c r="AC268" s="96" t="n"/>
      <c r="AD268" s="96" t="n"/>
      <c r="AE268" s="96" t="n"/>
      <c r="AF268" s="96" t="n"/>
      <c r="AG268" s="96" t="n"/>
      <c r="AH268" s="96" t="n"/>
      <c r="AI268" s="96" t="n"/>
      <c r="AJ268" s="96" t="n"/>
      <c r="AK268" s="96" t="n"/>
      <c r="AL268" s="96" t="n"/>
      <c r="AM268" s="96" t="n"/>
      <c r="AN268" s="96" t="n"/>
      <c r="AO268" s="96" t="n"/>
      <c r="AP268" s="96" t="n"/>
      <c r="AQ268" s="96" t="n"/>
      <c r="AR268" s="96" t="n"/>
      <c r="AS268" s="96" t="n"/>
      <c r="AT268" s="96" t="n"/>
      <c r="AU268" s="96" t="n"/>
      <c r="AV268" s="96" t="n"/>
      <c r="AW268" s="96" t="n"/>
      <c r="AX268" s="96" t="n"/>
      <c r="AY268" s="96" t="n"/>
      <c r="AZ268" s="96" t="n"/>
      <c r="BA268" s="96" t="n"/>
      <c r="BB268" s="96" t="n"/>
      <c r="BC268" s="96" t="n"/>
      <c r="BD268" s="96" t="n"/>
      <c r="BE268" s="96" t="n"/>
      <c r="BF268" s="96" t="n"/>
      <c r="BG268" s="96" t="n"/>
      <c r="BH268" s="96" t="n"/>
      <c r="BI268" s="96" t="n"/>
      <c r="BJ268" s="96" t="n"/>
      <c r="BK268" s="96" t="n"/>
      <c r="BL268" s="96" t="n"/>
      <c r="BM268" s="96" t="n"/>
      <c r="BN268" s="96" t="n"/>
      <c r="BO268" s="96" t="n"/>
      <c r="BP268" s="96" t="n"/>
      <c r="BQ268" s="96" t="n"/>
      <c r="BR268" s="96" t="n"/>
      <c r="BS268" s="96" t="n"/>
      <c r="BT268" s="96" t="n"/>
      <c r="BU268" s="96" t="n"/>
      <c r="BV268" s="96" t="n"/>
      <c r="BW268" s="96" t="n"/>
      <c r="BX268" s="96" t="n"/>
      <c r="BY268" s="96" t="n"/>
      <c r="BZ268" s="96" t="n"/>
      <c r="CA268" s="96" t="n"/>
      <c r="CB268" s="96" t="n"/>
      <c r="CC268" s="96" t="n"/>
      <c r="CD268" s="96" t="n"/>
      <c r="CE268" s="96" t="n"/>
      <c r="CF268" s="96" t="n"/>
      <c r="CG268" s="96" t="n"/>
      <c r="CH268" s="96" t="n"/>
      <c r="CI268" s="96" t="n"/>
      <c r="CJ268" s="96" t="n"/>
      <c r="CK268" s="96" t="n"/>
      <c r="CL268" s="96" t="n"/>
      <c r="CM268" s="96" t="n"/>
      <c r="CN268" s="96" t="n"/>
      <c r="CO268" s="96" t="n"/>
      <c r="CP268" s="96" t="n"/>
      <c r="CQ268" s="96" t="n"/>
      <c r="CR268" s="96" t="n"/>
      <c r="CS268" s="96" t="n"/>
      <c r="CT268" s="96" t="n"/>
      <c r="CU268" s="96" t="n"/>
      <c r="CV268" s="96" t="n"/>
      <c r="CW268" s="96" t="n"/>
      <c r="CX268" s="96" t="n"/>
      <c r="CY268" s="96" t="n"/>
      <c r="CZ268" s="96" t="n"/>
      <c r="DA268" s="96" t="n"/>
      <c r="DB268" s="96" t="n"/>
      <c r="DC268" s="96" t="n"/>
      <c r="DD268" s="96" t="n"/>
      <c r="DE268" s="96" t="n"/>
      <c r="DF268" s="96" t="n"/>
      <c r="DG268" s="96" t="n"/>
      <c r="DH268" s="96" t="n"/>
      <c r="DI268" s="96" t="n"/>
      <c r="DJ268" s="96" t="n"/>
      <c r="DK268" s="96" t="n"/>
      <c r="DL268" s="96" t="n"/>
      <c r="DM268" s="96" t="n"/>
      <c r="DN268" s="96" t="n"/>
      <c r="DO268" s="96" t="n"/>
      <c r="DP268" s="96" t="n"/>
      <c r="DQ268" s="96" t="n"/>
      <c r="DR268" s="96" t="n"/>
    </row>
    <row r="269" ht="15.75" customHeight="1">
      <c r="B269" s="5" t="inlineStr">
        <is>
          <t>Upper Middle Market</t>
        </is>
      </c>
      <c r="F269" s="45">
        <f>+IFERROR(F262/F247,0)</f>
        <v/>
      </c>
      <c r="G269" s="45">
        <f>+IFERROR(G262/G247,0)</f>
        <v/>
      </c>
      <c r="H269" s="45">
        <f>+IFERROR(H262/H247,0)</f>
        <v/>
      </c>
      <c r="I269" s="45">
        <f>+IFERROR(I262/I247,0)</f>
        <v/>
      </c>
      <c r="J269" s="45">
        <f>+IFERROR(J262/J247,0)</f>
        <v/>
      </c>
      <c r="K269" s="45">
        <f>+IFERROR(K262/K247,0)</f>
        <v/>
      </c>
      <c r="L269" s="45">
        <f>+IFERROR(L262/L247,0)</f>
        <v/>
      </c>
      <c r="M269" s="45">
        <f>+IFERROR(M262/M247,0)</f>
        <v/>
      </c>
      <c r="AA269" s="49" t="n"/>
      <c r="AB269" s="96" t="n"/>
      <c r="AC269" s="96" t="n"/>
      <c r="AD269" s="96" t="n"/>
      <c r="AE269" s="96" t="n"/>
      <c r="AF269" s="96" t="n"/>
      <c r="AG269" s="96" t="n"/>
      <c r="AH269" s="96" t="n"/>
      <c r="AI269" s="96" t="n"/>
      <c r="AJ269" s="96" t="n"/>
      <c r="AK269" s="96" t="n"/>
      <c r="AL269" s="96" t="n"/>
      <c r="AM269" s="96" t="n"/>
      <c r="AN269" s="96" t="n"/>
      <c r="AO269" s="96" t="n"/>
      <c r="AP269" s="96" t="n"/>
      <c r="AQ269" s="96" t="n"/>
      <c r="AR269" s="96" t="n"/>
      <c r="AS269" s="96" t="n"/>
      <c r="AT269" s="96" t="n"/>
      <c r="AU269" s="96" t="n"/>
      <c r="AV269" s="96" t="n"/>
      <c r="AW269" s="96" t="n"/>
      <c r="AX269" s="96" t="n"/>
      <c r="AY269" s="96" t="n"/>
      <c r="AZ269" s="96" t="n"/>
      <c r="BA269" s="96" t="n"/>
      <c r="BB269" s="96" t="n"/>
      <c r="BC269" s="96" t="n"/>
      <c r="BD269" s="96" t="n"/>
      <c r="BE269" s="96" t="n"/>
      <c r="BF269" s="96" t="n"/>
      <c r="BG269" s="96" t="n"/>
      <c r="BH269" s="96" t="n"/>
      <c r="BI269" s="96" t="n"/>
      <c r="BJ269" s="96" t="n"/>
      <c r="BK269" s="96" t="n"/>
      <c r="BL269" s="96" t="n"/>
      <c r="BM269" s="96" t="n"/>
      <c r="BN269" s="96" t="n"/>
      <c r="BO269" s="96" t="n"/>
      <c r="BP269" s="96" t="n"/>
      <c r="BQ269" s="96" t="n"/>
      <c r="BR269" s="96" t="n"/>
      <c r="BS269" s="96" t="n"/>
      <c r="BT269" s="96" t="n"/>
      <c r="BU269" s="96" t="n"/>
      <c r="BV269" s="96" t="n"/>
      <c r="BW269" s="96" t="n"/>
      <c r="BX269" s="96" t="n"/>
      <c r="BY269" s="96" t="n"/>
      <c r="BZ269" s="96" t="n"/>
      <c r="CA269" s="96" t="n"/>
      <c r="CB269" s="96" t="n"/>
      <c r="CC269" s="96" t="n"/>
      <c r="CD269" s="96" t="n"/>
      <c r="CE269" s="96" t="n"/>
      <c r="CF269" s="96" t="n"/>
      <c r="CG269" s="96" t="n"/>
      <c r="CH269" s="96" t="n"/>
      <c r="CI269" s="96" t="n"/>
      <c r="CJ269" s="96" t="n"/>
      <c r="CK269" s="96" t="n"/>
      <c r="CL269" s="96" t="n"/>
      <c r="CM269" s="96" t="n"/>
      <c r="CN269" s="96" t="n"/>
      <c r="CO269" s="96" t="n"/>
      <c r="CP269" s="96" t="n"/>
      <c r="CQ269" s="96" t="n"/>
      <c r="CR269" s="96" t="n"/>
      <c r="CS269" s="96" t="n"/>
      <c r="CT269" s="96" t="n"/>
      <c r="CU269" s="96" t="n"/>
      <c r="CV269" s="96" t="n"/>
      <c r="CW269" s="96" t="n"/>
      <c r="CX269" s="96" t="n"/>
      <c r="CY269" s="96" t="n"/>
      <c r="CZ269" s="96" t="n"/>
      <c r="DA269" s="96" t="n"/>
      <c r="DB269" s="96" t="n"/>
      <c r="DC269" s="96" t="n"/>
      <c r="DD269" s="96" t="n"/>
      <c r="DE269" s="96" t="n"/>
      <c r="DF269" s="96" t="n"/>
      <c r="DG269" s="96" t="n"/>
      <c r="DH269" s="96" t="n"/>
      <c r="DI269" s="96" t="n"/>
      <c r="DJ269" s="96" t="n"/>
      <c r="DK269" s="96" t="n"/>
      <c r="DL269" s="96" t="n"/>
      <c r="DM269" s="96" t="n"/>
      <c r="DN269" s="96" t="n"/>
      <c r="DO269" s="96" t="n"/>
      <c r="DP269" s="96" t="n"/>
      <c r="DQ269" s="96" t="n"/>
      <c r="DR269" s="96" t="n"/>
    </row>
    <row r="270" ht="15.75" customHeight="1">
      <c r="B270" s="5" t="inlineStr">
        <is>
          <t>Lower Middle Market</t>
        </is>
      </c>
      <c r="F270" s="45">
        <f>+IFERROR(F263/F248,0)</f>
        <v/>
      </c>
      <c r="G270" s="45">
        <f>+IFERROR(G263/G248,0)</f>
        <v/>
      </c>
      <c r="H270" s="45">
        <f>+IFERROR(H263/H248,0)</f>
        <v/>
      </c>
      <c r="I270" s="45">
        <f>+IFERROR(I263/I248,0)</f>
        <v/>
      </c>
      <c r="J270" s="45">
        <f>+IFERROR(J263/J248,0)</f>
        <v/>
      </c>
      <c r="K270" s="45">
        <f>+IFERROR(K263/K248,0)</f>
        <v/>
      </c>
      <c r="L270" s="45">
        <f>+IFERROR(L263/L248,0)</f>
        <v/>
      </c>
      <c r="M270" s="45">
        <f>+IFERROR(M263/M248,0)</f>
        <v/>
      </c>
      <c r="AA270" s="49" t="n"/>
      <c r="AB270" s="96" t="n"/>
      <c r="AC270" s="96" t="n"/>
      <c r="AD270" s="96" t="n"/>
      <c r="AE270" s="96" t="n"/>
      <c r="AF270" s="96" t="n"/>
      <c r="AG270" s="96" t="n"/>
      <c r="AH270" s="96" t="n"/>
      <c r="AI270" s="96" t="n"/>
      <c r="AJ270" s="96" t="n"/>
      <c r="AK270" s="96" t="n"/>
      <c r="AL270" s="96" t="n"/>
      <c r="AM270" s="96" t="n"/>
      <c r="AN270" s="96" t="n"/>
      <c r="AO270" s="96" t="n"/>
      <c r="AP270" s="96" t="n"/>
      <c r="AQ270" s="96" t="n"/>
      <c r="AR270" s="96" t="n"/>
      <c r="AS270" s="96" t="n"/>
      <c r="AT270" s="96" t="n"/>
      <c r="AU270" s="96" t="n"/>
      <c r="AV270" s="96" t="n"/>
      <c r="AW270" s="96" t="n"/>
      <c r="AX270" s="96" t="n"/>
      <c r="AY270" s="96" t="n"/>
      <c r="AZ270" s="96" t="n"/>
      <c r="BA270" s="96" t="n"/>
      <c r="BB270" s="96" t="n"/>
      <c r="BC270" s="96" t="n"/>
      <c r="BD270" s="96" t="n"/>
      <c r="BE270" s="96" t="n"/>
      <c r="BF270" s="96" t="n"/>
      <c r="BG270" s="96" t="n"/>
      <c r="BH270" s="96" t="n"/>
      <c r="BI270" s="96" t="n"/>
      <c r="BJ270" s="96" t="n"/>
      <c r="BK270" s="96" t="n"/>
      <c r="BL270" s="96" t="n"/>
      <c r="BM270" s="96" t="n"/>
      <c r="BN270" s="96" t="n"/>
      <c r="BO270" s="96" t="n"/>
      <c r="BP270" s="96" t="n"/>
      <c r="BQ270" s="96" t="n"/>
      <c r="BR270" s="96" t="n"/>
      <c r="BS270" s="96" t="n"/>
      <c r="BT270" s="96" t="n"/>
      <c r="BU270" s="96" t="n"/>
      <c r="BV270" s="96" t="n"/>
      <c r="BW270" s="96" t="n"/>
      <c r="BX270" s="96" t="n"/>
      <c r="BY270" s="96" t="n"/>
      <c r="BZ270" s="96" t="n"/>
      <c r="CA270" s="96" t="n"/>
      <c r="CB270" s="96" t="n"/>
      <c r="CC270" s="96" t="n"/>
      <c r="CD270" s="96" t="n"/>
      <c r="CE270" s="96" t="n"/>
      <c r="CF270" s="96" t="n"/>
      <c r="CG270" s="96" t="n"/>
      <c r="CH270" s="96" t="n"/>
      <c r="CI270" s="96" t="n"/>
      <c r="CJ270" s="96" t="n"/>
      <c r="CK270" s="96" t="n"/>
      <c r="CL270" s="96" t="n"/>
      <c r="CM270" s="96" t="n"/>
      <c r="CN270" s="96" t="n"/>
      <c r="CO270" s="96" t="n"/>
      <c r="CP270" s="96" t="n"/>
      <c r="CQ270" s="96" t="n"/>
      <c r="CR270" s="96" t="n"/>
      <c r="CS270" s="96" t="n"/>
      <c r="CT270" s="96" t="n"/>
      <c r="CU270" s="96" t="n"/>
      <c r="CV270" s="96" t="n"/>
      <c r="CW270" s="96" t="n"/>
      <c r="CX270" s="96" t="n"/>
      <c r="CY270" s="96" t="n"/>
      <c r="CZ270" s="96" t="n"/>
      <c r="DA270" s="96" t="n"/>
      <c r="DB270" s="96" t="n"/>
      <c r="DC270" s="96" t="n"/>
      <c r="DD270" s="96" t="n"/>
      <c r="DE270" s="96" t="n"/>
      <c r="DF270" s="96" t="n"/>
      <c r="DG270" s="96" t="n"/>
      <c r="DH270" s="96" t="n"/>
      <c r="DI270" s="96" t="n"/>
      <c r="DJ270" s="96" t="n"/>
      <c r="DK270" s="96" t="n"/>
      <c r="DL270" s="96" t="n"/>
      <c r="DM270" s="96" t="n"/>
      <c r="DN270" s="96" t="n"/>
      <c r="DO270" s="96" t="n"/>
      <c r="DP270" s="96" t="n"/>
      <c r="DQ270" s="96" t="n"/>
      <c r="DR270" s="96" t="n"/>
    </row>
    <row r="271" ht="15.75" customHeight="1">
      <c r="B271" s="50" t="inlineStr">
        <is>
          <t>Total</t>
        </is>
      </c>
      <c r="C271" s="50" t="n"/>
      <c r="D271" s="50" t="n"/>
      <c r="F271" s="53">
        <f>+IFERROR(F264/F249,0)</f>
        <v/>
      </c>
      <c r="G271" s="53">
        <f>+IFERROR(G264/G249,0)</f>
        <v/>
      </c>
      <c r="H271" s="53">
        <f>+IFERROR(H264/H249,0)</f>
        <v/>
      </c>
      <c r="I271" s="53">
        <f>+IFERROR(I264/I249,0)</f>
        <v/>
      </c>
      <c r="J271" s="53">
        <f>+IFERROR(J264/J249,0)</f>
        <v/>
      </c>
      <c r="K271" s="53">
        <f>+IFERROR(K264/K249,0)</f>
        <v/>
      </c>
      <c r="L271" s="53">
        <f>+IFERROR(L264/L249,0)</f>
        <v/>
      </c>
      <c r="M271" s="53">
        <f>+IFERROR(M264/M249,0)</f>
        <v/>
      </c>
      <c r="AA271" s="49" t="n"/>
      <c r="AB271" s="96" t="n"/>
      <c r="AC271" s="96" t="n"/>
      <c r="AD271" s="96" t="n"/>
      <c r="AE271" s="96" t="n"/>
      <c r="AF271" s="96" t="n"/>
      <c r="AG271" s="96" t="n"/>
      <c r="AH271" s="96" t="n"/>
      <c r="AI271" s="96" t="n"/>
      <c r="AJ271" s="96" t="n"/>
      <c r="AK271" s="96" t="n"/>
      <c r="AL271" s="96" t="n"/>
      <c r="AM271" s="96" t="n"/>
      <c r="AN271" s="96" t="n"/>
      <c r="AO271" s="96" t="n"/>
      <c r="AP271" s="96" t="n"/>
      <c r="AQ271" s="96" t="n"/>
      <c r="AR271" s="96" t="n"/>
      <c r="AS271" s="96" t="n"/>
      <c r="AT271" s="96" t="n"/>
      <c r="AU271" s="96" t="n"/>
      <c r="AV271" s="96" t="n"/>
      <c r="AW271" s="96" t="n"/>
      <c r="AX271" s="96" t="n"/>
      <c r="AY271" s="96" t="n"/>
      <c r="AZ271" s="96" t="n"/>
      <c r="BA271" s="96" t="n"/>
      <c r="BB271" s="96" t="n"/>
      <c r="BC271" s="96" t="n"/>
      <c r="BD271" s="96" t="n"/>
      <c r="BE271" s="96" t="n"/>
      <c r="BF271" s="96" t="n"/>
      <c r="BG271" s="96" t="n"/>
      <c r="BH271" s="96" t="n"/>
      <c r="BI271" s="96" t="n"/>
      <c r="BJ271" s="96" t="n"/>
      <c r="BK271" s="96" t="n"/>
      <c r="BL271" s="96" t="n"/>
      <c r="BM271" s="96" t="n"/>
      <c r="BN271" s="96" t="n"/>
      <c r="BO271" s="96" t="n"/>
      <c r="BP271" s="96" t="n"/>
      <c r="BQ271" s="96" t="n"/>
      <c r="BR271" s="96" t="n"/>
      <c r="BS271" s="96" t="n"/>
      <c r="BT271" s="96" t="n"/>
      <c r="BU271" s="96" t="n"/>
      <c r="BV271" s="96" t="n"/>
      <c r="BW271" s="96" t="n"/>
      <c r="BX271" s="96" t="n"/>
      <c r="BY271" s="96" t="n"/>
      <c r="BZ271" s="96" t="n"/>
      <c r="CA271" s="96" t="n"/>
      <c r="CB271" s="96" t="n"/>
      <c r="CC271" s="96" t="n"/>
      <c r="CD271" s="96" t="n"/>
      <c r="CE271" s="96" t="n"/>
      <c r="CF271" s="96" t="n"/>
      <c r="CG271" s="96" t="n"/>
      <c r="CH271" s="96" t="n"/>
      <c r="CI271" s="96" t="n"/>
      <c r="CJ271" s="96" t="n"/>
      <c r="CK271" s="96" t="n"/>
      <c r="CL271" s="96" t="n"/>
      <c r="CM271" s="96" t="n"/>
      <c r="CN271" s="96" t="n"/>
      <c r="CO271" s="96" t="n"/>
      <c r="CP271" s="96" t="n"/>
      <c r="CQ271" s="96" t="n"/>
      <c r="CR271" s="96" t="n"/>
      <c r="CS271" s="96" t="n"/>
      <c r="CT271" s="96" t="n"/>
      <c r="CU271" s="96" t="n"/>
      <c r="CV271" s="96" t="n"/>
      <c r="CW271" s="96" t="n"/>
      <c r="CX271" s="96" t="n"/>
      <c r="CY271" s="96" t="n"/>
      <c r="CZ271" s="96" t="n"/>
      <c r="DA271" s="96" t="n"/>
      <c r="DB271" s="96" t="n"/>
      <c r="DC271" s="96" t="n"/>
      <c r="DD271" s="96" t="n"/>
      <c r="DE271" s="96" t="n"/>
      <c r="DF271" s="96" t="n"/>
      <c r="DG271" s="96" t="n"/>
      <c r="DH271" s="96" t="n"/>
      <c r="DI271" s="96" t="n"/>
      <c r="DJ271" s="96" t="n"/>
      <c r="DK271" s="96" t="n"/>
      <c r="DL271" s="96" t="n"/>
      <c r="DM271" s="96" t="n"/>
      <c r="DN271" s="96" t="n"/>
      <c r="DO271" s="96" t="n"/>
      <c r="DP271" s="96" t="n"/>
      <c r="DQ271" s="96" t="n"/>
      <c r="DR271" s="96" t="n"/>
    </row>
    <row r="272" ht="4.5" customHeight="1"/>
    <row r="273" ht="15.75" customHeight="1">
      <c r="B273" s="44" t="inlineStr">
        <is>
          <t>Contractors</t>
        </is>
      </c>
    </row>
    <row r="274" ht="15.75" customHeight="1">
      <c r="B274" s="5" t="inlineStr">
        <is>
          <t>Revenue</t>
        </is>
      </c>
      <c r="F274" s="46">
        <f>+SUMIFS($AA274:$DR274,$AA$7:$DR$7,F$7)</f>
        <v/>
      </c>
      <c r="G274" s="46">
        <f>+SUMIFS($AA274:$DR274,$AA$7:$DR$7,G$7)</f>
        <v/>
      </c>
      <c r="H274" s="46">
        <f>+SUMIFS($AA274:$DR274,$AA$7:$DR$7,H$7)</f>
        <v/>
      </c>
      <c r="I274" s="46">
        <f>+SUMIFS($AA274:$DR274,$AA$7:$DR$7,I$7)</f>
        <v/>
      </c>
      <c r="J274" s="46">
        <f>+SUMIFS($AA274:$DR274,$AA$7:$DR$7,J$7)</f>
        <v/>
      </c>
      <c r="K274" s="46">
        <f>+SUMIFS($AA274:$DR274,$AA$7:$DR$7,K$7)</f>
        <v/>
      </c>
      <c r="L274" s="46">
        <f>+SUMIFS($AA274:$DR274,$AA$7:$DR$7,L$7)</f>
        <v/>
      </c>
      <c r="M274" s="46">
        <f>+SUMIFS($AA274:$DR274,$AA$7:$DR$7,M$7)</f>
        <v/>
      </c>
      <c r="AA274" s="48">
        <f>+Revenue_Calcs!Z283</f>
        <v/>
      </c>
      <c r="AB274" s="48">
        <f>+Revenue_Calcs!AA283</f>
        <v/>
      </c>
      <c r="AC274" s="48">
        <f>+Revenue_Calcs!AB283</f>
        <v/>
      </c>
      <c r="AD274" s="48">
        <f>+Revenue_Calcs!AC283</f>
        <v/>
      </c>
      <c r="AE274" s="48">
        <f>+Revenue_Calcs!AD283</f>
        <v/>
      </c>
      <c r="AF274" s="48">
        <f>+Revenue_Calcs!AE283</f>
        <v/>
      </c>
      <c r="AG274" s="48">
        <f>+Revenue_Calcs!AF283</f>
        <v/>
      </c>
      <c r="AH274" s="48">
        <f>+Revenue_Calcs!AG283</f>
        <v/>
      </c>
      <c r="AI274" s="48">
        <f>+Revenue_Calcs!AH283</f>
        <v/>
      </c>
      <c r="AJ274" s="48">
        <f>+Revenue_Calcs!AI283</f>
        <v/>
      </c>
      <c r="AK274" s="48">
        <f>+Revenue_Calcs!AJ283</f>
        <v/>
      </c>
      <c r="AL274" s="48">
        <f>+Revenue_Calcs!AK283</f>
        <v/>
      </c>
      <c r="AM274" s="48">
        <f>+Revenue_Calcs!AL283</f>
        <v/>
      </c>
      <c r="AN274" s="48">
        <f>+Revenue_Calcs!AM283</f>
        <v/>
      </c>
      <c r="AO274" s="48">
        <f>+Revenue_Calcs!AN283</f>
        <v/>
      </c>
      <c r="AP274" s="48">
        <f>+Revenue_Calcs!AO283</f>
        <v/>
      </c>
      <c r="AQ274" s="48">
        <f>+Revenue_Calcs!AP283</f>
        <v/>
      </c>
      <c r="AR274" s="48">
        <f>+Revenue_Calcs!AQ283</f>
        <v/>
      </c>
      <c r="AS274" s="48">
        <f>+Revenue_Calcs!AR283</f>
        <v/>
      </c>
      <c r="AT274" s="48">
        <f>+Revenue_Calcs!AS283</f>
        <v/>
      </c>
      <c r="AU274" s="48">
        <f>+Revenue_Calcs!AT283</f>
        <v/>
      </c>
      <c r="AV274" s="48">
        <f>+Revenue_Calcs!AU283</f>
        <v/>
      </c>
      <c r="AW274" s="48">
        <f>+Revenue_Calcs!AV283</f>
        <v/>
      </c>
      <c r="AX274" s="48">
        <f>+Revenue_Calcs!AW283</f>
        <v/>
      </c>
      <c r="AY274" s="48">
        <f>+Revenue_Calcs!AX283</f>
        <v/>
      </c>
      <c r="AZ274" s="48">
        <f>+Revenue_Calcs!AY283</f>
        <v/>
      </c>
      <c r="BA274" s="48">
        <f>+Revenue_Calcs!AZ283</f>
        <v/>
      </c>
      <c r="BB274" s="48">
        <f>+Revenue_Calcs!BA283</f>
        <v/>
      </c>
      <c r="BC274" s="48">
        <f>+Revenue_Calcs!BB283</f>
        <v/>
      </c>
      <c r="BD274" s="48">
        <f>+Revenue_Calcs!BC283</f>
        <v/>
      </c>
      <c r="BE274" s="48">
        <f>+Revenue_Calcs!BD283</f>
        <v/>
      </c>
      <c r="BF274" s="48">
        <f>+Revenue_Calcs!BE283</f>
        <v/>
      </c>
      <c r="BG274" s="48">
        <f>+Revenue_Calcs!BF283</f>
        <v/>
      </c>
      <c r="BH274" s="48">
        <f>+Revenue_Calcs!BG283</f>
        <v/>
      </c>
      <c r="BI274" s="48">
        <f>+Revenue_Calcs!BH283</f>
        <v/>
      </c>
      <c r="BJ274" s="48">
        <f>+Revenue_Calcs!BI283</f>
        <v/>
      </c>
      <c r="BK274" s="48">
        <f>+Revenue_Calcs!BJ283</f>
        <v/>
      </c>
      <c r="BL274" s="48">
        <f>+Revenue_Calcs!BK283</f>
        <v/>
      </c>
      <c r="BM274" s="48">
        <f>+Revenue_Calcs!BL283</f>
        <v/>
      </c>
      <c r="BN274" s="48">
        <f>+Revenue_Calcs!BM283</f>
        <v/>
      </c>
      <c r="BO274" s="48">
        <f>+Revenue_Calcs!BN283</f>
        <v/>
      </c>
      <c r="BP274" s="48">
        <f>+Revenue_Calcs!BO283</f>
        <v/>
      </c>
      <c r="BQ274" s="48">
        <f>+Revenue_Calcs!BP283</f>
        <v/>
      </c>
      <c r="BR274" s="48">
        <f>+Revenue_Calcs!BQ283</f>
        <v/>
      </c>
      <c r="BS274" s="48">
        <f>+Revenue_Calcs!BR283</f>
        <v/>
      </c>
      <c r="BT274" s="48">
        <f>+Revenue_Calcs!BS283</f>
        <v/>
      </c>
      <c r="BU274" s="48">
        <f>+Revenue_Calcs!BT283</f>
        <v/>
      </c>
      <c r="BV274" s="48">
        <f>+Revenue_Calcs!BU283</f>
        <v/>
      </c>
      <c r="BW274" s="48">
        <f>+Revenue_Calcs!BV283</f>
        <v/>
      </c>
      <c r="BX274" s="48">
        <f>+Revenue_Calcs!BW283</f>
        <v/>
      </c>
      <c r="BY274" s="48">
        <f>+Revenue_Calcs!BX283</f>
        <v/>
      </c>
      <c r="BZ274" s="48">
        <f>+Revenue_Calcs!BY283</f>
        <v/>
      </c>
      <c r="CA274" s="48">
        <f>+Revenue_Calcs!BZ283</f>
        <v/>
      </c>
      <c r="CB274" s="48">
        <f>+Revenue_Calcs!CA283</f>
        <v/>
      </c>
      <c r="CC274" s="48">
        <f>+Revenue_Calcs!CB283</f>
        <v/>
      </c>
      <c r="CD274" s="48">
        <f>+Revenue_Calcs!CC283</f>
        <v/>
      </c>
      <c r="CE274" s="48">
        <f>+Revenue_Calcs!CD283</f>
        <v/>
      </c>
      <c r="CF274" s="48">
        <f>+Revenue_Calcs!CE283</f>
        <v/>
      </c>
      <c r="CG274" s="48">
        <f>+Revenue_Calcs!CF283</f>
        <v/>
      </c>
      <c r="CH274" s="48">
        <f>+Revenue_Calcs!CG283</f>
        <v/>
      </c>
      <c r="CI274" s="48">
        <f>+Revenue_Calcs!CH283</f>
        <v/>
      </c>
      <c r="CJ274" s="48">
        <f>+Revenue_Calcs!CI283</f>
        <v/>
      </c>
      <c r="CK274" s="48">
        <f>+Revenue_Calcs!CJ283</f>
        <v/>
      </c>
      <c r="CL274" s="48">
        <f>+Revenue_Calcs!CK283</f>
        <v/>
      </c>
      <c r="CM274" s="48">
        <f>+Revenue_Calcs!CL283</f>
        <v/>
      </c>
      <c r="CN274" s="48">
        <f>+Revenue_Calcs!CM283</f>
        <v/>
      </c>
      <c r="CO274" s="48">
        <f>+Revenue_Calcs!CN283</f>
        <v/>
      </c>
      <c r="CP274" s="48">
        <f>+Revenue_Calcs!CO283</f>
        <v/>
      </c>
      <c r="CQ274" s="48">
        <f>+Revenue_Calcs!CP283</f>
        <v/>
      </c>
      <c r="CR274" s="48">
        <f>+Revenue_Calcs!CQ283</f>
        <v/>
      </c>
      <c r="CS274" s="48">
        <f>+Revenue_Calcs!CR283</f>
        <v/>
      </c>
      <c r="CT274" s="48">
        <f>+Revenue_Calcs!CS283</f>
        <v/>
      </c>
      <c r="CU274" s="48">
        <f>+Revenue_Calcs!CT283</f>
        <v/>
      </c>
      <c r="CV274" s="48">
        <f>+Revenue_Calcs!CU283</f>
        <v/>
      </c>
      <c r="CW274" s="48">
        <f>+Revenue_Calcs!CV283</f>
        <v/>
      </c>
      <c r="CX274" s="48">
        <f>+Revenue_Calcs!CW283</f>
        <v/>
      </c>
      <c r="CY274" s="48">
        <f>+Revenue_Calcs!CX283</f>
        <v/>
      </c>
      <c r="CZ274" s="48">
        <f>+Revenue_Calcs!CY283</f>
        <v/>
      </c>
      <c r="DA274" s="48">
        <f>+Revenue_Calcs!CZ283</f>
        <v/>
      </c>
      <c r="DB274" s="48">
        <f>+Revenue_Calcs!DA283</f>
        <v/>
      </c>
      <c r="DC274" s="48">
        <f>+Revenue_Calcs!DB283</f>
        <v/>
      </c>
      <c r="DD274" s="48">
        <f>+Revenue_Calcs!DC283</f>
        <v/>
      </c>
      <c r="DE274" s="48">
        <f>+Revenue_Calcs!DD283</f>
        <v/>
      </c>
      <c r="DF274" s="48">
        <f>+Revenue_Calcs!DE283</f>
        <v/>
      </c>
      <c r="DG274" s="48">
        <f>+Revenue_Calcs!DF283</f>
        <v/>
      </c>
      <c r="DH274" s="48">
        <f>+Revenue_Calcs!DG283</f>
        <v/>
      </c>
      <c r="DI274" s="48">
        <f>+Revenue_Calcs!DH283</f>
        <v/>
      </c>
      <c r="DJ274" s="48">
        <f>+Revenue_Calcs!DI283</f>
        <v/>
      </c>
      <c r="DK274" s="48">
        <f>+Revenue_Calcs!DJ283</f>
        <v/>
      </c>
      <c r="DL274" s="48">
        <f>+Revenue_Calcs!DK283</f>
        <v/>
      </c>
      <c r="DM274" s="48">
        <f>+Revenue_Calcs!DL283</f>
        <v/>
      </c>
      <c r="DN274" s="48">
        <f>+Revenue_Calcs!DM283</f>
        <v/>
      </c>
      <c r="DO274" s="48">
        <f>+Revenue_Calcs!DN283</f>
        <v/>
      </c>
      <c r="DP274" s="48">
        <f>+Revenue_Calcs!DO283</f>
        <v/>
      </c>
      <c r="DQ274" s="48">
        <f>+Revenue_Calcs!DP283</f>
        <v/>
      </c>
      <c r="DR274" s="48">
        <f>+Revenue_Calcs!DQ283</f>
        <v/>
      </c>
    </row>
    <row r="275" ht="15.75" customHeight="1">
      <c r="B275" s="5" t="inlineStr">
        <is>
          <t>% of Revenue</t>
        </is>
      </c>
      <c r="F275" s="45">
        <f>+F276/F274</f>
        <v/>
      </c>
      <c r="G275" s="45">
        <f>+G276/G274</f>
        <v/>
      </c>
      <c r="H275" s="45">
        <f>+H276/H274</f>
        <v/>
      </c>
      <c r="I275" s="105">
        <f>+COGS_Assumptions!I181</f>
        <v/>
      </c>
      <c r="J275" s="105">
        <f>+COGS_Assumptions!J181</f>
        <v/>
      </c>
      <c r="K275" s="105">
        <f>+COGS_Assumptions!K181</f>
        <v/>
      </c>
      <c r="L275" s="105">
        <f>+COGS_Assumptions!L181</f>
        <v/>
      </c>
      <c r="M275" s="105">
        <f>+COGS_Assumptions!M181</f>
        <v/>
      </c>
      <c r="AA275" s="45">
        <f>+AA276/AA274</f>
        <v/>
      </c>
      <c r="AB275" s="45">
        <f>+AB276/AB274</f>
        <v/>
      </c>
      <c r="AC275" s="45">
        <f>+AC276/AC274</f>
        <v/>
      </c>
      <c r="AD275" s="45">
        <f>+AD276/AD274</f>
        <v/>
      </c>
      <c r="AE275" s="45">
        <f>+AE276/AE274</f>
        <v/>
      </c>
      <c r="AF275" s="45">
        <f>+AF276/AF274</f>
        <v/>
      </c>
      <c r="AG275" s="45">
        <f>+AG276/AG274</f>
        <v/>
      </c>
      <c r="AH275" s="45">
        <f>+AH276/AH274</f>
        <v/>
      </c>
      <c r="AI275" s="45">
        <f>+AI276/AI274</f>
        <v/>
      </c>
      <c r="AJ275" s="45">
        <f>+AJ276/AJ274</f>
        <v/>
      </c>
      <c r="AK275" s="45">
        <f>+AK276/AK274</f>
        <v/>
      </c>
      <c r="AL275" s="45">
        <f>+AL276/AL274</f>
        <v/>
      </c>
      <c r="AM275" s="45">
        <f>+AM276/AM274</f>
        <v/>
      </c>
      <c r="AN275" s="45">
        <f>+AN276/AN274</f>
        <v/>
      </c>
      <c r="AO275" s="45">
        <f>+AO276/AO274</f>
        <v/>
      </c>
      <c r="AP275" s="45">
        <f>+AP276/AP274</f>
        <v/>
      </c>
      <c r="AQ275" s="45">
        <f>+AQ276/AQ274</f>
        <v/>
      </c>
      <c r="AR275" s="45">
        <f>+AR276/AR274</f>
        <v/>
      </c>
      <c r="AS275" s="45">
        <f>+AS276/AS274</f>
        <v/>
      </c>
      <c r="AT275" s="45">
        <f>+AT276/AT274</f>
        <v/>
      </c>
      <c r="AU275" s="45">
        <f>+AU276/AU274</f>
        <v/>
      </c>
      <c r="AV275" s="45">
        <f>+AV276/AV274</f>
        <v/>
      </c>
      <c r="AW275" s="45">
        <f>+AW276/AW274</f>
        <v/>
      </c>
      <c r="AX275" s="45">
        <f>+AX276/AX274</f>
        <v/>
      </c>
      <c r="AY275" s="45">
        <f>+AY276/AY274</f>
        <v/>
      </c>
      <c r="AZ275" s="45">
        <f>+AZ276/AZ274</f>
        <v/>
      </c>
      <c r="BA275" s="45">
        <f>+BA276/BA274</f>
        <v/>
      </c>
      <c r="BB275" s="45">
        <f>+BB276/BB274</f>
        <v/>
      </c>
      <c r="BC275" s="45">
        <f>+BC276/BC274</f>
        <v/>
      </c>
      <c r="BD275" s="45">
        <f>+BD276/BD274</f>
        <v/>
      </c>
      <c r="BE275" s="45">
        <f>+BE276/BE274</f>
        <v/>
      </c>
      <c r="BF275" s="45">
        <f>+BF276/BF274</f>
        <v/>
      </c>
      <c r="BG275" s="45">
        <f>+BG276/BG274</f>
        <v/>
      </c>
      <c r="BH275" s="45">
        <f>+BH276/BH274</f>
        <v/>
      </c>
      <c r="BI275" s="45">
        <f>+BI276/BI274</f>
        <v/>
      </c>
      <c r="BJ275" s="45">
        <f>+BJ276/BJ274</f>
        <v/>
      </c>
      <c r="BK275" s="105">
        <f>+SUMIFS(COGS_Assumptions!$F$36:$M$36,COGS_Assumptions!$F$7:$M$7,BK$7)</f>
        <v/>
      </c>
      <c r="BL275" s="105">
        <f>+SUMIFS(COGS_Assumptions!$F$36:$M$36,COGS_Assumptions!$F$7:$M$7,BL$7)</f>
        <v/>
      </c>
      <c r="BM275" s="105">
        <f>+SUMIFS(COGS_Assumptions!$F$36:$M$36,COGS_Assumptions!$F$7:$M$7,BM$7)</f>
        <v/>
      </c>
      <c r="BN275" s="105">
        <f>+SUMIFS(COGS_Assumptions!$F$36:$M$36,COGS_Assumptions!$F$7:$M$7,BN$7)</f>
        <v/>
      </c>
      <c r="BO275" s="105">
        <f>+SUMIFS(COGS_Assumptions!$F$36:$M$36,COGS_Assumptions!$F$7:$M$7,BO$7)</f>
        <v/>
      </c>
      <c r="BP275" s="105">
        <f>+SUMIFS(COGS_Assumptions!$F$36:$M$36,COGS_Assumptions!$F$7:$M$7,BP$7)</f>
        <v/>
      </c>
      <c r="BQ275" s="105">
        <f>+SUMIFS(COGS_Assumptions!$F$36:$M$36,COGS_Assumptions!$F$7:$M$7,BQ$7)</f>
        <v/>
      </c>
      <c r="BR275" s="105">
        <f>+SUMIFS(COGS_Assumptions!$F$36:$M$36,COGS_Assumptions!$F$7:$M$7,BR$7)</f>
        <v/>
      </c>
      <c r="BS275" s="105">
        <f>+SUMIFS(COGS_Assumptions!$F$36:$M$36,COGS_Assumptions!$F$7:$M$7,BS$7)</f>
        <v/>
      </c>
      <c r="BT275" s="105">
        <f>+SUMIFS(COGS_Assumptions!$F$36:$M$36,COGS_Assumptions!$F$7:$M$7,BT$7)</f>
        <v/>
      </c>
      <c r="BU275" s="105">
        <f>+SUMIFS(COGS_Assumptions!$F$36:$M$36,COGS_Assumptions!$F$7:$M$7,BU$7)</f>
        <v/>
      </c>
      <c r="BV275" s="105">
        <f>+SUMIFS(COGS_Assumptions!$F$36:$M$36,COGS_Assumptions!$F$7:$M$7,BV$7)</f>
        <v/>
      </c>
      <c r="BW275" s="105">
        <f>+SUMIFS(COGS_Assumptions!$F$36:$M$36,COGS_Assumptions!$F$7:$M$7,BW$7)</f>
        <v/>
      </c>
      <c r="BX275" s="105">
        <f>+SUMIFS(COGS_Assumptions!$F$36:$M$36,COGS_Assumptions!$F$7:$M$7,BX$7)</f>
        <v/>
      </c>
      <c r="BY275" s="105">
        <f>+SUMIFS(COGS_Assumptions!$F$36:$M$36,COGS_Assumptions!$F$7:$M$7,BY$7)</f>
        <v/>
      </c>
      <c r="BZ275" s="105">
        <f>+SUMIFS(COGS_Assumptions!$F$36:$M$36,COGS_Assumptions!$F$7:$M$7,BZ$7)</f>
        <v/>
      </c>
      <c r="CA275" s="105">
        <f>+SUMIFS(COGS_Assumptions!$F$36:$M$36,COGS_Assumptions!$F$7:$M$7,CA$7)</f>
        <v/>
      </c>
      <c r="CB275" s="105">
        <f>+SUMIFS(COGS_Assumptions!$F$36:$M$36,COGS_Assumptions!$F$7:$M$7,CB$7)</f>
        <v/>
      </c>
      <c r="CC275" s="105">
        <f>+SUMIFS(COGS_Assumptions!$F$36:$M$36,COGS_Assumptions!$F$7:$M$7,CC$7)</f>
        <v/>
      </c>
      <c r="CD275" s="105">
        <f>+SUMIFS(COGS_Assumptions!$F$36:$M$36,COGS_Assumptions!$F$7:$M$7,CD$7)</f>
        <v/>
      </c>
      <c r="CE275" s="105">
        <f>+SUMIFS(COGS_Assumptions!$F$36:$M$36,COGS_Assumptions!$F$7:$M$7,CE$7)</f>
        <v/>
      </c>
      <c r="CF275" s="105">
        <f>+SUMIFS(COGS_Assumptions!$F$36:$M$36,COGS_Assumptions!$F$7:$M$7,CF$7)</f>
        <v/>
      </c>
      <c r="CG275" s="105">
        <f>+SUMIFS(COGS_Assumptions!$F$36:$M$36,COGS_Assumptions!$F$7:$M$7,CG$7)</f>
        <v/>
      </c>
      <c r="CH275" s="105">
        <f>+SUMIFS(COGS_Assumptions!$F$36:$M$36,COGS_Assumptions!$F$7:$M$7,CH$7)</f>
        <v/>
      </c>
      <c r="CI275" s="105">
        <f>+SUMIFS(COGS_Assumptions!$F$36:$M$36,COGS_Assumptions!$F$7:$M$7,CI$7)</f>
        <v/>
      </c>
      <c r="CJ275" s="105">
        <f>+SUMIFS(COGS_Assumptions!$F$36:$M$36,COGS_Assumptions!$F$7:$M$7,CJ$7)</f>
        <v/>
      </c>
      <c r="CK275" s="105">
        <f>+SUMIFS(COGS_Assumptions!$F$36:$M$36,COGS_Assumptions!$F$7:$M$7,CK$7)</f>
        <v/>
      </c>
      <c r="CL275" s="105">
        <f>+SUMIFS(COGS_Assumptions!$F$36:$M$36,COGS_Assumptions!$F$7:$M$7,CL$7)</f>
        <v/>
      </c>
      <c r="CM275" s="105">
        <f>+SUMIFS(COGS_Assumptions!$F$36:$M$36,COGS_Assumptions!$F$7:$M$7,CM$7)</f>
        <v/>
      </c>
      <c r="CN275" s="105">
        <f>+SUMIFS(COGS_Assumptions!$F$36:$M$36,COGS_Assumptions!$F$7:$M$7,CN$7)</f>
        <v/>
      </c>
      <c r="CO275" s="105">
        <f>+SUMIFS(COGS_Assumptions!$F$36:$M$36,COGS_Assumptions!$F$7:$M$7,CO$7)</f>
        <v/>
      </c>
      <c r="CP275" s="105">
        <f>+SUMIFS(COGS_Assumptions!$F$36:$M$36,COGS_Assumptions!$F$7:$M$7,CP$7)</f>
        <v/>
      </c>
      <c r="CQ275" s="105">
        <f>+SUMIFS(COGS_Assumptions!$F$36:$M$36,COGS_Assumptions!$F$7:$M$7,CQ$7)</f>
        <v/>
      </c>
      <c r="CR275" s="105">
        <f>+SUMIFS(COGS_Assumptions!$F$36:$M$36,COGS_Assumptions!$F$7:$M$7,CR$7)</f>
        <v/>
      </c>
      <c r="CS275" s="105">
        <f>+SUMIFS(COGS_Assumptions!$F$36:$M$36,COGS_Assumptions!$F$7:$M$7,CS$7)</f>
        <v/>
      </c>
      <c r="CT275" s="105">
        <f>+SUMIFS(COGS_Assumptions!$F$36:$M$36,COGS_Assumptions!$F$7:$M$7,CT$7)</f>
        <v/>
      </c>
      <c r="CU275" s="105">
        <f>+SUMIFS(COGS_Assumptions!$F$36:$M$36,COGS_Assumptions!$F$7:$M$7,CU$7)</f>
        <v/>
      </c>
      <c r="CV275" s="105">
        <f>+SUMIFS(COGS_Assumptions!$F$36:$M$36,COGS_Assumptions!$F$7:$M$7,CV$7)</f>
        <v/>
      </c>
      <c r="CW275" s="105">
        <f>+SUMIFS(COGS_Assumptions!$F$36:$M$36,COGS_Assumptions!$F$7:$M$7,CW$7)</f>
        <v/>
      </c>
      <c r="CX275" s="105">
        <f>+SUMIFS(COGS_Assumptions!$F$36:$M$36,COGS_Assumptions!$F$7:$M$7,CX$7)</f>
        <v/>
      </c>
      <c r="CY275" s="105">
        <f>+SUMIFS(COGS_Assumptions!$F$36:$M$36,COGS_Assumptions!$F$7:$M$7,CY$7)</f>
        <v/>
      </c>
      <c r="CZ275" s="105">
        <f>+SUMIFS(COGS_Assumptions!$F$36:$M$36,COGS_Assumptions!$F$7:$M$7,CZ$7)</f>
        <v/>
      </c>
      <c r="DA275" s="105">
        <f>+SUMIFS(COGS_Assumptions!$F$36:$M$36,COGS_Assumptions!$F$7:$M$7,DA$7)</f>
        <v/>
      </c>
      <c r="DB275" s="105">
        <f>+SUMIFS(COGS_Assumptions!$F$36:$M$36,COGS_Assumptions!$F$7:$M$7,DB$7)</f>
        <v/>
      </c>
      <c r="DC275" s="105">
        <f>+SUMIFS(COGS_Assumptions!$F$36:$M$36,COGS_Assumptions!$F$7:$M$7,DC$7)</f>
        <v/>
      </c>
      <c r="DD275" s="105">
        <f>+SUMIFS(COGS_Assumptions!$F$36:$M$36,COGS_Assumptions!$F$7:$M$7,DD$7)</f>
        <v/>
      </c>
      <c r="DE275" s="105">
        <f>+SUMIFS(COGS_Assumptions!$F$36:$M$36,COGS_Assumptions!$F$7:$M$7,DE$7)</f>
        <v/>
      </c>
      <c r="DF275" s="105">
        <f>+SUMIFS(COGS_Assumptions!$F$36:$M$36,COGS_Assumptions!$F$7:$M$7,DF$7)</f>
        <v/>
      </c>
      <c r="DG275" s="105">
        <f>+SUMIFS(COGS_Assumptions!$F$36:$M$36,COGS_Assumptions!$F$7:$M$7,DG$7)</f>
        <v/>
      </c>
      <c r="DH275" s="105">
        <f>+SUMIFS(COGS_Assumptions!$F$36:$M$36,COGS_Assumptions!$F$7:$M$7,DH$7)</f>
        <v/>
      </c>
      <c r="DI275" s="105">
        <f>+SUMIFS(COGS_Assumptions!$F$36:$M$36,COGS_Assumptions!$F$7:$M$7,DI$7)</f>
        <v/>
      </c>
      <c r="DJ275" s="105">
        <f>+SUMIFS(COGS_Assumptions!$F$36:$M$36,COGS_Assumptions!$F$7:$M$7,DJ$7)</f>
        <v/>
      </c>
      <c r="DK275" s="105">
        <f>+SUMIFS(COGS_Assumptions!$F$36:$M$36,COGS_Assumptions!$F$7:$M$7,DK$7)</f>
        <v/>
      </c>
      <c r="DL275" s="105">
        <f>+SUMIFS(COGS_Assumptions!$F$36:$M$36,COGS_Assumptions!$F$7:$M$7,DL$7)</f>
        <v/>
      </c>
      <c r="DM275" s="105">
        <f>+SUMIFS(COGS_Assumptions!$F$36:$M$36,COGS_Assumptions!$F$7:$M$7,DM$7)</f>
        <v/>
      </c>
      <c r="DN275" s="105">
        <f>+SUMIFS(COGS_Assumptions!$F$36:$M$36,COGS_Assumptions!$F$7:$M$7,DN$7)</f>
        <v/>
      </c>
      <c r="DO275" s="105">
        <f>+SUMIFS(COGS_Assumptions!$F$36:$M$36,COGS_Assumptions!$F$7:$M$7,DO$7)</f>
        <v/>
      </c>
      <c r="DP275" s="105">
        <f>+SUMIFS(COGS_Assumptions!$F$36:$M$36,COGS_Assumptions!$F$7:$M$7,DP$7)</f>
        <v/>
      </c>
      <c r="DQ275" s="105">
        <f>+SUMIFS(COGS_Assumptions!$F$36:$M$36,COGS_Assumptions!$F$7:$M$7,DQ$7)</f>
        <v/>
      </c>
      <c r="DR275" s="105">
        <f>+SUMIFS(COGS_Assumptions!$F$36:$M$36,COGS_Assumptions!$F$7:$M$7,DR$7)</f>
        <v/>
      </c>
    </row>
    <row r="276" ht="15.75" customHeight="1">
      <c r="B276" s="50" t="inlineStr">
        <is>
          <t>Total</t>
        </is>
      </c>
      <c r="C276" s="50" t="n"/>
      <c r="D276" s="50" t="n"/>
      <c r="F276" s="51">
        <f>+SUMIFS($AA276:$DR276,$AA$7:$DR$7,F$7)</f>
        <v/>
      </c>
      <c r="G276" s="51">
        <f>+SUMIFS($AA276:$DR276,$AA$7:$DR$7,G$7)</f>
        <v/>
      </c>
      <c r="H276" s="51">
        <f>+SUMIFS($AA276:$DR276,$AA$7:$DR$7,H$7)</f>
        <v/>
      </c>
      <c r="I276" s="51">
        <f>+SUMIFS($AA276:$DR276,$AA$7:$DR$7,I$7)</f>
        <v/>
      </c>
      <c r="J276" s="51">
        <f>+SUMIFS($AA276:$DR276,$AA$7:$DR$7,J$7)</f>
        <v/>
      </c>
      <c r="K276" s="51">
        <f>+SUMIFS($AA276:$DR276,$AA$7:$DR$7,K$7)</f>
        <v/>
      </c>
      <c r="L276" s="51">
        <f>+SUMIFS($AA276:$DR276,$AA$7:$DR$7,L$7)</f>
        <v/>
      </c>
      <c r="M276" s="51">
        <f>+SUMIFS($AA276:$DR276,$AA$7:$DR$7,M$7)</f>
        <v/>
      </c>
      <c r="AA276" s="116" t="n">
        <v>11.04381</v>
      </c>
      <c r="AB276" s="116" t="n">
        <v>11.04381</v>
      </c>
      <c r="AC276" s="116" t="n">
        <v>0.14381</v>
      </c>
      <c r="AD276" s="116" t="n">
        <v>1.29429</v>
      </c>
      <c r="AE276" s="116" t="n">
        <v>0</v>
      </c>
      <c r="AF276" s="116" t="n">
        <v>40.33333</v>
      </c>
      <c r="AG276" s="116" t="n">
        <v>40.33333</v>
      </c>
      <c r="AH276" s="116" t="n">
        <v>42.3552</v>
      </c>
      <c r="AI276" s="116" t="n">
        <v>3.82487</v>
      </c>
      <c r="AJ276" s="116" t="n">
        <v>88.68253999999999</v>
      </c>
      <c r="AK276" s="116" t="n">
        <v>19.57812</v>
      </c>
      <c r="AL276" s="116" t="n">
        <v>64.87496</v>
      </c>
      <c r="AM276" s="116" t="n">
        <v>1.25251</v>
      </c>
      <c r="AN276" s="116" t="n">
        <v>6.63438</v>
      </c>
      <c r="AO276" s="116" t="n">
        <v>6.02875</v>
      </c>
      <c r="AP276" s="116" t="n">
        <v>6.4425</v>
      </c>
      <c r="AQ276" s="116" t="n">
        <v>-29.59787</v>
      </c>
      <c r="AR276" s="116" t="n">
        <v>6.61791</v>
      </c>
      <c r="AS276" s="116" t="n">
        <v>0.15625</v>
      </c>
      <c r="AT276" s="116" t="n">
        <v>0</v>
      </c>
      <c r="AU276" s="116" t="n">
        <v>0</v>
      </c>
      <c r="AV276" s="116" t="n">
        <v>9.388209999999999</v>
      </c>
      <c r="AW276" s="116" t="n">
        <v>0</v>
      </c>
      <c r="AX276" s="116" t="n">
        <v>5.88938</v>
      </c>
      <c r="AY276" s="116" t="n">
        <v>0</v>
      </c>
      <c r="AZ276" s="116" t="n">
        <v>0</v>
      </c>
      <c r="BA276" s="116" t="n">
        <v>0</v>
      </c>
      <c r="BB276" s="116" t="n">
        <v>0</v>
      </c>
      <c r="BC276" s="116" t="n">
        <v>0</v>
      </c>
      <c r="BD276" s="116" t="n">
        <v>0</v>
      </c>
      <c r="BE276" s="116" t="n">
        <v>0</v>
      </c>
      <c r="BF276" s="116" t="n">
        <v>0</v>
      </c>
      <c r="BG276" s="116" t="n">
        <v>0</v>
      </c>
      <c r="BH276" s="116" t="n">
        <v>0</v>
      </c>
      <c r="BI276" s="116" t="n">
        <v>0</v>
      </c>
      <c r="BJ276" s="116" t="n">
        <v>0</v>
      </c>
      <c r="BK276" s="51">
        <f>+BK274*BK275</f>
        <v/>
      </c>
      <c r="BL276" s="51">
        <f>+BL274*BL275</f>
        <v/>
      </c>
      <c r="BM276" s="51">
        <f>+BM274*BM275</f>
        <v/>
      </c>
      <c r="BN276" s="51">
        <f>+BN274*BN275</f>
        <v/>
      </c>
      <c r="BO276" s="51">
        <f>+BO274*BO275</f>
        <v/>
      </c>
      <c r="BP276" s="51">
        <f>+BP274*BP275</f>
        <v/>
      </c>
      <c r="BQ276" s="51">
        <f>+BQ274*BQ275</f>
        <v/>
      </c>
      <c r="BR276" s="51">
        <f>+BR274*BR275</f>
        <v/>
      </c>
      <c r="BS276" s="51">
        <f>+BS274*BS275</f>
        <v/>
      </c>
      <c r="BT276" s="51">
        <f>+BT274*BT275</f>
        <v/>
      </c>
      <c r="BU276" s="51">
        <f>+BU274*BU275</f>
        <v/>
      </c>
      <c r="BV276" s="51">
        <f>+BV274*BV275</f>
        <v/>
      </c>
      <c r="BW276" s="51">
        <f>+BW274*BW275</f>
        <v/>
      </c>
      <c r="BX276" s="51">
        <f>+BX274*BX275</f>
        <v/>
      </c>
      <c r="BY276" s="51">
        <f>+BY274*BY275</f>
        <v/>
      </c>
      <c r="BZ276" s="51">
        <f>+BZ274*BZ275</f>
        <v/>
      </c>
      <c r="CA276" s="51">
        <f>+CA274*CA275</f>
        <v/>
      </c>
      <c r="CB276" s="51">
        <f>+CB274*CB275</f>
        <v/>
      </c>
      <c r="CC276" s="51">
        <f>+CC274*CC275</f>
        <v/>
      </c>
      <c r="CD276" s="51">
        <f>+CD274*CD275</f>
        <v/>
      </c>
      <c r="CE276" s="51">
        <f>+CE274*CE275</f>
        <v/>
      </c>
      <c r="CF276" s="51">
        <f>+CF274*CF275</f>
        <v/>
      </c>
      <c r="CG276" s="51">
        <f>+CG274*CG275</f>
        <v/>
      </c>
      <c r="CH276" s="51">
        <f>+CH274*CH275</f>
        <v/>
      </c>
      <c r="CI276" s="51">
        <f>+CI274*CI275</f>
        <v/>
      </c>
      <c r="CJ276" s="51">
        <f>+CJ274*CJ275</f>
        <v/>
      </c>
      <c r="CK276" s="51">
        <f>+CK274*CK275</f>
        <v/>
      </c>
      <c r="CL276" s="51">
        <f>+CL274*CL275</f>
        <v/>
      </c>
      <c r="CM276" s="51">
        <f>+CM274*CM275</f>
        <v/>
      </c>
      <c r="CN276" s="51">
        <f>+CN274*CN275</f>
        <v/>
      </c>
      <c r="CO276" s="51">
        <f>+CO274*CO275</f>
        <v/>
      </c>
      <c r="CP276" s="51">
        <f>+CP274*CP275</f>
        <v/>
      </c>
      <c r="CQ276" s="51">
        <f>+CQ274*CQ275</f>
        <v/>
      </c>
      <c r="CR276" s="51">
        <f>+CR274*CR275</f>
        <v/>
      </c>
      <c r="CS276" s="51">
        <f>+CS274*CS275</f>
        <v/>
      </c>
      <c r="CT276" s="51">
        <f>+CT274*CT275</f>
        <v/>
      </c>
      <c r="CU276" s="51">
        <f>+CU274*CU275</f>
        <v/>
      </c>
      <c r="CV276" s="51">
        <f>+CV274*CV275</f>
        <v/>
      </c>
      <c r="CW276" s="51">
        <f>+CW274*CW275</f>
        <v/>
      </c>
      <c r="CX276" s="51">
        <f>+CX274*CX275</f>
        <v/>
      </c>
      <c r="CY276" s="51">
        <f>+CY274*CY275</f>
        <v/>
      </c>
      <c r="CZ276" s="51">
        <f>+CZ274*CZ275</f>
        <v/>
      </c>
      <c r="DA276" s="51">
        <f>+DA274*DA275</f>
        <v/>
      </c>
      <c r="DB276" s="51">
        <f>+DB274*DB275</f>
        <v/>
      </c>
      <c r="DC276" s="51">
        <f>+DC274*DC275</f>
        <v/>
      </c>
      <c r="DD276" s="51">
        <f>+DD274*DD275</f>
        <v/>
      </c>
      <c r="DE276" s="51">
        <f>+DE274*DE275</f>
        <v/>
      </c>
      <c r="DF276" s="51">
        <f>+DF274*DF275</f>
        <v/>
      </c>
      <c r="DG276" s="51">
        <f>+DG274*DG275</f>
        <v/>
      </c>
      <c r="DH276" s="51">
        <f>+DH274*DH275</f>
        <v/>
      </c>
      <c r="DI276" s="51">
        <f>+DI274*DI275</f>
        <v/>
      </c>
      <c r="DJ276" s="51">
        <f>+DJ274*DJ275</f>
        <v/>
      </c>
      <c r="DK276" s="51">
        <f>+DK274*DK275</f>
        <v/>
      </c>
      <c r="DL276" s="51">
        <f>+DL274*DL275</f>
        <v/>
      </c>
      <c r="DM276" s="51">
        <f>+DM274*DM275</f>
        <v/>
      </c>
      <c r="DN276" s="51">
        <f>+DN274*DN275</f>
        <v/>
      </c>
      <c r="DO276" s="51">
        <f>+DO274*DO275</f>
        <v/>
      </c>
      <c r="DP276" s="51">
        <f>+DP274*DP275</f>
        <v/>
      </c>
      <c r="DQ276" s="51">
        <f>+DQ274*DQ275</f>
        <v/>
      </c>
      <c r="DR276" s="51">
        <f>+DR274*DR275</f>
        <v/>
      </c>
    </row>
    <row r="277" ht="4.5" customHeight="1"/>
    <row r="278" ht="15.75" customHeight="1">
      <c r="B278" s="118" t="inlineStr">
        <is>
          <t>Total Implementation</t>
        </is>
      </c>
      <c r="C278" s="118" t="n"/>
      <c r="D278" s="118" t="n"/>
      <c r="F278" s="112">
        <f>+SUMIFS($AA278:$DR278,$AA$7:$DR$7,F$7)</f>
        <v/>
      </c>
      <c r="G278" s="112">
        <f>+SUMIFS($AA278:$DR278,$AA$7:$DR$7,G$7)</f>
        <v/>
      </c>
      <c r="H278" s="112">
        <f>+SUMIFS($AA278:$DR278,$AA$7:$DR$7,H$7)</f>
        <v/>
      </c>
      <c r="I278" s="112">
        <f>+SUMIFS($AA278:$DR278,$AA$7:$DR$7,I$7)</f>
        <v/>
      </c>
      <c r="J278" s="112">
        <f>+SUMIFS($AA278:$DR278,$AA$7:$DR$7,J$7)</f>
        <v/>
      </c>
      <c r="K278" s="112">
        <f>+SUMIFS($AA278:$DR278,$AA$7:$DR$7,K$7)</f>
        <v/>
      </c>
      <c r="L278" s="112">
        <f>+SUMIFS($AA278:$DR278,$AA$7:$DR$7,L$7)</f>
        <v/>
      </c>
      <c r="M278" s="112">
        <f>+SUMIFS($AA278:$DR278,$AA$7:$DR$7,M$7)</f>
        <v/>
      </c>
      <c r="AA278" s="112">
        <f>+SUM(AA256,AA276)</f>
        <v/>
      </c>
      <c r="AB278" s="112">
        <f>+SUM(AB256,AB276)</f>
        <v/>
      </c>
      <c r="AC278" s="112">
        <f>+SUM(AC256,AC276)</f>
        <v/>
      </c>
      <c r="AD278" s="112">
        <f>+SUM(AD256,AD276)</f>
        <v/>
      </c>
      <c r="AE278" s="112">
        <f>+SUM(AE256,AE276)</f>
        <v/>
      </c>
      <c r="AF278" s="112">
        <f>+SUM(AF256,AF276)</f>
        <v/>
      </c>
      <c r="AG278" s="112">
        <f>+SUM(AG256,AG276)</f>
        <v/>
      </c>
      <c r="AH278" s="112">
        <f>+SUM(AH256,AH276)</f>
        <v/>
      </c>
      <c r="AI278" s="112">
        <f>+SUM(AI256,AI276)</f>
        <v/>
      </c>
      <c r="AJ278" s="112">
        <f>+SUM(AJ256,AJ276)</f>
        <v/>
      </c>
      <c r="AK278" s="112">
        <f>+SUM(AK256,AK276)</f>
        <v/>
      </c>
      <c r="AL278" s="112">
        <f>+SUM(AL256,AL276)</f>
        <v/>
      </c>
      <c r="AM278" s="112">
        <f>+SUM(AM256,AM276)</f>
        <v/>
      </c>
      <c r="AN278" s="112">
        <f>+SUM(AN256,AN276)</f>
        <v/>
      </c>
      <c r="AO278" s="112">
        <f>+SUM(AO256,AO276)</f>
        <v/>
      </c>
      <c r="AP278" s="112">
        <f>+SUM(AP256,AP276)</f>
        <v/>
      </c>
      <c r="AQ278" s="112">
        <f>+SUM(AQ256,AQ276)</f>
        <v/>
      </c>
      <c r="AR278" s="112">
        <f>+SUM(AR256,AR276)</f>
        <v/>
      </c>
      <c r="AS278" s="112">
        <f>+SUM(AS256,AS276)</f>
        <v/>
      </c>
      <c r="AT278" s="112">
        <f>+SUM(AT256,AT276)</f>
        <v/>
      </c>
      <c r="AU278" s="112">
        <f>+SUM(AU256,AU276)</f>
        <v/>
      </c>
      <c r="AV278" s="112">
        <f>+SUM(AV256,AV276)</f>
        <v/>
      </c>
      <c r="AW278" s="112">
        <f>+SUM(AW256,AW276)</f>
        <v/>
      </c>
      <c r="AX278" s="112">
        <f>+SUM(AX256,AX276)</f>
        <v/>
      </c>
      <c r="AY278" s="112">
        <f>+SUM(AY256,AY276)</f>
        <v/>
      </c>
      <c r="AZ278" s="112">
        <f>+SUM(AZ256,AZ276)</f>
        <v/>
      </c>
      <c r="BA278" s="112">
        <f>+SUM(BA256,BA276)</f>
        <v/>
      </c>
      <c r="BB278" s="112">
        <f>+SUM(BB256,BB276)</f>
        <v/>
      </c>
      <c r="BC278" s="112">
        <f>+SUM(BC256,BC276)</f>
        <v/>
      </c>
      <c r="BD278" s="112">
        <f>+SUM(BD256,BD276)</f>
        <v/>
      </c>
      <c r="BE278" s="112">
        <f>+SUM(BE256,BE276)</f>
        <v/>
      </c>
      <c r="BF278" s="112">
        <f>+SUM(BF256,BF276)</f>
        <v/>
      </c>
      <c r="BG278" s="112">
        <f>+SUM(BG256,BG276)</f>
        <v/>
      </c>
      <c r="BH278" s="112">
        <f>+SUM(BH256,BH276)</f>
        <v/>
      </c>
      <c r="BI278" s="112">
        <f>+SUM(BI256,BI276)</f>
        <v/>
      </c>
      <c r="BJ278" s="112">
        <f>+SUM(BJ256,BJ276)</f>
        <v/>
      </c>
      <c r="BK278" s="112">
        <f>+SUM(BK256,BK276)</f>
        <v/>
      </c>
      <c r="BL278" s="112">
        <f>+SUM(BL256,BL276)</f>
        <v/>
      </c>
      <c r="BM278" s="112">
        <f>+SUM(BM256,BM276)</f>
        <v/>
      </c>
      <c r="BN278" s="112">
        <f>+SUM(BN256,BN276)</f>
        <v/>
      </c>
      <c r="BO278" s="112">
        <f>+SUM(BO256,BO276)</f>
        <v/>
      </c>
      <c r="BP278" s="112">
        <f>+SUM(BP256,BP276)</f>
        <v/>
      </c>
      <c r="BQ278" s="112">
        <f>+SUM(BQ256,BQ276)</f>
        <v/>
      </c>
      <c r="BR278" s="112">
        <f>+SUM(BR256,BR276)</f>
        <v/>
      </c>
      <c r="BS278" s="112">
        <f>+SUM(BS256,BS276)</f>
        <v/>
      </c>
      <c r="BT278" s="112">
        <f>+SUM(BT256,BT276)</f>
        <v/>
      </c>
      <c r="BU278" s="112">
        <f>+SUM(BU256,BU276)</f>
        <v/>
      </c>
      <c r="BV278" s="112">
        <f>+SUM(BV256,BV276)</f>
        <v/>
      </c>
      <c r="BW278" s="112">
        <f>+SUM(BW256,BW276)</f>
        <v/>
      </c>
      <c r="BX278" s="112">
        <f>+SUM(BX256,BX276)</f>
        <v/>
      </c>
      <c r="BY278" s="112">
        <f>+SUM(BY256,BY276)</f>
        <v/>
      </c>
      <c r="BZ278" s="112">
        <f>+SUM(BZ256,BZ276)</f>
        <v/>
      </c>
      <c r="CA278" s="112">
        <f>+SUM(CA256,CA276)</f>
        <v/>
      </c>
      <c r="CB278" s="112">
        <f>+SUM(CB256,CB276)</f>
        <v/>
      </c>
      <c r="CC278" s="112">
        <f>+SUM(CC256,CC276)</f>
        <v/>
      </c>
      <c r="CD278" s="112">
        <f>+SUM(CD256,CD276)</f>
        <v/>
      </c>
      <c r="CE278" s="112">
        <f>+SUM(CE256,CE276)</f>
        <v/>
      </c>
      <c r="CF278" s="112">
        <f>+SUM(CF256,CF276)</f>
        <v/>
      </c>
      <c r="CG278" s="112">
        <f>+SUM(CG256,CG276)</f>
        <v/>
      </c>
      <c r="CH278" s="112">
        <f>+SUM(CH256,CH276)</f>
        <v/>
      </c>
      <c r="CI278" s="112">
        <f>+SUM(CI256,CI276)</f>
        <v/>
      </c>
      <c r="CJ278" s="112">
        <f>+SUM(CJ256,CJ276)</f>
        <v/>
      </c>
      <c r="CK278" s="112">
        <f>+SUM(CK256,CK276)</f>
        <v/>
      </c>
      <c r="CL278" s="112">
        <f>+SUM(CL256,CL276)</f>
        <v/>
      </c>
      <c r="CM278" s="112">
        <f>+SUM(CM256,CM276)</f>
        <v/>
      </c>
      <c r="CN278" s="112">
        <f>+SUM(CN256,CN276)</f>
        <v/>
      </c>
      <c r="CO278" s="112">
        <f>+SUM(CO256,CO276)</f>
        <v/>
      </c>
      <c r="CP278" s="112">
        <f>+SUM(CP256,CP276)</f>
        <v/>
      </c>
      <c r="CQ278" s="112">
        <f>+SUM(CQ256,CQ276)</f>
        <v/>
      </c>
      <c r="CR278" s="112">
        <f>+SUM(CR256,CR276)</f>
        <v/>
      </c>
      <c r="CS278" s="112">
        <f>+SUM(CS256,CS276)</f>
        <v/>
      </c>
      <c r="CT278" s="112">
        <f>+SUM(CT256,CT276)</f>
        <v/>
      </c>
      <c r="CU278" s="112">
        <f>+SUM(CU256,CU276)</f>
        <v/>
      </c>
      <c r="CV278" s="112">
        <f>+SUM(CV256,CV276)</f>
        <v/>
      </c>
      <c r="CW278" s="112">
        <f>+SUM(CW256,CW276)</f>
        <v/>
      </c>
      <c r="CX278" s="112">
        <f>+SUM(CX256,CX276)</f>
        <v/>
      </c>
      <c r="CY278" s="112">
        <f>+SUM(CY256,CY276)</f>
        <v/>
      </c>
      <c r="CZ278" s="112">
        <f>+SUM(CZ256,CZ276)</f>
        <v/>
      </c>
      <c r="DA278" s="112">
        <f>+SUM(DA256,DA276)</f>
        <v/>
      </c>
      <c r="DB278" s="112">
        <f>+SUM(DB256,DB276)</f>
        <v/>
      </c>
      <c r="DC278" s="112">
        <f>+SUM(DC256,DC276)</f>
        <v/>
      </c>
      <c r="DD278" s="112">
        <f>+SUM(DD256,DD276)</f>
        <v/>
      </c>
      <c r="DE278" s="112">
        <f>+SUM(DE256,DE276)</f>
        <v/>
      </c>
      <c r="DF278" s="112">
        <f>+SUM(DF256,DF276)</f>
        <v/>
      </c>
      <c r="DG278" s="112">
        <f>+SUM(DG256,DG276)</f>
        <v/>
      </c>
      <c r="DH278" s="112">
        <f>+SUM(DH256,DH276)</f>
        <v/>
      </c>
      <c r="DI278" s="112">
        <f>+SUM(DI256,DI276)</f>
        <v/>
      </c>
      <c r="DJ278" s="112">
        <f>+SUM(DJ256,DJ276)</f>
        <v/>
      </c>
      <c r="DK278" s="112">
        <f>+SUM(DK256,DK276)</f>
        <v/>
      </c>
      <c r="DL278" s="112">
        <f>+SUM(DL256,DL276)</f>
        <v/>
      </c>
      <c r="DM278" s="112">
        <f>+SUM(DM256,DM276)</f>
        <v/>
      </c>
      <c r="DN278" s="112">
        <f>+SUM(DN256,DN276)</f>
        <v/>
      </c>
      <c r="DO278" s="112">
        <f>+SUM(DO256,DO276)</f>
        <v/>
      </c>
      <c r="DP278" s="112">
        <f>+SUM(DP256,DP276)</f>
        <v/>
      </c>
      <c r="DQ278" s="112">
        <f>+SUM(DQ256,DQ276)</f>
        <v/>
      </c>
      <c r="DR278" s="112">
        <f>+SUM(DR256,DR276)</f>
        <v/>
      </c>
    </row>
    <row r="279" ht="15.75" customHeight="1">
      <c r="A279" s="66" t="n"/>
      <c r="B279" s="66" t="inlineStr">
        <is>
          <t>% Margin</t>
        </is>
      </c>
      <c r="C279" s="66" t="n"/>
      <c r="D279" s="66" t="n"/>
      <c r="E279" s="66" t="n"/>
      <c r="F279" s="100">
        <f>+(F249-F278)/F249</f>
        <v/>
      </c>
      <c r="G279" s="100">
        <f>+(G249-G278)/G249</f>
        <v/>
      </c>
      <c r="H279" s="100">
        <f>+(H249-H278)/H249</f>
        <v/>
      </c>
      <c r="I279" s="100">
        <f>+(I249-I278)/I249</f>
        <v/>
      </c>
      <c r="J279" s="100">
        <f>+(J249-J278)/J249</f>
        <v/>
      </c>
      <c r="K279" s="100">
        <f>+(K249-K278)/K249</f>
        <v/>
      </c>
      <c r="L279" s="100">
        <f>+(L249-L278)/L249</f>
        <v/>
      </c>
      <c r="M279" s="100">
        <f>+(M249-M278)/M249</f>
        <v/>
      </c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119" t="n"/>
      <c r="AB279" s="119" t="n"/>
      <c r="AC279" s="119" t="n"/>
      <c r="AD279" s="119" t="n"/>
      <c r="AE279" s="119" t="n"/>
      <c r="AF279" s="119" t="n"/>
      <c r="AG279" s="119" t="n"/>
      <c r="AH279" s="119" t="n"/>
      <c r="AI279" s="119" t="n"/>
      <c r="AJ279" s="119" t="n"/>
      <c r="AK279" s="119" t="n"/>
      <c r="AL279" s="119" t="n"/>
      <c r="AM279" s="119" t="n"/>
      <c r="AN279" s="119" t="n"/>
      <c r="AO279" s="119" t="n"/>
      <c r="AP279" s="119" t="n"/>
      <c r="AQ279" s="119" t="n"/>
      <c r="AR279" s="119" t="n"/>
      <c r="AS279" s="119" t="n"/>
      <c r="AT279" s="119" t="n"/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 s="119" t="n"/>
      <c r="BH279" s="119" t="n"/>
      <c r="BI279" s="119" t="n"/>
      <c r="BJ279" s="119" t="n"/>
      <c r="BK279" s="119" t="n"/>
      <c r="BL279" s="119" t="n"/>
      <c r="BM279" s="119" t="n"/>
      <c r="BN279" s="119" t="n"/>
      <c r="BO279" s="119" t="n"/>
      <c r="BP279" s="119" t="n"/>
      <c r="BQ279" s="119" t="n"/>
      <c r="BR279" s="119" t="n"/>
      <c r="BS279" s="119" t="n"/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  <c r="DR279" s="119" t="n"/>
      <c r="DS279" s="66" t="n"/>
    </row>
    <row r="280" ht="4.5" customHeight="1"/>
    <row r="281" ht="4.5" customHeight="1"/>
    <row r="282" ht="15.75" customHeight="1">
      <c r="B282" s="121" t="inlineStr">
        <is>
          <t>Gross Margin Summary</t>
        </is>
      </c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</row>
    <row r="283" ht="15.75" customHeight="1">
      <c r="B283" s="122" t="inlineStr">
        <is>
          <t>Licensing</t>
        </is>
      </c>
      <c r="C283" s="122" t="n"/>
      <c r="D283" s="122" t="n"/>
      <c r="E283" s="122" t="n"/>
      <c r="F283" s="122" t="n"/>
      <c r="G283" s="122" t="n"/>
      <c r="H283" s="122" t="n"/>
      <c r="I283" s="122" t="n"/>
      <c r="J283" s="122" t="n"/>
      <c r="K283" s="122" t="n"/>
      <c r="L283" s="122" t="n"/>
      <c r="M283" s="122" t="n"/>
    </row>
    <row r="284" ht="4.5" customHeight="1"/>
    <row r="285" ht="15.75" customHeight="1">
      <c r="B285" s="44" t="inlineStr">
        <is>
          <t>Gross Margin</t>
        </is>
      </c>
    </row>
    <row r="286" ht="15.75" customHeight="1">
      <c r="B286" s="5" t="inlineStr">
        <is>
          <t>Mega</t>
        </is>
      </c>
      <c r="F286" s="45">
        <f>+F85</f>
        <v/>
      </c>
      <c r="G286" s="45">
        <f>+G85</f>
        <v/>
      </c>
      <c r="H286" s="45">
        <f>+H85</f>
        <v/>
      </c>
      <c r="I286" s="45">
        <f>+I85</f>
        <v/>
      </c>
      <c r="J286" s="45">
        <f>+J85</f>
        <v/>
      </c>
      <c r="K286" s="45">
        <f>+K85</f>
        <v/>
      </c>
      <c r="L286" s="45">
        <f>+L85</f>
        <v/>
      </c>
      <c r="M286" s="45">
        <f>+M85</f>
        <v/>
      </c>
    </row>
    <row r="287" ht="15.75" customHeight="1">
      <c r="B287" s="5" t="inlineStr">
        <is>
          <t>Major</t>
        </is>
      </c>
      <c r="F287" s="45">
        <f>+F86</f>
        <v/>
      </c>
      <c r="G287" s="45">
        <f>+G86</f>
        <v/>
      </c>
      <c r="H287" s="45">
        <f>+H86</f>
        <v/>
      </c>
      <c r="I287" s="45">
        <f>+I86</f>
        <v/>
      </c>
      <c r="J287" s="45">
        <f>+J86</f>
        <v/>
      </c>
      <c r="K287" s="45">
        <f>+K86</f>
        <v/>
      </c>
      <c r="L287" s="45">
        <f>+L86</f>
        <v/>
      </c>
      <c r="M287" s="45">
        <f>+M86</f>
        <v/>
      </c>
    </row>
    <row r="288" ht="15.75" customHeight="1">
      <c r="B288" s="5" t="inlineStr">
        <is>
          <t>Upper Middle Market</t>
        </is>
      </c>
      <c r="F288" s="45">
        <f>+F87</f>
        <v/>
      </c>
      <c r="G288" s="45">
        <f>+G87</f>
        <v/>
      </c>
      <c r="H288" s="45">
        <f>+H87</f>
        <v/>
      </c>
      <c r="I288" s="45">
        <f>+I87</f>
        <v/>
      </c>
      <c r="J288" s="45">
        <f>+J87</f>
        <v/>
      </c>
      <c r="K288" s="45">
        <f>+K87</f>
        <v/>
      </c>
      <c r="L288" s="45">
        <f>+L87</f>
        <v/>
      </c>
      <c r="M288" s="45">
        <f>+M87</f>
        <v/>
      </c>
    </row>
    <row r="289" ht="15.75" customHeight="1">
      <c r="B289" s="5" t="inlineStr">
        <is>
          <t>Lower Middle Market</t>
        </is>
      </c>
      <c r="F289" s="45">
        <f>+F88</f>
        <v/>
      </c>
      <c r="G289" s="45">
        <f>+G88</f>
        <v/>
      </c>
      <c r="H289" s="45">
        <f>+H88</f>
        <v/>
      </c>
      <c r="I289" s="45">
        <f>+I88</f>
        <v/>
      </c>
      <c r="J289" s="45">
        <f>+J88</f>
        <v/>
      </c>
      <c r="K289" s="45">
        <f>+K88</f>
        <v/>
      </c>
      <c r="L289" s="45">
        <f>+L88</f>
        <v/>
      </c>
      <c r="M289" s="45">
        <f>+M88</f>
        <v/>
      </c>
    </row>
    <row r="290" ht="15.75" customHeight="1">
      <c r="B290" s="50" t="inlineStr">
        <is>
          <t>Total</t>
        </is>
      </c>
      <c r="C290" s="50" t="n"/>
      <c r="D290" s="50" t="n"/>
      <c r="F290" s="53">
        <f>+F89</f>
        <v/>
      </c>
      <c r="G290" s="53">
        <f>+G89</f>
        <v/>
      </c>
      <c r="H290" s="53">
        <f>+H89</f>
        <v/>
      </c>
      <c r="I290" s="53">
        <f>+I89</f>
        <v/>
      </c>
      <c r="J290" s="53">
        <f>+J89</f>
        <v/>
      </c>
      <c r="K290" s="53">
        <f>+K89</f>
        <v/>
      </c>
      <c r="L290" s="53">
        <f>+L89</f>
        <v/>
      </c>
      <c r="M290" s="53">
        <f>+M89</f>
        <v/>
      </c>
    </row>
    <row r="291" ht="4.5" customHeight="1"/>
    <row r="292" ht="15.75" customHeight="1">
      <c r="B292" s="122" t="inlineStr">
        <is>
          <t>Managed Services</t>
        </is>
      </c>
      <c r="C292" s="122" t="n"/>
      <c r="D292" s="122" t="n"/>
      <c r="E292" s="122" t="n"/>
      <c r="F292" s="122" t="n"/>
      <c r="G292" s="122" t="n"/>
      <c r="H292" s="122" t="n"/>
      <c r="I292" s="122" t="n"/>
      <c r="J292" s="122" t="n"/>
      <c r="K292" s="122" t="n"/>
      <c r="L292" s="122" t="n"/>
      <c r="M292" s="122" t="n"/>
    </row>
    <row r="293" ht="4.5" customHeight="1"/>
    <row r="294" ht="15.75" customHeight="1">
      <c r="B294" s="44" t="inlineStr">
        <is>
          <t>Gross Margin</t>
        </is>
      </c>
    </row>
    <row r="295" ht="15.75" customHeight="1">
      <c r="B295" s="5" t="inlineStr">
        <is>
          <t>Mega</t>
        </is>
      </c>
      <c r="F295" s="45">
        <f>+F185</f>
        <v/>
      </c>
      <c r="G295" s="45">
        <f>+G185</f>
        <v/>
      </c>
      <c r="H295" s="45">
        <f>+H185</f>
        <v/>
      </c>
      <c r="I295" s="45">
        <f>+I185</f>
        <v/>
      </c>
      <c r="J295" s="45">
        <f>+J185</f>
        <v/>
      </c>
      <c r="K295" s="45">
        <f>+K185</f>
        <v/>
      </c>
      <c r="L295" s="45">
        <f>+L185</f>
        <v/>
      </c>
      <c r="M295" s="45">
        <f>+M185</f>
        <v/>
      </c>
    </row>
    <row r="296" ht="15.75" customHeight="1">
      <c r="B296" s="5" t="inlineStr">
        <is>
          <t>Major</t>
        </is>
      </c>
      <c r="F296" s="45">
        <f>+F186</f>
        <v/>
      </c>
      <c r="G296" s="45">
        <f>+G186</f>
        <v/>
      </c>
      <c r="H296" s="45">
        <f>+H186</f>
        <v/>
      </c>
      <c r="I296" s="45">
        <f>+I186</f>
        <v/>
      </c>
      <c r="J296" s="45">
        <f>+J186</f>
        <v/>
      </c>
      <c r="K296" s="45">
        <f>+K186</f>
        <v/>
      </c>
      <c r="L296" s="45">
        <f>+L186</f>
        <v/>
      </c>
      <c r="M296" s="45">
        <f>+M186</f>
        <v/>
      </c>
    </row>
    <row r="297" ht="15.75" customHeight="1">
      <c r="B297" s="5" t="inlineStr">
        <is>
          <t>Upper Middle Market</t>
        </is>
      </c>
      <c r="F297" s="45">
        <f>+F187</f>
        <v/>
      </c>
      <c r="G297" s="45">
        <f>+G187</f>
        <v/>
      </c>
      <c r="H297" s="45">
        <f>+H187</f>
        <v/>
      </c>
      <c r="I297" s="45">
        <f>+I187</f>
        <v/>
      </c>
      <c r="J297" s="45">
        <f>+J187</f>
        <v/>
      </c>
      <c r="K297" s="45">
        <f>+K187</f>
        <v/>
      </c>
      <c r="L297" s="45">
        <f>+L187</f>
        <v/>
      </c>
      <c r="M297" s="45">
        <f>+M187</f>
        <v/>
      </c>
    </row>
    <row r="298" ht="15.75" customHeight="1">
      <c r="B298" s="5" t="inlineStr">
        <is>
          <t>Lower Middle Market</t>
        </is>
      </c>
      <c r="F298" s="45">
        <f>+F188</f>
        <v/>
      </c>
      <c r="G298" s="45">
        <f>+G188</f>
        <v/>
      </c>
      <c r="H298" s="45">
        <f>+H188</f>
        <v/>
      </c>
      <c r="I298" s="45">
        <f>+I188</f>
        <v/>
      </c>
      <c r="J298" s="45">
        <f>+J188</f>
        <v/>
      </c>
      <c r="K298" s="45">
        <f>+K188</f>
        <v/>
      </c>
      <c r="L298" s="45">
        <f>+L188</f>
        <v/>
      </c>
      <c r="M298" s="45">
        <f>+M188</f>
        <v/>
      </c>
    </row>
    <row r="299" ht="15.75" customHeight="1">
      <c r="B299" s="50" t="inlineStr">
        <is>
          <t>Total</t>
        </is>
      </c>
      <c r="C299" s="50" t="n"/>
      <c r="D299" s="50" t="n"/>
      <c r="F299" s="53">
        <f>+F189</f>
        <v/>
      </c>
      <c r="G299" s="53">
        <f>+G189</f>
        <v/>
      </c>
      <c r="H299" s="53">
        <f>+H189</f>
        <v/>
      </c>
      <c r="I299" s="53">
        <f>+I189</f>
        <v/>
      </c>
      <c r="J299" s="53">
        <f>+J189</f>
        <v/>
      </c>
      <c r="K299" s="53">
        <f>+K189</f>
        <v/>
      </c>
      <c r="L299" s="53">
        <f>+L189</f>
        <v/>
      </c>
      <c r="M299" s="53">
        <f>+M189</f>
        <v/>
      </c>
    </row>
    <row r="300" ht="4.5" customHeight="1"/>
    <row r="301" ht="15.75" customHeight="1">
      <c r="B301" s="122" t="inlineStr">
        <is>
          <t>Implementation</t>
        </is>
      </c>
      <c r="C301" s="122" t="n"/>
      <c r="D301" s="122" t="n"/>
      <c r="E301" s="122" t="n"/>
      <c r="F301" s="122" t="n"/>
      <c r="G301" s="122" t="n"/>
      <c r="H301" s="122" t="n"/>
      <c r="I301" s="122" t="n"/>
      <c r="J301" s="122" t="n"/>
      <c r="K301" s="122" t="n"/>
      <c r="L301" s="122" t="n"/>
      <c r="M301" s="122" t="n"/>
    </row>
    <row r="302" ht="4.5" customHeight="1"/>
    <row r="303" ht="15.75" customHeight="1">
      <c r="B303" s="44" t="inlineStr">
        <is>
          <t>Gross Margin</t>
        </is>
      </c>
    </row>
    <row r="304" ht="15.75" customHeight="1">
      <c r="B304" s="5" t="inlineStr">
        <is>
          <t>Mega</t>
        </is>
      </c>
      <c r="F304" s="45">
        <f>+F267</f>
        <v/>
      </c>
      <c r="G304" s="45">
        <f>+G267</f>
        <v/>
      </c>
      <c r="H304" s="45">
        <f>+H267</f>
        <v/>
      </c>
      <c r="I304" s="45">
        <f>+I267</f>
        <v/>
      </c>
      <c r="J304" s="45">
        <f>+J267</f>
        <v/>
      </c>
      <c r="K304" s="45">
        <f>+K267</f>
        <v/>
      </c>
      <c r="L304" s="45">
        <f>+L267</f>
        <v/>
      </c>
      <c r="M304" s="45">
        <f>+M267</f>
        <v/>
      </c>
    </row>
    <row r="305" ht="15.75" customHeight="1">
      <c r="B305" s="5" t="inlineStr">
        <is>
          <t>Major</t>
        </is>
      </c>
      <c r="F305" s="45">
        <f>+F268</f>
        <v/>
      </c>
      <c r="G305" s="45">
        <f>+G268</f>
        <v/>
      </c>
      <c r="H305" s="45">
        <f>+H268</f>
        <v/>
      </c>
      <c r="I305" s="45">
        <f>+I268</f>
        <v/>
      </c>
      <c r="J305" s="45">
        <f>+J268</f>
        <v/>
      </c>
      <c r="K305" s="45">
        <f>+K268</f>
        <v/>
      </c>
      <c r="L305" s="45">
        <f>+L268</f>
        <v/>
      </c>
      <c r="M305" s="45">
        <f>+M268</f>
        <v/>
      </c>
    </row>
    <row r="306" ht="15.75" customHeight="1">
      <c r="B306" s="5" t="inlineStr">
        <is>
          <t>Upper Middle Market</t>
        </is>
      </c>
      <c r="F306" s="45">
        <f>+F269</f>
        <v/>
      </c>
      <c r="G306" s="45">
        <f>+G269</f>
        <v/>
      </c>
      <c r="H306" s="45">
        <f>+H269</f>
        <v/>
      </c>
      <c r="I306" s="45">
        <f>+I269</f>
        <v/>
      </c>
      <c r="J306" s="45">
        <f>+J269</f>
        <v/>
      </c>
      <c r="K306" s="45">
        <f>+K269</f>
        <v/>
      </c>
      <c r="L306" s="45">
        <f>+L269</f>
        <v/>
      </c>
      <c r="M306" s="45">
        <f>+M269</f>
        <v/>
      </c>
    </row>
    <row r="307" ht="15.75" customHeight="1">
      <c r="B307" s="5" t="inlineStr">
        <is>
          <t>Lower Middle Market</t>
        </is>
      </c>
      <c r="F307" s="45">
        <f>+F270</f>
        <v/>
      </c>
      <c r="G307" s="45">
        <f>+G270</f>
        <v/>
      </c>
      <c r="H307" s="45">
        <f>+H270</f>
        <v/>
      </c>
      <c r="I307" s="45">
        <f>+I270</f>
        <v/>
      </c>
      <c r="J307" s="45">
        <f>+J270</f>
        <v/>
      </c>
      <c r="K307" s="45">
        <f>+K270</f>
        <v/>
      </c>
      <c r="L307" s="45">
        <f>+L270</f>
        <v/>
      </c>
      <c r="M307" s="45">
        <f>+M270</f>
        <v/>
      </c>
    </row>
    <row r="308" ht="15.75" customHeight="1">
      <c r="B308" s="50" t="inlineStr">
        <is>
          <t>Total</t>
        </is>
      </c>
      <c r="C308" s="50" t="n"/>
      <c r="D308" s="50" t="n"/>
      <c r="F308" s="53">
        <f>+F271</f>
        <v/>
      </c>
      <c r="G308" s="53">
        <f>+G271</f>
        <v/>
      </c>
      <c r="H308" s="53">
        <f>+H271</f>
        <v/>
      </c>
      <c r="I308" s="53">
        <f>+I271</f>
        <v/>
      </c>
      <c r="J308" s="53">
        <f>+J271</f>
        <v/>
      </c>
      <c r="K308" s="53">
        <f>+K271</f>
        <v/>
      </c>
      <c r="L308" s="53">
        <f>+L271</f>
        <v/>
      </c>
      <c r="M308" s="53">
        <f>+M271</f>
        <v/>
      </c>
    </row>
    <row r="309" ht="4.5" customHeight="1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R60"/>
  <sheetViews>
    <sheetView showGridLines="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10" sqref="E10"/>
    </sheetView>
  </sheetViews>
  <sheetFormatPr baseColWidth="8" defaultColWidth="14.42578125" defaultRowHeight="15" customHeight="1"/>
  <cols>
    <col width="2.5703125" customWidth="1" min="1" max="1"/>
    <col width="25.5703125" customWidth="1" min="2" max="2"/>
    <col width="2.5703125" customWidth="1" min="3" max="5"/>
    <col width="12.5703125" customWidth="1" min="6" max="13"/>
    <col width="2.5703125" customWidth="1" min="14" max="14"/>
    <col hidden="1" width="2.5703125" customWidth="1" min="15" max="26"/>
    <col hidden="1" outlineLevel="1" width="12.5703125" customWidth="1" min="27" max="122"/>
    <col collapsed="1" width="14.42578125" customWidth="1" min="123" max="123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</row>
    <row r="6" ht="4.5" customHeight="1"/>
    <row r="7">
      <c r="B7" s="34" t="n"/>
      <c r="C7" s="34" t="n"/>
      <c r="D7" s="34" t="n"/>
      <c r="E7" s="35" t="n"/>
      <c r="F7" s="36" t="n">
        <v>2019</v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>
        <f>+YEAR(AA8)</f>
        <v/>
      </c>
      <c r="AB7" s="36">
        <f>+YEAR(AB8)</f>
        <v/>
      </c>
      <c r="AC7" s="36">
        <f>+YEAR(AC8)</f>
        <v/>
      </c>
      <c r="AD7" s="36">
        <f>+YEAR(AD8)</f>
        <v/>
      </c>
      <c r="AE7" s="36">
        <f>+YEAR(AE8)</f>
        <v/>
      </c>
      <c r="AF7" s="36">
        <f>+YEAR(AF8)</f>
        <v/>
      </c>
      <c r="AG7" s="36">
        <f>+YEAR(AG8)</f>
        <v/>
      </c>
      <c r="AH7" s="36">
        <f>+YEAR(AH8)</f>
        <v/>
      </c>
      <c r="AI7" s="36">
        <f>+YEAR(AI8)</f>
        <v/>
      </c>
      <c r="AJ7" s="36">
        <f>+YEAR(AJ8)</f>
        <v/>
      </c>
      <c r="AK7" s="36">
        <f>+YEAR(AK8)</f>
        <v/>
      </c>
      <c r="AL7" s="36">
        <f>+YEAR(AL8)</f>
        <v/>
      </c>
      <c r="AM7" s="36">
        <f>+YEAR(AM8)</f>
        <v/>
      </c>
      <c r="AN7" s="36">
        <f>+YEAR(AN8)</f>
        <v/>
      </c>
      <c r="AO7" s="36">
        <f>+YEAR(AO8)</f>
        <v/>
      </c>
      <c r="AP7" s="36">
        <f>+YEAR(AP8)</f>
        <v/>
      </c>
      <c r="AQ7" s="36">
        <f>+YEAR(AQ8)</f>
        <v/>
      </c>
      <c r="AR7" s="36">
        <f>+YEAR(AR8)</f>
        <v/>
      </c>
      <c r="AS7" s="36">
        <f>+YEAR(AS8)</f>
        <v/>
      </c>
      <c r="AT7" s="36">
        <f>+YEAR(AT8)</f>
        <v/>
      </c>
      <c r="AU7" s="36">
        <f>+YEAR(AU8)</f>
        <v/>
      </c>
      <c r="AV7" s="36">
        <f>+YEAR(AV8)</f>
        <v/>
      </c>
      <c r="AW7" s="36">
        <f>+YEAR(AW8)</f>
        <v/>
      </c>
      <c r="AX7" s="36">
        <f>+YEAR(AX8)</f>
        <v/>
      </c>
      <c r="AY7" s="36">
        <f>+YEAR(AY8)</f>
        <v/>
      </c>
      <c r="AZ7" s="36">
        <f>+YEAR(AZ8)</f>
        <v/>
      </c>
      <c r="BA7" s="36">
        <f>+YEAR(BA8)</f>
        <v/>
      </c>
      <c r="BB7" s="36">
        <f>+YEAR(BB8)</f>
        <v/>
      </c>
      <c r="BC7" s="36">
        <f>+YEAR(BC8)</f>
        <v/>
      </c>
      <c r="BD7" s="36">
        <f>+YEAR(BD8)</f>
        <v/>
      </c>
      <c r="BE7" s="36">
        <f>+YEAR(BE8)</f>
        <v/>
      </c>
      <c r="BF7" s="36">
        <f>+YEAR(BF8)</f>
        <v/>
      </c>
      <c r="BG7" s="36">
        <f>+YEAR(BG8)</f>
        <v/>
      </c>
      <c r="BH7" s="36">
        <f>+YEAR(BH8)</f>
        <v/>
      </c>
      <c r="BI7" s="36">
        <f>+YEAR(BI8)</f>
        <v/>
      </c>
      <c r="BJ7" s="36">
        <f>+YEAR(BJ8)</f>
        <v/>
      </c>
      <c r="BK7" s="36">
        <f>+YEAR(BK8)</f>
        <v/>
      </c>
      <c r="BL7" s="36">
        <f>+YEAR(BL8)</f>
        <v/>
      </c>
      <c r="BM7" s="36">
        <f>+YEAR(BM8)</f>
        <v/>
      </c>
      <c r="BN7" s="36">
        <f>+YEAR(BN8)</f>
        <v/>
      </c>
      <c r="BO7" s="36">
        <f>+YEAR(BO8)</f>
        <v/>
      </c>
      <c r="BP7" s="36">
        <f>+YEAR(BP8)</f>
        <v/>
      </c>
      <c r="BQ7" s="36">
        <f>+YEAR(BQ8)</f>
        <v/>
      </c>
      <c r="BR7" s="36">
        <f>+YEAR(BR8)</f>
        <v/>
      </c>
      <c r="BS7" s="36">
        <f>+YEAR(BS8)</f>
        <v/>
      </c>
      <c r="BT7" s="36">
        <f>+YEAR(BT8)</f>
        <v/>
      </c>
      <c r="BU7" s="36">
        <f>+YEAR(BU8)</f>
        <v/>
      </c>
      <c r="BV7" s="36">
        <f>+YEAR(BV8)</f>
        <v/>
      </c>
      <c r="BW7" s="36">
        <f>+YEAR(BW8)</f>
        <v/>
      </c>
      <c r="BX7" s="36">
        <f>+YEAR(BX8)</f>
        <v/>
      </c>
      <c r="BY7" s="36">
        <f>+YEAR(BY8)</f>
        <v/>
      </c>
      <c r="BZ7" s="36">
        <f>+YEAR(BZ8)</f>
        <v/>
      </c>
      <c r="CA7" s="36">
        <f>+YEAR(CA8)</f>
        <v/>
      </c>
      <c r="CB7" s="36">
        <f>+YEAR(CB8)</f>
        <v/>
      </c>
      <c r="CC7" s="36">
        <f>+YEAR(CC8)</f>
        <v/>
      </c>
      <c r="CD7" s="36">
        <f>+YEAR(CD8)</f>
        <v/>
      </c>
      <c r="CE7" s="36">
        <f>+YEAR(CE8)</f>
        <v/>
      </c>
      <c r="CF7" s="36">
        <f>+YEAR(CF8)</f>
        <v/>
      </c>
      <c r="CG7" s="36">
        <f>+YEAR(CG8)</f>
        <v/>
      </c>
      <c r="CH7" s="36">
        <f>+YEAR(CH8)</f>
        <v/>
      </c>
      <c r="CI7" s="36">
        <f>+YEAR(CI8)</f>
        <v/>
      </c>
      <c r="CJ7" s="36">
        <f>+YEAR(CJ8)</f>
        <v/>
      </c>
      <c r="CK7" s="36">
        <f>+YEAR(CK8)</f>
        <v/>
      </c>
      <c r="CL7" s="36">
        <f>+YEAR(CL8)</f>
        <v/>
      </c>
      <c r="CM7" s="36">
        <f>+YEAR(CM8)</f>
        <v/>
      </c>
      <c r="CN7" s="36">
        <f>+YEAR(CN8)</f>
        <v/>
      </c>
      <c r="CO7" s="36">
        <f>+YEAR(CO8)</f>
        <v/>
      </c>
      <c r="CP7" s="36">
        <f>+YEAR(CP8)</f>
        <v/>
      </c>
      <c r="CQ7" s="36">
        <f>+YEAR(CQ8)</f>
        <v/>
      </c>
      <c r="CR7" s="36">
        <f>+YEAR(CR8)</f>
        <v/>
      </c>
      <c r="CS7" s="36">
        <f>+YEAR(CS8)</f>
        <v/>
      </c>
      <c r="CT7" s="36">
        <f>+YEAR(CT8)</f>
        <v/>
      </c>
      <c r="CU7" s="36">
        <f>+YEAR(CU8)</f>
        <v/>
      </c>
      <c r="CV7" s="36">
        <f>+YEAR(CV8)</f>
        <v/>
      </c>
      <c r="CW7" s="36">
        <f>+YEAR(CW8)</f>
        <v/>
      </c>
      <c r="CX7" s="36">
        <f>+YEAR(CX8)</f>
        <v/>
      </c>
      <c r="CY7" s="36">
        <f>+YEAR(CY8)</f>
        <v/>
      </c>
      <c r="CZ7" s="36">
        <f>+YEAR(CZ8)</f>
        <v/>
      </c>
      <c r="DA7" s="36">
        <f>+YEAR(DA8)</f>
        <v/>
      </c>
      <c r="DB7" s="36">
        <f>+YEAR(DB8)</f>
        <v/>
      </c>
      <c r="DC7" s="36">
        <f>+YEAR(DC8)</f>
        <v/>
      </c>
      <c r="DD7" s="36">
        <f>+YEAR(DD8)</f>
        <v/>
      </c>
      <c r="DE7" s="36">
        <f>+YEAR(DE8)</f>
        <v/>
      </c>
      <c r="DF7" s="36">
        <f>+YEAR(DF8)</f>
        <v/>
      </c>
      <c r="DG7" s="36">
        <f>+YEAR(DG8)</f>
        <v/>
      </c>
      <c r="DH7" s="36">
        <f>+YEAR(DH8)</f>
        <v/>
      </c>
      <c r="DI7" s="36">
        <f>+YEAR(DI8)</f>
        <v/>
      </c>
      <c r="DJ7" s="36">
        <f>+YEAR(DJ8)</f>
        <v/>
      </c>
      <c r="DK7" s="36">
        <f>+YEAR(DK8)</f>
        <v/>
      </c>
      <c r="DL7" s="36">
        <f>+YEAR(DL8)</f>
        <v/>
      </c>
      <c r="DM7" s="36">
        <f>+YEAR(DM8)</f>
        <v/>
      </c>
      <c r="DN7" s="36">
        <f>+YEAR(DN8)</f>
        <v/>
      </c>
      <c r="DO7" s="36">
        <f>+YEAR(DO8)</f>
        <v/>
      </c>
      <c r="DP7" s="36">
        <f>+YEAR(DP8)</f>
        <v/>
      </c>
      <c r="DQ7" s="36">
        <f>+YEAR(DQ8)</f>
        <v/>
      </c>
      <c r="DR7" s="36">
        <f>+YEAR(DR8)</f>
        <v/>
      </c>
    </row>
    <row r="8">
      <c r="B8" s="34" t="n"/>
      <c r="C8" s="34" t="n"/>
      <c r="D8" s="34" t="n"/>
      <c r="E8" s="38" t="n"/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>
        <v>43496</v>
      </c>
      <c r="AB8" s="39">
        <f>+EOMONTH(AA8,1)</f>
        <v/>
      </c>
      <c r="AC8" s="39">
        <f>+EOMONTH(AB8,1)</f>
        <v/>
      </c>
      <c r="AD8" s="39">
        <f>+EOMONTH(AC8,1)</f>
        <v/>
      </c>
      <c r="AE8" s="39">
        <f>+EOMONTH(AD8,1)</f>
        <v/>
      </c>
      <c r="AF8" s="39">
        <f>+EOMONTH(AE8,1)</f>
        <v/>
      </c>
      <c r="AG8" s="39">
        <f>+EOMONTH(AF8,1)</f>
        <v/>
      </c>
      <c r="AH8" s="39">
        <f>+EOMONTH(AG8,1)</f>
        <v/>
      </c>
      <c r="AI8" s="39">
        <f>+EOMONTH(AH8,1)</f>
        <v/>
      </c>
      <c r="AJ8" s="39">
        <f>+EOMONTH(AI8,1)</f>
        <v/>
      </c>
      <c r="AK8" s="39">
        <f>+EOMONTH(AJ8,1)</f>
        <v/>
      </c>
      <c r="AL8" s="39">
        <f>+EOMONTH(AK8,1)</f>
        <v/>
      </c>
      <c r="AM8" s="39">
        <f>+EOMONTH(AL8,1)</f>
        <v/>
      </c>
      <c r="AN8" s="39">
        <f>+EOMONTH(AM8,1)</f>
        <v/>
      </c>
      <c r="AO8" s="39">
        <f>+EOMONTH(AN8,1)</f>
        <v/>
      </c>
      <c r="AP8" s="39">
        <f>+EOMONTH(AO8,1)</f>
        <v/>
      </c>
      <c r="AQ8" s="39">
        <f>+EOMONTH(AP8,1)</f>
        <v/>
      </c>
      <c r="AR8" s="39">
        <f>+EOMONTH(AQ8,1)</f>
        <v/>
      </c>
      <c r="AS8" s="39">
        <f>+EOMONTH(AR8,1)</f>
        <v/>
      </c>
      <c r="AT8" s="39">
        <f>+EOMONTH(AS8,1)</f>
        <v/>
      </c>
      <c r="AU8" s="39">
        <f>+EOMONTH(AT8,1)</f>
        <v/>
      </c>
      <c r="AV8" s="39">
        <f>+EOMONTH(AU8,1)</f>
        <v/>
      </c>
      <c r="AW8" s="39">
        <f>+EOMONTH(AV8,1)</f>
        <v/>
      </c>
      <c r="AX8" s="39">
        <f>+EOMONTH(AW8,1)</f>
        <v/>
      </c>
      <c r="AY8" s="39">
        <f>+EOMONTH(AX8,1)</f>
        <v/>
      </c>
      <c r="AZ8" s="39">
        <f>+EOMONTH(AY8,1)</f>
        <v/>
      </c>
      <c r="BA8" s="39">
        <f>+EOMONTH(AZ8,1)</f>
        <v/>
      </c>
      <c r="BB8" s="39">
        <f>+EOMONTH(BA8,1)</f>
        <v/>
      </c>
      <c r="BC8" s="39">
        <f>+EOMONTH(BB8,1)</f>
        <v/>
      </c>
      <c r="BD8" s="39">
        <f>+EOMONTH(BC8,1)</f>
        <v/>
      </c>
      <c r="BE8" s="39">
        <f>+EOMONTH(BD8,1)</f>
        <v/>
      </c>
      <c r="BF8" s="39">
        <f>+EOMONTH(BE8,1)</f>
        <v/>
      </c>
      <c r="BG8" s="39">
        <f>+EOMONTH(BF8,1)</f>
        <v/>
      </c>
      <c r="BH8" s="39">
        <f>+EOMONTH(BG8,1)</f>
        <v/>
      </c>
      <c r="BI8" s="39">
        <f>+EOMONTH(BH8,1)</f>
        <v/>
      </c>
      <c r="BJ8" s="39">
        <f>+EOMONTH(BI8,1)</f>
        <v/>
      </c>
      <c r="BK8" s="39">
        <f>+EOMONTH(BJ8,1)</f>
        <v/>
      </c>
      <c r="BL8" s="39">
        <f>+EOMONTH(BK8,1)</f>
        <v/>
      </c>
      <c r="BM8" s="39">
        <f>+EOMONTH(BL8,1)</f>
        <v/>
      </c>
      <c r="BN8" s="39">
        <f>+EOMONTH(BM8,1)</f>
        <v/>
      </c>
      <c r="BO8" s="39">
        <f>+EOMONTH(BN8,1)</f>
        <v/>
      </c>
      <c r="BP8" s="39">
        <f>+EOMONTH(BO8,1)</f>
        <v/>
      </c>
      <c r="BQ8" s="39">
        <f>+EOMONTH(BP8,1)</f>
        <v/>
      </c>
      <c r="BR8" s="39">
        <f>+EOMONTH(BQ8,1)</f>
        <v/>
      </c>
      <c r="BS8" s="39">
        <f>+EOMONTH(BR8,1)</f>
        <v/>
      </c>
      <c r="BT8" s="39">
        <f>+EOMONTH(BS8,1)</f>
        <v/>
      </c>
      <c r="BU8" s="39">
        <f>+EOMONTH(BT8,1)</f>
        <v/>
      </c>
      <c r="BV8" s="39">
        <f>+EOMONTH(BU8,1)</f>
        <v/>
      </c>
      <c r="BW8" s="39">
        <f>+EOMONTH(BV8,1)</f>
        <v/>
      </c>
      <c r="BX8" s="39">
        <f>+EOMONTH(BW8,1)</f>
        <v/>
      </c>
      <c r="BY8" s="39">
        <f>+EOMONTH(BX8,1)</f>
        <v/>
      </c>
      <c r="BZ8" s="39">
        <f>+EOMONTH(BY8,1)</f>
        <v/>
      </c>
      <c r="CA8" s="39">
        <f>+EOMONTH(BZ8,1)</f>
        <v/>
      </c>
      <c r="CB8" s="39">
        <f>+EOMONTH(CA8,1)</f>
        <v/>
      </c>
      <c r="CC8" s="39">
        <f>+EOMONTH(CB8,1)</f>
        <v/>
      </c>
      <c r="CD8" s="39">
        <f>+EOMONTH(CC8,1)</f>
        <v/>
      </c>
      <c r="CE8" s="39">
        <f>+EOMONTH(CD8,1)</f>
        <v/>
      </c>
      <c r="CF8" s="39">
        <f>+EOMONTH(CE8,1)</f>
        <v/>
      </c>
      <c r="CG8" s="39">
        <f>+EOMONTH(CF8,1)</f>
        <v/>
      </c>
      <c r="CH8" s="39">
        <f>+EOMONTH(CG8,1)</f>
        <v/>
      </c>
      <c r="CI8" s="39">
        <f>+EOMONTH(CH8,1)</f>
        <v/>
      </c>
      <c r="CJ8" s="39">
        <f>+EOMONTH(CI8,1)</f>
        <v/>
      </c>
      <c r="CK8" s="39">
        <f>+EOMONTH(CJ8,1)</f>
        <v/>
      </c>
      <c r="CL8" s="39">
        <f>+EOMONTH(CK8,1)</f>
        <v/>
      </c>
      <c r="CM8" s="39">
        <f>+EOMONTH(CL8,1)</f>
        <v/>
      </c>
      <c r="CN8" s="39">
        <f>+EOMONTH(CM8,1)</f>
        <v/>
      </c>
      <c r="CO8" s="39">
        <f>+EOMONTH(CN8,1)</f>
        <v/>
      </c>
      <c r="CP8" s="39">
        <f>+EOMONTH(CO8,1)</f>
        <v/>
      </c>
      <c r="CQ8" s="39">
        <f>+EOMONTH(CP8,1)</f>
        <v/>
      </c>
      <c r="CR8" s="39">
        <f>+EOMONTH(CQ8,1)</f>
        <v/>
      </c>
      <c r="CS8" s="39">
        <f>+EOMONTH(CR8,1)</f>
        <v/>
      </c>
      <c r="CT8" s="39">
        <f>+EOMONTH(CS8,1)</f>
        <v/>
      </c>
      <c r="CU8" s="39">
        <f>+EOMONTH(CT8,1)</f>
        <v/>
      </c>
      <c r="CV8" s="39">
        <f>+EOMONTH(CU8,1)</f>
        <v/>
      </c>
      <c r="CW8" s="39">
        <f>+EOMONTH(CV8,1)</f>
        <v/>
      </c>
      <c r="CX8" s="39">
        <f>+EOMONTH(CW8,1)</f>
        <v/>
      </c>
      <c r="CY8" s="39">
        <f>+EOMONTH(CX8,1)</f>
        <v/>
      </c>
      <c r="CZ8" s="39">
        <f>+EOMONTH(CY8,1)</f>
        <v/>
      </c>
      <c r="DA8" s="39">
        <f>+EOMONTH(CZ8,1)</f>
        <v/>
      </c>
      <c r="DB8" s="39">
        <f>+EOMONTH(DA8,1)</f>
        <v/>
      </c>
      <c r="DC8" s="39">
        <f>+EOMONTH(DB8,1)</f>
        <v/>
      </c>
      <c r="DD8" s="39">
        <f>+EOMONTH(DC8,1)</f>
        <v/>
      </c>
      <c r="DE8" s="39">
        <f>+EOMONTH(DD8,1)</f>
        <v/>
      </c>
      <c r="DF8" s="39">
        <f>+EOMONTH(DE8,1)</f>
        <v/>
      </c>
      <c r="DG8" s="39">
        <f>+EOMONTH(DF8,1)</f>
        <v/>
      </c>
      <c r="DH8" s="39">
        <f>+EOMONTH(DG8,1)</f>
        <v/>
      </c>
      <c r="DI8" s="39">
        <f>+EOMONTH(DH8,1)</f>
        <v/>
      </c>
      <c r="DJ8" s="39">
        <f>+EOMONTH(DI8,1)</f>
        <v/>
      </c>
      <c r="DK8" s="39">
        <f>+EOMONTH(DJ8,1)</f>
        <v/>
      </c>
      <c r="DL8" s="39">
        <f>+EOMONTH(DK8,1)</f>
        <v/>
      </c>
      <c r="DM8" s="39">
        <f>+EOMONTH(DL8,1)</f>
        <v/>
      </c>
      <c r="DN8" s="39">
        <f>+EOMONTH(DM8,1)</f>
        <v/>
      </c>
      <c r="DO8" s="39">
        <f>+EOMONTH(DN8,1)</f>
        <v/>
      </c>
      <c r="DP8" s="39">
        <f>+EOMONTH(DO8,1)</f>
        <v/>
      </c>
      <c r="DQ8" s="39">
        <f>+EOMONTH(DP8,1)</f>
        <v/>
      </c>
      <c r="DR8" s="39">
        <f>+EOMONTH(DQ8,1)</f>
        <v/>
      </c>
    </row>
    <row r="9">
      <c r="B9" s="34" t="inlineStr">
        <is>
          <t>$ in thousands</t>
        </is>
      </c>
      <c r="C9" s="34" t="n"/>
      <c r="D9" s="34" t="n"/>
      <c r="E9" s="41" t="n"/>
      <c r="F9" s="42" t="inlineStr">
        <is>
          <t>Actual</t>
        </is>
      </c>
      <c r="G9" s="42" t="inlineStr">
        <is>
          <t>Actual</t>
        </is>
      </c>
      <c r="H9" s="42" t="inlineStr">
        <is>
          <t>Actual</t>
        </is>
      </c>
      <c r="I9" s="42" t="inlineStr">
        <is>
          <t>Budget</t>
        </is>
      </c>
      <c r="J9" s="42" t="inlineStr">
        <is>
          <t>Projection</t>
        </is>
      </c>
      <c r="K9" s="42" t="inlineStr">
        <is>
          <t>Projection</t>
        </is>
      </c>
      <c r="L9" s="42" t="inlineStr">
        <is>
          <t>Projection</t>
        </is>
      </c>
      <c r="M9" s="42" t="inlineStr">
        <is>
          <t>Projection</t>
        </is>
      </c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inlineStr">
        <is>
          <t>Actual</t>
        </is>
      </c>
      <c r="AB9" s="42" t="inlineStr">
        <is>
          <t>Actual</t>
        </is>
      </c>
      <c r="AC9" s="42" t="inlineStr">
        <is>
          <t>Actual</t>
        </is>
      </c>
      <c r="AD9" s="42" t="inlineStr">
        <is>
          <t>Actual</t>
        </is>
      </c>
      <c r="AE9" s="42" t="inlineStr">
        <is>
          <t>Actual</t>
        </is>
      </c>
      <c r="AF9" s="42" t="inlineStr">
        <is>
          <t>Actual</t>
        </is>
      </c>
      <c r="AG9" s="42" t="inlineStr">
        <is>
          <t>Actual</t>
        </is>
      </c>
      <c r="AH9" s="42" t="inlineStr">
        <is>
          <t>Actual</t>
        </is>
      </c>
      <c r="AI9" s="42" t="inlineStr">
        <is>
          <t>Actual</t>
        </is>
      </c>
      <c r="AJ9" s="42" t="inlineStr">
        <is>
          <t>Actual</t>
        </is>
      </c>
      <c r="AK9" s="42" t="inlineStr">
        <is>
          <t>Actual</t>
        </is>
      </c>
      <c r="AL9" s="42" t="inlineStr">
        <is>
          <t>Actual</t>
        </is>
      </c>
      <c r="AM9" s="42" t="inlineStr">
        <is>
          <t>Actual</t>
        </is>
      </c>
      <c r="AN9" s="42" t="inlineStr">
        <is>
          <t>Actual</t>
        </is>
      </c>
      <c r="AO9" s="42" t="inlineStr">
        <is>
          <t>Actual</t>
        </is>
      </c>
      <c r="AP9" s="42" t="inlineStr">
        <is>
          <t>Actual</t>
        </is>
      </c>
      <c r="AQ9" s="42" t="inlineStr">
        <is>
          <t>Actual</t>
        </is>
      </c>
      <c r="AR9" s="42" t="inlineStr">
        <is>
          <t>Actual</t>
        </is>
      </c>
      <c r="AS9" s="42" t="inlineStr">
        <is>
          <t>Actual</t>
        </is>
      </c>
      <c r="AT9" s="42" t="inlineStr">
        <is>
          <t>Actual</t>
        </is>
      </c>
      <c r="AU9" s="42" t="inlineStr">
        <is>
          <t>Actual</t>
        </is>
      </c>
      <c r="AV9" s="42" t="inlineStr">
        <is>
          <t>Actual</t>
        </is>
      </c>
      <c r="AW9" s="42" t="inlineStr">
        <is>
          <t>Actual</t>
        </is>
      </c>
      <c r="AX9" s="42" t="inlineStr">
        <is>
          <t>Actual</t>
        </is>
      </c>
      <c r="AY9" s="42" t="inlineStr">
        <is>
          <t>Actual</t>
        </is>
      </c>
      <c r="AZ9" s="42" t="inlineStr">
        <is>
          <t>Actual</t>
        </is>
      </c>
      <c r="BA9" s="42" t="inlineStr">
        <is>
          <t>Actual</t>
        </is>
      </c>
      <c r="BB9" s="42" t="inlineStr">
        <is>
          <t>Actual</t>
        </is>
      </c>
      <c r="BC9" s="42" t="inlineStr">
        <is>
          <t>Actual</t>
        </is>
      </c>
      <c r="BD9" s="42" t="inlineStr">
        <is>
          <t>Actual</t>
        </is>
      </c>
      <c r="BE9" s="42" t="inlineStr">
        <is>
          <t>Actual</t>
        </is>
      </c>
      <c r="BF9" s="42" t="inlineStr">
        <is>
          <t>Actual</t>
        </is>
      </c>
      <c r="BG9" s="42" t="inlineStr">
        <is>
          <t>Actual</t>
        </is>
      </c>
      <c r="BH9" s="42" t="inlineStr">
        <is>
          <t>Actual</t>
        </is>
      </c>
      <c r="BI9" s="42" t="inlineStr">
        <is>
          <t>Actual</t>
        </is>
      </c>
      <c r="BJ9" s="42" t="inlineStr">
        <is>
          <t>Actual</t>
        </is>
      </c>
      <c r="BK9" s="42" t="inlineStr">
        <is>
          <t>Actual</t>
        </is>
      </c>
      <c r="BL9" s="42" t="inlineStr">
        <is>
          <t>Actual</t>
        </is>
      </c>
      <c r="BM9" s="42" t="inlineStr">
        <is>
          <t>Actual</t>
        </is>
      </c>
      <c r="BN9" s="42" t="inlineStr">
        <is>
          <t>Budget</t>
        </is>
      </c>
      <c r="BO9" s="42" t="inlineStr">
        <is>
          <t>Budget</t>
        </is>
      </c>
      <c r="BP9" s="42" t="inlineStr">
        <is>
          <t>Budget</t>
        </is>
      </c>
      <c r="BQ9" s="42" t="inlineStr">
        <is>
          <t>Budget</t>
        </is>
      </c>
      <c r="BR9" s="42" t="inlineStr">
        <is>
          <t>Budget</t>
        </is>
      </c>
      <c r="BS9" s="42" t="inlineStr">
        <is>
          <t>Budget</t>
        </is>
      </c>
      <c r="BT9" s="42" t="inlineStr">
        <is>
          <t>Budget</t>
        </is>
      </c>
      <c r="BU9" s="42" t="inlineStr">
        <is>
          <t>Budget</t>
        </is>
      </c>
      <c r="BV9" s="42" t="inlineStr">
        <is>
          <t>Budget</t>
        </is>
      </c>
      <c r="BW9" s="42" t="inlineStr">
        <is>
          <t>Projection</t>
        </is>
      </c>
      <c r="BX9" s="42" t="inlineStr">
        <is>
          <t>Projection</t>
        </is>
      </c>
      <c r="BY9" s="42" t="inlineStr">
        <is>
          <t>Projection</t>
        </is>
      </c>
      <c r="BZ9" s="42" t="inlineStr">
        <is>
          <t>Projection</t>
        </is>
      </c>
      <c r="CA9" s="42" t="inlineStr">
        <is>
          <t>Projection</t>
        </is>
      </c>
      <c r="CB9" s="42" t="inlineStr">
        <is>
          <t>Projection</t>
        </is>
      </c>
      <c r="CC9" s="42" t="inlineStr">
        <is>
          <t>Projection</t>
        </is>
      </c>
      <c r="CD9" s="42" t="inlineStr">
        <is>
          <t>Projection</t>
        </is>
      </c>
      <c r="CE9" s="42" t="inlineStr">
        <is>
          <t>Projection</t>
        </is>
      </c>
      <c r="CF9" s="42" t="inlineStr">
        <is>
          <t>Projection</t>
        </is>
      </c>
      <c r="CG9" s="42" t="inlineStr">
        <is>
          <t>Projection</t>
        </is>
      </c>
      <c r="CH9" s="42" t="inlineStr">
        <is>
          <t>Projection</t>
        </is>
      </c>
      <c r="CI9" s="42" t="inlineStr">
        <is>
          <t>Projection</t>
        </is>
      </c>
      <c r="CJ9" s="42" t="inlineStr">
        <is>
          <t>Projection</t>
        </is>
      </c>
      <c r="CK9" s="42" t="inlineStr">
        <is>
          <t>Projection</t>
        </is>
      </c>
      <c r="CL9" s="42" t="inlineStr">
        <is>
          <t>Projection</t>
        </is>
      </c>
      <c r="CM9" s="42" t="inlineStr">
        <is>
          <t>Projection</t>
        </is>
      </c>
      <c r="CN9" s="42" t="inlineStr">
        <is>
          <t>Projection</t>
        </is>
      </c>
      <c r="CO9" s="42" t="inlineStr">
        <is>
          <t>Projection</t>
        </is>
      </c>
      <c r="CP9" s="42" t="inlineStr">
        <is>
          <t>Projection</t>
        </is>
      </c>
      <c r="CQ9" s="42" t="inlineStr">
        <is>
          <t>Projection</t>
        </is>
      </c>
      <c r="CR9" s="42" t="inlineStr">
        <is>
          <t>Projection</t>
        </is>
      </c>
      <c r="CS9" s="42" t="inlineStr">
        <is>
          <t>Projection</t>
        </is>
      </c>
      <c r="CT9" s="42" t="inlineStr">
        <is>
          <t>Projection</t>
        </is>
      </c>
      <c r="CU9" s="42" t="inlineStr">
        <is>
          <t>Projection</t>
        </is>
      </c>
      <c r="CV9" s="42" t="inlineStr">
        <is>
          <t>Projection</t>
        </is>
      </c>
      <c r="CW9" s="42" t="inlineStr">
        <is>
          <t>Projection</t>
        </is>
      </c>
      <c r="CX9" s="42" t="inlineStr">
        <is>
          <t>Projection</t>
        </is>
      </c>
      <c r="CY9" s="42" t="inlineStr">
        <is>
          <t>Projection</t>
        </is>
      </c>
      <c r="CZ9" s="42" t="inlineStr">
        <is>
          <t>Projection</t>
        </is>
      </c>
      <c r="DA9" s="42" t="inlineStr">
        <is>
          <t>Projection</t>
        </is>
      </c>
      <c r="DB9" s="42" t="inlineStr">
        <is>
          <t>Projection</t>
        </is>
      </c>
      <c r="DC9" s="42" t="inlineStr">
        <is>
          <t>Projection</t>
        </is>
      </c>
      <c r="DD9" s="42" t="inlineStr">
        <is>
          <t>Projection</t>
        </is>
      </c>
      <c r="DE9" s="42" t="inlineStr">
        <is>
          <t>Projection</t>
        </is>
      </c>
      <c r="DF9" s="42" t="inlineStr">
        <is>
          <t>Projection</t>
        </is>
      </c>
      <c r="DG9" s="42" t="inlineStr">
        <is>
          <t>Projection</t>
        </is>
      </c>
      <c r="DH9" s="42" t="inlineStr">
        <is>
          <t>Projection</t>
        </is>
      </c>
      <c r="DI9" s="42" t="inlineStr">
        <is>
          <t>Projection</t>
        </is>
      </c>
      <c r="DJ9" s="42" t="inlineStr">
        <is>
          <t>Projection</t>
        </is>
      </c>
      <c r="DK9" s="42" t="inlineStr">
        <is>
          <t>Projection</t>
        </is>
      </c>
      <c r="DL9" s="42" t="inlineStr">
        <is>
          <t>Projection</t>
        </is>
      </c>
      <c r="DM9" s="42" t="inlineStr">
        <is>
          <t>Projection</t>
        </is>
      </c>
      <c r="DN9" s="42" t="inlineStr">
        <is>
          <t>Projection</t>
        </is>
      </c>
      <c r="DO9" s="42" t="inlineStr">
        <is>
          <t>Projection</t>
        </is>
      </c>
      <c r="DP9" s="42" t="inlineStr">
        <is>
          <t>Projection</t>
        </is>
      </c>
      <c r="DQ9" s="42" t="inlineStr">
        <is>
          <t>Projection</t>
        </is>
      </c>
      <c r="DR9" s="42" t="inlineStr">
        <is>
          <t>Projection</t>
        </is>
      </c>
    </row>
    <row r="10" ht="4.5" customHeight="1"/>
    <row r="11" ht="17.25" customHeight="1">
      <c r="B11" s="44" t="inlineStr">
        <is>
          <t>Headcount(1)</t>
        </is>
      </c>
      <c r="F11" s="110" t="n"/>
      <c r="G11" s="110" t="n"/>
      <c r="H11" s="110" t="n"/>
      <c r="I11" s="110" t="n"/>
      <c r="BN11" s="123" t="n"/>
      <c r="BO11" s="124" t="n"/>
      <c r="BU11" s="125" t="n"/>
      <c r="BV11" s="124" t="n"/>
    </row>
    <row r="12">
      <c r="B12" s="5" t="inlineStr">
        <is>
          <t>Delivery</t>
        </is>
      </c>
      <c r="F12" s="106">
        <f>+F28/F22</f>
        <v/>
      </c>
      <c r="G12" s="106">
        <f>+G28/G22</f>
        <v/>
      </c>
      <c r="H12" s="106">
        <f>+H28/H22</f>
        <v/>
      </c>
      <c r="I12" s="106">
        <f>+I28/I22</f>
        <v/>
      </c>
      <c r="J12" s="106">
        <f>+J28/J22</f>
        <v/>
      </c>
      <c r="K12" s="106">
        <f>+K28/K22</f>
        <v/>
      </c>
      <c r="L12" s="106">
        <f>+L28/L22</f>
        <v/>
      </c>
      <c r="M12" s="106">
        <f>+M28/M22</f>
        <v/>
      </c>
      <c r="AA12" s="126" t="n">
        <v>106</v>
      </c>
      <c r="AB12" s="126" t="n">
        <v>108</v>
      </c>
      <c r="AC12" s="126" t="n">
        <v>111</v>
      </c>
      <c r="AD12" s="126" t="n">
        <v>113</v>
      </c>
      <c r="AE12" s="126" t="n">
        <v>114</v>
      </c>
      <c r="AF12" s="126" t="n">
        <v>122</v>
      </c>
      <c r="AG12" s="126" t="n">
        <v>124</v>
      </c>
      <c r="AH12" s="126" t="n">
        <v>125</v>
      </c>
      <c r="AI12" s="126" t="n">
        <v>126</v>
      </c>
      <c r="AJ12" s="126" t="n">
        <v>133</v>
      </c>
      <c r="AK12" s="126" t="n">
        <v>132</v>
      </c>
      <c r="AL12" s="126" t="n">
        <v>129</v>
      </c>
      <c r="AM12" s="126" t="n">
        <v>127</v>
      </c>
      <c r="AN12" s="126" t="n">
        <v>128</v>
      </c>
      <c r="AO12" s="126" t="n">
        <v>123</v>
      </c>
      <c r="AP12" s="126" t="n">
        <v>122</v>
      </c>
      <c r="AQ12" s="126" t="n">
        <v>122</v>
      </c>
      <c r="AR12" s="126" t="n">
        <v>122</v>
      </c>
      <c r="AS12" s="126" t="n">
        <v>118</v>
      </c>
      <c r="AT12" s="126" t="n">
        <v>116</v>
      </c>
      <c r="AU12" s="126" t="n">
        <v>115</v>
      </c>
      <c r="AV12" s="126" t="n">
        <v>112</v>
      </c>
      <c r="AW12" s="126" t="n">
        <v>109</v>
      </c>
      <c r="AX12" s="126" t="n">
        <v>98</v>
      </c>
      <c r="AY12" s="126" t="n">
        <v>97</v>
      </c>
      <c r="AZ12" s="126" t="n">
        <v>96</v>
      </c>
      <c r="BA12" s="126" t="n">
        <v>97</v>
      </c>
      <c r="BB12" s="126" t="n">
        <v>95</v>
      </c>
      <c r="BC12" s="126" t="n">
        <v>94</v>
      </c>
      <c r="BD12" s="126" t="n">
        <v>94</v>
      </c>
      <c r="BE12" s="126" t="n">
        <v>96</v>
      </c>
      <c r="BF12" s="126" t="n">
        <v>95</v>
      </c>
      <c r="BG12" s="126" t="n">
        <v>88</v>
      </c>
      <c r="BH12" s="126" t="n">
        <v>86</v>
      </c>
      <c r="BI12" s="126" t="n">
        <v>89</v>
      </c>
      <c r="BJ12" s="126" t="n">
        <v>88</v>
      </c>
      <c r="BK12" s="126" t="n">
        <v>92</v>
      </c>
      <c r="BL12" s="126" t="n">
        <v>93</v>
      </c>
      <c r="BM12" s="126" t="n">
        <v>95</v>
      </c>
      <c r="BN12" s="126" t="n">
        <v>97</v>
      </c>
      <c r="BO12" s="126" t="n">
        <v>97</v>
      </c>
      <c r="BP12" s="126" t="n">
        <v>98</v>
      </c>
      <c r="BQ12" s="126" t="n">
        <v>101</v>
      </c>
      <c r="BR12" s="126" t="n">
        <v>102</v>
      </c>
      <c r="BS12" s="126" t="n">
        <v>102</v>
      </c>
      <c r="BT12" s="126" t="n">
        <v>102</v>
      </c>
      <c r="BU12" s="126" t="n">
        <v>102</v>
      </c>
      <c r="BV12" s="126" t="n">
        <v>102</v>
      </c>
      <c r="BW12" s="126" t="n">
        <v>106</v>
      </c>
      <c r="BX12" s="126" t="n">
        <v>107</v>
      </c>
      <c r="BY12" s="126" t="n">
        <v>108</v>
      </c>
      <c r="BZ12" s="126" t="n">
        <v>111</v>
      </c>
      <c r="CA12" s="126" t="n">
        <v>112</v>
      </c>
      <c r="CB12" s="126" t="n">
        <v>113</v>
      </c>
      <c r="CC12" s="126" t="n">
        <v>114</v>
      </c>
      <c r="CD12" s="126" t="n">
        <v>116</v>
      </c>
      <c r="CE12" s="126" t="n">
        <v>117</v>
      </c>
      <c r="CF12" s="126" t="n">
        <v>118</v>
      </c>
      <c r="CG12" s="126" t="n">
        <v>119</v>
      </c>
      <c r="CH12" s="126" t="n">
        <v>120</v>
      </c>
      <c r="CI12" s="127">
        <f>+SUMIFS(Opex_Assumptions!$F12:$M12,Opex_Assumptions!$F$7:$M$7,CI$7)/12+CH12</f>
        <v/>
      </c>
      <c r="CJ12" s="127">
        <f>+SUMIFS(Opex_Assumptions!$F12:$M12,Opex_Assumptions!$F$7:$M$7,CJ$7)/12+CI12</f>
        <v/>
      </c>
      <c r="CK12" s="127">
        <f>+SUMIFS(Opex_Assumptions!$F12:$M12,Opex_Assumptions!$F$7:$M$7,CK$7)/12+CJ12</f>
        <v/>
      </c>
      <c r="CL12" s="127">
        <f>+SUMIFS(Opex_Assumptions!$F12:$M12,Opex_Assumptions!$F$7:$M$7,CL$7)/12+CK12</f>
        <v/>
      </c>
      <c r="CM12" s="127">
        <f>+SUMIFS(Opex_Assumptions!$F12:$M12,Opex_Assumptions!$F$7:$M$7,CM$7)/12+CL12</f>
        <v/>
      </c>
      <c r="CN12" s="127">
        <f>+SUMIFS(Opex_Assumptions!$F12:$M12,Opex_Assumptions!$F$7:$M$7,CN$7)/12+CM12</f>
        <v/>
      </c>
      <c r="CO12" s="127">
        <f>+SUMIFS(Opex_Assumptions!$F12:$M12,Opex_Assumptions!$F$7:$M$7,CO$7)/12+CN12</f>
        <v/>
      </c>
      <c r="CP12" s="127">
        <f>+SUMIFS(Opex_Assumptions!$F12:$M12,Opex_Assumptions!$F$7:$M$7,CP$7)/12+CO12</f>
        <v/>
      </c>
      <c r="CQ12" s="127">
        <f>+SUMIFS(Opex_Assumptions!$F12:$M12,Opex_Assumptions!$F$7:$M$7,CQ$7)/12+CP12</f>
        <v/>
      </c>
      <c r="CR12" s="127">
        <f>+SUMIFS(Opex_Assumptions!$F12:$M12,Opex_Assumptions!$F$7:$M$7,CR$7)/12+CQ12</f>
        <v/>
      </c>
      <c r="CS12" s="127">
        <f>+SUMIFS(Opex_Assumptions!$F12:$M12,Opex_Assumptions!$F$7:$M$7,CS$7)/12+CR12</f>
        <v/>
      </c>
      <c r="CT12" s="127">
        <f>+SUMIFS(Opex_Assumptions!$F12:$M12,Opex_Assumptions!$F$7:$M$7,CT$7)/12+CS12</f>
        <v/>
      </c>
      <c r="CU12" s="127">
        <f>+SUMIFS(Opex_Assumptions!$F12:$M12,Opex_Assumptions!$F$7:$M$7,CU$7)/12+CT12</f>
        <v/>
      </c>
      <c r="CV12" s="127">
        <f>+SUMIFS(Opex_Assumptions!$F12:$M12,Opex_Assumptions!$F$7:$M$7,CV$7)/12+CU12</f>
        <v/>
      </c>
      <c r="CW12" s="127">
        <f>+SUMIFS(Opex_Assumptions!$F12:$M12,Opex_Assumptions!$F$7:$M$7,CW$7)/12+CV12</f>
        <v/>
      </c>
      <c r="CX12" s="127">
        <f>+SUMIFS(Opex_Assumptions!$F12:$M12,Opex_Assumptions!$F$7:$M$7,CX$7)/12+CW12</f>
        <v/>
      </c>
      <c r="CY12" s="127">
        <f>+SUMIFS(Opex_Assumptions!$F12:$M12,Opex_Assumptions!$F$7:$M$7,CY$7)/12+CX12</f>
        <v/>
      </c>
      <c r="CZ12" s="127">
        <f>+SUMIFS(Opex_Assumptions!$F12:$M12,Opex_Assumptions!$F$7:$M$7,CZ$7)/12+CY12</f>
        <v/>
      </c>
      <c r="DA12" s="127">
        <f>+SUMIFS(Opex_Assumptions!$F12:$M12,Opex_Assumptions!$F$7:$M$7,DA$7)/12+CZ12</f>
        <v/>
      </c>
      <c r="DB12" s="127">
        <f>+SUMIFS(Opex_Assumptions!$F12:$M12,Opex_Assumptions!$F$7:$M$7,DB$7)/12+DA12</f>
        <v/>
      </c>
      <c r="DC12" s="127">
        <f>+SUMIFS(Opex_Assumptions!$F12:$M12,Opex_Assumptions!$F$7:$M$7,DC$7)/12+DB12</f>
        <v/>
      </c>
      <c r="DD12" s="127">
        <f>+SUMIFS(Opex_Assumptions!$F12:$M12,Opex_Assumptions!$F$7:$M$7,DD$7)/12+DC12</f>
        <v/>
      </c>
      <c r="DE12" s="127">
        <f>+SUMIFS(Opex_Assumptions!$F12:$M12,Opex_Assumptions!$F$7:$M$7,DE$7)/12+DD12</f>
        <v/>
      </c>
      <c r="DF12" s="127">
        <f>+SUMIFS(Opex_Assumptions!$F12:$M12,Opex_Assumptions!$F$7:$M$7,DF$7)/12+DE12</f>
        <v/>
      </c>
      <c r="DG12" s="127">
        <f>+SUMIFS(Opex_Assumptions!$F12:$M12,Opex_Assumptions!$F$7:$M$7,DG$7)/12+DF12</f>
        <v/>
      </c>
      <c r="DH12" s="127">
        <f>+SUMIFS(Opex_Assumptions!$F12:$M12,Opex_Assumptions!$F$7:$M$7,DH$7)/12+DG12</f>
        <v/>
      </c>
      <c r="DI12" s="127">
        <f>+SUMIFS(Opex_Assumptions!$F12:$M12,Opex_Assumptions!$F$7:$M$7,DI$7)/12+DH12</f>
        <v/>
      </c>
      <c r="DJ12" s="127">
        <f>+SUMIFS(Opex_Assumptions!$F12:$M12,Opex_Assumptions!$F$7:$M$7,DJ$7)/12+DI12</f>
        <v/>
      </c>
      <c r="DK12" s="127">
        <f>+SUMIFS(Opex_Assumptions!$F12:$M12,Opex_Assumptions!$F$7:$M$7,DK$7)/12+DJ12</f>
        <v/>
      </c>
      <c r="DL12" s="127">
        <f>+SUMIFS(Opex_Assumptions!$F12:$M12,Opex_Assumptions!$F$7:$M$7,DL$7)/12+DK12</f>
        <v/>
      </c>
      <c r="DM12" s="127">
        <f>+SUMIFS(Opex_Assumptions!$F12:$M12,Opex_Assumptions!$F$7:$M$7,DM$7)/12+DL12</f>
        <v/>
      </c>
      <c r="DN12" s="127">
        <f>+SUMIFS(Opex_Assumptions!$F12:$M12,Opex_Assumptions!$F$7:$M$7,DN$7)/12+DM12</f>
        <v/>
      </c>
      <c r="DO12" s="127">
        <f>+SUMIFS(Opex_Assumptions!$F12:$M12,Opex_Assumptions!$F$7:$M$7,DO$7)/12+DN12</f>
        <v/>
      </c>
      <c r="DP12" s="127">
        <f>+SUMIFS(Opex_Assumptions!$F12:$M12,Opex_Assumptions!$F$7:$M$7,DP$7)/12+DO12</f>
        <v/>
      </c>
      <c r="DQ12" s="127">
        <f>+SUMIFS(Opex_Assumptions!$F12:$M12,Opex_Assumptions!$F$7:$M$7,DQ$7)/12+DP12</f>
        <v/>
      </c>
      <c r="DR12" s="127">
        <f>+SUMIFS(Opex_Assumptions!$F12:$M12,Opex_Assumptions!$F$7:$M$7,DR$7)/12+DQ12</f>
        <v/>
      </c>
    </row>
    <row r="13">
      <c r="B13" s="5" t="inlineStr">
        <is>
          <t>Sales &amp; CS</t>
        </is>
      </c>
      <c r="F13" s="106">
        <f>+F29/F23</f>
        <v/>
      </c>
      <c r="G13" s="106">
        <f>+G29/G23</f>
        <v/>
      </c>
      <c r="H13" s="106">
        <f>+H29/H23</f>
        <v/>
      </c>
      <c r="I13" s="106">
        <f>+I29/I23</f>
        <v/>
      </c>
      <c r="J13" s="106">
        <f>+J29/J23</f>
        <v/>
      </c>
      <c r="K13" s="106">
        <f>+K29/K23</f>
        <v/>
      </c>
      <c r="L13" s="106">
        <f>+L29/L23</f>
        <v/>
      </c>
      <c r="M13" s="106">
        <f>+M29/M23</f>
        <v/>
      </c>
      <c r="AA13" s="126" t="n">
        <v>9</v>
      </c>
      <c r="AB13" s="126" t="n">
        <v>9</v>
      </c>
      <c r="AC13" s="126" t="n">
        <v>9</v>
      </c>
      <c r="AD13" s="126" t="n">
        <v>10</v>
      </c>
      <c r="AE13" s="126" t="n">
        <v>9</v>
      </c>
      <c r="AF13" s="126" t="n">
        <v>8</v>
      </c>
      <c r="AG13" s="126" t="n">
        <v>10</v>
      </c>
      <c r="AH13" s="126" t="n">
        <v>10</v>
      </c>
      <c r="AI13" s="126" t="n">
        <v>10</v>
      </c>
      <c r="AJ13" s="126" t="n">
        <v>11</v>
      </c>
      <c r="AK13" s="126" t="n">
        <v>10</v>
      </c>
      <c r="AL13" s="126" t="n">
        <v>8</v>
      </c>
      <c r="AM13" s="126" t="n">
        <v>9</v>
      </c>
      <c r="AN13" s="126" t="n">
        <v>9</v>
      </c>
      <c r="AO13" s="126" t="n">
        <v>9</v>
      </c>
      <c r="AP13" s="126" t="n">
        <v>9</v>
      </c>
      <c r="AQ13" s="126" t="n">
        <v>9</v>
      </c>
      <c r="AR13" s="126" t="n">
        <v>9</v>
      </c>
      <c r="AS13" s="126" t="n">
        <v>9</v>
      </c>
      <c r="AT13" s="126" t="n">
        <v>9</v>
      </c>
      <c r="AU13" s="126" t="n">
        <v>9</v>
      </c>
      <c r="AV13" s="126" t="n">
        <v>8</v>
      </c>
      <c r="AW13" s="126" t="n">
        <v>9</v>
      </c>
      <c r="AX13" s="126" t="n">
        <v>8</v>
      </c>
      <c r="AY13" s="126" t="n">
        <v>8</v>
      </c>
      <c r="AZ13" s="126" t="n">
        <v>7</v>
      </c>
      <c r="BA13" s="126" t="n">
        <v>7</v>
      </c>
      <c r="BB13" s="126" t="n">
        <v>7</v>
      </c>
      <c r="BC13" s="126" t="n">
        <v>7</v>
      </c>
      <c r="BD13" s="126" t="n">
        <v>7</v>
      </c>
      <c r="BE13" s="126" t="n">
        <v>7</v>
      </c>
      <c r="BF13" s="126" t="n">
        <v>7</v>
      </c>
      <c r="BG13" s="126" t="n">
        <v>7</v>
      </c>
      <c r="BH13" s="126" t="n">
        <v>9</v>
      </c>
      <c r="BI13" s="126" t="n">
        <v>10</v>
      </c>
      <c r="BJ13" s="126" t="n">
        <v>10</v>
      </c>
      <c r="BK13" s="126" t="n">
        <v>10</v>
      </c>
      <c r="BL13" s="126" t="n">
        <v>10</v>
      </c>
      <c r="BM13" s="126" t="n">
        <v>10</v>
      </c>
      <c r="BN13" s="126" t="n">
        <v>8</v>
      </c>
      <c r="BO13" s="126" t="n">
        <v>8</v>
      </c>
      <c r="BP13" s="126" t="n">
        <v>8</v>
      </c>
      <c r="BQ13" s="126" t="n">
        <v>8</v>
      </c>
      <c r="BR13" s="126" t="n">
        <v>8</v>
      </c>
      <c r="BS13" s="126" t="n">
        <v>8</v>
      </c>
      <c r="BT13" s="126" t="n">
        <v>8</v>
      </c>
      <c r="BU13" s="126" t="n">
        <v>8</v>
      </c>
      <c r="BV13" s="126" t="n">
        <v>8</v>
      </c>
      <c r="BW13" s="126" t="n">
        <v>9</v>
      </c>
      <c r="BX13" s="126" t="n">
        <v>9</v>
      </c>
      <c r="BY13" s="126" t="n">
        <v>10</v>
      </c>
      <c r="BZ13" s="126" t="n">
        <v>10</v>
      </c>
      <c r="CA13" s="126" t="n">
        <v>10</v>
      </c>
      <c r="CB13" s="126" t="n">
        <v>10</v>
      </c>
      <c r="CC13" s="126" t="n">
        <v>10</v>
      </c>
      <c r="CD13" s="126" t="n">
        <v>10</v>
      </c>
      <c r="CE13" s="126" t="n">
        <v>10</v>
      </c>
      <c r="CF13" s="126" t="n">
        <v>10</v>
      </c>
      <c r="CG13" s="126" t="n">
        <v>10</v>
      </c>
      <c r="CH13" s="126" t="n">
        <v>10</v>
      </c>
      <c r="CI13" s="127">
        <f>+SUMIFS(Opex_Assumptions!$F13:$M13,Opex_Assumptions!$F$7:$M$7,CI$7)/12+CH13</f>
        <v/>
      </c>
      <c r="CJ13" s="127">
        <f>+SUMIFS(Opex_Assumptions!$F13:$M13,Opex_Assumptions!$F$7:$M$7,CJ$7)/12+CI13</f>
        <v/>
      </c>
      <c r="CK13" s="127">
        <f>+SUMIFS(Opex_Assumptions!$F13:$M13,Opex_Assumptions!$F$7:$M$7,CK$7)/12+CJ13</f>
        <v/>
      </c>
      <c r="CL13" s="127">
        <f>+SUMIFS(Opex_Assumptions!$F13:$M13,Opex_Assumptions!$F$7:$M$7,CL$7)/12+CK13</f>
        <v/>
      </c>
      <c r="CM13" s="127">
        <f>+SUMIFS(Opex_Assumptions!$F13:$M13,Opex_Assumptions!$F$7:$M$7,CM$7)/12+CL13</f>
        <v/>
      </c>
      <c r="CN13" s="127">
        <f>+SUMIFS(Opex_Assumptions!$F13:$M13,Opex_Assumptions!$F$7:$M$7,CN$7)/12+CM13</f>
        <v/>
      </c>
      <c r="CO13" s="127">
        <f>+SUMIFS(Opex_Assumptions!$F13:$M13,Opex_Assumptions!$F$7:$M$7,CO$7)/12+CN13</f>
        <v/>
      </c>
      <c r="CP13" s="127">
        <f>+SUMIFS(Opex_Assumptions!$F13:$M13,Opex_Assumptions!$F$7:$M$7,CP$7)/12+CO13</f>
        <v/>
      </c>
      <c r="CQ13" s="127">
        <f>+SUMIFS(Opex_Assumptions!$F13:$M13,Opex_Assumptions!$F$7:$M$7,CQ$7)/12+CP13</f>
        <v/>
      </c>
      <c r="CR13" s="127">
        <f>+SUMIFS(Opex_Assumptions!$F13:$M13,Opex_Assumptions!$F$7:$M$7,CR$7)/12+CQ13</f>
        <v/>
      </c>
      <c r="CS13" s="127">
        <f>+SUMIFS(Opex_Assumptions!$F13:$M13,Opex_Assumptions!$F$7:$M$7,CS$7)/12+CR13</f>
        <v/>
      </c>
      <c r="CT13" s="127">
        <f>+SUMIFS(Opex_Assumptions!$F13:$M13,Opex_Assumptions!$F$7:$M$7,CT$7)/12+CS13</f>
        <v/>
      </c>
      <c r="CU13" s="127">
        <f>+SUMIFS(Opex_Assumptions!$F13:$M13,Opex_Assumptions!$F$7:$M$7,CU$7)/12+CT13</f>
        <v/>
      </c>
      <c r="CV13" s="127">
        <f>+SUMIFS(Opex_Assumptions!$F13:$M13,Opex_Assumptions!$F$7:$M$7,CV$7)/12+CU13</f>
        <v/>
      </c>
      <c r="CW13" s="127">
        <f>+SUMIFS(Opex_Assumptions!$F13:$M13,Opex_Assumptions!$F$7:$M$7,CW$7)/12+CV13</f>
        <v/>
      </c>
      <c r="CX13" s="127">
        <f>+SUMIFS(Opex_Assumptions!$F13:$M13,Opex_Assumptions!$F$7:$M$7,CX$7)/12+CW13</f>
        <v/>
      </c>
      <c r="CY13" s="127">
        <f>+SUMIFS(Opex_Assumptions!$F13:$M13,Opex_Assumptions!$F$7:$M$7,CY$7)/12+CX13</f>
        <v/>
      </c>
      <c r="CZ13" s="127">
        <f>+SUMIFS(Opex_Assumptions!$F13:$M13,Opex_Assumptions!$F$7:$M$7,CZ$7)/12+CY13</f>
        <v/>
      </c>
      <c r="DA13" s="127">
        <f>+SUMIFS(Opex_Assumptions!$F13:$M13,Opex_Assumptions!$F$7:$M$7,DA$7)/12+CZ13</f>
        <v/>
      </c>
      <c r="DB13" s="127">
        <f>+SUMIFS(Opex_Assumptions!$F13:$M13,Opex_Assumptions!$F$7:$M$7,DB$7)/12+DA13</f>
        <v/>
      </c>
      <c r="DC13" s="127">
        <f>+SUMIFS(Opex_Assumptions!$F13:$M13,Opex_Assumptions!$F$7:$M$7,DC$7)/12+DB13</f>
        <v/>
      </c>
      <c r="DD13" s="127">
        <f>+SUMIFS(Opex_Assumptions!$F13:$M13,Opex_Assumptions!$F$7:$M$7,DD$7)/12+DC13</f>
        <v/>
      </c>
      <c r="DE13" s="127">
        <f>+SUMIFS(Opex_Assumptions!$F13:$M13,Opex_Assumptions!$F$7:$M$7,DE$7)/12+DD13</f>
        <v/>
      </c>
      <c r="DF13" s="127">
        <f>+SUMIFS(Opex_Assumptions!$F13:$M13,Opex_Assumptions!$F$7:$M$7,DF$7)/12+DE13</f>
        <v/>
      </c>
      <c r="DG13" s="127">
        <f>+SUMIFS(Opex_Assumptions!$F13:$M13,Opex_Assumptions!$F$7:$M$7,DG$7)/12+DF13</f>
        <v/>
      </c>
      <c r="DH13" s="127">
        <f>+SUMIFS(Opex_Assumptions!$F13:$M13,Opex_Assumptions!$F$7:$M$7,DH$7)/12+DG13</f>
        <v/>
      </c>
      <c r="DI13" s="127">
        <f>+SUMIFS(Opex_Assumptions!$F13:$M13,Opex_Assumptions!$F$7:$M$7,DI$7)/12+DH13</f>
        <v/>
      </c>
      <c r="DJ13" s="127">
        <f>+SUMIFS(Opex_Assumptions!$F13:$M13,Opex_Assumptions!$F$7:$M$7,DJ$7)/12+DI13</f>
        <v/>
      </c>
      <c r="DK13" s="127">
        <f>+SUMIFS(Opex_Assumptions!$F13:$M13,Opex_Assumptions!$F$7:$M$7,DK$7)/12+DJ13</f>
        <v/>
      </c>
      <c r="DL13" s="127">
        <f>+SUMIFS(Opex_Assumptions!$F13:$M13,Opex_Assumptions!$F$7:$M$7,DL$7)/12+DK13</f>
        <v/>
      </c>
      <c r="DM13" s="127">
        <f>+SUMIFS(Opex_Assumptions!$F13:$M13,Opex_Assumptions!$F$7:$M$7,DM$7)/12+DL13</f>
        <v/>
      </c>
      <c r="DN13" s="127">
        <f>+SUMIFS(Opex_Assumptions!$F13:$M13,Opex_Assumptions!$F$7:$M$7,DN$7)/12+DM13</f>
        <v/>
      </c>
      <c r="DO13" s="127">
        <f>+SUMIFS(Opex_Assumptions!$F13:$M13,Opex_Assumptions!$F$7:$M$7,DO$7)/12+DN13</f>
        <v/>
      </c>
      <c r="DP13" s="127">
        <f>+SUMIFS(Opex_Assumptions!$F13:$M13,Opex_Assumptions!$F$7:$M$7,DP$7)/12+DO13</f>
        <v/>
      </c>
      <c r="DQ13" s="127">
        <f>+SUMIFS(Opex_Assumptions!$F13:$M13,Opex_Assumptions!$F$7:$M$7,DQ$7)/12+DP13</f>
        <v/>
      </c>
      <c r="DR13" s="127">
        <f>+SUMIFS(Opex_Assumptions!$F13:$M13,Opex_Assumptions!$F$7:$M$7,DR$7)/12+DQ13</f>
        <v/>
      </c>
    </row>
    <row r="14">
      <c r="B14" s="5" t="inlineStr">
        <is>
          <t>Executive</t>
        </is>
      </c>
      <c r="F14" s="106">
        <f>+F30/F24</f>
        <v/>
      </c>
      <c r="G14" s="106">
        <f>+G30/G24</f>
        <v/>
      </c>
      <c r="H14" s="106">
        <f>+H30/H24</f>
        <v/>
      </c>
      <c r="I14" s="106">
        <f>+I30/I24</f>
        <v/>
      </c>
      <c r="J14" s="106">
        <f>+J30/J24</f>
        <v/>
      </c>
      <c r="K14" s="106">
        <f>+K30/K24</f>
        <v/>
      </c>
      <c r="L14" s="106">
        <f>+L30/L24</f>
        <v/>
      </c>
      <c r="M14" s="106">
        <f>+M30/M24</f>
        <v/>
      </c>
      <c r="AA14" s="126" t="n">
        <v>8</v>
      </c>
      <c r="AB14" s="126" t="n">
        <v>9</v>
      </c>
      <c r="AC14" s="126" t="n">
        <v>9</v>
      </c>
      <c r="AD14" s="126" t="n">
        <v>8</v>
      </c>
      <c r="AE14" s="126" t="n">
        <v>8</v>
      </c>
      <c r="AF14" s="126" t="n">
        <v>8</v>
      </c>
      <c r="AG14" s="126" t="n">
        <v>8</v>
      </c>
      <c r="AH14" s="126" t="n">
        <v>8</v>
      </c>
      <c r="AI14" s="126" t="n">
        <v>8</v>
      </c>
      <c r="AJ14" s="126" t="n">
        <v>8</v>
      </c>
      <c r="AK14" s="126" t="n">
        <v>8</v>
      </c>
      <c r="AL14" s="126" t="n">
        <v>8</v>
      </c>
      <c r="AM14" s="126" t="n">
        <v>8</v>
      </c>
      <c r="AN14" s="126" t="n">
        <v>8</v>
      </c>
      <c r="AO14" s="126" t="n">
        <v>8</v>
      </c>
      <c r="AP14" s="126" t="n">
        <v>8</v>
      </c>
      <c r="AQ14" s="126" t="n">
        <v>8</v>
      </c>
      <c r="AR14" s="126" t="n">
        <v>8</v>
      </c>
      <c r="AS14" s="126" t="n">
        <v>8</v>
      </c>
      <c r="AT14" s="126" t="n">
        <v>8</v>
      </c>
      <c r="AU14" s="126" t="n">
        <v>8</v>
      </c>
      <c r="AV14" s="126" t="n">
        <v>8</v>
      </c>
      <c r="AW14" s="126" t="n">
        <v>8</v>
      </c>
      <c r="AX14" s="126" t="n">
        <v>8</v>
      </c>
      <c r="AY14" s="126" t="n">
        <v>8</v>
      </c>
      <c r="AZ14" s="126" t="n">
        <v>8</v>
      </c>
      <c r="BA14" s="126" t="n">
        <v>7</v>
      </c>
      <c r="BB14" s="126" t="n">
        <v>7</v>
      </c>
      <c r="BC14" s="126" t="n">
        <v>7</v>
      </c>
      <c r="BD14" s="126" t="n">
        <v>7</v>
      </c>
      <c r="BE14" s="126" t="n">
        <v>7</v>
      </c>
      <c r="BF14" s="126" t="n">
        <v>7</v>
      </c>
      <c r="BG14" s="126" t="n">
        <v>7</v>
      </c>
      <c r="BH14" s="126" t="n">
        <v>7</v>
      </c>
      <c r="BI14" s="126" t="n">
        <v>7</v>
      </c>
      <c r="BJ14" s="126" t="n">
        <v>7</v>
      </c>
      <c r="BK14" s="126" t="n">
        <v>7</v>
      </c>
      <c r="BL14" s="126" t="n">
        <v>7</v>
      </c>
      <c r="BM14" s="126" t="n">
        <v>7</v>
      </c>
      <c r="BN14" s="126" t="n">
        <v>7</v>
      </c>
      <c r="BO14" s="126" t="n">
        <v>7</v>
      </c>
      <c r="BP14" s="126" t="n">
        <v>7</v>
      </c>
      <c r="BQ14" s="126" t="n">
        <v>7</v>
      </c>
      <c r="BR14" s="126" t="n">
        <v>7</v>
      </c>
      <c r="BS14" s="126" t="n">
        <v>7</v>
      </c>
      <c r="BT14" s="126" t="n">
        <v>7</v>
      </c>
      <c r="BU14" s="126" t="n">
        <v>7</v>
      </c>
      <c r="BV14" s="126" t="n">
        <v>7</v>
      </c>
      <c r="BW14" s="126" t="n">
        <v>7</v>
      </c>
      <c r="BX14" s="126" t="n">
        <v>7</v>
      </c>
      <c r="BY14" s="126" t="n">
        <v>7</v>
      </c>
      <c r="BZ14" s="126" t="n">
        <v>7</v>
      </c>
      <c r="CA14" s="126" t="n">
        <v>7</v>
      </c>
      <c r="CB14" s="126" t="n">
        <v>7</v>
      </c>
      <c r="CC14" s="126" t="n">
        <v>7</v>
      </c>
      <c r="CD14" s="126" t="n">
        <v>7</v>
      </c>
      <c r="CE14" s="126" t="n">
        <v>7</v>
      </c>
      <c r="CF14" s="126" t="n">
        <v>7</v>
      </c>
      <c r="CG14" s="126" t="n">
        <v>7</v>
      </c>
      <c r="CH14" s="126" t="n">
        <v>7</v>
      </c>
      <c r="CI14" s="127">
        <f>+SUMIFS(Opex_Assumptions!$F14:$M14,Opex_Assumptions!$F$7:$M$7,CI$7)/12+CH14</f>
        <v/>
      </c>
      <c r="CJ14" s="127">
        <f>+SUMIFS(Opex_Assumptions!$F14:$M14,Opex_Assumptions!$F$7:$M$7,CJ$7)/12+CI14</f>
        <v/>
      </c>
      <c r="CK14" s="127">
        <f>+SUMIFS(Opex_Assumptions!$F14:$M14,Opex_Assumptions!$F$7:$M$7,CK$7)/12+CJ14</f>
        <v/>
      </c>
      <c r="CL14" s="127">
        <f>+SUMIFS(Opex_Assumptions!$F14:$M14,Opex_Assumptions!$F$7:$M$7,CL$7)/12+CK14</f>
        <v/>
      </c>
      <c r="CM14" s="127">
        <f>+SUMIFS(Opex_Assumptions!$F14:$M14,Opex_Assumptions!$F$7:$M$7,CM$7)/12+CL14</f>
        <v/>
      </c>
      <c r="CN14" s="127">
        <f>+SUMIFS(Opex_Assumptions!$F14:$M14,Opex_Assumptions!$F$7:$M$7,CN$7)/12+CM14</f>
        <v/>
      </c>
      <c r="CO14" s="127">
        <f>+SUMIFS(Opex_Assumptions!$F14:$M14,Opex_Assumptions!$F$7:$M$7,CO$7)/12+CN14</f>
        <v/>
      </c>
      <c r="CP14" s="127">
        <f>+SUMIFS(Opex_Assumptions!$F14:$M14,Opex_Assumptions!$F$7:$M$7,CP$7)/12+CO14</f>
        <v/>
      </c>
      <c r="CQ14" s="127">
        <f>+SUMIFS(Opex_Assumptions!$F14:$M14,Opex_Assumptions!$F$7:$M$7,CQ$7)/12+CP14</f>
        <v/>
      </c>
      <c r="CR14" s="127">
        <f>+SUMIFS(Opex_Assumptions!$F14:$M14,Opex_Assumptions!$F$7:$M$7,CR$7)/12+CQ14</f>
        <v/>
      </c>
      <c r="CS14" s="127">
        <f>+SUMIFS(Opex_Assumptions!$F14:$M14,Opex_Assumptions!$F$7:$M$7,CS$7)/12+CR14</f>
        <v/>
      </c>
      <c r="CT14" s="127">
        <f>+SUMIFS(Opex_Assumptions!$F14:$M14,Opex_Assumptions!$F$7:$M$7,CT$7)/12+CS14</f>
        <v/>
      </c>
      <c r="CU14" s="127">
        <f>+SUMIFS(Opex_Assumptions!$F14:$M14,Opex_Assumptions!$F$7:$M$7,CU$7)/12+CT14</f>
        <v/>
      </c>
      <c r="CV14" s="127">
        <f>+SUMIFS(Opex_Assumptions!$F14:$M14,Opex_Assumptions!$F$7:$M$7,CV$7)/12+CU14</f>
        <v/>
      </c>
      <c r="CW14" s="127">
        <f>+SUMIFS(Opex_Assumptions!$F14:$M14,Opex_Assumptions!$F$7:$M$7,CW$7)/12+CV14</f>
        <v/>
      </c>
      <c r="CX14" s="127">
        <f>+SUMIFS(Opex_Assumptions!$F14:$M14,Opex_Assumptions!$F$7:$M$7,CX$7)/12+CW14</f>
        <v/>
      </c>
      <c r="CY14" s="127">
        <f>+SUMIFS(Opex_Assumptions!$F14:$M14,Opex_Assumptions!$F$7:$M$7,CY$7)/12+CX14</f>
        <v/>
      </c>
      <c r="CZ14" s="127">
        <f>+SUMIFS(Opex_Assumptions!$F14:$M14,Opex_Assumptions!$F$7:$M$7,CZ$7)/12+CY14</f>
        <v/>
      </c>
      <c r="DA14" s="127">
        <f>+SUMIFS(Opex_Assumptions!$F14:$M14,Opex_Assumptions!$F$7:$M$7,DA$7)/12+CZ14</f>
        <v/>
      </c>
      <c r="DB14" s="127">
        <f>+SUMIFS(Opex_Assumptions!$F14:$M14,Opex_Assumptions!$F$7:$M$7,DB$7)/12+DA14</f>
        <v/>
      </c>
      <c r="DC14" s="127">
        <f>+SUMIFS(Opex_Assumptions!$F14:$M14,Opex_Assumptions!$F$7:$M$7,DC$7)/12+DB14</f>
        <v/>
      </c>
      <c r="DD14" s="127">
        <f>+SUMIFS(Opex_Assumptions!$F14:$M14,Opex_Assumptions!$F$7:$M$7,DD$7)/12+DC14</f>
        <v/>
      </c>
      <c r="DE14" s="127">
        <f>+SUMIFS(Opex_Assumptions!$F14:$M14,Opex_Assumptions!$F$7:$M$7,DE$7)/12+DD14</f>
        <v/>
      </c>
      <c r="DF14" s="127">
        <f>+SUMIFS(Opex_Assumptions!$F14:$M14,Opex_Assumptions!$F$7:$M$7,DF$7)/12+DE14</f>
        <v/>
      </c>
      <c r="DG14" s="127">
        <f>+SUMIFS(Opex_Assumptions!$F14:$M14,Opex_Assumptions!$F$7:$M$7,DG$7)/12+DF14</f>
        <v/>
      </c>
      <c r="DH14" s="127">
        <f>+SUMIFS(Opex_Assumptions!$F14:$M14,Opex_Assumptions!$F$7:$M$7,DH$7)/12+DG14</f>
        <v/>
      </c>
      <c r="DI14" s="127">
        <f>+SUMIFS(Opex_Assumptions!$F14:$M14,Opex_Assumptions!$F$7:$M$7,DI$7)/12+DH14</f>
        <v/>
      </c>
      <c r="DJ14" s="127">
        <f>+SUMIFS(Opex_Assumptions!$F14:$M14,Opex_Assumptions!$F$7:$M$7,DJ$7)/12+DI14</f>
        <v/>
      </c>
      <c r="DK14" s="127">
        <f>+SUMIFS(Opex_Assumptions!$F14:$M14,Opex_Assumptions!$F$7:$M$7,DK$7)/12+DJ14</f>
        <v/>
      </c>
      <c r="DL14" s="127">
        <f>+SUMIFS(Opex_Assumptions!$F14:$M14,Opex_Assumptions!$F$7:$M$7,DL$7)/12+DK14</f>
        <v/>
      </c>
      <c r="DM14" s="127">
        <f>+SUMIFS(Opex_Assumptions!$F14:$M14,Opex_Assumptions!$F$7:$M$7,DM$7)/12+DL14</f>
        <v/>
      </c>
      <c r="DN14" s="127">
        <f>+SUMIFS(Opex_Assumptions!$F14:$M14,Opex_Assumptions!$F$7:$M$7,DN$7)/12+DM14</f>
        <v/>
      </c>
      <c r="DO14" s="127">
        <f>+SUMIFS(Opex_Assumptions!$F14:$M14,Opex_Assumptions!$F$7:$M$7,DO$7)/12+DN14</f>
        <v/>
      </c>
      <c r="DP14" s="127">
        <f>+SUMIFS(Opex_Assumptions!$F14:$M14,Opex_Assumptions!$F$7:$M$7,DP$7)/12+DO14</f>
        <v/>
      </c>
      <c r="DQ14" s="127">
        <f>+SUMIFS(Opex_Assumptions!$F14:$M14,Opex_Assumptions!$F$7:$M$7,DQ$7)/12+DP14</f>
        <v/>
      </c>
      <c r="DR14" s="127">
        <f>+SUMIFS(Opex_Assumptions!$F14:$M14,Opex_Assumptions!$F$7:$M$7,DR$7)/12+DQ14</f>
        <v/>
      </c>
    </row>
    <row r="15">
      <c r="B15" s="5" t="inlineStr">
        <is>
          <t>Admin</t>
        </is>
      </c>
      <c r="F15" s="106">
        <f>+F31/F25</f>
        <v/>
      </c>
      <c r="G15" s="106">
        <f>+G31/G25</f>
        <v/>
      </c>
      <c r="H15" s="106">
        <f>+H31/H25</f>
        <v/>
      </c>
      <c r="I15" s="106">
        <f>+I31/I25</f>
        <v/>
      </c>
      <c r="J15" s="106">
        <f>+J31/J25</f>
        <v/>
      </c>
      <c r="K15" s="106">
        <f>+K31/K25</f>
        <v/>
      </c>
      <c r="L15" s="106">
        <f>+L31/L25</f>
        <v/>
      </c>
      <c r="M15" s="106">
        <f>+M31/M25</f>
        <v/>
      </c>
      <c r="AA15" s="126" t="n">
        <v>11</v>
      </c>
      <c r="AB15" s="126" t="n">
        <v>11</v>
      </c>
      <c r="AC15" s="126" t="n">
        <v>11</v>
      </c>
      <c r="AD15" s="126" t="n">
        <v>12</v>
      </c>
      <c r="AE15" s="126" t="n">
        <v>10</v>
      </c>
      <c r="AF15" s="126" t="n">
        <v>10</v>
      </c>
      <c r="AG15" s="126" t="n">
        <v>12</v>
      </c>
      <c r="AH15" s="126" t="n">
        <v>13</v>
      </c>
      <c r="AI15" s="126" t="n">
        <v>12</v>
      </c>
      <c r="AJ15" s="126" t="n">
        <v>14</v>
      </c>
      <c r="AK15" s="126" t="n">
        <v>14</v>
      </c>
      <c r="AL15" s="126" t="n">
        <v>14</v>
      </c>
      <c r="AM15" s="126" t="n">
        <v>15</v>
      </c>
      <c r="AN15" s="126" t="n">
        <v>14</v>
      </c>
      <c r="AO15" s="126" t="n">
        <v>14</v>
      </c>
      <c r="AP15" s="126" t="n">
        <v>13</v>
      </c>
      <c r="AQ15" s="126" t="n">
        <v>13</v>
      </c>
      <c r="AR15" s="126" t="n">
        <v>13</v>
      </c>
      <c r="AS15" s="126" t="n">
        <v>13</v>
      </c>
      <c r="AT15" s="126" t="n">
        <v>13</v>
      </c>
      <c r="AU15" s="126" t="n">
        <v>13</v>
      </c>
      <c r="AV15" s="126" t="n">
        <v>14</v>
      </c>
      <c r="AW15" s="126" t="n">
        <v>14</v>
      </c>
      <c r="AX15" s="126" t="n">
        <v>14</v>
      </c>
      <c r="AY15" s="126" t="n">
        <v>12</v>
      </c>
      <c r="AZ15" s="126" t="n">
        <v>12</v>
      </c>
      <c r="BA15" s="126" t="n">
        <v>12</v>
      </c>
      <c r="BB15" s="126" t="n">
        <v>12</v>
      </c>
      <c r="BC15" s="126" t="n">
        <v>12</v>
      </c>
      <c r="BD15" s="126" t="n">
        <v>12</v>
      </c>
      <c r="BE15" s="126" t="n">
        <v>12</v>
      </c>
      <c r="BF15" s="126" t="n">
        <v>12</v>
      </c>
      <c r="BG15" s="126" t="n">
        <v>12</v>
      </c>
      <c r="BH15" s="126" t="n">
        <v>11</v>
      </c>
      <c r="BI15" s="126" t="n">
        <v>12</v>
      </c>
      <c r="BJ15" s="126" t="n">
        <v>12</v>
      </c>
      <c r="BK15" s="126" t="n">
        <v>12</v>
      </c>
      <c r="BL15" s="126" t="n">
        <v>13</v>
      </c>
      <c r="BM15" s="126" t="n">
        <v>13</v>
      </c>
      <c r="BN15" s="126" t="n">
        <v>12</v>
      </c>
      <c r="BO15" s="126" t="n">
        <v>11</v>
      </c>
      <c r="BP15" s="126" t="n">
        <v>11</v>
      </c>
      <c r="BQ15" s="126" t="n">
        <v>11</v>
      </c>
      <c r="BR15" s="126" t="n">
        <v>11</v>
      </c>
      <c r="BS15" s="126" t="n">
        <v>11</v>
      </c>
      <c r="BT15" s="126" t="n">
        <v>11</v>
      </c>
      <c r="BU15" s="126" t="n">
        <v>11</v>
      </c>
      <c r="BV15" s="126" t="n">
        <v>11</v>
      </c>
      <c r="BW15" s="126" t="n">
        <v>11</v>
      </c>
      <c r="BX15" s="126" t="n">
        <v>11</v>
      </c>
      <c r="BY15" s="126" t="n">
        <v>11</v>
      </c>
      <c r="BZ15" s="126" t="n">
        <v>11</v>
      </c>
      <c r="CA15" s="126" t="n">
        <v>11</v>
      </c>
      <c r="CB15" s="126" t="n">
        <v>11</v>
      </c>
      <c r="CC15" s="126" t="n">
        <v>11</v>
      </c>
      <c r="CD15" s="126" t="n">
        <v>11</v>
      </c>
      <c r="CE15" s="126" t="n">
        <v>11</v>
      </c>
      <c r="CF15" s="126" t="n">
        <v>11</v>
      </c>
      <c r="CG15" s="126" t="n">
        <v>11</v>
      </c>
      <c r="CH15" s="126" t="n">
        <v>11</v>
      </c>
      <c r="CI15" s="127">
        <f>+SUMIFS(Opex_Assumptions!$F15:$M15,Opex_Assumptions!$F$7:$M$7,CI$7)/12+CH15</f>
        <v/>
      </c>
      <c r="CJ15" s="127">
        <f>+SUMIFS(Opex_Assumptions!$F15:$M15,Opex_Assumptions!$F$7:$M$7,CJ$7)/12+CI15</f>
        <v/>
      </c>
      <c r="CK15" s="127">
        <f>+SUMIFS(Opex_Assumptions!$F15:$M15,Opex_Assumptions!$F$7:$M$7,CK$7)/12+CJ15</f>
        <v/>
      </c>
      <c r="CL15" s="127">
        <f>+SUMIFS(Opex_Assumptions!$F15:$M15,Opex_Assumptions!$F$7:$M$7,CL$7)/12+CK15</f>
        <v/>
      </c>
      <c r="CM15" s="127">
        <f>+SUMIFS(Opex_Assumptions!$F15:$M15,Opex_Assumptions!$F$7:$M$7,CM$7)/12+CL15</f>
        <v/>
      </c>
      <c r="CN15" s="127">
        <f>+SUMIFS(Opex_Assumptions!$F15:$M15,Opex_Assumptions!$F$7:$M$7,CN$7)/12+CM15</f>
        <v/>
      </c>
      <c r="CO15" s="127">
        <f>+SUMIFS(Opex_Assumptions!$F15:$M15,Opex_Assumptions!$F$7:$M$7,CO$7)/12+CN15</f>
        <v/>
      </c>
      <c r="CP15" s="127">
        <f>+SUMIFS(Opex_Assumptions!$F15:$M15,Opex_Assumptions!$F$7:$M$7,CP$7)/12+CO15</f>
        <v/>
      </c>
      <c r="CQ15" s="127">
        <f>+SUMIFS(Opex_Assumptions!$F15:$M15,Opex_Assumptions!$F$7:$M$7,CQ$7)/12+CP15</f>
        <v/>
      </c>
      <c r="CR15" s="127">
        <f>+SUMIFS(Opex_Assumptions!$F15:$M15,Opex_Assumptions!$F$7:$M$7,CR$7)/12+CQ15</f>
        <v/>
      </c>
      <c r="CS15" s="127">
        <f>+SUMIFS(Opex_Assumptions!$F15:$M15,Opex_Assumptions!$F$7:$M$7,CS$7)/12+CR15</f>
        <v/>
      </c>
      <c r="CT15" s="127">
        <f>+SUMIFS(Opex_Assumptions!$F15:$M15,Opex_Assumptions!$F$7:$M$7,CT$7)/12+CS15</f>
        <v/>
      </c>
      <c r="CU15" s="127">
        <f>+SUMIFS(Opex_Assumptions!$F15:$M15,Opex_Assumptions!$F$7:$M$7,CU$7)/12+CT15</f>
        <v/>
      </c>
      <c r="CV15" s="127">
        <f>+SUMIFS(Opex_Assumptions!$F15:$M15,Opex_Assumptions!$F$7:$M$7,CV$7)/12+CU15</f>
        <v/>
      </c>
      <c r="CW15" s="127">
        <f>+SUMIFS(Opex_Assumptions!$F15:$M15,Opex_Assumptions!$F$7:$M$7,CW$7)/12+CV15</f>
        <v/>
      </c>
      <c r="CX15" s="127">
        <f>+SUMIFS(Opex_Assumptions!$F15:$M15,Opex_Assumptions!$F$7:$M$7,CX$7)/12+CW15</f>
        <v/>
      </c>
      <c r="CY15" s="127">
        <f>+SUMIFS(Opex_Assumptions!$F15:$M15,Opex_Assumptions!$F$7:$M$7,CY$7)/12+CX15</f>
        <v/>
      </c>
      <c r="CZ15" s="127">
        <f>+SUMIFS(Opex_Assumptions!$F15:$M15,Opex_Assumptions!$F$7:$M$7,CZ$7)/12+CY15</f>
        <v/>
      </c>
      <c r="DA15" s="127">
        <f>+SUMIFS(Opex_Assumptions!$F15:$M15,Opex_Assumptions!$F$7:$M$7,DA$7)/12+CZ15</f>
        <v/>
      </c>
      <c r="DB15" s="127">
        <f>+SUMIFS(Opex_Assumptions!$F15:$M15,Opex_Assumptions!$F$7:$M$7,DB$7)/12+DA15</f>
        <v/>
      </c>
      <c r="DC15" s="127">
        <f>+SUMIFS(Opex_Assumptions!$F15:$M15,Opex_Assumptions!$F$7:$M$7,DC$7)/12+DB15</f>
        <v/>
      </c>
      <c r="DD15" s="127">
        <f>+SUMIFS(Opex_Assumptions!$F15:$M15,Opex_Assumptions!$F$7:$M$7,DD$7)/12+DC15</f>
        <v/>
      </c>
      <c r="DE15" s="127">
        <f>+SUMIFS(Opex_Assumptions!$F15:$M15,Opex_Assumptions!$F$7:$M$7,DE$7)/12+DD15</f>
        <v/>
      </c>
      <c r="DF15" s="127">
        <f>+SUMIFS(Opex_Assumptions!$F15:$M15,Opex_Assumptions!$F$7:$M$7,DF$7)/12+DE15</f>
        <v/>
      </c>
      <c r="DG15" s="127">
        <f>+SUMIFS(Opex_Assumptions!$F15:$M15,Opex_Assumptions!$F$7:$M$7,DG$7)/12+DF15</f>
        <v/>
      </c>
      <c r="DH15" s="127">
        <f>+SUMIFS(Opex_Assumptions!$F15:$M15,Opex_Assumptions!$F$7:$M$7,DH$7)/12+DG15</f>
        <v/>
      </c>
      <c r="DI15" s="127">
        <f>+SUMIFS(Opex_Assumptions!$F15:$M15,Opex_Assumptions!$F$7:$M$7,DI$7)/12+DH15</f>
        <v/>
      </c>
      <c r="DJ15" s="127">
        <f>+SUMIFS(Opex_Assumptions!$F15:$M15,Opex_Assumptions!$F$7:$M$7,DJ$7)/12+DI15</f>
        <v/>
      </c>
      <c r="DK15" s="127">
        <f>+SUMIFS(Opex_Assumptions!$F15:$M15,Opex_Assumptions!$F$7:$M$7,DK$7)/12+DJ15</f>
        <v/>
      </c>
      <c r="DL15" s="127">
        <f>+SUMIFS(Opex_Assumptions!$F15:$M15,Opex_Assumptions!$F$7:$M$7,DL$7)/12+DK15</f>
        <v/>
      </c>
      <c r="DM15" s="127">
        <f>+SUMIFS(Opex_Assumptions!$F15:$M15,Opex_Assumptions!$F$7:$M$7,DM$7)/12+DL15</f>
        <v/>
      </c>
      <c r="DN15" s="127">
        <f>+SUMIFS(Opex_Assumptions!$F15:$M15,Opex_Assumptions!$F$7:$M$7,DN$7)/12+DM15</f>
        <v/>
      </c>
      <c r="DO15" s="127">
        <f>+SUMIFS(Opex_Assumptions!$F15:$M15,Opex_Assumptions!$F$7:$M$7,DO$7)/12+DN15</f>
        <v/>
      </c>
      <c r="DP15" s="127">
        <f>+SUMIFS(Opex_Assumptions!$F15:$M15,Opex_Assumptions!$F$7:$M$7,DP$7)/12+DO15</f>
        <v/>
      </c>
      <c r="DQ15" s="127">
        <f>+SUMIFS(Opex_Assumptions!$F15:$M15,Opex_Assumptions!$F$7:$M$7,DQ$7)/12+DP15</f>
        <v/>
      </c>
      <c r="DR15" s="127">
        <f>+SUMIFS(Opex_Assumptions!$F15:$M15,Opex_Assumptions!$F$7:$M$7,DR$7)/12+DQ15</f>
        <v/>
      </c>
    </row>
    <row r="16">
      <c r="B16" s="50" t="inlineStr">
        <is>
          <t>Total</t>
        </is>
      </c>
      <c r="C16" s="50" t="n"/>
      <c r="D16" s="50" t="n"/>
      <c r="F16" s="128">
        <f>SUM(F12:F15)</f>
        <v/>
      </c>
      <c r="G16" s="128">
        <f>SUM(G12:G15)</f>
        <v/>
      </c>
      <c r="H16" s="128">
        <f>SUM(H12:H15)</f>
        <v/>
      </c>
      <c r="I16" s="128">
        <f>SUM(I12:I15)</f>
        <v/>
      </c>
      <c r="J16" s="128">
        <f>SUM(J12:J15)</f>
        <v/>
      </c>
      <c r="K16" s="128">
        <f>SUM(K12:K15)</f>
        <v/>
      </c>
      <c r="L16" s="128">
        <f>SUM(L12:L15)</f>
        <v/>
      </c>
      <c r="M16" s="128">
        <f>SUM(M12:M15)</f>
        <v/>
      </c>
      <c r="AA16" s="128">
        <f>SUM(AA12:AA15)</f>
        <v/>
      </c>
      <c r="AB16" s="128">
        <f>SUM(AB12:AB15)</f>
        <v/>
      </c>
      <c r="AC16" s="128">
        <f>SUM(AC12:AC15)</f>
        <v/>
      </c>
      <c r="AD16" s="128">
        <f>SUM(AD12:AD15)</f>
        <v/>
      </c>
      <c r="AE16" s="128">
        <f>SUM(AE12:AE15)</f>
        <v/>
      </c>
      <c r="AF16" s="128">
        <f>SUM(AF12:AF15)</f>
        <v/>
      </c>
      <c r="AG16" s="128">
        <f>SUM(AG12:AG15)</f>
        <v/>
      </c>
      <c r="AH16" s="128">
        <f>SUM(AH12:AH15)</f>
        <v/>
      </c>
      <c r="AI16" s="128">
        <f>SUM(AI12:AI15)</f>
        <v/>
      </c>
      <c r="AJ16" s="128">
        <f>SUM(AJ12:AJ15)</f>
        <v/>
      </c>
      <c r="AK16" s="128">
        <f>SUM(AK12:AK15)</f>
        <v/>
      </c>
      <c r="AL16" s="128">
        <f>SUM(AL12:AL15)</f>
        <v/>
      </c>
      <c r="AM16" s="128">
        <f>SUM(AM12:AM15)</f>
        <v/>
      </c>
      <c r="AN16" s="128">
        <f>SUM(AN12:AN15)</f>
        <v/>
      </c>
      <c r="AO16" s="128">
        <f>SUM(AO12:AO15)</f>
        <v/>
      </c>
      <c r="AP16" s="128">
        <f>SUM(AP12:AP15)</f>
        <v/>
      </c>
      <c r="AQ16" s="128">
        <f>SUM(AQ12:AQ15)</f>
        <v/>
      </c>
      <c r="AR16" s="128">
        <f>SUM(AR12:AR15)</f>
        <v/>
      </c>
      <c r="AS16" s="128">
        <f>SUM(AS12:AS15)</f>
        <v/>
      </c>
      <c r="AT16" s="128">
        <f>SUM(AT12:AT15)</f>
        <v/>
      </c>
      <c r="AU16" s="128">
        <f>SUM(AU12:AU15)</f>
        <v/>
      </c>
      <c r="AV16" s="128">
        <f>SUM(AV12:AV15)</f>
        <v/>
      </c>
      <c r="AW16" s="128">
        <f>SUM(AW12:AW15)</f>
        <v/>
      </c>
      <c r="AX16" s="128">
        <f>SUM(AX12:AX15)</f>
        <v/>
      </c>
      <c r="AY16" s="128">
        <f>SUM(AY12:AY15)</f>
        <v/>
      </c>
      <c r="AZ16" s="128">
        <f>SUM(AZ12:AZ15)</f>
        <v/>
      </c>
      <c r="BA16" s="128">
        <f>SUM(BA12:BA15)</f>
        <v/>
      </c>
      <c r="BB16" s="128">
        <f>SUM(BB12:BB15)</f>
        <v/>
      </c>
      <c r="BC16" s="128">
        <f>SUM(BC12:BC15)</f>
        <v/>
      </c>
      <c r="BD16" s="128">
        <f>SUM(BD12:BD15)</f>
        <v/>
      </c>
      <c r="BE16" s="128">
        <f>SUM(BE12:BE15)</f>
        <v/>
      </c>
      <c r="BF16" s="128">
        <f>SUM(BF12:BF15)</f>
        <v/>
      </c>
      <c r="BG16" s="128">
        <f>SUM(BG12:BG15)</f>
        <v/>
      </c>
      <c r="BH16" s="128">
        <f>SUM(BH12:BH15)</f>
        <v/>
      </c>
      <c r="BI16" s="128">
        <f>SUM(BI12:BI15)</f>
        <v/>
      </c>
      <c r="BJ16" s="128">
        <f>SUM(BJ12:BJ15)</f>
        <v/>
      </c>
      <c r="BK16" s="128">
        <f>SUM(BK12:BK15)</f>
        <v/>
      </c>
      <c r="BL16" s="128">
        <f>SUM(BL12:BL15)</f>
        <v/>
      </c>
      <c r="BM16" s="128">
        <f>SUM(BM12:BM15)</f>
        <v/>
      </c>
      <c r="BN16" s="128">
        <f>SUM(BN12:BN15)</f>
        <v/>
      </c>
      <c r="BO16" s="128">
        <f>SUM(BO12:BO15)</f>
        <v/>
      </c>
      <c r="BP16" s="128">
        <f>SUM(BP12:BP15)</f>
        <v/>
      </c>
      <c r="BQ16" s="128">
        <f>SUM(BQ12:BQ15)</f>
        <v/>
      </c>
      <c r="BR16" s="128">
        <f>SUM(BR12:BR15)</f>
        <v/>
      </c>
      <c r="BS16" s="128">
        <f>SUM(BS12:BS15)</f>
        <v/>
      </c>
      <c r="BT16" s="128">
        <f>SUM(BT12:BT15)</f>
        <v/>
      </c>
      <c r="BU16" s="128">
        <f>SUM(BU12:BU15)</f>
        <v/>
      </c>
      <c r="BV16" s="128">
        <f>SUM(BV12:BV15)</f>
        <v/>
      </c>
      <c r="BW16" s="128">
        <f>SUM(BW12:BW15)</f>
        <v/>
      </c>
      <c r="BX16" s="128">
        <f>SUM(BX12:BX15)</f>
        <v/>
      </c>
      <c r="BY16" s="128">
        <f>SUM(BY12:BY15)</f>
        <v/>
      </c>
      <c r="BZ16" s="128">
        <f>SUM(BZ12:BZ15)</f>
        <v/>
      </c>
      <c r="CA16" s="128">
        <f>SUM(CA12:CA15)</f>
        <v/>
      </c>
      <c r="CB16" s="128">
        <f>SUM(CB12:CB15)</f>
        <v/>
      </c>
      <c r="CC16" s="128">
        <f>SUM(CC12:CC15)</f>
        <v/>
      </c>
      <c r="CD16" s="128">
        <f>SUM(CD12:CD15)</f>
        <v/>
      </c>
      <c r="CE16" s="128">
        <f>SUM(CE12:CE15)</f>
        <v/>
      </c>
      <c r="CF16" s="128">
        <f>SUM(CF12:CF15)</f>
        <v/>
      </c>
      <c r="CG16" s="128">
        <f>SUM(CG12:CG15)</f>
        <v/>
      </c>
      <c r="CH16" s="128">
        <f>SUM(CH12:CH15)</f>
        <v/>
      </c>
      <c r="CI16" s="128">
        <f>SUM(CI12:CI15)</f>
        <v/>
      </c>
      <c r="CJ16" s="128">
        <f>SUM(CJ12:CJ15)</f>
        <v/>
      </c>
      <c r="CK16" s="128">
        <f>SUM(CK12:CK15)</f>
        <v/>
      </c>
      <c r="CL16" s="128">
        <f>SUM(CL12:CL15)</f>
        <v/>
      </c>
      <c r="CM16" s="128">
        <f>SUM(CM12:CM15)</f>
        <v/>
      </c>
      <c r="CN16" s="128">
        <f>SUM(CN12:CN15)</f>
        <v/>
      </c>
      <c r="CO16" s="128">
        <f>SUM(CO12:CO15)</f>
        <v/>
      </c>
      <c r="CP16" s="128">
        <f>SUM(CP12:CP15)</f>
        <v/>
      </c>
      <c r="CQ16" s="128">
        <f>SUM(CQ12:CQ15)</f>
        <v/>
      </c>
      <c r="CR16" s="128">
        <f>SUM(CR12:CR15)</f>
        <v/>
      </c>
      <c r="CS16" s="128">
        <f>SUM(CS12:CS15)</f>
        <v/>
      </c>
      <c r="CT16" s="128">
        <f>SUM(CT12:CT15)</f>
        <v/>
      </c>
      <c r="CU16" s="128">
        <f>SUM(CU12:CU15)</f>
        <v/>
      </c>
      <c r="CV16" s="128">
        <f>SUM(CV12:CV15)</f>
        <v/>
      </c>
      <c r="CW16" s="128">
        <f>SUM(CW12:CW15)</f>
        <v/>
      </c>
      <c r="CX16" s="128">
        <f>SUM(CX12:CX15)</f>
        <v/>
      </c>
      <c r="CY16" s="128">
        <f>SUM(CY12:CY15)</f>
        <v/>
      </c>
      <c r="CZ16" s="128">
        <f>SUM(CZ12:CZ15)</f>
        <v/>
      </c>
      <c r="DA16" s="128">
        <f>SUM(DA12:DA15)</f>
        <v/>
      </c>
      <c r="DB16" s="128">
        <f>SUM(DB12:DB15)</f>
        <v/>
      </c>
      <c r="DC16" s="128">
        <f>SUM(DC12:DC15)</f>
        <v/>
      </c>
      <c r="DD16" s="128">
        <f>SUM(DD12:DD15)</f>
        <v/>
      </c>
      <c r="DE16" s="128">
        <f>SUM(DE12:DE15)</f>
        <v/>
      </c>
      <c r="DF16" s="128">
        <f>SUM(DF12:DF15)</f>
        <v/>
      </c>
      <c r="DG16" s="128">
        <f>SUM(DG12:DG15)</f>
        <v/>
      </c>
      <c r="DH16" s="128">
        <f>SUM(DH12:DH15)</f>
        <v/>
      </c>
      <c r="DI16" s="128">
        <f>SUM(DI12:DI15)</f>
        <v/>
      </c>
      <c r="DJ16" s="128">
        <f>SUM(DJ12:DJ15)</f>
        <v/>
      </c>
      <c r="DK16" s="128">
        <f>SUM(DK12:DK15)</f>
        <v/>
      </c>
      <c r="DL16" s="128">
        <f>SUM(DL12:DL15)</f>
        <v/>
      </c>
      <c r="DM16" s="128">
        <f>SUM(DM12:DM15)</f>
        <v/>
      </c>
      <c r="DN16" s="128">
        <f>SUM(DN12:DN15)</f>
        <v/>
      </c>
      <c r="DO16" s="128">
        <f>SUM(DO12:DO15)</f>
        <v/>
      </c>
      <c r="DP16" s="128">
        <f>SUM(DP12:DP15)</f>
        <v/>
      </c>
      <c r="DQ16" s="128">
        <f>SUM(DQ12:DQ15)</f>
        <v/>
      </c>
      <c r="DR16" s="128">
        <f>SUM(DR12:DR15)</f>
        <v/>
      </c>
    </row>
    <row r="17" ht="4.5" customHeight="1"/>
    <row r="18">
      <c r="A18" s="66" t="n"/>
      <c r="B18" s="66" t="inlineStr">
        <is>
          <t>Memo: Revenue / Delivery Headcount</t>
        </is>
      </c>
      <c r="C18" s="66" t="n"/>
      <c r="D18" s="66" t="n"/>
      <c r="E18" s="66" t="n"/>
      <c r="F18" s="119">
        <f>+'Income Statement'!F$16/F12</f>
        <v/>
      </c>
      <c r="G18" s="119">
        <f>+'Income Statement'!G$16/G12</f>
        <v/>
      </c>
      <c r="H18" s="119">
        <f>+'Income Statement'!H$16/H12</f>
        <v/>
      </c>
      <c r="I18" s="119">
        <f>+'Income Statement'!I$16/I12</f>
        <v/>
      </c>
      <c r="J18" s="119">
        <f>+'Income Statement'!J$16/J12</f>
        <v/>
      </c>
      <c r="K18" s="119">
        <f>+'Income Statement'!K$16/K12</f>
        <v/>
      </c>
      <c r="L18" s="119">
        <f>+'Income Statement'!L$16/L12</f>
        <v/>
      </c>
      <c r="M18" s="119">
        <f>+'Income Statement'!M$16/M12</f>
        <v/>
      </c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119">
        <f>+'Income Statement'!Q$16/AA12</f>
        <v/>
      </c>
      <c r="AB18" s="119">
        <f>+'Income Statement'!R$16/AB12</f>
        <v/>
      </c>
      <c r="AC18" s="119">
        <f>+'Income Statement'!S$16/AC12</f>
        <v/>
      </c>
      <c r="AD18" s="119">
        <f>+'Income Statement'!T$16/AD12</f>
        <v/>
      </c>
      <c r="AE18" s="119">
        <f>+'Income Statement'!U$16/AE12</f>
        <v/>
      </c>
      <c r="AF18" s="119">
        <f>+'Income Statement'!V$16/AF12</f>
        <v/>
      </c>
      <c r="AG18" s="119">
        <f>+'Income Statement'!W$16/AG12</f>
        <v/>
      </c>
      <c r="AH18" s="119">
        <f>+'Income Statement'!X$16/AH12</f>
        <v/>
      </c>
      <c r="AI18" s="119">
        <f>+'Income Statement'!Y$16/AI12</f>
        <v/>
      </c>
      <c r="AJ18" s="119">
        <f>+'Income Statement'!Z$16/AJ12</f>
        <v/>
      </c>
      <c r="AK18" s="119">
        <f>+'Income Statement'!AA$16/AK12</f>
        <v/>
      </c>
      <c r="AL18" s="119">
        <f>+'Income Statement'!AB$16/AL12</f>
        <v/>
      </c>
      <c r="AM18" s="119">
        <f>+'Income Statement'!AC$16/AM12</f>
        <v/>
      </c>
      <c r="AN18" s="119">
        <f>+'Income Statement'!AD$16/AN12</f>
        <v/>
      </c>
      <c r="AO18" s="119">
        <f>+'Income Statement'!AE$16/AO12</f>
        <v/>
      </c>
      <c r="AP18" s="119">
        <f>+'Income Statement'!AF$16/AP12</f>
        <v/>
      </c>
      <c r="AQ18" s="119">
        <f>+'Income Statement'!AG$16/AQ12</f>
        <v/>
      </c>
      <c r="AR18" s="119">
        <f>+'Income Statement'!AH$16/AR12</f>
        <v/>
      </c>
      <c r="AS18" s="119">
        <f>+'Income Statement'!AI$16/AS12</f>
        <v/>
      </c>
      <c r="AT18" s="119">
        <f>+'Income Statement'!AJ$16/AT12</f>
        <v/>
      </c>
      <c r="AU18" s="119">
        <f>+'Income Statement'!AK$16/AU12</f>
        <v/>
      </c>
      <c r="AV18" s="119">
        <f>+'Income Statement'!AL$16/AV12</f>
        <v/>
      </c>
      <c r="AW18" s="119">
        <f>+'Income Statement'!AM$16/AW12</f>
        <v/>
      </c>
      <c r="AX18" s="119">
        <f>+'Income Statement'!AN$16/AX12</f>
        <v/>
      </c>
      <c r="AY18" s="119">
        <f>+'Income Statement'!AO$16/AY12</f>
        <v/>
      </c>
      <c r="AZ18" s="119">
        <f>+'Income Statement'!AP$16/AZ12</f>
        <v/>
      </c>
      <c r="BA18" s="119">
        <f>+'Income Statement'!AQ$16/BA12</f>
        <v/>
      </c>
      <c r="BB18" s="119">
        <f>+'Income Statement'!AR$16/BB12</f>
        <v/>
      </c>
      <c r="BC18" s="119">
        <f>+'Income Statement'!AS$16/BC12</f>
        <v/>
      </c>
      <c r="BD18" s="119">
        <f>+'Income Statement'!AT$16/BD12</f>
        <v/>
      </c>
      <c r="BE18" s="119">
        <f>+'Income Statement'!AU$16/BE12</f>
        <v/>
      </c>
      <c r="BF18" s="119">
        <f>+'Income Statement'!AV$16/BF12</f>
        <v/>
      </c>
      <c r="BG18" s="119">
        <f>+'Income Statement'!AW$16/BG12</f>
        <v/>
      </c>
      <c r="BH18" s="119">
        <f>+'Income Statement'!AX$16/BH12</f>
        <v/>
      </c>
      <c r="BI18" s="119">
        <f>+'Income Statement'!AY$16/BI12</f>
        <v/>
      </c>
      <c r="BJ18" s="119">
        <f>+'Income Statement'!AZ$16/BJ12</f>
        <v/>
      </c>
      <c r="BK18" s="119">
        <f>+'Income Statement'!BA$16/BK12</f>
        <v/>
      </c>
      <c r="BL18" s="119">
        <f>+'Income Statement'!BB$16/BL12</f>
        <v/>
      </c>
      <c r="BM18" s="119">
        <f>+'Income Statement'!BC$16/BM12</f>
        <v/>
      </c>
      <c r="BN18" s="119">
        <f>+'Income Statement'!BD$16/BN12</f>
        <v/>
      </c>
      <c r="BO18" s="119">
        <f>+'Income Statement'!BE$16/BO12</f>
        <v/>
      </c>
      <c r="BP18" s="119">
        <f>+'Income Statement'!BF$16/BP12</f>
        <v/>
      </c>
      <c r="BQ18" s="119">
        <f>+'Income Statement'!BG$16/BQ12</f>
        <v/>
      </c>
      <c r="BR18" s="119">
        <f>+'Income Statement'!BH$16/BR12</f>
        <v/>
      </c>
      <c r="BS18" s="119">
        <f>+'Income Statement'!BI$16/BS12</f>
        <v/>
      </c>
      <c r="BT18" s="119">
        <f>+'Income Statement'!BJ$16/BT12</f>
        <v/>
      </c>
      <c r="BU18" s="119">
        <f>+'Income Statement'!BK$16/BU12</f>
        <v/>
      </c>
      <c r="BV18" s="119">
        <f>+'Income Statement'!BL$16/BV12</f>
        <v/>
      </c>
      <c r="BW18" s="119">
        <f>+'Income Statement'!BM$16/BW12</f>
        <v/>
      </c>
      <c r="BX18" s="119">
        <f>+'Income Statement'!BN$16/BX12</f>
        <v/>
      </c>
      <c r="BY18" s="119">
        <f>+'Income Statement'!BO$16/BY12</f>
        <v/>
      </c>
      <c r="BZ18" s="119">
        <f>+'Income Statement'!BP$16/BZ12</f>
        <v/>
      </c>
      <c r="CA18" s="119">
        <f>+'Income Statement'!BQ$16/CA12</f>
        <v/>
      </c>
      <c r="CB18" s="119">
        <f>+'Income Statement'!BR$16/CB12</f>
        <v/>
      </c>
      <c r="CC18" s="119">
        <f>+'Income Statement'!BS$16/CC12</f>
        <v/>
      </c>
      <c r="CD18" s="119">
        <f>+'Income Statement'!BT$16/CD12</f>
        <v/>
      </c>
      <c r="CE18" s="119">
        <f>+'Income Statement'!BU$16/CE12</f>
        <v/>
      </c>
      <c r="CF18" s="119">
        <f>+'Income Statement'!BV$16/CF12</f>
        <v/>
      </c>
      <c r="CG18" s="119">
        <f>+'Income Statement'!BW$16/CG12</f>
        <v/>
      </c>
      <c r="CH18" s="119">
        <f>+'Income Statement'!BX$16/CH12</f>
        <v/>
      </c>
      <c r="CI18" s="119">
        <f>+'Income Statement'!BY$16/CI12</f>
        <v/>
      </c>
      <c r="CJ18" s="119">
        <f>+'Income Statement'!BZ$16/CJ12</f>
        <v/>
      </c>
      <c r="CK18" s="119">
        <f>+'Income Statement'!CA$16/CK12</f>
        <v/>
      </c>
      <c r="CL18" s="119">
        <f>+'Income Statement'!CB$16/CL12</f>
        <v/>
      </c>
      <c r="CM18" s="119">
        <f>+'Income Statement'!CC$16/CM12</f>
        <v/>
      </c>
      <c r="CN18" s="119">
        <f>+'Income Statement'!CD$16/CN12</f>
        <v/>
      </c>
      <c r="CO18" s="119">
        <f>+'Income Statement'!CE$16/CO12</f>
        <v/>
      </c>
      <c r="CP18" s="119">
        <f>+'Income Statement'!CF$16/CP12</f>
        <v/>
      </c>
      <c r="CQ18" s="119">
        <f>+'Income Statement'!CG$16/CQ12</f>
        <v/>
      </c>
      <c r="CR18" s="119">
        <f>+'Income Statement'!CH$16/CR12</f>
        <v/>
      </c>
      <c r="CS18" s="119">
        <f>+'Income Statement'!CI$16/CS12</f>
        <v/>
      </c>
      <c r="CT18" s="119">
        <f>+'Income Statement'!CJ$16/CT12</f>
        <v/>
      </c>
      <c r="CU18" s="119">
        <f>+'Income Statement'!CK$16/CU12</f>
        <v/>
      </c>
      <c r="CV18" s="119">
        <f>+'Income Statement'!CL$16/CV12</f>
        <v/>
      </c>
      <c r="CW18" s="119">
        <f>+'Income Statement'!CM$16/CW12</f>
        <v/>
      </c>
      <c r="CX18" s="119">
        <f>+'Income Statement'!CN$16/CX12</f>
        <v/>
      </c>
      <c r="CY18" s="119">
        <f>+'Income Statement'!CO$16/CY12</f>
        <v/>
      </c>
      <c r="CZ18" s="119">
        <f>+'Income Statement'!CP$16/CZ12</f>
        <v/>
      </c>
      <c r="DA18" s="119">
        <f>+'Income Statement'!CQ$16/DA12</f>
        <v/>
      </c>
      <c r="DB18" s="119">
        <f>+'Income Statement'!CR$16/DB12</f>
        <v/>
      </c>
      <c r="DC18" s="119">
        <f>+'Income Statement'!CS$16/DC12</f>
        <v/>
      </c>
      <c r="DD18" s="119">
        <f>+'Income Statement'!CT$16/DD12</f>
        <v/>
      </c>
      <c r="DE18" s="119">
        <f>+'Income Statement'!CU$16/DE12</f>
        <v/>
      </c>
      <c r="DF18" s="119">
        <f>+'Income Statement'!CV$16/DF12</f>
        <v/>
      </c>
      <c r="DG18" s="119">
        <f>+'Income Statement'!CW$16/DG12</f>
        <v/>
      </c>
      <c r="DH18" s="119">
        <f>+'Income Statement'!CX$16/DH12</f>
        <v/>
      </c>
      <c r="DI18" s="119">
        <f>+'Income Statement'!CY$16/DI12</f>
        <v/>
      </c>
      <c r="DJ18" s="119">
        <f>+'Income Statement'!CZ$16/DJ12</f>
        <v/>
      </c>
      <c r="DK18" s="119">
        <f>+'Income Statement'!DA$16/DK12</f>
        <v/>
      </c>
      <c r="DL18" s="119">
        <f>+'Income Statement'!DB$16/DL12</f>
        <v/>
      </c>
      <c r="DM18" s="119">
        <f>+'Income Statement'!DC$16/DM12</f>
        <v/>
      </c>
      <c r="DN18" s="119">
        <f>+'Income Statement'!DD$16/DN12</f>
        <v/>
      </c>
      <c r="DO18" s="119">
        <f>+'Income Statement'!DE$16/DO12</f>
        <v/>
      </c>
      <c r="DP18" s="119">
        <f>+'Income Statement'!DF$16/DP12</f>
        <v/>
      </c>
      <c r="DQ18" s="119">
        <f>+'Income Statement'!DG$16/DQ12</f>
        <v/>
      </c>
      <c r="DR18" s="119">
        <f>+'Income Statement'!DH$16/DR12</f>
        <v/>
      </c>
    </row>
    <row r="19">
      <c r="B19" s="66" t="inlineStr">
        <is>
          <t>Memo: Revenue / Sales &amp; CS Headcount</t>
        </is>
      </c>
      <c r="F19" s="119">
        <f>+'Income Statement'!F$16/F13</f>
        <v/>
      </c>
      <c r="G19" s="119">
        <f>+'Income Statement'!G$16/G13</f>
        <v/>
      </c>
      <c r="H19" s="119">
        <f>+'Income Statement'!H$16/H13</f>
        <v/>
      </c>
      <c r="I19" s="119">
        <f>+'Income Statement'!I$16/I13</f>
        <v/>
      </c>
      <c r="J19" s="119">
        <f>+'Income Statement'!J$16/J13</f>
        <v/>
      </c>
      <c r="K19" s="119">
        <f>+'Income Statement'!K$16/K13</f>
        <v/>
      </c>
      <c r="L19" s="119">
        <f>+'Income Statement'!L$16/L13</f>
        <v/>
      </c>
      <c r="M19" s="119">
        <f>+'Income Statement'!M$16/M13</f>
        <v/>
      </c>
      <c r="AA19" s="119">
        <f>+'Income Statement'!Q$16/AA13</f>
        <v/>
      </c>
      <c r="AB19" s="119">
        <f>+'Income Statement'!R$16/AB13</f>
        <v/>
      </c>
      <c r="AC19" s="119">
        <f>+'Income Statement'!S$16/AC13</f>
        <v/>
      </c>
      <c r="AD19" s="119">
        <f>+'Income Statement'!T$16/AD13</f>
        <v/>
      </c>
      <c r="AE19" s="119">
        <f>+'Income Statement'!U$16/AE13</f>
        <v/>
      </c>
      <c r="AF19" s="119">
        <f>+'Income Statement'!V$16/AF13</f>
        <v/>
      </c>
      <c r="AG19" s="119">
        <f>+'Income Statement'!W$16/AG13</f>
        <v/>
      </c>
      <c r="AH19" s="119">
        <f>+'Income Statement'!X$16/AH13</f>
        <v/>
      </c>
      <c r="AI19" s="119">
        <f>+'Income Statement'!Y$16/AI13</f>
        <v/>
      </c>
      <c r="AJ19" s="119">
        <f>+'Income Statement'!Z$16/AJ13</f>
        <v/>
      </c>
      <c r="AK19" s="119">
        <f>+'Income Statement'!AA$16/AK13</f>
        <v/>
      </c>
      <c r="AL19" s="119">
        <f>+'Income Statement'!AB$16/AL13</f>
        <v/>
      </c>
      <c r="AM19" s="119">
        <f>+'Income Statement'!AC$16/AM13</f>
        <v/>
      </c>
      <c r="AN19" s="119">
        <f>+'Income Statement'!AD$16/AN13</f>
        <v/>
      </c>
      <c r="AO19" s="119">
        <f>+'Income Statement'!AE$16/AO13</f>
        <v/>
      </c>
      <c r="AP19" s="119">
        <f>+'Income Statement'!AF$16/AP13</f>
        <v/>
      </c>
      <c r="AQ19" s="119">
        <f>+'Income Statement'!AG$16/AQ13</f>
        <v/>
      </c>
      <c r="AR19" s="119">
        <f>+'Income Statement'!AH$16/AR13</f>
        <v/>
      </c>
      <c r="AS19" s="119">
        <f>+'Income Statement'!AI$16/AS13</f>
        <v/>
      </c>
      <c r="AT19" s="119">
        <f>+'Income Statement'!AJ$16/AT13</f>
        <v/>
      </c>
      <c r="AU19" s="119">
        <f>+'Income Statement'!AK$16/AU13</f>
        <v/>
      </c>
      <c r="AV19" s="119">
        <f>+'Income Statement'!AL$16/AV13</f>
        <v/>
      </c>
      <c r="AW19" s="119">
        <f>+'Income Statement'!AM$16/AW13</f>
        <v/>
      </c>
      <c r="AX19" s="119">
        <f>+'Income Statement'!AN$16/AX13</f>
        <v/>
      </c>
      <c r="AY19" s="119">
        <f>+'Income Statement'!AO$16/AY13</f>
        <v/>
      </c>
      <c r="AZ19" s="119">
        <f>+'Income Statement'!AP$16/AZ13</f>
        <v/>
      </c>
      <c r="BA19" s="119">
        <f>+'Income Statement'!AQ$16/BA13</f>
        <v/>
      </c>
      <c r="BB19" s="119">
        <f>+'Income Statement'!AR$16/BB13</f>
        <v/>
      </c>
      <c r="BC19" s="119">
        <f>+'Income Statement'!AS$16/BC13</f>
        <v/>
      </c>
      <c r="BD19" s="119">
        <f>+'Income Statement'!AT$16/BD13</f>
        <v/>
      </c>
      <c r="BE19" s="119">
        <f>+'Income Statement'!AU$16/BE13</f>
        <v/>
      </c>
      <c r="BF19" s="119">
        <f>+'Income Statement'!AV$16/BF13</f>
        <v/>
      </c>
      <c r="BG19" s="119">
        <f>+'Income Statement'!AW$16/BG13</f>
        <v/>
      </c>
      <c r="BH19" s="119">
        <f>+'Income Statement'!AX$16/BH13</f>
        <v/>
      </c>
      <c r="BI19" s="119">
        <f>+'Income Statement'!AY$16/BI13</f>
        <v/>
      </c>
      <c r="BJ19" s="119">
        <f>+'Income Statement'!AZ$16/BJ13</f>
        <v/>
      </c>
      <c r="BK19" s="119">
        <f>+'Income Statement'!BA$16/BK13</f>
        <v/>
      </c>
      <c r="BL19" s="119">
        <f>+'Income Statement'!BB$16/BL13</f>
        <v/>
      </c>
      <c r="BM19" s="119">
        <f>+'Income Statement'!BC$16/BM13</f>
        <v/>
      </c>
      <c r="BN19" s="119">
        <f>+'Income Statement'!BD$16/BN13</f>
        <v/>
      </c>
      <c r="BO19" s="119">
        <f>+'Income Statement'!BE$16/BO13</f>
        <v/>
      </c>
      <c r="BP19" s="119">
        <f>+'Income Statement'!BF$16/BP13</f>
        <v/>
      </c>
      <c r="BQ19" s="119">
        <f>+'Income Statement'!BG$16/BQ13</f>
        <v/>
      </c>
      <c r="BR19" s="119">
        <f>+'Income Statement'!BH$16/BR13</f>
        <v/>
      </c>
      <c r="BS19" s="119">
        <f>+'Income Statement'!BI$16/BS13</f>
        <v/>
      </c>
      <c r="BT19" s="119">
        <f>+'Income Statement'!BJ$16/BT13</f>
        <v/>
      </c>
      <c r="BU19" s="119">
        <f>+'Income Statement'!BK$16/BU13</f>
        <v/>
      </c>
      <c r="BV19" s="119">
        <f>+'Income Statement'!BL$16/BV13</f>
        <v/>
      </c>
      <c r="BW19" s="119">
        <f>+'Income Statement'!BM$16/BW13</f>
        <v/>
      </c>
      <c r="BX19" s="119">
        <f>+'Income Statement'!BN$16/BX13</f>
        <v/>
      </c>
      <c r="BY19" s="119">
        <f>+'Income Statement'!BO$16/BY13</f>
        <v/>
      </c>
      <c r="BZ19" s="119">
        <f>+'Income Statement'!BP$16/BZ13</f>
        <v/>
      </c>
      <c r="CA19" s="119">
        <f>+'Income Statement'!BQ$16/CA13</f>
        <v/>
      </c>
      <c r="CB19" s="119">
        <f>+'Income Statement'!BR$16/CB13</f>
        <v/>
      </c>
      <c r="CC19" s="119">
        <f>+'Income Statement'!BS$16/CC13</f>
        <v/>
      </c>
      <c r="CD19" s="119">
        <f>+'Income Statement'!BT$16/CD13</f>
        <v/>
      </c>
      <c r="CE19" s="119">
        <f>+'Income Statement'!BU$16/CE13</f>
        <v/>
      </c>
      <c r="CF19" s="119">
        <f>+'Income Statement'!BV$16/CF13</f>
        <v/>
      </c>
      <c r="CG19" s="119">
        <f>+'Income Statement'!BW$16/CG13</f>
        <v/>
      </c>
      <c r="CH19" s="119">
        <f>+'Income Statement'!BX$16/CH13</f>
        <v/>
      </c>
      <c r="CI19" s="119">
        <f>+'Income Statement'!BY$16/CI13</f>
        <v/>
      </c>
      <c r="CJ19" s="119">
        <f>+'Income Statement'!BZ$16/CJ13</f>
        <v/>
      </c>
      <c r="CK19" s="119">
        <f>+'Income Statement'!CA$16/CK13</f>
        <v/>
      </c>
      <c r="CL19" s="119">
        <f>+'Income Statement'!CB$16/CL13</f>
        <v/>
      </c>
      <c r="CM19" s="119">
        <f>+'Income Statement'!CC$16/CM13</f>
        <v/>
      </c>
      <c r="CN19" s="119">
        <f>+'Income Statement'!CD$16/CN13</f>
        <v/>
      </c>
      <c r="CO19" s="119">
        <f>+'Income Statement'!CE$16/CO13</f>
        <v/>
      </c>
      <c r="CP19" s="119">
        <f>+'Income Statement'!CF$16/CP13</f>
        <v/>
      </c>
      <c r="CQ19" s="119">
        <f>+'Income Statement'!CG$16/CQ13</f>
        <v/>
      </c>
      <c r="CR19" s="119">
        <f>+'Income Statement'!CH$16/CR13</f>
        <v/>
      </c>
      <c r="CS19" s="119">
        <f>+'Income Statement'!CI$16/CS13</f>
        <v/>
      </c>
      <c r="CT19" s="119">
        <f>+'Income Statement'!CJ$16/CT13</f>
        <v/>
      </c>
      <c r="CU19" s="119">
        <f>+'Income Statement'!CK$16/CU13</f>
        <v/>
      </c>
      <c r="CV19" s="119">
        <f>+'Income Statement'!CL$16/CV13</f>
        <v/>
      </c>
      <c r="CW19" s="119">
        <f>+'Income Statement'!CM$16/CW13</f>
        <v/>
      </c>
      <c r="CX19" s="119">
        <f>+'Income Statement'!CN$16/CX13</f>
        <v/>
      </c>
      <c r="CY19" s="119">
        <f>+'Income Statement'!CO$16/CY13</f>
        <v/>
      </c>
      <c r="CZ19" s="119">
        <f>+'Income Statement'!CP$16/CZ13</f>
        <v/>
      </c>
      <c r="DA19" s="119">
        <f>+'Income Statement'!CQ$16/DA13</f>
        <v/>
      </c>
      <c r="DB19" s="119">
        <f>+'Income Statement'!CR$16/DB13</f>
        <v/>
      </c>
      <c r="DC19" s="119">
        <f>+'Income Statement'!CS$16/DC13</f>
        <v/>
      </c>
      <c r="DD19" s="119">
        <f>+'Income Statement'!CT$16/DD13</f>
        <v/>
      </c>
      <c r="DE19" s="119">
        <f>+'Income Statement'!CU$16/DE13</f>
        <v/>
      </c>
      <c r="DF19" s="119">
        <f>+'Income Statement'!CV$16/DF13</f>
        <v/>
      </c>
      <c r="DG19" s="119">
        <f>+'Income Statement'!CW$16/DG13</f>
        <v/>
      </c>
      <c r="DH19" s="119">
        <f>+'Income Statement'!CX$16/DH13</f>
        <v/>
      </c>
      <c r="DI19" s="119">
        <f>+'Income Statement'!CY$16/DI13</f>
        <v/>
      </c>
      <c r="DJ19" s="119">
        <f>+'Income Statement'!CZ$16/DJ13</f>
        <v/>
      </c>
      <c r="DK19" s="119">
        <f>+'Income Statement'!DA$16/DK13</f>
        <v/>
      </c>
      <c r="DL19" s="119">
        <f>+'Income Statement'!DB$16/DL13</f>
        <v/>
      </c>
      <c r="DM19" s="119">
        <f>+'Income Statement'!DC$16/DM13</f>
        <v/>
      </c>
      <c r="DN19" s="119">
        <f>+'Income Statement'!DD$16/DN13</f>
        <v/>
      </c>
      <c r="DO19" s="119">
        <f>+'Income Statement'!DE$16/DO13</f>
        <v/>
      </c>
      <c r="DP19" s="119">
        <f>+'Income Statement'!DF$16/DP13</f>
        <v/>
      </c>
      <c r="DQ19" s="119">
        <f>+'Income Statement'!DG$16/DQ13</f>
        <v/>
      </c>
      <c r="DR19" s="119">
        <f>+'Income Statement'!DH$16/DR13</f>
        <v/>
      </c>
    </row>
    <row r="20" ht="4.5" customHeight="1"/>
    <row r="21" ht="15.75" customHeight="1">
      <c r="B21" s="44" t="inlineStr">
        <is>
          <t>Average Salary(1)</t>
        </is>
      </c>
    </row>
    <row r="22" ht="15.75" customHeight="1">
      <c r="B22" s="5" t="inlineStr">
        <is>
          <t>Delivery</t>
        </is>
      </c>
      <c r="F22" s="46">
        <f>+SUMIFS($AA22:$DR22,$AA$7:$DR$7,F$7)</f>
        <v/>
      </c>
      <c r="G22" s="46">
        <f>+SUMIFS($AA22:$DR22,$AA$7:$DR$7,G$7)</f>
        <v/>
      </c>
      <c r="H22" s="46">
        <f>+SUMIFS($AA22:$DR22,$AA$7:$DR$7,H$7)</f>
        <v/>
      </c>
      <c r="I22" s="46">
        <f>+SUMIFS($AA22:$DR22,$AA$7:$DR$7,I$7)</f>
        <v/>
      </c>
      <c r="J22" s="46">
        <f>+SUMIFS($AA22:$DR22,$AA$7:$DR$7,J$7)</f>
        <v/>
      </c>
      <c r="K22" s="46">
        <f>+SUMIFS($AA22:$DR22,$AA$7:$DR$7,K$7)</f>
        <v/>
      </c>
      <c r="L22" s="46">
        <f>+SUMIFS($AA22:$DR22,$AA$7:$DR$7,L$7)</f>
        <v/>
      </c>
      <c r="M22" s="46">
        <f>+SUMIFS($AA22:$DR22,$AA$7:$DR$7,M$7)</f>
        <v/>
      </c>
      <c r="AA22" s="46">
        <f>+AA28/AA12</f>
        <v/>
      </c>
      <c r="AB22" s="46">
        <f>+AB28/AB12</f>
        <v/>
      </c>
      <c r="AC22" s="46">
        <f>+AC28/AC12</f>
        <v/>
      </c>
      <c r="AD22" s="46">
        <f>+AD28/AD12</f>
        <v/>
      </c>
      <c r="AE22" s="46">
        <f>+AE28/AE12</f>
        <v/>
      </c>
      <c r="AF22" s="46">
        <f>+AF28/AF12</f>
        <v/>
      </c>
      <c r="AG22" s="46">
        <f>+AG28/AG12</f>
        <v/>
      </c>
      <c r="AH22" s="46">
        <f>+AH28/AH12</f>
        <v/>
      </c>
      <c r="AI22" s="46">
        <f>+AI28/AI12</f>
        <v/>
      </c>
      <c r="AJ22" s="46">
        <f>+AJ28/AJ12</f>
        <v/>
      </c>
      <c r="AK22" s="46">
        <f>+AK28/AK12</f>
        <v/>
      </c>
      <c r="AL22" s="46">
        <f>+AL28/AL12</f>
        <v/>
      </c>
      <c r="AM22" s="46">
        <f>+AM28/AM12</f>
        <v/>
      </c>
      <c r="AN22" s="46">
        <f>+AN28/AN12</f>
        <v/>
      </c>
      <c r="AO22" s="46">
        <f>+AO28/AO12</f>
        <v/>
      </c>
      <c r="AP22" s="46">
        <f>+AP28/AP12</f>
        <v/>
      </c>
      <c r="AQ22" s="46">
        <f>+AQ28/AQ12</f>
        <v/>
      </c>
      <c r="AR22" s="46">
        <f>+AR28/AR12</f>
        <v/>
      </c>
      <c r="AS22" s="46">
        <f>+AS28/AS12</f>
        <v/>
      </c>
      <c r="AT22" s="46">
        <f>+AT28/AT12</f>
        <v/>
      </c>
      <c r="AU22" s="46">
        <f>+AU28/AU12</f>
        <v/>
      </c>
      <c r="AV22" s="46">
        <f>+AV28/AV12</f>
        <v/>
      </c>
      <c r="AW22" s="46">
        <f>+AW28/AW12</f>
        <v/>
      </c>
      <c r="AX22" s="46">
        <f>+AX28/AX12</f>
        <v/>
      </c>
      <c r="AY22" s="46">
        <f>+AY28/AY12</f>
        <v/>
      </c>
      <c r="AZ22" s="46">
        <f>+AZ28/AZ12</f>
        <v/>
      </c>
      <c r="BA22" s="46">
        <f>+BA28/BA12</f>
        <v/>
      </c>
      <c r="BB22" s="46">
        <f>+BB28/BB12</f>
        <v/>
      </c>
      <c r="BC22" s="46">
        <f>+BC28/BC12</f>
        <v/>
      </c>
      <c r="BD22" s="46">
        <f>+BD28/BD12</f>
        <v/>
      </c>
      <c r="BE22" s="46">
        <f>+BE28/BE12</f>
        <v/>
      </c>
      <c r="BF22" s="46">
        <f>+BF28/BF12</f>
        <v/>
      </c>
      <c r="BG22" s="46">
        <f>+BG28/BG12</f>
        <v/>
      </c>
      <c r="BH22" s="46">
        <f>+BH28/BH12</f>
        <v/>
      </c>
      <c r="BI22" s="46">
        <f>+BI28/BI12</f>
        <v/>
      </c>
      <c r="BJ22" s="46">
        <f>+BJ28/BJ12</f>
        <v/>
      </c>
      <c r="BK22" s="46">
        <f>+BK28/BK12</f>
        <v/>
      </c>
      <c r="BL22" s="46">
        <f>+BL28/BL12</f>
        <v/>
      </c>
      <c r="BM22" s="46">
        <f>+BM28/BM12</f>
        <v/>
      </c>
      <c r="BN22" s="46">
        <f>+BN28/BN12</f>
        <v/>
      </c>
      <c r="BO22" s="46">
        <f>+BO28/BO12</f>
        <v/>
      </c>
      <c r="BP22" s="46">
        <f>+BP28/BP12</f>
        <v/>
      </c>
      <c r="BQ22" s="46">
        <f>+BQ28/BQ12</f>
        <v/>
      </c>
      <c r="BR22" s="46">
        <f>+BR28/BR12</f>
        <v/>
      </c>
      <c r="BS22" s="46">
        <f>+BS28/BS12</f>
        <v/>
      </c>
      <c r="BT22" s="46">
        <f>+BT28/BT12</f>
        <v/>
      </c>
      <c r="BU22" s="46">
        <f>+BU28/BU12</f>
        <v/>
      </c>
      <c r="BV22" s="46">
        <f>+BV28/BV12</f>
        <v/>
      </c>
      <c r="BW22" s="46">
        <f>+BW28/BW12</f>
        <v/>
      </c>
      <c r="BX22" s="46">
        <f>+BX28/BX12</f>
        <v/>
      </c>
      <c r="BY22" s="46">
        <f>+BY28/BY12</f>
        <v/>
      </c>
      <c r="BZ22" s="46">
        <f>+BZ28/BZ12</f>
        <v/>
      </c>
      <c r="CA22" s="46">
        <f>+CA28/CA12</f>
        <v/>
      </c>
      <c r="CB22" s="46">
        <f>+CB28/CB12</f>
        <v/>
      </c>
      <c r="CC22" s="46">
        <f>+CC28/CC12</f>
        <v/>
      </c>
      <c r="CD22" s="46">
        <f>+CD28/CD12</f>
        <v/>
      </c>
      <c r="CE22" s="46">
        <f>+CE28/CE12</f>
        <v/>
      </c>
      <c r="CF22" s="46">
        <f>+CF28/CF12</f>
        <v/>
      </c>
      <c r="CG22" s="46">
        <f>+CG28/CG12</f>
        <v/>
      </c>
      <c r="CH22" s="46">
        <f>+CH28/CH12</f>
        <v/>
      </c>
      <c r="CI22" s="48">
        <f>+SUMIFS(Opex_Assumptions!$F18:$M18,Opex_Assumptions!$F$7:$M$7,CI$7)/12</f>
        <v/>
      </c>
      <c r="CJ22" s="48">
        <f>+SUMIFS(Opex_Assumptions!$F18:$M18,Opex_Assumptions!$F$7:$M$7,CJ$7)/12</f>
        <v/>
      </c>
      <c r="CK22" s="48">
        <f>+SUMIFS(Opex_Assumptions!$F18:$M18,Opex_Assumptions!$F$7:$M$7,CK$7)/12</f>
        <v/>
      </c>
      <c r="CL22" s="48">
        <f>+SUMIFS(Opex_Assumptions!$F18:$M18,Opex_Assumptions!$F$7:$M$7,CL$7)/12</f>
        <v/>
      </c>
      <c r="CM22" s="48">
        <f>+SUMIFS(Opex_Assumptions!$F18:$M18,Opex_Assumptions!$F$7:$M$7,CM$7)/12</f>
        <v/>
      </c>
      <c r="CN22" s="48">
        <f>+SUMIFS(Opex_Assumptions!$F18:$M18,Opex_Assumptions!$F$7:$M$7,CN$7)/12</f>
        <v/>
      </c>
      <c r="CO22" s="48">
        <f>+SUMIFS(Opex_Assumptions!$F18:$M18,Opex_Assumptions!$F$7:$M$7,CO$7)/12</f>
        <v/>
      </c>
      <c r="CP22" s="48">
        <f>+SUMIFS(Opex_Assumptions!$F18:$M18,Opex_Assumptions!$F$7:$M$7,CP$7)/12</f>
        <v/>
      </c>
      <c r="CQ22" s="48">
        <f>+SUMIFS(Opex_Assumptions!$F18:$M18,Opex_Assumptions!$F$7:$M$7,CQ$7)/12</f>
        <v/>
      </c>
      <c r="CR22" s="48">
        <f>+SUMIFS(Opex_Assumptions!$F18:$M18,Opex_Assumptions!$F$7:$M$7,CR$7)/12</f>
        <v/>
      </c>
      <c r="CS22" s="48">
        <f>+SUMIFS(Opex_Assumptions!$F18:$M18,Opex_Assumptions!$F$7:$M$7,CS$7)/12</f>
        <v/>
      </c>
      <c r="CT22" s="48">
        <f>+SUMIFS(Opex_Assumptions!$F18:$M18,Opex_Assumptions!$F$7:$M$7,CT$7)/12</f>
        <v/>
      </c>
      <c r="CU22" s="48">
        <f>+SUMIFS(Opex_Assumptions!$F18:$M18,Opex_Assumptions!$F$7:$M$7,CU$7)/12</f>
        <v/>
      </c>
      <c r="CV22" s="48">
        <f>+SUMIFS(Opex_Assumptions!$F18:$M18,Opex_Assumptions!$F$7:$M$7,CV$7)/12</f>
        <v/>
      </c>
      <c r="CW22" s="48">
        <f>+SUMIFS(Opex_Assumptions!$F18:$M18,Opex_Assumptions!$F$7:$M$7,CW$7)/12</f>
        <v/>
      </c>
      <c r="CX22" s="48">
        <f>+SUMIFS(Opex_Assumptions!$F18:$M18,Opex_Assumptions!$F$7:$M$7,CX$7)/12</f>
        <v/>
      </c>
      <c r="CY22" s="48">
        <f>+SUMIFS(Opex_Assumptions!$F18:$M18,Opex_Assumptions!$F$7:$M$7,CY$7)/12</f>
        <v/>
      </c>
      <c r="CZ22" s="48">
        <f>+SUMIFS(Opex_Assumptions!$F18:$M18,Opex_Assumptions!$F$7:$M$7,CZ$7)/12</f>
        <v/>
      </c>
      <c r="DA22" s="48">
        <f>+SUMIFS(Opex_Assumptions!$F18:$M18,Opex_Assumptions!$F$7:$M$7,DA$7)/12</f>
        <v/>
      </c>
      <c r="DB22" s="48">
        <f>+SUMIFS(Opex_Assumptions!$F18:$M18,Opex_Assumptions!$F$7:$M$7,DB$7)/12</f>
        <v/>
      </c>
      <c r="DC22" s="48">
        <f>+SUMIFS(Opex_Assumptions!$F18:$M18,Opex_Assumptions!$F$7:$M$7,DC$7)/12</f>
        <v/>
      </c>
      <c r="DD22" s="48">
        <f>+SUMIFS(Opex_Assumptions!$F18:$M18,Opex_Assumptions!$F$7:$M$7,DD$7)/12</f>
        <v/>
      </c>
      <c r="DE22" s="48">
        <f>+SUMIFS(Opex_Assumptions!$F18:$M18,Opex_Assumptions!$F$7:$M$7,DE$7)/12</f>
        <v/>
      </c>
      <c r="DF22" s="48">
        <f>+SUMIFS(Opex_Assumptions!$F18:$M18,Opex_Assumptions!$F$7:$M$7,DF$7)/12</f>
        <v/>
      </c>
      <c r="DG22" s="48">
        <f>+SUMIFS(Opex_Assumptions!$F18:$M18,Opex_Assumptions!$F$7:$M$7,DG$7)/12</f>
        <v/>
      </c>
      <c r="DH22" s="48">
        <f>+SUMIFS(Opex_Assumptions!$F18:$M18,Opex_Assumptions!$F$7:$M$7,DH$7)/12</f>
        <v/>
      </c>
      <c r="DI22" s="48">
        <f>+SUMIFS(Opex_Assumptions!$F18:$M18,Opex_Assumptions!$F$7:$M$7,DI$7)/12</f>
        <v/>
      </c>
      <c r="DJ22" s="48">
        <f>+SUMIFS(Opex_Assumptions!$F18:$M18,Opex_Assumptions!$F$7:$M$7,DJ$7)/12</f>
        <v/>
      </c>
      <c r="DK22" s="48">
        <f>+SUMIFS(Opex_Assumptions!$F18:$M18,Opex_Assumptions!$F$7:$M$7,DK$7)/12</f>
        <v/>
      </c>
      <c r="DL22" s="48">
        <f>+SUMIFS(Opex_Assumptions!$F18:$M18,Opex_Assumptions!$F$7:$M$7,DL$7)/12</f>
        <v/>
      </c>
      <c r="DM22" s="48">
        <f>+SUMIFS(Opex_Assumptions!$F18:$M18,Opex_Assumptions!$F$7:$M$7,DM$7)/12</f>
        <v/>
      </c>
      <c r="DN22" s="48">
        <f>+SUMIFS(Opex_Assumptions!$F18:$M18,Opex_Assumptions!$F$7:$M$7,DN$7)/12</f>
        <v/>
      </c>
      <c r="DO22" s="48">
        <f>+SUMIFS(Opex_Assumptions!$F18:$M18,Opex_Assumptions!$F$7:$M$7,DO$7)/12</f>
        <v/>
      </c>
      <c r="DP22" s="48">
        <f>+SUMIFS(Opex_Assumptions!$F18:$M18,Opex_Assumptions!$F$7:$M$7,DP$7)/12</f>
        <v/>
      </c>
      <c r="DQ22" s="48">
        <f>+SUMIFS(Opex_Assumptions!$F18:$M18,Opex_Assumptions!$F$7:$M$7,DQ$7)/12</f>
        <v/>
      </c>
      <c r="DR22" s="48">
        <f>+SUMIFS(Opex_Assumptions!$F18:$M18,Opex_Assumptions!$F$7:$M$7,DR$7)/12</f>
        <v/>
      </c>
    </row>
    <row r="23" ht="15.75" customHeight="1">
      <c r="B23" s="5" t="inlineStr">
        <is>
          <t>Sales &amp; CS</t>
        </is>
      </c>
      <c r="F23" s="46">
        <f>+SUMIFS($AA23:$DR23,$AA$7:$DR$7,F$7)</f>
        <v/>
      </c>
      <c r="G23" s="46">
        <f>+SUMIFS($AA23:$DR23,$AA$7:$DR$7,G$7)</f>
        <v/>
      </c>
      <c r="H23" s="46">
        <f>+SUMIFS($AA23:$DR23,$AA$7:$DR$7,H$7)</f>
        <v/>
      </c>
      <c r="I23" s="46">
        <f>+SUMIFS($AA23:$DR23,$AA$7:$DR$7,I$7)</f>
        <v/>
      </c>
      <c r="J23" s="46">
        <f>+SUMIFS($AA23:$DR23,$AA$7:$DR$7,J$7)</f>
        <v/>
      </c>
      <c r="K23" s="46">
        <f>+SUMIFS($AA23:$DR23,$AA$7:$DR$7,K$7)</f>
        <v/>
      </c>
      <c r="L23" s="46">
        <f>+SUMIFS($AA23:$DR23,$AA$7:$DR$7,L$7)</f>
        <v/>
      </c>
      <c r="M23" s="46">
        <f>+SUMIFS($AA23:$DR23,$AA$7:$DR$7,M$7)</f>
        <v/>
      </c>
      <c r="AA23" s="46">
        <f>+AA29/AA13</f>
        <v/>
      </c>
      <c r="AB23" s="46">
        <f>+AB29/AB13</f>
        <v/>
      </c>
      <c r="AC23" s="46">
        <f>+AC29/AC13</f>
        <v/>
      </c>
      <c r="AD23" s="46">
        <f>+AD29/AD13</f>
        <v/>
      </c>
      <c r="AE23" s="46">
        <f>+AE29/AE13</f>
        <v/>
      </c>
      <c r="AF23" s="46">
        <f>+AF29/AF13</f>
        <v/>
      </c>
      <c r="AG23" s="46">
        <f>+AG29/AG13</f>
        <v/>
      </c>
      <c r="AH23" s="46">
        <f>+AH29/AH13</f>
        <v/>
      </c>
      <c r="AI23" s="46">
        <f>+AI29/AI13</f>
        <v/>
      </c>
      <c r="AJ23" s="46">
        <f>+AJ29/AJ13</f>
        <v/>
      </c>
      <c r="AK23" s="46">
        <f>+AK29/AK13</f>
        <v/>
      </c>
      <c r="AL23" s="46">
        <f>+AL29/AL13</f>
        <v/>
      </c>
      <c r="AM23" s="46">
        <f>+AM29/AM13</f>
        <v/>
      </c>
      <c r="AN23" s="46">
        <f>+AN29/AN13</f>
        <v/>
      </c>
      <c r="AO23" s="46">
        <f>+AO29/AO13</f>
        <v/>
      </c>
      <c r="AP23" s="46">
        <f>+AP29/AP13</f>
        <v/>
      </c>
      <c r="AQ23" s="46">
        <f>+AQ29/AQ13</f>
        <v/>
      </c>
      <c r="AR23" s="46">
        <f>+AR29/AR13</f>
        <v/>
      </c>
      <c r="AS23" s="46">
        <f>+AS29/AS13</f>
        <v/>
      </c>
      <c r="AT23" s="46">
        <f>+AT29/AT13</f>
        <v/>
      </c>
      <c r="AU23" s="46">
        <f>+AU29/AU13</f>
        <v/>
      </c>
      <c r="AV23" s="46">
        <f>+AV29/AV13</f>
        <v/>
      </c>
      <c r="AW23" s="46">
        <f>+AW29/AW13</f>
        <v/>
      </c>
      <c r="AX23" s="46">
        <f>+AX29/AX13</f>
        <v/>
      </c>
      <c r="AY23" s="46">
        <f>+AY29/AY13</f>
        <v/>
      </c>
      <c r="AZ23" s="46">
        <f>+AZ29/AZ13</f>
        <v/>
      </c>
      <c r="BA23" s="46">
        <f>+BA29/BA13</f>
        <v/>
      </c>
      <c r="BB23" s="46">
        <f>+BB29/BB13</f>
        <v/>
      </c>
      <c r="BC23" s="46">
        <f>+BC29/BC13</f>
        <v/>
      </c>
      <c r="BD23" s="46">
        <f>+BD29/BD13</f>
        <v/>
      </c>
      <c r="BE23" s="46">
        <f>+BE29/BE13</f>
        <v/>
      </c>
      <c r="BF23" s="46">
        <f>+BF29/BF13</f>
        <v/>
      </c>
      <c r="BG23" s="46">
        <f>+BG29/BG13</f>
        <v/>
      </c>
      <c r="BH23" s="46">
        <f>+BH29/BH13</f>
        <v/>
      </c>
      <c r="BI23" s="46">
        <f>+BI29/BI13</f>
        <v/>
      </c>
      <c r="BJ23" s="46">
        <f>+BJ29/BJ13</f>
        <v/>
      </c>
      <c r="BK23" s="46">
        <f>+BK29/BK13</f>
        <v/>
      </c>
      <c r="BL23" s="46">
        <f>+BL29/BL13</f>
        <v/>
      </c>
      <c r="BM23" s="46">
        <f>+BM29/BM13</f>
        <v/>
      </c>
      <c r="BN23" s="46">
        <f>+BN29/BN13</f>
        <v/>
      </c>
      <c r="BO23" s="46">
        <f>+BO29/BO13</f>
        <v/>
      </c>
      <c r="BP23" s="46">
        <f>+BP29/BP13</f>
        <v/>
      </c>
      <c r="BQ23" s="46">
        <f>+BQ29/BQ13</f>
        <v/>
      </c>
      <c r="BR23" s="46">
        <f>+BR29/BR13</f>
        <v/>
      </c>
      <c r="BS23" s="46">
        <f>+BS29/BS13</f>
        <v/>
      </c>
      <c r="BT23" s="46">
        <f>+BT29/BT13</f>
        <v/>
      </c>
      <c r="BU23" s="46">
        <f>+BU29/BU13</f>
        <v/>
      </c>
      <c r="BV23" s="46">
        <f>+BV29/BV13</f>
        <v/>
      </c>
      <c r="BW23" s="46">
        <f>+BW29/BW13</f>
        <v/>
      </c>
      <c r="BX23" s="46">
        <f>+BX29/BX13</f>
        <v/>
      </c>
      <c r="BY23" s="46">
        <f>+BY29/BY13</f>
        <v/>
      </c>
      <c r="BZ23" s="46">
        <f>+BZ29/BZ13</f>
        <v/>
      </c>
      <c r="CA23" s="46">
        <f>+CA29/CA13</f>
        <v/>
      </c>
      <c r="CB23" s="46">
        <f>+CB29/CB13</f>
        <v/>
      </c>
      <c r="CC23" s="46">
        <f>+CC29/CC13</f>
        <v/>
      </c>
      <c r="CD23" s="46">
        <f>+CD29/CD13</f>
        <v/>
      </c>
      <c r="CE23" s="46">
        <f>+CE29/CE13</f>
        <v/>
      </c>
      <c r="CF23" s="46">
        <f>+CF29/CF13</f>
        <v/>
      </c>
      <c r="CG23" s="46">
        <f>+CG29/CG13</f>
        <v/>
      </c>
      <c r="CH23" s="46">
        <f>+CH29/CH13</f>
        <v/>
      </c>
      <c r="CI23" s="48">
        <f>+SUMIFS(Opex_Assumptions!$F19:$M19,Opex_Assumptions!$F$7:$M$7,CI$7)/12</f>
        <v/>
      </c>
      <c r="CJ23" s="48">
        <f>+SUMIFS(Opex_Assumptions!$F19:$M19,Opex_Assumptions!$F$7:$M$7,CJ$7)/12</f>
        <v/>
      </c>
      <c r="CK23" s="48">
        <f>+SUMIFS(Opex_Assumptions!$F19:$M19,Opex_Assumptions!$F$7:$M$7,CK$7)/12</f>
        <v/>
      </c>
      <c r="CL23" s="48">
        <f>+SUMIFS(Opex_Assumptions!$F19:$M19,Opex_Assumptions!$F$7:$M$7,CL$7)/12</f>
        <v/>
      </c>
      <c r="CM23" s="48">
        <f>+SUMIFS(Opex_Assumptions!$F19:$M19,Opex_Assumptions!$F$7:$M$7,CM$7)/12</f>
        <v/>
      </c>
      <c r="CN23" s="48">
        <f>+SUMIFS(Opex_Assumptions!$F19:$M19,Opex_Assumptions!$F$7:$M$7,CN$7)/12</f>
        <v/>
      </c>
      <c r="CO23" s="48">
        <f>+SUMIFS(Opex_Assumptions!$F19:$M19,Opex_Assumptions!$F$7:$M$7,CO$7)/12</f>
        <v/>
      </c>
      <c r="CP23" s="48">
        <f>+SUMIFS(Opex_Assumptions!$F19:$M19,Opex_Assumptions!$F$7:$M$7,CP$7)/12</f>
        <v/>
      </c>
      <c r="CQ23" s="48">
        <f>+SUMIFS(Opex_Assumptions!$F19:$M19,Opex_Assumptions!$F$7:$M$7,CQ$7)/12</f>
        <v/>
      </c>
      <c r="CR23" s="48">
        <f>+SUMIFS(Opex_Assumptions!$F19:$M19,Opex_Assumptions!$F$7:$M$7,CR$7)/12</f>
        <v/>
      </c>
      <c r="CS23" s="48">
        <f>+SUMIFS(Opex_Assumptions!$F19:$M19,Opex_Assumptions!$F$7:$M$7,CS$7)/12</f>
        <v/>
      </c>
      <c r="CT23" s="48">
        <f>+SUMIFS(Opex_Assumptions!$F19:$M19,Opex_Assumptions!$F$7:$M$7,CT$7)/12</f>
        <v/>
      </c>
      <c r="CU23" s="48">
        <f>+SUMIFS(Opex_Assumptions!$F19:$M19,Opex_Assumptions!$F$7:$M$7,CU$7)/12</f>
        <v/>
      </c>
      <c r="CV23" s="48">
        <f>+SUMIFS(Opex_Assumptions!$F19:$M19,Opex_Assumptions!$F$7:$M$7,CV$7)/12</f>
        <v/>
      </c>
      <c r="CW23" s="48">
        <f>+SUMIFS(Opex_Assumptions!$F19:$M19,Opex_Assumptions!$F$7:$M$7,CW$7)/12</f>
        <v/>
      </c>
      <c r="CX23" s="48">
        <f>+SUMIFS(Opex_Assumptions!$F19:$M19,Opex_Assumptions!$F$7:$M$7,CX$7)/12</f>
        <v/>
      </c>
      <c r="CY23" s="48">
        <f>+SUMIFS(Opex_Assumptions!$F19:$M19,Opex_Assumptions!$F$7:$M$7,CY$7)/12</f>
        <v/>
      </c>
      <c r="CZ23" s="48">
        <f>+SUMIFS(Opex_Assumptions!$F19:$M19,Opex_Assumptions!$F$7:$M$7,CZ$7)/12</f>
        <v/>
      </c>
      <c r="DA23" s="48">
        <f>+SUMIFS(Opex_Assumptions!$F19:$M19,Opex_Assumptions!$F$7:$M$7,DA$7)/12</f>
        <v/>
      </c>
      <c r="DB23" s="48">
        <f>+SUMIFS(Opex_Assumptions!$F19:$M19,Opex_Assumptions!$F$7:$M$7,DB$7)/12</f>
        <v/>
      </c>
      <c r="DC23" s="48">
        <f>+SUMIFS(Opex_Assumptions!$F19:$M19,Opex_Assumptions!$F$7:$M$7,DC$7)/12</f>
        <v/>
      </c>
      <c r="DD23" s="48">
        <f>+SUMIFS(Opex_Assumptions!$F19:$M19,Opex_Assumptions!$F$7:$M$7,DD$7)/12</f>
        <v/>
      </c>
      <c r="DE23" s="48">
        <f>+SUMIFS(Opex_Assumptions!$F19:$M19,Opex_Assumptions!$F$7:$M$7,DE$7)/12</f>
        <v/>
      </c>
      <c r="DF23" s="48">
        <f>+SUMIFS(Opex_Assumptions!$F19:$M19,Opex_Assumptions!$F$7:$M$7,DF$7)/12</f>
        <v/>
      </c>
      <c r="DG23" s="48">
        <f>+SUMIFS(Opex_Assumptions!$F19:$M19,Opex_Assumptions!$F$7:$M$7,DG$7)/12</f>
        <v/>
      </c>
      <c r="DH23" s="48">
        <f>+SUMIFS(Opex_Assumptions!$F19:$M19,Opex_Assumptions!$F$7:$M$7,DH$7)/12</f>
        <v/>
      </c>
      <c r="DI23" s="48">
        <f>+SUMIFS(Opex_Assumptions!$F19:$M19,Opex_Assumptions!$F$7:$M$7,DI$7)/12</f>
        <v/>
      </c>
      <c r="DJ23" s="48">
        <f>+SUMIFS(Opex_Assumptions!$F19:$M19,Opex_Assumptions!$F$7:$M$7,DJ$7)/12</f>
        <v/>
      </c>
      <c r="DK23" s="48">
        <f>+SUMIFS(Opex_Assumptions!$F19:$M19,Opex_Assumptions!$F$7:$M$7,DK$7)/12</f>
        <v/>
      </c>
      <c r="DL23" s="48">
        <f>+SUMIFS(Opex_Assumptions!$F19:$M19,Opex_Assumptions!$F$7:$M$7,DL$7)/12</f>
        <v/>
      </c>
      <c r="DM23" s="48">
        <f>+SUMIFS(Opex_Assumptions!$F19:$M19,Opex_Assumptions!$F$7:$M$7,DM$7)/12</f>
        <v/>
      </c>
      <c r="DN23" s="48">
        <f>+SUMIFS(Opex_Assumptions!$F19:$M19,Opex_Assumptions!$F$7:$M$7,DN$7)/12</f>
        <v/>
      </c>
      <c r="DO23" s="48">
        <f>+SUMIFS(Opex_Assumptions!$F19:$M19,Opex_Assumptions!$F$7:$M$7,DO$7)/12</f>
        <v/>
      </c>
      <c r="DP23" s="48">
        <f>+SUMIFS(Opex_Assumptions!$F19:$M19,Opex_Assumptions!$F$7:$M$7,DP$7)/12</f>
        <v/>
      </c>
      <c r="DQ23" s="48">
        <f>+SUMIFS(Opex_Assumptions!$F19:$M19,Opex_Assumptions!$F$7:$M$7,DQ$7)/12</f>
        <v/>
      </c>
      <c r="DR23" s="48">
        <f>+SUMIFS(Opex_Assumptions!$F19:$M19,Opex_Assumptions!$F$7:$M$7,DR$7)/12</f>
        <v/>
      </c>
    </row>
    <row r="24" ht="15.75" customHeight="1">
      <c r="B24" s="5" t="inlineStr">
        <is>
          <t>Executive</t>
        </is>
      </c>
      <c r="F24" s="46">
        <f>+SUMIFS($AA24:$DR24,$AA$7:$DR$7,F$7)</f>
        <v/>
      </c>
      <c r="G24" s="46">
        <f>+SUMIFS($AA24:$DR24,$AA$7:$DR$7,G$7)</f>
        <v/>
      </c>
      <c r="H24" s="46">
        <f>+SUMIFS($AA24:$DR24,$AA$7:$DR$7,H$7)</f>
        <v/>
      </c>
      <c r="I24" s="46">
        <f>+SUMIFS($AA24:$DR24,$AA$7:$DR$7,I$7)</f>
        <v/>
      </c>
      <c r="J24" s="46">
        <f>+SUMIFS($AA24:$DR24,$AA$7:$DR$7,J$7)</f>
        <v/>
      </c>
      <c r="K24" s="46">
        <f>+SUMIFS($AA24:$DR24,$AA$7:$DR$7,K$7)</f>
        <v/>
      </c>
      <c r="L24" s="46">
        <f>+SUMIFS($AA24:$DR24,$AA$7:$DR$7,L$7)</f>
        <v/>
      </c>
      <c r="M24" s="46">
        <f>+SUMIFS($AA24:$DR24,$AA$7:$DR$7,M$7)</f>
        <v/>
      </c>
      <c r="AA24" s="46">
        <f>+AA30/AA14</f>
        <v/>
      </c>
      <c r="AB24" s="46">
        <f>+AB30/AB14</f>
        <v/>
      </c>
      <c r="AC24" s="46">
        <f>+AC30/AC14</f>
        <v/>
      </c>
      <c r="AD24" s="46">
        <f>+AD30/AD14</f>
        <v/>
      </c>
      <c r="AE24" s="46">
        <f>+AE30/AE14</f>
        <v/>
      </c>
      <c r="AF24" s="46">
        <f>+AF30/AF14</f>
        <v/>
      </c>
      <c r="AG24" s="46">
        <f>+AG30/AG14</f>
        <v/>
      </c>
      <c r="AH24" s="46">
        <f>+AH30/AH14</f>
        <v/>
      </c>
      <c r="AI24" s="46">
        <f>+AI30/AI14</f>
        <v/>
      </c>
      <c r="AJ24" s="46">
        <f>+AJ30/AJ14</f>
        <v/>
      </c>
      <c r="AK24" s="46">
        <f>+AK30/AK14</f>
        <v/>
      </c>
      <c r="AL24" s="46">
        <f>+AL30/AL14</f>
        <v/>
      </c>
      <c r="AM24" s="46">
        <f>+AM30/AM14</f>
        <v/>
      </c>
      <c r="AN24" s="46">
        <f>+AN30/AN14</f>
        <v/>
      </c>
      <c r="AO24" s="46">
        <f>+AO30/AO14</f>
        <v/>
      </c>
      <c r="AP24" s="46">
        <f>+AP30/AP14</f>
        <v/>
      </c>
      <c r="AQ24" s="46">
        <f>+AQ30/AQ14</f>
        <v/>
      </c>
      <c r="AR24" s="46">
        <f>+AR30/AR14</f>
        <v/>
      </c>
      <c r="AS24" s="46">
        <f>+AS30/AS14</f>
        <v/>
      </c>
      <c r="AT24" s="46">
        <f>+AT30/AT14</f>
        <v/>
      </c>
      <c r="AU24" s="46">
        <f>+AU30/AU14</f>
        <v/>
      </c>
      <c r="AV24" s="46">
        <f>+AV30/AV14</f>
        <v/>
      </c>
      <c r="AW24" s="46">
        <f>+AW30/AW14</f>
        <v/>
      </c>
      <c r="AX24" s="46">
        <f>+AX30/AX14</f>
        <v/>
      </c>
      <c r="AY24" s="46">
        <f>+AY30/AY14</f>
        <v/>
      </c>
      <c r="AZ24" s="46">
        <f>+AZ30/AZ14</f>
        <v/>
      </c>
      <c r="BA24" s="46">
        <f>+BA30/BA14</f>
        <v/>
      </c>
      <c r="BB24" s="46">
        <f>+BB30/BB14</f>
        <v/>
      </c>
      <c r="BC24" s="46">
        <f>+BC30/BC14</f>
        <v/>
      </c>
      <c r="BD24" s="46">
        <f>+BD30/BD14</f>
        <v/>
      </c>
      <c r="BE24" s="46">
        <f>+BE30/BE14</f>
        <v/>
      </c>
      <c r="BF24" s="46">
        <f>+BF30/BF14</f>
        <v/>
      </c>
      <c r="BG24" s="46">
        <f>+BG30/BG14</f>
        <v/>
      </c>
      <c r="BH24" s="46">
        <f>+BH30/BH14</f>
        <v/>
      </c>
      <c r="BI24" s="46">
        <f>+BI30/BI14</f>
        <v/>
      </c>
      <c r="BJ24" s="46">
        <f>+BJ30/BJ14</f>
        <v/>
      </c>
      <c r="BK24" s="46">
        <f>+BK30/BK14</f>
        <v/>
      </c>
      <c r="BL24" s="46">
        <f>+BL30/BL14</f>
        <v/>
      </c>
      <c r="BM24" s="46">
        <f>+BM30/BM14</f>
        <v/>
      </c>
      <c r="BN24" s="46">
        <f>+BN30/BN14</f>
        <v/>
      </c>
      <c r="BO24" s="46">
        <f>+BO30/BO14</f>
        <v/>
      </c>
      <c r="BP24" s="46">
        <f>+BP30/BP14</f>
        <v/>
      </c>
      <c r="BQ24" s="46">
        <f>+BQ30/BQ14</f>
        <v/>
      </c>
      <c r="BR24" s="46">
        <f>+BR30/BR14</f>
        <v/>
      </c>
      <c r="BS24" s="46">
        <f>+BS30/BS14</f>
        <v/>
      </c>
      <c r="BT24" s="46">
        <f>+BT30/BT14</f>
        <v/>
      </c>
      <c r="BU24" s="46">
        <f>+BU30/BU14</f>
        <v/>
      </c>
      <c r="BV24" s="46">
        <f>+BV30/BV14</f>
        <v/>
      </c>
      <c r="BW24" s="46">
        <f>+BW30/BW14</f>
        <v/>
      </c>
      <c r="BX24" s="46">
        <f>+BX30/BX14</f>
        <v/>
      </c>
      <c r="BY24" s="46">
        <f>+BY30/BY14</f>
        <v/>
      </c>
      <c r="BZ24" s="46">
        <f>+BZ30/BZ14</f>
        <v/>
      </c>
      <c r="CA24" s="46">
        <f>+CA30/CA14</f>
        <v/>
      </c>
      <c r="CB24" s="46">
        <f>+CB30/CB14</f>
        <v/>
      </c>
      <c r="CC24" s="46">
        <f>+CC30/CC14</f>
        <v/>
      </c>
      <c r="CD24" s="46">
        <f>+CD30/CD14</f>
        <v/>
      </c>
      <c r="CE24" s="46">
        <f>+CE30/CE14</f>
        <v/>
      </c>
      <c r="CF24" s="46">
        <f>+CF30/CF14</f>
        <v/>
      </c>
      <c r="CG24" s="46">
        <f>+CG30/CG14</f>
        <v/>
      </c>
      <c r="CH24" s="46">
        <f>+CH30/CH14</f>
        <v/>
      </c>
      <c r="CI24" s="48">
        <f>+SUMIFS(Opex_Assumptions!$F20:$M20,Opex_Assumptions!$F$7:$M$7,CI$7)/12</f>
        <v/>
      </c>
      <c r="CJ24" s="48">
        <f>+SUMIFS(Opex_Assumptions!$F20:$M20,Opex_Assumptions!$F$7:$M$7,CJ$7)/12</f>
        <v/>
      </c>
      <c r="CK24" s="48">
        <f>+SUMIFS(Opex_Assumptions!$F20:$M20,Opex_Assumptions!$F$7:$M$7,CK$7)/12</f>
        <v/>
      </c>
      <c r="CL24" s="48">
        <f>+SUMIFS(Opex_Assumptions!$F20:$M20,Opex_Assumptions!$F$7:$M$7,CL$7)/12</f>
        <v/>
      </c>
      <c r="CM24" s="48">
        <f>+SUMIFS(Opex_Assumptions!$F20:$M20,Opex_Assumptions!$F$7:$M$7,CM$7)/12</f>
        <v/>
      </c>
      <c r="CN24" s="48">
        <f>+SUMIFS(Opex_Assumptions!$F20:$M20,Opex_Assumptions!$F$7:$M$7,CN$7)/12</f>
        <v/>
      </c>
      <c r="CO24" s="48">
        <f>+SUMIFS(Opex_Assumptions!$F20:$M20,Opex_Assumptions!$F$7:$M$7,CO$7)/12</f>
        <v/>
      </c>
      <c r="CP24" s="48">
        <f>+SUMIFS(Opex_Assumptions!$F20:$M20,Opex_Assumptions!$F$7:$M$7,CP$7)/12</f>
        <v/>
      </c>
      <c r="CQ24" s="48">
        <f>+SUMIFS(Opex_Assumptions!$F20:$M20,Opex_Assumptions!$F$7:$M$7,CQ$7)/12</f>
        <v/>
      </c>
      <c r="CR24" s="48">
        <f>+SUMIFS(Opex_Assumptions!$F20:$M20,Opex_Assumptions!$F$7:$M$7,CR$7)/12</f>
        <v/>
      </c>
      <c r="CS24" s="48">
        <f>+SUMIFS(Opex_Assumptions!$F20:$M20,Opex_Assumptions!$F$7:$M$7,CS$7)/12</f>
        <v/>
      </c>
      <c r="CT24" s="48">
        <f>+SUMIFS(Opex_Assumptions!$F20:$M20,Opex_Assumptions!$F$7:$M$7,CT$7)/12</f>
        <v/>
      </c>
      <c r="CU24" s="48">
        <f>+SUMIFS(Opex_Assumptions!$F20:$M20,Opex_Assumptions!$F$7:$M$7,CU$7)/12</f>
        <v/>
      </c>
      <c r="CV24" s="48">
        <f>+SUMIFS(Opex_Assumptions!$F20:$M20,Opex_Assumptions!$F$7:$M$7,CV$7)/12</f>
        <v/>
      </c>
      <c r="CW24" s="48">
        <f>+SUMIFS(Opex_Assumptions!$F20:$M20,Opex_Assumptions!$F$7:$M$7,CW$7)/12</f>
        <v/>
      </c>
      <c r="CX24" s="48">
        <f>+SUMIFS(Opex_Assumptions!$F20:$M20,Opex_Assumptions!$F$7:$M$7,CX$7)/12</f>
        <v/>
      </c>
      <c r="CY24" s="48">
        <f>+SUMIFS(Opex_Assumptions!$F20:$M20,Opex_Assumptions!$F$7:$M$7,CY$7)/12</f>
        <v/>
      </c>
      <c r="CZ24" s="48">
        <f>+SUMIFS(Opex_Assumptions!$F20:$M20,Opex_Assumptions!$F$7:$M$7,CZ$7)/12</f>
        <v/>
      </c>
      <c r="DA24" s="48">
        <f>+SUMIFS(Opex_Assumptions!$F20:$M20,Opex_Assumptions!$F$7:$M$7,DA$7)/12</f>
        <v/>
      </c>
      <c r="DB24" s="48">
        <f>+SUMIFS(Opex_Assumptions!$F20:$M20,Opex_Assumptions!$F$7:$M$7,DB$7)/12</f>
        <v/>
      </c>
      <c r="DC24" s="48">
        <f>+SUMIFS(Opex_Assumptions!$F20:$M20,Opex_Assumptions!$F$7:$M$7,DC$7)/12</f>
        <v/>
      </c>
      <c r="DD24" s="48">
        <f>+SUMIFS(Opex_Assumptions!$F20:$M20,Opex_Assumptions!$F$7:$M$7,DD$7)/12</f>
        <v/>
      </c>
      <c r="DE24" s="48">
        <f>+SUMIFS(Opex_Assumptions!$F20:$M20,Opex_Assumptions!$F$7:$M$7,DE$7)/12</f>
        <v/>
      </c>
      <c r="DF24" s="48">
        <f>+SUMIFS(Opex_Assumptions!$F20:$M20,Opex_Assumptions!$F$7:$M$7,DF$7)/12</f>
        <v/>
      </c>
      <c r="DG24" s="48">
        <f>+SUMIFS(Opex_Assumptions!$F20:$M20,Opex_Assumptions!$F$7:$M$7,DG$7)/12</f>
        <v/>
      </c>
      <c r="DH24" s="48">
        <f>+SUMIFS(Opex_Assumptions!$F20:$M20,Opex_Assumptions!$F$7:$M$7,DH$7)/12</f>
        <v/>
      </c>
      <c r="DI24" s="48">
        <f>+SUMIFS(Opex_Assumptions!$F20:$M20,Opex_Assumptions!$F$7:$M$7,DI$7)/12</f>
        <v/>
      </c>
      <c r="DJ24" s="48">
        <f>+SUMIFS(Opex_Assumptions!$F20:$M20,Opex_Assumptions!$F$7:$M$7,DJ$7)/12</f>
        <v/>
      </c>
      <c r="DK24" s="48">
        <f>+SUMIFS(Opex_Assumptions!$F20:$M20,Opex_Assumptions!$F$7:$M$7,DK$7)/12</f>
        <v/>
      </c>
      <c r="DL24" s="48">
        <f>+SUMIFS(Opex_Assumptions!$F20:$M20,Opex_Assumptions!$F$7:$M$7,DL$7)/12</f>
        <v/>
      </c>
      <c r="DM24" s="48">
        <f>+SUMIFS(Opex_Assumptions!$F20:$M20,Opex_Assumptions!$F$7:$M$7,DM$7)/12</f>
        <v/>
      </c>
      <c r="DN24" s="48">
        <f>+SUMIFS(Opex_Assumptions!$F20:$M20,Opex_Assumptions!$F$7:$M$7,DN$7)/12</f>
        <v/>
      </c>
      <c r="DO24" s="48">
        <f>+SUMIFS(Opex_Assumptions!$F20:$M20,Opex_Assumptions!$F$7:$M$7,DO$7)/12</f>
        <v/>
      </c>
      <c r="DP24" s="48">
        <f>+SUMIFS(Opex_Assumptions!$F20:$M20,Opex_Assumptions!$F$7:$M$7,DP$7)/12</f>
        <v/>
      </c>
      <c r="DQ24" s="48">
        <f>+SUMIFS(Opex_Assumptions!$F20:$M20,Opex_Assumptions!$F$7:$M$7,DQ$7)/12</f>
        <v/>
      </c>
      <c r="DR24" s="48">
        <f>+SUMIFS(Opex_Assumptions!$F20:$M20,Opex_Assumptions!$F$7:$M$7,DR$7)/12</f>
        <v/>
      </c>
    </row>
    <row r="25" ht="15.75" customHeight="1">
      <c r="B25" s="5" t="inlineStr">
        <is>
          <t>Admin</t>
        </is>
      </c>
      <c r="F25" s="46">
        <f>+SUMIFS($AA25:$DR25,$AA$7:$DR$7,F$7)</f>
        <v/>
      </c>
      <c r="G25" s="46">
        <f>+SUMIFS($AA25:$DR25,$AA$7:$DR$7,G$7)</f>
        <v/>
      </c>
      <c r="H25" s="46">
        <f>+SUMIFS($AA25:$DR25,$AA$7:$DR$7,H$7)</f>
        <v/>
      </c>
      <c r="I25" s="46">
        <f>+SUMIFS($AA25:$DR25,$AA$7:$DR$7,I$7)</f>
        <v/>
      </c>
      <c r="J25" s="46">
        <f>+SUMIFS($AA25:$DR25,$AA$7:$DR$7,J$7)</f>
        <v/>
      </c>
      <c r="K25" s="46">
        <f>+SUMIFS($AA25:$DR25,$AA$7:$DR$7,K$7)</f>
        <v/>
      </c>
      <c r="L25" s="46">
        <f>+SUMIFS($AA25:$DR25,$AA$7:$DR$7,L$7)</f>
        <v/>
      </c>
      <c r="M25" s="46">
        <f>+SUMIFS($AA25:$DR25,$AA$7:$DR$7,M$7)</f>
        <v/>
      </c>
      <c r="AA25" s="46">
        <f>+AA31/AA15</f>
        <v/>
      </c>
      <c r="AB25" s="46">
        <f>+AB31/AB15</f>
        <v/>
      </c>
      <c r="AC25" s="46">
        <f>+AC31/AC15</f>
        <v/>
      </c>
      <c r="AD25" s="46">
        <f>+AD31/AD15</f>
        <v/>
      </c>
      <c r="AE25" s="46">
        <f>+AE31/AE15</f>
        <v/>
      </c>
      <c r="AF25" s="46">
        <f>+AF31/AF15</f>
        <v/>
      </c>
      <c r="AG25" s="46">
        <f>+AG31/AG15</f>
        <v/>
      </c>
      <c r="AH25" s="46">
        <f>+AH31/AH15</f>
        <v/>
      </c>
      <c r="AI25" s="46">
        <f>+AI31/AI15</f>
        <v/>
      </c>
      <c r="AJ25" s="46">
        <f>+AJ31/AJ15</f>
        <v/>
      </c>
      <c r="AK25" s="46">
        <f>+AK31/AK15</f>
        <v/>
      </c>
      <c r="AL25" s="46">
        <f>+AL31/AL15</f>
        <v/>
      </c>
      <c r="AM25" s="46">
        <f>+AM31/AM15</f>
        <v/>
      </c>
      <c r="AN25" s="46">
        <f>+AN31/AN15</f>
        <v/>
      </c>
      <c r="AO25" s="46">
        <f>+AO31/AO15</f>
        <v/>
      </c>
      <c r="AP25" s="46">
        <f>+AP31/AP15</f>
        <v/>
      </c>
      <c r="AQ25" s="46">
        <f>+AQ31/AQ15</f>
        <v/>
      </c>
      <c r="AR25" s="46">
        <f>+AR31/AR15</f>
        <v/>
      </c>
      <c r="AS25" s="46">
        <f>+AS31/AS15</f>
        <v/>
      </c>
      <c r="AT25" s="46">
        <f>+AT31/AT15</f>
        <v/>
      </c>
      <c r="AU25" s="46">
        <f>+AU31/AU15</f>
        <v/>
      </c>
      <c r="AV25" s="46">
        <f>+AV31/AV15</f>
        <v/>
      </c>
      <c r="AW25" s="46">
        <f>+AW31/AW15</f>
        <v/>
      </c>
      <c r="AX25" s="46">
        <f>+AX31/AX15</f>
        <v/>
      </c>
      <c r="AY25" s="46">
        <f>+AY31/AY15</f>
        <v/>
      </c>
      <c r="AZ25" s="46">
        <f>+AZ31/AZ15</f>
        <v/>
      </c>
      <c r="BA25" s="46">
        <f>+BA31/BA15</f>
        <v/>
      </c>
      <c r="BB25" s="46">
        <f>+BB31/BB15</f>
        <v/>
      </c>
      <c r="BC25" s="46">
        <f>+BC31/BC15</f>
        <v/>
      </c>
      <c r="BD25" s="46">
        <f>+BD31/BD15</f>
        <v/>
      </c>
      <c r="BE25" s="46">
        <f>+BE31/BE15</f>
        <v/>
      </c>
      <c r="BF25" s="46">
        <f>+BF31/BF15</f>
        <v/>
      </c>
      <c r="BG25" s="46">
        <f>+BG31/BG15</f>
        <v/>
      </c>
      <c r="BH25" s="46">
        <f>+BH31/BH15</f>
        <v/>
      </c>
      <c r="BI25" s="46">
        <f>+BI31/BI15</f>
        <v/>
      </c>
      <c r="BJ25" s="46">
        <f>+BJ31/BJ15</f>
        <v/>
      </c>
      <c r="BK25" s="46">
        <f>+BK31/BK15</f>
        <v/>
      </c>
      <c r="BL25" s="46">
        <f>+BL31/BL15</f>
        <v/>
      </c>
      <c r="BM25" s="46">
        <f>+BM31/BM15</f>
        <v/>
      </c>
      <c r="BN25" s="46">
        <f>+BN31/BN15</f>
        <v/>
      </c>
      <c r="BO25" s="46">
        <f>+BO31/BO15</f>
        <v/>
      </c>
      <c r="BP25" s="46">
        <f>+BP31/BP15</f>
        <v/>
      </c>
      <c r="BQ25" s="46">
        <f>+BQ31/BQ15</f>
        <v/>
      </c>
      <c r="BR25" s="46">
        <f>+BR31/BR15</f>
        <v/>
      </c>
      <c r="BS25" s="46">
        <f>+BS31/BS15</f>
        <v/>
      </c>
      <c r="BT25" s="46">
        <f>+BT31/BT15</f>
        <v/>
      </c>
      <c r="BU25" s="46">
        <f>+BU31/BU15</f>
        <v/>
      </c>
      <c r="BV25" s="46">
        <f>+BV31/BV15</f>
        <v/>
      </c>
      <c r="BW25" s="46">
        <f>+BW31/BW15</f>
        <v/>
      </c>
      <c r="BX25" s="46">
        <f>+BX31/BX15</f>
        <v/>
      </c>
      <c r="BY25" s="46">
        <f>+BY31/BY15</f>
        <v/>
      </c>
      <c r="BZ25" s="46">
        <f>+BZ31/BZ15</f>
        <v/>
      </c>
      <c r="CA25" s="46">
        <f>+CA31/CA15</f>
        <v/>
      </c>
      <c r="CB25" s="46">
        <f>+CB31/CB15</f>
        <v/>
      </c>
      <c r="CC25" s="46">
        <f>+CC31/CC15</f>
        <v/>
      </c>
      <c r="CD25" s="46">
        <f>+CD31/CD15</f>
        <v/>
      </c>
      <c r="CE25" s="46">
        <f>+CE31/CE15</f>
        <v/>
      </c>
      <c r="CF25" s="46">
        <f>+CF31/CF15</f>
        <v/>
      </c>
      <c r="CG25" s="46">
        <f>+CG31/CG15</f>
        <v/>
      </c>
      <c r="CH25" s="46">
        <f>+CH31/CH15</f>
        <v/>
      </c>
      <c r="CI25" s="48">
        <f>+SUMIFS(Opex_Assumptions!$F21:$M21,Opex_Assumptions!$F$7:$M$7,CI$7)/12</f>
        <v/>
      </c>
      <c r="CJ25" s="48">
        <f>+SUMIFS(Opex_Assumptions!$F21:$M21,Opex_Assumptions!$F$7:$M$7,CJ$7)/12</f>
        <v/>
      </c>
      <c r="CK25" s="48">
        <f>+SUMIFS(Opex_Assumptions!$F21:$M21,Opex_Assumptions!$F$7:$M$7,CK$7)/12</f>
        <v/>
      </c>
      <c r="CL25" s="48">
        <f>+SUMIFS(Opex_Assumptions!$F21:$M21,Opex_Assumptions!$F$7:$M$7,CL$7)/12</f>
        <v/>
      </c>
      <c r="CM25" s="48">
        <f>+SUMIFS(Opex_Assumptions!$F21:$M21,Opex_Assumptions!$F$7:$M$7,CM$7)/12</f>
        <v/>
      </c>
      <c r="CN25" s="48">
        <f>+SUMIFS(Opex_Assumptions!$F21:$M21,Opex_Assumptions!$F$7:$M$7,CN$7)/12</f>
        <v/>
      </c>
      <c r="CO25" s="48">
        <f>+SUMIFS(Opex_Assumptions!$F21:$M21,Opex_Assumptions!$F$7:$M$7,CO$7)/12</f>
        <v/>
      </c>
      <c r="CP25" s="48">
        <f>+SUMIFS(Opex_Assumptions!$F21:$M21,Opex_Assumptions!$F$7:$M$7,CP$7)/12</f>
        <v/>
      </c>
      <c r="CQ25" s="48">
        <f>+SUMIFS(Opex_Assumptions!$F21:$M21,Opex_Assumptions!$F$7:$M$7,CQ$7)/12</f>
        <v/>
      </c>
      <c r="CR25" s="48">
        <f>+SUMIFS(Opex_Assumptions!$F21:$M21,Opex_Assumptions!$F$7:$M$7,CR$7)/12</f>
        <v/>
      </c>
      <c r="CS25" s="48">
        <f>+SUMIFS(Opex_Assumptions!$F21:$M21,Opex_Assumptions!$F$7:$M$7,CS$7)/12</f>
        <v/>
      </c>
      <c r="CT25" s="48">
        <f>+SUMIFS(Opex_Assumptions!$F21:$M21,Opex_Assumptions!$F$7:$M$7,CT$7)/12</f>
        <v/>
      </c>
      <c r="CU25" s="48">
        <f>+SUMIFS(Opex_Assumptions!$F21:$M21,Opex_Assumptions!$F$7:$M$7,CU$7)/12</f>
        <v/>
      </c>
      <c r="CV25" s="48">
        <f>+SUMIFS(Opex_Assumptions!$F21:$M21,Opex_Assumptions!$F$7:$M$7,CV$7)/12</f>
        <v/>
      </c>
      <c r="CW25" s="48">
        <f>+SUMIFS(Opex_Assumptions!$F21:$M21,Opex_Assumptions!$F$7:$M$7,CW$7)/12</f>
        <v/>
      </c>
      <c r="CX25" s="48">
        <f>+SUMIFS(Opex_Assumptions!$F21:$M21,Opex_Assumptions!$F$7:$M$7,CX$7)/12</f>
        <v/>
      </c>
      <c r="CY25" s="48">
        <f>+SUMIFS(Opex_Assumptions!$F21:$M21,Opex_Assumptions!$F$7:$M$7,CY$7)/12</f>
        <v/>
      </c>
      <c r="CZ25" s="48">
        <f>+SUMIFS(Opex_Assumptions!$F21:$M21,Opex_Assumptions!$F$7:$M$7,CZ$7)/12</f>
        <v/>
      </c>
      <c r="DA25" s="48">
        <f>+SUMIFS(Opex_Assumptions!$F21:$M21,Opex_Assumptions!$F$7:$M$7,DA$7)/12</f>
        <v/>
      </c>
      <c r="DB25" s="48">
        <f>+SUMIFS(Opex_Assumptions!$F21:$M21,Opex_Assumptions!$F$7:$M$7,DB$7)/12</f>
        <v/>
      </c>
      <c r="DC25" s="48">
        <f>+SUMIFS(Opex_Assumptions!$F21:$M21,Opex_Assumptions!$F$7:$M$7,DC$7)/12</f>
        <v/>
      </c>
      <c r="DD25" s="48">
        <f>+SUMIFS(Opex_Assumptions!$F21:$M21,Opex_Assumptions!$F$7:$M$7,DD$7)/12</f>
        <v/>
      </c>
      <c r="DE25" s="48">
        <f>+SUMIFS(Opex_Assumptions!$F21:$M21,Opex_Assumptions!$F$7:$M$7,DE$7)/12</f>
        <v/>
      </c>
      <c r="DF25" s="48">
        <f>+SUMIFS(Opex_Assumptions!$F21:$M21,Opex_Assumptions!$F$7:$M$7,DF$7)/12</f>
        <v/>
      </c>
      <c r="DG25" s="48">
        <f>+SUMIFS(Opex_Assumptions!$F21:$M21,Opex_Assumptions!$F$7:$M$7,DG$7)/12</f>
        <v/>
      </c>
      <c r="DH25" s="48">
        <f>+SUMIFS(Opex_Assumptions!$F21:$M21,Opex_Assumptions!$F$7:$M$7,DH$7)/12</f>
        <v/>
      </c>
      <c r="DI25" s="48">
        <f>+SUMIFS(Opex_Assumptions!$F21:$M21,Opex_Assumptions!$F$7:$M$7,DI$7)/12</f>
        <v/>
      </c>
      <c r="DJ25" s="48">
        <f>+SUMIFS(Opex_Assumptions!$F21:$M21,Opex_Assumptions!$F$7:$M$7,DJ$7)/12</f>
        <v/>
      </c>
      <c r="DK25" s="48">
        <f>+SUMIFS(Opex_Assumptions!$F21:$M21,Opex_Assumptions!$F$7:$M$7,DK$7)/12</f>
        <v/>
      </c>
      <c r="DL25" s="48">
        <f>+SUMIFS(Opex_Assumptions!$F21:$M21,Opex_Assumptions!$F$7:$M$7,DL$7)/12</f>
        <v/>
      </c>
      <c r="DM25" s="48">
        <f>+SUMIFS(Opex_Assumptions!$F21:$M21,Opex_Assumptions!$F$7:$M$7,DM$7)/12</f>
        <v/>
      </c>
      <c r="DN25" s="48">
        <f>+SUMIFS(Opex_Assumptions!$F21:$M21,Opex_Assumptions!$F$7:$M$7,DN$7)/12</f>
        <v/>
      </c>
      <c r="DO25" s="48">
        <f>+SUMIFS(Opex_Assumptions!$F21:$M21,Opex_Assumptions!$F$7:$M$7,DO$7)/12</f>
        <v/>
      </c>
      <c r="DP25" s="48">
        <f>+SUMIFS(Opex_Assumptions!$F21:$M21,Opex_Assumptions!$F$7:$M$7,DP$7)/12</f>
        <v/>
      </c>
      <c r="DQ25" s="48">
        <f>+SUMIFS(Opex_Assumptions!$F21:$M21,Opex_Assumptions!$F$7:$M$7,DQ$7)/12</f>
        <v/>
      </c>
      <c r="DR25" s="48">
        <f>+SUMIFS(Opex_Assumptions!$F21:$M21,Opex_Assumptions!$F$7:$M$7,DR$7)/12</f>
        <v/>
      </c>
    </row>
    <row r="26" ht="4.5" customHeight="1"/>
    <row r="27" ht="15.75" customHeight="1">
      <c r="B27" s="44" t="inlineStr">
        <is>
          <t>Total Salary(1)</t>
        </is>
      </c>
      <c r="AA27" s="126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</row>
    <row r="28" ht="15" customHeight="1">
      <c r="B28" s="5" t="inlineStr">
        <is>
          <t>Delivery</t>
        </is>
      </c>
      <c r="F28" s="46">
        <f>+SUMIFS($AA28:$DR28,$AA$7:$DR$7,F$7)</f>
        <v/>
      </c>
      <c r="G28" s="46">
        <f>+SUMIFS($AA28:$DR28,$AA$7:$DR$7,G$7)</f>
        <v/>
      </c>
      <c r="H28" s="46">
        <f>+SUMIFS($AA28:$DR28,$AA$7:$DR$7,H$7)</f>
        <v/>
      </c>
      <c r="I28" s="46">
        <f>+SUMIFS($AA28:$DR28,$AA$7:$DR$7,I$7)</f>
        <v/>
      </c>
      <c r="J28" s="46">
        <f>+SUMIFS($AA28:$DR28,$AA$7:$DR$7,J$7)</f>
        <v/>
      </c>
      <c r="K28" s="46">
        <f>+SUMIFS($AA28:$DR28,$AA$7:$DR$7,K$7)</f>
        <v/>
      </c>
      <c r="L28" s="46">
        <f>+SUMIFS($AA28:$DR28,$AA$7:$DR$7,L$7)</f>
        <v/>
      </c>
      <c r="M28" s="46">
        <f>+SUMIFS($AA28:$DR28,$AA$7:$DR$7,M$7)</f>
        <v/>
      </c>
      <c r="AA28" s="47" t="n">
        <v>742.0826983811153</v>
      </c>
      <c r="AB28" s="47" t="n">
        <v>797.5562774763421</v>
      </c>
      <c r="AC28" s="47" t="n">
        <v>759.2499776645049</v>
      </c>
      <c r="AD28" s="47" t="n">
        <v>782.0681746645718</v>
      </c>
      <c r="AE28" s="47" t="n">
        <v>823.7936987476912</v>
      </c>
      <c r="AF28" s="47" t="n">
        <v>922.5275507273101</v>
      </c>
      <c r="AG28" s="47" t="n">
        <v>937.420668551888</v>
      </c>
      <c r="AH28" s="47" t="n">
        <v>952.4491584886854</v>
      </c>
      <c r="AI28" s="47" t="n">
        <v>884.9446223087248</v>
      </c>
      <c r="AJ28" s="47" t="n">
        <v>940.8533586696033</v>
      </c>
      <c r="AK28" s="47" t="n">
        <v>909.2502702208724</v>
      </c>
      <c r="AL28" s="47" t="n">
        <v>945.200884583722</v>
      </c>
      <c r="AM28" s="47" t="n">
        <v>935.7055767278314</v>
      </c>
      <c r="AN28" s="47" t="n">
        <v>910.8450086121545</v>
      </c>
      <c r="AO28" s="47" t="n">
        <v>865.5116854723324</v>
      </c>
      <c r="AP28" s="47" t="n">
        <v>780.676671853366</v>
      </c>
      <c r="AQ28" s="47" t="n">
        <v>773.4495065048123</v>
      </c>
      <c r="AR28" s="47" t="n">
        <v>787.7080708781358</v>
      </c>
      <c r="AS28" s="47" t="n">
        <v>777.032798821453</v>
      </c>
      <c r="AT28" s="47" t="n">
        <v>774.3091605006082</v>
      </c>
      <c r="AU28" s="47" t="n">
        <v>754.6867152114107</v>
      </c>
      <c r="AV28" s="47" t="n">
        <v>710.4876332317754</v>
      </c>
      <c r="AW28" s="47" t="n">
        <v>639.7129292383092</v>
      </c>
      <c r="AX28" s="47" t="n">
        <v>678.1015464031393</v>
      </c>
      <c r="AY28" s="47" t="n">
        <v>667.1887496698488</v>
      </c>
      <c r="AZ28" s="47" t="n">
        <v>646.4660495396366</v>
      </c>
      <c r="BA28" s="47" t="n">
        <v>676.9419630290771</v>
      </c>
      <c r="BB28" s="47" t="n">
        <v>699.7927133496191</v>
      </c>
      <c r="BC28" s="47" t="n">
        <v>697.9615839318028</v>
      </c>
      <c r="BD28" s="47" t="n">
        <v>709.0700373630342</v>
      </c>
      <c r="BE28" s="47" t="n">
        <v>723.4925973965017</v>
      </c>
      <c r="BF28" s="47" t="n">
        <v>707.6181823857291</v>
      </c>
      <c r="BG28" s="47" t="n">
        <v>667.7786530178962</v>
      </c>
      <c r="BH28" s="47" t="n">
        <v>690.5011057574936</v>
      </c>
      <c r="BI28" s="47" t="n">
        <v>684.1328051874494</v>
      </c>
      <c r="BJ28" s="47" t="n">
        <v>672.6836404688742</v>
      </c>
      <c r="BK28" s="47" t="n">
        <v>738.5884433333335</v>
      </c>
      <c r="BL28" s="47" t="n">
        <v>738.0902133333335</v>
      </c>
      <c r="BM28" s="47" t="n">
        <v>757.9874100000003</v>
      </c>
      <c r="BN28" s="47" t="n">
        <v>782.7110833333336</v>
      </c>
      <c r="BO28" s="47" t="n">
        <v>793.5110833333333</v>
      </c>
      <c r="BP28" s="47" t="n">
        <v>800.9100000000001</v>
      </c>
      <c r="BQ28" s="47" t="n">
        <v>801.2773333333334</v>
      </c>
      <c r="BR28" s="47" t="n">
        <v>796.7773333333334</v>
      </c>
      <c r="BS28" s="47" t="n">
        <v>796.7773333333334</v>
      </c>
      <c r="BT28" s="47" t="n">
        <v>796.7773333333334</v>
      </c>
      <c r="BU28" s="47" t="n">
        <v>796.7773333333334</v>
      </c>
      <c r="BV28" s="47" t="n">
        <v>796.7773333333334</v>
      </c>
      <c r="BW28" s="47" t="n">
        <v>852.4862900000002</v>
      </c>
      <c r="BX28" s="47" t="n">
        <v>860.2112899999998</v>
      </c>
      <c r="BY28" s="47" t="n">
        <v>870.93629</v>
      </c>
      <c r="BZ28" s="47" t="n">
        <v>896.6862900000002</v>
      </c>
      <c r="CA28" s="47" t="n">
        <v>904.4112900000001</v>
      </c>
      <c r="CB28" s="47" t="n">
        <v>912.1362900000005</v>
      </c>
      <c r="CC28" s="47" t="n">
        <v>919.8612900000004</v>
      </c>
      <c r="CD28" s="47" t="n">
        <v>938.315456666667</v>
      </c>
      <c r="CE28" s="47" t="n">
        <v>946.0404566666672</v>
      </c>
      <c r="CF28" s="47" t="n">
        <v>953.7654566666669</v>
      </c>
      <c r="CG28" s="47" t="n">
        <v>961.490456666667</v>
      </c>
      <c r="CH28" s="47" t="n">
        <v>969.2154566666671</v>
      </c>
      <c r="CI28" s="46">
        <f>+CI12*CI22</f>
        <v/>
      </c>
      <c r="CJ28" s="46">
        <f>+CJ12*CJ22</f>
        <v/>
      </c>
      <c r="CK28" s="46">
        <f>+CK12*CK22</f>
        <v/>
      </c>
      <c r="CL28" s="46">
        <f>+CL12*CL22</f>
        <v/>
      </c>
      <c r="CM28" s="46">
        <f>+CM12*CM22</f>
        <v/>
      </c>
      <c r="CN28" s="46">
        <f>+CN12*CN22</f>
        <v/>
      </c>
      <c r="CO28" s="46">
        <f>+CO12*CO22</f>
        <v/>
      </c>
      <c r="CP28" s="46">
        <f>+CP12*CP22</f>
        <v/>
      </c>
      <c r="CQ28" s="46">
        <f>+CQ12*CQ22</f>
        <v/>
      </c>
      <c r="CR28" s="46">
        <f>+CR12*CR22</f>
        <v/>
      </c>
      <c r="CS28" s="46">
        <f>+CS12*CS22</f>
        <v/>
      </c>
      <c r="CT28" s="46">
        <f>+CT12*CT22</f>
        <v/>
      </c>
      <c r="CU28" s="46">
        <f>+CU12*CU22</f>
        <v/>
      </c>
      <c r="CV28" s="46">
        <f>+CV12*CV22</f>
        <v/>
      </c>
      <c r="CW28" s="46">
        <f>+CW12*CW22</f>
        <v/>
      </c>
      <c r="CX28" s="46">
        <f>+CX12*CX22</f>
        <v/>
      </c>
      <c r="CY28" s="46">
        <f>+CY12*CY22</f>
        <v/>
      </c>
      <c r="CZ28" s="46">
        <f>+CZ12*CZ22</f>
        <v/>
      </c>
      <c r="DA28" s="46">
        <f>+DA12*DA22</f>
        <v/>
      </c>
      <c r="DB28" s="46">
        <f>+DB12*DB22</f>
        <v/>
      </c>
      <c r="DC28" s="46">
        <f>+DC12*DC22</f>
        <v/>
      </c>
      <c r="DD28" s="46">
        <f>+DD12*DD22</f>
        <v/>
      </c>
      <c r="DE28" s="46">
        <f>+DE12*DE22</f>
        <v/>
      </c>
      <c r="DF28" s="46">
        <f>+DF12*DF22</f>
        <v/>
      </c>
      <c r="DG28" s="46">
        <f>+DG12*DG22</f>
        <v/>
      </c>
      <c r="DH28" s="46">
        <f>+DH12*DH22</f>
        <v/>
      </c>
      <c r="DI28" s="46">
        <f>+DI12*DI22</f>
        <v/>
      </c>
      <c r="DJ28" s="46">
        <f>+DJ12*DJ22</f>
        <v/>
      </c>
      <c r="DK28" s="46">
        <f>+DK12*DK22</f>
        <v/>
      </c>
      <c r="DL28" s="46">
        <f>+DL12*DL22</f>
        <v/>
      </c>
      <c r="DM28" s="46">
        <f>+DM12*DM22</f>
        <v/>
      </c>
      <c r="DN28" s="46">
        <f>+DN12*DN22</f>
        <v/>
      </c>
      <c r="DO28" s="46">
        <f>+DO12*DO22</f>
        <v/>
      </c>
      <c r="DP28" s="46">
        <f>+DP12*DP22</f>
        <v/>
      </c>
      <c r="DQ28" s="46">
        <f>+DQ12*DQ22</f>
        <v/>
      </c>
      <c r="DR28" s="46">
        <f>+DR12*DR22</f>
        <v/>
      </c>
    </row>
    <row r="29" ht="15" customHeight="1">
      <c r="B29" s="5" t="inlineStr">
        <is>
          <t>Sales &amp; CS</t>
        </is>
      </c>
      <c r="F29" s="46">
        <f>+SUMIFS($AA29:$DR29,$AA$7:$DR$7,F$7)</f>
        <v/>
      </c>
      <c r="G29" s="46">
        <f>+SUMIFS($AA29:$DR29,$AA$7:$DR$7,G$7)</f>
        <v/>
      </c>
      <c r="H29" s="46">
        <f>+SUMIFS($AA29:$DR29,$AA$7:$DR$7,H$7)</f>
        <v/>
      </c>
      <c r="I29" s="46">
        <f>+SUMIFS($AA29:$DR29,$AA$7:$DR$7,I$7)</f>
        <v/>
      </c>
      <c r="J29" s="46">
        <f>+SUMIFS($AA29:$DR29,$AA$7:$DR$7,J$7)</f>
        <v/>
      </c>
      <c r="K29" s="46">
        <f>+SUMIFS($AA29:$DR29,$AA$7:$DR$7,K$7)</f>
        <v/>
      </c>
      <c r="L29" s="46">
        <f>+SUMIFS($AA29:$DR29,$AA$7:$DR$7,L$7)</f>
        <v/>
      </c>
      <c r="M29" s="46">
        <f>+SUMIFS($AA29:$DR29,$AA$7:$DR$7,M$7)</f>
        <v/>
      </c>
      <c r="AA29" s="47" t="n">
        <v>64.85326434619003</v>
      </c>
      <c r="AB29" s="47" t="n">
        <v>61.97111006585136</v>
      </c>
      <c r="AC29" s="47" t="n">
        <v>63.52266227657572</v>
      </c>
      <c r="AD29" s="47" t="n">
        <v>64.88759172154282</v>
      </c>
      <c r="AE29" s="47" t="n">
        <v>64.57758231420507</v>
      </c>
      <c r="AF29" s="47" t="n">
        <v>61.42353715898401</v>
      </c>
      <c r="AG29" s="47" t="n">
        <v>68.008673565381</v>
      </c>
      <c r="AH29" s="47" t="n">
        <v>68.008673565381</v>
      </c>
      <c r="AI29" s="47" t="n">
        <v>68.008673565381</v>
      </c>
      <c r="AJ29" s="47" t="n">
        <v>74.77298212605832</v>
      </c>
      <c r="AK29" s="47" t="n">
        <v>60.05878645343369</v>
      </c>
      <c r="AL29" s="47" t="n">
        <v>48.58104421448731</v>
      </c>
      <c r="AM29" s="47" t="n">
        <v>55.98640639698966</v>
      </c>
      <c r="AN29" s="47" t="n">
        <v>59.7348165569144</v>
      </c>
      <c r="AO29" s="47" t="n">
        <v>59.18408278457196</v>
      </c>
      <c r="AP29" s="47" t="n">
        <v>59.18408278457196</v>
      </c>
      <c r="AQ29" s="47" t="n">
        <v>59.18408278457196</v>
      </c>
      <c r="AR29" s="47" t="n">
        <v>59.18408278457196</v>
      </c>
      <c r="AS29" s="47" t="n">
        <v>59.18408278457196</v>
      </c>
      <c r="AT29" s="47" t="n">
        <v>59.18408278457196</v>
      </c>
      <c r="AU29" s="47" t="n">
        <v>55.09126999059266</v>
      </c>
      <c r="AV29" s="47" t="n">
        <v>50.76145813734713</v>
      </c>
      <c r="AW29" s="47" t="n">
        <v>54.17904045155221</v>
      </c>
      <c r="AX29" s="47" t="n">
        <v>53.791326434619</v>
      </c>
      <c r="AY29" s="47" t="n">
        <v>50.58062088428975</v>
      </c>
      <c r="AZ29" s="47" t="n">
        <v>42.45824082784572</v>
      </c>
      <c r="BA29" s="47" t="n">
        <v>42.17601128880527</v>
      </c>
      <c r="BB29" s="47" t="n">
        <v>42.17601128880527</v>
      </c>
      <c r="BC29" s="47" t="n">
        <v>42.17601128880527</v>
      </c>
      <c r="BD29" s="47" t="n">
        <v>42.17601128880527</v>
      </c>
      <c r="BE29" s="47" t="n">
        <v>42.17601128880527</v>
      </c>
      <c r="BF29" s="47" t="n">
        <v>43.02969896519285</v>
      </c>
      <c r="BG29" s="47" t="n">
        <v>35.15213546566322</v>
      </c>
      <c r="BH29" s="47" t="n">
        <v>50.34708372530574</v>
      </c>
      <c r="BI29" s="47" t="n">
        <v>55.52740357478833</v>
      </c>
      <c r="BJ29" s="47" t="n">
        <v>57.52291627469426</v>
      </c>
      <c r="BK29" s="47" t="n">
        <v>48.89866000000001</v>
      </c>
      <c r="BL29" s="47" t="n">
        <v>48.89866000000001</v>
      </c>
      <c r="BM29" s="47" t="n">
        <v>50.34055</v>
      </c>
      <c r="BN29" s="47" t="n">
        <v>39.93575</v>
      </c>
      <c r="BO29" s="47" t="n">
        <v>39.93575</v>
      </c>
      <c r="BP29" s="47" t="n">
        <v>39.93575</v>
      </c>
      <c r="BQ29" s="47" t="n">
        <v>39.93575</v>
      </c>
      <c r="BR29" s="47" t="n">
        <v>39.93575</v>
      </c>
      <c r="BS29" s="47" t="n">
        <v>39.93575</v>
      </c>
      <c r="BT29" s="47" t="n">
        <v>39.93575</v>
      </c>
      <c r="BU29" s="47" t="n">
        <v>39.93575</v>
      </c>
      <c r="BV29" s="47" t="n">
        <v>39.93575</v>
      </c>
      <c r="BW29" s="47" t="n">
        <v>47.57132249999999</v>
      </c>
      <c r="BX29" s="47" t="n">
        <v>47.57132249999999</v>
      </c>
      <c r="BY29" s="47" t="n">
        <v>47.57132249999999</v>
      </c>
      <c r="BZ29" s="47" t="n">
        <v>47.57132249999999</v>
      </c>
      <c r="CA29" s="47" t="n">
        <v>47.57132249999999</v>
      </c>
      <c r="CB29" s="47" t="n">
        <v>47.57132249999999</v>
      </c>
      <c r="CC29" s="47" t="n">
        <v>47.57132249999999</v>
      </c>
      <c r="CD29" s="47" t="n">
        <v>47.57132249999999</v>
      </c>
      <c r="CE29" s="47" t="n">
        <v>47.57132249999999</v>
      </c>
      <c r="CF29" s="47" t="n">
        <v>47.57132249999999</v>
      </c>
      <c r="CG29" s="47" t="n">
        <v>47.57132249999999</v>
      </c>
      <c r="CH29" s="47" t="n">
        <v>47.57132249999999</v>
      </c>
      <c r="CI29" s="46">
        <f>+CI13*CI23</f>
        <v/>
      </c>
      <c r="CJ29" s="46">
        <f>+CJ13*CJ23</f>
        <v/>
      </c>
      <c r="CK29" s="46">
        <f>+CK13*CK23</f>
        <v/>
      </c>
      <c r="CL29" s="46">
        <f>+CL13*CL23</f>
        <v/>
      </c>
      <c r="CM29" s="46">
        <f>+CM13*CM23</f>
        <v/>
      </c>
      <c r="CN29" s="46">
        <f>+CN13*CN23</f>
        <v/>
      </c>
      <c r="CO29" s="46">
        <f>+CO13*CO23</f>
        <v/>
      </c>
      <c r="CP29" s="46">
        <f>+CP13*CP23</f>
        <v/>
      </c>
      <c r="CQ29" s="46">
        <f>+CQ13*CQ23</f>
        <v/>
      </c>
      <c r="CR29" s="46">
        <f>+CR13*CR23</f>
        <v/>
      </c>
      <c r="CS29" s="46">
        <f>+CS13*CS23</f>
        <v/>
      </c>
      <c r="CT29" s="46">
        <f>+CT13*CT23</f>
        <v/>
      </c>
      <c r="CU29" s="46">
        <f>+CU13*CU23</f>
        <v/>
      </c>
      <c r="CV29" s="46">
        <f>+CV13*CV23</f>
        <v/>
      </c>
      <c r="CW29" s="46">
        <f>+CW13*CW23</f>
        <v/>
      </c>
      <c r="CX29" s="46">
        <f>+CX13*CX23</f>
        <v/>
      </c>
      <c r="CY29" s="46">
        <f>+CY13*CY23</f>
        <v/>
      </c>
      <c r="CZ29" s="46">
        <f>+CZ13*CZ23</f>
        <v/>
      </c>
      <c r="DA29" s="46">
        <f>+DA13*DA23</f>
        <v/>
      </c>
      <c r="DB29" s="46">
        <f>+DB13*DB23</f>
        <v/>
      </c>
      <c r="DC29" s="46">
        <f>+DC13*DC23</f>
        <v/>
      </c>
      <c r="DD29" s="46">
        <f>+DD13*DD23</f>
        <v/>
      </c>
      <c r="DE29" s="46">
        <f>+DE13*DE23</f>
        <v/>
      </c>
      <c r="DF29" s="46">
        <f>+DF13*DF23</f>
        <v/>
      </c>
      <c r="DG29" s="46">
        <f>+DG13*DG23</f>
        <v/>
      </c>
      <c r="DH29" s="46">
        <f>+DH13*DH23</f>
        <v/>
      </c>
      <c r="DI29" s="46">
        <f>+DI13*DI23</f>
        <v/>
      </c>
      <c r="DJ29" s="46">
        <f>+DJ13*DJ23</f>
        <v/>
      </c>
      <c r="DK29" s="46">
        <f>+DK13*DK23</f>
        <v/>
      </c>
      <c r="DL29" s="46">
        <f>+DL13*DL23</f>
        <v/>
      </c>
      <c r="DM29" s="46">
        <f>+DM13*DM23</f>
        <v/>
      </c>
      <c r="DN29" s="46">
        <f>+DN13*DN23</f>
        <v/>
      </c>
      <c r="DO29" s="46">
        <f>+DO13*DO23</f>
        <v/>
      </c>
      <c r="DP29" s="46">
        <f>+DP13*DP23</f>
        <v/>
      </c>
      <c r="DQ29" s="46">
        <f>+DQ13*DQ23</f>
        <v/>
      </c>
      <c r="DR29" s="46">
        <f>+DR13*DR23</f>
        <v/>
      </c>
    </row>
    <row r="30" ht="15" customHeight="1">
      <c r="B30" s="5" t="inlineStr">
        <is>
          <t>Executive</t>
        </is>
      </c>
      <c r="F30" s="46">
        <f>+SUMIFS($AA30:$DR30,$AA$7:$DR$7,F$7)</f>
        <v/>
      </c>
      <c r="G30" s="46">
        <f>+SUMIFS($AA30:$DR30,$AA$7:$DR$7,G$7)</f>
        <v/>
      </c>
      <c r="H30" s="46">
        <f>+SUMIFS($AA30:$DR30,$AA$7:$DR$7,H$7)</f>
        <v/>
      </c>
      <c r="I30" s="46">
        <f>+SUMIFS($AA30:$DR30,$AA$7:$DR$7,I$7)</f>
        <v/>
      </c>
      <c r="J30" s="46">
        <f>+SUMIFS($AA30:$DR30,$AA$7:$DR$7,J$7)</f>
        <v/>
      </c>
      <c r="K30" s="46">
        <f>+SUMIFS($AA30:$DR30,$AA$7:$DR$7,K$7)</f>
        <v/>
      </c>
      <c r="L30" s="46">
        <f>+SUMIFS($AA30:$DR30,$AA$7:$DR$7,L$7)</f>
        <v/>
      </c>
      <c r="M30" s="46">
        <f>+SUMIFS($AA30:$DR30,$AA$7:$DR$7,M$7)</f>
        <v/>
      </c>
      <c r="AA30" s="47" t="n">
        <v>139.1310630291628</v>
      </c>
      <c r="AB30" s="47" t="n">
        <v>136.8432173095014</v>
      </c>
      <c r="AC30" s="47" t="n">
        <v>137.2345719661336</v>
      </c>
      <c r="AD30" s="47" t="n">
        <v>134.0641204139229</v>
      </c>
      <c r="AE30" s="47" t="n">
        <v>134.0641204139229</v>
      </c>
      <c r="AF30" s="47" t="n">
        <v>134.0641204139229</v>
      </c>
      <c r="AG30" s="47" t="n">
        <v>134.0641204139229</v>
      </c>
      <c r="AH30" s="47" t="n">
        <v>134.0641204139229</v>
      </c>
      <c r="AI30" s="47" t="n">
        <v>134.0641204139229</v>
      </c>
      <c r="AJ30" s="47" t="n">
        <v>134.0641204139229</v>
      </c>
      <c r="AK30" s="47" t="n">
        <v>134.2332361241769</v>
      </c>
      <c r="AL30" s="47" t="n">
        <v>134.0641204139229</v>
      </c>
      <c r="AM30" s="47" t="n">
        <v>142.0462276575729</v>
      </c>
      <c r="AN30" s="47" t="n">
        <v>142.0462276575729</v>
      </c>
      <c r="AO30" s="47" t="n">
        <v>142.0462276575729</v>
      </c>
      <c r="AP30" s="47" t="n">
        <v>142.0462276575729</v>
      </c>
      <c r="AQ30" s="47" t="n">
        <v>142.0462276575729</v>
      </c>
      <c r="AR30" s="47" t="n">
        <v>142.0462276575729</v>
      </c>
      <c r="AS30" s="47" t="n">
        <v>143.6127751646284</v>
      </c>
      <c r="AT30" s="47" t="n">
        <v>143.516124176858</v>
      </c>
      <c r="AU30" s="47" t="n">
        <v>143.516124176858</v>
      </c>
      <c r="AV30" s="47" t="n">
        <v>143.516124176858</v>
      </c>
      <c r="AW30" s="47" t="n">
        <v>143.516124176858</v>
      </c>
      <c r="AX30" s="47" t="n">
        <v>143.516124176858</v>
      </c>
      <c r="AY30" s="47" t="n">
        <v>139.0307243650047</v>
      </c>
      <c r="AZ30" s="47" t="n">
        <v>142.2978833490122</v>
      </c>
      <c r="BA30" s="47" t="n">
        <v>137.2977798682973</v>
      </c>
      <c r="BB30" s="47" t="n">
        <v>137.2977798682973</v>
      </c>
      <c r="BC30" s="47" t="n">
        <v>138.6430479774224</v>
      </c>
      <c r="BD30" s="47" t="n">
        <v>138.6430479774224</v>
      </c>
      <c r="BE30" s="47" t="n">
        <v>138.6430479774224</v>
      </c>
      <c r="BF30" s="47" t="n">
        <v>138.6430479774224</v>
      </c>
      <c r="BG30" s="47" t="n">
        <v>138.642991533396</v>
      </c>
      <c r="BH30" s="47" t="n">
        <v>138.6429727187206</v>
      </c>
      <c r="BI30" s="47" t="n">
        <v>138.6429727187206</v>
      </c>
      <c r="BJ30" s="47" t="n">
        <v>138.6429727187206</v>
      </c>
      <c r="BK30" s="47" t="n">
        <v>152.84352</v>
      </c>
      <c r="BL30" s="47" t="n">
        <v>152.84354</v>
      </c>
      <c r="BM30" s="47" t="n">
        <v>152.84354</v>
      </c>
      <c r="BN30" s="47" t="n">
        <v>152.8435058333333</v>
      </c>
      <c r="BO30" s="47" t="n">
        <v>152.8435058333333</v>
      </c>
      <c r="BP30" s="47" t="n">
        <v>152.8435058333333</v>
      </c>
      <c r="BQ30" s="47" t="n">
        <v>152.8435058333333</v>
      </c>
      <c r="BR30" s="47" t="n">
        <v>152.8435058333333</v>
      </c>
      <c r="BS30" s="47" t="n">
        <v>152.8435058333333</v>
      </c>
      <c r="BT30" s="47" t="n">
        <v>152.8435058333333</v>
      </c>
      <c r="BU30" s="47" t="n">
        <v>152.8435058333333</v>
      </c>
      <c r="BV30" s="47" t="n">
        <v>152.8435058333333</v>
      </c>
      <c r="BW30" s="47" t="n">
        <v>156.4629800083333</v>
      </c>
      <c r="BX30" s="47" t="n">
        <v>156.4629800083333</v>
      </c>
      <c r="BY30" s="47" t="n">
        <v>156.4629800083333</v>
      </c>
      <c r="BZ30" s="47" t="n">
        <v>156.4629800083333</v>
      </c>
      <c r="CA30" s="47" t="n">
        <v>156.4629800083333</v>
      </c>
      <c r="CB30" s="47" t="n">
        <v>156.4629800083333</v>
      </c>
      <c r="CC30" s="47" t="n">
        <v>156.4629800083333</v>
      </c>
      <c r="CD30" s="47" t="n">
        <v>156.4629800083333</v>
      </c>
      <c r="CE30" s="47" t="n">
        <v>156.4629800083333</v>
      </c>
      <c r="CF30" s="47" t="n">
        <v>156.4629800083333</v>
      </c>
      <c r="CG30" s="47" t="n">
        <v>156.4629800083333</v>
      </c>
      <c r="CH30" s="47" t="n">
        <v>156.4629800083333</v>
      </c>
      <c r="CI30" s="46">
        <f>+CI14*CI24</f>
        <v/>
      </c>
      <c r="CJ30" s="46">
        <f>+CJ14*CJ24</f>
        <v/>
      </c>
      <c r="CK30" s="46">
        <f>+CK14*CK24</f>
        <v/>
      </c>
      <c r="CL30" s="46">
        <f>+CL14*CL24</f>
        <v/>
      </c>
      <c r="CM30" s="46">
        <f>+CM14*CM24</f>
        <v/>
      </c>
      <c r="CN30" s="46">
        <f>+CN14*CN24</f>
        <v/>
      </c>
      <c r="CO30" s="46">
        <f>+CO14*CO24</f>
        <v/>
      </c>
      <c r="CP30" s="46">
        <f>+CP14*CP24</f>
        <v/>
      </c>
      <c r="CQ30" s="46">
        <f>+CQ14*CQ24</f>
        <v/>
      </c>
      <c r="CR30" s="46">
        <f>+CR14*CR24</f>
        <v/>
      </c>
      <c r="CS30" s="46">
        <f>+CS14*CS24</f>
        <v/>
      </c>
      <c r="CT30" s="46">
        <f>+CT14*CT24</f>
        <v/>
      </c>
      <c r="CU30" s="46">
        <f>+CU14*CU24</f>
        <v/>
      </c>
      <c r="CV30" s="46">
        <f>+CV14*CV24</f>
        <v/>
      </c>
      <c r="CW30" s="46">
        <f>+CW14*CW24</f>
        <v/>
      </c>
      <c r="CX30" s="46">
        <f>+CX14*CX24</f>
        <v/>
      </c>
      <c r="CY30" s="46">
        <f>+CY14*CY24</f>
        <v/>
      </c>
      <c r="CZ30" s="46">
        <f>+CZ14*CZ24</f>
        <v/>
      </c>
      <c r="DA30" s="46">
        <f>+DA14*DA24</f>
        <v/>
      </c>
      <c r="DB30" s="46">
        <f>+DB14*DB24</f>
        <v/>
      </c>
      <c r="DC30" s="46">
        <f>+DC14*DC24</f>
        <v/>
      </c>
      <c r="DD30" s="46">
        <f>+DD14*DD24</f>
        <v/>
      </c>
      <c r="DE30" s="46">
        <f>+DE14*DE24</f>
        <v/>
      </c>
      <c r="DF30" s="46">
        <f>+DF14*DF24</f>
        <v/>
      </c>
      <c r="DG30" s="46">
        <f>+DG14*DG24</f>
        <v/>
      </c>
      <c r="DH30" s="46">
        <f>+DH14*DH24</f>
        <v/>
      </c>
      <c r="DI30" s="46">
        <f>+DI14*DI24</f>
        <v/>
      </c>
      <c r="DJ30" s="46">
        <f>+DJ14*DJ24</f>
        <v/>
      </c>
      <c r="DK30" s="46">
        <f>+DK14*DK24</f>
        <v/>
      </c>
      <c r="DL30" s="46">
        <f>+DL14*DL24</f>
        <v/>
      </c>
      <c r="DM30" s="46">
        <f>+DM14*DM24</f>
        <v/>
      </c>
      <c r="DN30" s="46">
        <f>+DN14*DN24</f>
        <v/>
      </c>
      <c r="DO30" s="46">
        <f>+DO14*DO24</f>
        <v/>
      </c>
      <c r="DP30" s="46">
        <f>+DP14*DP24</f>
        <v/>
      </c>
      <c r="DQ30" s="46">
        <f>+DQ14*DQ24</f>
        <v/>
      </c>
      <c r="DR30" s="46">
        <f>+DR14*DR24</f>
        <v/>
      </c>
    </row>
    <row r="31" ht="15" customHeight="1">
      <c r="B31" s="5" t="inlineStr">
        <is>
          <t>Admin</t>
        </is>
      </c>
      <c r="F31" s="46">
        <f>+SUMIFS($AA31:$DR31,$AA$7:$DR$7,F$7)</f>
        <v/>
      </c>
      <c r="G31" s="46">
        <f>+SUMIFS($AA31:$DR31,$AA$7:$DR$7,G$7)</f>
        <v/>
      </c>
      <c r="H31" s="46">
        <f>+SUMIFS($AA31:$DR31,$AA$7:$DR$7,H$7)</f>
        <v/>
      </c>
      <c r="I31" s="46">
        <f>+SUMIFS($AA31:$DR31,$AA$7:$DR$7,I$7)</f>
        <v/>
      </c>
      <c r="J31" s="46">
        <f>+SUMIFS($AA31:$DR31,$AA$7:$DR$7,J$7)</f>
        <v/>
      </c>
      <c r="K31" s="46">
        <f>+SUMIFS($AA31:$DR31,$AA$7:$DR$7,K$7)</f>
        <v/>
      </c>
      <c r="L31" s="46">
        <f>+SUMIFS($AA31:$DR31,$AA$7:$DR$7,L$7)</f>
        <v/>
      </c>
      <c r="M31" s="46">
        <f>+SUMIFS($AA31:$DR31,$AA$7:$DR$7,M$7)</f>
        <v/>
      </c>
      <c r="AA31" s="129" t="n">
        <v>72.14789275634996</v>
      </c>
      <c r="AB31" s="129" t="n">
        <v>69.15584195672626</v>
      </c>
      <c r="AC31" s="129" t="n">
        <v>69.55832549388525</v>
      </c>
      <c r="AD31" s="129" t="n">
        <v>74.69959548447791</v>
      </c>
      <c r="AE31" s="129" t="n">
        <v>77.09066792097836</v>
      </c>
      <c r="AF31" s="129" t="n">
        <v>77.09066792097836</v>
      </c>
      <c r="AG31" s="129" t="n">
        <v>83.76904045155221</v>
      </c>
      <c r="AH31" s="129" t="n">
        <v>89.99136406396988</v>
      </c>
      <c r="AI31" s="129" t="n">
        <v>88.73463781749764</v>
      </c>
      <c r="AJ31" s="129" t="n">
        <v>103.5549764816557</v>
      </c>
      <c r="AK31" s="129" t="n">
        <v>107.6938193791157</v>
      </c>
      <c r="AL31" s="129" t="n">
        <v>107.3557102539981</v>
      </c>
      <c r="AM31" s="129" t="n">
        <v>107.5571213546566</v>
      </c>
      <c r="AN31" s="129" t="n">
        <v>112.4560018814676</v>
      </c>
      <c r="AO31" s="129" t="n">
        <v>105.8951081843838</v>
      </c>
      <c r="AP31" s="129" t="n">
        <v>105.2284477892757</v>
      </c>
      <c r="AQ31" s="129" t="n">
        <v>105.2284477892757</v>
      </c>
      <c r="AR31" s="129" t="n">
        <v>105.2284477892757</v>
      </c>
      <c r="AS31" s="129" t="n">
        <v>105.2284477892757</v>
      </c>
      <c r="AT31" s="129" t="n">
        <v>105.2284477892757</v>
      </c>
      <c r="AU31" s="129" t="n">
        <v>105.5302069614299</v>
      </c>
      <c r="AV31" s="129" t="n">
        <v>106.4030479774224</v>
      </c>
      <c r="AW31" s="129" t="n">
        <v>114.2502916274694</v>
      </c>
      <c r="AX31" s="129" t="n">
        <v>119.4712323612417</v>
      </c>
      <c r="AY31" s="129" t="n">
        <v>97.76016933207902</v>
      </c>
      <c r="AZ31" s="129" t="n">
        <v>101.7910348071496</v>
      </c>
      <c r="BA31" s="129" t="n">
        <v>97.77046095954844</v>
      </c>
      <c r="BB31" s="129" t="n">
        <v>100.4943932267169</v>
      </c>
      <c r="BC31" s="129" t="n">
        <v>101.2783443085607</v>
      </c>
      <c r="BD31" s="129" t="n">
        <v>102.0622953904045</v>
      </c>
      <c r="BE31" s="129" t="n">
        <v>102.2338946378175</v>
      </c>
      <c r="BF31" s="129" t="n">
        <v>105.286020696143</v>
      </c>
      <c r="BG31" s="129" t="n">
        <v>101.6873000940734</v>
      </c>
      <c r="BH31" s="129" t="n">
        <v>97.45414863593604</v>
      </c>
      <c r="BI31" s="129" t="n">
        <v>100.6611947318909</v>
      </c>
      <c r="BJ31" s="129" t="n">
        <v>103.3337347130762</v>
      </c>
      <c r="BK31" s="47" t="n">
        <v>114.30671</v>
      </c>
      <c r="BL31" s="47" t="n">
        <v>117.99992</v>
      </c>
      <c r="BM31" s="47" t="n">
        <v>116.20951</v>
      </c>
      <c r="BN31" s="47" t="n">
        <v>115.9354166666667</v>
      </c>
      <c r="BO31" s="47" t="n">
        <v>101.0425833333333</v>
      </c>
      <c r="BP31" s="47" t="n">
        <v>101.0425833333333</v>
      </c>
      <c r="BQ31" s="47" t="n">
        <v>101.0425833333333</v>
      </c>
      <c r="BR31" s="47" t="n">
        <v>101.0425833333333</v>
      </c>
      <c r="BS31" s="47" t="n">
        <v>101.0425833333333</v>
      </c>
      <c r="BT31" s="47" t="n">
        <v>101.0425833333333</v>
      </c>
      <c r="BU31" s="47" t="n">
        <v>101.0425833333333</v>
      </c>
      <c r="BV31" s="47" t="n">
        <v>101.0425833333333</v>
      </c>
      <c r="BW31" s="47" t="n">
        <v>104.0738608333333</v>
      </c>
      <c r="BX31" s="47" t="n">
        <v>104.0738608333333</v>
      </c>
      <c r="BY31" s="47" t="n">
        <v>104.0738608333333</v>
      </c>
      <c r="BZ31" s="47" t="n">
        <v>104.0738608333333</v>
      </c>
      <c r="CA31" s="47" t="n">
        <v>104.0738608333333</v>
      </c>
      <c r="CB31" s="47" t="n">
        <v>104.0738608333333</v>
      </c>
      <c r="CC31" s="47" t="n">
        <v>104.0738608333333</v>
      </c>
      <c r="CD31" s="47" t="n">
        <v>104.0738608333333</v>
      </c>
      <c r="CE31" s="47" t="n">
        <v>104.0738608333333</v>
      </c>
      <c r="CF31" s="47" t="n">
        <v>104.0738608333333</v>
      </c>
      <c r="CG31" s="47" t="n">
        <v>104.0738608333333</v>
      </c>
      <c r="CH31" s="47" t="n">
        <v>104.0738608333333</v>
      </c>
      <c r="CI31" s="46">
        <f>+CI15*CI25</f>
        <v/>
      </c>
      <c r="CJ31" s="46">
        <f>+CJ15*CJ25</f>
        <v/>
      </c>
      <c r="CK31" s="46">
        <f>+CK15*CK25</f>
        <v/>
      </c>
      <c r="CL31" s="46">
        <f>+CL15*CL25</f>
        <v/>
      </c>
      <c r="CM31" s="46">
        <f>+CM15*CM25</f>
        <v/>
      </c>
      <c r="CN31" s="46">
        <f>+CN15*CN25</f>
        <v/>
      </c>
      <c r="CO31" s="46">
        <f>+CO15*CO25</f>
        <v/>
      </c>
      <c r="CP31" s="46">
        <f>+CP15*CP25</f>
        <v/>
      </c>
      <c r="CQ31" s="46">
        <f>+CQ15*CQ25</f>
        <v/>
      </c>
      <c r="CR31" s="46">
        <f>+CR15*CR25</f>
        <v/>
      </c>
      <c r="CS31" s="46">
        <f>+CS15*CS25</f>
        <v/>
      </c>
      <c r="CT31" s="46">
        <f>+CT15*CT25</f>
        <v/>
      </c>
      <c r="CU31" s="46">
        <f>+CU15*CU25</f>
        <v/>
      </c>
      <c r="CV31" s="46">
        <f>+CV15*CV25</f>
        <v/>
      </c>
      <c r="CW31" s="46">
        <f>+CW15*CW25</f>
        <v/>
      </c>
      <c r="CX31" s="46">
        <f>+CX15*CX25</f>
        <v/>
      </c>
      <c r="CY31" s="46">
        <f>+CY15*CY25</f>
        <v/>
      </c>
      <c r="CZ31" s="46">
        <f>+CZ15*CZ25</f>
        <v/>
      </c>
      <c r="DA31" s="46">
        <f>+DA15*DA25</f>
        <v/>
      </c>
      <c r="DB31" s="46">
        <f>+DB15*DB25</f>
        <v/>
      </c>
      <c r="DC31" s="46">
        <f>+DC15*DC25</f>
        <v/>
      </c>
      <c r="DD31" s="46">
        <f>+DD15*DD25</f>
        <v/>
      </c>
      <c r="DE31" s="46">
        <f>+DE15*DE25</f>
        <v/>
      </c>
      <c r="DF31" s="46">
        <f>+DF15*DF25</f>
        <v/>
      </c>
      <c r="DG31" s="46">
        <f>+DG15*DG25</f>
        <v/>
      </c>
      <c r="DH31" s="46">
        <f>+DH15*DH25</f>
        <v/>
      </c>
      <c r="DI31" s="46">
        <f>+DI15*DI25</f>
        <v/>
      </c>
      <c r="DJ31" s="46">
        <f>+DJ15*DJ25</f>
        <v/>
      </c>
      <c r="DK31" s="46">
        <f>+DK15*DK25</f>
        <v/>
      </c>
      <c r="DL31" s="46">
        <f>+DL15*DL25</f>
        <v/>
      </c>
      <c r="DM31" s="46">
        <f>+DM15*DM25</f>
        <v/>
      </c>
      <c r="DN31" s="46">
        <f>+DN15*DN25</f>
        <v/>
      </c>
      <c r="DO31" s="46">
        <f>+DO15*DO25</f>
        <v/>
      </c>
      <c r="DP31" s="46">
        <f>+DP15*DP25</f>
        <v/>
      </c>
      <c r="DQ31" s="46">
        <f>+DQ15*DQ25</f>
        <v/>
      </c>
      <c r="DR31" s="46">
        <f>+DR15*DR25</f>
        <v/>
      </c>
    </row>
    <row r="32" ht="15.75" customHeight="1">
      <c r="B32" s="50" t="inlineStr">
        <is>
          <t>Total Salary</t>
        </is>
      </c>
      <c r="C32" s="50" t="n"/>
      <c r="D32" s="50" t="n"/>
      <c r="F32" s="51">
        <f>+SUMIFS($AA32:$DR32,$AA$7:$DR$7,F$7)</f>
        <v/>
      </c>
      <c r="G32" s="51">
        <f>+SUMIFS($AA32:$DR32,$AA$7:$DR$7,G$7)</f>
        <v/>
      </c>
      <c r="H32" s="51">
        <f>+SUMIFS($AA32:$DR32,$AA$7:$DR$7,H$7)</f>
        <v/>
      </c>
      <c r="I32" s="51">
        <f>+SUMIFS($AA32:$DR32,$AA$7:$DR$7,I$7)</f>
        <v/>
      </c>
      <c r="J32" s="51">
        <f>+SUMIFS($AA32:$DR32,$AA$7:$DR$7,J$7)</f>
        <v/>
      </c>
      <c r="K32" s="51">
        <f>+SUMIFS($AA32:$DR32,$AA$7:$DR$7,K$7)</f>
        <v/>
      </c>
      <c r="L32" s="51">
        <f>+SUMIFS($AA32:$DR32,$AA$7:$DR$7,L$7)</f>
        <v/>
      </c>
      <c r="M32" s="51">
        <f>+SUMIFS($AA32:$DR32,$AA$7:$DR$7,M$7)</f>
        <v/>
      </c>
      <c r="AA32" s="46">
        <f>SUM(AA28:AA31)</f>
        <v/>
      </c>
      <c r="AB32" s="46">
        <f>SUM(AB28:AB31)</f>
        <v/>
      </c>
      <c r="AC32" s="46">
        <f>SUM(AC28:AC31)</f>
        <v/>
      </c>
      <c r="AD32" s="46">
        <f>SUM(AD28:AD31)</f>
        <v/>
      </c>
      <c r="AE32" s="46">
        <f>SUM(AE28:AE31)</f>
        <v/>
      </c>
      <c r="AF32" s="46">
        <f>SUM(AF28:AF31)</f>
        <v/>
      </c>
      <c r="AG32" s="46">
        <f>SUM(AG28:AG31)</f>
        <v/>
      </c>
      <c r="AH32" s="46">
        <f>SUM(AH28:AH31)</f>
        <v/>
      </c>
      <c r="AI32" s="46">
        <f>SUM(AI28:AI31)</f>
        <v/>
      </c>
      <c r="AJ32" s="46">
        <f>SUM(AJ28:AJ31)</f>
        <v/>
      </c>
      <c r="AK32" s="46">
        <f>SUM(AK28:AK31)</f>
        <v/>
      </c>
      <c r="AL32" s="46">
        <f>SUM(AL28:AL31)</f>
        <v/>
      </c>
      <c r="AM32" s="46">
        <f>SUM(AM28:AM31)</f>
        <v/>
      </c>
      <c r="AN32" s="46">
        <f>SUM(AN28:AN31)</f>
        <v/>
      </c>
      <c r="AO32" s="46">
        <f>SUM(AO28:AO31)</f>
        <v/>
      </c>
      <c r="AP32" s="46">
        <f>SUM(AP28:AP31)</f>
        <v/>
      </c>
      <c r="AQ32" s="46">
        <f>SUM(AQ28:AQ31)</f>
        <v/>
      </c>
      <c r="AR32" s="46">
        <f>SUM(AR28:AR31)</f>
        <v/>
      </c>
      <c r="AS32" s="46">
        <f>SUM(AS28:AS31)</f>
        <v/>
      </c>
      <c r="AT32" s="46">
        <f>SUM(AT28:AT31)</f>
        <v/>
      </c>
      <c r="AU32" s="46">
        <f>SUM(AU28:AU31)</f>
        <v/>
      </c>
      <c r="AV32" s="46">
        <f>SUM(AV28:AV31)</f>
        <v/>
      </c>
      <c r="AW32" s="46">
        <f>SUM(AW28:AW31)</f>
        <v/>
      </c>
      <c r="AX32" s="46">
        <f>SUM(AX28:AX31)</f>
        <v/>
      </c>
      <c r="AY32" s="46">
        <f>SUM(AY28:AY31)</f>
        <v/>
      </c>
      <c r="AZ32" s="46">
        <f>SUM(AZ28:AZ31)</f>
        <v/>
      </c>
      <c r="BA32" s="46">
        <f>SUM(BA28:BA31)</f>
        <v/>
      </c>
      <c r="BB32" s="46">
        <f>SUM(BB28:BB31)</f>
        <v/>
      </c>
      <c r="BC32" s="46">
        <f>SUM(BC28:BC31)</f>
        <v/>
      </c>
      <c r="BD32" s="46">
        <f>SUM(BD28:BD31)</f>
        <v/>
      </c>
      <c r="BE32" s="46">
        <f>SUM(BE28:BE31)</f>
        <v/>
      </c>
      <c r="BF32" s="46">
        <f>SUM(BF28:BF31)</f>
        <v/>
      </c>
      <c r="BG32" s="46">
        <f>SUM(BG28:BG31)</f>
        <v/>
      </c>
      <c r="BH32" s="46">
        <f>SUM(BH28:BH31)</f>
        <v/>
      </c>
      <c r="BI32" s="46">
        <f>SUM(BI28:BI31)</f>
        <v/>
      </c>
      <c r="BJ32" s="46">
        <f>SUM(BJ28:BJ31)</f>
        <v/>
      </c>
      <c r="BK32" s="51">
        <f>SUM(BK28:BK31)</f>
        <v/>
      </c>
      <c r="BL32" s="51">
        <f>SUM(BL28:BL31)</f>
        <v/>
      </c>
      <c r="BM32" s="51">
        <f>SUM(BM28:BM31)</f>
        <v/>
      </c>
      <c r="BN32" s="51">
        <f>SUM(BN28:BN31)</f>
        <v/>
      </c>
      <c r="BO32" s="51">
        <f>SUM(BO28:BO31)</f>
        <v/>
      </c>
      <c r="BP32" s="51">
        <f>SUM(BP28:BP31)</f>
        <v/>
      </c>
      <c r="BQ32" s="51">
        <f>SUM(BQ28:BQ31)</f>
        <v/>
      </c>
      <c r="BR32" s="51">
        <f>SUM(BR28:BR31)</f>
        <v/>
      </c>
      <c r="BS32" s="51">
        <f>SUM(BS28:BS31)</f>
        <v/>
      </c>
      <c r="BT32" s="51">
        <f>SUM(BT28:BT31)</f>
        <v/>
      </c>
      <c r="BU32" s="51">
        <f>SUM(BU28:BU31)</f>
        <v/>
      </c>
      <c r="BV32" s="51">
        <f>SUM(BV28:BV31)</f>
        <v/>
      </c>
      <c r="BW32" s="51">
        <f>SUM(BW28:BW31)</f>
        <v/>
      </c>
      <c r="BX32" s="51">
        <f>SUM(BX28:BX31)</f>
        <v/>
      </c>
      <c r="BY32" s="51">
        <f>SUM(BY28:BY31)</f>
        <v/>
      </c>
      <c r="BZ32" s="51">
        <f>SUM(BZ28:BZ31)</f>
        <v/>
      </c>
      <c r="CA32" s="51">
        <f>SUM(CA28:CA31)</f>
        <v/>
      </c>
      <c r="CB32" s="51">
        <f>SUM(CB28:CB31)</f>
        <v/>
      </c>
      <c r="CC32" s="51">
        <f>SUM(CC28:CC31)</f>
        <v/>
      </c>
      <c r="CD32" s="51">
        <f>SUM(CD28:CD31)</f>
        <v/>
      </c>
      <c r="CE32" s="51">
        <f>SUM(CE28:CE31)</f>
        <v/>
      </c>
      <c r="CF32" s="51">
        <f>SUM(CF28:CF31)</f>
        <v/>
      </c>
      <c r="CG32" s="51">
        <f>SUM(CG28:CG31)</f>
        <v/>
      </c>
      <c r="CH32" s="51">
        <f>SUM(CH28:CH31)</f>
        <v/>
      </c>
      <c r="CI32" s="51">
        <f>SUM(CI28:CI31)</f>
        <v/>
      </c>
      <c r="CJ32" s="51">
        <f>SUM(CJ28:CJ31)</f>
        <v/>
      </c>
      <c r="CK32" s="51">
        <f>SUM(CK28:CK31)</f>
        <v/>
      </c>
      <c r="CL32" s="51">
        <f>SUM(CL28:CL31)</f>
        <v/>
      </c>
      <c r="CM32" s="51">
        <f>SUM(CM28:CM31)</f>
        <v/>
      </c>
      <c r="CN32" s="51">
        <f>SUM(CN28:CN31)</f>
        <v/>
      </c>
      <c r="CO32" s="51">
        <f>SUM(CO28:CO31)</f>
        <v/>
      </c>
      <c r="CP32" s="51">
        <f>SUM(CP28:CP31)</f>
        <v/>
      </c>
      <c r="CQ32" s="51">
        <f>SUM(CQ28:CQ31)</f>
        <v/>
      </c>
      <c r="CR32" s="51">
        <f>SUM(CR28:CR31)</f>
        <v/>
      </c>
      <c r="CS32" s="51">
        <f>SUM(CS28:CS31)</f>
        <v/>
      </c>
      <c r="CT32" s="51">
        <f>SUM(CT28:CT31)</f>
        <v/>
      </c>
      <c r="CU32" s="51">
        <f>SUM(CU28:CU31)</f>
        <v/>
      </c>
      <c r="CV32" s="51">
        <f>SUM(CV28:CV31)</f>
        <v/>
      </c>
      <c r="CW32" s="51">
        <f>SUM(CW28:CW31)</f>
        <v/>
      </c>
      <c r="CX32" s="51">
        <f>SUM(CX28:CX31)</f>
        <v/>
      </c>
      <c r="CY32" s="51">
        <f>SUM(CY28:CY31)</f>
        <v/>
      </c>
      <c r="CZ32" s="51">
        <f>SUM(CZ28:CZ31)</f>
        <v/>
      </c>
      <c r="DA32" s="51">
        <f>SUM(DA28:DA31)</f>
        <v/>
      </c>
      <c r="DB32" s="51">
        <f>SUM(DB28:DB31)</f>
        <v/>
      </c>
      <c r="DC32" s="51">
        <f>SUM(DC28:DC31)</f>
        <v/>
      </c>
      <c r="DD32" s="51">
        <f>SUM(DD28:DD31)</f>
        <v/>
      </c>
      <c r="DE32" s="51">
        <f>SUM(DE28:DE31)</f>
        <v/>
      </c>
      <c r="DF32" s="51">
        <f>SUM(DF28:DF31)</f>
        <v/>
      </c>
      <c r="DG32" s="51">
        <f>SUM(DG28:DG31)</f>
        <v/>
      </c>
      <c r="DH32" s="51">
        <f>SUM(DH28:DH31)</f>
        <v/>
      </c>
      <c r="DI32" s="51">
        <f>SUM(DI28:DI31)</f>
        <v/>
      </c>
      <c r="DJ32" s="51">
        <f>SUM(DJ28:DJ31)</f>
        <v/>
      </c>
      <c r="DK32" s="51">
        <f>SUM(DK28:DK31)</f>
        <v/>
      </c>
      <c r="DL32" s="51">
        <f>SUM(DL28:DL31)</f>
        <v/>
      </c>
      <c r="DM32" s="51">
        <f>SUM(DM28:DM31)</f>
        <v/>
      </c>
      <c r="DN32" s="51">
        <f>SUM(DN28:DN31)</f>
        <v/>
      </c>
      <c r="DO32" s="51">
        <f>SUM(DO28:DO31)</f>
        <v/>
      </c>
      <c r="DP32" s="51">
        <f>SUM(DP28:DP31)</f>
        <v/>
      </c>
      <c r="DQ32" s="51">
        <f>SUM(DQ28:DQ31)</f>
        <v/>
      </c>
      <c r="DR32" s="51">
        <f>SUM(DR28:DR31)</f>
        <v/>
      </c>
    </row>
    <row r="33" ht="4.5" customHeight="1"/>
    <row r="34" ht="15" customHeight="1">
      <c r="B34" s="5" t="inlineStr">
        <is>
          <t>Direct Labor</t>
        </is>
      </c>
      <c r="F34" s="46">
        <f>+SUMIFS($AA34:$DR34,$AA$7:$DR$7,F$7)</f>
        <v/>
      </c>
      <c r="G34" s="46">
        <f>+SUMIFS($AA34:$DR34,$AA$7:$DR$7,G$7)</f>
        <v/>
      </c>
      <c r="H34" s="46">
        <f>+SUMIFS($AA34:$DR34,$AA$7:$DR$7,H$7)</f>
        <v/>
      </c>
      <c r="I34" s="46">
        <f>+SUMIFS($AA34:$DR34,$AA$7:$DR$7,I$7)</f>
        <v/>
      </c>
      <c r="J34" s="46">
        <f>+SUMIFS($AA34:$DR34,$AA$7:$DR$7,J$7)</f>
        <v/>
      </c>
      <c r="K34" s="46">
        <f>+SUMIFS($AA34:$DR34,$AA$7:$DR$7,K$7)</f>
        <v/>
      </c>
      <c r="L34" s="46">
        <f>+SUMIFS($AA34:$DR34,$AA$7:$DR$7,L$7)</f>
        <v/>
      </c>
      <c r="M34" s="46">
        <f>+SUMIFS($AA34:$DR34,$AA$7:$DR$7,M$7)</f>
        <v/>
      </c>
      <c r="AA34" s="48">
        <f>+SUM(COGS_Calcs!AA74,COGS_Calcs!AA104,COGS_Calcs!AA173,COGS_Calcs!AA256,COGS_Calcs!AA276)</f>
        <v/>
      </c>
      <c r="AB34" s="48">
        <f>+SUM(COGS_Calcs!AB74,COGS_Calcs!AB104,COGS_Calcs!AB173,COGS_Calcs!AB256,COGS_Calcs!AB276)</f>
        <v/>
      </c>
      <c r="AC34" s="48">
        <f>+SUM(COGS_Calcs!AC74,COGS_Calcs!AC104,COGS_Calcs!AC173,COGS_Calcs!AC256,COGS_Calcs!AC276)</f>
        <v/>
      </c>
      <c r="AD34" s="48">
        <f>+SUM(COGS_Calcs!AD74,COGS_Calcs!AD104,COGS_Calcs!AD173,COGS_Calcs!AD256,COGS_Calcs!AD276)</f>
        <v/>
      </c>
      <c r="AE34" s="48">
        <f>+SUM(COGS_Calcs!AE74,COGS_Calcs!AE104,COGS_Calcs!AE173,COGS_Calcs!AE256,COGS_Calcs!AE276)</f>
        <v/>
      </c>
      <c r="AF34" s="48">
        <f>+SUM(COGS_Calcs!AF74,COGS_Calcs!AF104,COGS_Calcs!AF173,COGS_Calcs!AF256,COGS_Calcs!AF276)</f>
        <v/>
      </c>
      <c r="AG34" s="48">
        <f>+SUM(COGS_Calcs!AG74,COGS_Calcs!AG104,COGS_Calcs!AG173,COGS_Calcs!AG256,COGS_Calcs!AG276)</f>
        <v/>
      </c>
      <c r="AH34" s="48">
        <f>+SUM(COGS_Calcs!AH74,COGS_Calcs!AH104,COGS_Calcs!AH173,COGS_Calcs!AH256,COGS_Calcs!AH276)</f>
        <v/>
      </c>
      <c r="AI34" s="48">
        <f>+SUM(COGS_Calcs!AI74,COGS_Calcs!AI104,COGS_Calcs!AI173,COGS_Calcs!AI256,COGS_Calcs!AI276)</f>
        <v/>
      </c>
      <c r="AJ34" s="48">
        <f>+SUM(COGS_Calcs!AJ74,COGS_Calcs!AJ104,COGS_Calcs!AJ173,COGS_Calcs!AJ256,COGS_Calcs!AJ276)</f>
        <v/>
      </c>
      <c r="AK34" s="48">
        <f>+SUM(COGS_Calcs!AK74,COGS_Calcs!AK104,COGS_Calcs!AK173,COGS_Calcs!AK256,COGS_Calcs!AK276)</f>
        <v/>
      </c>
      <c r="AL34" s="48">
        <f>+SUM(COGS_Calcs!AL74,COGS_Calcs!AL104,COGS_Calcs!AL173,COGS_Calcs!AL256,COGS_Calcs!AL276)</f>
        <v/>
      </c>
      <c r="AM34" s="48">
        <f>+SUM(COGS_Calcs!AM74,COGS_Calcs!AM104,COGS_Calcs!AM173,COGS_Calcs!AM256,COGS_Calcs!AM276)</f>
        <v/>
      </c>
      <c r="AN34" s="48">
        <f>+SUM(COGS_Calcs!AN74,COGS_Calcs!AN104,COGS_Calcs!AN173,COGS_Calcs!AN256,COGS_Calcs!AN276)</f>
        <v/>
      </c>
      <c r="AO34" s="48">
        <f>+SUM(COGS_Calcs!AO74,COGS_Calcs!AO104,COGS_Calcs!AO173,COGS_Calcs!AO256,COGS_Calcs!AO276)</f>
        <v/>
      </c>
      <c r="AP34" s="48">
        <f>+SUM(COGS_Calcs!AP74,COGS_Calcs!AP104,COGS_Calcs!AP173,COGS_Calcs!AP256,COGS_Calcs!AP276)</f>
        <v/>
      </c>
      <c r="AQ34" s="48">
        <f>+SUM(COGS_Calcs!AQ74,COGS_Calcs!AQ104,COGS_Calcs!AQ173,COGS_Calcs!AQ256,COGS_Calcs!AQ276)</f>
        <v/>
      </c>
      <c r="AR34" s="48">
        <f>+SUM(COGS_Calcs!AR74,COGS_Calcs!AR104,COGS_Calcs!AR173,COGS_Calcs!AR256,COGS_Calcs!AR276)</f>
        <v/>
      </c>
      <c r="AS34" s="48">
        <f>+SUM(COGS_Calcs!AS74,COGS_Calcs!AS104,COGS_Calcs!AS173,COGS_Calcs!AS256,COGS_Calcs!AS276)</f>
        <v/>
      </c>
      <c r="AT34" s="48">
        <f>+SUM(COGS_Calcs!AT74,COGS_Calcs!AT104,COGS_Calcs!AT173,COGS_Calcs!AT256,COGS_Calcs!AT276)</f>
        <v/>
      </c>
      <c r="AU34" s="48">
        <f>+SUM(COGS_Calcs!AU74,COGS_Calcs!AU104,COGS_Calcs!AU173,COGS_Calcs!AU256,COGS_Calcs!AU276)</f>
        <v/>
      </c>
      <c r="AV34" s="48">
        <f>+SUM(COGS_Calcs!AV74,COGS_Calcs!AV104,COGS_Calcs!AV173,COGS_Calcs!AV256,COGS_Calcs!AV276)</f>
        <v/>
      </c>
      <c r="AW34" s="48">
        <f>+SUM(COGS_Calcs!AW74,COGS_Calcs!AW104,COGS_Calcs!AW173,COGS_Calcs!AW256,COGS_Calcs!AW276)</f>
        <v/>
      </c>
      <c r="AX34" s="48">
        <f>+SUM(COGS_Calcs!AX74,COGS_Calcs!AX104,COGS_Calcs!AX173,COGS_Calcs!AX256,COGS_Calcs!AX276)</f>
        <v/>
      </c>
      <c r="AY34" s="48">
        <f>+SUM(COGS_Calcs!AY74,COGS_Calcs!AY104,COGS_Calcs!AY173,COGS_Calcs!AY256,COGS_Calcs!AY276)</f>
        <v/>
      </c>
      <c r="AZ34" s="48">
        <f>+SUM(COGS_Calcs!AZ74,COGS_Calcs!AZ104,COGS_Calcs!AZ173,COGS_Calcs!AZ256,COGS_Calcs!AZ276)</f>
        <v/>
      </c>
      <c r="BA34" s="48">
        <f>+SUM(COGS_Calcs!BA74,COGS_Calcs!BA104,COGS_Calcs!BA173,COGS_Calcs!BA256,COGS_Calcs!BA276)</f>
        <v/>
      </c>
      <c r="BB34" s="48">
        <f>+SUM(COGS_Calcs!BB74,COGS_Calcs!BB104,COGS_Calcs!BB173,COGS_Calcs!BB256,COGS_Calcs!BB276)</f>
        <v/>
      </c>
      <c r="BC34" s="48">
        <f>+SUM(COGS_Calcs!BC74,COGS_Calcs!BC104,COGS_Calcs!BC173,COGS_Calcs!BC256,COGS_Calcs!BC276)</f>
        <v/>
      </c>
      <c r="BD34" s="48">
        <f>+SUM(COGS_Calcs!BD74,COGS_Calcs!BD104,COGS_Calcs!BD173,COGS_Calcs!BD256,COGS_Calcs!BD276)</f>
        <v/>
      </c>
      <c r="BE34" s="48">
        <f>+SUM(COGS_Calcs!BE74,COGS_Calcs!BE104,COGS_Calcs!BE173,COGS_Calcs!BE256,COGS_Calcs!BE276)</f>
        <v/>
      </c>
      <c r="BF34" s="48">
        <f>+SUM(COGS_Calcs!BF74,COGS_Calcs!BF104,COGS_Calcs!BF173,COGS_Calcs!BF256,COGS_Calcs!BF276)</f>
        <v/>
      </c>
      <c r="BG34" s="48">
        <f>+SUM(COGS_Calcs!BG74,COGS_Calcs!BG104,COGS_Calcs!BG173,COGS_Calcs!BG256,COGS_Calcs!BG276)</f>
        <v/>
      </c>
      <c r="BH34" s="48">
        <f>+SUM(COGS_Calcs!BH74,COGS_Calcs!BH104,COGS_Calcs!BH173,COGS_Calcs!BH256,COGS_Calcs!BH276)</f>
        <v/>
      </c>
      <c r="BI34" s="48">
        <f>+SUM(COGS_Calcs!BI74,COGS_Calcs!BI104,COGS_Calcs!BI173,COGS_Calcs!BI256,COGS_Calcs!BI276)</f>
        <v/>
      </c>
      <c r="BJ34" s="48">
        <f>+SUM(COGS_Calcs!BJ74,COGS_Calcs!BJ104,COGS_Calcs!BJ173,COGS_Calcs!BJ256,COGS_Calcs!BJ276)</f>
        <v/>
      </c>
      <c r="BK34" s="48">
        <f>+SUM(COGS_Calcs!BK74,COGS_Calcs!BK104,COGS_Calcs!BK173,COGS_Calcs!BK256,COGS_Calcs!BK276)</f>
        <v/>
      </c>
      <c r="BL34" s="48">
        <f>+SUM(COGS_Calcs!BL74,COGS_Calcs!BL104,COGS_Calcs!BL173,COGS_Calcs!BL256,COGS_Calcs!BL276)</f>
        <v/>
      </c>
      <c r="BM34" s="48">
        <f>+SUM(COGS_Calcs!BM74,COGS_Calcs!BM104,COGS_Calcs!BM173,COGS_Calcs!BM256,COGS_Calcs!BM276)</f>
        <v/>
      </c>
      <c r="BN34" s="48">
        <f>+SUM(COGS_Calcs!BN74,COGS_Calcs!BN104,COGS_Calcs!BN173,COGS_Calcs!BN256,COGS_Calcs!BN276)</f>
        <v/>
      </c>
      <c r="BO34" s="48">
        <f>+SUM(COGS_Calcs!BO74,COGS_Calcs!BO104,COGS_Calcs!BO173,COGS_Calcs!BO256,COGS_Calcs!BO276)</f>
        <v/>
      </c>
      <c r="BP34" s="48">
        <f>+SUM(COGS_Calcs!BP74,COGS_Calcs!BP104,COGS_Calcs!BP173,COGS_Calcs!BP256,COGS_Calcs!BP276)</f>
        <v/>
      </c>
      <c r="BQ34" s="48">
        <f>+SUM(COGS_Calcs!BQ74,COGS_Calcs!BQ104,COGS_Calcs!BQ173,COGS_Calcs!BQ256,COGS_Calcs!BQ276)</f>
        <v/>
      </c>
      <c r="BR34" s="48">
        <f>+SUM(COGS_Calcs!BR74,COGS_Calcs!BR104,COGS_Calcs!BR173,COGS_Calcs!BR256,COGS_Calcs!BR276)</f>
        <v/>
      </c>
      <c r="BS34" s="48">
        <f>+SUM(COGS_Calcs!BS74,COGS_Calcs!BS104,COGS_Calcs!BS173,COGS_Calcs!BS256,COGS_Calcs!BS276)</f>
        <v/>
      </c>
      <c r="BT34" s="48">
        <f>+SUM(COGS_Calcs!BT74,COGS_Calcs!BT104,COGS_Calcs!BT173,COGS_Calcs!BT256,COGS_Calcs!BT276)</f>
        <v/>
      </c>
      <c r="BU34" s="48">
        <f>+SUM(COGS_Calcs!BU74,COGS_Calcs!BU104,COGS_Calcs!BU173,COGS_Calcs!BU256,COGS_Calcs!BU276)</f>
        <v/>
      </c>
      <c r="BV34" s="48">
        <f>+SUM(COGS_Calcs!BV74,COGS_Calcs!BV104,COGS_Calcs!BV173,COGS_Calcs!BV256,COGS_Calcs!BV276)</f>
        <v/>
      </c>
      <c r="BW34" s="48">
        <f>+SUM(COGS_Calcs!BW74,COGS_Calcs!BW104,COGS_Calcs!BW173,COGS_Calcs!BW256,COGS_Calcs!BW276)</f>
        <v/>
      </c>
      <c r="BX34" s="48">
        <f>+SUM(COGS_Calcs!BX74,COGS_Calcs!BX104,COGS_Calcs!BX173,COGS_Calcs!BX256,COGS_Calcs!BX276)</f>
        <v/>
      </c>
      <c r="BY34" s="48">
        <f>+SUM(COGS_Calcs!BY74,COGS_Calcs!BY104,COGS_Calcs!BY173,COGS_Calcs!BY256,COGS_Calcs!BY276)</f>
        <v/>
      </c>
      <c r="BZ34" s="48">
        <f>+SUM(COGS_Calcs!BZ74,COGS_Calcs!BZ104,COGS_Calcs!BZ173,COGS_Calcs!BZ256,COGS_Calcs!BZ276)</f>
        <v/>
      </c>
      <c r="CA34" s="48">
        <f>+SUM(COGS_Calcs!CA74,COGS_Calcs!CA104,COGS_Calcs!CA173,COGS_Calcs!CA256,COGS_Calcs!CA276)</f>
        <v/>
      </c>
      <c r="CB34" s="48">
        <f>+SUM(COGS_Calcs!CB74,COGS_Calcs!CB104,COGS_Calcs!CB173,COGS_Calcs!CB256,COGS_Calcs!CB276)</f>
        <v/>
      </c>
      <c r="CC34" s="48">
        <f>+SUM(COGS_Calcs!CC74,COGS_Calcs!CC104,COGS_Calcs!CC173,COGS_Calcs!CC256,COGS_Calcs!CC276)</f>
        <v/>
      </c>
      <c r="CD34" s="48">
        <f>+SUM(COGS_Calcs!CD74,COGS_Calcs!CD104,COGS_Calcs!CD173,COGS_Calcs!CD256,COGS_Calcs!CD276)</f>
        <v/>
      </c>
      <c r="CE34" s="48">
        <f>+SUM(COGS_Calcs!CE74,COGS_Calcs!CE104,COGS_Calcs!CE173,COGS_Calcs!CE256,COGS_Calcs!CE276)</f>
        <v/>
      </c>
      <c r="CF34" s="48">
        <f>+SUM(COGS_Calcs!CF74,COGS_Calcs!CF104,COGS_Calcs!CF173,COGS_Calcs!CF256,COGS_Calcs!CF276)</f>
        <v/>
      </c>
      <c r="CG34" s="48">
        <f>+SUM(COGS_Calcs!CG74,COGS_Calcs!CG104,COGS_Calcs!CG173,COGS_Calcs!CG256,COGS_Calcs!CG276)</f>
        <v/>
      </c>
      <c r="CH34" s="48">
        <f>+SUM(COGS_Calcs!CH74,COGS_Calcs!CH104,COGS_Calcs!CH173,COGS_Calcs!CH256,COGS_Calcs!CH276)</f>
        <v/>
      </c>
      <c r="CI34" s="48">
        <f>+SUM(COGS_Calcs!CI74,COGS_Calcs!CI104,COGS_Calcs!CI173,COGS_Calcs!CI256,COGS_Calcs!CI276)</f>
        <v/>
      </c>
      <c r="CJ34" s="48">
        <f>+SUM(COGS_Calcs!CJ74,COGS_Calcs!CJ104,COGS_Calcs!CJ173,COGS_Calcs!CJ256,COGS_Calcs!CJ276)</f>
        <v/>
      </c>
      <c r="CK34" s="48">
        <f>+SUM(COGS_Calcs!CK74,COGS_Calcs!CK104,COGS_Calcs!CK173,COGS_Calcs!CK256,COGS_Calcs!CK276)</f>
        <v/>
      </c>
      <c r="CL34" s="48">
        <f>+SUM(COGS_Calcs!CL74,COGS_Calcs!CL104,COGS_Calcs!CL173,COGS_Calcs!CL256,COGS_Calcs!CL276)</f>
        <v/>
      </c>
      <c r="CM34" s="48">
        <f>+SUM(COGS_Calcs!CM74,COGS_Calcs!CM104,COGS_Calcs!CM173,COGS_Calcs!CM256,COGS_Calcs!CM276)</f>
        <v/>
      </c>
      <c r="CN34" s="48">
        <f>+SUM(COGS_Calcs!CN74,COGS_Calcs!CN104,COGS_Calcs!CN173,COGS_Calcs!CN256,COGS_Calcs!CN276)</f>
        <v/>
      </c>
      <c r="CO34" s="48">
        <f>+SUM(COGS_Calcs!CO74,COGS_Calcs!CO104,COGS_Calcs!CO173,COGS_Calcs!CO256,COGS_Calcs!CO276)</f>
        <v/>
      </c>
      <c r="CP34" s="48">
        <f>+SUM(COGS_Calcs!CP74,COGS_Calcs!CP104,COGS_Calcs!CP173,COGS_Calcs!CP256,COGS_Calcs!CP276)</f>
        <v/>
      </c>
      <c r="CQ34" s="48">
        <f>+SUM(COGS_Calcs!CQ74,COGS_Calcs!CQ104,COGS_Calcs!CQ173,COGS_Calcs!CQ256,COGS_Calcs!CQ276)</f>
        <v/>
      </c>
      <c r="CR34" s="48">
        <f>+SUM(COGS_Calcs!CR74,COGS_Calcs!CR104,COGS_Calcs!CR173,COGS_Calcs!CR256,COGS_Calcs!CR276)</f>
        <v/>
      </c>
      <c r="CS34" s="48">
        <f>+SUM(COGS_Calcs!CS74,COGS_Calcs!CS104,COGS_Calcs!CS173,COGS_Calcs!CS256,COGS_Calcs!CS276)</f>
        <v/>
      </c>
      <c r="CT34" s="48">
        <f>+SUM(COGS_Calcs!CT74,COGS_Calcs!CT104,COGS_Calcs!CT173,COGS_Calcs!CT256,COGS_Calcs!CT276)</f>
        <v/>
      </c>
      <c r="CU34" s="48">
        <f>+SUM(COGS_Calcs!CU74,COGS_Calcs!CU104,COGS_Calcs!CU173,COGS_Calcs!CU256,COGS_Calcs!CU276)</f>
        <v/>
      </c>
      <c r="CV34" s="48">
        <f>+SUM(COGS_Calcs!CV74,COGS_Calcs!CV104,COGS_Calcs!CV173,COGS_Calcs!CV256,COGS_Calcs!CV276)</f>
        <v/>
      </c>
      <c r="CW34" s="48">
        <f>+SUM(COGS_Calcs!CW74,COGS_Calcs!CW104,COGS_Calcs!CW173,COGS_Calcs!CW256,COGS_Calcs!CW276)</f>
        <v/>
      </c>
      <c r="CX34" s="48">
        <f>+SUM(COGS_Calcs!CX74,COGS_Calcs!CX104,COGS_Calcs!CX173,COGS_Calcs!CX256,COGS_Calcs!CX276)</f>
        <v/>
      </c>
      <c r="CY34" s="48">
        <f>+SUM(COGS_Calcs!CY74,COGS_Calcs!CY104,COGS_Calcs!CY173,COGS_Calcs!CY256,COGS_Calcs!CY276)</f>
        <v/>
      </c>
      <c r="CZ34" s="48">
        <f>+SUM(COGS_Calcs!CZ74,COGS_Calcs!CZ104,COGS_Calcs!CZ173,COGS_Calcs!CZ256,COGS_Calcs!CZ276)</f>
        <v/>
      </c>
      <c r="DA34" s="48">
        <f>+SUM(COGS_Calcs!DA74,COGS_Calcs!DA104,COGS_Calcs!DA173,COGS_Calcs!DA256,COGS_Calcs!DA276)</f>
        <v/>
      </c>
      <c r="DB34" s="48">
        <f>+SUM(COGS_Calcs!DB74,COGS_Calcs!DB104,COGS_Calcs!DB173,COGS_Calcs!DB256,COGS_Calcs!DB276)</f>
        <v/>
      </c>
      <c r="DC34" s="48">
        <f>+SUM(COGS_Calcs!DC74,COGS_Calcs!DC104,COGS_Calcs!DC173,COGS_Calcs!DC256,COGS_Calcs!DC276)</f>
        <v/>
      </c>
      <c r="DD34" s="48">
        <f>+SUM(COGS_Calcs!DD74,COGS_Calcs!DD104,COGS_Calcs!DD173,COGS_Calcs!DD256,COGS_Calcs!DD276)</f>
        <v/>
      </c>
      <c r="DE34" s="48">
        <f>+SUM(COGS_Calcs!DE74,COGS_Calcs!DE104,COGS_Calcs!DE173,COGS_Calcs!DE256,COGS_Calcs!DE276)</f>
        <v/>
      </c>
      <c r="DF34" s="48">
        <f>+SUM(COGS_Calcs!DF74,COGS_Calcs!DF104,COGS_Calcs!DF173,COGS_Calcs!DF256,COGS_Calcs!DF276)</f>
        <v/>
      </c>
      <c r="DG34" s="48">
        <f>+SUM(COGS_Calcs!DG74,COGS_Calcs!DG104,COGS_Calcs!DG173,COGS_Calcs!DG256,COGS_Calcs!DG276)</f>
        <v/>
      </c>
      <c r="DH34" s="48">
        <f>+SUM(COGS_Calcs!DH74,COGS_Calcs!DH104,COGS_Calcs!DH173,COGS_Calcs!DH256,COGS_Calcs!DH276)</f>
        <v/>
      </c>
      <c r="DI34" s="48">
        <f>+SUM(COGS_Calcs!DI74,COGS_Calcs!DI104,COGS_Calcs!DI173,COGS_Calcs!DI256,COGS_Calcs!DI276)</f>
        <v/>
      </c>
      <c r="DJ34" s="48">
        <f>+SUM(COGS_Calcs!DJ74,COGS_Calcs!DJ104,COGS_Calcs!DJ173,COGS_Calcs!DJ256,COGS_Calcs!DJ276)</f>
        <v/>
      </c>
      <c r="DK34" s="48">
        <f>+SUM(COGS_Calcs!DK74,COGS_Calcs!DK104,COGS_Calcs!DK173,COGS_Calcs!DK256,COGS_Calcs!DK276)</f>
        <v/>
      </c>
      <c r="DL34" s="48">
        <f>+SUM(COGS_Calcs!DL74,COGS_Calcs!DL104,COGS_Calcs!DL173,COGS_Calcs!DL256,COGS_Calcs!DL276)</f>
        <v/>
      </c>
      <c r="DM34" s="48">
        <f>+SUM(COGS_Calcs!DM74,COGS_Calcs!DM104,COGS_Calcs!DM173,COGS_Calcs!DM256,COGS_Calcs!DM276)</f>
        <v/>
      </c>
      <c r="DN34" s="48">
        <f>+SUM(COGS_Calcs!DN74,COGS_Calcs!DN104,COGS_Calcs!DN173,COGS_Calcs!DN256,COGS_Calcs!DN276)</f>
        <v/>
      </c>
      <c r="DO34" s="48">
        <f>+SUM(COGS_Calcs!DO74,COGS_Calcs!DO104,COGS_Calcs!DO173,COGS_Calcs!DO256,COGS_Calcs!DO276)</f>
        <v/>
      </c>
      <c r="DP34" s="48">
        <f>+SUM(COGS_Calcs!DP74,COGS_Calcs!DP104,COGS_Calcs!DP173,COGS_Calcs!DP256,COGS_Calcs!DP276)</f>
        <v/>
      </c>
      <c r="DQ34" s="48">
        <f>+SUM(COGS_Calcs!DQ74,COGS_Calcs!DQ104,COGS_Calcs!DQ173,COGS_Calcs!DQ256,COGS_Calcs!DQ276)</f>
        <v/>
      </c>
      <c r="DR34" s="48">
        <f>+SUM(COGS_Calcs!DR74,COGS_Calcs!DR104,COGS_Calcs!DR173,COGS_Calcs!DR256,COGS_Calcs!DR276)</f>
        <v/>
      </c>
    </row>
    <row r="35" ht="15.75" customHeight="1">
      <c r="A35" s="66" t="n"/>
      <c r="B35" s="66" t="inlineStr">
        <is>
          <t>Memo: Direct Labor Allocation</t>
        </is>
      </c>
      <c r="C35" s="66" t="n"/>
      <c r="D35" s="66" t="n"/>
      <c r="E35" s="66" t="n"/>
      <c r="F35" s="100">
        <f>+F34/F32</f>
        <v/>
      </c>
      <c r="G35" s="100">
        <f>+G34/G32</f>
        <v/>
      </c>
      <c r="H35" s="100">
        <f>+H34/H32</f>
        <v/>
      </c>
      <c r="I35" s="100">
        <f>+I34/I32</f>
        <v/>
      </c>
      <c r="J35" s="100">
        <f>+J34/J32</f>
        <v/>
      </c>
      <c r="K35" s="100">
        <f>+K34/K32</f>
        <v/>
      </c>
      <c r="L35" s="100">
        <f>+L34/L32</f>
        <v/>
      </c>
      <c r="M35" s="100">
        <f>+M34/M32</f>
        <v/>
      </c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100">
        <f>+AA34/AA32</f>
        <v/>
      </c>
      <c r="AB35" s="100">
        <f>+AB34/AB32</f>
        <v/>
      </c>
      <c r="AC35" s="100">
        <f>+AC34/AC32</f>
        <v/>
      </c>
      <c r="AD35" s="100">
        <f>+AD34/AD32</f>
        <v/>
      </c>
      <c r="AE35" s="100">
        <f>+AE34/AE32</f>
        <v/>
      </c>
      <c r="AF35" s="100">
        <f>+AF34/AF32</f>
        <v/>
      </c>
      <c r="AG35" s="100">
        <f>+AG34/AG32</f>
        <v/>
      </c>
      <c r="AH35" s="100">
        <f>+AH34/AH32</f>
        <v/>
      </c>
      <c r="AI35" s="100">
        <f>+AI34/AI32</f>
        <v/>
      </c>
      <c r="AJ35" s="100">
        <f>+AJ34/AJ32</f>
        <v/>
      </c>
      <c r="AK35" s="100">
        <f>+AK34/AK32</f>
        <v/>
      </c>
      <c r="AL35" s="100">
        <f>+AL34/AL32</f>
        <v/>
      </c>
      <c r="AM35" s="100">
        <f>+AM34/AM32</f>
        <v/>
      </c>
      <c r="AN35" s="100">
        <f>+AN34/AN32</f>
        <v/>
      </c>
      <c r="AO35" s="100">
        <f>+AO34/AO32</f>
        <v/>
      </c>
      <c r="AP35" s="100">
        <f>+AP34/AP32</f>
        <v/>
      </c>
      <c r="AQ35" s="100">
        <f>+AQ34/AQ32</f>
        <v/>
      </c>
      <c r="AR35" s="100">
        <f>+AR34/AR32</f>
        <v/>
      </c>
      <c r="AS35" s="100">
        <f>+AS34/AS32</f>
        <v/>
      </c>
      <c r="AT35" s="100">
        <f>+AT34/AT32</f>
        <v/>
      </c>
      <c r="AU35" s="100">
        <f>+AU34/AU32</f>
        <v/>
      </c>
      <c r="AV35" s="100">
        <f>+AV34/AV32</f>
        <v/>
      </c>
      <c r="AW35" s="100">
        <f>+AW34/AW32</f>
        <v/>
      </c>
      <c r="AX35" s="100">
        <f>+AX34/AX32</f>
        <v/>
      </c>
      <c r="AY35" s="100">
        <f>+AY34/AY32</f>
        <v/>
      </c>
      <c r="AZ35" s="100">
        <f>+AZ34/AZ32</f>
        <v/>
      </c>
      <c r="BA35" s="100">
        <f>+BA34/BA32</f>
        <v/>
      </c>
      <c r="BB35" s="100">
        <f>+BB34/BB32</f>
        <v/>
      </c>
      <c r="BC35" s="100">
        <f>+BC34/BC32</f>
        <v/>
      </c>
      <c r="BD35" s="100">
        <f>+BD34/BD32</f>
        <v/>
      </c>
      <c r="BE35" s="100">
        <f>+BE34/BE32</f>
        <v/>
      </c>
      <c r="BF35" s="100">
        <f>+BF34/BF32</f>
        <v/>
      </c>
      <c r="BG35" s="100">
        <f>+BG34/BG32</f>
        <v/>
      </c>
      <c r="BH35" s="100">
        <f>+BH34/BH32</f>
        <v/>
      </c>
      <c r="BI35" s="100">
        <f>+BI34/BI32</f>
        <v/>
      </c>
      <c r="BJ35" s="100">
        <f>+BJ34/BJ32</f>
        <v/>
      </c>
      <c r="BK35" s="100">
        <f>+BK34/BK32</f>
        <v/>
      </c>
      <c r="BL35" s="100">
        <f>+BL34/BL32</f>
        <v/>
      </c>
      <c r="BM35" s="100">
        <f>+BM34/BM32</f>
        <v/>
      </c>
      <c r="BN35" s="100">
        <f>+BN34/BN32</f>
        <v/>
      </c>
      <c r="BO35" s="100">
        <f>+BO34/BO32</f>
        <v/>
      </c>
      <c r="BP35" s="100">
        <f>+BP34/BP32</f>
        <v/>
      </c>
      <c r="BQ35" s="100">
        <f>+BQ34/BQ32</f>
        <v/>
      </c>
      <c r="BR35" s="100">
        <f>+BR34/BR32</f>
        <v/>
      </c>
      <c r="BS35" s="100">
        <f>+BS34/BS32</f>
        <v/>
      </c>
      <c r="BT35" s="100">
        <f>+BT34/BT32</f>
        <v/>
      </c>
      <c r="BU35" s="100">
        <f>+BU34/BU32</f>
        <v/>
      </c>
      <c r="BV35" s="100">
        <f>+BV34/BV32</f>
        <v/>
      </c>
      <c r="BW35" s="100">
        <f>+BW34/BW32</f>
        <v/>
      </c>
      <c r="BX35" s="100">
        <f>+BX34/BX32</f>
        <v/>
      </c>
      <c r="BY35" s="100">
        <f>+BY34/BY32</f>
        <v/>
      </c>
      <c r="BZ35" s="100">
        <f>+BZ34/BZ32</f>
        <v/>
      </c>
      <c r="CA35" s="100">
        <f>+CA34/CA32</f>
        <v/>
      </c>
      <c r="CB35" s="100">
        <f>+CB34/CB32</f>
        <v/>
      </c>
      <c r="CC35" s="100">
        <f>+CC34/CC32</f>
        <v/>
      </c>
      <c r="CD35" s="100">
        <f>+CD34/CD32</f>
        <v/>
      </c>
      <c r="CE35" s="100">
        <f>+CE34/CE32</f>
        <v/>
      </c>
      <c r="CF35" s="100">
        <f>+CF34/CF32</f>
        <v/>
      </c>
      <c r="CG35" s="100">
        <f>+CG34/CG32</f>
        <v/>
      </c>
      <c r="CH35" s="100">
        <f>+CH34/CH32</f>
        <v/>
      </c>
      <c r="CI35" s="100">
        <f>+CI34/CI32</f>
        <v/>
      </c>
      <c r="CJ35" s="100">
        <f>+CJ34/CJ32</f>
        <v/>
      </c>
      <c r="CK35" s="100">
        <f>+CK34/CK32</f>
        <v/>
      </c>
      <c r="CL35" s="100">
        <f>+CL34/CL32</f>
        <v/>
      </c>
      <c r="CM35" s="100">
        <f>+CM34/CM32</f>
        <v/>
      </c>
      <c r="CN35" s="100">
        <f>+CN34/CN32</f>
        <v/>
      </c>
      <c r="CO35" s="100">
        <f>+CO34/CO32</f>
        <v/>
      </c>
      <c r="CP35" s="100">
        <f>+CP34/CP32</f>
        <v/>
      </c>
      <c r="CQ35" s="100">
        <f>+CQ34/CQ32</f>
        <v/>
      </c>
      <c r="CR35" s="100">
        <f>+CR34/CR32</f>
        <v/>
      </c>
      <c r="CS35" s="100">
        <f>+CS34/CS32</f>
        <v/>
      </c>
      <c r="CT35" s="100">
        <f>+CT34/CT32</f>
        <v/>
      </c>
      <c r="CU35" s="100">
        <f>+CU34/CU32</f>
        <v/>
      </c>
      <c r="CV35" s="100">
        <f>+CV34/CV32</f>
        <v/>
      </c>
      <c r="CW35" s="100">
        <f>+CW34/CW32</f>
        <v/>
      </c>
      <c r="CX35" s="100">
        <f>+CX34/CX32</f>
        <v/>
      </c>
      <c r="CY35" s="100">
        <f>+CY34/CY32</f>
        <v/>
      </c>
      <c r="CZ35" s="100">
        <f>+CZ34/CZ32</f>
        <v/>
      </c>
      <c r="DA35" s="100">
        <f>+DA34/DA32</f>
        <v/>
      </c>
      <c r="DB35" s="100">
        <f>+DB34/DB32</f>
        <v/>
      </c>
      <c r="DC35" s="100">
        <f>+DC34/DC32</f>
        <v/>
      </c>
      <c r="DD35" s="100">
        <f>+DD34/DD32</f>
        <v/>
      </c>
      <c r="DE35" s="100">
        <f>+DE34/DE32</f>
        <v/>
      </c>
      <c r="DF35" s="100">
        <f>+DF34/DF32</f>
        <v/>
      </c>
      <c r="DG35" s="100">
        <f>+DG34/DG32</f>
        <v/>
      </c>
      <c r="DH35" s="100">
        <f>+DH34/DH32</f>
        <v/>
      </c>
      <c r="DI35" s="100">
        <f>+DI34/DI32</f>
        <v/>
      </c>
      <c r="DJ35" s="100">
        <f>+DJ34/DJ32</f>
        <v/>
      </c>
      <c r="DK35" s="100">
        <f>+DK34/DK32</f>
        <v/>
      </c>
      <c r="DL35" s="100">
        <f>+DL34/DL32</f>
        <v/>
      </c>
      <c r="DM35" s="100">
        <f>+DM34/DM32</f>
        <v/>
      </c>
      <c r="DN35" s="100">
        <f>+DN34/DN32</f>
        <v/>
      </c>
      <c r="DO35" s="100">
        <f>+DO34/DO32</f>
        <v/>
      </c>
      <c r="DP35" s="100">
        <f>+DP34/DP32</f>
        <v/>
      </c>
      <c r="DQ35" s="100">
        <f>+DQ34/DQ32</f>
        <v/>
      </c>
      <c r="DR35" s="100">
        <f>+DR34/DR32</f>
        <v/>
      </c>
    </row>
    <row r="36" ht="4.5" customHeight="1"/>
    <row r="37" ht="15" customHeight="1">
      <c r="B37" s="5" t="inlineStr">
        <is>
          <t>Overhead Salary</t>
        </is>
      </c>
      <c r="F37" s="46">
        <f>+SUMIFS($AA37:$DR37,$AA$7:$DR$7,F$7)</f>
        <v/>
      </c>
      <c r="G37" s="46">
        <f>+SUMIFS($AA37:$DR37,$AA$7:$DR$7,G$7)</f>
        <v/>
      </c>
      <c r="H37" s="46">
        <f>+SUMIFS($AA37:$DR37,$AA$7:$DR$7,H$7)</f>
        <v/>
      </c>
      <c r="I37" s="46">
        <f>+SUMIFS($AA37:$DR37,$AA$7:$DR$7,I$7)</f>
        <v/>
      </c>
      <c r="J37" s="46">
        <f>+SUMIFS($AA37:$DR37,$AA$7:$DR$7,J$7)</f>
        <v/>
      </c>
      <c r="K37" s="46">
        <f>+SUMIFS($AA37:$DR37,$AA$7:$DR$7,K$7)</f>
        <v/>
      </c>
      <c r="L37" s="46">
        <f>+SUMIFS($AA37:$DR37,$AA$7:$DR$7,L$7)</f>
        <v/>
      </c>
      <c r="M37" s="46">
        <f>+SUMIFS($AA37:$DR37,$AA$7:$DR$7,M$7)</f>
        <v/>
      </c>
      <c r="AA37" s="46">
        <f>+AA32-AA34</f>
        <v/>
      </c>
      <c r="AB37" s="46">
        <f>+AB32-AB34</f>
        <v/>
      </c>
      <c r="AC37" s="46">
        <f>+AC32-AC34</f>
        <v/>
      </c>
      <c r="AD37" s="46">
        <f>+AD32-AD34</f>
        <v/>
      </c>
      <c r="AE37" s="46">
        <f>+AE32-AE34</f>
        <v/>
      </c>
      <c r="AF37" s="46">
        <f>+AF32-AF34</f>
        <v/>
      </c>
      <c r="AG37" s="46">
        <f>+AG32-AG34</f>
        <v/>
      </c>
      <c r="AH37" s="46">
        <f>+AH32-AH34</f>
        <v/>
      </c>
      <c r="AI37" s="46">
        <f>+AI32-AI34</f>
        <v/>
      </c>
      <c r="AJ37" s="46">
        <f>+AJ32-AJ34</f>
        <v/>
      </c>
      <c r="AK37" s="46">
        <f>+AK32-AK34</f>
        <v/>
      </c>
      <c r="AL37" s="46">
        <f>+AL32-AL34</f>
        <v/>
      </c>
      <c r="AM37" s="46">
        <f>+AM32-AM34</f>
        <v/>
      </c>
      <c r="AN37" s="46">
        <f>+AN32-AN34</f>
        <v/>
      </c>
      <c r="AO37" s="46">
        <f>+AO32-AO34</f>
        <v/>
      </c>
      <c r="AP37" s="46">
        <f>+AP32-AP34</f>
        <v/>
      </c>
      <c r="AQ37" s="46">
        <f>+AQ32-AQ34</f>
        <v/>
      </c>
      <c r="AR37" s="46">
        <f>+AR32-AR34</f>
        <v/>
      </c>
      <c r="AS37" s="46">
        <f>+AS32-AS34</f>
        <v/>
      </c>
      <c r="AT37" s="46">
        <f>+AT32-AT34</f>
        <v/>
      </c>
      <c r="AU37" s="46">
        <f>+AU32-AU34</f>
        <v/>
      </c>
      <c r="AV37" s="46">
        <f>+AV32-AV34</f>
        <v/>
      </c>
      <c r="AW37" s="46">
        <f>+AW32-AW34</f>
        <v/>
      </c>
      <c r="AX37" s="46">
        <f>+AX32-AX34</f>
        <v/>
      </c>
      <c r="AY37" s="46">
        <f>+AY32-AY34</f>
        <v/>
      </c>
      <c r="AZ37" s="46">
        <f>+AZ32-AZ34</f>
        <v/>
      </c>
      <c r="BA37" s="46">
        <f>+BA32-BA34</f>
        <v/>
      </c>
      <c r="BB37" s="46">
        <f>+BB32-BB34</f>
        <v/>
      </c>
      <c r="BC37" s="46">
        <f>+BC32-BC34</f>
        <v/>
      </c>
      <c r="BD37" s="46">
        <f>+BD32-BD34</f>
        <v/>
      </c>
      <c r="BE37" s="46">
        <f>+BE32-BE34</f>
        <v/>
      </c>
      <c r="BF37" s="46">
        <f>+BF32-BF34</f>
        <v/>
      </c>
      <c r="BG37" s="46">
        <f>+BG32-BG34</f>
        <v/>
      </c>
      <c r="BH37" s="46">
        <f>+BH32-BH34</f>
        <v/>
      </c>
      <c r="BI37" s="46">
        <f>+BI32-BI34</f>
        <v/>
      </c>
      <c r="BJ37" s="46">
        <f>+BJ32-BJ34</f>
        <v/>
      </c>
      <c r="BK37" s="46">
        <f>+BK32-BK34</f>
        <v/>
      </c>
      <c r="BL37" s="46">
        <f>+BL32-BL34</f>
        <v/>
      </c>
      <c r="BM37" s="46">
        <f>+BM32-BM34</f>
        <v/>
      </c>
      <c r="BN37" s="46">
        <f>+BN32-BN34</f>
        <v/>
      </c>
      <c r="BO37" s="46">
        <f>+BO32-BO34</f>
        <v/>
      </c>
      <c r="BP37" s="46">
        <f>+BP32-BP34</f>
        <v/>
      </c>
      <c r="BQ37" s="46">
        <f>+BQ32-BQ34</f>
        <v/>
      </c>
      <c r="BR37" s="46">
        <f>+BR32-BR34</f>
        <v/>
      </c>
      <c r="BS37" s="46">
        <f>+BS32-BS34</f>
        <v/>
      </c>
      <c r="BT37" s="46">
        <f>+BT32-BT34</f>
        <v/>
      </c>
      <c r="BU37" s="46">
        <f>+BU32-BU34</f>
        <v/>
      </c>
      <c r="BV37" s="46">
        <f>+BV32-BV34</f>
        <v/>
      </c>
      <c r="BW37" s="46">
        <f>+BW32-BW34</f>
        <v/>
      </c>
      <c r="BX37" s="46">
        <f>+BX32-BX34</f>
        <v/>
      </c>
      <c r="BY37" s="46">
        <f>+BY32-BY34</f>
        <v/>
      </c>
      <c r="BZ37" s="46">
        <f>+BZ32-BZ34</f>
        <v/>
      </c>
      <c r="CA37" s="46">
        <f>+CA32-CA34</f>
        <v/>
      </c>
      <c r="CB37" s="46">
        <f>+CB32-CB34</f>
        <v/>
      </c>
      <c r="CC37" s="46">
        <f>+CC32-CC34</f>
        <v/>
      </c>
      <c r="CD37" s="46">
        <f>+CD32-CD34</f>
        <v/>
      </c>
      <c r="CE37" s="46">
        <f>+CE32-CE34</f>
        <v/>
      </c>
      <c r="CF37" s="46">
        <f>+CF32-CF34</f>
        <v/>
      </c>
      <c r="CG37" s="46">
        <f>+CG32-CG34</f>
        <v/>
      </c>
      <c r="CH37" s="46">
        <f>+CH32-CH34</f>
        <v/>
      </c>
      <c r="CI37" s="46">
        <f>+CI32-CI34</f>
        <v/>
      </c>
      <c r="CJ37" s="46">
        <f>+CJ32-CJ34</f>
        <v/>
      </c>
      <c r="CK37" s="46">
        <f>+CK32-CK34</f>
        <v/>
      </c>
      <c r="CL37" s="46">
        <f>+CL32-CL34</f>
        <v/>
      </c>
      <c r="CM37" s="46">
        <f>+CM32-CM34</f>
        <v/>
      </c>
      <c r="CN37" s="46">
        <f>+CN32-CN34</f>
        <v/>
      </c>
      <c r="CO37" s="46">
        <f>+CO32-CO34</f>
        <v/>
      </c>
      <c r="CP37" s="46">
        <f>+CP32-CP34</f>
        <v/>
      </c>
      <c r="CQ37" s="46">
        <f>+CQ32-CQ34</f>
        <v/>
      </c>
      <c r="CR37" s="46">
        <f>+CR32-CR34</f>
        <v/>
      </c>
      <c r="CS37" s="46">
        <f>+CS32-CS34</f>
        <v/>
      </c>
      <c r="CT37" s="46">
        <f>+CT32-CT34</f>
        <v/>
      </c>
      <c r="CU37" s="46">
        <f>+CU32-CU34</f>
        <v/>
      </c>
      <c r="CV37" s="46">
        <f>+CV32-CV34</f>
        <v/>
      </c>
      <c r="CW37" s="46">
        <f>+CW32-CW34</f>
        <v/>
      </c>
      <c r="CX37" s="46">
        <f>+CX32-CX34</f>
        <v/>
      </c>
      <c r="CY37" s="46">
        <f>+CY32-CY34</f>
        <v/>
      </c>
      <c r="CZ37" s="46">
        <f>+CZ32-CZ34</f>
        <v/>
      </c>
      <c r="DA37" s="46">
        <f>+DA32-DA34</f>
        <v/>
      </c>
      <c r="DB37" s="46">
        <f>+DB32-DB34</f>
        <v/>
      </c>
      <c r="DC37" s="46">
        <f>+DC32-DC34</f>
        <v/>
      </c>
      <c r="DD37" s="46">
        <f>+DD32-DD34</f>
        <v/>
      </c>
      <c r="DE37" s="46">
        <f>+DE32-DE34</f>
        <v/>
      </c>
      <c r="DF37" s="46">
        <f>+DF32-DF34</f>
        <v/>
      </c>
      <c r="DG37" s="46">
        <f>+DG32-DG34</f>
        <v/>
      </c>
      <c r="DH37" s="46">
        <f>+DH32-DH34</f>
        <v/>
      </c>
      <c r="DI37" s="46">
        <f>+DI32-DI34</f>
        <v/>
      </c>
      <c r="DJ37" s="46">
        <f>+DJ32-DJ34</f>
        <v/>
      </c>
      <c r="DK37" s="46">
        <f>+DK32-DK34</f>
        <v/>
      </c>
      <c r="DL37" s="46">
        <f>+DL32-DL34</f>
        <v/>
      </c>
      <c r="DM37" s="46">
        <f>+DM32-DM34</f>
        <v/>
      </c>
      <c r="DN37" s="46">
        <f>+DN32-DN34</f>
        <v/>
      </c>
      <c r="DO37" s="46">
        <f>+DO32-DO34</f>
        <v/>
      </c>
      <c r="DP37" s="46">
        <f>+DP32-DP34</f>
        <v/>
      </c>
      <c r="DQ37" s="46">
        <f>+DQ32-DQ34</f>
        <v/>
      </c>
      <c r="DR37" s="46">
        <f>+DR32-DR34</f>
        <v/>
      </c>
    </row>
    <row r="38" ht="15.75" customHeight="1">
      <c r="B38" s="5" t="inlineStr">
        <is>
          <t>Bonus</t>
        </is>
      </c>
      <c r="F38" s="46">
        <f>+SUMIFS($AA38:$DR38,$AA$7:$DR$7,F$7)</f>
        <v/>
      </c>
      <c r="G38" s="46">
        <f>+SUMIFS($AA38:$DR38,$AA$7:$DR$7,G$7)</f>
        <v/>
      </c>
      <c r="H38" s="46">
        <f>+SUMIFS($AA38:$DR38,$AA$7:$DR$7,H$7)</f>
        <v/>
      </c>
      <c r="I38" s="46">
        <f>+SUMIFS($AA38:$DR38,$AA$7:$DR$7,I$7)</f>
        <v/>
      </c>
      <c r="J38" s="46">
        <f>+SUMIFS($AA38:$DR38,$AA$7:$DR$7,J$7)</f>
        <v/>
      </c>
      <c r="K38" s="46">
        <f>+SUMIFS($AA38:$DR38,$AA$7:$DR$7,K$7)</f>
        <v/>
      </c>
      <c r="L38" s="46">
        <f>+SUMIFS($AA38:$DR38,$AA$7:$DR$7,L$7)</f>
        <v/>
      </c>
      <c r="M38" s="46">
        <f>+SUMIFS($AA38:$DR38,$AA$7:$DR$7,M$7)</f>
        <v/>
      </c>
      <c r="AA38" s="47" t="n">
        <v>6.25</v>
      </c>
      <c r="AB38" s="47" t="n">
        <v>6.25</v>
      </c>
      <c r="AC38" s="47" t="n">
        <v>6.25</v>
      </c>
      <c r="AD38" s="47" t="n">
        <v>6.25</v>
      </c>
      <c r="AE38" s="47" t="n">
        <v>6.25</v>
      </c>
      <c r="AF38" s="47" t="n">
        <v>6.25</v>
      </c>
      <c r="AG38" s="47" t="n">
        <v>6.25</v>
      </c>
      <c r="AH38" s="47" t="n">
        <v>6.25</v>
      </c>
      <c r="AI38" s="47" t="n">
        <v>6.25</v>
      </c>
      <c r="AJ38" s="47" t="n">
        <v>6.25</v>
      </c>
      <c r="AK38" s="47" t="n">
        <v>6.25</v>
      </c>
      <c r="AL38" s="47" t="n">
        <v>8.11876</v>
      </c>
      <c r="AM38" s="47" t="n">
        <v>6.25</v>
      </c>
      <c r="AN38" s="47" t="n">
        <v>6.97728</v>
      </c>
      <c r="AO38" s="47" t="n">
        <v>6.97728</v>
      </c>
      <c r="AP38" s="47" t="n">
        <v>6.97728</v>
      </c>
      <c r="AQ38" s="47" t="n">
        <v>6.97728</v>
      </c>
      <c r="AR38" s="47" t="n">
        <v>6.97727</v>
      </c>
      <c r="AS38" s="47" t="n">
        <v>6.97727</v>
      </c>
      <c r="AT38" s="47" t="n">
        <v>6.97727</v>
      </c>
      <c r="AU38" s="47" t="n">
        <v>6.97727</v>
      </c>
      <c r="AV38" s="47" t="n">
        <v>6.97727</v>
      </c>
      <c r="AW38" s="47" t="n">
        <v>6.97727</v>
      </c>
      <c r="AX38" s="47" t="n">
        <v>21.48651</v>
      </c>
      <c r="AY38" s="47" t="n">
        <v>41.25</v>
      </c>
      <c r="AZ38" s="47" t="n">
        <v>41.25</v>
      </c>
      <c r="BA38" s="47" t="n">
        <v>41.25</v>
      </c>
      <c r="BB38" s="47" t="n">
        <v>41.25</v>
      </c>
      <c r="BC38" s="47" t="n">
        <v>45</v>
      </c>
      <c r="BD38" s="47" t="n">
        <v>48.60352</v>
      </c>
      <c r="BE38" s="47" t="n">
        <v>48.60352</v>
      </c>
      <c r="BF38" s="47" t="n">
        <v>48.60352</v>
      </c>
      <c r="BG38" s="47" t="n">
        <v>43.58576</v>
      </c>
      <c r="BH38" s="47" t="n">
        <v>42.58576</v>
      </c>
      <c r="BI38" s="47" t="n">
        <v>42.58576</v>
      </c>
      <c r="BJ38" s="47" t="n">
        <v>48.88911</v>
      </c>
      <c r="BK38" s="47" t="n">
        <v>47.083</v>
      </c>
      <c r="BL38" s="47" t="n">
        <v>77.51600000000001</v>
      </c>
      <c r="BM38" s="47" t="n">
        <v>47.5401</v>
      </c>
      <c r="BN38" s="47" t="n">
        <v>47.5401</v>
      </c>
      <c r="BO38" s="47" t="n">
        <v>47.5401</v>
      </c>
      <c r="BP38" s="47" t="n">
        <v>47.5401</v>
      </c>
      <c r="BQ38" s="47" t="n">
        <v>47.5401</v>
      </c>
      <c r="BR38" s="47" t="n">
        <v>47.5401</v>
      </c>
      <c r="BS38" s="47" t="n">
        <v>47.5401</v>
      </c>
      <c r="BT38" s="47" t="n">
        <v>47.54010000000001</v>
      </c>
      <c r="BU38" s="47" t="n">
        <v>47.5401</v>
      </c>
      <c r="BV38" s="47" t="n">
        <v>47.54009999999997</v>
      </c>
      <c r="BW38" s="47" t="n">
        <v>50</v>
      </c>
      <c r="BX38" s="47" t="n">
        <v>50</v>
      </c>
      <c r="BY38" s="47" t="n">
        <v>50</v>
      </c>
      <c r="BZ38" s="47" t="n">
        <v>50</v>
      </c>
      <c r="CA38" s="47" t="n">
        <v>50</v>
      </c>
      <c r="CB38" s="47" t="n">
        <v>50</v>
      </c>
      <c r="CC38" s="47" t="n">
        <v>50</v>
      </c>
      <c r="CD38" s="47" t="n">
        <v>50</v>
      </c>
      <c r="CE38" s="47" t="n">
        <v>50</v>
      </c>
      <c r="CF38" s="47" t="n">
        <v>50</v>
      </c>
      <c r="CG38" s="47" t="n">
        <v>50</v>
      </c>
      <c r="CH38" s="47" t="n">
        <v>50</v>
      </c>
      <c r="CI38" s="48">
        <f>+SUMIFS(Opex_Assumptions!$F24:$M24,Opex_Assumptions!$F$7:$M$7,CI$7)*'Income Statement'!BY$16</f>
        <v/>
      </c>
      <c r="CJ38" s="48">
        <f>+SUMIFS(Opex_Assumptions!$F24:$M24,Opex_Assumptions!$F$7:$M$7,CJ$7)*'Income Statement'!BZ$16</f>
        <v/>
      </c>
      <c r="CK38" s="48">
        <f>+SUMIFS(Opex_Assumptions!$F24:$M24,Opex_Assumptions!$F$7:$M$7,CK$7)*'Income Statement'!CA$16</f>
        <v/>
      </c>
      <c r="CL38" s="48">
        <f>+SUMIFS(Opex_Assumptions!$F24:$M24,Opex_Assumptions!$F$7:$M$7,CL$7)*'Income Statement'!CB$16</f>
        <v/>
      </c>
      <c r="CM38" s="48">
        <f>+SUMIFS(Opex_Assumptions!$F24:$M24,Opex_Assumptions!$F$7:$M$7,CM$7)*'Income Statement'!CC$16</f>
        <v/>
      </c>
      <c r="CN38" s="48">
        <f>+SUMIFS(Opex_Assumptions!$F24:$M24,Opex_Assumptions!$F$7:$M$7,CN$7)*'Income Statement'!CD$16</f>
        <v/>
      </c>
      <c r="CO38" s="48">
        <f>+SUMIFS(Opex_Assumptions!$F24:$M24,Opex_Assumptions!$F$7:$M$7,CO$7)*'Income Statement'!CE$16</f>
        <v/>
      </c>
      <c r="CP38" s="48">
        <f>+SUMIFS(Opex_Assumptions!$F24:$M24,Opex_Assumptions!$F$7:$M$7,CP$7)*'Income Statement'!CF$16</f>
        <v/>
      </c>
      <c r="CQ38" s="48">
        <f>+SUMIFS(Opex_Assumptions!$F24:$M24,Opex_Assumptions!$F$7:$M$7,CQ$7)*'Income Statement'!CG$16</f>
        <v/>
      </c>
      <c r="CR38" s="48">
        <f>+SUMIFS(Opex_Assumptions!$F24:$M24,Opex_Assumptions!$F$7:$M$7,CR$7)*'Income Statement'!CH$16</f>
        <v/>
      </c>
      <c r="CS38" s="48">
        <f>+SUMIFS(Opex_Assumptions!$F24:$M24,Opex_Assumptions!$F$7:$M$7,CS$7)*'Income Statement'!CI$16</f>
        <v/>
      </c>
      <c r="CT38" s="48">
        <f>+SUMIFS(Opex_Assumptions!$F24:$M24,Opex_Assumptions!$F$7:$M$7,CT$7)*'Income Statement'!CJ$16</f>
        <v/>
      </c>
      <c r="CU38" s="48">
        <f>+SUMIFS(Opex_Assumptions!$F24:$M24,Opex_Assumptions!$F$7:$M$7,CU$7)*'Income Statement'!CK$16</f>
        <v/>
      </c>
      <c r="CV38" s="48">
        <f>+SUMIFS(Opex_Assumptions!$F24:$M24,Opex_Assumptions!$F$7:$M$7,CV$7)*'Income Statement'!CL$16</f>
        <v/>
      </c>
      <c r="CW38" s="48">
        <f>+SUMIFS(Opex_Assumptions!$F24:$M24,Opex_Assumptions!$F$7:$M$7,CW$7)*'Income Statement'!CM$16</f>
        <v/>
      </c>
      <c r="CX38" s="48">
        <f>+SUMIFS(Opex_Assumptions!$F24:$M24,Opex_Assumptions!$F$7:$M$7,CX$7)*'Income Statement'!CN$16</f>
        <v/>
      </c>
      <c r="CY38" s="48">
        <f>+SUMIFS(Opex_Assumptions!$F24:$M24,Opex_Assumptions!$F$7:$M$7,CY$7)*'Income Statement'!CO$16</f>
        <v/>
      </c>
      <c r="CZ38" s="48">
        <f>+SUMIFS(Opex_Assumptions!$F24:$M24,Opex_Assumptions!$F$7:$M$7,CZ$7)*'Income Statement'!CP$16</f>
        <v/>
      </c>
      <c r="DA38" s="48">
        <f>+SUMIFS(Opex_Assumptions!$F24:$M24,Opex_Assumptions!$F$7:$M$7,DA$7)*'Income Statement'!CQ$16</f>
        <v/>
      </c>
      <c r="DB38" s="48">
        <f>+SUMIFS(Opex_Assumptions!$F24:$M24,Opex_Assumptions!$F$7:$M$7,DB$7)*'Income Statement'!CR$16</f>
        <v/>
      </c>
      <c r="DC38" s="48">
        <f>+SUMIFS(Opex_Assumptions!$F24:$M24,Opex_Assumptions!$F$7:$M$7,DC$7)*'Income Statement'!CS$16</f>
        <v/>
      </c>
      <c r="DD38" s="48">
        <f>+SUMIFS(Opex_Assumptions!$F24:$M24,Opex_Assumptions!$F$7:$M$7,DD$7)*'Income Statement'!CT$16</f>
        <v/>
      </c>
      <c r="DE38" s="48">
        <f>+SUMIFS(Opex_Assumptions!$F24:$M24,Opex_Assumptions!$F$7:$M$7,DE$7)*'Income Statement'!CU$16</f>
        <v/>
      </c>
      <c r="DF38" s="48">
        <f>+SUMIFS(Opex_Assumptions!$F24:$M24,Opex_Assumptions!$F$7:$M$7,DF$7)*'Income Statement'!CV$16</f>
        <v/>
      </c>
      <c r="DG38" s="48">
        <f>+SUMIFS(Opex_Assumptions!$F24:$M24,Opex_Assumptions!$F$7:$M$7,DG$7)*'Income Statement'!CW$16</f>
        <v/>
      </c>
      <c r="DH38" s="48">
        <f>+SUMIFS(Opex_Assumptions!$F24:$M24,Opex_Assumptions!$F$7:$M$7,DH$7)*'Income Statement'!CX$16</f>
        <v/>
      </c>
      <c r="DI38" s="48">
        <f>+SUMIFS(Opex_Assumptions!$F24:$M24,Opex_Assumptions!$F$7:$M$7,DI$7)*'Income Statement'!CY$16</f>
        <v/>
      </c>
      <c r="DJ38" s="48">
        <f>+SUMIFS(Opex_Assumptions!$F24:$M24,Opex_Assumptions!$F$7:$M$7,DJ$7)*'Income Statement'!CZ$16</f>
        <v/>
      </c>
      <c r="DK38" s="48">
        <f>+SUMIFS(Opex_Assumptions!$F24:$M24,Opex_Assumptions!$F$7:$M$7,DK$7)*'Income Statement'!DA$16</f>
        <v/>
      </c>
      <c r="DL38" s="48">
        <f>+SUMIFS(Opex_Assumptions!$F24:$M24,Opex_Assumptions!$F$7:$M$7,DL$7)*'Income Statement'!DB$16</f>
        <v/>
      </c>
      <c r="DM38" s="48">
        <f>+SUMIFS(Opex_Assumptions!$F24:$M24,Opex_Assumptions!$F$7:$M$7,DM$7)*'Income Statement'!DC$16</f>
        <v/>
      </c>
      <c r="DN38" s="48">
        <f>+SUMIFS(Opex_Assumptions!$F24:$M24,Opex_Assumptions!$F$7:$M$7,DN$7)*'Income Statement'!DD$16</f>
        <v/>
      </c>
      <c r="DO38" s="48">
        <f>+SUMIFS(Opex_Assumptions!$F24:$M24,Opex_Assumptions!$F$7:$M$7,DO$7)*'Income Statement'!DE$16</f>
        <v/>
      </c>
      <c r="DP38" s="48">
        <f>+SUMIFS(Opex_Assumptions!$F24:$M24,Opex_Assumptions!$F$7:$M$7,DP$7)*'Income Statement'!DF$16</f>
        <v/>
      </c>
      <c r="DQ38" s="48">
        <f>+SUMIFS(Opex_Assumptions!$F24:$M24,Opex_Assumptions!$F$7:$M$7,DQ$7)*'Income Statement'!DG$16</f>
        <v/>
      </c>
      <c r="DR38" s="48">
        <f>+SUMIFS(Opex_Assumptions!$F24:$M24,Opex_Assumptions!$F$7:$M$7,DR$7)*'Income Statement'!DH$16</f>
        <v/>
      </c>
    </row>
    <row r="39" ht="15.75" customHeight="1">
      <c r="B39" s="5" t="inlineStr">
        <is>
          <t>Payroll Taxes</t>
        </is>
      </c>
      <c r="F39" s="46">
        <f>+SUMIFS($AA39:$DR39,$AA$7:$DR$7,F$7)</f>
        <v/>
      </c>
      <c r="G39" s="46">
        <f>+SUMIFS($AA39:$DR39,$AA$7:$DR$7,G$7)</f>
        <v/>
      </c>
      <c r="H39" s="46">
        <f>+SUMIFS($AA39:$DR39,$AA$7:$DR$7,H$7)</f>
        <v/>
      </c>
      <c r="I39" s="46">
        <f>+SUMIFS($AA39:$DR39,$AA$7:$DR$7,I$7)</f>
        <v/>
      </c>
      <c r="J39" s="46">
        <f>+SUMIFS($AA39:$DR39,$AA$7:$DR$7,J$7)</f>
        <v/>
      </c>
      <c r="K39" s="46">
        <f>+SUMIFS($AA39:$DR39,$AA$7:$DR$7,K$7)</f>
        <v/>
      </c>
      <c r="L39" s="46">
        <f>+SUMIFS($AA39:$DR39,$AA$7:$DR$7,L$7)</f>
        <v/>
      </c>
      <c r="M39" s="46">
        <f>+SUMIFS($AA39:$DR39,$AA$7:$DR$7,M$7)</f>
        <v/>
      </c>
      <c r="AA39" s="47" t="n">
        <v>60.55233232717817</v>
      </c>
      <c r="AB39" s="47" t="n">
        <v>56.65836466827828</v>
      </c>
      <c r="AC39" s="47" t="n">
        <v>44.50138412787915</v>
      </c>
      <c r="AD39" s="47" t="n">
        <v>50.17786707497069</v>
      </c>
      <c r="AE39" s="47" t="n">
        <v>46.2794418190967</v>
      </c>
      <c r="AF39" s="47" t="n">
        <v>45.87031221809902</v>
      </c>
      <c r="AG39" s="47" t="n">
        <v>51.41522019957064</v>
      </c>
      <c r="AH39" s="47" t="n">
        <v>43.11546521051677</v>
      </c>
      <c r="AI39" s="47" t="n">
        <v>45.67224729678265</v>
      </c>
      <c r="AJ39" s="47" t="n">
        <v>43.27106200840512</v>
      </c>
      <c r="AK39" s="47" t="n">
        <v>44.17943169322356</v>
      </c>
      <c r="AL39" s="47" t="n">
        <v>49.99094257505208</v>
      </c>
      <c r="AM39" s="47" t="n">
        <v>73.8980919546201</v>
      </c>
      <c r="AN39" s="47" t="n">
        <v>61.98194640611612</v>
      </c>
      <c r="AO39" s="47" t="n">
        <v>53.49080383822299</v>
      </c>
      <c r="AP39" s="47" t="n">
        <v>53.05575195058326</v>
      </c>
      <c r="AQ39" s="47" t="n">
        <v>56.45637850808498</v>
      </c>
      <c r="AR39" s="47" t="n">
        <v>55.63386846887955</v>
      </c>
      <c r="AS39" s="47" t="n">
        <v>54.91529209926875</v>
      </c>
      <c r="AT39" s="47" t="n">
        <v>52.00445473418616</v>
      </c>
      <c r="AU39" s="47" t="n">
        <v>48.458020729926</v>
      </c>
      <c r="AV39" s="47" t="n">
        <v>49.77603607437227</v>
      </c>
      <c r="AW39" s="47" t="n">
        <v>48.81229571598725</v>
      </c>
      <c r="AX39" s="47" t="n">
        <v>49.5835269019926</v>
      </c>
      <c r="AY39" s="47" t="n">
        <v>63.92931069290408</v>
      </c>
      <c r="AZ39" s="47" t="n">
        <v>56.46835241581833</v>
      </c>
      <c r="BA39" s="47" t="n">
        <v>45.26701264278986</v>
      </c>
      <c r="BB39" s="47" t="n">
        <v>45.77187260507674</v>
      </c>
      <c r="BC39" s="47" t="n">
        <v>44.72816496258334</v>
      </c>
      <c r="BD39" s="47" t="n">
        <v>54.78782701377868</v>
      </c>
      <c r="BE39" s="47" t="n">
        <v>44.44930218864029</v>
      </c>
      <c r="BF39" s="47" t="n">
        <v>43.14799800079454</v>
      </c>
      <c r="BG39" s="47" t="n">
        <v>38.40298291432694</v>
      </c>
      <c r="BH39" s="47" t="n">
        <v>52.84197868503629</v>
      </c>
      <c r="BI39" s="47" t="n">
        <v>44.21464976044996</v>
      </c>
      <c r="BJ39" s="47" t="n">
        <v>54.53070596174274</v>
      </c>
      <c r="BK39" s="47" t="n">
        <v>96.13500000000001</v>
      </c>
      <c r="BL39" s="47" t="n">
        <v>84.94499999999999</v>
      </c>
      <c r="BM39" s="47" t="n">
        <v>79.79448400839354</v>
      </c>
      <c r="BN39" s="47" t="n">
        <v>79.79448400839354</v>
      </c>
      <c r="BO39" s="47" t="n">
        <v>79.79448400839354</v>
      </c>
      <c r="BP39" s="47" t="n">
        <v>79.79448400839354</v>
      </c>
      <c r="BQ39" s="47" t="n">
        <v>79.79448400839354</v>
      </c>
      <c r="BR39" s="47" t="n">
        <v>79.79448400839354</v>
      </c>
      <c r="BS39" s="47" t="n">
        <v>79.79448400839354</v>
      </c>
      <c r="BT39" s="47" t="n">
        <v>79.79448400839355</v>
      </c>
      <c r="BU39" s="47" t="n">
        <v>79.79448400839358</v>
      </c>
      <c r="BV39" s="47" t="n">
        <v>79.79448400839362</v>
      </c>
      <c r="BW39" s="47" t="n">
        <v>90.87928677805668</v>
      </c>
      <c r="BX39" s="47" t="n">
        <v>90.87928677805668</v>
      </c>
      <c r="BY39" s="47" t="n">
        <v>90.87928677805668</v>
      </c>
      <c r="BZ39" s="47" t="n">
        <v>90.87928677805668</v>
      </c>
      <c r="CA39" s="47" t="n">
        <v>90.87928677805668</v>
      </c>
      <c r="CB39" s="47" t="n">
        <v>90.87928677805668</v>
      </c>
      <c r="CC39" s="47" t="n">
        <v>90.8792867780567</v>
      </c>
      <c r="CD39" s="47" t="n">
        <v>90.87928677805668</v>
      </c>
      <c r="CE39" s="47" t="n">
        <v>90.87928677805668</v>
      </c>
      <c r="CF39" s="47" t="n">
        <v>90.8792867780567</v>
      </c>
      <c r="CG39" s="47" t="n">
        <v>90.8792867780567</v>
      </c>
      <c r="CH39" s="47" t="n">
        <v>90.87928677805668</v>
      </c>
      <c r="CI39" s="48">
        <f>+SUMIFS(Opex_Assumptions!$F25:$M25,Opex_Assumptions!$F$7:$M$7,CI$7)*CI$32</f>
        <v/>
      </c>
      <c r="CJ39" s="48">
        <f>+SUMIFS(Opex_Assumptions!$F25:$M25,Opex_Assumptions!$F$7:$M$7,CJ$7)*CJ$32</f>
        <v/>
      </c>
      <c r="CK39" s="48">
        <f>+SUMIFS(Opex_Assumptions!$F25:$M25,Opex_Assumptions!$F$7:$M$7,CK$7)*CK$32</f>
        <v/>
      </c>
      <c r="CL39" s="48">
        <f>+SUMIFS(Opex_Assumptions!$F25:$M25,Opex_Assumptions!$F$7:$M$7,CL$7)*CL$32</f>
        <v/>
      </c>
      <c r="CM39" s="48">
        <f>+SUMIFS(Opex_Assumptions!$F25:$M25,Opex_Assumptions!$F$7:$M$7,CM$7)*CM$32</f>
        <v/>
      </c>
      <c r="CN39" s="48">
        <f>+SUMIFS(Opex_Assumptions!$F25:$M25,Opex_Assumptions!$F$7:$M$7,CN$7)*CN$32</f>
        <v/>
      </c>
      <c r="CO39" s="48">
        <f>+SUMIFS(Opex_Assumptions!$F25:$M25,Opex_Assumptions!$F$7:$M$7,CO$7)*CO$32</f>
        <v/>
      </c>
      <c r="CP39" s="48">
        <f>+SUMIFS(Opex_Assumptions!$F25:$M25,Opex_Assumptions!$F$7:$M$7,CP$7)*CP$32</f>
        <v/>
      </c>
      <c r="CQ39" s="48">
        <f>+SUMIFS(Opex_Assumptions!$F25:$M25,Opex_Assumptions!$F$7:$M$7,CQ$7)*CQ$32</f>
        <v/>
      </c>
      <c r="CR39" s="48">
        <f>+SUMIFS(Opex_Assumptions!$F25:$M25,Opex_Assumptions!$F$7:$M$7,CR$7)*CR$32</f>
        <v/>
      </c>
      <c r="CS39" s="48">
        <f>+SUMIFS(Opex_Assumptions!$F25:$M25,Opex_Assumptions!$F$7:$M$7,CS$7)*CS$32</f>
        <v/>
      </c>
      <c r="CT39" s="48">
        <f>+SUMIFS(Opex_Assumptions!$F25:$M25,Opex_Assumptions!$F$7:$M$7,CT$7)*CT$32</f>
        <v/>
      </c>
      <c r="CU39" s="48">
        <f>+SUMIFS(Opex_Assumptions!$F25:$M25,Opex_Assumptions!$F$7:$M$7,CU$7)*CU$32</f>
        <v/>
      </c>
      <c r="CV39" s="48">
        <f>+SUMIFS(Opex_Assumptions!$F25:$M25,Opex_Assumptions!$F$7:$M$7,CV$7)*CV$32</f>
        <v/>
      </c>
      <c r="CW39" s="48">
        <f>+SUMIFS(Opex_Assumptions!$F25:$M25,Opex_Assumptions!$F$7:$M$7,CW$7)*CW$32</f>
        <v/>
      </c>
      <c r="CX39" s="48">
        <f>+SUMIFS(Opex_Assumptions!$F25:$M25,Opex_Assumptions!$F$7:$M$7,CX$7)*CX$32</f>
        <v/>
      </c>
      <c r="CY39" s="48">
        <f>+SUMIFS(Opex_Assumptions!$F25:$M25,Opex_Assumptions!$F$7:$M$7,CY$7)*CY$32</f>
        <v/>
      </c>
      <c r="CZ39" s="48">
        <f>+SUMIFS(Opex_Assumptions!$F25:$M25,Opex_Assumptions!$F$7:$M$7,CZ$7)*CZ$32</f>
        <v/>
      </c>
      <c r="DA39" s="48">
        <f>+SUMIFS(Opex_Assumptions!$F25:$M25,Opex_Assumptions!$F$7:$M$7,DA$7)*DA$32</f>
        <v/>
      </c>
      <c r="DB39" s="48">
        <f>+SUMIFS(Opex_Assumptions!$F25:$M25,Opex_Assumptions!$F$7:$M$7,DB$7)*DB$32</f>
        <v/>
      </c>
      <c r="DC39" s="48">
        <f>+SUMIFS(Opex_Assumptions!$F25:$M25,Opex_Assumptions!$F$7:$M$7,DC$7)*DC$32</f>
        <v/>
      </c>
      <c r="DD39" s="48">
        <f>+SUMIFS(Opex_Assumptions!$F25:$M25,Opex_Assumptions!$F$7:$M$7,DD$7)*DD$32</f>
        <v/>
      </c>
      <c r="DE39" s="48">
        <f>+SUMIFS(Opex_Assumptions!$F25:$M25,Opex_Assumptions!$F$7:$M$7,DE$7)*DE$32</f>
        <v/>
      </c>
      <c r="DF39" s="48">
        <f>+SUMIFS(Opex_Assumptions!$F25:$M25,Opex_Assumptions!$F$7:$M$7,DF$7)*DF$32</f>
        <v/>
      </c>
      <c r="DG39" s="48">
        <f>+SUMIFS(Opex_Assumptions!$F25:$M25,Opex_Assumptions!$F$7:$M$7,DG$7)*DG$32</f>
        <v/>
      </c>
      <c r="DH39" s="48">
        <f>+SUMIFS(Opex_Assumptions!$F25:$M25,Opex_Assumptions!$F$7:$M$7,DH$7)*DH$32</f>
        <v/>
      </c>
      <c r="DI39" s="48">
        <f>+SUMIFS(Opex_Assumptions!$F25:$M25,Opex_Assumptions!$F$7:$M$7,DI$7)*DI$32</f>
        <v/>
      </c>
      <c r="DJ39" s="48">
        <f>+SUMIFS(Opex_Assumptions!$F25:$M25,Opex_Assumptions!$F$7:$M$7,DJ$7)*DJ$32</f>
        <v/>
      </c>
      <c r="DK39" s="48">
        <f>+SUMIFS(Opex_Assumptions!$F25:$M25,Opex_Assumptions!$F$7:$M$7,DK$7)*DK$32</f>
        <v/>
      </c>
      <c r="DL39" s="48">
        <f>+SUMIFS(Opex_Assumptions!$F25:$M25,Opex_Assumptions!$F$7:$M$7,DL$7)*DL$32</f>
        <v/>
      </c>
      <c r="DM39" s="48">
        <f>+SUMIFS(Opex_Assumptions!$F25:$M25,Opex_Assumptions!$F$7:$M$7,DM$7)*DM$32</f>
        <v/>
      </c>
      <c r="DN39" s="48">
        <f>+SUMIFS(Opex_Assumptions!$F25:$M25,Opex_Assumptions!$F$7:$M$7,DN$7)*DN$32</f>
        <v/>
      </c>
      <c r="DO39" s="48">
        <f>+SUMIFS(Opex_Assumptions!$F25:$M25,Opex_Assumptions!$F$7:$M$7,DO$7)*DO$32</f>
        <v/>
      </c>
      <c r="DP39" s="48">
        <f>+SUMIFS(Opex_Assumptions!$F25:$M25,Opex_Assumptions!$F$7:$M$7,DP$7)*DP$32</f>
        <v/>
      </c>
      <c r="DQ39" s="48">
        <f>+SUMIFS(Opex_Assumptions!$F25:$M25,Opex_Assumptions!$F$7:$M$7,DQ$7)*DQ$32</f>
        <v/>
      </c>
      <c r="DR39" s="48">
        <f>+SUMIFS(Opex_Assumptions!$F25:$M25,Opex_Assumptions!$F$7:$M$7,DR$7)*DR$32</f>
        <v/>
      </c>
    </row>
    <row r="40" ht="15.75" customHeight="1">
      <c r="B40" s="5" t="inlineStr">
        <is>
          <t>Commission</t>
        </is>
      </c>
      <c r="F40" s="46">
        <f>+SUMIFS($AA40:$DR40,$AA$7:$DR$7,F$7)</f>
        <v/>
      </c>
      <c r="G40" s="46">
        <f>+SUMIFS($AA40:$DR40,$AA$7:$DR$7,G$7)</f>
        <v/>
      </c>
      <c r="H40" s="46">
        <f>+SUMIFS($AA40:$DR40,$AA$7:$DR$7,H$7)</f>
        <v/>
      </c>
      <c r="I40" s="46">
        <f>+SUMIFS($AA40:$DR40,$AA$7:$DR$7,I$7)</f>
        <v/>
      </c>
      <c r="J40" s="46">
        <f>+SUMIFS($AA40:$DR40,$AA$7:$DR$7,J$7)</f>
        <v/>
      </c>
      <c r="K40" s="46">
        <f>+SUMIFS($AA40:$DR40,$AA$7:$DR$7,K$7)</f>
        <v/>
      </c>
      <c r="L40" s="46">
        <f>+SUMIFS($AA40:$DR40,$AA$7:$DR$7,L$7)</f>
        <v/>
      </c>
      <c r="M40" s="46">
        <f>+SUMIFS($AA40:$DR40,$AA$7:$DR$7,M$7)</f>
        <v/>
      </c>
      <c r="AA40" s="47" t="n">
        <v>10.54534</v>
      </c>
      <c r="AB40" s="47" t="n">
        <v>10.417</v>
      </c>
      <c r="AC40" s="47" t="n">
        <v>10.417</v>
      </c>
      <c r="AD40" s="47" t="n">
        <v>10.417</v>
      </c>
      <c r="AE40" s="47" t="n">
        <v>10.417</v>
      </c>
      <c r="AF40" s="47" t="n">
        <v>10.417</v>
      </c>
      <c r="AG40" s="47" t="n">
        <v>10.417</v>
      </c>
      <c r="AH40" s="47" t="n">
        <v>10.417</v>
      </c>
      <c r="AI40" s="47" t="n">
        <v>10.417</v>
      </c>
      <c r="AJ40" s="47" t="n">
        <v>10.417</v>
      </c>
      <c r="AK40" s="47" t="n">
        <v>10.417</v>
      </c>
      <c r="AL40" s="47" t="n">
        <v>-90.015</v>
      </c>
      <c r="AM40" s="47" t="n">
        <v>10.41667</v>
      </c>
      <c r="AN40" s="47" t="n">
        <v>10.41667</v>
      </c>
      <c r="AO40" s="47" t="n">
        <v>10.41667</v>
      </c>
      <c r="AP40" s="47" t="n">
        <v>10.41667</v>
      </c>
      <c r="AQ40" s="47" t="n">
        <v>1.04167</v>
      </c>
      <c r="AR40" s="47" t="n">
        <v>1.04167</v>
      </c>
      <c r="AS40" s="47" t="n">
        <v>1.04167</v>
      </c>
      <c r="AT40" s="47" t="n">
        <v>1.04167</v>
      </c>
      <c r="AU40" s="47" t="n">
        <v>1.04166</v>
      </c>
      <c r="AV40" s="47" t="n">
        <v>1.04166</v>
      </c>
      <c r="AW40" s="47" t="n">
        <v>1.04166</v>
      </c>
      <c r="AX40" s="47" t="n">
        <v>-21.60334</v>
      </c>
      <c r="AY40" s="47" t="n">
        <v>2.916</v>
      </c>
      <c r="AZ40" s="47" t="n">
        <v>2.916</v>
      </c>
      <c r="BA40" s="47" t="n">
        <v>2.916</v>
      </c>
      <c r="BB40" s="47" t="n">
        <v>2.916</v>
      </c>
      <c r="BC40" s="47" t="n">
        <v>1.042</v>
      </c>
      <c r="BD40" s="47" t="n">
        <v>1.042</v>
      </c>
      <c r="BE40" s="47" t="n">
        <v>1.042</v>
      </c>
      <c r="BF40" s="47" t="n">
        <v>1.042</v>
      </c>
      <c r="BG40" s="47" t="n">
        <v>1.042</v>
      </c>
      <c r="BH40" s="47" t="n">
        <v>1.042</v>
      </c>
      <c r="BI40" s="47" t="n">
        <v>1.042</v>
      </c>
      <c r="BJ40" s="47" t="n">
        <v>-13.908</v>
      </c>
      <c r="BK40" s="47" t="n">
        <v>2.083</v>
      </c>
      <c r="BL40" s="47" t="n">
        <v>2.083</v>
      </c>
      <c r="BM40" s="47" t="n">
        <v>3.0834</v>
      </c>
      <c r="BN40" s="47" t="n">
        <v>3.0834</v>
      </c>
      <c r="BO40" s="47" t="n">
        <v>3.0834</v>
      </c>
      <c r="BP40" s="47" t="n">
        <v>3.083400000000001</v>
      </c>
      <c r="BQ40" s="47" t="n">
        <v>3.0834</v>
      </c>
      <c r="BR40" s="47" t="n">
        <v>3.0834</v>
      </c>
      <c r="BS40" s="47" t="n">
        <v>3.0834</v>
      </c>
      <c r="BT40" s="47" t="n">
        <v>3.083399999999999</v>
      </c>
      <c r="BU40" s="47" t="n">
        <v>3.0834</v>
      </c>
      <c r="BV40" s="47" t="n">
        <v>3.083400000000001</v>
      </c>
      <c r="BW40" s="47" t="n">
        <v>3.004166666666666</v>
      </c>
      <c r="BX40" s="47" t="n">
        <v>3.004166666666667</v>
      </c>
      <c r="BY40" s="47" t="n">
        <v>3.004166666666666</v>
      </c>
      <c r="BZ40" s="47" t="n">
        <v>3.004166666666666</v>
      </c>
      <c r="CA40" s="47" t="n">
        <v>3.004166666666667</v>
      </c>
      <c r="CB40" s="47" t="n">
        <v>3.004166666666667</v>
      </c>
      <c r="CC40" s="47" t="n">
        <v>3.004166666666666</v>
      </c>
      <c r="CD40" s="47" t="n">
        <v>3.004166666666666</v>
      </c>
      <c r="CE40" s="47" t="n">
        <v>3.004166666666666</v>
      </c>
      <c r="CF40" s="47" t="n">
        <v>3.004166666666666</v>
      </c>
      <c r="CG40" s="47" t="n">
        <v>3.004166666666666</v>
      </c>
      <c r="CH40" s="47" t="n">
        <v>3.004166666666664</v>
      </c>
      <c r="CI40" s="48">
        <f>+SUMIFS(Opex_Assumptions!$F26:$M26,Opex_Assumptions!$F$7:$M$7,CI$7)*'Income Statement'!BY$16</f>
        <v/>
      </c>
      <c r="CJ40" s="48">
        <f>+SUMIFS(Opex_Assumptions!$F26:$M26,Opex_Assumptions!$F$7:$M$7,CJ$7)*'Income Statement'!BZ$16</f>
        <v/>
      </c>
      <c r="CK40" s="48">
        <f>+SUMIFS(Opex_Assumptions!$F26:$M26,Opex_Assumptions!$F$7:$M$7,CK$7)*'Income Statement'!CA$16</f>
        <v/>
      </c>
      <c r="CL40" s="48">
        <f>+SUMIFS(Opex_Assumptions!$F26:$M26,Opex_Assumptions!$F$7:$M$7,CL$7)*'Income Statement'!CB$16</f>
        <v/>
      </c>
      <c r="CM40" s="48">
        <f>+SUMIFS(Opex_Assumptions!$F26:$M26,Opex_Assumptions!$F$7:$M$7,CM$7)*'Income Statement'!CC$16</f>
        <v/>
      </c>
      <c r="CN40" s="48">
        <f>+SUMIFS(Opex_Assumptions!$F26:$M26,Opex_Assumptions!$F$7:$M$7,CN$7)*'Income Statement'!CD$16</f>
        <v/>
      </c>
      <c r="CO40" s="48">
        <f>+SUMIFS(Opex_Assumptions!$F26:$M26,Opex_Assumptions!$F$7:$M$7,CO$7)*'Income Statement'!CE$16</f>
        <v/>
      </c>
      <c r="CP40" s="48">
        <f>+SUMIFS(Opex_Assumptions!$F26:$M26,Opex_Assumptions!$F$7:$M$7,CP$7)*'Income Statement'!CF$16</f>
        <v/>
      </c>
      <c r="CQ40" s="48">
        <f>+SUMIFS(Opex_Assumptions!$F26:$M26,Opex_Assumptions!$F$7:$M$7,CQ$7)*'Income Statement'!CG$16</f>
        <v/>
      </c>
      <c r="CR40" s="48">
        <f>+SUMIFS(Opex_Assumptions!$F26:$M26,Opex_Assumptions!$F$7:$M$7,CR$7)*'Income Statement'!CH$16</f>
        <v/>
      </c>
      <c r="CS40" s="48">
        <f>+SUMIFS(Opex_Assumptions!$F26:$M26,Opex_Assumptions!$F$7:$M$7,CS$7)*'Income Statement'!CI$16</f>
        <v/>
      </c>
      <c r="CT40" s="48">
        <f>+SUMIFS(Opex_Assumptions!$F26:$M26,Opex_Assumptions!$F$7:$M$7,CT$7)*'Income Statement'!CJ$16</f>
        <v/>
      </c>
      <c r="CU40" s="48">
        <f>+SUMIFS(Opex_Assumptions!$F26:$M26,Opex_Assumptions!$F$7:$M$7,CU$7)*'Income Statement'!CK$16</f>
        <v/>
      </c>
      <c r="CV40" s="48">
        <f>+SUMIFS(Opex_Assumptions!$F26:$M26,Opex_Assumptions!$F$7:$M$7,CV$7)*'Income Statement'!CL$16</f>
        <v/>
      </c>
      <c r="CW40" s="48">
        <f>+SUMIFS(Opex_Assumptions!$F26:$M26,Opex_Assumptions!$F$7:$M$7,CW$7)*'Income Statement'!CM$16</f>
        <v/>
      </c>
      <c r="CX40" s="48">
        <f>+SUMIFS(Opex_Assumptions!$F26:$M26,Opex_Assumptions!$F$7:$M$7,CX$7)*'Income Statement'!CN$16</f>
        <v/>
      </c>
      <c r="CY40" s="48">
        <f>+SUMIFS(Opex_Assumptions!$F26:$M26,Opex_Assumptions!$F$7:$M$7,CY$7)*'Income Statement'!CO$16</f>
        <v/>
      </c>
      <c r="CZ40" s="48">
        <f>+SUMIFS(Opex_Assumptions!$F26:$M26,Opex_Assumptions!$F$7:$M$7,CZ$7)*'Income Statement'!CP$16</f>
        <v/>
      </c>
      <c r="DA40" s="48">
        <f>+SUMIFS(Opex_Assumptions!$F26:$M26,Opex_Assumptions!$F$7:$M$7,DA$7)*'Income Statement'!CQ$16</f>
        <v/>
      </c>
      <c r="DB40" s="48">
        <f>+SUMIFS(Opex_Assumptions!$F26:$M26,Opex_Assumptions!$F$7:$M$7,DB$7)*'Income Statement'!CR$16</f>
        <v/>
      </c>
      <c r="DC40" s="48">
        <f>+SUMIFS(Opex_Assumptions!$F26:$M26,Opex_Assumptions!$F$7:$M$7,DC$7)*'Income Statement'!CS$16</f>
        <v/>
      </c>
      <c r="DD40" s="48">
        <f>+SUMIFS(Opex_Assumptions!$F26:$M26,Opex_Assumptions!$F$7:$M$7,DD$7)*'Income Statement'!CT$16</f>
        <v/>
      </c>
      <c r="DE40" s="48">
        <f>+SUMIFS(Opex_Assumptions!$F26:$M26,Opex_Assumptions!$F$7:$M$7,DE$7)*'Income Statement'!CU$16</f>
        <v/>
      </c>
      <c r="DF40" s="48">
        <f>+SUMIFS(Opex_Assumptions!$F26:$M26,Opex_Assumptions!$F$7:$M$7,DF$7)*'Income Statement'!CV$16</f>
        <v/>
      </c>
      <c r="DG40" s="48">
        <f>+SUMIFS(Opex_Assumptions!$F26:$M26,Opex_Assumptions!$F$7:$M$7,DG$7)*'Income Statement'!CW$16</f>
        <v/>
      </c>
      <c r="DH40" s="48">
        <f>+SUMIFS(Opex_Assumptions!$F26:$M26,Opex_Assumptions!$F$7:$M$7,DH$7)*'Income Statement'!CX$16</f>
        <v/>
      </c>
      <c r="DI40" s="48">
        <f>+SUMIFS(Opex_Assumptions!$F26:$M26,Opex_Assumptions!$F$7:$M$7,DI$7)*'Income Statement'!CY$16</f>
        <v/>
      </c>
      <c r="DJ40" s="48">
        <f>+SUMIFS(Opex_Assumptions!$F26:$M26,Opex_Assumptions!$F$7:$M$7,DJ$7)*'Income Statement'!CZ$16</f>
        <v/>
      </c>
      <c r="DK40" s="48">
        <f>+SUMIFS(Opex_Assumptions!$F26:$M26,Opex_Assumptions!$F$7:$M$7,DK$7)*'Income Statement'!DA$16</f>
        <v/>
      </c>
      <c r="DL40" s="48">
        <f>+SUMIFS(Opex_Assumptions!$F26:$M26,Opex_Assumptions!$F$7:$M$7,DL$7)*'Income Statement'!DB$16</f>
        <v/>
      </c>
      <c r="DM40" s="48">
        <f>+SUMIFS(Opex_Assumptions!$F26:$M26,Opex_Assumptions!$F$7:$M$7,DM$7)*'Income Statement'!DC$16</f>
        <v/>
      </c>
      <c r="DN40" s="48">
        <f>+SUMIFS(Opex_Assumptions!$F26:$M26,Opex_Assumptions!$F$7:$M$7,DN$7)*'Income Statement'!DD$16</f>
        <v/>
      </c>
      <c r="DO40" s="48">
        <f>+SUMIFS(Opex_Assumptions!$F26:$M26,Opex_Assumptions!$F$7:$M$7,DO$7)*'Income Statement'!DE$16</f>
        <v/>
      </c>
      <c r="DP40" s="48">
        <f>+SUMIFS(Opex_Assumptions!$F26:$M26,Opex_Assumptions!$F$7:$M$7,DP$7)*'Income Statement'!DF$16</f>
        <v/>
      </c>
      <c r="DQ40" s="48">
        <f>+SUMIFS(Opex_Assumptions!$F26:$M26,Opex_Assumptions!$F$7:$M$7,DQ$7)*'Income Statement'!DG$16</f>
        <v/>
      </c>
      <c r="DR40" s="48">
        <f>+SUMIFS(Opex_Assumptions!$F26:$M26,Opex_Assumptions!$F$7:$M$7,DR$7)*'Income Statement'!DH$16</f>
        <v/>
      </c>
    </row>
    <row r="41" ht="15.75" customHeight="1">
      <c r="B41" s="5" t="inlineStr">
        <is>
          <t>Severance</t>
        </is>
      </c>
      <c r="F41" s="46">
        <f>+SUMIFS($AA41:$DR41,$AA$7:$DR$7,F$7)</f>
        <v/>
      </c>
      <c r="G41" s="46">
        <f>+SUMIFS($AA41:$DR41,$AA$7:$DR$7,G$7)</f>
        <v/>
      </c>
      <c r="H41" s="46">
        <f>+SUMIFS($AA41:$DR41,$AA$7:$DR$7,H$7)</f>
        <v/>
      </c>
      <c r="I41" s="46">
        <f>+SUMIFS($AA41:$DR41,$AA$7:$DR$7,I$7)</f>
        <v/>
      </c>
      <c r="J41" s="46">
        <f>+SUMIFS($AA41:$DR41,$AA$7:$DR$7,J$7)</f>
        <v/>
      </c>
      <c r="K41" s="46">
        <f>+SUMIFS($AA41:$DR41,$AA$7:$DR$7,K$7)</f>
        <v/>
      </c>
      <c r="L41" s="46">
        <f>+SUMIFS($AA41:$DR41,$AA$7:$DR$7,L$7)</f>
        <v/>
      </c>
      <c r="M41" s="46">
        <f>+SUMIFS($AA41:$DR41,$AA$7:$DR$7,M$7)</f>
        <v/>
      </c>
      <c r="AA41" s="47" t="n">
        <v>0</v>
      </c>
      <c r="AB41" s="47" t="n">
        <v>2.9</v>
      </c>
      <c r="AC41" s="47" t="n">
        <v>0</v>
      </c>
      <c r="AD41" s="47" t="n">
        <v>1.962</v>
      </c>
      <c r="AE41" s="47" t="n">
        <v>0</v>
      </c>
      <c r="AF41" s="47" t="n">
        <v>1.284</v>
      </c>
      <c r="AG41" s="47" t="n">
        <v>3.204</v>
      </c>
      <c r="AH41" s="47" t="n">
        <v>3.204</v>
      </c>
      <c r="AI41" s="47" t="n">
        <v>0</v>
      </c>
      <c r="AJ41" s="47" t="n">
        <v>1.534</v>
      </c>
      <c r="AK41" s="47" t="n">
        <v>0</v>
      </c>
      <c r="AL41" s="47" t="n">
        <v>1.865</v>
      </c>
      <c r="AM41" s="47" t="n">
        <v>1.442</v>
      </c>
      <c r="AN41" s="47" t="n">
        <v>4.95879</v>
      </c>
      <c r="AO41" s="47" t="n">
        <v>14.47558</v>
      </c>
      <c r="AP41" s="47" t="n">
        <v>8.010630000000001</v>
      </c>
      <c r="AQ41" s="47" t="n">
        <v>0</v>
      </c>
      <c r="AR41" s="47" t="n">
        <v>1.692</v>
      </c>
      <c r="AS41" s="47" t="n">
        <v>3.111</v>
      </c>
      <c r="AT41" s="47" t="n">
        <v>2.247</v>
      </c>
      <c r="AU41" s="47" t="n">
        <v>1.127</v>
      </c>
      <c r="AV41" s="47" t="n">
        <v>2.761</v>
      </c>
      <c r="AW41" s="47" t="n">
        <v>56.495</v>
      </c>
      <c r="AX41" s="47" t="n">
        <v>14.874</v>
      </c>
      <c r="AY41" s="47" t="n">
        <v>0</v>
      </c>
      <c r="AZ41" s="47" t="n">
        <v>0</v>
      </c>
      <c r="BA41" s="47" t="n">
        <v>0</v>
      </c>
      <c r="BB41" s="47" t="n">
        <v>0</v>
      </c>
      <c r="BC41" s="47" t="n">
        <v>0</v>
      </c>
      <c r="BD41" s="47" t="n">
        <v>0</v>
      </c>
      <c r="BE41" s="47" t="n">
        <v>0</v>
      </c>
      <c r="BF41" s="47" t="n">
        <v>11.53764</v>
      </c>
      <c r="BG41" s="47" t="n">
        <v>24.26246</v>
      </c>
      <c r="BH41" s="47" t="n">
        <v>0</v>
      </c>
      <c r="BI41" s="47" t="n">
        <v>0</v>
      </c>
      <c r="BJ41" s="47" t="n">
        <v>0</v>
      </c>
      <c r="BK41" s="47" t="n">
        <v>0</v>
      </c>
      <c r="BL41" s="47" t="n">
        <v>0</v>
      </c>
      <c r="BM41" s="47" t="n">
        <v>1.5</v>
      </c>
      <c r="BN41" s="47" t="n">
        <v>1.5</v>
      </c>
      <c r="BO41" s="47" t="n">
        <v>1.5</v>
      </c>
      <c r="BP41" s="47" t="n">
        <v>1.5</v>
      </c>
      <c r="BQ41" s="47" t="n">
        <v>1.5</v>
      </c>
      <c r="BR41" s="47" t="n">
        <v>1.5</v>
      </c>
      <c r="BS41" s="47" t="n">
        <v>1.5</v>
      </c>
      <c r="BT41" s="47" t="n">
        <v>1.5</v>
      </c>
      <c r="BU41" s="47" t="n">
        <v>1.5</v>
      </c>
      <c r="BV41" s="47" t="n">
        <v>1.5</v>
      </c>
      <c r="BW41" s="47" t="n">
        <v>1.25</v>
      </c>
      <c r="BX41" s="47" t="n">
        <v>1.25</v>
      </c>
      <c r="BY41" s="47" t="n">
        <v>1.25</v>
      </c>
      <c r="BZ41" s="47" t="n">
        <v>1.25</v>
      </c>
      <c r="CA41" s="47" t="n">
        <v>1.25</v>
      </c>
      <c r="CB41" s="47" t="n">
        <v>1.25</v>
      </c>
      <c r="CC41" s="47" t="n">
        <v>1.25</v>
      </c>
      <c r="CD41" s="47" t="n">
        <v>1.25</v>
      </c>
      <c r="CE41" s="47" t="n">
        <v>1.25</v>
      </c>
      <c r="CF41" s="47" t="n">
        <v>1.25</v>
      </c>
      <c r="CG41" s="47" t="n">
        <v>1.25</v>
      </c>
      <c r="CH41" s="47" t="n">
        <v>1.25</v>
      </c>
      <c r="CI41" s="48">
        <f>+SUMIFS(Opex_Assumptions!$F27:$M27,Opex_Assumptions!$F$7:$M$7,CI$7)*CI$32</f>
        <v/>
      </c>
      <c r="CJ41" s="48">
        <f>+SUMIFS(Opex_Assumptions!$F27:$M27,Opex_Assumptions!$F$7:$M$7,CJ$7)*CJ$32</f>
        <v/>
      </c>
      <c r="CK41" s="48">
        <f>+SUMIFS(Opex_Assumptions!$F27:$M27,Opex_Assumptions!$F$7:$M$7,CK$7)*CK$32</f>
        <v/>
      </c>
      <c r="CL41" s="48">
        <f>+SUMIFS(Opex_Assumptions!$F27:$M27,Opex_Assumptions!$F$7:$M$7,CL$7)*CL$32</f>
        <v/>
      </c>
      <c r="CM41" s="48">
        <f>+SUMIFS(Opex_Assumptions!$F27:$M27,Opex_Assumptions!$F$7:$M$7,CM$7)*CM$32</f>
        <v/>
      </c>
      <c r="CN41" s="48">
        <f>+SUMIFS(Opex_Assumptions!$F27:$M27,Opex_Assumptions!$F$7:$M$7,CN$7)*CN$32</f>
        <v/>
      </c>
      <c r="CO41" s="48">
        <f>+SUMIFS(Opex_Assumptions!$F27:$M27,Opex_Assumptions!$F$7:$M$7,CO$7)*CO$32</f>
        <v/>
      </c>
      <c r="CP41" s="48">
        <f>+SUMIFS(Opex_Assumptions!$F27:$M27,Opex_Assumptions!$F$7:$M$7,CP$7)*CP$32</f>
        <v/>
      </c>
      <c r="CQ41" s="48">
        <f>+SUMIFS(Opex_Assumptions!$F27:$M27,Opex_Assumptions!$F$7:$M$7,CQ$7)*CQ$32</f>
        <v/>
      </c>
      <c r="CR41" s="48">
        <f>+SUMIFS(Opex_Assumptions!$F27:$M27,Opex_Assumptions!$F$7:$M$7,CR$7)*CR$32</f>
        <v/>
      </c>
      <c r="CS41" s="48">
        <f>+SUMIFS(Opex_Assumptions!$F27:$M27,Opex_Assumptions!$F$7:$M$7,CS$7)*CS$32</f>
        <v/>
      </c>
      <c r="CT41" s="48">
        <f>+SUMIFS(Opex_Assumptions!$F27:$M27,Opex_Assumptions!$F$7:$M$7,CT$7)*CT$32</f>
        <v/>
      </c>
      <c r="CU41" s="48">
        <f>+SUMIFS(Opex_Assumptions!$F27:$M27,Opex_Assumptions!$F$7:$M$7,CU$7)*CU$32</f>
        <v/>
      </c>
      <c r="CV41" s="48">
        <f>+SUMIFS(Opex_Assumptions!$F27:$M27,Opex_Assumptions!$F$7:$M$7,CV$7)*CV$32</f>
        <v/>
      </c>
      <c r="CW41" s="48">
        <f>+SUMIFS(Opex_Assumptions!$F27:$M27,Opex_Assumptions!$F$7:$M$7,CW$7)*CW$32</f>
        <v/>
      </c>
      <c r="CX41" s="48">
        <f>+SUMIFS(Opex_Assumptions!$F27:$M27,Opex_Assumptions!$F$7:$M$7,CX$7)*CX$32</f>
        <v/>
      </c>
      <c r="CY41" s="48">
        <f>+SUMIFS(Opex_Assumptions!$F27:$M27,Opex_Assumptions!$F$7:$M$7,CY$7)*CY$32</f>
        <v/>
      </c>
      <c r="CZ41" s="48">
        <f>+SUMIFS(Opex_Assumptions!$F27:$M27,Opex_Assumptions!$F$7:$M$7,CZ$7)*CZ$32</f>
        <v/>
      </c>
      <c r="DA41" s="48">
        <f>+SUMIFS(Opex_Assumptions!$F27:$M27,Opex_Assumptions!$F$7:$M$7,DA$7)*DA$32</f>
        <v/>
      </c>
      <c r="DB41" s="48">
        <f>+SUMIFS(Opex_Assumptions!$F27:$M27,Opex_Assumptions!$F$7:$M$7,DB$7)*DB$32</f>
        <v/>
      </c>
      <c r="DC41" s="48">
        <f>+SUMIFS(Opex_Assumptions!$F27:$M27,Opex_Assumptions!$F$7:$M$7,DC$7)*DC$32</f>
        <v/>
      </c>
      <c r="DD41" s="48">
        <f>+SUMIFS(Opex_Assumptions!$F27:$M27,Opex_Assumptions!$F$7:$M$7,DD$7)*DD$32</f>
        <v/>
      </c>
      <c r="DE41" s="48">
        <f>+SUMIFS(Opex_Assumptions!$F27:$M27,Opex_Assumptions!$F$7:$M$7,DE$7)*DE$32</f>
        <v/>
      </c>
      <c r="DF41" s="48">
        <f>+SUMIFS(Opex_Assumptions!$F27:$M27,Opex_Assumptions!$F$7:$M$7,DF$7)*DF$32</f>
        <v/>
      </c>
      <c r="DG41" s="48">
        <f>+SUMIFS(Opex_Assumptions!$F27:$M27,Opex_Assumptions!$F$7:$M$7,DG$7)*DG$32</f>
        <v/>
      </c>
      <c r="DH41" s="48">
        <f>+SUMIFS(Opex_Assumptions!$F27:$M27,Opex_Assumptions!$F$7:$M$7,DH$7)*DH$32</f>
        <v/>
      </c>
      <c r="DI41" s="48">
        <f>+SUMIFS(Opex_Assumptions!$F27:$M27,Opex_Assumptions!$F$7:$M$7,DI$7)*DI$32</f>
        <v/>
      </c>
      <c r="DJ41" s="48">
        <f>+SUMIFS(Opex_Assumptions!$F27:$M27,Opex_Assumptions!$F$7:$M$7,DJ$7)*DJ$32</f>
        <v/>
      </c>
      <c r="DK41" s="48">
        <f>+SUMIFS(Opex_Assumptions!$F27:$M27,Opex_Assumptions!$F$7:$M$7,DK$7)*DK$32</f>
        <v/>
      </c>
      <c r="DL41" s="48">
        <f>+SUMIFS(Opex_Assumptions!$F27:$M27,Opex_Assumptions!$F$7:$M$7,DL$7)*DL$32</f>
        <v/>
      </c>
      <c r="DM41" s="48">
        <f>+SUMIFS(Opex_Assumptions!$F27:$M27,Opex_Assumptions!$F$7:$M$7,DM$7)*DM$32</f>
        <v/>
      </c>
      <c r="DN41" s="48">
        <f>+SUMIFS(Opex_Assumptions!$F27:$M27,Opex_Assumptions!$F$7:$M$7,DN$7)*DN$32</f>
        <v/>
      </c>
      <c r="DO41" s="48">
        <f>+SUMIFS(Opex_Assumptions!$F27:$M27,Opex_Assumptions!$F$7:$M$7,DO$7)*DO$32</f>
        <v/>
      </c>
      <c r="DP41" s="48">
        <f>+SUMIFS(Opex_Assumptions!$F27:$M27,Opex_Assumptions!$F$7:$M$7,DP$7)*DP$32</f>
        <v/>
      </c>
      <c r="DQ41" s="48">
        <f>+SUMIFS(Opex_Assumptions!$F27:$M27,Opex_Assumptions!$F$7:$M$7,DQ$7)*DQ$32</f>
        <v/>
      </c>
      <c r="DR41" s="48">
        <f>+SUMIFS(Opex_Assumptions!$F27:$M27,Opex_Assumptions!$F$7:$M$7,DR$7)*DR$32</f>
        <v/>
      </c>
    </row>
    <row r="42" ht="15.75" customHeight="1">
      <c r="B42" s="5" t="inlineStr">
        <is>
          <t>Benefits</t>
        </is>
      </c>
      <c r="F42" s="46">
        <f>+SUMIFS($AA42:$DR42,$AA$7:$DR$7,F$7)</f>
        <v/>
      </c>
      <c r="G42" s="46">
        <f>+SUMIFS($AA42:$DR42,$AA$7:$DR$7,G$7)</f>
        <v/>
      </c>
      <c r="H42" s="46">
        <f>+SUMIFS($AA42:$DR42,$AA$7:$DR$7,H$7)</f>
        <v/>
      </c>
      <c r="I42" s="46">
        <f>+SUMIFS($AA42:$DR42,$AA$7:$DR$7,I$7)</f>
        <v/>
      </c>
      <c r="J42" s="46">
        <f>+SUMIFS($AA42:$DR42,$AA$7:$DR$7,J$7)</f>
        <v/>
      </c>
      <c r="K42" s="46">
        <f>+SUMIFS($AA42:$DR42,$AA$7:$DR$7,K$7)</f>
        <v/>
      </c>
      <c r="L42" s="46">
        <f>+SUMIFS($AA42:$DR42,$AA$7:$DR$7,L$7)</f>
        <v/>
      </c>
      <c r="M42" s="46">
        <f>+SUMIFS($AA42:$DR42,$AA$7:$DR$7,M$7)</f>
        <v/>
      </c>
      <c r="AA42" s="47" t="n">
        <v>25.86580507638777</v>
      </c>
      <c r="AB42" s="47" t="n">
        <v>24.97168290554823</v>
      </c>
      <c r="AC42" s="47" t="n">
        <v>23.86632804454201</v>
      </c>
      <c r="AD42" s="47" t="n">
        <v>26.02117622054087</v>
      </c>
      <c r="AE42" s="47" t="n">
        <v>24.78934231321566</v>
      </c>
      <c r="AF42" s="47" t="n">
        <v>22.75232453372006</v>
      </c>
      <c r="AG42" s="47" t="n">
        <v>24.52640719853389</v>
      </c>
      <c r="AH42" s="47" t="n">
        <v>21.3979575568232</v>
      </c>
      <c r="AI42" s="47" t="n">
        <v>22.87161520628592</v>
      </c>
      <c r="AJ42" s="47" t="n">
        <v>22.64108350616299</v>
      </c>
      <c r="AK42" s="47" t="n">
        <v>22.71952929908618</v>
      </c>
      <c r="AL42" s="47" t="n">
        <v>30.16217108838699</v>
      </c>
      <c r="AM42" s="47" t="n">
        <v>28.54001971694712</v>
      </c>
      <c r="AN42" s="47" t="n">
        <v>26.94578852114798</v>
      </c>
      <c r="AO42" s="47" t="n">
        <v>31.14839058563658</v>
      </c>
      <c r="AP42" s="47" t="n">
        <v>28.14947998207775</v>
      </c>
      <c r="AQ42" s="47" t="n">
        <v>30.85586494380657</v>
      </c>
      <c r="AR42" s="47" t="n">
        <v>40.49791036520411</v>
      </c>
      <c r="AS42" s="47" t="n">
        <v>24.57200644669723</v>
      </c>
      <c r="AT42" s="47" t="n">
        <v>32.69893005713821</v>
      </c>
      <c r="AU42" s="47" t="n">
        <v>33.79029659021359</v>
      </c>
      <c r="AV42" s="47" t="n">
        <v>28.35761718264044</v>
      </c>
      <c r="AW42" s="47" t="n">
        <v>36.46107002113091</v>
      </c>
      <c r="AX42" s="47" t="n">
        <v>35.69058100324022</v>
      </c>
      <c r="AY42" s="47" t="n">
        <v>36.60195227001128</v>
      </c>
      <c r="AZ42" s="47" t="n">
        <v>27.74382751267101</v>
      </c>
      <c r="BA42" s="47" t="n">
        <v>30.04360424431822</v>
      </c>
      <c r="BB42" s="47" t="n">
        <v>29.37366781541735</v>
      </c>
      <c r="BC42" s="47" t="n">
        <v>28.39541055653694</v>
      </c>
      <c r="BD42" s="47" t="n">
        <v>33.97510582036983</v>
      </c>
      <c r="BE42" s="47" t="n">
        <v>26.01429027609224</v>
      </c>
      <c r="BF42" s="47" t="n">
        <v>28.67577009038527</v>
      </c>
      <c r="BG42" s="47" t="n">
        <v>32.3487655058459</v>
      </c>
      <c r="BH42" s="47" t="n">
        <v>20.77117313929792</v>
      </c>
      <c r="BI42" s="47" t="n">
        <v>24.51349108516233</v>
      </c>
      <c r="BJ42" s="47" t="n">
        <v>31.1024604384207</v>
      </c>
      <c r="BK42" s="47" t="n">
        <v>48.807</v>
      </c>
      <c r="BL42" s="47" t="n">
        <v>44.172</v>
      </c>
      <c r="BM42" s="47" t="n">
        <v>51.02215681330376</v>
      </c>
      <c r="BN42" s="47" t="n">
        <v>51.02215681330376</v>
      </c>
      <c r="BO42" s="47" t="n">
        <v>51.02215681330376</v>
      </c>
      <c r="BP42" s="47" t="n">
        <v>51.02215681330376</v>
      </c>
      <c r="BQ42" s="47" t="n">
        <v>51.02215681330376</v>
      </c>
      <c r="BR42" s="47" t="n">
        <v>51.02215681330376</v>
      </c>
      <c r="BS42" s="47" t="n">
        <v>51.02215681330377</v>
      </c>
      <c r="BT42" s="47" t="n">
        <v>51.02215681330377</v>
      </c>
      <c r="BU42" s="47" t="n">
        <v>51.02215681330376</v>
      </c>
      <c r="BV42" s="47" t="n">
        <v>51.02215681330377</v>
      </c>
      <c r="BW42" s="47" t="n">
        <v>57.47384841355418</v>
      </c>
      <c r="BX42" s="47" t="n">
        <v>57.47384841355418</v>
      </c>
      <c r="BY42" s="47" t="n">
        <v>57.47384841355417</v>
      </c>
      <c r="BZ42" s="47" t="n">
        <v>57.47384841355417</v>
      </c>
      <c r="CA42" s="47" t="n">
        <v>57.47384841355418</v>
      </c>
      <c r="CB42" s="47" t="n">
        <v>57.47384841355418</v>
      </c>
      <c r="CC42" s="47" t="n">
        <v>57.47384841355418</v>
      </c>
      <c r="CD42" s="47" t="n">
        <v>57.47384841355417</v>
      </c>
      <c r="CE42" s="47" t="n">
        <v>57.47384841355417</v>
      </c>
      <c r="CF42" s="47" t="n">
        <v>57.47384841355418</v>
      </c>
      <c r="CG42" s="47" t="n">
        <v>57.47384841355418</v>
      </c>
      <c r="CH42" s="47" t="n">
        <v>57.47384841355417</v>
      </c>
      <c r="CI42" s="48">
        <f>+SUMIFS(Opex_Assumptions!$F28:$M28,Opex_Assumptions!$F$7:$M$7,CI$7)*CI$32</f>
        <v/>
      </c>
      <c r="CJ42" s="48">
        <f>+SUMIFS(Opex_Assumptions!$F28:$M28,Opex_Assumptions!$F$7:$M$7,CJ$7)*CJ$32</f>
        <v/>
      </c>
      <c r="CK42" s="48">
        <f>+SUMIFS(Opex_Assumptions!$F28:$M28,Opex_Assumptions!$F$7:$M$7,CK$7)*CK$32</f>
        <v/>
      </c>
      <c r="CL42" s="48">
        <f>+SUMIFS(Opex_Assumptions!$F28:$M28,Opex_Assumptions!$F$7:$M$7,CL$7)*CL$32</f>
        <v/>
      </c>
      <c r="CM42" s="48">
        <f>+SUMIFS(Opex_Assumptions!$F28:$M28,Opex_Assumptions!$F$7:$M$7,CM$7)*CM$32</f>
        <v/>
      </c>
      <c r="CN42" s="48">
        <f>+SUMIFS(Opex_Assumptions!$F28:$M28,Opex_Assumptions!$F$7:$M$7,CN$7)*CN$32</f>
        <v/>
      </c>
      <c r="CO42" s="48">
        <f>+SUMIFS(Opex_Assumptions!$F28:$M28,Opex_Assumptions!$F$7:$M$7,CO$7)*CO$32</f>
        <v/>
      </c>
      <c r="CP42" s="48">
        <f>+SUMIFS(Opex_Assumptions!$F28:$M28,Opex_Assumptions!$F$7:$M$7,CP$7)*CP$32</f>
        <v/>
      </c>
      <c r="CQ42" s="48">
        <f>+SUMIFS(Opex_Assumptions!$F28:$M28,Opex_Assumptions!$F$7:$M$7,CQ$7)*CQ$32</f>
        <v/>
      </c>
      <c r="CR42" s="48">
        <f>+SUMIFS(Opex_Assumptions!$F28:$M28,Opex_Assumptions!$F$7:$M$7,CR$7)*CR$32</f>
        <v/>
      </c>
      <c r="CS42" s="48">
        <f>+SUMIFS(Opex_Assumptions!$F28:$M28,Opex_Assumptions!$F$7:$M$7,CS$7)*CS$32</f>
        <v/>
      </c>
      <c r="CT42" s="48">
        <f>+SUMIFS(Opex_Assumptions!$F28:$M28,Opex_Assumptions!$F$7:$M$7,CT$7)*CT$32</f>
        <v/>
      </c>
      <c r="CU42" s="48">
        <f>+SUMIFS(Opex_Assumptions!$F28:$M28,Opex_Assumptions!$F$7:$M$7,CU$7)*CU$32</f>
        <v/>
      </c>
      <c r="CV42" s="48">
        <f>+SUMIFS(Opex_Assumptions!$F28:$M28,Opex_Assumptions!$F$7:$M$7,CV$7)*CV$32</f>
        <v/>
      </c>
      <c r="CW42" s="48">
        <f>+SUMIFS(Opex_Assumptions!$F28:$M28,Opex_Assumptions!$F$7:$M$7,CW$7)*CW$32</f>
        <v/>
      </c>
      <c r="CX42" s="48">
        <f>+SUMIFS(Opex_Assumptions!$F28:$M28,Opex_Assumptions!$F$7:$M$7,CX$7)*CX$32</f>
        <v/>
      </c>
      <c r="CY42" s="48">
        <f>+SUMIFS(Opex_Assumptions!$F28:$M28,Opex_Assumptions!$F$7:$M$7,CY$7)*CY$32</f>
        <v/>
      </c>
      <c r="CZ42" s="48">
        <f>+SUMIFS(Opex_Assumptions!$F28:$M28,Opex_Assumptions!$F$7:$M$7,CZ$7)*CZ$32</f>
        <v/>
      </c>
      <c r="DA42" s="48">
        <f>+SUMIFS(Opex_Assumptions!$F28:$M28,Opex_Assumptions!$F$7:$M$7,DA$7)*DA$32</f>
        <v/>
      </c>
      <c r="DB42" s="48">
        <f>+SUMIFS(Opex_Assumptions!$F28:$M28,Opex_Assumptions!$F$7:$M$7,DB$7)*DB$32</f>
        <v/>
      </c>
      <c r="DC42" s="48">
        <f>+SUMIFS(Opex_Assumptions!$F28:$M28,Opex_Assumptions!$F$7:$M$7,DC$7)*DC$32</f>
        <v/>
      </c>
      <c r="DD42" s="48">
        <f>+SUMIFS(Opex_Assumptions!$F28:$M28,Opex_Assumptions!$F$7:$M$7,DD$7)*DD$32</f>
        <v/>
      </c>
      <c r="DE42" s="48">
        <f>+SUMIFS(Opex_Assumptions!$F28:$M28,Opex_Assumptions!$F$7:$M$7,DE$7)*DE$32</f>
        <v/>
      </c>
      <c r="DF42" s="48">
        <f>+SUMIFS(Opex_Assumptions!$F28:$M28,Opex_Assumptions!$F$7:$M$7,DF$7)*DF$32</f>
        <v/>
      </c>
      <c r="DG42" s="48">
        <f>+SUMIFS(Opex_Assumptions!$F28:$M28,Opex_Assumptions!$F$7:$M$7,DG$7)*DG$32</f>
        <v/>
      </c>
      <c r="DH42" s="48">
        <f>+SUMIFS(Opex_Assumptions!$F28:$M28,Opex_Assumptions!$F$7:$M$7,DH$7)*DH$32</f>
        <v/>
      </c>
      <c r="DI42" s="48">
        <f>+SUMIFS(Opex_Assumptions!$F28:$M28,Opex_Assumptions!$F$7:$M$7,DI$7)*DI$32</f>
        <v/>
      </c>
      <c r="DJ42" s="48">
        <f>+SUMIFS(Opex_Assumptions!$F28:$M28,Opex_Assumptions!$F$7:$M$7,DJ$7)*DJ$32</f>
        <v/>
      </c>
      <c r="DK42" s="48">
        <f>+SUMIFS(Opex_Assumptions!$F28:$M28,Opex_Assumptions!$F$7:$M$7,DK$7)*DK$32</f>
        <v/>
      </c>
      <c r="DL42" s="48">
        <f>+SUMIFS(Opex_Assumptions!$F28:$M28,Opex_Assumptions!$F$7:$M$7,DL$7)*DL$32</f>
        <v/>
      </c>
      <c r="DM42" s="48">
        <f>+SUMIFS(Opex_Assumptions!$F28:$M28,Opex_Assumptions!$F$7:$M$7,DM$7)*DM$32</f>
        <v/>
      </c>
      <c r="DN42" s="48">
        <f>+SUMIFS(Opex_Assumptions!$F28:$M28,Opex_Assumptions!$F$7:$M$7,DN$7)*DN$32</f>
        <v/>
      </c>
      <c r="DO42" s="48">
        <f>+SUMIFS(Opex_Assumptions!$F28:$M28,Opex_Assumptions!$F$7:$M$7,DO$7)*DO$32</f>
        <v/>
      </c>
      <c r="DP42" s="48">
        <f>+SUMIFS(Opex_Assumptions!$F28:$M28,Opex_Assumptions!$F$7:$M$7,DP$7)*DP$32</f>
        <v/>
      </c>
      <c r="DQ42" s="48">
        <f>+SUMIFS(Opex_Assumptions!$F28:$M28,Opex_Assumptions!$F$7:$M$7,DQ$7)*DQ$32</f>
        <v/>
      </c>
      <c r="DR42" s="48">
        <f>+SUMIFS(Opex_Assumptions!$F28:$M28,Opex_Assumptions!$F$7:$M$7,DR$7)*DR$32</f>
        <v/>
      </c>
    </row>
    <row r="43" ht="15.75" customHeight="1">
      <c r="B43" s="5" t="inlineStr">
        <is>
          <t>Payroll Processing Costs</t>
        </is>
      </c>
      <c r="F43" s="46">
        <f>+SUMIFS($AA43:$DR43,$AA$7:$DR$7,F$7)</f>
        <v/>
      </c>
      <c r="G43" s="46">
        <f>+SUMIFS($AA43:$DR43,$AA$7:$DR$7,G$7)</f>
        <v/>
      </c>
      <c r="H43" s="46">
        <f>+SUMIFS($AA43:$DR43,$AA$7:$DR$7,H$7)</f>
        <v/>
      </c>
      <c r="I43" s="46">
        <f>+SUMIFS($AA43:$DR43,$AA$7:$DR$7,I$7)</f>
        <v/>
      </c>
      <c r="J43" s="46">
        <f>+SUMIFS($AA43:$DR43,$AA$7:$DR$7,J$7)</f>
        <v/>
      </c>
      <c r="K43" s="46">
        <f>+SUMIFS($AA43:$DR43,$AA$7:$DR$7,K$7)</f>
        <v/>
      </c>
      <c r="L43" s="46">
        <f>+SUMIFS($AA43:$DR43,$AA$7:$DR$7,L$7)</f>
        <v/>
      </c>
      <c r="M43" s="46">
        <f>+SUMIFS($AA43:$DR43,$AA$7:$DR$7,M$7)</f>
        <v/>
      </c>
      <c r="AA43" s="47" t="n">
        <v>16.98665</v>
      </c>
      <c r="AB43" s="47" t="n">
        <v>4.51699</v>
      </c>
      <c r="AC43" s="47" t="n">
        <v>9.40076</v>
      </c>
      <c r="AD43" s="47" t="n">
        <v>5.40385</v>
      </c>
      <c r="AE43" s="47" t="n">
        <v>6.36237</v>
      </c>
      <c r="AF43" s="47" t="n">
        <v>2.55402</v>
      </c>
      <c r="AG43" s="47" t="n">
        <v>9.93554</v>
      </c>
      <c r="AH43" s="47" t="n">
        <v>2.67452</v>
      </c>
      <c r="AI43" s="47" t="n">
        <v>1.94859</v>
      </c>
      <c r="AJ43" s="47" t="n">
        <v>16.82217</v>
      </c>
      <c r="AK43" s="47" t="n">
        <v>13.80581</v>
      </c>
      <c r="AL43" s="47" t="n">
        <v>-28.4151</v>
      </c>
      <c r="AM43" s="47" t="n">
        <v>11.59276</v>
      </c>
      <c r="AN43" s="47" t="n">
        <v>4.27864</v>
      </c>
      <c r="AO43" s="47" t="n">
        <v>2.71976</v>
      </c>
      <c r="AP43" s="47" t="n">
        <v>3.00188</v>
      </c>
      <c r="AQ43" s="47" t="n">
        <v>3.6677</v>
      </c>
      <c r="AR43" s="47" t="n">
        <v>2.51254</v>
      </c>
      <c r="AS43" s="47" t="n">
        <v>2.87113</v>
      </c>
      <c r="AT43" s="47" t="n">
        <v>2.74359</v>
      </c>
      <c r="AU43" s="47" t="n">
        <v>2.73942</v>
      </c>
      <c r="AV43" s="47" t="n">
        <v>2.40357</v>
      </c>
      <c r="AW43" s="47" t="n">
        <v>2.52347</v>
      </c>
      <c r="AX43" s="47" t="n">
        <v>3.28616</v>
      </c>
      <c r="AY43" s="47" t="n">
        <v>3.82368</v>
      </c>
      <c r="AZ43" s="47" t="n">
        <v>2.47282</v>
      </c>
      <c r="BA43" s="47" t="n">
        <v>4.16254</v>
      </c>
      <c r="BB43" s="47" t="n">
        <v>2.52833</v>
      </c>
      <c r="BC43" s="47" t="n">
        <v>2.21195</v>
      </c>
      <c r="BD43" s="47" t="n">
        <v>5.41118</v>
      </c>
      <c r="BE43" s="47" t="n">
        <v>6.69116</v>
      </c>
      <c r="BF43" s="47" t="n">
        <v>10.86671</v>
      </c>
      <c r="BG43" s="47" t="n">
        <v>15.84396</v>
      </c>
      <c r="BH43" s="47" t="n">
        <v>5.29888</v>
      </c>
      <c r="BI43" s="47" t="n">
        <v>6.39586</v>
      </c>
      <c r="BJ43" s="47" t="n">
        <v>7.47858</v>
      </c>
      <c r="BK43" s="47">
        <f>+BJ43</f>
        <v/>
      </c>
      <c r="BL43" s="47">
        <f>+BK43</f>
        <v/>
      </c>
      <c r="BM43" s="47">
        <f>+BL43</f>
        <v/>
      </c>
      <c r="BN43" s="47">
        <f>+BM43</f>
        <v/>
      </c>
      <c r="BO43" s="47">
        <f>+BN43</f>
        <v/>
      </c>
      <c r="BP43" s="47">
        <f>+BO43</f>
        <v/>
      </c>
      <c r="BQ43" s="47">
        <f>+BP43</f>
        <v/>
      </c>
      <c r="BR43" s="47">
        <f>+BQ43</f>
        <v/>
      </c>
      <c r="BS43" s="47">
        <f>+BR43</f>
        <v/>
      </c>
      <c r="BT43" s="47">
        <f>+BS43</f>
        <v/>
      </c>
      <c r="BU43" s="47">
        <f>+BT43</f>
        <v/>
      </c>
      <c r="BV43" s="47">
        <f>+BU43</f>
        <v/>
      </c>
      <c r="BW43" s="47">
        <f>+BV43</f>
        <v/>
      </c>
      <c r="BX43" s="47">
        <f>+BW43</f>
        <v/>
      </c>
      <c r="BY43" s="47">
        <f>+BX43</f>
        <v/>
      </c>
      <c r="BZ43" s="47">
        <f>+BY43</f>
        <v/>
      </c>
      <c r="CA43" s="47">
        <f>+BZ43</f>
        <v/>
      </c>
      <c r="CB43" s="47">
        <f>+CA43</f>
        <v/>
      </c>
      <c r="CC43" s="47">
        <f>+CB43</f>
        <v/>
      </c>
      <c r="CD43" s="47">
        <f>+CC43</f>
        <v/>
      </c>
      <c r="CE43" s="47">
        <f>+CD43</f>
        <v/>
      </c>
      <c r="CF43" s="47">
        <f>+CE43</f>
        <v/>
      </c>
      <c r="CG43" s="47">
        <f>+CF43</f>
        <v/>
      </c>
      <c r="CH43" s="47">
        <f>+CG43</f>
        <v/>
      </c>
      <c r="CI43" s="48">
        <f>+SUMIFS(Opex_Assumptions!$F29:$M29,Opex_Assumptions!$F$7:$M$7,CI$7)*CI$32</f>
        <v/>
      </c>
      <c r="CJ43" s="48">
        <f>+SUMIFS(Opex_Assumptions!$F29:$M29,Opex_Assumptions!$F$7:$M$7,CJ$7)*CJ$32</f>
        <v/>
      </c>
      <c r="CK43" s="48">
        <f>+SUMIFS(Opex_Assumptions!$F29:$M29,Opex_Assumptions!$F$7:$M$7,CK$7)*CK$32</f>
        <v/>
      </c>
      <c r="CL43" s="48">
        <f>+SUMIFS(Opex_Assumptions!$F29:$M29,Opex_Assumptions!$F$7:$M$7,CL$7)*CL$32</f>
        <v/>
      </c>
      <c r="CM43" s="48">
        <f>+SUMIFS(Opex_Assumptions!$F29:$M29,Opex_Assumptions!$F$7:$M$7,CM$7)*CM$32</f>
        <v/>
      </c>
      <c r="CN43" s="48">
        <f>+SUMIFS(Opex_Assumptions!$F29:$M29,Opex_Assumptions!$F$7:$M$7,CN$7)*CN$32</f>
        <v/>
      </c>
      <c r="CO43" s="48">
        <f>+SUMIFS(Opex_Assumptions!$F29:$M29,Opex_Assumptions!$F$7:$M$7,CO$7)*CO$32</f>
        <v/>
      </c>
      <c r="CP43" s="48">
        <f>+SUMIFS(Opex_Assumptions!$F29:$M29,Opex_Assumptions!$F$7:$M$7,CP$7)*CP$32</f>
        <v/>
      </c>
      <c r="CQ43" s="48">
        <f>+SUMIFS(Opex_Assumptions!$F29:$M29,Opex_Assumptions!$F$7:$M$7,CQ$7)*CQ$32</f>
        <v/>
      </c>
      <c r="CR43" s="48">
        <f>+SUMIFS(Opex_Assumptions!$F29:$M29,Opex_Assumptions!$F$7:$M$7,CR$7)*CR$32</f>
        <v/>
      </c>
      <c r="CS43" s="48">
        <f>+SUMIFS(Opex_Assumptions!$F29:$M29,Opex_Assumptions!$F$7:$M$7,CS$7)*CS$32</f>
        <v/>
      </c>
      <c r="CT43" s="48">
        <f>+SUMIFS(Opex_Assumptions!$F29:$M29,Opex_Assumptions!$F$7:$M$7,CT$7)*CT$32</f>
        <v/>
      </c>
      <c r="CU43" s="48">
        <f>+SUMIFS(Opex_Assumptions!$F29:$M29,Opex_Assumptions!$F$7:$M$7,CU$7)*CU$32</f>
        <v/>
      </c>
      <c r="CV43" s="48">
        <f>+SUMIFS(Opex_Assumptions!$F29:$M29,Opex_Assumptions!$F$7:$M$7,CV$7)*CV$32</f>
        <v/>
      </c>
      <c r="CW43" s="48">
        <f>+SUMIFS(Opex_Assumptions!$F29:$M29,Opex_Assumptions!$F$7:$M$7,CW$7)*CW$32</f>
        <v/>
      </c>
      <c r="CX43" s="48">
        <f>+SUMIFS(Opex_Assumptions!$F29:$M29,Opex_Assumptions!$F$7:$M$7,CX$7)*CX$32</f>
        <v/>
      </c>
      <c r="CY43" s="48">
        <f>+SUMIFS(Opex_Assumptions!$F29:$M29,Opex_Assumptions!$F$7:$M$7,CY$7)*CY$32</f>
        <v/>
      </c>
      <c r="CZ43" s="48">
        <f>+SUMIFS(Opex_Assumptions!$F29:$M29,Opex_Assumptions!$F$7:$M$7,CZ$7)*CZ$32</f>
        <v/>
      </c>
      <c r="DA43" s="48">
        <f>+SUMIFS(Opex_Assumptions!$F29:$M29,Opex_Assumptions!$F$7:$M$7,DA$7)*DA$32</f>
        <v/>
      </c>
      <c r="DB43" s="48">
        <f>+SUMIFS(Opex_Assumptions!$F29:$M29,Opex_Assumptions!$F$7:$M$7,DB$7)*DB$32</f>
        <v/>
      </c>
      <c r="DC43" s="48">
        <f>+SUMIFS(Opex_Assumptions!$F29:$M29,Opex_Assumptions!$F$7:$M$7,DC$7)*DC$32</f>
        <v/>
      </c>
      <c r="DD43" s="48">
        <f>+SUMIFS(Opex_Assumptions!$F29:$M29,Opex_Assumptions!$F$7:$M$7,DD$7)*DD$32</f>
        <v/>
      </c>
      <c r="DE43" s="48">
        <f>+SUMIFS(Opex_Assumptions!$F29:$M29,Opex_Assumptions!$F$7:$M$7,DE$7)*DE$32</f>
        <v/>
      </c>
      <c r="DF43" s="48">
        <f>+SUMIFS(Opex_Assumptions!$F29:$M29,Opex_Assumptions!$F$7:$M$7,DF$7)*DF$32</f>
        <v/>
      </c>
      <c r="DG43" s="48">
        <f>+SUMIFS(Opex_Assumptions!$F29:$M29,Opex_Assumptions!$F$7:$M$7,DG$7)*DG$32</f>
        <v/>
      </c>
      <c r="DH43" s="48">
        <f>+SUMIFS(Opex_Assumptions!$F29:$M29,Opex_Assumptions!$F$7:$M$7,DH$7)*DH$32</f>
        <v/>
      </c>
      <c r="DI43" s="48">
        <f>+SUMIFS(Opex_Assumptions!$F29:$M29,Opex_Assumptions!$F$7:$M$7,DI$7)*DI$32</f>
        <v/>
      </c>
      <c r="DJ43" s="48">
        <f>+SUMIFS(Opex_Assumptions!$F29:$M29,Opex_Assumptions!$F$7:$M$7,DJ$7)*DJ$32</f>
        <v/>
      </c>
      <c r="DK43" s="48">
        <f>+SUMIFS(Opex_Assumptions!$F29:$M29,Opex_Assumptions!$F$7:$M$7,DK$7)*DK$32</f>
        <v/>
      </c>
      <c r="DL43" s="48">
        <f>+SUMIFS(Opex_Assumptions!$F29:$M29,Opex_Assumptions!$F$7:$M$7,DL$7)*DL$32</f>
        <v/>
      </c>
      <c r="DM43" s="48">
        <f>+SUMIFS(Opex_Assumptions!$F29:$M29,Opex_Assumptions!$F$7:$M$7,DM$7)*DM$32</f>
        <v/>
      </c>
      <c r="DN43" s="48">
        <f>+SUMIFS(Opex_Assumptions!$F29:$M29,Opex_Assumptions!$F$7:$M$7,DN$7)*DN$32</f>
        <v/>
      </c>
      <c r="DO43" s="48">
        <f>+SUMIFS(Opex_Assumptions!$F29:$M29,Opex_Assumptions!$F$7:$M$7,DO$7)*DO$32</f>
        <v/>
      </c>
      <c r="DP43" s="48">
        <f>+SUMIFS(Opex_Assumptions!$F29:$M29,Opex_Assumptions!$F$7:$M$7,DP$7)*DP$32</f>
        <v/>
      </c>
      <c r="DQ43" s="48">
        <f>+SUMIFS(Opex_Assumptions!$F29:$M29,Opex_Assumptions!$F$7:$M$7,DQ$7)*DQ$32</f>
        <v/>
      </c>
      <c r="DR43" s="48">
        <f>+SUMIFS(Opex_Assumptions!$F29:$M29,Opex_Assumptions!$F$7:$M$7,DR$7)*DR$32</f>
        <v/>
      </c>
    </row>
    <row r="44" ht="15.75" customHeight="1">
      <c r="B44" s="50" t="inlineStr">
        <is>
          <t>Payroll &amp; Benefits</t>
        </is>
      </c>
      <c r="C44" s="50" t="n"/>
      <c r="D44" s="50" t="n"/>
      <c r="F44" s="51">
        <f>+SUMIFS($AA44:$DR44,$AA$7:$DR$7,F$7)</f>
        <v/>
      </c>
      <c r="G44" s="51">
        <f>+SUMIFS($AA44:$DR44,$AA$7:$DR$7,G$7)</f>
        <v/>
      </c>
      <c r="H44" s="51">
        <f>+SUMIFS($AA44:$DR44,$AA$7:$DR$7,H$7)</f>
        <v/>
      </c>
      <c r="I44" s="51">
        <f>+SUMIFS($AA44:$DR44,$AA$7:$DR$7,I$7)</f>
        <v/>
      </c>
      <c r="J44" s="51">
        <f>+SUMIFS($AA44:$DR44,$AA$7:$DR$7,J$7)</f>
        <v/>
      </c>
      <c r="K44" s="51">
        <f>+SUMIFS($AA44:$DR44,$AA$7:$DR$7,K$7)</f>
        <v/>
      </c>
      <c r="L44" s="51">
        <f>+SUMIFS($AA44:$DR44,$AA$7:$DR$7,L$7)</f>
        <v/>
      </c>
      <c r="M44" s="51">
        <f>+SUMIFS($AA44:$DR44,$AA$7:$DR$7,M$7)</f>
        <v/>
      </c>
      <c r="AA44" s="51">
        <f>SUM(AA37:AA43)</f>
        <v/>
      </c>
      <c r="AB44" s="51">
        <f>SUM(AB37:AB43)</f>
        <v/>
      </c>
      <c r="AC44" s="51">
        <f>SUM(AC37:AC43)</f>
        <v/>
      </c>
      <c r="AD44" s="51">
        <f>SUM(AD37:AD43)</f>
        <v/>
      </c>
      <c r="AE44" s="51">
        <f>SUM(AE37:AE43)</f>
        <v/>
      </c>
      <c r="AF44" s="51">
        <f>SUM(AF37:AF43)</f>
        <v/>
      </c>
      <c r="AG44" s="51">
        <f>SUM(AG37:AG43)</f>
        <v/>
      </c>
      <c r="AH44" s="51">
        <f>SUM(AH37:AH43)</f>
        <v/>
      </c>
      <c r="AI44" s="51">
        <f>SUM(AI37:AI43)</f>
        <v/>
      </c>
      <c r="AJ44" s="51">
        <f>SUM(AJ37:AJ43)</f>
        <v/>
      </c>
      <c r="AK44" s="51">
        <f>SUM(AK37:AK43)</f>
        <v/>
      </c>
      <c r="AL44" s="51">
        <f>SUM(AL37:AL43)</f>
        <v/>
      </c>
      <c r="AM44" s="51">
        <f>SUM(AM37:AM43)</f>
        <v/>
      </c>
      <c r="AN44" s="51">
        <f>SUM(AN37:AN43)</f>
        <v/>
      </c>
      <c r="AO44" s="51">
        <f>SUM(AO37:AO43)</f>
        <v/>
      </c>
      <c r="AP44" s="51">
        <f>SUM(AP37:AP43)</f>
        <v/>
      </c>
      <c r="AQ44" s="51">
        <f>SUM(AQ37:AQ43)</f>
        <v/>
      </c>
      <c r="AR44" s="51">
        <f>SUM(AR37:AR43)</f>
        <v/>
      </c>
      <c r="AS44" s="51">
        <f>SUM(AS37:AS43)</f>
        <v/>
      </c>
      <c r="AT44" s="51">
        <f>SUM(AT37:AT43)</f>
        <v/>
      </c>
      <c r="AU44" s="51">
        <f>SUM(AU37:AU43)</f>
        <v/>
      </c>
      <c r="AV44" s="51">
        <f>SUM(AV37:AV43)</f>
        <v/>
      </c>
      <c r="AW44" s="51">
        <f>SUM(AW37:AW43)</f>
        <v/>
      </c>
      <c r="AX44" s="51">
        <f>SUM(AX37:AX43)</f>
        <v/>
      </c>
      <c r="AY44" s="51">
        <f>SUM(AY37:AY43)</f>
        <v/>
      </c>
      <c r="AZ44" s="51">
        <f>SUM(AZ37:AZ43)</f>
        <v/>
      </c>
      <c r="BA44" s="51">
        <f>SUM(BA37:BA43)</f>
        <v/>
      </c>
      <c r="BB44" s="51">
        <f>SUM(BB37:BB43)</f>
        <v/>
      </c>
      <c r="BC44" s="51">
        <f>SUM(BC37:BC43)</f>
        <v/>
      </c>
      <c r="BD44" s="51">
        <f>SUM(BD37:BD43)</f>
        <v/>
      </c>
      <c r="BE44" s="51">
        <f>SUM(BE37:BE43)</f>
        <v/>
      </c>
      <c r="BF44" s="51">
        <f>SUM(BF37:BF43)</f>
        <v/>
      </c>
      <c r="BG44" s="51">
        <f>SUM(BG37:BG43)</f>
        <v/>
      </c>
      <c r="BH44" s="51">
        <f>SUM(BH37:BH43)</f>
        <v/>
      </c>
      <c r="BI44" s="51">
        <f>SUM(BI37:BI43)</f>
        <v/>
      </c>
      <c r="BJ44" s="51">
        <f>SUM(BJ37:BJ43)</f>
        <v/>
      </c>
      <c r="BK44" s="51">
        <f>SUM(BK37:BK43)</f>
        <v/>
      </c>
      <c r="BL44" s="51">
        <f>SUM(BL37:BL43)</f>
        <v/>
      </c>
      <c r="BM44" s="51">
        <f>SUM(BM37:BM43)</f>
        <v/>
      </c>
      <c r="BN44" s="51">
        <f>SUM(BN37:BN43)</f>
        <v/>
      </c>
      <c r="BO44" s="51">
        <f>SUM(BO37:BO43)</f>
        <v/>
      </c>
      <c r="BP44" s="51">
        <f>SUM(BP37:BP43)</f>
        <v/>
      </c>
      <c r="BQ44" s="51">
        <f>SUM(BQ37:BQ43)</f>
        <v/>
      </c>
      <c r="BR44" s="51">
        <f>SUM(BR37:BR43)</f>
        <v/>
      </c>
      <c r="BS44" s="51">
        <f>SUM(BS37:BS43)</f>
        <v/>
      </c>
      <c r="BT44" s="51">
        <f>SUM(BT37:BT43)</f>
        <v/>
      </c>
      <c r="BU44" s="51">
        <f>SUM(BU37:BU43)</f>
        <v/>
      </c>
      <c r="BV44" s="51">
        <f>SUM(BV37:BV43)</f>
        <v/>
      </c>
      <c r="BW44" s="51">
        <f>SUM(BW37:BW43)</f>
        <v/>
      </c>
      <c r="BX44" s="51">
        <f>SUM(BX37:BX43)</f>
        <v/>
      </c>
      <c r="BY44" s="51">
        <f>SUM(BY37:BY43)</f>
        <v/>
      </c>
      <c r="BZ44" s="51">
        <f>SUM(BZ37:BZ43)</f>
        <v/>
      </c>
      <c r="CA44" s="51">
        <f>SUM(CA37:CA43)</f>
        <v/>
      </c>
      <c r="CB44" s="51">
        <f>SUM(CB37:CB43)</f>
        <v/>
      </c>
      <c r="CC44" s="51">
        <f>SUM(CC37:CC43)</f>
        <v/>
      </c>
      <c r="CD44" s="51">
        <f>SUM(CD37:CD43)</f>
        <v/>
      </c>
      <c r="CE44" s="51">
        <f>SUM(CE37:CE43)</f>
        <v/>
      </c>
      <c r="CF44" s="51">
        <f>SUM(CF37:CF43)</f>
        <v/>
      </c>
      <c r="CG44" s="51">
        <f>SUM(CG37:CG43)</f>
        <v/>
      </c>
      <c r="CH44" s="51">
        <f>SUM(CH37:CH43)</f>
        <v/>
      </c>
      <c r="CI44" s="51">
        <f>SUM(CI37:CI43)</f>
        <v/>
      </c>
      <c r="CJ44" s="51">
        <f>SUM(CJ37:CJ43)</f>
        <v/>
      </c>
      <c r="CK44" s="51">
        <f>SUM(CK37:CK43)</f>
        <v/>
      </c>
      <c r="CL44" s="51">
        <f>SUM(CL37:CL43)</f>
        <v/>
      </c>
      <c r="CM44" s="51">
        <f>SUM(CM37:CM43)</f>
        <v/>
      </c>
      <c r="CN44" s="51">
        <f>SUM(CN37:CN43)</f>
        <v/>
      </c>
      <c r="CO44" s="51">
        <f>SUM(CO37:CO43)</f>
        <v/>
      </c>
      <c r="CP44" s="51">
        <f>SUM(CP37:CP43)</f>
        <v/>
      </c>
      <c r="CQ44" s="51">
        <f>SUM(CQ37:CQ43)</f>
        <v/>
      </c>
      <c r="CR44" s="51">
        <f>SUM(CR37:CR43)</f>
        <v/>
      </c>
      <c r="CS44" s="51">
        <f>SUM(CS37:CS43)</f>
        <v/>
      </c>
      <c r="CT44" s="51">
        <f>SUM(CT37:CT43)</f>
        <v/>
      </c>
      <c r="CU44" s="51">
        <f>SUM(CU37:CU43)</f>
        <v/>
      </c>
      <c r="CV44" s="51">
        <f>SUM(CV37:CV43)</f>
        <v/>
      </c>
      <c r="CW44" s="51">
        <f>SUM(CW37:CW43)</f>
        <v/>
      </c>
      <c r="CX44" s="51">
        <f>SUM(CX37:CX43)</f>
        <v/>
      </c>
      <c r="CY44" s="51">
        <f>SUM(CY37:CY43)</f>
        <v/>
      </c>
      <c r="CZ44" s="51">
        <f>SUM(CZ37:CZ43)</f>
        <v/>
      </c>
      <c r="DA44" s="51">
        <f>SUM(DA37:DA43)</f>
        <v/>
      </c>
      <c r="DB44" s="51">
        <f>SUM(DB37:DB43)</f>
        <v/>
      </c>
      <c r="DC44" s="51">
        <f>SUM(DC37:DC43)</f>
        <v/>
      </c>
      <c r="DD44" s="51">
        <f>SUM(DD37:DD43)</f>
        <v/>
      </c>
      <c r="DE44" s="51">
        <f>SUM(DE37:DE43)</f>
        <v/>
      </c>
      <c r="DF44" s="51">
        <f>SUM(DF37:DF43)</f>
        <v/>
      </c>
      <c r="DG44" s="51">
        <f>SUM(DG37:DG43)</f>
        <v/>
      </c>
      <c r="DH44" s="51">
        <f>SUM(DH37:DH43)</f>
        <v/>
      </c>
      <c r="DI44" s="51">
        <f>SUM(DI37:DI43)</f>
        <v/>
      </c>
      <c r="DJ44" s="51">
        <f>SUM(DJ37:DJ43)</f>
        <v/>
      </c>
      <c r="DK44" s="51">
        <f>SUM(DK37:DK43)</f>
        <v/>
      </c>
      <c r="DL44" s="51">
        <f>SUM(DL37:DL43)</f>
        <v/>
      </c>
      <c r="DM44" s="51">
        <f>SUM(DM37:DM43)</f>
        <v/>
      </c>
      <c r="DN44" s="51">
        <f>SUM(DN37:DN43)</f>
        <v/>
      </c>
      <c r="DO44" s="51">
        <f>SUM(DO37:DO43)</f>
        <v/>
      </c>
      <c r="DP44" s="51">
        <f>SUM(DP37:DP43)</f>
        <v/>
      </c>
      <c r="DQ44" s="51">
        <f>SUM(DQ37:DQ43)</f>
        <v/>
      </c>
      <c r="DR44" s="51">
        <f>SUM(DR37:DR43)</f>
        <v/>
      </c>
    </row>
    <row r="45" ht="4.5" customHeight="1"/>
    <row r="46" ht="15.75" customHeight="1">
      <c r="B46" s="5" t="inlineStr">
        <is>
          <t>Office and Occupancy</t>
        </is>
      </c>
      <c r="F46" s="46">
        <f>+SUMIFS($AA46:$DR46,$AA$7:$DR$7,F$7)</f>
        <v/>
      </c>
      <c r="G46" s="46">
        <f>+SUMIFS($AA46:$DR46,$AA$7:$DR$7,G$7)</f>
        <v/>
      </c>
      <c r="H46" s="46">
        <f>+SUMIFS($AA46:$DR46,$AA$7:$DR$7,H$7)</f>
        <v/>
      </c>
      <c r="I46" s="46">
        <f>+SUMIFS($AA46:$DR46,$AA$7:$DR$7,I$7)</f>
        <v/>
      </c>
      <c r="J46" s="46">
        <f>+SUMIFS($AA46:$DR46,$AA$7:$DR$7,J$7)</f>
        <v/>
      </c>
      <c r="K46" s="46">
        <f>+SUMIFS($AA46:$DR46,$AA$7:$DR$7,K$7)</f>
        <v/>
      </c>
      <c r="L46" s="46">
        <f>+SUMIFS($AA46:$DR46,$AA$7:$DR$7,L$7)</f>
        <v/>
      </c>
      <c r="M46" s="46">
        <f>+SUMIFS($AA46:$DR46,$AA$7:$DR$7,M$7)</f>
        <v/>
      </c>
      <c r="AA46" s="47" t="n">
        <v>83.41444</v>
      </c>
      <c r="AB46" s="47" t="n">
        <v>98.69656000000001</v>
      </c>
      <c r="AC46" s="47" t="n">
        <v>88.95065</v>
      </c>
      <c r="AD46" s="47" t="n">
        <v>90.2599</v>
      </c>
      <c r="AE46" s="47" t="n">
        <v>85.00389999999999</v>
      </c>
      <c r="AF46" s="47" t="n">
        <v>90.62919000000001</v>
      </c>
      <c r="AG46" s="47" t="n">
        <v>87.21876</v>
      </c>
      <c r="AH46" s="47" t="n">
        <v>97.08269999999999</v>
      </c>
      <c r="AI46" s="47" t="n">
        <v>84.92247</v>
      </c>
      <c r="AJ46" s="47" t="n">
        <v>91.44273999999999</v>
      </c>
      <c r="AK46" s="47" t="n">
        <v>83.40742</v>
      </c>
      <c r="AL46" s="47" t="n">
        <v>92.94197</v>
      </c>
      <c r="AM46" s="47" t="n">
        <v>86.84601000000001</v>
      </c>
      <c r="AN46" s="47" t="n">
        <v>80.60615</v>
      </c>
      <c r="AO46" s="47" t="n">
        <v>85.47968</v>
      </c>
      <c r="AP46" s="47" t="n">
        <v>73.40072000000001</v>
      </c>
      <c r="AQ46" s="47" t="n">
        <v>71.92169</v>
      </c>
      <c r="AR46" s="47" t="n">
        <v>76.3905</v>
      </c>
      <c r="AS46" s="47" t="n">
        <v>71.97258000000001</v>
      </c>
      <c r="AT46" s="47" t="n">
        <v>72.91746000000001</v>
      </c>
      <c r="AU46" s="47" t="n">
        <v>74.34219999999999</v>
      </c>
      <c r="AV46" s="47" t="n">
        <v>74.10638</v>
      </c>
      <c r="AW46" s="47" t="n">
        <v>75.94656000000001</v>
      </c>
      <c r="AX46" s="47" t="n">
        <v>96.64558000000002</v>
      </c>
      <c r="AY46" s="47" t="n">
        <v>70.35751999999999</v>
      </c>
      <c r="AZ46" s="47" t="n">
        <v>70.1431</v>
      </c>
      <c r="BA46" s="47" t="n">
        <v>70.58226000000002</v>
      </c>
      <c r="BB46" s="47" t="n">
        <v>69.09914999999999</v>
      </c>
      <c r="BC46" s="47" t="n">
        <v>69.51751999999999</v>
      </c>
      <c r="BD46" s="47" t="n">
        <v>76.87844</v>
      </c>
      <c r="BE46" s="47" t="n">
        <v>72.22076</v>
      </c>
      <c r="BF46" s="47" t="n">
        <v>71.26817</v>
      </c>
      <c r="BG46" s="47" t="n">
        <v>70.80692999999999</v>
      </c>
      <c r="BH46" s="47" t="n">
        <v>74.60906999999999</v>
      </c>
      <c r="BI46" s="47" t="n">
        <v>70.06962</v>
      </c>
      <c r="BJ46" s="47" t="n">
        <v>71.82262</v>
      </c>
      <c r="BK46" s="47" t="n">
        <v>73.578</v>
      </c>
      <c r="BL46" s="47" t="n">
        <v>75.032</v>
      </c>
      <c r="BM46" s="47" t="n">
        <v>73.06423119640978</v>
      </c>
      <c r="BN46" s="47" t="n">
        <v>73.06423119640978</v>
      </c>
      <c r="BO46" s="47" t="n">
        <v>73.06423119640978</v>
      </c>
      <c r="BP46" s="47" t="n">
        <v>73.06423119640978</v>
      </c>
      <c r="BQ46" s="47" t="n">
        <v>73.06423119640978</v>
      </c>
      <c r="BR46" s="47" t="n">
        <v>73.06423119640978</v>
      </c>
      <c r="BS46" s="47" t="n">
        <v>73.06423119640978</v>
      </c>
      <c r="BT46" s="47" t="n">
        <v>73.06423119640978</v>
      </c>
      <c r="BU46" s="47" t="n">
        <v>73.06423119640978</v>
      </c>
      <c r="BV46" s="47" t="n">
        <v>73.06423119640978</v>
      </c>
      <c r="BW46" s="47" t="n">
        <v>74.86228119640977</v>
      </c>
      <c r="BX46" s="47" t="n">
        <v>74.86228119640977</v>
      </c>
      <c r="BY46" s="47" t="n">
        <v>74.86228119640977</v>
      </c>
      <c r="BZ46" s="47" t="n">
        <v>74.86228119640977</v>
      </c>
      <c r="CA46" s="47" t="n">
        <v>74.86228119640977</v>
      </c>
      <c r="CB46" s="47" t="n">
        <v>74.86228119640977</v>
      </c>
      <c r="CC46" s="47" t="n">
        <v>74.86228119640977</v>
      </c>
      <c r="CD46" s="47" t="n">
        <v>74.86228119640977</v>
      </c>
      <c r="CE46" s="47" t="n">
        <v>74.86228119640978</v>
      </c>
      <c r="CF46" s="47" t="n">
        <v>70.46615641077068</v>
      </c>
      <c r="CG46" s="47" t="n">
        <v>70.46615641077071</v>
      </c>
      <c r="CH46" s="47" t="n">
        <v>70.46615641077075</v>
      </c>
      <c r="CI46" s="48">
        <f>+(SUMIFS(Opex_Assumptions!$F32:$M32,Opex_Assumptions!$F$7:$M$7,CI$7)+1)*BW46</f>
        <v/>
      </c>
      <c r="CJ46" s="48">
        <f>+(SUMIFS(Opex_Assumptions!$F32:$M32,Opex_Assumptions!$F$7:$M$7,CJ$7)+1)*BX46</f>
        <v/>
      </c>
      <c r="CK46" s="48">
        <f>+(SUMIFS(Opex_Assumptions!$F32:$M32,Opex_Assumptions!$F$7:$M$7,CK$7)+1)*BY46</f>
        <v/>
      </c>
      <c r="CL46" s="48">
        <f>+(SUMIFS(Opex_Assumptions!$F32:$M32,Opex_Assumptions!$F$7:$M$7,CL$7)+1)*BZ46</f>
        <v/>
      </c>
      <c r="CM46" s="48">
        <f>+(SUMIFS(Opex_Assumptions!$F32:$M32,Opex_Assumptions!$F$7:$M$7,CM$7)+1)*CA46</f>
        <v/>
      </c>
      <c r="CN46" s="48">
        <f>+(SUMIFS(Opex_Assumptions!$F32:$M32,Opex_Assumptions!$F$7:$M$7,CN$7)+1)*CB46</f>
        <v/>
      </c>
      <c r="CO46" s="48">
        <f>+(SUMIFS(Opex_Assumptions!$F32:$M32,Opex_Assumptions!$F$7:$M$7,CO$7)+1)*CC46</f>
        <v/>
      </c>
      <c r="CP46" s="48">
        <f>+(SUMIFS(Opex_Assumptions!$F32:$M32,Opex_Assumptions!$F$7:$M$7,CP$7)+1)*CD46</f>
        <v/>
      </c>
      <c r="CQ46" s="48">
        <f>+(SUMIFS(Opex_Assumptions!$F32:$M32,Opex_Assumptions!$F$7:$M$7,CQ$7)+1)*CE46</f>
        <v/>
      </c>
      <c r="CR46" s="48">
        <f>+(SUMIFS(Opex_Assumptions!$F32:$M32,Opex_Assumptions!$F$7:$M$7,CR$7)+1)*CF46</f>
        <v/>
      </c>
      <c r="CS46" s="48">
        <f>+(SUMIFS(Opex_Assumptions!$F32:$M32,Opex_Assumptions!$F$7:$M$7,CS$7)+1)*CG46</f>
        <v/>
      </c>
      <c r="CT46" s="48">
        <f>+(SUMIFS(Opex_Assumptions!$F32:$M32,Opex_Assumptions!$F$7:$M$7,CT$7)+1)*CH46</f>
        <v/>
      </c>
      <c r="CU46" s="48">
        <f>+(SUMIFS(Opex_Assumptions!$F32:$M32,Opex_Assumptions!$F$7:$M$7,CU$7)+1)*CI46</f>
        <v/>
      </c>
      <c r="CV46" s="48">
        <f>+(SUMIFS(Opex_Assumptions!$F32:$M32,Opex_Assumptions!$F$7:$M$7,CV$7)+1)*CJ46</f>
        <v/>
      </c>
      <c r="CW46" s="48">
        <f>+(SUMIFS(Opex_Assumptions!$F32:$M32,Opex_Assumptions!$F$7:$M$7,CW$7)+1)*CK46</f>
        <v/>
      </c>
      <c r="CX46" s="48">
        <f>+(SUMIFS(Opex_Assumptions!$F32:$M32,Opex_Assumptions!$F$7:$M$7,CX$7)+1)*CL46</f>
        <v/>
      </c>
      <c r="CY46" s="48">
        <f>+(SUMIFS(Opex_Assumptions!$F32:$M32,Opex_Assumptions!$F$7:$M$7,CY$7)+1)*CM46</f>
        <v/>
      </c>
      <c r="CZ46" s="48">
        <f>+(SUMIFS(Opex_Assumptions!$F32:$M32,Opex_Assumptions!$F$7:$M$7,CZ$7)+1)*CN46</f>
        <v/>
      </c>
      <c r="DA46" s="48">
        <f>+(SUMIFS(Opex_Assumptions!$F32:$M32,Opex_Assumptions!$F$7:$M$7,DA$7)+1)*CO46</f>
        <v/>
      </c>
      <c r="DB46" s="48">
        <f>+(SUMIFS(Opex_Assumptions!$F32:$M32,Opex_Assumptions!$F$7:$M$7,DB$7)+1)*CP46</f>
        <v/>
      </c>
      <c r="DC46" s="48">
        <f>+(SUMIFS(Opex_Assumptions!$F32:$M32,Opex_Assumptions!$F$7:$M$7,DC$7)+1)*CQ46</f>
        <v/>
      </c>
      <c r="DD46" s="48">
        <f>+(SUMIFS(Opex_Assumptions!$F32:$M32,Opex_Assumptions!$F$7:$M$7,DD$7)+1)*CR46</f>
        <v/>
      </c>
      <c r="DE46" s="48">
        <f>+(SUMIFS(Opex_Assumptions!$F32:$M32,Opex_Assumptions!$F$7:$M$7,DE$7)+1)*CS46</f>
        <v/>
      </c>
      <c r="DF46" s="48">
        <f>+(SUMIFS(Opex_Assumptions!$F32:$M32,Opex_Assumptions!$F$7:$M$7,DF$7)+1)*CT46</f>
        <v/>
      </c>
      <c r="DG46" s="48">
        <f>+(SUMIFS(Opex_Assumptions!$F32:$M32,Opex_Assumptions!$F$7:$M$7,DG$7)+1)*CU46</f>
        <v/>
      </c>
      <c r="DH46" s="48">
        <f>+(SUMIFS(Opex_Assumptions!$F32:$M32,Opex_Assumptions!$F$7:$M$7,DH$7)+1)*CV46</f>
        <v/>
      </c>
      <c r="DI46" s="48">
        <f>+(SUMIFS(Opex_Assumptions!$F32:$M32,Opex_Assumptions!$F$7:$M$7,DI$7)+1)*CW46</f>
        <v/>
      </c>
      <c r="DJ46" s="48">
        <f>+(SUMIFS(Opex_Assumptions!$F32:$M32,Opex_Assumptions!$F$7:$M$7,DJ$7)+1)*CX46</f>
        <v/>
      </c>
      <c r="DK46" s="48">
        <f>+(SUMIFS(Opex_Assumptions!$F32:$M32,Opex_Assumptions!$F$7:$M$7,DK$7)+1)*CY46</f>
        <v/>
      </c>
      <c r="DL46" s="48">
        <f>+(SUMIFS(Opex_Assumptions!$F32:$M32,Opex_Assumptions!$F$7:$M$7,DL$7)+1)*CZ46</f>
        <v/>
      </c>
      <c r="DM46" s="48">
        <f>+(SUMIFS(Opex_Assumptions!$F32:$M32,Opex_Assumptions!$F$7:$M$7,DM$7)+1)*DA46</f>
        <v/>
      </c>
      <c r="DN46" s="48">
        <f>+(SUMIFS(Opex_Assumptions!$F32:$M32,Opex_Assumptions!$F$7:$M$7,DN$7)+1)*DB46</f>
        <v/>
      </c>
      <c r="DO46" s="48">
        <f>+(SUMIFS(Opex_Assumptions!$F32:$M32,Opex_Assumptions!$F$7:$M$7,DO$7)+1)*DC46</f>
        <v/>
      </c>
      <c r="DP46" s="48">
        <f>+(SUMIFS(Opex_Assumptions!$F32:$M32,Opex_Assumptions!$F$7:$M$7,DP$7)+1)*DD46</f>
        <v/>
      </c>
      <c r="DQ46" s="48">
        <f>+(SUMIFS(Opex_Assumptions!$F32:$M32,Opex_Assumptions!$F$7:$M$7,DQ$7)+1)*DE46</f>
        <v/>
      </c>
      <c r="DR46" s="48">
        <f>+(SUMIFS(Opex_Assumptions!$F32:$M32,Opex_Assumptions!$F$7:$M$7,DR$7)+1)*DF46</f>
        <v/>
      </c>
    </row>
    <row r="47" ht="15.75" customHeight="1">
      <c r="B47" s="5" t="inlineStr">
        <is>
          <t>HR Other</t>
        </is>
      </c>
      <c r="F47" s="46">
        <f>+SUMIFS($AA47:$DR47,$AA$7:$DR$7,F$7)</f>
        <v/>
      </c>
      <c r="G47" s="46">
        <f>+SUMIFS($AA47:$DR47,$AA$7:$DR$7,G$7)</f>
        <v/>
      </c>
      <c r="H47" s="46">
        <f>+SUMIFS($AA47:$DR47,$AA$7:$DR$7,H$7)</f>
        <v/>
      </c>
      <c r="I47" s="46">
        <f>+SUMIFS($AA47:$DR47,$AA$7:$DR$7,I$7)</f>
        <v/>
      </c>
      <c r="J47" s="46">
        <f>+SUMIFS($AA47:$DR47,$AA$7:$DR$7,J$7)</f>
        <v/>
      </c>
      <c r="K47" s="46">
        <f>+SUMIFS($AA47:$DR47,$AA$7:$DR$7,K$7)</f>
        <v/>
      </c>
      <c r="L47" s="46">
        <f>+SUMIFS($AA47:$DR47,$AA$7:$DR$7,L$7)</f>
        <v/>
      </c>
      <c r="M47" s="46">
        <f>+SUMIFS($AA47:$DR47,$AA$7:$DR$7,M$7)</f>
        <v/>
      </c>
      <c r="AA47" s="47" t="n">
        <v>13.72039</v>
      </c>
      <c r="AB47" s="47" t="n">
        <v>44.66994</v>
      </c>
      <c r="AC47" s="47" t="n">
        <v>26.56707</v>
      </c>
      <c r="AD47" s="47" t="n">
        <v>14.36995</v>
      </c>
      <c r="AE47" s="47" t="n">
        <v>10.75508</v>
      </c>
      <c r="AF47" s="47" t="n">
        <v>17.52849</v>
      </c>
      <c r="AG47" s="47" t="n">
        <v>26.49654</v>
      </c>
      <c r="AH47" s="47" t="n">
        <v>27.03322</v>
      </c>
      <c r="AI47" s="47" t="n">
        <v>31.29565</v>
      </c>
      <c r="AJ47" s="47" t="n">
        <v>21.64576</v>
      </c>
      <c r="AK47" s="47" t="n">
        <v>22.21913</v>
      </c>
      <c r="AL47" s="47" t="n">
        <v>65.18209</v>
      </c>
      <c r="AM47" s="47" t="n">
        <v>17.85429</v>
      </c>
      <c r="AN47" s="47" t="n">
        <v>11.69976</v>
      </c>
      <c r="AO47" s="47" t="n">
        <v>11.39102</v>
      </c>
      <c r="AP47" s="47" t="n">
        <v>2.30692</v>
      </c>
      <c r="AQ47" s="47" t="n">
        <v>8.631409999999999</v>
      </c>
      <c r="AR47" s="47" t="n">
        <v>3.92149</v>
      </c>
      <c r="AS47" s="47" t="n">
        <v>7.02041</v>
      </c>
      <c r="AT47" s="47" t="n">
        <v>4.1513</v>
      </c>
      <c r="AU47" s="47" t="n">
        <v>3.72749</v>
      </c>
      <c r="AV47" s="47" t="n">
        <v>2.96744</v>
      </c>
      <c r="AW47" s="47" t="n">
        <v>4.15365</v>
      </c>
      <c r="AX47" s="47" t="n">
        <v>13.90445</v>
      </c>
      <c r="AY47" s="47" t="n">
        <v>3.03291</v>
      </c>
      <c r="AZ47" s="47" t="n">
        <v>6.195070000000001</v>
      </c>
      <c r="BA47" s="47" t="n">
        <v>10.00187</v>
      </c>
      <c r="BB47" s="47" t="n">
        <v>15.0962</v>
      </c>
      <c r="BC47" s="47" t="n">
        <v>15.33311</v>
      </c>
      <c r="BD47" s="47" t="n">
        <v>17.33454</v>
      </c>
      <c r="BE47" s="47" t="n">
        <v>7.622750000000001</v>
      </c>
      <c r="BF47" s="47" t="n">
        <v>15.02753</v>
      </c>
      <c r="BG47" s="47" t="n">
        <v>6.87432</v>
      </c>
      <c r="BH47" s="47" t="n">
        <v>25.37791</v>
      </c>
      <c r="BI47" s="47" t="n">
        <v>10.97474</v>
      </c>
      <c r="BJ47" s="47" t="n">
        <v>41.89615000000001</v>
      </c>
      <c r="BK47" s="47" t="n">
        <v>42.23641999999973</v>
      </c>
      <c r="BL47" s="47" t="n">
        <v>31.9874199999997</v>
      </c>
      <c r="BM47" s="47" t="n">
        <v>25.56852000000026</v>
      </c>
      <c r="BN47" s="47" t="n">
        <v>25.56852000000026</v>
      </c>
      <c r="BO47" s="47" t="n">
        <v>30.56852000000049</v>
      </c>
      <c r="BP47" s="47" t="n">
        <v>30.56852000000049</v>
      </c>
      <c r="BQ47" s="47" t="n">
        <v>30.56852000000026</v>
      </c>
      <c r="BR47" s="47" t="n">
        <v>30.56852000000026</v>
      </c>
      <c r="BS47" s="47" t="n">
        <v>30.56852000000026</v>
      </c>
      <c r="BT47" s="47" t="n">
        <v>30.56852000000003</v>
      </c>
      <c r="BU47" s="47" t="n">
        <v>30.56852000000003</v>
      </c>
      <c r="BV47" s="47" t="n">
        <v>30.56852000000003</v>
      </c>
      <c r="BW47" s="47" t="n">
        <v>39.90440755750046</v>
      </c>
      <c r="BX47" s="47" t="n">
        <v>39.90440755750069</v>
      </c>
      <c r="BY47" s="47" t="n">
        <v>39.90440755750069</v>
      </c>
      <c r="BZ47" s="47" t="n">
        <v>44.71141755750023</v>
      </c>
      <c r="CA47" s="47" t="n">
        <v>44.71141755750023</v>
      </c>
      <c r="CB47" s="47" t="n">
        <v>44.71141755750045</v>
      </c>
      <c r="CC47" s="47" t="n">
        <v>49.51842755750044</v>
      </c>
      <c r="CD47" s="47" t="n">
        <v>41.79342755750054</v>
      </c>
      <c r="CE47" s="47" t="n">
        <v>34.06842755750017</v>
      </c>
      <c r="CF47" s="47" t="n">
        <v>31.15043755750048</v>
      </c>
      <c r="CG47" s="47" t="n">
        <v>23.42543755750035</v>
      </c>
      <c r="CH47" s="47" t="n">
        <v>15.70043755750044</v>
      </c>
      <c r="CI47" s="48">
        <f>+SUMIFS(Opex_Assumptions!$F33:$M33,Opex_Assumptions!$F$7:$M$7,CI$7)*CI$32</f>
        <v/>
      </c>
      <c r="CJ47" s="48">
        <f>+SUMIFS(Opex_Assumptions!$F33:$M33,Opex_Assumptions!$F$7:$M$7,CJ$7)*CJ$32</f>
        <v/>
      </c>
      <c r="CK47" s="48">
        <f>+SUMIFS(Opex_Assumptions!$F33:$M33,Opex_Assumptions!$F$7:$M$7,CK$7)*CK$32</f>
        <v/>
      </c>
      <c r="CL47" s="48">
        <f>+SUMIFS(Opex_Assumptions!$F33:$M33,Opex_Assumptions!$F$7:$M$7,CL$7)*CL$32</f>
        <v/>
      </c>
      <c r="CM47" s="48">
        <f>+SUMIFS(Opex_Assumptions!$F33:$M33,Opex_Assumptions!$F$7:$M$7,CM$7)*CM$32</f>
        <v/>
      </c>
      <c r="CN47" s="48">
        <f>+SUMIFS(Opex_Assumptions!$F33:$M33,Opex_Assumptions!$F$7:$M$7,CN$7)*CN$32</f>
        <v/>
      </c>
      <c r="CO47" s="48">
        <f>+SUMIFS(Opex_Assumptions!$F33:$M33,Opex_Assumptions!$F$7:$M$7,CO$7)*CO$32</f>
        <v/>
      </c>
      <c r="CP47" s="48">
        <f>+SUMIFS(Opex_Assumptions!$F33:$M33,Opex_Assumptions!$F$7:$M$7,CP$7)*CP$32</f>
        <v/>
      </c>
      <c r="CQ47" s="48">
        <f>+SUMIFS(Opex_Assumptions!$F33:$M33,Opex_Assumptions!$F$7:$M$7,CQ$7)*CQ$32</f>
        <v/>
      </c>
      <c r="CR47" s="48">
        <f>+SUMIFS(Opex_Assumptions!$F33:$M33,Opex_Assumptions!$F$7:$M$7,CR$7)*CR$32</f>
        <v/>
      </c>
      <c r="CS47" s="48">
        <f>+SUMIFS(Opex_Assumptions!$F33:$M33,Opex_Assumptions!$F$7:$M$7,CS$7)*CS$32</f>
        <v/>
      </c>
      <c r="CT47" s="48">
        <f>+SUMIFS(Opex_Assumptions!$F33:$M33,Opex_Assumptions!$F$7:$M$7,CT$7)*CT$32</f>
        <v/>
      </c>
      <c r="CU47" s="48">
        <f>+SUMIFS(Opex_Assumptions!$F33:$M33,Opex_Assumptions!$F$7:$M$7,CU$7)*CU$32</f>
        <v/>
      </c>
      <c r="CV47" s="48">
        <f>+SUMIFS(Opex_Assumptions!$F33:$M33,Opex_Assumptions!$F$7:$M$7,CV$7)*CV$32</f>
        <v/>
      </c>
      <c r="CW47" s="48">
        <f>+SUMIFS(Opex_Assumptions!$F33:$M33,Opex_Assumptions!$F$7:$M$7,CW$7)*CW$32</f>
        <v/>
      </c>
      <c r="CX47" s="48">
        <f>+SUMIFS(Opex_Assumptions!$F33:$M33,Opex_Assumptions!$F$7:$M$7,CX$7)*CX$32</f>
        <v/>
      </c>
      <c r="CY47" s="48">
        <f>+SUMIFS(Opex_Assumptions!$F33:$M33,Opex_Assumptions!$F$7:$M$7,CY$7)*CY$32</f>
        <v/>
      </c>
      <c r="CZ47" s="48">
        <f>+SUMIFS(Opex_Assumptions!$F33:$M33,Opex_Assumptions!$F$7:$M$7,CZ$7)*CZ$32</f>
        <v/>
      </c>
      <c r="DA47" s="48">
        <f>+SUMIFS(Opex_Assumptions!$F33:$M33,Opex_Assumptions!$F$7:$M$7,DA$7)*DA$32</f>
        <v/>
      </c>
      <c r="DB47" s="48">
        <f>+SUMIFS(Opex_Assumptions!$F33:$M33,Opex_Assumptions!$F$7:$M$7,DB$7)*DB$32</f>
        <v/>
      </c>
      <c r="DC47" s="48">
        <f>+SUMIFS(Opex_Assumptions!$F33:$M33,Opex_Assumptions!$F$7:$M$7,DC$7)*DC$32</f>
        <v/>
      </c>
      <c r="DD47" s="48">
        <f>+SUMIFS(Opex_Assumptions!$F33:$M33,Opex_Assumptions!$F$7:$M$7,DD$7)*DD$32</f>
        <v/>
      </c>
      <c r="DE47" s="48">
        <f>+SUMIFS(Opex_Assumptions!$F33:$M33,Opex_Assumptions!$F$7:$M$7,DE$7)*DE$32</f>
        <v/>
      </c>
      <c r="DF47" s="48">
        <f>+SUMIFS(Opex_Assumptions!$F33:$M33,Opex_Assumptions!$F$7:$M$7,DF$7)*DF$32</f>
        <v/>
      </c>
      <c r="DG47" s="48">
        <f>+SUMIFS(Opex_Assumptions!$F33:$M33,Opex_Assumptions!$F$7:$M$7,DG$7)*DG$32</f>
        <v/>
      </c>
      <c r="DH47" s="48">
        <f>+SUMIFS(Opex_Assumptions!$F33:$M33,Opex_Assumptions!$F$7:$M$7,DH$7)*DH$32</f>
        <v/>
      </c>
      <c r="DI47" s="48">
        <f>+SUMIFS(Opex_Assumptions!$F33:$M33,Opex_Assumptions!$F$7:$M$7,DI$7)*DI$32</f>
        <v/>
      </c>
      <c r="DJ47" s="48">
        <f>+SUMIFS(Opex_Assumptions!$F33:$M33,Opex_Assumptions!$F$7:$M$7,DJ$7)*DJ$32</f>
        <v/>
      </c>
      <c r="DK47" s="48">
        <f>+SUMIFS(Opex_Assumptions!$F33:$M33,Opex_Assumptions!$F$7:$M$7,DK$7)*DK$32</f>
        <v/>
      </c>
      <c r="DL47" s="48">
        <f>+SUMIFS(Opex_Assumptions!$F33:$M33,Opex_Assumptions!$F$7:$M$7,DL$7)*DL$32</f>
        <v/>
      </c>
      <c r="DM47" s="48">
        <f>+SUMIFS(Opex_Assumptions!$F33:$M33,Opex_Assumptions!$F$7:$M$7,DM$7)*DM$32</f>
        <v/>
      </c>
      <c r="DN47" s="48">
        <f>+SUMIFS(Opex_Assumptions!$F33:$M33,Opex_Assumptions!$F$7:$M$7,DN$7)*DN$32</f>
        <v/>
      </c>
      <c r="DO47" s="48">
        <f>+SUMIFS(Opex_Assumptions!$F33:$M33,Opex_Assumptions!$F$7:$M$7,DO$7)*DO$32</f>
        <v/>
      </c>
      <c r="DP47" s="48">
        <f>+SUMIFS(Opex_Assumptions!$F33:$M33,Opex_Assumptions!$F$7:$M$7,DP$7)*DP$32</f>
        <v/>
      </c>
      <c r="DQ47" s="48">
        <f>+SUMIFS(Opex_Assumptions!$F33:$M33,Opex_Assumptions!$F$7:$M$7,DQ$7)*DQ$32</f>
        <v/>
      </c>
      <c r="DR47" s="48">
        <f>+SUMIFS(Opex_Assumptions!$F33:$M33,Opex_Assumptions!$F$7:$M$7,DR$7)*DR$32</f>
        <v/>
      </c>
    </row>
    <row r="48" ht="15.75" customHeight="1">
      <c r="B48" s="5" t="inlineStr">
        <is>
          <t>Sales and Marketing</t>
        </is>
      </c>
      <c r="F48" s="46">
        <f>+SUMIFS($AA48:$DR48,$AA$7:$DR$7,F$7)</f>
        <v/>
      </c>
      <c r="G48" s="46">
        <f>+SUMIFS($AA48:$DR48,$AA$7:$DR$7,G$7)</f>
        <v/>
      </c>
      <c r="H48" s="46">
        <f>+SUMIFS($AA48:$DR48,$AA$7:$DR$7,H$7)</f>
        <v/>
      </c>
      <c r="I48" s="46">
        <f>+SUMIFS($AA48:$DR48,$AA$7:$DR$7,I$7)</f>
        <v/>
      </c>
      <c r="J48" s="46">
        <f>+SUMIFS($AA48:$DR48,$AA$7:$DR$7,J$7)</f>
        <v/>
      </c>
      <c r="K48" s="46">
        <f>+SUMIFS($AA48:$DR48,$AA$7:$DR$7,K$7)</f>
        <v/>
      </c>
      <c r="L48" s="46">
        <f>+SUMIFS($AA48:$DR48,$AA$7:$DR$7,L$7)</f>
        <v/>
      </c>
      <c r="M48" s="46">
        <f>+SUMIFS($AA48:$DR48,$AA$7:$DR$7,M$7)</f>
        <v/>
      </c>
      <c r="AA48" s="47" t="n">
        <v>25.31096</v>
      </c>
      <c r="AB48" s="47" t="n">
        <v>31.37695</v>
      </c>
      <c r="AC48" s="47" t="n">
        <v>30.87679</v>
      </c>
      <c r="AD48" s="47" t="n">
        <v>40.58194</v>
      </c>
      <c r="AE48" s="47" t="n">
        <v>43.40751</v>
      </c>
      <c r="AF48" s="47" t="n">
        <v>42.26872</v>
      </c>
      <c r="AG48" s="47" t="n">
        <v>33.26983</v>
      </c>
      <c r="AH48" s="47" t="n">
        <v>40.62409</v>
      </c>
      <c r="AI48" s="47" t="n">
        <v>182.26675</v>
      </c>
      <c r="AJ48" s="47" t="n">
        <v>85.37742000000001</v>
      </c>
      <c r="AK48" s="47" t="n">
        <v>23.31726</v>
      </c>
      <c r="AL48" s="47" t="n">
        <v>37.85326</v>
      </c>
      <c r="AM48" s="47" t="n">
        <v>37.95</v>
      </c>
      <c r="AN48" s="47" t="n">
        <v>39.37689</v>
      </c>
      <c r="AO48" s="47" t="n">
        <v>22.23244</v>
      </c>
      <c r="AP48" s="47" t="n">
        <v>15.12035</v>
      </c>
      <c r="AQ48" s="47" t="n">
        <v>10.57663</v>
      </c>
      <c r="AR48" s="47" t="n">
        <v>12.67672</v>
      </c>
      <c r="AS48" s="47" t="n">
        <v>14.10991</v>
      </c>
      <c r="AT48" s="47" t="n">
        <v>16.32834</v>
      </c>
      <c r="AU48" s="47" t="n">
        <v>17.35922</v>
      </c>
      <c r="AV48" s="47" t="n">
        <v>14.77682</v>
      </c>
      <c r="AW48" s="47" t="n">
        <v>14.02657</v>
      </c>
      <c r="AX48" s="47" t="n">
        <v>19.79383</v>
      </c>
      <c r="AY48" s="47" t="n">
        <v>10.53998</v>
      </c>
      <c r="AZ48" s="47" t="n">
        <v>12.42964</v>
      </c>
      <c r="BA48" s="47" t="n">
        <v>30.26666</v>
      </c>
      <c r="BB48" s="47" t="n">
        <v>14.45572</v>
      </c>
      <c r="BC48" s="47" t="n">
        <v>12.15658</v>
      </c>
      <c r="BD48" s="47" t="n">
        <v>21.66321</v>
      </c>
      <c r="BE48" s="47" t="n">
        <v>36.24509</v>
      </c>
      <c r="BF48" s="47" t="n">
        <v>26.64017</v>
      </c>
      <c r="BG48" s="47" t="n">
        <v>27.34423</v>
      </c>
      <c r="BH48" s="47" t="n">
        <v>21.40786</v>
      </c>
      <c r="BI48" s="47" t="n">
        <v>31.67152</v>
      </c>
      <c r="BJ48" s="47" t="n">
        <v>17.50615</v>
      </c>
      <c r="BK48" s="47" t="n">
        <v>21.253</v>
      </c>
      <c r="BL48" s="47" t="n">
        <v>17.517</v>
      </c>
      <c r="BM48" s="47" t="n">
        <v>26.3938</v>
      </c>
      <c r="BN48" s="47" t="n">
        <v>30.3938</v>
      </c>
      <c r="BO48" s="47" t="n">
        <v>31.3938</v>
      </c>
      <c r="BP48" s="47" t="n">
        <v>31.3938</v>
      </c>
      <c r="BQ48" s="47" t="n">
        <v>32.3938</v>
      </c>
      <c r="BR48" s="47" t="n">
        <v>32.3938</v>
      </c>
      <c r="BS48" s="47" t="n">
        <v>32.39380000000001</v>
      </c>
      <c r="BT48" s="47" t="n">
        <v>32.39380000000001</v>
      </c>
      <c r="BU48" s="47" t="n">
        <v>29.3938</v>
      </c>
      <c r="BV48" s="47" t="n">
        <v>26.3938</v>
      </c>
      <c r="BW48" s="47" t="n">
        <v>34.25</v>
      </c>
      <c r="BX48" s="47" t="n">
        <v>34.25</v>
      </c>
      <c r="BY48" s="47" t="n">
        <v>34.25</v>
      </c>
      <c r="BZ48" s="47" t="n">
        <v>34.25</v>
      </c>
      <c r="CA48" s="47" t="n">
        <v>34.25</v>
      </c>
      <c r="CB48" s="47" t="n">
        <v>34.25</v>
      </c>
      <c r="CC48" s="47" t="n">
        <v>34.25</v>
      </c>
      <c r="CD48" s="47" t="n">
        <v>34.25</v>
      </c>
      <c r="CE48" s="47" t="n">
        <v>34.25</v>
      </c>
      <c r="CF48" s="47" t="n">
        <v>34.25</v>
      </c>
      <c r="CG48" s="47" t="n">
        <v>34.25</v>
      </c>
      <c r="CH48" s="47" t="n">
        <v>34.25</v>
      </c>
      <c r="CI48" s="48">
        <f>+SUMIFS(Opex_Assumptions!$F34:$M34,Opex_Assumptions!$F$7:$M$7,CI$7)*'Income Statement'!BY16</f>
        <v/>
      </c>
      <c r="CJ48" s="48">
        <f>+SUMIFS(Opex_Assumptions!$F34:$M34,Opex_Assumptions!$F$7:$M$7,CJ$7)*'Income Statement'!BZ16</f>
        <v/>
      </c>
      <c r="CK48" s="48">
        <f>+SUMIFS(Opex_Assumptions!$F34:$M34,Opex_Assumptions!$F$7:$M$7,CK$7)*'Income Statement'!CA16</f>
        <v/>
      </c>
      <c r="CL48" s="48">
        <f>+SUMIFS(Opex_Assumptions!$F34:$M34,Opex_Assumptions!$F$7:$M$7,CL$7)*'Income Statement'!CB16</f>
        <v/>
      </c>
      <c r="CM48" s="48">
        <f>+SUMIFS(Opex_Assumptions!$F34:$M34,Opex_Assumptions!$F$7:$M$7,CM$7)*'Income Statement'!CC16</f>
        <v/>
      </c>
      <c r="CN48" s="48">
        <f>+SUMIFS(Opex_Assumptions!$F34:$M34,Opex_Assumptions!$F$7:$M$7,CN$7)*'Income Statement'!CD16</f>
        <v/>
      </c>
      <c r="CO48" s="48">
        <f>+SUMIFS(Opex_Assumptions!$F34:$M34,Opex_Assumptions!$F$7:$M$7,CO$7)*'Income Statement'!CE16</f>
        <v/>
      </c>
      <c r="CP48" s="48">
        <f>+SUMIFS(Opex_Assumptions!$F34:$M34,Opex_Assumptions!$F$7:$M$7,CP$7)*'Income Statement'!CF16</f>
        <v/>
      </c>
      <c r="CQ48" s="48">
        <f>+SUMIFS(Opex_Assumptions!$F34:$M34,Opex_Assumptions!$F$7:$M$7,CQ$7)*'Income Statement'!CG16</f>
        <v/>
      </c>
      <c r="CR48" s="48">
        <f>+SUMIFS(Opex_Assumptions!$F34:$M34,Opex_Assumptions!$F$7:$M$7,CR$7)*'Income Statement'!CH16</f>
        <v/>
      </c>
      <c r="CS48" s="48">
        <f>+SUMIFS(Opex_Assumptions!$F34:$M34,Opex_Assumptions!$F$7:$M$7,CS$7)*'Income Statement'!CI16</f>
        <v/>
      </c>
      <c r="CT48" s="48">
        <f>+SUMIFS(Opex_Assumptions!$F34:$M34,Opex_Assumptions!$F$7:$M$7,CT$7)*'Income Statement'!CJ16</f>
        <v/>
      </c>
      <c r="CU48" s="48">
        <f>+SUMIFS(Opex_Assumptions!$F34:$M34,Opex_Assumptions!$F$7:$M$7,CU$7)*'Income Statement'!CK16</f>
        <v/>
      </c>
      <c r="CV48" s="48">
        <f>+SUMIFS(Opex_Assumptions!$F34:$M34,Opex_Assumptions!$F$7:$M$7,CV$7)*'Income Statement'!CL16</f>
        <v/>
      </c>
      <c r="CW48" s="48">
        <f>+SUMIFS(Opex_Assumptions!$F34:$M34,Opex_Assumptions!$F$7:$M$7,CW$7)*'Income Statement'!CM16</f>
        <v/>
      </c>
      <c r="CX48" s="48">
        <f>+SUMIFS(Opex_Assumptions!$F34:$M34,Opex_Assumptions!$F$7:$M$7,CX$7)*'Income Statement'!CN16</f>
        <v/>
      </c>
      <c r="CY48" s="48">
        <f>+SUMIFS(Opex_Assumptions!$F34:$M34,Opex_Assumptions!$F$7:$M$7,CY$7)*'Income Statement'!CO16</f>
        <v/>
      </c>
      <c r="CZ48" s="48">
        <f>+SUMIFS(Opex_Assumptions!$F34:$M34,Opex_Assumptions!$F$7:$M$7,CZ$7)*'Income Statement'!CP16</f>
        <v/>
      </c>
      <c r="DA48" s="48">
        <f>+SUMIFS(Opex_Assumptions!$F34:$M34,Opex_Assumptions!$F$7:$M$7,DA$7)*'Income Statement'!CQ16</f>
        <v/>
      </c>
      <c r="DB48" s="48">
        <f>+SUMIFS(Opex_Assumptions!$F34:$M34,Opex_Assumptions!$F$7:$M$7,DB$7)*'Income Statement'!CR16</f>
        <v/>
      </c>
      <c r="DC48" s="48">
        <f>+SUMIFS(Opex_Assumptions!$F34:$M34,Opex_Assumptions!$F$7:$M$7,DC$7)*'Income Statement'!CS16</f>
        <v/>
      </c>
      <c r="DD48" s="48">
        <f>+SUMIFS(Opex_Assumptions!$F34:$M34,Opex_Assumptions!$F$7:$M$7,DD$7)*'Income Statement'!CT16</f>
        <v/>
      </c>
      <c r="DE48" s="48">
        <f>+SUMIFS(Opex_Assumptions!$F34:$M34,Opex_Assumptions!$F$7:$M$7,DE$7)*'Income Statement'!CU16</f>
        <v/>
      </c>
      <c r="DF48" s="48">
        <f>+SUMIFS(Opex_Assumptions!$F34:$M34,Opex_Assumptions!$F$7:$M$7,DF$7)*'Income Statement'!CV16</f>
        <v/>
      </c>
      <c r="DG48" s="48">
        <f>+SUMIFS(Opex_Assumptions!$F34:$M34,Opex_Assumptions!$F$7:$M$7,DG$7)*'Income Statement'!CW16</f>
        <v/>
      </c>
      <c r="DH48" s="48">
        <f>+SUMIFS(Opex_Assumptions!$F34:$M34,Opex_Assumptions!$F$7:$M$7,DH$7)*'Income Statement'!CX16</f>
        <v/>
      </c>
      <c r="DI48" s="48">
        <f>+SUMIFS(Opex_Assumptions!$F34:$M34,Opex_Assumptions!$F$7:$M$7,DI$7)*'Income Statement'!CY16</f>
        <v/>
      </c>
      <c r="DJ48" s="48">
        <f>+SUMIFS(Opex_Assumptions!$F34:$M34,Opex_Assumptions!$F$7:$M$7,DJ$7)*'Income Statement'!CZ16</f>
        <v/>
      </c>
      <c r="DK48" s="48">
        <f>+SUMIFS(Opex_Assumptions!$F34:$M34,Opex_Assumptions!$F$7:$M$7,DK$7)*'Income Statement'!DA16</f>
        <v/>
      </c>
      <c r="DL48" s="48">
        <f>+SUMIFS(Opex_Assumptions!$F34:$M34,Opex_Assumptions!$F$7:$M$7,DL$7)*'Income Statement'!DB16</f>
        <v/>
      </c>
      <c r="DM48" s="48">
        <f>+SUMIFS(Opex_Assumptions!$F34:$M34,Opex_Assumptions!$F$7:$M$7,DM$7)*'Income Statement'!DC16</f>
        <v/>
      </c>
      <c r="DN48" s="48">
        <f>+SUMIFS(Opex_Assumptions!$F34:$M34,Opex_Assumptions!$F$7:$M$7,DN$7)*'Income Statement'!DD16</f>
        <v/>
      </c>
      <c r="DO48" s="48">
        <f>+SUMIFS(Opex_Assumptions!$F34:$M34,Opex_Assumptions!$F$7:$M$7,DO$7)*'Income Statement'!DE16</f>
        <v/>
      </c>
      <c r="DP48" s="48">
        <f>+SUMIFS(Opex_Assumptions!$F34:$M34,Opex_Assumptions!$F$7:$M$7,DP$7)*'Income Statement'!DF16</f>
        <v/>
      </c>
      <c r="DQ48" s="48">
        <f>+SUMIFS(Opex_Assumptions!$F34:$M34,Opex_Assumptions!$F$7:$M$7,DQ$7)*'Income Statement'!DG16</f>
        <v/>
      </c>
      <c r="DR48" s="48">
        <f>+SUMIFS(Opex_Assumptions!$F34:$M34,Opex_Assumptions!$F$7:$M$7,DR$7)*'Income Statement'!DH16</f>
        <v/>
      </c>
    </row>
    <row r="49" ht="15.75" customHeight="1">
      <c r="B49" s="5" t="inlineStr">
        <is>
          <t>Other G&amp;A</t>
        </is>
      </c>
      <c r="F49" s="46">
        <f>+SUMIFS($AA49:$DR49,$AA$7:$DR$7,F$7)</f>
        <v/>
      </c>
      <c r="G49" s="46">
        <f>+SUMIFS($AA49:$DR49,$AA$7:$DR$7,G$7)</f>
        <v/>
      </c>
      <c r="H49" s="46">
        <f>+SUMIFS($AA49:$DR49,$AA$7:$DR$7,H$7)</f>
        <v/>
      </c>
      <c r="I49" s="46">
        <f>+SUMIFS($AA49:$DR49,$AA$7:$DR$7,I$7)</f>
        <v/>
      </c>
      <c r="J49" s="46">
        <f>+SUMIFS($AA49:$DR49,$AA$7:$DR$7,J$7)</f>
        <v/>
      </c>
      <c r="K49" s="46">
        <f>+SUMIFS($AA49:$DR49,$AA$7:$DR$7,K$7)</f>
        <v/>
      </c>
      <c r="L49" s="46">
        <f>+SUMIFS($AA49:$DR49,$AA$7:$DR$7,L$7)</f>
        <v/>
      </c>
      <c r="M49" s="46">
        <f>+SUMIFS($AA49:$DR49,$AA$7:$DR$7,M$7)</f>
        <v/>
      </c>
      <c r="AA49" s="47" t="n">
        <v>13.26852</v>
      </c>
      <c r="AB49" s="47" t="n">
        <v>12.19904</v>
      </c>
      <c r="AC49" s="47" t="n">
        <v>10.07441</v>
      </c>
      <c r="AD49" s="47" t="n">
        <v>11.79141</v>
      </c>
      <c r="AE49" s="47" t="n">
        <v>10.80137</v>
      </c>
      <c r="AF49" s="47" t="n">
        <v>10.08788</v>
      </c>
      <c r="AG49" s="47" t="n">
        <v>9.384130000000001</v>
      </c>
      <c r="AH49" s="47" t="n">
        <v>15.95086</v>
      </c>
      <c r="AI49" s="47" t="n">
        <v>10.24613</v>
      </c>
      <c r="AJ49" s="47" t="n">
        <v>7.774630000000001</v>
      </c>
      <c r="AK49" s="47" t="n">
        <v>-3.012880000000001</v>
      </c>
      <c r="AL49" s="47" t="n">
        <v>23.21264</v>
      </c>
      <c r="AM49" s="47" t="n">
        <v>9.912830000000001</v>
      </c>
      <c r="AN49" s="47" t="n">
        <v>9.82963</v>
      </c>
      <c r="AO49" s="47" t="n">
        <v>7.69947</v>
      </c>
      <c r="AP49" s="47" t="n">
        <v>12.32332</v>
      </c>
      <c r="AQ49" s="47" t="n">
        <v>12.75506</v>
      </c>
      <c r="AR49" s="47" t="n">
        <v>9.813640000000001</v>
      </c>
      <c r="AS49" s="47" t="n">
        <v>10.75321</v>
      </c>
      <c r="AT49" s="47" t="n">
        <v>9.667539999999999</v>
      </c>
      <c r="AU49" s="47" t="n">
        <v>11.07897</v>
      </c>
      <c r="AV49" s="47" t="n">
        <v>10.20949</v>
      </c>
      <c r="AW49" s="47" t="n">
        <v>12.21524</v>
      </c>
      <c r="AX49" s="47" t="n">
        <v>8.824819999999999</v>
      </c>
      <c r="AY49" s="47" t="n">
        <v>9.302059999999997</v>
      </c>
      <c r="AZ49" s="47" t="n">
        <v>7.78214</v>
      </c>
      <c r="BA49" s="47" t="n">
        <v>8.280489999999999</v>
      </c>
      <c r="BB49" s="47" t="n">
        <v>8.75812</v>
      </c>
      <c r="BC49" s="47" t="n">
        <v>9.14922</v>
      </c>
      <c r="BD49" s="47" t="n">
        <v>10.36007</v>
      </c>
      <c r="BE49" s="47" t="n">
        <v>6.146700000000001</v>
      </c>
      <c r="BF49" s="47" t="n">
        <v>7.11454</v>
      </c>
      <c r="BG49" s="47" t="n">
        <v>6.17585</v>
      </c>
      <c r="BH49" s="47" t="n">
        <v>7.572350000000001</v>
      </c>
      <c r="BI49" s="47" t="n">
        <v>7.471710000000002</v>
      </c>
      <c r="BJ49" s="47" t="n">
        <v>5.890219999999998</v>
      </c>
      <c r="BK49" s="47" t="n">
        <v>6.066</v>
      </c>
      <c r="BL49" s="47" t="n">
        <v>6.177</v>
      </c>
      <c r="BM49" s="47" t="n">
        <v>6.825699999999999</v>
      </c>
      <c r="BN49" s="47" t="n">
        <v>6.825700000000001</v>
      </c>
      <c r="BO49" s="47" t="n">
        <v>6.825699999999999</v>
      </c>
      <c r="BP49" s="47" t="n">
        <v>6.825699999999999</v>
      </c>
      <c r="BQ49" s="47" t="n">
        <v>6.8257</v>
      </c>
      <c r="BR49" s="47" t="n">
        <v>6.825699999999999</v>
      </c>
      <c r="BS49" s="47" t="n">
        <v>6.825699999999999</v>
      </c>
      <c r="BT49" s="47" t="n">
        <v>6.8257</v>
      </c>
      <c r="BU49" s="47" t="n">
        <v>6.825700000000003</v>
      </c>
      <c r="BV49" s="47" t="n">
        <v>6.825699999999997</v>
      </c>
      <c r="BW49" s="47" t="n">
        <v>7.084583333333334</v>
      </c>
      <c r="BX49" s="47" t="n">
        <v>7.084583333333334</v>
      </c>
      <c r="BY49" s="47" t="n">
        <v>7.084583333333334</v>
      </c>
      <c r="BZ49" s="47" t="n">
        <v>7.084583333333334</v>
      </c>
      <c r="CA49" s="47" t="n">
        <v>7.084583333333334</v>
      </c>
      <c r="CB49" s="47" t="n">
        <v>7.084583333333334</v>
      </c>
      <c r="CC49" s="47" t="n">
        <v>7.084583333333334</v>
      </c>
      <c r="CD49" s="47" t="n">
        <v>7.084583333333334</v>
      </c>
      <c r="CE49" s="47" t="n">
        <v>7.084583333333334</v>
      </c>
      <c r="CF49" s="47" t="n">
        <v>7.084583333333334</v>
      </c>
      <c r="CG49" s="47" t="n">
        <v>7.084583333333334</v>
      </c>
      <c r="CH49" s="47" t="n">
        <v>7.084583333333334</v>
      </c>
      <c r="CI49" s="48">
        <f>+(SUMIFS(Opex_Assumptions!$F35:$M35,Opex_Assumptions!$F$7:$M$7,CI$7)+1)*BW49</f>
        <v/>
      </c>
      <c r="CJ49" s="48">
        <f>+(SUMIFS(Opex_Assumptions!$F35:$M35,Opex_Assumptions!$F$7:$M$7,CJ$7)+1)*BX49</f>
        <v/>
      </c>
      <c r="CK49" s="48">
        <f>+(SUMIFS(Opex_Assumptions!$F35:$M35,Opex_Assumptions!$F$7:$M$7,CK$7)+1)*BY49</f>
        <v/>
      </c>
      <c r="CL49" s="48">
        <f>+(SUMIFS(Opex_Assumptions!$F35:$M35,Opex_Assumptions!$F$7:$M$7,CL$7)+1)*BZ49</f>
        <v/>
      </c>
      <c r="CM49" s="48">
        <f>+(SUMIFS(Opex_Assumptions!$F35:$M35,Opex_Assumptions!$F$7:$M$7,CM$7)+1)*CA49</f>
        <v/>
      </c>
      <c r="CN49" s="48">
        <f>+(SUMIFS(Opex_Assumptions!$F35:$M35,Opex_Assumptions!$F$7:$M$7,CN$7)+1)*CB49</f>
        <v/>
      </c>
      <c r="CO49" s="48">
        <f>+(SUMIFS(Opex_Assumptions!$F35:$M35,Opex_Assumptions!$F$7:$M$7,CO$7)+1)*CC49</f>
        <v/>
      </c>
      <c r="CP49" s="48">
        <f>+(SUMIFS(Opex_Assumptions!$F35:$M35,Opex_Assumptions!$F$7:$M$7,CP$7)+1)*CD49</f>
        <v/>
      </c>
      <c r="CQ49" s="48">
        <f>+(SUMIFS(Opex_Assumptions!$F35:$M35,Opex_Assumptions!$F$7:$M$7,CQ$7)+1)*CE49</f>
        <v/>
      </c>
      <c r="CR49" s="48">
        <f>+(SUMIFS(Opex_Assumptions!$F35:$M35,Opex_Assumptions!$F$7:$M$7,CR$7)+1)*CF49</f>
        <v/>
      </c>
      <c r="CS49" s="48">
        <f>+(SUMIFS(Opex_Assumptions!$F35:$M35,Opex_Assumptions!$F$7:$M$7,CS$7)+1)*CG49</f>
        <v/>
      </c>
      <c r="CT49" s="48">
        <f>+(SUMIFS(Opex_Assumptions!$F35:$M35,Opex_Assumptions!$F$7:$M$7,CT$7)+1)*CH49</f>
        <v/>
      </c>
      <c r="CU49" s="48">
        <f>+(SUMIFS(Opex_Assumptions!$F35:$M35,Opex_Assumptions!$F$7:$M$7,CU$7)+1)*CI49</f>
        <v/>
      </c>
      <c r="CV49" s="48">
        <f>+(SUMIFS(Opex_Assumptions!$F35:$M35,Opex_Assumptions!$F$7:$M$7,CV$7)+1)*CJ49</f>
        <v/>
      </c>
      <c r="CW49" s="48">
        <f>+(SUMIFS(Opex_Assumptions!$F35:$M35,Opex_Assumptions!$F$7:$M$7,CW$7)+1)*CK49</f>
        <v/>
      </c>
      <c r="CX49" s="48">
        <f>+(SUMIFS(Opex_Assumptions!$F35:$M35,Opex_Assumptions!$F$7:$M$7,CX$7)+1)*CL49</f>
        <v/>
      </c>
      <c r="CY49" s="48">
        <f>+(SUMIFS(Opex_Assumptions!$F35:$M35,Opex_Assumptions!$F$7:$M$7,CY$7)+1)*CM49</f>
        <v/>
      </c>
      <c r="CZ49" s="48">
        <f>+(SUMIFS(Opex_Assumptions!$F35:$M35,Opex_Assumptions!$F$7:$M$7,CZ$7)+1)*CN49</f>
        <v/>
      </c>
      <c r="DA49" s="48">
        <f>+(SUMIFS(Opex_Assumptions!$F35:$M35,Opex_Assumptions!$F$7:$M$7,DA$7)+1)*CO49</f>
        <v/>
      </c>
      <c r="DB49" s="48">
        <f>+(SUMIFS(Opex_Assumptions!$F35:$M35,Opex_Assumptions!$F$7:$M$7,DB$7)+1)*CP49</f>
        <v/>
      </c>
      <c r="DC49" s="48">
        <f>+(SUMIFS(Opex_Assumptions!$F35:$M35,Opex_Assumptions!$F$7:$M$7,DC$7)+1)*CQ49</f>
        <v/>
      </c>
      <c r="DD49" s="48">
        <f>+(SUMIFS(Opex_Assumptions!$F35:$M35,Opex_Assumptions!$F$7:$M$7,DD$7)+1)*CR49</f>
        <v/>
      </c>
      <c r="DE49" s="48">
        <f>+(SUMIFS(Opex_Assumptions!$F35:$M35,Opex_Assumptions!$F$7:$M$7,DE$7)+1)*CS49</f>
        <v/>
      </c>
      <c r="DF49" s="48">
        <f>+(SUMIFS(Opex_Assumptions!$F35:$M35,Opex_Assumptions!$F$7:$M$7,DF$7)+1)*CT49</f>
        <v/>
      </c>
      <c r="DG49" s="48">
        <f>+(SUMIFS(Opex_Assumptions!$F35:$M35,Opex_Assumptions!$F$7:$M$7,DG$7)+1)*CU49</f>
        <v/>
      </c>
      <c r="DH49" s="48">
        <f>+(SUMIFS(Opex_Assumptions!$F35:$M35,Opex_Assumptions!$F$7:$M$7,DH$7)+1)*CV49</f>
        <v/>
      </c>
      <c r="DI49" s="48">
        <f>+(SUMIFS(Opex_Assumptions!$F35:$M35,Opex_Assumptions!$F$7:$M$7,DI$7)+1)*CW49</f>
        <v/>
      </c>
      <c r="DJ49" s="48">
        <f>+(SUMIFS(Opex_Assumptions!$F35:$M35,Opex_Assumptions!$F$7:$M$7,DJ$7)+1)*CX49</f>
        <v/>
      </c>
      <c r="DK49" s="48">
        <f>+(SUMIFS(Opex_Assumptions!$F35:$M35,Opex_Assumptions!$F$7:$M$7,DK$7)+1)*CY49</f>
        <v/>
      </c>
      <c r="DL49" s="48">
        <f>+(SUMIFS(Opex_Assumptions!$F35:$M35,Opex_Assumptions!$F$7:$M$7,DL$7)+1)*CZ49</f>
        <v/>
      </c>
      <c r="DM49" s="48">
        <f>+(SUMIFS(Opex_Assumptions!$F35:$M35,Opex_Assumptions!$F$7:$M$7,DM$7)+1)*DA49</f>
        <v/>
      </c>
      <c r="DN49" s="48">
        <f>+(SUMIFS(Opex_Assumptions!$F35:$M35,Opex_Assumptions!$F$7:$M$7,DN$7)+1)*DB49</f>
        <v/>
      </c>
      <c r="DO49" s="48">
        <f>+(SUMIFS(Opex_Assumptions!$F35:$M35,Opex_Assumptions!$F$7:$M$7,DO$7)+1)*DC49</f>
        <v/>
      </c>
      <c r="DP49" s="48">
        <f>+(SUMIFS(Opex_Assumptions!$F35:$M35,Opex_Assumptions!$F$7:$M$7,DP$7)+1)*DD49</f>
        <v/>
      </c>
      <c r="DQ49" s="48">
        <f>+(SUMIFS(Opex_Assumptions!$F35:$M35,Opex_Assumptions!$F$7:$M$7,DQ$7)+1)*DE49</f>
        <v/>
      </c>
      <c r="DR49" s="48">
        <f>+(SUMIFS(Opex_Assumptions!$F35:$M35,Opex_Assumptions!$F$7:$M$7,DR$7)+1)*DF49</f>
        <v/>
      </c>
    </row>
    <row r="50" ht="15.75" customHeight="1">
      <c r="B50" s="5" t="inlineStr">
        <is>
          <t>Professional Fees</t>
        </is>
      </c>
      <c r="F50" s="46">
        <f>+SUMIFS($AA50:$DR50,$AA$7:$DR$7,F$7)</f>
        <v/>
      </c>
      <c r="G50" s="46">
        <f>+SUMIFS($AA50:$DR50,$AA$7:$DR$7,G$7)</f>
        <v/>
      </c>
      <c r="H50" s="46">
        <f>+SUMIFS($AA50:$DR50,$AA$7:$DR$7,H$7)</f>
        <v/>
      </c>
      <c r="I50" s="46">
        <f>+SUMIFS($AA50:$DR50,$AA$7:$DR$7,I$7)</f>
        <v/>
      </c>
      <c r="J50" s="46">
        <f>+SUMIFS($AA50:$DR50,$AA$7:$DR$7,J$7)</f>
        <v/>
      </c>
      <c r="K50" s="46">
        <f>+SUMIFS($AA50:$DR50,$AA$7:$DR$7,K$7)</f>
        <v/>
      </c>
      <c r="L50" s="46">
        <f>+SUMIFS($AA50:$DR50,$AA$7:$DR$7,L$7)</f>
        <v/>
      </c>
      <c r="M50" s="46">
        <f>+SUMIFS($AA50:$DR50,$AA$7:$DR$7,M$7)</f>
        <v/>
      </c>
      <c r="AA50" s="47" t="n">
        <v>31.02588</v>
      </c>
      <c r="AB50" s="47" t="n">
        <v>26.02588</v>
      </c>
      <c r="AC50" s="47" t="n">
        <v>53.02658</v>
      </c>
      <c r="AD50" s="47" t="n">
        <v>29.02588</v>
      </c>
      <c r="AE50" s="47" t="n">
        <v>30.19588</v>
      </c>
      <c r="AF50" s="47" t="n">
        <v>6.56159</v>
      </c>
      <c r="AG50" s="47" t="n">
        <v>7.81159</v>
      </c>
      <c r="AH50" s="47" t="n">
        <v>-28.33739</v>
      </c>
      <c r="AI50" s="47" t="n">
        <v>15.68872</v>
      </c>
      <c r="AJ50" s="47" t="n">
        <v>9.462610000000002</v>
      </c>
      <c r="AK50" s="47" t="n">
        <v>15.2146</v>
      </c>
      <c r="AL50" s="47" t="n">
        <v>15.19219</v>
      </c>
      <c r="AM50" s="47" t="n">
        <v>41.69254</v>
      </c>
      <c r="AN50" s="47" t="n">
        <v>41.69254</v>
      </c>
      <c r="AO50" s="47" t="n">
        <v>50.87754</v>
      </c>
      <c r="AP50" s="47" t="n">
        <v>40.92903</v>
      </c>
      <c r="AQ50" s="47" t="n">
        <v>35.42349</v>
      </c>
      <c r="AR50" s="47" t="n">
        <v>42.14666</v>
      </c>
      <c r="AS50" s="47" t="n">
        <v>29.26666</v>
      </c>
      <c r="AT50" s="47" t="n">
        <v>27.65966</v>
      </c>
      <c r="AU50" s="47" t="n">
        <v>24.25468</v>
      </c>
      <c r="AV50" s="47" t="n">
        <v>-111.82705</v>
      </c>
      <c r="AW50" s="47" t="n">
        <v>11.00655</v>
      </c>
      <c r="AX50" s="47" t="n">
        <v>-20.01501</v>
      </c>
      <c r="AY50" s="47" t="n">
        <v>7.94255</v>
      </c>
      <c r="AZ50" s="47" t="n">
        <v>7.94255</v>
      </c>
      <c r="BA50" s="47" t="n">
        <v>9.502549999999999</v>
      </c>
      <c r="BB50" s="47" t="n">
        <v>8.99718</v>
      </c>
      <c r="BC50" s="47" t="n">
        <v>6.819879999999999</v>
      </c>
      <c r="BD50" s="47" t="n">
        <v>6.59188</v>
      </c>
      <c r="BE50" s="47" t="n">
        <v>6.10922</v>
      </c>
      <c r="BF50" s="47" t="n">
        <v>6.10922</v>
      </c>
      <c r="BG50" s="47" t="n">
        <v>30.08022</v>
      </c>
      <c r="BH50" s="47" t="n">
        <v>30.84972</v>
      </c>
      <c r="BI50" s="47" t="n">
        <v>21.26322</v>
      </c>
      <c r="BJ50" s="47" t="n">
        <v>-0.65732</v>
      </c>
      <c r="BK50" s="47" t="n">
        <v>24.054</v>
      </c>
      <c r="BL50" s="47" t="n">
        <v>13.638</v>
      </c>
      <c r="BM50" s="47" t="n">
        <v>30.1928</v>
      </c>
      <c r="BN50" s="47" t="n">
        <v>27.6928</v>
      </c>
      <c r="BO50" s="47" t="n">
        <v>11.82405</v>
      </c>
      <c r="BP50" s="47" t="n">
        <v>11.82405</v>
      </c>
      <c r="BQ50" s="47" t="n">
        <v>11.82405</v>
      </c>
      <c r="BR50" s="47" t="n">
        <v>11.82405</v>
      </c>
      <c r="BS50" s="47" t="n">
        <v>11.82405</v>
      </c>
      <c r="BT50" s="47" t="n">
        <v>11.82405</v>
      </c>
      <c r="BU50" s="47" t="n">
        <v>11.82405</v>
      </c>
      <c r="BV50" s="47" t="n">
        <v>9.824050000000003</v>
      </c>
      <c r="BW50" s="47" t="n">
        <v>14.33459166666667</v>
      </c>
      <c r="BX50" s="47" t="n">
        <v>14.33459166666667</v>
      </c>
      <c r="BY50" s="47" t="n">
        <v>14.33459166666666</v>
      </c>
      <c r="BZ50" s="47" t="n">
        <v>14.33459166666667</v>
      </c>
      <c r="CA50" s="47" t="n">
        <v>14.33459166666666</v>
      </c>
      <c r="CB50" s="47" t="n">
        <v>14.33459166666667</v>
      </c>
      <c r="CC50" s="47" t="n">
        <v>14.33459166666667</v>
      </c>
      <c r="CD50" s="47" t="n">
        <v>14.33459166666667</v>
      </c>
      <c r="CE50" s="47" t="n">
        <v>14.33459166666667</v>
      </c>
      <c r="CF50" s="47" t="n">
        <v>14.33459166666666</v>
      </c>
      <c r="CG50" s="47" t="n">
        <v>14.33459166666666</v>
      </c>
      <c r="CH50" s="47" t="n">
        <v>14.33459166666666</v>
      </c>
      <c r="CI50" s="48">
        <f>+(SUMIFS(Opex_Assumptions!$F36:$M36,Opex_Assumptions!$F$7:$M$7,CI$7)+1)*BW50</f>
        <v/>
      </c>
      <c r="CJ50" s="48">
        <f>+(SUMIFS(Opex_Assumptions!$F36:$M36,Opex_Assumptions!$F$7:$M$7,CJ$7)+1)*BX50</f>
        <v/>
      </c>
      <c r="CK50" s="48">
        <f>+(SUMIFS(Opex_Assumptions!$F36:$M36,Opex_Assumptions!$F$7:$M$7,CK$7)+1)*BY50</f>
        <v/>
      </c>
      <c r="CL50" s="48">
        <f>+(SUMIFS(Opex_Assumptions!$F36:$M36,Opex_Assumptions!$F$7:$M$7,CL$7)+1)*BZ50</f>
        <v/>
      </c>
      <c r="CM50" s="48">
        <f>+(SUMIFS(Opex_Assumptions!$F36:$M36,Opex_Assumptions!$F$7:$M$7,CM$7)+1)*CA50</f>
        <v/>
      </c>
      <c r="CN50" s="48">
        <f>+(SUMIFS(Opex_Assumptions!$F36:$M36,Opex_Assumptions!$F$7:$M$7,CN$7)+1)*CB50</f>
        <v/>
      </c>
      <c r="CO50" s="48">
        <f>+(SUMIFS(Opex_Assumptions!$F36:$M36,Opex_Assumptions!$F$7:$M$7,CO$7)+1)*CC50</f>
        <v/>
      </c>
      <c r="CP50" s="48">
        <f>+(SUMIFS(Opex_Assumptions!$F36:$M36,Opex_Assumptions!$F$7:$M$7,CP$7)+1)*CD50</f>
        <v/>
      </c>
      <c r="CQ50" s="48">
        <f>+(SUMIFS(Opex_Assumptions!$F36:$M36,Opex_Assumptions!$F$7:$M$7,CQ$7)+1)*CE50</f>
        <v/>
      </c>
      <c r="CR50" s="48">
        <f>+(SUMIFS(Opex_Assumptions!$F36:$M36,Opex_Assumptions!$F$7:$M$7,CR$7)+1)*CF50</f>
        <v/>
      </c>
      <c r="CS50" s="48">
        <f>+(SUMIFS(Opex_Assumptions!$F36:$M36,Opex_Assumptions!$F$7:$M$7,CS$7)+1)*CG50</f>
        <v/>
      </c>
      <c r="CT50" s="48">
        <f>+(SUMIFS(Opex_Assumptions!$F36:$M36,Opex_Assumptions!$F$7:$M$7,CT$7)+1)*CH50</f>
        <v/>
      </c>
      <c r="CU50" s="48">
        <f>+(SUMIFS(Opex_Assumptions!$F36:$M36,Opex_Assumptions!$F$7:$M$7,CU$7)+1)*CI50</f>
        <v/>
      </c>
      <c r="CV50" s="48">
        <f>+(SUMIFS(Opex_Assumptions!$F36:$M36,Opex_Assumptions!$F$7:$M$7,CV$7)+1)*CJ50</f>
        <v/>
      </c>
      <c r="CW50" s="48">
        <f>+(SUMIFS(Opex_Assumptions!$F36:$M36,Opex_Assumptions!$F$7:$M$7,CW$7)+1)*CK50</f>
        <v/>
      </c>
      <c r="CX50" s="48">
        <f>+(SUMIFS(Opex_Assumptions!$F36:$M36,Opex_Assumptions!$F$7:$M$7,CX$7)+1)*CL50</f>
        <v/>
      </c>
      <c r="CY50" s="48">
        <f>+(SUMIFS(Opex_Assumptions!$F36:$M36,Opex_Assumptions!$F$7:$M$7,CY$7)+1)*CM50</f>
        <v/>
      </c>
      <c r="CZ50" s="48">
        <f>+(SUMIFS(Opex_Assumptions!$F36:$M36,Opex_Assumptions!$F$7:$M$7,CZ$7)+1)*CN50</f>
        <v/>
      </c>
      <c r="DA50" s="48">
        <f>+(SUMIFS(Opex_Assumptions!$F36:$M36,Opex_Assumptions!$F$7:$M$7,DA$7)+1)*CO50</f>
        <v/>
      </c>
      <c r="DB50" s="48">
        <f>+(SUMIFS(Opex_Assumptions!$F36:$M36,Opex_Assumptions!$F$7:$M$7,DB$7)+1)*CP50</f>
        <v/>
      </c>
      <c r="DC50" s="48">
        <f>+(SUMIFS(Opex_Assumptions!$F36:$M36,Opex_Assumptions!$F$7:$M$7,DC$7)+1)*CQ50</f>
        <v/>
      </c>
      <c r="DD50" s="48">
        <f>+(SUMIFS(Opex_Assumptions!$F36:$M36,Opex_Assumptions!$F$7:$M$7,DD$7)+1)*CR50</f>
        <v/>
      </c>
      <c r="DE50" s="48">
        <f>+(SUMIFS(Opex_Assumptions!$F36:$M36,Opex_Assumptions!$F$7:$M$7,DE$7)+1)*CS50</f>
        <v/>
      </c>
      <c r="DF50" s="48">
        <f>+(SUMIFS(Opex_Assumptions!$F36:$M36,Opex_Assumptions!$F$7:$M$7,DF$7)+1)*CT50</f>
        <v/>
      </c>
      <c r="DG50" s="48">
        <f>+(SUMIFS(Opex_Assumptions!$F36:$M36,Opex_Assumptions!$F$7:$M$7,DG$7)+1)*CU50</f>
        <v/>
      </c>
      <c r="DH50" s="48">
        <f>+(SUMIFS(Opex_Assumptions!$F36:$M36,Opex_Assumptions!$F$7:$M$7,DH$7)+1)*CV50</f>
        <v/>
      </c>
      <c r="DI50" s="48">
        <f>+(SUMIFS(Opex_Assumptions!$F36:$M36,Opex_Assumptions!$F$7:$M$7,DI$7)+1)*CW50</f>
        <v/>
      </c>
      <c r="DJ50" s="48">
        <f>+(SUMIFS(Opex_Assumptions!$F36:$M36,Opex_Assumptions!$F$7:$M$7,DJ$7)+1)*CX50</f>
        <v/>
      </c>
      <c r="DK50" s="48">
        <f>+(SUMIFS(Opex_Assumptions!$F36:$M36,Opex_Assumptions!$F$7:$M$7,DK$7)+1)*CY50</f>
        <v/>
      </c>
      <c r="DL50" s="48">
        <f>+(SUMIFS(Opex_Assumptions!$F36:$M36,Opex_Assumptions!$F$7:$M$7,DL$7)+1)*CZ50</f>
        <v/>
      </c>
      <c r="DM50" s="48">
        <f>+(SUMIFS(Opex_Assumptions!$F36:$M36,Opex_Assumptions!$F$7:$M$7,DM$7)+1)*DA50</f>
        <v/>
      </c>
      <c r="DN50" s="48">
        <f>+(SUMIFS(Opex_Assumptions!$F36:$M36,Opex_Assumptions!$F$7:$M$7,DN$7)+1)*DB50</f>
        <v/>
      </c>
      <c r="DO50" s="48">
        <f>+(SUMIFS(Opex_Assumptions!$F36:$M36,Opex_Assumptions!$F$7:$M$7,DO$7)+1)*DC50</f>
        <v/>
      </c>
      <c r="DP50" s="48">
        <f>+(SUMIFS(Opex_Assumptions!$F36:$M36,Opex_Assumptions!$F$7:$M$7,DP$7)+1)*DD50</f>
        <v/>
      </c>
      <c r="DQ50" s="48">
        <f>+(SUMIFS(Opex_Assumptions!$F36:$M36,Opex_Assumptions!$F$7:$M$7,DQ$7)+1)*DE50</f>
        <v/>
      </c>
      <c r="DR50" s="48">
        <f>+(SUMIFS(Opex_Assumptions!$F36:$M36,Opex_Assumptions!$F$7:$M$7,DR$7)+1)*DF50</f>
        <v/>
      </c>
    </row>
    <row r="51" ht="15.75" customHeight="1">
      <c r="B51" s="5" t="inlineStr">
        <is>
          <t>Service Costs</t>
        </is>
      </c>
      <c r="F51" s="46">
        <f>+SUMIFS($AA51:$DR51,$AA$7:$DR$7,F$7)</f>
        <v/>
      </c>
      <c r="G51" s="46">
        <f>+SUMIFS($AA51:$DR51,$AA$7:$DR$7,G$7)</f>
        <v/>
      </c>
      <c r="H51" s="46">
        <f>+SUMIFS($AA51:$DR51,$AA$7:$DR$7,H$7)</f>
        <v/>
      </c>
      <c r="I51" s="46">
        <f>+SUMIFS($AA51:$DR51,$AA$7:$DR$7,I$7)</f>
        <v/>
      </c>
      <c r="J51" s="46">
        <f>+SUMIFS($AA51:$DR51,$AA$7:$DR$7,J$7)</f>
        <v/>
      </c>
      <c r="K51" s="46">
        <f>+SUMIFS($AA51:$DR51,$AA$7:$DR$7,K$7)</f>
        <v/>
      </c>
      <c r="L51" s="46">
        <f>+SUMIFS($AA51:$DR51,$AA$7:$DR$7,L$7)</f>
        <v/>
      </c>
      <c r="M51" s="46">
        <f>+SUMIFS($AA51:$DR51,$AA$7:$DR$7,M$7)</f>
        <v/>
      </c>
      <c r="AA51" s="47" t="n">
        <v>-7.105427357601002e-15</v>
      </c>
      <c r="AB51" s="47" t="n">
        <v>-3.552713678800501e-15</v>
      </c>
      <c r="AC51" s="47" t="n">
        <v>3.552713678800501e-15</v>
      </c>
      <c r="AD51" s="47" t="n">
        <v>-3.552713678800501e-15</v>
      </c>
      <c r="AE51" s="47" t="n">
        <v>7.105427357601002e-15</v>
      </c>
      <c r="AF51" s="47" t="n">
        <v>-3.552713678800501e-15</v>
      </c>
      <c r="AG51" s="47" t="n">
        <v>3.552713678800501e-15</v>
      </c>
      <c r="AH51" s="47" t="n">
        <v>7.105427357601002e-15</v>
      </c>
      <c r="AI51" s="47" t="n">
        <v>-3.552713678800501e-15</v>
      </c>
      <c r="AJ51" s="47" t="n">
        <v>7.105427357601002e-15</v>
      </c>
      <c r="AK51" s="47" t="n">
        <v>-3.552713678800501e-15</v>
      </c>
      <c r="AL51" s="47" t="n">
        <v>0</v>
      </c>
      <c r="AM51" s="47" t="n">
        <v>3.552713678800501e-15</v>
      </c>
      <c r="AN51" s="47" t="n">
        <v>7.105427357601002e-15</v>
      </c>
      <c r="AO51" s="47" t="n">
        <v>7.105427357601002e-15</v>
      </c>
      <c r="AP51" s="47" t="n">
        <v>-3.552713678800501e-15</v>
      </c>
      <c r="AQ51" s="47" t="n">
        <v>0</v>
      </c>
      <c r="AR51" s="47" t="n">
        <v>-1.06581410364015e-14</v>
      </c>
      <c r="AS51" s="47" t="n">
        <v>-1.4210854715202e-14</v>
      </c>
      <c r="AT51" s="47" t="n">
        <v>0</v>
      </c>
      <c r="AU51" s="47" t="n">
        <v>-3.552713678800501e-15</v>
      </c>
      <c r="AV51" s="47" t="n">
        <v>1.4210854715202e-14</v>
      </c>
      <c r="AW51" s="47" t="n">
        <v>-7.105427357601002e-15</v>
      </c>
      <c r="AX51" s="47" t="n">
        <v>-7.105427357601002e-15</v>
      </c>
      <c r="AY51" s="47" t="n">
        <v>3.552713678800501e-15</v>
      </c>
      <c r="AZ51" s="47" t="n">
        <v>-1.06581410364015e-14</v>
      </c>
      <c r="BA51" s="47" t="n">
        <v>-1.4210854715202e-14</v>
      </c>
      <c r="BB51" s="47" t="n">
        <v>7.105427357601002e-15</v>
      </c>
      <c r="BC51" s="47" t="n">
        <v>-1.4210854715202e-14</v>
      </c>
      <c r="BD51" s="47" t="n">
        <v>0</v>
      </c>
      <c r="BE51" s="47" t="n">
        <v>1.06581410364015e-14</v>
      </c>
      <c r="BF51" s="47" t="n">
        <v>-1.06581410364015e-14</v>
      </c>
      <c r="BG51" s="47" t="n">
        <v>-1.06581410364015e-14</v>
      </c>
      <c r="BH51" s="47" t="n">
        <v>-7.105427357601002e-15</v>
      </c>
      <c r="BI51" s="47" t="n">
        <v>1.06581410364015e-14</v>
      </c>
      <c r="BJ51" s="47" t="n">
        <v>3.552713678800501e-15</v>
      </c>
      <c r="BK51" s="47" t="n">
        <v>0</v>
      </c>
      <c r="BL51" s="47" t="n">
        <v>0</v>
      </c>
      <c r="BM51" s="47" t="n">
        <v>0</v>
      </c>
      <c r="BN51" s="47" t="n">
        <v>0</v>
      </c>
      <c r="BO51" s="47" t="n">
        <v>0</v>
      </c>
      <c r="BP51" s="47" t="n">
        <v>0</v>
      </c>
      <c r="BQ51" s="47" t="n">
        <v>0</v>
      </c>
      <c r="BR51" s="47" t="n">
        <v>0</v>
      </c>
      <c r="BS51" s="47" t="n">
        <v>0</v>
      </c>
      <c r="BT51" s="47" t="n">
        <v>0</v>
      </c>
      <c r="BU51" s="47" t="n">
        <v>0</v>
      </c>
      <c r="BV51" s="47" t="n">
        <v>0</v>
      </c>
      <c r="BW51" s="47" t="n">
        <v>0</v>
      </c>
      <c r="BX51" s="47" t="n">
        <v>0</v>
      </c>
      <c r="BY51" s="47" t="n">
        <v>0</v>
      </c>
      <c r="BZ51" s="47" t="n">
        <v>0</v>
      </c>
      <c r="CA51" s="47" t="n">
        <v>0</v>
      </c>
      <c r="CB51" s="47" t="n">
        <v>0</v>
      </c>
      <c r="CC51" s="47" t="n">
        <v>0</v>
      </c>
      <c r="CD51" s="47" t="n">
        <v>0</v>
      </c>
      <c r="CE51" s="47" t="n">
        <v>0</v>
      </c>
      <c r="CF51" s="47" t="n">
        <v>0</v>
      </c>
      <c r="CG51" s="47" t="n">
        <v>0</v>
      </c>
      <c r="CH51" s="47" t="n">
        <v>0</v>
      </c>
      <c r="CI51" s="48">
        <f>+(SUMIFS(Opex_Assumptions!$F37:$M37,Opex_Assumptions!$F$7:$M$7,CI$7)+1)*BW51</f>
        <v/>
      </c>
      <c r="CJ51" s="48">
        <f>+(SUMIFS(Opex_Assumptions!$F37:$M37,Opex_Assumptions!$F$7:$M$7,CJ$7)+1)*BX51</f>
        <v/>
      </c>
      <c r="CK51" s="48">
        <f>+(SUMIFS(Opex_Assumptions!$F37:$M37,Opex_Assumptions!$F$7:$M$7,CK$7)+1)*BY51</f>
        <v/>
      </c>
      <c r="CL51" s="48">
        <f>+(SUMIFS(Opex_Assumptions!$F37:$M37,Opex_Assumptions!$F$7:$M$7,CL$7)+1)*BZ51</f>
        <v/>
      </c>
      <c r="CM51" s="48">
        <f>+(SUMIFS(Opex_Assumptions!$F37:$M37,Opex_Assumptions!$F$7:$M$7,CM$7)+1)*CA51</f>
        <v/>
      </c>
      <c r="CN51" s="48">
        <f>+(SUMIFS(Opex_Assumptions!$F37:$M37,Opex_Assumptions!$F$7:$M$7,CN$7)+1)*CB51</f>
        <v/>
      </c>
      <c r="CO51" s="48">
        <f>+(SUMIFS(Opex_Assumptions!$F37:$M37,Opex_Assumptions!$F$7:$M$7,CO$7)+1)*CC51</f>
        <v/>
      </c>
      <c r="CP51" s="48">
        <f>+(SUMIFS(Opex_Assumptions!$F37:$M37,Opex_Assumptions!$F$7:$M$7,CP$7)+1)*CD51</f>
        <v/>
      </c>
      <c r="CQ51" s="48">
        <f>+(SUMIFS(Opex_Assumptions!$F37:$M37,Opex_Assumptions!$F$7:$M$7,CQ$7)+1)*CE51</f>
        <v/>
      </c>
      <c r="CR51" s="48">
        <f>+(SUMIFS(Opex_Assumptions!$F37:$M37,Opex_Assumptions!$F$7:$M$7,CR$7)+1)*CF51</f>
        <v/>
      </c>
      <c r="CS51" s="48">
        <f>+(SUMIFS(Opex_Assumptions!$F37:$M37,Opex_Assumptions!$F$7:$M$7,CS$7)+1)*CG51</f>
        <v/>
      </c>
      <c r="CT51" s="48">
        <f>+(SUMIFS(Opex_Assumptions!$F37:$M37,Opex_Assumptions!$F$7:$M$7,CT$7)+1)*CH51</f>
        <v/>
      </c>
      <c r="CU51" s="48">
        <f>+(SUMIFS(Opex_Assumptions!$F37:$M37,Opex_Assumptions!$F$7:$M$7,CU$7)+1)*CI51</f>
        <v/>
      </c>
      <c r="CV51" s="48">
        <f>+(SUMIFS(Opex_Assumptions!$F37:$M37,Opex_Assumptions!$F$7:$M$7,CV$7)+1)*CJ51</f>
        <v/>
      </c>
      <c r="CW51" s="48">
        <f>+(SUMIFS(Opex_Assumptions!$F37:$M37,Opex_Assumptions!$F$7:$M$7,CW$7)+1)*CK51</f>
        <v/>
      </c>
      <c r="CX51" s="48">
        <f>+(SUMIFS(Opex_Assumptions!$F37:$M37,Opex_Assumptions!$F$7:$M$7,CX$7)+1)*CL51</f>
        <v/>
      </c>
      <c r="CY51" s="48">
        <f>+(SUMIFS(Opex_Assumptions!$F37:$M37,Opex_Assumptions!$F$7:$M$7,CY$7)+1)*CM51</f>
        <v/>
      </c>
      <c r="CZ51" s="48">
        <f>+(SUMIFS(Opex_Assumptions!$F37:$M37,Opex_Assumptions!$F$7:$M$7,CZ$7)+1)*CN51</f>
        <v/>
      </c>
      <c r="DA51" s="48">
        <f>+(SUMIFS(Opex_Assumptions!$F37:$M37,Opex_Assumptions!$F$7:$M$7,DA$7)+1)*CO51</f>
        <v/>
      </c>
      <c r="DB51" s="48">
        <f>+(SUMIFS(Opex_Assumptions!$F37:$M37,Opex_Assumptions!$F$7:$M$7,DB$7)+1)*CP51</f>
        <v/>
      </c>
      <c r="DC51" s="48">
        <f>+(SUMIFS(Opex_Assumptions!$F37:$M37,Opex_Assumptions!$F$7:$M$7,DC$7)+1)*CQ51</f>
        <v/>
      </c>
      <c r="DD51" s="48">
        <f>+(SUMIFS(Opex_Assumptions!$F37:$M37,Opex_Assumptions!$F$7:$M$7,DD$7)+1)*CR51</f>
        <v/>
      </c>
      <c r="DE51" s="48">
        <f>+(SUMIFS(Opex_Assumptions!$F37:$M37,Opex_Assumptions!$F$7:$M$7,DE$7)+1)*CS51</f>
        <v/>
      </c>
      <c r="DF51" s="48">
        <f>+(SUMIFS(Opex_Assumptions!$F37:$M37,Opex_Assumptions!$F$7:$M$7,DF$7)+1)*CT51</f>
        <v/>
      </c>
      <c r="DG51" s="48">
        <f>+(SUMIFS(Opex_Assumptions!$F37:$M37,Opex_Assumptions!$F$7:$M$7,DG$7)+1)*CU51</f>
        <v/>
      </c>
      <c r="DH51" s="48">
        <f>+(SUMIFS(Opex_Assumptions!$F37:$M37,Opex_Assumptions!$F$7:$M$7,DH$7)+1)*CV51</f>
        <v/>
      </c>
      <c r="DI51" s="48">
        <f>+(SUMIFS(Opex_Assumptions!$F37:$M37,Opex_Assumptions!$F$7:$M$7,DI$7)+1)*CW51</f>
        <v/>
      </c>
      <c r="DJ51" s="48">
        <f>+(SUMIFS(Opex_Assumptions!$F37:$M37,Opex_Assumptions!$F$7:$M$7,DJ$7)+1)*CX51</f>
        <v/>
      </c>
      <c r="DK51" s="48">
        <f>+(SUMIFS(Opex_Assumptions!$F37:$M37,Opex_Assumptions!$F$7:$M$7,DK$7)+1)*CY51</f>
        <v/>
      </c>
      <c r="DL51" s="48">
        <f>+(SUMIFS(Opex_Assumptions!$F37:$M37,Opex_Assumptions!$F$7:$M$7,DL$7)+1)*CZ51</f>
        <v/>
      </c>
      <c r="DM51" s="48">
        <f>+(SUMIFS(Opex_Assumptions!$F37:$M37,Opex_Assumptions!$F$7:$M$7,DM$7)+1)*DA51</f>
        <v/>
      </c>
      <c r="DN51" s="48">
        <f>+(SUMIFS(Opex_Assumptions!$F37:$M37,Opex_Assumptions!$F$7:$M$7,DN$7)+1)*DB51</f>
        <v/>
      </c>
      <c r="DO51" s="48">
        <f>+(SUMIFS(Opex_Assumptions!$F37:$M37,Opex_Assumptions!$F$7:$M$7,DO$7)+1)*DC51</f>
        <v/>
      </c>
      <c r="DP51" s="48">
        <f>+(SUMIFS(Opex_Assumptions!$F37:$M37,Opex_Assumptions!$F$7:$M$7,DP$7)+1)*DD51</f>
        <v/>
      </c>
      <c r="DQ51" s="48">
        <f>+(SUMIFS(Opex_Assumptions!$F37:$M37,Opex_Assumptions!$F$7:$M$7,DQ$7)+1)*DE51</f>
        <v/>
      </c>
      <c r="DR51" s="48">
        <f>+(SUMIFS(Opex_Assumptions!$F37:$M37,Opex_Assumptions!$F$7:$M$7,DR$7)+1)*DF51</f>
        <v/>
      </c>
    </row>
    <row r="52" ht="15.75" customHeight="1">
      <c r="B52" s="50" t="inlineStr">
        <is>
          <t>Total Operating Expenses</t>
        </is>
      </c>
      <c r="C52" s="50" t="n"/>
      <c r="D52" s="50" t="n"/>
      <c r="F52" s="51">
        <f>+SUMIFS($AA52:$DR52,$AA$7:$DR$7,F$7)</f>
        <v/>
      </c>
      <c r="G52" s="51">
        <f>+SUMIFS($AA52:$DR52,$AA$7:$DR$7,G$7)</f>
        <v/>
      </c>
      <c r="H52" s="51">
        <f>+SUMIFS($AA52:$DR52,$AA$7:$DR$7,H$7)</f>
        <v/>
      </c>
      <c r="I52" s="51">
        <f>+SUMIFS($AA52:$DR52,$AA$7:$DR$7,I$7)</f>
        <v/>
      </c>
      <c r="J52" s="51">
        <f>+SUMIFS($AA52:$DR52,$AA$7:$DR$7,J$7)</f>
        <v/>
      </c>
      <c r="K52" s="51">
        <f>+SUMIFS($AA52:$DR52,$AA$7:$DR$7,K$7)</f>
        <v/>
      </c>
      <c r="L52" s="51">
        <f>+SUMIFS($AA52:$DR52,$AA$7:$DR$7,L$7)</f>
        <v/>
      </c>
      <c r="M52" s="51">
        <f>+SUMIFS($AA52:$DR52,$AA$7:$DR$7,M$7)</f>
        <v/>
      </c>
      <c r="AA52" s="51">
        <f>SUM(AA44:AA51)</f>
        <v/>
      </c>
      <c r="AB52" s="51">
        <f>SUM(AB44:AB51)</f>
        <v/>
      </c>
      <c r="AC52" s="51">
        <f>SUM(AC44:AC51)</f>
        <v/>
      </c>
      <c r="AD52" s="51">
        <f>SUM(AD44:AD51)</f>
        <v/>
      </c>
      <c r="AE52" s="51">
        <f>SUM(AE44:AE51)</f>
        <v/>
      </c>
      <c r="AF52" s="51">
        <f>SUM(AF44:AF51)</f>
        <v/>
      </c>
      <c r="AG52" s="51">
        <f>SUM(AG44:AG51)</f>
        <v/>
      </c>
      <c r="AH52" s="51">
        <f>SUM(AH44:AH51)</f>
        <v/>
      </c>
      <c r="AI52" s="51">
        <f>SUM(AI44:AI51)</f>
        <v/>
      </c>
      <c r="AJ52" s="51">
        <f>SUM(AJ44:AJ51)</f>
        <v/>
      </c>
      <c r="AK52" s="51">
        <f>SUM(AK44:AK51)</f>
        <v/>
      </c>
      <c r="AL52" s="51">
        <f>SUM(AL44:AL51)</f>
        <v/>
      </c>
      <c r="AM52" s="51">
        <f>SUM(AM44:AM51)</f>
        <v/>
      </c>
      <c r="AN52" s="51">
        <f>SUM(AN44:AN51)</f>
        <v/>
      </c>
      <c r="AO52" s="51">
        <f>SUM(AO44:AO51)</f>
        <v/>
      </c>
      <c r="AP52" s="51">
        <f>SUM(AP44:AP51)</f>
        <v/>
      </c>
      <c r="AQ52" s="51">
        <f>SUM(AQ44:AQ51)</f>
        <v/>
      </c>
      <c r="AR52" s="51">
        <f>SUM(AR44:AR51)</f>
        <v/>
      </c>
      <c r="AS52" s="51">
        <f>SUM(AS44:AS51)</f>
        <v/>
      </c>
      <c r="AT52" s="51">
        <f>SUM(AT44:AT51)</f>
        <v/>
      </c>
      <c r="AU52" s="51">
        <f>SUM(AU44:AU51)</f>
        <v/>
      </c>
      <c r="AV52" s="51">
        <f>SUM(AV44:AV51)</f>
        <v/>
      </c>
      <c r="AW52" s="51">
        <f>SUM(AW44:AW51)</f>
        <v/>
      </c>
      <c r="AX52" s="51">
        <f>SUM(AX44:AX51)</f>
        <v/>
      </c>
      <c r="AY52" s="51">
        <f>SUM(AY44:AY51)</f>
        <v/>
      </c>
      <c r="AZ52" s="51">
        <f>SUM(AZ44:AZ51)</f>
        <v/>
      </c>
      <c r="BA52" s="51">
        <f>SUM(BA44:BA51)</f>
        <v/>
      </c>
      <c r="BB52" s="51">
        <f>SUM(BB44:BB51)</f>
        <v/>
      </c>
      <c r="BC52" s="51">
        <f>SUM(BC44:BC51)</f>
        <v/>
      </c>
      <c r="BD52" s="51">
        <f>SUM(BD44:BD51)</f>
        <v/>
      </c>
      <c r="BE52" s="51">
        <f>SUM(BE44:BE51)</f>
        <v/>
      </c>
      <c r="BF52" s="51">
        <f>SUM(BF44:BF51)</f>
        <v/>
      </c>
      <c r="BG52" s="51">
        <f>SUM(BG44:BG51)</f>
        <v/>
      </c>
      <c r="BH52" s="51">
        <f>SUM(BH44:BH51)</f>
        <v/>
      </c>
      <c r="BI52" s="51">
        <f>SUM(BI44:BI51)</f>
        <v/>
      </c>
      <c r="BJ52" s="51">
        <f>SUM(BJ44:BJ51)</f>
        <v/>
      </c>
      <c r="BK52" s="51">
        <f>SUM(BK44:BK51)</f>
        <v/>
      </c>
      <c r="BL52" s="51">
        <f>SUM(BL44:BL51)</f>
        <v/>
      </c>
      <c r="BM52" s="51">
        <f>SUM(BM44:BM51)</f>
        <v/>
      </c>
      <c r="BN52" s="51">
        <f>SUM(BN44:BN51)</f>
        <v/>
      </c>
      <c r="BO52" s="51">
        <f>SUM(BO44:BO51)</f>
        <v/>
      </c>
      <c r="BP52" s="51">
        <f>SUM(BP44:BP51)</f>
        <v/>
      </c>
      <c r="BQ52" s="51">
        <f>SUM(BQ44:BQ51)</f>
        <v/>
      </c>
      <c r="BR52" s="51">
        <f>SUM(BR44:BR51)</f>
        <v/>
      </c>
      <c r="BS52" s="51">
        <f>SUM(BS44:BS51)</f>
        <v/>
      </c>
      <c r="BT52" s="51">
        <f>SUM(BT44:BT51)</f>
        <v/>
      </c>
      <c r="BU52" s="51">
        <f>SUM(BU44:BU51)</f>
        <v/>
      </c>
      <c r="BV52" s="51">
        <f>SUM(BV44:BV51)</f>
        <v/>
      </c>
      <c r="BW52" s="51">
        <f>SUM(BW44:BW51)</f>
        <v/>
      </c>
      <c r="BX52" s="51">
        <f>SUM(BX44:BX51)</f>
        <v/>
      </c>
      <c r="BY52" s="51">
        <f>SUM(BY44:BY51)</f>
        <v/>
      </c>
      <c r="BZ52" s="51">
        <f>SUM(BZ44:BZ51)</f>
        <v/>
      </c>
      <c r="CA52" s="51">
        <f>SUM(CA44:CA51)</f>
        <v/>
      </c>
      <c r="CB52" s="51">
        <f>SUM(CB44:CB51)</f>
        <v/>
      </c>
      <c r="CC52" s="51">
        <f>SUM(CC44:CC51)</f>
        <v/>
      </c>
      <c r="CD52" s="51">
        <f>SUM(CD44:CD51)</f>
        <v/>
      </c>
      <c r="CE52" s="51">
        <f>SUM(CE44:CE51)</f>
        <v/>
      </c>
      <c r="CF52" s="51">
        <f>SUM(CF44:CF51)</f>
        <v/>
      </c>
      <c r="CG52" s="51">
        <f>SUM(CG44:CG51)</f>
        <v/>
      </c>
      <c r="CH52" s="51">
        <f>SUM(CH44:CH51)</f>
        <v/>
      </c>
      <c r="CI52" s="51">
        <f>SUM(CI44:CI51)</f>
        <v/>
      </c>
      <c r="CJ52" s="51">
        <f>SUM(CJ44:CJ51)</f>
        <v/>
      </c>
      <c r="CK52" s="51">
        <f>SUM(CK44:CK51)</f>
        <v/>
      </c>
      <c r="CL52" s="51">
        <f>SUM(CL44:CL51)</f>
        <v/>
      </c>
      <c r="CM52" s="51">
        <f>SUM(CM44:CM51)</f>
        <v/>
      </c>
      <c r="CN52" s="51">
        <f>SUM(CN44:CN51)</f>
        <v/>
      </c>
      <c r="CO52" s="51">
        <f>SUM(CO44:CO51)</f>
        <v/>
      </c>
      <c r="CP52" s="51">
        <f>SUM(CP44:CP51)</f>
        <v/>
      </c>
      <c r="CQ52" s="51">
        <f>SUM(CQ44:CQ51)</f>
        <v/>
      </c>
      <c r="CR52" s="51">
        <f>SUM(CR44:CR51)</f>
        <v/>
      </c>
      <c r="CS52" s="51">
        <f>SUM(CS44:CS51)</f>
        <v/>
      </c>
      <c r="CT52" s="51">
        <f>SUM(CT44:CT51)</f>
        <v/>
      </c>
      <c r="CU52" s="51">
        <f>SUM(CU44:CU51)</f>
        <v/>
      </c>
      <c r="CV52" s="51">
        <f>SUM(CV44:CV51)</f>
        <v/>
      </c>
      <c r="CW52" s="51">
        <f>SUM(CW44:CW51)</f>
        <v/>
      </c>
      <c r="CX52" s="51">
        <f>SUM(CX44:CX51)</f>
        <v/>
      </c>
      <c r="CY52" s="51">
        <f>SUM(CY44:CY51)</f>
        <v/>
      </c>
      <c r="CZ52" s="51">
        <f>SUM(CZ44:CZ51)</f>
        <v/>
      </c>
      <c r="DA52" s="51">
        <f>SUM(DA44:DA51)</f>
        <v/>
      </c>
      <c r="DB52" s="51">
        <f>SUM(DB44:DB51)</f>
        <v/>
      </c>
      <c r="DC52" s="51">
        <f>SUM(DC44:DC51)</f>
        <v/>
      </c>
      <c r="DD52" s="51">
        <f>SUM(DD44:DD51)</f>
        <v/>
      </c>
      <c r="DE52" s="51">
        <f>SUM(DE44:DE51)</f>
        <v/>
      </c>
      <c r="DF52" s="51">
        <f>SUM(DF44:DF51)</f>
        <v/>
      </c>
      <c r="DG52" s="51">
        <f>SUM(DG44:DG51)</f>
        <v/>
      </c>
      <c r="DH52" s="51">
        <f>SUM(DH44:DH51)</f>
        <v/>
      </c>
      <c r="DI52" s="51">
        <f>SUM(DI44:DI51)</f>
        <v/>
      </c>
      <c r="DJ52" s="51">
        <f>SUM(DJ44:DJ51)</f>
        <v/>
      </c>
      <c r="DK52" s="51">
        <f>SUM(DK44:DK51)</f>
        <v/>
      </c>
      <c r="DL52" s="51">
        <f>SUM(DL44:DL51)</f>
        <v/>
      </c>
      <c r="DM52" s="51">
        <f>SUM(DM44:DM51)</f>
        <v/>
      </c>
      <c r="DN52" s="51">
        <f>SUM(DN44:DN51)</f>
        <v/>
      </c>
      <c r="DO52" s="51">
        <f>SUM(DO44:DO51)</f>
        <v/>
      </c>
      <c r="DP52" s="51">
        <f>SUM(DP44:DP51)</f>
        <v/>
      </c>
      <c r="DQ52" s="51">
        <f>SUM(DQ44:DQ51)</f>
        <v/>
      </c>
      <c r="DR52" s="51">
        <f>SUM(DR44:DR51)</f>
        <v/>
      </c>
    </row>
    <row r="53" ht="4.5" customHeight="1"/>
    <row r="54" ht="15" customHeight="1">
      <c r="B54" s="44" t="inlineStr">
        <is>
          <t>Other Expenses</t>
        </is>
      </c>
    </row>
    <row r="55" ht="15.75" customHeight="1">
      <c r="B55" s="5" t="inlineStr">
        <is>
          <t>Other Income / Expenses</t>
        </is>
      </c>
      <c r="F55" s="46">
        <f>+SUMIFS($AA55:$DR55,$AA$7:$DR$7,F$7)</f>
        <v/>
      </c>
      <c r="G55" s="46">
        <f>+SUMIFS($AA55:$DR55,$AA$7:$DR$7,G$7)</f>
        <v/>
      </c>
      <c r="H55" s="46">
        <f>+SUMIFS($AA55:$DR55,$AA$7:$DR$7,H$7)</f>
        <v/>
      </c>
      <c r="I55" s="46">
        <f>+SUMIFS($AA55:$DR55,$AA$7:$DR$7,I$7)</f>
        <v/>
      </c>
      <c r="J55" s="46">
        <f>+SUMIFS($AA55:$DR55,$AA$7:$DR$7,J$7)</f>
        <v/>
      </c>
      <c r="K55" s="46">
        <f>+SUMIFS($AA55:$DR55,$AA$7:$DR$7,K$7)</f>
        <v/>
      </c>
      <c r="L55" s="46">
        <f>+SUMIFS($AA55:$DR55,$AA$7:$DR$7,L$7)</f>
        <v/>
      </c>
      <c r="M55" s="46">
        <f>+SUMIFS($AA55:$DR55,$AA$7:$DR$7,M$7)</f>
        <v/>
      </c>
      <c r="AA55" s="47" t="n">
        <v>54.2264079</v>
      </c>
      <c r="AB55" s="47" t="n">
        <v>3.318417900000004</v>
      </c>
      <c r="AC55" s="47" t="n">
        <v>46.6136279</v>
      </c>
      <c r="AD55" s="47" t="n">
        <v>2.757087899999992</v>
      </c>
      <c r="AE55" s="47" t="n">
        <v>30.8307379</v>
      </c>
      <c r="AF55" s="47" t="n">
        <v>11.3508879</v>
      </c>
      <c r="AG55" s="47" t="n">
        <v>35.8727179</v>
      </c>
      <c r="AH55" s="47" t="n">
        <v>20.71499789999997</v>
      </c>
      <c r="AI55" s="47" t="n">
        <v>39.21924790000002</v>
      </c>
      <c r="AJ55" s="47" t="n">
        <v>3.041977899999995</v>
      </c>
      <c r="AK55" s="47" t="n">
        <v>60.17740790000003</v>
      </c>
      <c r="AL55" s="47" t="n">
        <v>-220.3733621</v>
      </c>
      <c r="AM55" s="47" t="n">
        <v>17.97351384000001</v>
      </c>
      <c r="AN55" s="47" t="n">
        <v>25.82085384</v>
      </c>
      <c r="AO55" s="47" t="n">
        <v>23.48167383999999</v>
      </c>
      <c r="AP55" s="47" t="n">
        <v>8.540167680000012</v>
      </c>
      <c r="AQ55" s="47" t="n">
        <v>3.155557680000003</v>
      </c>
      <c r="AR55" s="47" t="n">
        <v>21.76547768000001</v>
      </c>
      <c r="AS55" s="47" t="n">
        <v>-22.27014579999997</v>
      </c>
      <c r="AT55" s="47" t="n">
        <v>21.7004142</v>
      </c>
      <c r="AU55" s="47" t="n">
        <v>23.2023742</v>
      </c>
      <c r="AV55" s="47" t="n">
        <v>34.16273072000001</v>
      </c>
      <c r="AW55" s="47" t="n">
        <v>28.48469071999999</v>
      </c>
      <c r="AX55" s="47" t="n">
        <v>-14.08966927999973</v>
      </c>
      <c r="AY55" s="47" t="n">
        <v>33.53318618</v>
      </c>
      <c r="AZ55" s="47" t="n">
        <v>30.73096653999998</v>
      </c>
      <c r="BA55" s="47" t="n">
        <v>38.4630901</v>
      </c>
      <c r="BB55" s="47" t="n">
        <v>33.70924010000001</v>
      </c>
      <c r="BC55" s="47" t="n">
        <v>42.07664009999999</v>
      </c>
      <c r="BD55" s="47" t="n">
        <v>18.8366101</v>
      </c>
      <c r="BE55" s="47" t="n">
        <v>27.92847262000001</v>
      </c>
      <c r="BF55" s="47" t="n">
        <v>38.73796057999998</v>
      </c>
      <c r="BG55" s="47" t="n">
        <v>36.13794504000001</v>
      </c>
      <c r="BH55" s="47" t="n">
        <v>27.92692008000001</v>
      </c>
      <c r="BI55" s="47" t="n">
        <v>29.06623007999998</v>
      </c>
      <c r="BJ55" s="47" t="n">
        <v>262.60796008</v>
      </c>
      <c r="BK55" s="48">
        <f>+SUMIFS(Opex_Assumptions!$F40:$M40,Opex_Assumptions!$F$7:$M$7,BK$7)/12</f>
        <v/>
      </c>
      <c r="BL55" s="48">
        <f>+SUMIFS(Opex_Assumptions!$F40:$M40,Opex_Assumptions!$F$7:$M$7,BL$7)/12</f>
        <v/>
      </c>
      <c r="BM55" s="48">
        <f>+SUMIFS(Opex_Assumptions!$F40:$M40,Opex_Assumptions!$F$7:$M$7,BM$7)/12</f>
        <v/>
      </c>
      <c r="BN55" s="48">
        <f>+SUMIFS(Opex_Assumptions!$F40:$M40,Opex_Assumptions!$F$7:$M$7,BN$7)/12</f>
        <v/>
      </c>
      <c r="BO55" s="48">
        <f>+SUMIFS(Opex_Assumptions!$F40:$M40,Opex_Assumptions!$F$7:$M$7,BO$7)/12</f>
        <v/>
      </c>
      <c r="BP55" s="48">
        <f>+SUMIFS(Opex_Assumptions!$F40:$M40,Opex_Assumptions!$F$7:$M$7,BP$7)/12</f>
        <v/>
      </c>
      <c r="BQ55" s="48">
        <f>+SUMIFS(Opex_Assumptions!$F40:$M40,Opex_Assumptions!$F$7:$M$7,BQ$7)/12</f>
        <v/>
      </c>
      <c r="BR55" s="48">
        <f>+SUMIFS(Opex_Assumptions!$F40:$M40,Opex_Assumptions!$F$7:$M$7,BR$7)/12</f>
        <v/>
      </c>
      <c r="BS55" s="48">
        <f>+SUMIFS(Opex_Assumptions!$F40:$M40,Opex_Assumptions!$F$7:$M$7,BS$7)/12</f>
        <v/>
      </c>
      <c r="BT55" s="48">
        <f>+SUMIFS(Opex_Assumptions!$F40:$M40,Opex_Assumptions!$F$7:$M$7,BT$7)/12</f>
        <v/>
      </c>
      <c r="BU55" s="48">
        <f>+SUMIFS(Opex_Assumptions!$F40:$M40,Opex_Assumptions!$F$7:$M$7,BU$7)/12</f>
        <v/>
      </c>
      <c r="BV55" s="48">
        <f>+SUMIFS(Opex_Assumptions!$F40:$M40,Opex_Assumptions!$F$7:$M$7,BV$7)/12</f>
        <v/>
      </c>
      <c r="BW55" s="48">
        <f>+SUMIFS(Opex_Assumptions!$F40:$M40,Opex_Assumptions!$F$7:$M$7,BW$7)/12</f>
        <v/>
      </c>
      <c r="BX55" s="48">
        <f>+SUMIFS(Opex_Assumptions!$F40:$M40,Opex_Assumptions!$F$7:$M$7,BX$7)/12</f>
        <v/>
      </c>
      <c r="BY55" s="48">
        <f>+SUMIFS(Opex_Assumptions!$F40:$M40,Opex_Assumptions!$F$7:$M$7,BY$7)/12</f>
        <v/>
      </c>
      <c r="BZ55" s="48">
        <f>+SUMIFS(Opex_Assumptions!$F40:$M40,Opex_Assumptions!$F$7:$M$7,BZ$7)/12</f>
        <v/>
      </c>
      <c r="CA55" s="48">
        <f>+SUMIFS(Opex_Assumptions!$F40:$M40,Opex_Assumptions!$F$7:$M$7,CA$7)/12</f>
        <v/>
      </c>
      <c r="CB55" s="48">
        <f>+SUMIFS(Opex_Assumptions!$F40:$M40,Opex_Assumptions!$F$7:$M$7,CB$7)/12</f>
        <v/>
      </c>
      <c r="CC55" s="48">
        <f>+SUMIFS(Opex_Assumptions!$F40:$M40,Opex_Assumptions!$F$7:$M$7,CC$7)/12</f>
        <v/>
      </c>
      <c r="CD55" s="48">
        <f>+SUMIFS(Opex_Assumptions!$F40:$M40,Opex_Assumptions!$F$7:$M$7,CD$7)/12</f>
        <v/>
      </c>
      <c r="CE55" s="48">
        <f>+SUMIFS(Opex_Assumptions!$F40:$M40,Opex_Assumptions!$F$7:$M$7,CE$7)/12</f>
        <v/>
      </c>
      <c r="CF55" s="48">
        <f>+SUMIFS(Opex_Assumptions!$F40:$M40,Opex_Assumptions!$F$7:$M$7,CF$7)/12</f>
        <v/>
      </c>
      <c r="CG55" s="48">
        <f>+SUMIFS(Opex_Assumptions!$F40:$M40,Opex_Assumptions!$F$7:$M$7,CG$7)/12</f>
        <v/>
      </c>
      <c r="CH55" s="48">
        <f>+SUMIFS(Opex_Assumptions!$F40:$M40,Opex_Assumptions!$F$7:$M$7,CH$7)/12</f>
        <v/>
      </c>
      <c r="CI55" s="48">
        <f>+SUMIFS(Opex_Assumptions!$F40:$M40,Opex_Assumptions!$F$7:$M$7,CI$7)/12</f>
        <v/>
      </c>
      <c r="CJ55" s="48">
        <f>+SUMIFS(Opex_Assumptions!$F40:$M40,Opex_Assumptions!$F$7:$M$7,CJ$7)/12</f>
        <v/>
      </c>
      <c r="CK55" s="48">
        <f>+SUMIFS(Opex_Assumptions!$F40:$M40,Opex_Assumptions!$F$7:$M$7,CK$7)/12</f>
        <v/>
      </c>
      <c r="CL55" s="48">
        <f>+SUMIFS(Opex_Assumptions!$F40:$M40,Opex_Assumptions!$F$7:$M$7,CL$7)/12</f>
        <v/>
      </c>
      <c r="CM55" s="48">
        <f>+SUMIFS(Opex_Assumptions!$F40:$M40,Opex_Assumptions!$F$7:$M$7,CM$7)/12</f>
        <v/>
      </c>
      <c r="CN55" s="48">
        <f>+SUMIFS(Opex_Assumptions!$F40:$M40,Opex_Assumptions!$F$7:$M$7,CN$7)/12</f>
        <v/>
      </c>
      <c r="CO55" s="48">
        <f>+SUMIFS(Opex_Assumptions!$F40:$M40,Opex_Assumptions!$F$7:$M$7,CO$7)/12</f>
        <v/>
      </c>
      <c r="CP55" s="48">
        <f>+SUMIFS(Opex_Assumptions!$F40:$M40,Opex_Assumptions!$F$7:$M$7,CP$7)/12</f>
        <v/>
      </c>
      <c r="CQ55" s="48">
        <f>+SUMIFS(Opex_Assumptions!$F40:$M40,Opex_Assumptions!$F$7:$M$7,CQ$7)/12</f>
        <v/>
      </c>
      <c r="CR55" s="48">
        <f>+SUMIFS(Opex_Assumptions!$F40:$M40,Opex_Assumptions!$F$7:$M$7,CR$7)/12</f>
        <v/>
      </c>
      <c r="CS55" s="48">
        <f>+SUMIFS(Opex_Assumptions!$F40:$M40,Opex_Assumptions!$F$7:$M$7,CS$7)/12</f>
        <v/>
      </c>
      <c r="CT55" s="48">
        <f>+SUMIFS(Opex_Assumptions!$F40:$M40,Opex_Assumptions!$F$7:$M$7,CT$7)/12</f>
        <v/>
      </c>
      <c r="CU55" s="48">
        <f>+SUMIFS(Opex_Assumptions!$F40:$M40,Opex_Assumptions!$F$7:$M$7,CU$7)/12</f>
        <v/>
      </c>
      <c r="CV55" s="48">
        <f>+SUMIFS(Opex_Assumptions!$F40:$M40,Opex_Assumptions!$F$7:$M$7,CV$7)/12</f>
        <v/>
      </c>
      <c r="CW55" s="48">
        <f>+SUMIFS(Opex_Assumptions!$F40:$M40,Opex_Assumptions!$F$7:$M$7,CW$7)/12</f>
        <v/>
      </c>
      <c r="CX55" s="48">
        <f>+SUMIFS(Opex_Assumptions!$F40:$M40,Opex_Assumptions!$F$7:$M$7,CX$7)/12</f>
        <v/>
      </c>
      <c r="CY55" s="48">
        <f>+SUMIFS(Opex_Assumptions!$F40:$M40,Opex_Assumptions!$F$7:$M$7,CY$7)/12</f>
        <v/>
      </c>
      <c r="CZ55" s="48">
        <f>+SUMIFS(Opex_Assumptions!$F40:$M40,Opex_Assumptions!$F$7:$M$7,CZ$7)/12</f>
        <v/>
      </c>
      <c r="DA55" s="48">
        <f>+SUMIFS(Opex_Assumptions!$F40:$M40,Opex_Assumptions!$F$7:$M$7,DA$7)/12</f>
        <v/>
      </c>
      <c r="DB55" s="48">
        <f>+SUMIFS(Opex_Assumptions!$F40:$M40,Opex_Assumptions!$F$7:$M$7,DB$7)/12</f>
        <v/>
      </c>
      <c r="DC55" s="48">
        <f>+SUMIFS(Opex_Assumptions!$F40:$M40,Opex_Assumptions!$F$7:$M$7,DC$7)/12</f>
        <v/>
      </c>
      <c r="DD55" s="48">
        <f>+SUMIFS(Opex_Assumptions!$F40:$M40,Opex_Assumptions!$F$7:$M$7,DD$7)/12</f>
        <v/>
      </c>
      <c r="DE55" s="48">
        <f>+SUMIFS(Opex_Assumptions!$F40:$M40,Opex_Assumptions!$F$7:$M$7,DE$7)/12</f>
        <v/>
      </c>
      <c r="DF55" s="48">
        <f>+SUMIFS(Opex_Assumptions!$F40:$M40,Opex_Assumptions!$F$7:$M$7,DF$7)/12</f>
        <v/>
      </c>
      <c r="DG55" s="48">
        <f>+SUMIFS(Opex_Assumptions!$F40:$M40,Opex_Assumptions!$F$7:$M$7,DG$7)/12</f>
        <v/>
      </c>
      <c r="DH55" s="48">
        <f>+SUMIFS(Opex_Assumptions!$F40:$M40,Opex_Assumptions!$F$7:$M$7,DH$7)/12</f>
        <v/>
      </c>
      <c r="DI55" s="48">
        <f>+SUMIFS(Opex_Assumptions!$F40:$M40,Opex_Assumptions!$F$7:$M$7,DI$7)/12</f>
        <v/>
      </c>
      <c r="DJ55" s="48">
        <f>+SUMIFS(Opex_Assumptions!$F40:$M40,Opex_Assumptions!$F$7:$M$7,DJ$7)/12</f>
        <v/>
      </c>
      <c r="DK55" s="48">
        <f>+SUMIFS(Opex_Assumptions!$F40:$M40,Opex_Assumptions!$F$7:$M$7,DK$7)/12</f>
        <v/>
      </c>
      <c r="DL55" s="48">
        <f>+SUMIFS(Opex_Assumptions!$F40:$M40,Opex_Assumptions!$F$7:$M$7,DL$7)/12</f>
        <v/>
      </c>
      <c r="DM55" s="48">
        <f>+SUMIFS(Opex_Assumptions!$F40:$M40,Opex_Assumptions!$F$7:$M$7,DM$7)/12</f>
        <v/>
      </c>
      <c r="DN55" s="48">
        <f>+SUMIFS(Opex_Assumptions!$F40:$M40,Opex_Assumptions!$F$7:$M$7,DN$7)/12</f>
        <v/>
      </c>
      <c r="DO55" s="48">
        <f>+SUMIFS(Opex_Assumptions!$F40:$M40,Opex_Assumptions!$F$7:$M$7,DO$7)/12</f>
        <v/>
      </c>
      <c r="DP55" s="48">
        <f>+SUMIFS(Opex_Assumptions!$F40:$M40,Opex_Assumptions!$F$7:$M$7,DP$7)/12</f>
        <v/>
      </c>
      <c r="DQ55" s="48">
        <f>+SUMIFS(Opex_Assumptions!$F40:$M40,Opex_Assumptions!$F$7:$M$7,DQ$7)/12</f>
        <v/>
      </c>
      <c r="DR55" s="48">
        <f>+SUMIFS(Opex_Assumptions!$F40:$M40,Opex_Assumptions!$F$7:$M$7,DR$7)/12</f>
        <v/>
      </c>
    </row>
    <row r="56" ht="15.75" customHeight="1">
      <c r="B56" s="5" t="inlineStr">
        <is>
          <t>Eligible Costs for Capitalization</t>
        </is>
      </c>
      <c r="F56" s="46">
        <f>+SUMIFS($AA56:$DR56,$AA$7:$DR$7,F$7)</f>
        <v/>
      </c>
      <c r="G56" s="46">
        <f>+SUMIFS($AA56:$DR56,$AA$7:$DR$7,G$7)</f>
        <v/>
      </c>
      <c r="H56" s="46">
        <f>+SUMIFS($AA56:$DR56,$AA$7:$DR$7,H$7)</f>
        <v/>
      </c>
      <c r="I56" s="46">
        <f>+SUMIFS($AA56:$DR56,$AA$7:$DR$7,I$7)</f>
        <v/>
      </c>
      <c r="J56" s="46">
        <f>+SUMIFS($AA56:$DR56,$AA$7:$DR$7,J$7)</f>
        <v/>
      </c>
      <c r="K56" s="46">
        <f>+SUMIFS($AA56:$DR56,$AA$7:$DR$7,K$7)</f>
        <v/>
      </c>
      <c r="L56" s="46">
        <f>+SUMIFS($AA56:$DR56,$AA$7:$DR$7,L$7)</f>
        <v/>
      </c>
      <c r="M56" s="46">
        <f>+SUMIFS($AA56:$DR56,$AA$7:$DR$7,M$7)</f>
        <v/>
      </c>
      <c r="AA56" s="47" t="n">
        <v>46.89336047385954</v>
      </c>
      <c r="AB56" s="47" t="n">
        <v>50.69620980151429</v>
      </c>
      <c r="AC56" s="47" t="n">
        <v>74.86045577335635</v>
      </c>
      <c r="AD56" s="47" t="n">
        <v>65.99562377732809</v>
      </c>
      <c r="AE56" s="47" t="n">
        <v>58.54941842813237</v>
      </c>
      <c r="AF56" s="47" t="n">
        <v>65.45095869338115</v>
      </c>
      <c r="AG56" s="47" t="n">
        <v>49.27466283846963</v>
      </c>
      <c r="AH56" s="47" t="n">
        <v>53.72047743285368</v>
      </c>
      <c r="AI56" s="47" t="n">
        <v>44.83690871845884</v>
      </c>
      <c r="AJ56" s="47" t="n">
        <v>45.44994073230672</v>
      </c>
      <c r="AK56" s="47" t="n">
        <v>53.11617665645229</v>
      </c>
      <c r="AL56" s="47" t="n">
        <v>38.75452650003437</v>
      </c>
      <c r="AM56" s="47" t="n">
        <v>19.28316645972274</v>
      </c>
      <c r="AN56" s="47" t="n">
        <v>57.25944438935861</v>
      </c>
      <c r="AO56" s="47" t="n">
        <v>46.46294731321108</v>
      </c>
      <c r="AP56" s="47" t="n">
        <v>36.78489556514543</v>
      </c>
      <c r="AQ56" s="47" t="n">
        <v>26.95609500045401</v>
      </c>
      <c r="AR56" s="47" t="n">
        <v>59.60777119286598</v>
      </c>
      <c r="AS56" s="47" t="n">
        <v>51.72249853916828</v>
      </c>
      <c r="AT56" s="47" t="n">
        <v>83.05356896370515</v>
      </c>
      <c r="AU56" s="47" t="n">
        <v>102.0085637008845</v>
      </c>
      <c r="AV56" s="47" t="n">
        <v>89.18476293491892</v>
      </c>
      <c r="AW56" s="47" t="n">
        <v>81.91021605428722</v>
      </c>
      <c r="AX56" s="47" t="n">
        <v>82.88438485753694</v>
      </c>
      <c r="AY56" s="47" t="n">
        <v>89.93270317784467</v>
      </c>
      <c r="AZ56" s="47" t="n">
        <v>81.99282642286801</v>
      </c>
      <c r="BA56" s="47" t="n">
        <v>65.14768758571357</v>
      </c>
      <c r="BB56" s="47" t="n">
        <v>77.07592449217435</v>
      </c>
      <c r="BC56" s="47" t="n">
        <v>66.16632394936467</v>
      </c>
      <c r="BD56" s="47" t="n">
        <v>90.31581314502029</v>
      </c>
      <c r="BE56" s="47" t="n">
        <v>61.10629868440756</v>
      </c>
      <c r="BF56" s="47" t="n">
        <v>54.90430820375185</v>
      </c>
      <c r="BG56" s="47" t="n">
        <v>43.68390949794698</v>
      </c>
      <c r="BH56" s="47" t="n">
        <v>49.37536798047877</v>
      </c>
      <c r="BI56" s="47" t="n">
        <v>49.2960450914452</v>
      </c>
      <c r="BJ56" s="47" t="n">
        <v>32.28996102796704</v>
      </c>
      <c r="BK56" s="48">
        <f>+SUMIFS(Opex_Assumptions!$F41:$M41,Opex_Assumptions!$F$7:$M$7,BK$7)/12</f>
        <v/>
      </c>
      <c r="BL56" s="48">
        <f>+SUMIFS(Opex_Assumptions!$F41:$M41,Opex_Assumptions!$F$7:$M$7,BL$7)/12</f>
        <v/>
      </c>
      <c r="BM56" s="48">
        <f>+SUMIFS(Opex_Assumptions!$F41:$M41,Opex_Assumptions!$F$7:$M$7,BM$7)/12</f>
        <v/>
      </c>
      <c r="BN56" s="48">
        <f>+SUMIFS(Opex_Assumptions!$F41:$M41,Opex_Assumptions!$F$7:$M$7,BN$7)/12</f>
        <v/>
      </c>
      <c r="BO56" s="48">
        <f>+SUMIFS(Opex_Assumptions!$F41:$M41,Opex_Assumptions!$F$7:$M$7,BO$7)/12</f>
        <v/>
      </c>
      <c r="BP56" s="48">
        <f>+SUMIFS(Opex_Assumptions!$F41:$M41,Opex_Assumptions!$F$7:$M$7,BP$7)/12</f>
        <v/>
      </c>
      <c r="BQ56" s="48">
        <f>+SUMIFS(Opex_Assumptions!$F41:$M41,Opex_Assumptions!$F$7:$M$7,BQ$7)/12</f>
        <v/>
      </c>
      <c r="BR56" s="48">
        <f>+SUMIFS(Opex_Assumptions!$F41:$M41,Opex_Assumptions!$F$7:$M$7,BR$7)/12</f>
        <v/>
      </c>
      <c r="BS56" s="48">
        <f>+SUMIFS(Opex_Assumptions!$F41:$M41,Opex_Assumptions!$F$7:$M$7,BS$7)/12</f>
        <v/>
      </c>
      <c r="BT56" s="48">
        <f>+SUMIFS(Opex_Assumptions!$F41:$M41,Opex_Assumptions!$F$7:$M$7,BT$7)/12</f>
        <v/>
      </c>
      <c r="BU56" s="48">
        <f>+SUMIFS(Opex_Assumptions!$F41:$M41,Opex_Assumptions!$F$7:$M$7,BU$7)/12</f>
        <v/>
      </c>
      <c r="BV56" s="48">
        <f>+SUMIFS(Opex_Assumptions!$F41:$M41,Opex_Assumptions!$F$7:$M$7,BV$7)/12</f>
        <v/>
      </c>
      <c r="BW56" s="48">
        <f>+SUMIFS(Opex_Assumptions!$F41:$M41,Opex_Assumptions!$F$7:$M$7,BW$7)/12</f>
        <v/>
      </c>
      <c r="BX56" s="48">
        <f>+SUMIFS(Opex_Assumptions!$F41:$M41,Opex_Assumptions!$F$7:$M$7,BX$7)/12</f>
        <v/>
      </c>
      <c r="BY56" s="48">
        <f>+SUMIFS(Opex_Assumptions!$F41:$M41,Opex_Assumptions!$F$7:$M$7,BY$7)/12</f>
        <v/>
      </c>
      <c r="BZ56" s="48">
        <f>+SUMIFS(Opex_Assumptions!$F41:$M41,Opex_Assumptions!$F$7:$M$7,BZ$7)/12</f>
        <v/>
      </c>
      <c r="CA56" s="48">
        <f>+SUMIFS(Opex_Assumptions!$F41:$M41,Opex_Assumptions!$F$7:$M$7,CA$7)/12</f>
        <v/>
      </c>
      <c r="CB56" s="48">
        <f>+SUMIFS(Opex_Assumptions!$F41:$M41,Opex_Assumptions!$F$7:$M$7,CB$7)/12</f>
        <v/>
      </c>
      <c r="CC56" s="48">
        <f>+SUMIFS(Opex_Assumptions!$F41:$M41,Opex_Assumptions!$F$7:$M$7,CC$7)/12</f>
        <v/>
      </c>
      <c r="CD56" s="48">
        <f>+SUMIFS(Opex_Assumptions!$F41:$M41,Opex_Assumptions!$F$7:$M$7,CD$7)/12</f>
        <v/>
      </c>
      <c r="CE56" s="48">
        <f>+SUMIFS(Opex_Assumptions!$F41:$M41,Opex_Assumptions!$F$7:$M$7,CE$7)/12</f>
        <v/>
      </c>
      <c r="CF56" s="48">
        <f>+SUMIFS(Opex_Assumptions!$F41:$M41,Opex_Assumptions!$F$7:$M$7,CF$7)/12</f>
        <v/>
      </c>
      <c r="CG56" s="48">
        <f>+SUMIFS(Opex_Assumptions!$F41:$M41,Opex_Assumptions!$F$7:$M$7,CG$7)/12</f>
        <v/>
      </c>
      <c r="CH56" s="48">
        <f>+SUMIFS(Opex_Assumptions!$F41:$M41,Opex_Assumptions!$F$7:$M$7,CH$7)/12</f>
        <v/>
      </c>
      <c r="CI56" s="48">
        <f>+SUMIFS(Opex_Assumptions!$F41:$M41,Opex_Assumptions!$F$7:$M$7,CI$7)/12</f>
        <v/>
      </c>
      <c r="CJ56" s="48">
        <f>+SUMIFS(Opex_Assumptions!$F41:$M41,Opex_Assumptions!$F$7:$M$7,CJ$7)/12</f>
        <v/>
      </c>
      <c r="CK56" s="48">
        <f>+SUMIFS(Opex_Assumptions!$F41:$M41,Opex_Assumptions!$F$7:$M$7,CK$7)/12</f>
        <v/>
      </c>
      <c r="CL56" s="48">
        <f>+SUMIFS(Opex_Assumptions!$F41:$M41,Opex_Assumptions!$F$7:$M$7,CL$7)/12</f>
        <v/>
      </c>
      <c r="CM56" s="48">
        <f>+SUMIFS(Opex_Assumptions!$F41:$M41,Opex_Assumptions!$F$7:$M$7,CM$7)/12</f>
        <v/>
      </c>
      <c r="CN56" s="48">
        <f>+SUMIFS(Opex_Assumptions!$F41:$M41,Opex_Assumptions!$F$7:$M$7,CN$7)/12</f>
        <v/>
      </c>
      <c r="CO56" s="48">
        <f>+SUMIFS(Opex_Assumptions!$F41:$M41,Opex_Assumptions!$F$7:$M$7,CO$7)/12</f>
        <v/>
      </c>
      <c r="CP56" s="48">
        <f>+SUMIFS(Opex_Assumptions!$F41:$M41,Opex_Assumptions!$F$7:$M$7,CP$7)/12</f>
        <v/>
      </c>
      <c r="CQ56" s="48">
        <f>+SUMIFS(Opex_Assumptions!$F41:$M41,Opex_Assumptions!$F$7:$M$7,CQ$7)/12</f>
        <v/>
      </c>
      <c r="CR56" s="48">
        <f>+SUMIFS(Opex_Assumptions!$F41:$M41,Opex_Assumptions!$F$7:$M$7,CR$7)/12</f>
        <v/>
      </c>
      <c r="CS56" s="48">
        <f>+SUMIFS(Opex_Assumptions!$F41:$M41,Opex_Assumptions!$F$7:$M$7,CS$7)/12</f>
        <v/>
      </c>
      <c r="CT56" s="48">
        <f>+SUMIFS(Opex_Assumptions!$F41:$M41,Opex_Assumptions!$F$7:$M$7,CT$7)/12</f>
        <v/>
      </c>
      <c r="CU56" s="48">
        <f>+SUMIFS(Opex_Assumptions!$F41:$M41,Opex_Assumptions!$F$7:$M$7,CU$7)/12</f>
        <v/>
      </c>
      <c r="CV56" s="48">
        <f>+SUMIFS(Opex_Assumptions!$F41:$M41,Opex_Assumptions!$F$7:$M$7,CV$7)/12</f>
        <v/>
      </c>
      <c r="CW56" s="48">
        <f>+SUMIFS(Opex_Assumptions!$F41:$M41,Opex_Assumptions!$F$7:$M$7,CW$7)/12</f>
        <v/>
      </c>
      <c r="CX56" s="48">
        <f>+SUMIFS(Opex_Assumptions!$F41:$M41,Opex_Assumptions!$F$7:$M$7,CX$7)/12</f>
        <v/>
      </c>
      <c r="CY56" s="48">
        <f>+SUMIFS(Opex_Assumptions!$F41:$M41,Opex_Assumptions!$F$7:$M$7,CY$7)/12</f>
        <v/>
      </c>
      <c r="CZ56" s="48">
        <f>+SUMIFS(Opex_Assumptions!$F41:$M41,Opex_Assumptions!$F$7:$M$7,CZ$7)/12</f>
        <v/>
      </c>
      <c r="DA56" s="48">
        <f>+SUMIFS(Opex_Assumptions!$F41:$M41,Opex_Assumptions!$F$7:$M$7,DA$7)/12</f>
        <v/>
      </c>
      <c r="DB56" s="48">
        <f>+SUMIFS(Opex_Assumptions!$F41:$M41,Opex_Assumptions!$F$7:$M$7,DB$7)/12</f>
        <v/>
      </c>
      <c r="DC56" s="48">
        <f>+SUMIFS(Opex_Assumptions!$F41:$M41,Opex_Assumptions!$F$7:$M$7,DC$7)/12</f>
        <v/>
      </c>
      <c r="DD56" s="48">
        <f>+SUMIFS(Opex_Assumptions!$F41:$M41,Opex_Assumptions!$F$7:$M$7,DD$7)/12</f>
        <v/>
      </c>
      <c r="DE56" s="48">
        <f>+SUMIFS(Opex_Assumptions!$F41:$M41,Opex_Assumptions!$F$7:$M$7,DE$7)/12</f>
        <v/>
      </c>
      <c r="DF56" s="48">
        <f>+SUMIFS(Opex_Assumptions!$F41:$M41,Opex_Assumptions!$F$7:$M$7,DF$7)/12</f>
        <v/>
      </c>
      <c r="DG56" s="48">
        <f>+SUMIFS(Opex_Assumptions!$F41:$M41,Opex_Assumptions!$F$7:$M$7,DG$7)/12</f>
        <v/>
      </c>
      <c r="DH56" s="48">
        <f>+SUMIFS(Opex_Assumptions!$F41:$M41,Opex_Assumptions!$F$7:$M$7,DH$7)/12</f>
        <v/>
      </c>
      <c r="DI56" s="48">
        <f>+SUMIFS(Opex_Assumptions!$F41:$M41,Opex_Assumptions!$F$7:$M$7,DI$7)/12</f>
        <v/>
      </c>
      <c r="DJ56" s="48">
        <f>+SUMIFS(Opex_Assumptions!$F41:$M41,Opex_Assumptions!$F$7:$M$7,DJ$7)/12</f>
        <v/>
      </c>
      <c r="DK56" s="48">
        <f>+SUMIFS(Opex_Assumptions!$F41:$M41,Opex_Assumptions!$F$7:$M$7,DK$7)/12</f>
        <v/>
      </c>
      <c r="DL56" s="48">
        <f>+SUMIFS(Opex_Assumptions!$F41:$M41,Opex_Assumptions!$F$7:$M$7,DL$7)/12</f>
        <v/>
      </c>
      <c r="DM56" s="48">
        <f>+SUMIFS(Opex_Assumptions!$F41:$M41,Opex_Assumptions!$F$7:$M$7,DM$7)/12</f>
        <v/>
      </c>
      <c r="DN56" s="48">
        <f>+SUMIFS(Opex_Assumptions!$F41:$M41,Opex_Assumptions!$F$7:$M$7,DN$7)/12</f>
        <v/>
      </c>
      <c r="DO56" s="48">
        <f>+SUMIFS(Opex_Assumptions!$F41:$M41,Opex_Assumptions!$F$7:$M$7,DO$7)/12</f>
        <v/>
      </c>
      <c r="DP56" s="48">
        <f>+SUMIFS(Opex_Assumptions!$F41:$M41,Opex_Assumptions!$F$7:$M$7,DP$7)/12</f>
        <v/>
      </c>
      <c r="DQ56" s="48">
        <f>+SUMIFS(Opex_Assumptions!$F41:$M41,Opex_Assumptions!$F$7:$M$7,DQ$7)/12</f>
        <v/>
      </c>
      <c r="DR56" s="48">
        <f>+SUMIFS(Opex_Assumptions!$F41:$M41,Opex_Assumptions!$F$7:$M$7,DR$7)/12</f>
        <v/>
      </c>
    </row>
    <row r="57" ht="15.75" customHeight="1"/>
    <row r="58" ht="15.75" customHeight="1">
      <c r="B58" s="66" t="inlineStr">
        <is>
          <t>Note: (1) Includes Full Time Contractors</t>
        </is>
      </c>
      <c r="I58" s="46" t="n"/>
    </row>
    <row r="59" ht="15.75" customHeight="1">
      <c r="I59" s="69" t="n"/>
      <c r="AA59" s="46" t="n"/>
      <c r="AB59" s="46" t="n"/>
      <c r="AC59" s="46" t="n"/>
    </row>
    <row r="60" ht="15.75" customHeight="1">
      <c r="AA60" s="46" t="n"/>
      <c r="AB60" s="46" t="n"/>
      <c r="AC60" s="46" t="n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U47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.5703125" customWidth="1" min="1" max="1"/>
    <col width="36.140625" customWidth="1" min="2" max="2"/>
    <col width="10.5703125" customWidth="1" min="3" max="3"/>
    <col width="2.5703125" customWidth="1" min="4" max="4"/>
    <col hidden="1" width="12.5703125" customWidth="1" min="5" max="13"/>
    <col hidden="1" width="2.5703125" customWidth="1" min="14" max="14"/>
    <col hidden="1" width="12.5703125" customWidth="1" min="15" max="65"/>
    <col hidden="1" width="2.5703125" customWidth="1" min="66" max="68"/>
    <col width="12.5703125" customWidth="1" min="69" max="122"/>
    <col width="2.5703125" customWidth="1" min="123" max="123"/>
    <col width="12.5703125" customWidth="1" min="124" max="125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  <c r="DS2" s="130" t="n"/>
      <c r="DT2" s="130" t="n"/>
      <c r="DU2" s="130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  <c r="DS3" s="130" t="n"/>
      <c r="DT3" s="130" t="n"/>
      <c r="DU3" s="130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130" t="n"/>
      <c r="DT4" s="130" t="n"/>
      <c r="DU4" s="130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  <c r="DS5" s="130" t="n"/>
      <c r="DT5" s="130" t="n"/>
      <c r="DU5" s="130" t="n"/>
    </row>
    <row r="6" ht="4.5" customHeight="1"/>
    <row r="7">
      <c r="B7" s="34" t="n"/>
      <c r="C7" s="34" t="n"/>
      <c r="D7" s="66" t="n"/>
      <c r="E7" s="36" t="n">
        <v>2018</v>
      </c>
      <c r="F7" s="36">
        <f>+E7+1</f>
        <v/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  <c r="O7" s="36">
        <f>+YEAR(O8)</f>
        <v/>
      </c>
      <c r="P7" s="36">
        <f>+YEAR(P8)</f>
        <v/>
      </c>
      <c r="Q7" s="36">
        <f>+YEAR(Q8)</f>
        <v/>
      </c>
      <c r="R7" s="36">
        <f>+YEAR(R8)</f>
        <v/>
      </c>
      <c r="S7" s="36">
        <f>+YEAR(S8)</f>
        <v/>
      </c>
      <c r="T7" s="36">
        <f>+YEAR(T8)</f>
        <v/>
      </c>
      <c r="U7" s="36">
        <f>+YEAR(U8)</f>
        <v/>
      </c>
      <c r="V7" s="36">
        <f>+YEAR(V8)</f>
        <v/>
      </c>
      <c r="W7" s="36">
        <f>+YEAR(W8)</f>
        <v/>
      </c>
      <c r="X7" s="36">
        <f>+YEAR(X8)</f>
        <v/>
      </c>
      <c r="Y7" s="36">
        <f>+YEAR(Y8)</f>
        <v/>
      </c>
      <c r="Z7" s="36">
        <f>+YEAR(Z8)</f>
        <v/>
      </c>
      <c r="AA7" s="36">
        <f>+YEAR(AA8)</f>
        <v/>
      </c>
      <c r="AB7" s="36">
        <f>+YEAR(AB8)</f>
        <v/>
      </c>
      <c r="AC7" s="36">
        <f>+YEAR(AC8)</f>
        <v/>
      </c>
      <c r="AD7" s="36">
        <f>+YEAR(AD8)</f>
        <v/>
      </c>
      <c r="AE7" s="36">
        <f>+YEAR(AE8)</f>
        <v/>
      </c>
      <c r="AF7" s="36">
        <f>+YEAR(AF8)</f>
        <v/>
      </c>
      <c r="AG7" s="36">
        <f>+YEAR(AG8)</f>
        <v/>
      </c>
      <c r="AH7" s="36">
        <f>+YEAR(AH8)</f>
        <v/>
      </c>
      <c r="AI7" s="36">
        <f>+YEAR(AI8)</f>
        <v/>
      </c>
      <c r="AJ7" s="36">
        <f>+YEAR(AJ8)</f>
        <v/>
      </c>
      <c r="AK7" s="36">
        <f>+YEAR(AK8)</f>
        <v/>
      </c>
      <c r="AL7" s="36">
        <f>+YEAR(AL8)</f>
        <v/>
      </c>
      <c r="AM7" s="36">
        <f>+YEAR(AM8)</f>
        <v/>
      </c>
      <c r="AN7" s="36">
        <f>+YEAR(AN8)</f>
        <v/>
      </c>
      <c r="AO7" s="36">
        <f>+YEAR(AO8)</f>
        <v/>
      </c>
      <c r="AP7" s="36">
        <f>+YEAR(AP8)</f>
        <v/>
      </c>
      <c r="AQ7" s="36">
        <f>+YEAR(AQ8)</f>
        <v/>
      </c>
      <c r="AR7" s="36">
        <f>+YEAR(AR8)</f>
        <v/>
      </c>
      <c r="AS7" s="36">
        <f>+YEAR(AS8)</f>
        <v/>
      </c>
      <c r="AT7" s="36">
        <f>+YEAR(AT8)</f>
        <v/>
      </c>
      <c r="AU7" s="36">
        <f>+YEAR(AU8)</f>
        <v/>
      </c>
      <c r="AV7" s="36">
        <f>+YEAR(AV8)</f>
        <v/>
      </c>
      <c r="AW7" s="36">
        <f>+YEAR(AW8)</f>
        <v/>
      </c>
      <c r="AX7" s="36">
        <f>+YEAR(AX8)</f>
        <v/>
      </c>
      <c r="AY7" s="36">
        <f>+YEAR(AY8)</f>
        <v/>
      </c>
      <c r="AZ7" s="36">
        <f>+YEAR(AZ8)</f>
        <v/>
      </c>
      <c r="BA7" s="36">
        <f>+YEAR(BA8)</f>
        <v/>
      </c>
      <c r="BB7" s="36">
        <f>+YEAR(BB8)</f>
        <v/>
      </c>
      <c r="BC7" s="36">
        <f>+YEAR(BC8)</f>
        <v/>
      </c>
      <c r="BD7" s="36">
        <f>+YEAR(BD8)</f>
        <v/>
      </c>
      <c r="BE7" s="36">
        <f>+YEAR(BE8)</f>
        <v/>
      </c>
      <c r="BF7" s="36">
        <f>+YEAR(BF8)</f>
        <v/>
      </c>
      <c r="BG7" s="36">
        <f>+YEAR(BG8)</f>
        <v/>
      </c>
      <c r="BH7" s="36">
        <f>+YEAR(BH8)</f>
        <v/>
      </c>
      <c r="BI7" s="36">
        <f>+YEAR(BI8)</f>
        <v/>
      </c>
      <c r="BJ7" s="36">
        <f>+YEAR(BJ8)</f>
        <v/>
      </c>
      <c r="BK7" s="36">
        <f>+YEAR(BK8)</f>
        <v/>
      </c>
      <c r="BL7" s="36">
        <f>+YEAR(BL8)</f>
        <v/>
      </c>
      <c r="BM7" s="36">
        <f>+YEAR(BM8)</f>
        <v/>
      </c>
      <c r="BN7" s="36">
        <f>+YEAR(BN8)</f>
        <v/>
      </c>
      <c r="BO7" s="36">
        <f>+YEAR(BO8)</f>
        <v/>
      </c>
      <c r="BP7" s="36">
        <f>+YEAR(BP8)</f>
        <v/>
      </c>
      <c r="BQ7" s="36">
        <f>+YEAR(BQ8)</f>
        <v/>
      </c>
      <c r="BR7" s="36">
        <f>+YEAR(BR8)</f>
        <v/>
      </c>
      <c r="BS7" s="36">
        <f>+YEAR(BS8)</f>
        <v/>
      </c>
      <c r="BT7" s="36">
        <f>+YEAR(BT8)</f>
        <v/>
      </c>
      <c r="BU7" s="36">
        <f>+YEAR(BU8)</f>
        <v/>
      </c>
      <c r="BV7" s="36">
        <f>+YEAR(BV8)</f>
        <v/>
      </c>
      <c r="BW7" s="36">
        <f>+YEAR(BW8)</f>
        <v/>
      </c>
      <c r="BX7" s="36">
        <f>+YEAR(BX8)</f>
        <v/>
      </c>
      <c r="BY7" s="36">
        <f>+YEAR(BY8)</f>
        <v/>
      </c>
      <c r="BZ7" s="36">
        <f>+YEAR(BZ8)</f>
        <v/>
      </c>
      <c r="CA7" s="36">
        <f>+YEAR(CA8)</f>
        <v/>
      </c>
      <c r="CB7" s="36">
        <f>+YEAR(CB8)</f>
        <v/>
      </c>
      <c r="CC7" s="36">
        <f>+YEAR(CC8)</f>
        <v/>
      </c>
      <c r="CD7" s="36">
        <f>+YEAR(CD8)</f>
        <v/>
      </c>
      <c r="CE7" s="36">
        <f>+YEAR(CE8)</f>
        <v/>
      </c>
      <c r="CF7" s="36">
        <f>+YEAR(CF8)</f>
        <v/>
      </c>
      <c r="CG7" s="36">
        <f>+YEAR(CG8)</f>
        <v/>
      </c>
      <c r="CH7" s="36">
        <f>+YEAR(CH8)</f>
        <v/>
      </c>
      <c r="CI7" s="36">
        <f>+YEAR(CI8)</f>
        <v/>
      </c>
      <c r="CJ7" s="36">
        <f>+YEAR(CJ8)</f>
        <v/>
      </c>
      <c r="CK7" s="36">
        <f>+YEAR(CK8)</f>
        <v/>
      </c>
      <c r="CL7" s="36">
        <f>+YEAR(CL8)</f>
        <v/>
      </c>
      <c r="CM7" s="36">
        <f>+YEAR(CM8)</f>
        <v/>
      </c>
      <c r="CN7" s="36">
        <f>+YEAR(CN8)</f>
        <v/>
      </c>
      <c r="CO7" s="36">
        <f>+YEAR(CO8)</f>
        <v/>
      </c>
      <c r="CP7" s="36">
        <f>+YEAR(CP8)</f>
        <v/>
      </c>
      <c r="CQ7" s="36">
        <f>+YEAR(CQ8)</f>
        <v/>
      </c>
      <c r="CR7" s="36">
        <f>+YEAR(CR8)</f>
        <v/>
      </c>
      <c r="CS7" s="36">
        <f>+YEAR(CS8)</f>
        <v/>
      </c>
      <c r="CT7" s="36">
        <f>+YEAR(CT8)</f>
        <v/>
      </c>
      <c r="CU7" s="36">
        <f>+YEAR(CU8)</f>
        <v/>
      </c>
      <c r="CV7" s="36">
        <f>+YEAR(CV8)</f>
        <v/>
      </c>
      <c r="CW7" s="36">
        <f>+YEAR(CW8)</f>
        <v/>
      </c>
      <c r="CX7" s="36">
        <f>+YEAR(CX8)</f>
        <v/>
      </c>
      <c r="CY7" s="36">
        <f>+YEAR(CY8)</f>
        <v/>
      </c>
      <c r="CZ7" s="36">
        <f>+YEAR(CZ8)</f>
        <v/>
      </c>
      <c r="DA7" s="36">
        <f>+YEAR(DA8)</f>
        <v/>
      </c>
      <c r="DB7" s="36">
        <f>+YEAR(DB8)</f>
        <v/>
      </c>
      <c r="DC7" s="36">
        <f>+YEAR(DC8)</f>
        <v/>
      </c>
      <c r="DD7" s="36">
        <f>+YEAR(DD8)</f>
        <v/>
      </c>
      <c r="DE7" s="36">
        <f>+YEAR(DE8)</f>
        <v/>
      </c>
      <c r="DF7" s="36">
        <f>+YEAR(DF8)</f>
        <v/>
      </c>
      <c r="DG7" s="36">
        <f>+YEAR(DG8)</f>
        <v/>
      </c>
      <c r="DH7" s="36">
        <f>+YEAR(DH8)</f>
        <v/>
      </c>
      <c r="DI7" s="36">
        <f>+YEAR(DI8)</f>
        <v/>
      </c>
      <c r="DJ7" s="36">
        <f>+YEAR(DJ8)</f>
        <v/>
      </c>
      <c r="DK7" s="36">
        <f>+YEAR(DK8)</f>
        <v/>
      </c>
      <c r="DL7" s="36">
        <f>+YEAR(DL8)</f>
        <v/>
      </c>
      <c r="DM7" s="36">
        <f>+YEAR(DM8)</f>
        <v/>
      </c>
      <c r="DN7" s="36">
        <f>+YEAR(DN8)</f>
        <v/>
      </c>
      <c r="DO7" s="36">
        <f>+YEAR(DO8)</f>
        <v/>
      </c>
      <c r="DP7" s="36">
        <f>+YEAR(DP8)</f>
        <v/>
      </c>
      <c r="DQ7" s="36">
        <f>+YEAR(DQ8)</f>
        <v/>
      </c>
      <c r="DR7" s="36">
        <f>+YEAR(DR8)</f>
        <v/>
      </c>
    </row>
    <row r="8">
      <c r="B8" s="34" t="n"/>
      <c r="C8" s="34" t="n"/>
      <c r="D8" s="66" t="n"/>
      <c r="E8" s="39">
        <f>+DATE(E7,12,31)</f>
        <v/>
      </c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  <c r="O8" s="39" t="n">
        <v>43131</v>
      </c>
      <c r="P8" s="39">
        <f>+EOMONTH(O8,1)</f>
        <v/>
      </c>
      <c r="Q8" s="39">
        <f>+EOMONTH(P8,1)</f>
        <v/>
      </c>
      <c r="R8" s="39">
        <f>+EOMONTH(Q8,1)</f>
        <v/>
      </c>
      <c r="S8" s="39">
        <f>+EOMONTH(R8,1)</f>
        <v/>
      </c>
      <c r="T8" s="39">
        <f>+EOMONTH(S8,1)</f>
        <v/>
      </c>
      <c r="U8" s="39">
        <f>+EOMONTH(T8,1)</f>
        <v/>
      </c>
      <c r="V8" s="39">
        <f>+EOMONTH(U8,1)</f>
        <v/>
      </c>
      <c r="W8" s="39">
        <f>+EOMONTH(V8,1)</f>
        <v/>
      </c>
      <c r="X8" s="39">
        <f>+EOMONTH(W8,1)</f>
        <v/>
      </c>
      <c r="Y8" s="39">
        <f>+EOMONTH(X8,1)</f>
        <v/>
      </c>
      <c r="Z8" s="39">
        <f>+EOMONTH(Y8,1)</f>
        <v/>
      </c>
      <c r="AA8" s="39">
        <f>+EOMONTH(Z8,1)</f>
        <v/>
      </c>
      <c r="AB8" s="39">
        <f>+EOMONTH(AA8,1)</f>
        <v/>
      </c>
      <c r="AC8" s="39">
        <f>+EOMONTH(AB8,1)</f>
        <v/>
      </c>
      <c r="AD8" s="39">
        <f>+EOMONTH(AC8,1)</f>
        <v/>
      </c>
      <c r="AE8" s="39">
        <f>+EOMONTH(AD8,1)</f>
        <v/>
      </c>
      <c r="AF8" s="39">
        <f>+EOMONTH(AE8,1)</f>
        <v/>
      </c>
      <c r="AG8" s="39">
        <f>+EOMONTH(AF8,1)</f>
        <v/>
      </c>
      <c r="AH8" s="39">
        <f>+EOMONTH(AG8,1)</f>
        <v/>
      </c>
      <c r="AI8" s="39">
        <f>+EOMONTH(AH8,1)</f>
        <v/>
      </c>
      <c r="AJ8" s="39">
        <f>+EOMONTH(AI8,1)</f>
        <v/>
      </c>
      <c r="AK8" s="39">
        <f>+EOMONTH(AJ8,1)</f>
        <v/>
      </c>
      <c r="AL8" s="39">
        <f>+EOMONTH(AK8,1)</f>
        <v/>
      </c>
      <c r="AM8" s="39">
        <f>+EOMONTH(AL8,1)</f>
        <v/>
      </c>
      <c r="AN8" s="39">
        <f>+EOMONTH(AM8,1)</f>
        <v/>
      </c>
      <c r="AO8" s="39">
        <f>+EOMONTH(AN8,1)</f>
        <v/>
      </c>
      <c r="AP8" s="39">
        <f>+EOMONTH(AO8,1)</f>
        <v/>
      </c>
      <c r="AQ8" s="39">
        <f>+EOMONTH(AP8,1)</f>
        <v/>
      </c>
      <c r="AR8" s="39">
        <f>+EOMONTH(AQ8,1)</f>
        <v/>
      </c>
      <c r="AS8" s="39">
        <f>+EOMONTH(AR8,1)</f>
        <v/>
      </c>
      <c r="AT8" s="39">
        <f>+EOMONTH(AS8,1)</f>
        <v/>
      </c>
      <c r="AU8" s="39">
        <f>+EOMONTH(AT8,1)</f>
        <v/>
      </c>
      <c r="AV8" s="39">
        <f>+EOMONTH(AU8,1)</f>
        <v/>
      </c>
      <c r="AW8" s="39">
        <f>+EOMONTH(AV8,1)</f>
        <v/>
      </c>
      <c r="AX8" s="39">
        <f>+EOMONTH(AW8,1)</f>
        <v/>
      </c>
      <c r="AY8" s="39">
        <f>+EOMONTH(AX8,1)</f>
        <v/>
      </c>
      <c r="AZ8" s="39">
        <f>+EOMONTH(AY8,1)</f>
        <v/>
      </c>
      <c r="BA8" s="39">
        <f>+EOMONTH(AZ8,1)</f>
        <v/>
      </c>
      <c r="BB8" s="39">
        <f>+EOMONTH(BA8,1)</f>
        <v/>
      </c>
      <c r="BC8" s="39">
        <f>+EOMONTH(BB8,1)</f>
        <v/>
      </c>
      <c r="BD8" s="39">
        <f>+EOMONTH(BC8,1)</f>
        <v/>
      </c>
      <c r="BE8" s="39">
        <f>+EOMONTH(BD8,1)</f>
        <v/>
      </c>
      <c r="BF8" s="39">
        <f>+EOMONTH(BE8,1)</f>
        <v/>
      </c>
      <c r="BG8" s="39">
        <f>+EOMONTH(BF8,1)</f>
        <v/>
      </c>
      <c r="BH8" s="39">
        <f>+EOMONTH(BG8,1)</f>
        <v/>
      </c>
      <c r="BI8" s="39">
        <f>+EOMONTH(BH8,1)</f>
        <v/>
      </c>
      <c r="BJ8" s="39">
        <f>+EOMONTH(BI8,1)</f>
        <v/>
      </c>
      <c r="BK8" s="39">
        <f>+EOMONTH(BJ8,1)</f>
        <v/>
      </c>
      <c r="BL8" s="39">
        <f>+EOMONTH(BK8,1)</f>
        <v/>
      </c>
      <c r="BM8" s="39">
        <f>+EOMONTH(BL8,1)</f>
        <v/>
      </c>
      <c r="BN8" s="39">
        <f>+EOMONTH(BM8,1)</f>
        <v/>
      </c>
      <c r="BO8" s="39">
        <f>+EOMONTH(BN8,1)</f>
        <v/>
      </c>
      <c r="BP8" s="39">
        <f>+EOMONTH(BO8,1)</f>
        <v/>
      </c>
      <c r="BQ8" s="39">
        <f>+EOMONTH(BP8,1)</f>
        <v/>
      </c>
      <c r="BR8" s="39">
        <f>+EOMONTH(BQ8,1)</f>
        <v/>
      </c>
      <c r="BS8" s="39">
        <f>+EOMONTH(BR8,1)</f>
        <v/>
      </c>
      <c r="BT8" s="39">
        <f>+EOMONTH(BS8,1)</f>
        <v/>
      </c>
      <c r="BU8" s="39">
        <f>+EOMONTH(BT8,1)</f>
        <v/>
      </c>
      <c r="BV8" s="39">
        <f>+EOMONTH(BU8,1)</f>
        <v/>
      </c>
      <c r="BW8" s="39">
        <f>+EOMONTH(BV8,1)</f>
        <v/>
      </c>
      <c r="BX8" s="39">
        <f>+EOMONTH(BW8,1)</f>
        <v/>
      </c>
      <c r="BY8" s="39">
        <f>+EOMONTH(BX8,1)</f>
        <v/>
      </c>
      <c r="BZ8" s="39">
        <f>+EOMONTH(BY8,1)</f>
        <v/>
      </c>
      <c r="CA8" s="39">
        <f>+EOMONTH(BZ8,1)</f>
        <v/>
      </c>
      <c r="CB8" s="39">
        <f>+EOMONTH(CA8,1)</f>
        <v/>
      </c>
      <c r="CC8" s="39">
        <f>+EOMONTH(CB8,1)</f>
        <v/>
      </c>
      <c r="CD8" s="39">
        <f>+EOMONTH(CC8,1)</f>
        <v/>
      </c>
      <c r="CE8" s="39">
        <f>+EOMONTH(CD8,1)</f>
        <v/>
      </c>
      <c r="CF8" s="39">
        <f>+EOMONTH(CE8,1)</f>
        <v/>
      </c>
      <c r="CG8" s="39">
        <f>+EOMONTH(CF8,1)</f>
        <v/>
      </c>
      <c r="CH8" s="39">
        <f>+EOMONTH(CG8,1)</f>
        <v/>
      </c>
      <c r="CI8" s="39">
        <f>+EOMONTH(CH8,1)</f>
        <v/>
      </c>
      <c r="CJ8" s="39">
        <f>+EOMONTH(CI8,1)</f>
        <v/>
      </c>
      <c r="CK8" s="39">
        <f>+EOMONTH(CJ8,1)</f>
        <v/>
      </c>
      <c r="CL8" s="39">
        <f>+EOMONTH(CK8,1)</f>
        <v/>
      </c>
      <c r="CM8" s="39">
        <f>+EOMONTH(CL8,1)</f>
        <v/>
      </c>
      <c r="CN8" s="39">
        <f>+EOMONTH(CM8,1)</f>
        <v/>
      </c>
      <c r="CO8" s="39">
        <f>+EOMONTH(CN8,1)</f>
        <v/>
      </c>
      <c r="CP8" s="39">
        <f>+EOMONTH(CO8,1)</f>
        <v/>
      </c>
      <c r="CQ8" s="39">
        <f>+EOMONTH(CP8,1)</f>
        <v/>
      </c>
      <c r="CR8" s="39">
        <f>+EOMONTH(CQ8,1)</f>
        <v/>
      </c>
      <c r="CS8" s="39">
        <f>+EOMONTH(CR8,1)</f>
        <v/>
      </c>
      <c r="CT8" s="39">
        <f>+EOMONTH(CS8,1)</f>
        <v/>
      </c>
      <c r="CU8" s="39">
        <f>+EOMONTH(CT8,1)</f>
        <v/>
      </c>
      <c r="CV8" s="39">
        <f>+EOMONTH(CU8,1)</f>
        <v/>
      </c>
      <c r="CW8" s="39">
        <f>+EOMONTH(CV8,1)</f>
        <v/>
      </c>
      <c r="CX8" s="39">
        <f>+EOMONTH(CW8,1)</f>
        <v/>
      </c>
      <c r="CY8" s="39">
        <f>+EOMONTH(CX8,1)</f>
        <v/>
      </c>
      <c r="CZ8" s="39">
        <f>+EOMONTH(CY8,1)</f>
        <v/>
      </c>
      <c r="DA8" s="39">
        <f>+EOMONTH(CZ8,1)</f>
        <v/>
      </c>
      <c r="DB8" s="39">
        <f>+EOMONTH(DA8,1)</f>
        <v/>
      </c>
      <c r="DC8" s="39">
        <f>+EOMONTH(DB8,1)</f>
        <v/>
      </c>
      <c r="DD8" s="39">
        <f>+EOMONTH(DC8,1)</f>
        <v/>
      </c>
      <c r="DE8" s="39">
        <f>+EOMONTH(DD8,1)</f>
        <v/>
      </c>
      <c r="DF8" s="39">
        <f>+EOMONTH(DE8,1)</f>
        <v/>
      </c>
      <c r="DG8" s="39">
        <f>+EOMONTH(DF8,1)</f>
        <v/>
      </c>
      <c r="DH8" s="39">
        <f>+EOMONTH(DG8,1)</f>
        <v/>
      </c>
      <c r="DI8" s="39">
        <f>+EOMONTH(DH8,1)</f>
        <v/>
      </c>
      <c r="DJ8" s="39">
        <f>+EOMONTH(DI8,1)</f>
        <v/>
      </c>
      <c r="DK8" s="39">
        <f>+EOMONTH(DJ8,1)</f>
        <v/>
      </c>
      <c r="DL8" s="39">
        <f>+EOMONTH(DK8,1)</f>
        <v/>
      </c>
      <c r="DM8" s="39">
        <f>+EOMONTH(DL8,1)</f>
        <v/>
      </c>
      <c r="DN8" s="39">
        <f>+EOMONTH(DM8,1)</f>
        <v/>
      </c>
      <c r="DO8" s="39">
        <f>+EOMONTH(DN8,1)</f>
        <v/>
      </c>
      <c r="DP8" s="39">
        <f>+EOMONTH(DO8,1)</f>
        <v/>
      </c>
      <c r="DQ8" s="39">
        <f>+EOMONTH(DP8,1)</f>
        <v/>
      </c>
      <c r="DR8" s="39">
        <f>+EOMONTH(DQ8,1)</f>
        <v/>
      </c>
    </row>
    <row r="9">
      <c r="B9" s="34" t="inlineStr">
        <is>
          <t>$ in thousands</t>
        </is>
      </c>
      <c r="C9" s="34" t="n"/>
      <c r="D9" s="66" t="n"/>
      <c r="E9" s="42" t="inlineStr">
        <is>
          <t>Actual</t>
        </is>
      </c>
      <c r="F9" s="42" t="inlineStr">
        <is>
          <t>Actual</t>
        </is>
      </c>
      <c r="G9" s="42" t="inlineStr">
        <is>
          <t>Actual</t>
        </is>
      </c>
      <c r="H9" s="42" t="inlineStr">
        <is>
          <t>Actual</t>
        </is>
      </c>
      <c r="I9" s="42" t="inlineStr">
        <is>
          <t>Budget</t>
        </is>
      </c>
      <c r="J9" s="42" t="inlineStr">
        <is>
          <t>Projection</t>
        </is>
      </c>
      <c r="K9" s="42" t="inlineStr">
        <is>
          <t>Projection</t>
        </is>
      </c>
      <c r="L9" s="42" t="inlineStr">
        <is>
          <t>Projection</t>
        </is>
      </c>
      <c r="M9" s="42" t="inlineStr">
        <is>
          <t>Projection</t>
        </is>
      </c>
      <c r="O9" s="42" t="inlineStr">
        <is>
          <t>Actual</t>
        </is>
      </c>
      <c r="P9" s="42" t="inlineStr">
        <is>
          <t>Actual</t>
        </is>
      </c>
      <c r="Q9" s="42" t="inlineStr">
        <is>
          <t>Actual</t>
        </is>
      </c>
      <c r="R9" s="42" t="inlineStr">
        <is>
          <t>Actual</t>
        </is>
      </c>
      <c r="S9" s="42" t="inlineStr">
        <is>
          <t>Actual</t>
        </is>
      </c>
      <c r="T9" s="42" t="inlineStr">
        <is>
          <t>Actual</t>
        </is>
      </c>
      <c r="U9" s="42" t="inlineStr">
        <is>
          <t>Actual</t>
        </is>
      </c>
      <c r="V9" s="42" t="inlineStr">
        <is>
          <t>Actual</t>
        </is>
      </c>
      <c r="W9" s="42" t="inlineStr">
        <is>
          <t>Actual</t>
        </is>
      </c>
      <c r="X9" s="42" t="inlineStr">
        <is>
          <t>Actual</t>
        </is>
      </c>
      <c r="Y9" s="42" t="inlineStr">
        <is>
          <t>Actual</t>
        </is>
      </c>
      <c r="Z9" s="42" t="inlineStr">
        <is>
          <t>Actual</t>
        </is>
      </c>
      <c r="AA9" s="42" t="inlineStr">
        <is>
          <t>Actual</t>
        </is>
      </c>
      <c r="AB9" s="42" t="inlineStr">
        <is>
          <t>Actual</t>
        </is>
      </c>
      <c r="AC9" s="42" t="inlineStr">
        <is>
          <t>Actual</t>
        </is>
      </c>
      <c r="AD9" s="42" t="inlineStr">
        <is>
          <t>Actual</t>
        </is>
      </c>
      <c r="AE9" s="42" t="inlineStr">
        <is>
          <t>Actual</t>
        </is>
      </c>
      <c r="AF9" s="42" t="inlineStr">
        <is>
          <t>Actual</t>
        </is>
      </c>
      <c r="AG9" s="42" t="inlineStr">
        <is>
          <t>Actual</t>
        </is>
      </c>
      <c r="AH9" s="42" t="inlineStr">
        <is>
          <t>Actual</t>
        </is>
      </c>
      <c r="AI9" s="42" t="inlineStr">
        <is>
          <t>Actual</t>
        </is>
      </c>
      <c r="AJ9" s="42" t="inlineStr">
        <is>
          <t>Actual</t>
        </is>
      </c>
      <c r="AK9" s="42" t="inlineStr">
        <is>
          <t>Actual</t>
        </is>
      </c>
      <c r="AL9" s="42" t="inlineStr">
        <is>
          <t>Actual</t>
        </is>
      </c>
      <c r="AM9" s="42" t="inlineStr">
        <is>
          <t>Actual</t>
        </is>
      </c>
      <c r="AN9" s="42" t="inlineStr">
        <is>
          <t>Actual</t>
        </is>
      </c>
      <c r="AO9" s="42" t="inlineStr">
        <is>
          <t>Actual</t>
        </is>
      </c>
      <c r="AP9" s="42" t="inlineStr">
        <is>
          <t>Actual</t>
        </is>
      </c>
      <c r="AQ9" s="42" t="inlineStr">
        <is>
          <t>Actual</t>
        </is>
      </c>
      <c r="AR9" s="42" t="inlineStr">
        <is>
          <t>Actual</t>
        </is>
      </c>
      <c r="AS9" s="42" t="inlineStr">
        <is>
          <t>Actual</t>
        </is>
      </c>
      <c r="AT9" s="42" t="inlineStr">
        <is>
          <t>Actual</t>
        </is>
      </c>
      <c r="AU9" s="42" t="inlineStr">
        <is>
          <t>Actual</t>
        </is>
      </c>
      <c r="AV9" s="42" t="inlineStr">
        <is>
          <t>Actual</t>
        </is>
      </c>
      <c r="AW9" s="42" t="inlineStr">
        <is>
          <t>Actual</t>
        </is>
      </c>
      <c r="AX9" s="42" t="inlineStr">
        <is>
          <t>Actual</t>
        </is>
      </c>
      <c r="AY9" s="42" t="inlineStr">
        <is>
          <t>Actual</t>
        </is>
      </c>
      <c r="AZ9" s="42" t="inlineStr">
        <is>
          <t>Actual</t>
        </is>
      </c>
      <c r="BA9" s="42" t="inlineStr">
        <is>
          <t>Actual</t>
        </is>
      </c>
      <c r="BB9" s="42" t="inlineStr">
        <is>
          <t>Actual</t>
        </is>
      </c>
      <c r="BC9" s="42" t="inlineStr">
        <is>
          <t>Actual</t>
        </is>
      </c>
      <c r="BD9" s="42" t="inlineStr">
        <is>
          <t>Actual</t>
        </is>
      </c>
      <c r="BE9" s="42" t="inlineStr">
        <is>
          <t>Actual</t>
        </is>
      </c>
      <c r="BF9" s="42" t="inlineStr">
        <is>
          <t>Actual</t>
        </is>
      </c>
      <c r="BG9" s="42" t="inlineStr">
        <is>
          <t>Actual</t>
        </is>
      </c>
      <c r="BH9" s="42" t="inlineStr">
        <is>
          <t>Actual</t>
        </is>
      </c>
      <c r="BI9" s="42" t="inlineStr">
        <is>
          <t>Actual</t>
        </is>
      </c>
      <c r="BJ9" s="42" t="inlineStr">
        <is>
          <t>Actual</t>
        </is>
      </c>
      <c r="BK9" s="42" t="inlineStr">
        <is>
          <t>Budget</t>
        </is>
      </c>
      <c r="BL9" s="42" t="inlineStr">
        <is>
          <t>Budget</t>
        </is>
      </c>
      <c r="BM9" s="42" t="inlineStr">
        <is>
          <t>Budget</t>
        </is>
      </c>
      <c r="BN9" s="42" t="inlineStr">
        <is>
          <t>Budget</t>
        </is>
      </c>
      <c r="BO9" s="42" t="inlineStr">
        <is>
          <t>Budget</t>
        </is>
      </c>
      <c r="BP9" s="42" t="inlineStr">
        <is>
          <t>Budget</t>
        </is>
      </c>
      <c r="BQ9" s="42" t="inlineStr">
        <is>
          <t>Budget</t>
        </is>
      </c>
      <c r="BR9" s="42" t="inlineStr">
        <is>
          <t>Budget</t>
        </is>
      </c>
      <c r="BS9" s="42" t="inlineStr">
        <is>
          <t>Budget</t>
        </is>
      </c>
      <c r="BT9" s="42" t="inlineStr">
        <is>
          <t>Budget</t>
        </is>
      </c>
      <c r="BU9" s="42" t="inlineStr">
        <is>
          <t>Budget</t>
        </is>
      </c>
      <c r="BV9" s="42" t="inlineStr">
        <is>
          <t>Budget</t>
        </is>
      </c>
      <c r="BW9" s="42" t="inlineStr">
        <is>
          <t>Projection</t>
        </is>
      </c>
      <c r="BX9" s="42" t="inlineStr">
        <is>
          <t>Projection</t>
        </is>
      </c>
      <c r="BY9" s="42" t="inlineStr">
        <is>
          <t>Projection</t>
        </is>
      </c>
      <c r="BZ9" s="42" t="inlineStr">
        <is>
          <t>Projection</t>
        </is>
      </c>
      <c r="CA9" s="42" t="inlineStr">
        <is>
          <t>Projection</t>
        </is>
      </c>
      <c r="CB9" s="42" t="inlineStr">
        <is>
          <t>Projection</t>
        </is>
      </c>
      <c r="CC9" s="42" t="inlineStr">
        <is>
          <t>Projection</t>
        </is>
      </c>
      <c r="CD9" s="42" t="inlineStr">
        <is>
          <t>Projection</t>
        </is>
      </c>
      <c r="CE9" s="42" t="inlineStr">
        <is>
          <t>Projection</t>
        </is>
      </c>
      <c r="CF9" s="42" t="inlineStr">
        <is>
          <t>Projection</t>
        </is>
      </c>
      <c r="CG9" s="42" t="inlineStr">
        <is>
          <t>Projection</t>
        </is>
      </c>
      <c r="CH9" s="42" t="inlineStr">
        <is>
          <t>Projection</t>
        </is>
      </c>
      <c r="CI9" s="42" t="inlineStr">
        <is>
          <t>Projection</t>
        </is>
      </c>
      <c r="CJ9" s="42" t="inlineStr">
        <is>
          <t>Projection</t>
        </is>
      </c>
      <c r="CK9" s="42" t="inlineStr">
        <is>
          <t>Projection</t>
        </is>
      </c>
      <c r="CL9" s="42" t="inlineStr">
        <is>
          <t>Projection</t>
        </is>
      </c>
      <c r="CM9" s="42" t="inlineStr">
        <is>
          <t>Projection</t>
        </is>
      </c>
      <c r="CN9" s="42" t="inlineStr">
        <is>
          <t>Projection</t>
        </is>
      </c>
      <c r="CO9" s="42" t="inlineStr">
        <is>
          <t>Projection</t>
        </is>
      </c>
      <c r="CP9" s="42" t="inlineStr">
        <is>
          <t>Projection</t>
        </is>
      </c>
      <c r="CQ9" s="42" t="inlineStr">
        <is>
          <t>Projection</t>
        </is>
      </c>
      <c r="CR9" s="42" t="inlineStr">
        <is>
          <t>Projection</t>
        </is>
      </c>
      <c r="CS9" s="42" t="inlineStr">
        <is>
          <t>Projection</t>
        </is>
      </c>
      <c r="CT9" s="42" t="inlineStr">
        <is>
          <t>Projection</t>
        </is>
      </c>
      <c r="CU9" s="42" t="inlineStr">
        <is>
          <t>Projection</t>
        </is>
      </c>
      <c r="CV9" s="42" t="inlineStr">
        <is>
          <t>Projection</t>
        </is>
      </c>
      <c r="CW9" s="42" t="inlineStr">
        <is>
          <t>Projection</t>
        </is>
      </c>
      <c r="CX9" s="42" t="inlineStr">
        <is>
          <t>Projection</t>
        </is>
      </c>
      <c r="CY9" s="42" t="inlineStr">
        <is>
          <t>Projection</t>
        </is>
      </c>
      <c r="CZ9" s="42" t="inlineStr">
        <is>
          <t>Projection</t>
        </is>
      </c>
      <c r="DA9" s="42" t="inlineStr">
        <is>
          <t>Projection</t>
        </is>
      </c>
      <c r="DB9" s="42" t="inlineStr">
        <is>
          <t>Projection</t>
        </is>
      </c>
      <c r="DC9" s="42" t="inlineStr">
        <is>
          <t>Projection</t>
        </is>
      </c>
      <c r="DD9" s="42" t="inlineStr">
        <is>
          <t>Projection</t>
        </is>
      </c>
      <c r="DE9" s="42" t="inlineStr">
        <is>
          <t>Projection</t>
        </is>
      </c>
      <c r="DF9" s="42" t="inlineStr">
        <is>
          <t>Projection</t>
        </is>
      </c>
      <c r="DG9" s="42" t="inlineStr">
        <is>
          <t>Projection</t>
        </is>
      </c>
      <c r="DH9" s="42" t="inlineStr">
        <is>
          <t>Projection</t>
        </is>
      </c>
      <c r="DI9" s="42" t="inlineStr">
        <is>
          <t>Projection</t>
        </is>
      </c>
      <c r="DJ9" s="42" t="inlineStr">
        <is>
          <t>Projection</t>
        </is>
      </c>
      <c r="DK9" s="42" t="inlineStr">
        <is>
          <t>Projection</t>
        </is>
      </c>
      <c r="DL9" s="42" t="inlineStr">
        <is>
          <t>Projection</t>
        </is>
      </c>
      <c r="DM9" s="42" t="inlineStr">
        <is>
          <t>Projection</t>
        </is>
      </c>
      <c r="DN9" s="42" t="inlineStr">
        <is>
          <t>Projection</t>
        </is>
      </c>
      <c r="DO9" s="42" t="inlineStr">
        <is>
          <t>Projection</t>
        </is>
      </c>
      <c r="DP9" s="42" t="inlineStr">
        <is>
          <t>Projection</t>
        </is>
      </c>
      <c r="DQ9" s="42" t="inlineStr">
        <is>
          <t>Projection</t>
        </is>
      </c>
      <c r="DR9" s="42" t="inlineStr">
        <is>
          <t>Projection</t>
        </is>
      </c>
    </row>
    <row r="10" ht="4.5" customHeight="1"/>
    <row r="11">
      <c r="B11" s="131" t="inlineStr">
        <is>
          <t>Mega Implementation Duration</t>
        </is>
      </c>
      <c r="C11" s="132" t="n">
        <v>10</v>
      </c>
    </row>
    <row r="12">
      <c r="B12" s="133" t="inlineStr">
        <is>
          <t>Major Implementation Duration</t>
        </is>
      </c>
      <c r="C12" s="134" t="n">
        <v>8</v>
      </c>
    </row>
    <row r="13">
      <c r="B13" s="133" t="inlineStr">
        <is>
          <t>Upper Middle Market Implementation Duration</t>
        </is>
      </c>
      <c r="C13" s="134" t="n">
        <v>6</v>
      </c>
    </row>
    <row r="14">
      <c r="B14" s="135" t="inlineStr">
        <is>
          <t>Lower Middle Market Implementation Duration</t>
        </is>
      </c>
      <c r="C14" s="136" t="n">
        <v>4</v>
      </c>
    </row>
    <row r="15" ht="4.5" customHeight="1"/>
    <row r="16">
      <c r="B16" s="5" t="inlineStr">
        <is>
          <t>Mega Implementation End Month</t>
        </is>
      </c>
      <c r="BN16" s="137">
        <f>+EOMONTH(BN$8,$C11)</f>
        <v/>
      </c>
      <c r="BO16" s="137">
        <f>+EOMONTH(BO$8,$C11)</f>
        <v/>
      </c>
      <c r="BP16" s="137">
        <f>+EOMONTH(BP$8,$C11)</f>
        <v/>
      </c>
      <c r="BQ16" s="137">
        <f>+EOMONTH(BQ$8,$C11)</f>
        <v/>
      </c>
      <c r="BR16" s="137">
        <f>+EOMONTH(BR$8,$C11)</f>
        <v/>
      </c>
      <c r="BS16" s="137">
        <f>+EOMONTH(BS$8,$C11)</f>
        <v/>
      </c>
      <c r="BT16" s="137">
        <f>+EOMONTH(BT$8,$C11)</f>
        <v/>
      </c>
      <c r="BU16" s="137">
        <f>+EOMONTH(BU$8,$C11)</f>
        <v/>
      </c>
      <c r="BV16" s="137">
        <f>+EOMONTH(BV$8,$C11)</f>
        <v/>
      </c>
      <c r="BW16" s="137">
        <f>+EOMONTH(BW$8,$C11)</f>
        <v/>
      </c>
      <c r="BX16" s="137">
        <f>+EOMONTH(BX$8,$C11)</f>
        <v/>
      </c>
      <c r="BY16" s="137">
        <f>+EOMONTH(BY$8,$C11)</f>
        <v/>
      </c>
      <c r="BZ16" s="137">
        <f>+EOMONTH(BZ$8,$C11)</f>
        <v/>
      </c>
      <c r="CA16" s="137">
        <f>+EOMONTH(CA$8,$C11)</f>
        <v/>
      </c>
      <c r="CB16" s="137">
        <f>+EOMONTH(CB$8,$C11)</f>
        <v/>
      </c>
      <c r="CC16" s="137">
        <f>+EOMONTH(CC$8,$C11)</f>
        <v/>
      </c>
      <c r="CD16" s="137">
        <f>+EOMONTH(CD$8,$C11)</f>
        <v/>
      </c>
      <c r="CE16" s="137">
        <f>+EOMONTH(CE$8,$C11)</f>
        <v/>
      </c>
      <c r="CF16" s="137">
        <f>+EOMONTH(CF$8,$C11)</f>
        <v/>
      </c>
      <c r="CG16" s="137">
        <f>+EOMONTH(CG$8,$C11)</f>
        <v/>
      </c>
      <c r="CH16" s="137">
        <f>+EOMONTH(CH$8,$C11)</f>
        <v/>
      </c>
      <c r="CI16" s="137">
        <f>+EOMONTH(CI$8,$C11)</f>
        <v/>
      </c>
      <c r="CJ16" s="137">
        <f>+EOMONTH(CJ$8,$C11)</f>
        <v/>
      </c>
      <c r="CK16" s="137">
        <f>+EOMONTH(CK$8,$C11)</f>
        <v/>
      </c>
      <c r="CL16" s="137">
        <f>+EOMONTH(CL$8,$C11)</f>
        <v/>
      </c>
      <c r="CM16" s="137">
        <f>+EOMONTH(CM$8,$C11)</f>
        <v/>
      </c>
      <c r="CN16" s="137">
        <f>+EOMONTH(CN$8,$C11)</f>
        <v/>
      </c>
      <c r="CO16" s="137">
        <f>+EOMONTH(CO$8,$C11)</f>
        <v/>
      </c>
      <c r="CP16" s="137">
        <f>+EOMONTH(CP$8,$C11)</f>
        <v/>
      </c>
      <c r="CQ16" s="137">
        <f>+EOMONTH(CQ$8,$C11)</f>
        <v/>
      </c>
      <c r="CR16" s="137">
        <f>+EOMONTH(CR$8,$C11)</f>
        <v/>
      </c>
      <c r="CS16" s="137">
        <f>+EOMONTH(CS$8,$C11)</f>
        <v/>
      </c>
      <c r="CT16" s="137">
        <f>+EOMONTH(CT$8,$C11)</f>
        <v/>
      </c>
      <c r="CU16" s="137">
        <f>+EOMONTH(CU$8,$C11)</f>
        <v/>
      </c>
      <c r="CV16" s="137">
        <f>+EOMONTH(CV$8,$C11)</f>
        <v/>
      </c>
      <c r="CW16" s="137">
        <f>+EOMONTH(CW$8,$C11)</f>
        <v/>
      </c>
      <c r="CX16" s="137">
        <f>+EOMONTH(CX$8,$C11)</f>
        <v/>
      </c>
      <c r="CY16" s="137">
        <f>+EOMONTH(CY$8,$C11)</f>
        <v/>
      </c>
      <c r="CZ16" s="137">
        <f>+EOMONTH(CZ$8,$C11)</f>
        <v/>
      </c>
      <c r="DA16" s="137">
        <f>+EOMONTH(DA$8,$C11)</f>
        <v/>
      </c>
      <c r="DB16" s="137">
        <f>+EOMONTH(DB$8,$C11)</f>
        <v/>
      </c>
      <c r="DC16" s="137">
        <f>+EOMONTH(DC$8,$C11)</f>
        <v/>
      </c>
      <c r="DD16" s="137">
        <f>+EOMONTH(DD$8,$C11)</f>
        <v/>
      </c>
      <c r="DE16" s="137">
        <f>+EOMONTH(DE$8,$C11)</f>
        <v/>
      </c>
      <c r="DF16" s="137">
        <f>+EOMONTH(DF$8,$C11)</f>
        <v/>
      </c>
      <c r="DG16" s="137">
        <f>+EOMONTH(DG$8,$C11)</f>
        <v/>
      </c>
      <c r="DH16" s="137">
        <f>+EOMONTH(DH$8,$C11)</f>
        <v/>
      </c>
      <c r="DI16" s="137">
        <f>+EOMONTH(DI$8,$C11)</f>
        <v/>
      </c>
      <c r="DJ16" s="137">
        <f>+EOMONTH(DJ$8,$C11)</f>
        <v/>
      </c>
      <c r="DK16" s="137">
        <f>+EOMONTH(DK$8,$C11)</f>
        <v/>
      </c>
      <c r="DL16" s="137">
        <f>+EOMONTH(DL$8,$C11)</f>
        <v/>
      </c>
      <c r="DM16" s="137">
        <f>+EOMONTH(DM$8,$C11)</f>
        <v/>
      </c>
      <c r="DN16" s="137">
        <f>+EOMONTH(DN$8,$C11)</f>
        <v/>
      </c>
      <c r="DO16" s="137">
        <f>+EOMONTH(DO$8,$C11)</f>
        <v/>
      </c>
      <c r="DP16" s="137">
        <f>+EOMONTH(DP$8,$C11)</f>
        <v/>
      </c>
      <c r="DQ16" s="137">
        <f>+EOMONTH(DQ$8,$C11)</f>
        <v/>
      </c>
      <c r="DR16" s="137">
        <f>+EOMONTH(DR$8,$C11)</f>
        <v/>
      </c>
    </row>
    <row r="17">
      <c r="B17" s="5" t="inlineStr">
        <is>
          <t>Major Implementation End Month</t>
        </is>
      </c>
      <c r="BN17" s="137">
        <f>+EOMONTH(BN$8,$C12)</f>
        <v/>
      </c>
      <c r="BO17" s="137">
        <f>+EOMONTH(BO$8,$C12)</f>
        <v/>
      </c>
      <c r="BP17" s="137">
        <f>+EOMONTH(BP$8,$C12)</f>
        <v/>
      </c>
      <c r="BQ17" s="137">
        <f>+EOMONTH(BQ$8,$C12)</f>
        <v/>
      </c>
      <c r="BR17" s="137">
        <f>+EOMONTH(BR$8,$C12)</f>
        <v/>
      </c>
      <c r="BS17" s="137">
        <f>+EOMONTH(BS$8,$C12)</f>
        <v/>
      </c>
      <c r="BT17" s="137">
        <f>+EOMONTH(BT$8,$C12)</f>
        <v/>
      </c>
      <c r="BU17" s="137">
        <f>+EOMONTH(BU$8,$C12)</f>
        <v/>
      </c>
      <c r="BV17" s="137">
        <f>+EOMONTH(BV$8,$C12)</f>
        <v/>
      </c>
      <c r="BW17" s="137">
        <f>+EOMONTH(BW$8,$C12)</f>
        <v/>
      </c>
      <c r="BX17" s="137">
        <f>+EOMONTH(BX$8,$C12)</f>
        <v/>
      </c>
      <c r="BY17" s="137">
        <f>+EOMONTH(BY$8,$C12)</f>
        <v/>
      </c>
      <c r="BZ17" s="137">
        <f>+EOMONTH(BZ$8,$C12)</f>
        <v/>
      </c>
      <c r="CA17" s="137">
        <f>+EOMONTH(CA$8,$C12)</f>
        <v/>
      </c>
      <c r="CB17" s="137">
        <f>+EOMONTH(CB$8,$C12)</f>
        <v/>
      </c>
      <c r="CC17" s="137">
        <f>+EOMONTH(CC$8,$C12)</f>
        <v/>
      </c>
      <c r="CD17" s="137">
        <f>+EOMONTH(CD$8,$C12)</f>
        <v/>
      </c>
      <c r="CE17" s="137">
        <f>+EOMONTH(CE$8,$C12)</f>
        <v/>
      </c>
      <c r="CF17" s="137">
        <f>+EOMONTH(CF$8,$C12)</f>
        <v/>
      </c>
      <c r="CG17" s="137">
        <f>+EOMONTH(CG$8,$C12)</f>
        <v/>
      </c>
      <c r="CH17" s="137">
        <f>+EOMONTH(CH$8,$C12)</f>
        <v/>
      </c>
      <c r="CI17" s="137">
        <f>+EOMONTH(CI$8,$C12)</f>
        <v/>
      </c>
      <c r="CJ17" s="137">
        <f>+EOMONTH(CJ$8,$C12)</f>
        <v/>
      </c>
      <c r="CK17" s="137">
        <f>+EOMONTH(CK$8,$C12)</f>
        <v/>
      </c>
      <c r="CL17" s="137">
        <f>+EOMONTH(CL$8,$C12)</f>
        <v/>
      </c>
      <c r="CM17" s="137">
        <f>+EOMONTH(CM$8,$C12)</f>
        <v/>
      </c>
      <c r="CN17" s="137">
        <f>+EOMONTH(CN$8,$C12)</f>
        <v/>
      </c>
      <c r="CO17" s="137">
        <f>+EOMONTH(CO$8,$C12)</f>
        <v/>
      </c>
      <c r="CP17" s="137">
        <f>+EOMONTH(CP$8,$C12)</f>
        <v/>
      </c>
      <c r="CQ17" s="137">
        <f>+EOMONTH(CQ$8,$C12)</f>
        <v/>
      </c>
      <c r="CR17" s="137">
        <f>+EOMONTH(CR$8,$C12)</f>
        <v/>
      </c>
      <c r="CS17" s="137">
        <f>+EOMONTH(CS$8,$C12)</f>
        <v/>
      </c>
      <c r="CT17" s="137">
        <f>+EOMONTH(CT$8,$C12)</f>
        <v/>
      </c>
      <c r="CU17" s="137">
        <f>+EOMONTH(CU$8,$C12)</f>
        <v/>
      </c>
      <c r="CV17" s="137">
        <f>+EOMONTH(CV$8,$C12)</f>
        <v/>
      </c>
      <c r="CW17" s="137">
        <f>+EOMONTH(CW$8,$C12)</f>
        <v/>
      </c>
      <c r="CX17" s="137">
        <f>+EOMONTH(CX$8,$C12)</f>
        <v/>
      </c>
      <c r="CY17" s="137">
        <f>+EOMONTH(CY$8,$C12)</f>
        <v/>
      </c>
      <c r="CZ17" s="137">
        <f>+EOMONTH(CZ$8,$C12)</f>
        <v/>
      </c>
      <c r="DA17" s="137">
        <f>+EOMONTH(DA$8,$C12)</f>
        <v/>
      </c>
      <c r="DB17" s="137">
        <f>+EOMONTH(DB$8,$C12)</f>
        <v/>
      </c>
      <c r="DC17" s="137">
        <f>+EOMONTH(DC$8,$C12)</f>
        <v/>
      </c>
      <c r="DD17" s="137">
        <f>+EOMONTH(DD$8,$C12)</f>
        <v/>
      </c>
      <c r="DE17" s="137">
        <f>+EOMONTH(DE$8,$C12)</f>
        <v/>
      </c>
      <c r="DF17" s="137">
        <f>+EOMONTH(DF$8,$C12)</f>
        <v/>
      </c>
      <c r="DG17" s="137">
        <f>+EOMONTH(DG$8,$C12)</f>
        <v/>
      </c>
      <c r="DH17" s="137">
        <f>+EOMONTH(DH$8,$C12)</f>
        <v/>
      </c>
      <c r="DI17" s="137">
        <f>+EOMONTH(DI$8,$C12)</f>
        <v/>
      </c>
      <c r="DJ17" s="137">
        <f>+EOMONTH(DJ$8,$C12)</f>
        <v/>
      </c>
      <c r="DK17" s="137">
        <f>+EOMONTH(DK$8,$C12)</f>
        <v/>
      </c>
      <c r="DL17" s="137">
        <f>+EOMONTH(DL$8,$C12)</f>
        <v/>
      </c>
      <c r="DM17" s="137">
        <f>+EOMONTH(DM$8,$C12)</f>
        <v/>
      </c>
      <c r="DN17" s="137">
        <f>+EOMONTH(DN$8,$C12)</f>
        <v/>
      </c>
      <c r="DO17" s="137">
        <f>+EOMONTH(DO$8,$C12)</f>
        <v/>
      </c>
      <c r="DP17" s="137">
        <f>+EOMONTH(DP$8,$C12)</f>
        <v/>
      </c>
      <c r="DQ17" s="137">
        <f>+EOMONTH(DQ$8,$C12)</f>
        <v/>
      </c>
      <c r="DR17" s="137">
        <f>+EOMONTH(DR$8,$C12)</f>
        <v/>
      </c>
    </row>
    <row r="18">
      <c r="B18" s="5" t="inlineStr">
        <is>
          <t>Upper Middle Market Implementation End Month</t>
        </is>
      </c>
      <c r="BN18" s="137">
        <f>+EOMONTH(BN$8,$C13)</f>
        <v/>
      </c>
      <c r="BO18" s="137">
        <f>+EOMONTH(BO$8,$C13)</f>
        <v/>
      </c>
      <c r="BP18" s="137">
        <f>+EOMONTH(BP$8,$C13)</f>
        <v/>
      </c>
      <c r="BQ18" s="137">
        <f>+EOMONTH(BQ$8,$C13)</f>
        <v/>
      </c>
      <c r="BR18" s="137">
        <f>+EOMONTH(BR$8,$C13)</f>
        <v/>
      </c>
      <c r="BS18" s="137">
        <f>+EOMONTH(BS$8,$C13)</f>
        <v/>
      </c>
      <c r="BT18" s="137">
        <f>+EOMONTH(BT$8,$C13)</f>
        <v/>
      </c>
      <c r="BU18" s="137">
        <f>+EOMONTH(BU$8,$C13)</f>
        <v/>
      </c>
      <c r="BV18" s="137">
        <f>+EOMONTH(BV$8,$C13)</f>
        <v/>
      </c>
      <c r="BW18" s="137">
        <f>+EOMONTH(BW$8,$C13)</f>
        <v/>
      </c>
      <c r="BX18" s="137">
        <f>+EOMONTH(BX$8,$C13)</f>
        <v/>
      </c>
      <c r="BY18" s="137">
        <f>+EOMONTH(BY$8,$C13)</f>
        <v/>
      </c>
      <c r="BZ18" s="137">
        <f>+EOMONTH(BZ$8,$C13)</f>
        <v/>
      </c>
      <c r="CA18" s="137">
        <f>+EOMONTH(CA$8,$C13)</f>
        <v/>
      </c>
      <c r="CB18" s="137">
        <f>+EOMONTH(CB$8,$C13)</f>
        <v/>
      </c>
      <c r="CC18" s="137">
        <f>+EOMONTH(CC$8,$C13)</f>
        <v/>
      </c>
      <c r="CD18" s="137">
        <f>+EOMONTH(CD$8,$C13)</f>
        <v/>
      </c>
      <c r="CE18" s="137">
        <f>+EOMONTH(CE$8,$C13)</f>
        <v/>
      </c>
      <c r="CF18" s="137">
        <f>+EOMONTH(CF$8,$C13)</f>
        <v/>
      </c>
      <c r="CG18" s="137">
        <f>+EOMONTH(CG$8,$C13)</f>
        <v/>
      </c>
      <c r="CH18" s="137">
        <f>+EOMONTH(CH$8,$C13)</f>
        <v/>
      </c>
      <c r="CI18" s="137">
        <f>+EOMONTH(CI$8,$C13)</f>
        <v/>
      </c>
      <c r="CJ18" s="137">
        <f>+EOMONTH(CJ$8,$C13)</f>
        <v/>
      </c>
      <c r="CK18" s="137">
        <f>+EOMONTH(CK$8,$C13)</f>
        <v/>
      </c>
      <c r="CL18" s="137">
        <f>+EOMONTH(CL$8,$C13)</f>
        <v/>
      </c>
      <c r="CM18" s="137">
        <f>+EOMONTH(CM$8,$C13)</f>
        <v/>
      </c>
      <c r="CN18" s="137">
        <f>+EOMONTH(CN$8,$C13)</f>
        <v/>
      </c>
      <c r="CO18" s="137">
        <f>+EOMONTH(CO$8,$C13)</f>
        <v/>
      </c>
      <c r="CP18" s="137">
        <f>+EOMONTH(CP$8,$C13)</f>
        <v/>
      </c>
      <c r="CQ18" s="137">
        <f>+EOMONTH(CQ$8,$C13)</f>
        <v/>
      </c>
      <c r="CR18" s="137">
        <f>+EOMONTH(CR$8,$C13)</f>
        <v/>
      </c>
      <c r="CS18" s="137">
        <f>+EOMONTH(CS$8,$C13)</f>
        <v/>
      </c>
      <c r="CT18" s="137">
        <f>+EOMONTH(CT$8,$C13)</f>
        <v/>
      </c>
      <c r="CU18" s="137">
        <f>+EOMONTH(CU$8,$C13)</f>
        <v/>
      </c>
      <c r="CV18" s="137">
        <f>+EOMONTH(CV$8,$C13)</f>
        <v/>
      </c>
      <c r="CW18" s="137">
        <f>+EOMONTH(CW$8,$C13)</f>
        <v/>
      </c>
      <c r="CX18" s="137">
        <f>+EOMONTH(CX$8,$C13)</f>
        <v/>
      </c>
      <c r="CY18" s="137">
        <f>+EOMONTH(CY$8,$C13)</f>
        <v/>
      </c>
      <c r="CZ18" s="137">
        <f>+EOMONTH(CZ$8,$C13)</f>
        <v/>
      </c>
      <c r="DA18" s="137">
        <f>+EOMONTH(DA$8,$C13)</f>
        <v/>
      </c>
      <c r="DB18" s="137">
        <f>+EOMONTH(DB$8,$C13)</f>
        <v/>
      </c>
      <c r="DC18" s="137">
        <f>+EOMONTH(DC$8,$C13)</f>
        <v/>
      </c>
      <c r="DD18" s="137">
        <f>+EOMONTH(DD$8,$C13)</f>
        <v/>
      </c>
      <c r="DE18" s="137">
        <f>+EOMONTH(DE$8,$C13)</f>
        <v/>
      </c>
      <c r="DF18" s="137">
        <f>+EOMONTH(DF$8,$C13)</f>
        <v/>
      </c>
      <c r="DG18" s="137">
        <f>+EOMONTH(DG$8,$C13)</f>
        <v/>
      </c>
      <c r="DH18" s="137">
        <f>+EOMONTH(DH$8,$C13)</f>
        <v/>
      </c>
      <c r="DI18" s="137">
        <f>+EOMONTH(DI$8,$C13)</f>
        <v/>
      </c>
      <c r="DJ18" s="137">
        <f>+EOMONTH(DJ$8,$C13)</f>
        <v/>
      </c>
      <c r="DK18" s="137">
        <f>+EOMONTH(DK$8,$C13)</f>
        <v/>
      </c>
      <c r="DL18" s="137">
        <f>+EOMONTH(DL$8,$C13)</f>
        <v/>
      </c>
      <c r="DM18" s="137">
        <f>+EOMONTH(DM$8,$C13)</f>
        <v/>
      </c>
      <c r="DN18" s="137">
        <f>+EOMONTH(DN$8,$C13)</f>
        <v/>
      </c>
      <c r="DO18" s="137">
        <f>+EOMONTH(DO$8,$C13)</f>
        <v/>
      </c>
      <c r="DP18" s="137">
        <f>+EOMONTH(DP$8,$C13)</f>
        <v/>
      </c>
      <c r="DQ18" s="137">
        <f>+EOMONTH(DQ$8,$C13)</f>
        <v/>
      </c>
      <c r="DR18" s="137">
        <f>+EOMONTH(DR$8,$C13)</f>
        <v/>
      </c>
    </row>
    <row r="19">
      <c r="B19" s="5" t="inlineStr">
        <is>
          <t>Lower Middle Market Implementation End Month</t>
        </is>
      </c>
      <c r="BN19" s="137">
        <f>+EOMONTH(BN$8,$C14)</f>
        <v/>
      </c>
      <c r="BO19" s="137">
        <f>+EOMONTH(BO$8,$C14)</f>
        <v/>
      </c>
      <c r="BP19" s="137">
        <f>+EOMONTH(BP$8,$C14)</f>
        <v/>
      </c>
      <c r="BQ19" s="137">
        <f>+EOMONTH(BQ$8,$C14)</f>
        <v/>
      </c>
      <c r="BR19" s="137">
        <f>+EOMONTH(BR$8,$C14)</f>
        <v/>
      </c>
      <c r="BS19" s="137">
        <f>+EOMONTH(BS$8,$C14)</f>
        <v/>
      </c>
      <c r="BT19" s="137">
        <f>+EOMONTH(BT$8,$C14)</f>
        <v/>
      </c>
      <c r="BU19" s="137">
        <f>+EOMONTH(BU$8,$C14)</f>
        <v/>
      </c>
      <c r="BV19" s="137">
        <f>+EOMONTH(BV$8,$C14)</f>
        <v/>
      </c>
      <c r="BW19" s="137">
        <f>+EOMONTH(BW$8,$C14)</f>
        <v/>
      </c>
      <c r="BX19" s="137">
        <f>+EOMONTH(BX$8,$C14)</f>
        <v/>
      </c>
      <c r="BY19" s="137">
        <f>+EOMONTH(BY$8,$C14)</f>
        <v/>
      </c>
      <c r="BZ19" s="137">
        <f>+EOMONTH(BZ$8,$C14)</f>
        <v/>
      </c>
      <c r="CA19" s="137">
        <f>+EOMONTH(CA$8,$C14)</f>
        <v/>
      </c>
      <c r="CB19" s="137">
        <f>+EOMONTH(CB$8,$C14)</f>
        <v/>
      </c>
      <c r="CC19" s="137">
        <f>+EOMONTH(CC$8,$C14)</f>
        <v/>
      </c>
      <c r="CD19" s="137">
        <f>+EOMONTH(CD$8,$C14)</f>
        <v/>
      </c>
      <c r="CE19" s="137">
        <f>+EOMONTH(CE$8,$C14)</f>
        <v/>
      </c>
      <c r="CF19" s="137">
        <f>+EOMONTH(CF$8,$C14)</f>
        <v/>
      </c>
      <c r="CG19" s="137">
        <f>+EOMONTH(CG$8,$C14)</f>
        <v/>
      </c>
      <c r="CH19" s="137">
        <f>+EOMONTH(CH$8,$C14)</f>
        <v/>
      </c>
      <c r="CI19" s="137">
        <f>+EOMONTH(CI$8,$C14)</f>
        <v/>
      </c>
      <c r="CJ19" s="137">
        <f>+EOMONTH(CJ$8,$C14)</f>
        <v/>
      </c>
      <c r="CK19" s="137">
        <f>+EOMONTH(CK$8,$C14)</f>
        <v/>
      </c>
      <c r="CL19" s="137">
        <f>+EOMONTH(CL$8,$C14)</f>
        <v/>
      </c>
      <c r="CM19" s="137">
        <f>+EOMONTH(CM$8,$C14)</f>
        <v/>
      </c>
      <c r="CN19" s="137">
        <f>+EOMONTH(CN$8,$C14)</f>
        <v/>
      </c>
      <c r="CO19" s="137">
        <f>+EOMONTH(CO$8,$C14)</f>
        <v/>
      </c>
      <c r="CP19" s="137">
        <f>+EOMONTH(CP$8,$C14)</f>
        <v/>
      </c>
      <c r="CQ19" s="137">
        <f>+EOMONTH(CQ$8,$C14)</f>
        <v/>
      </c>
      <c r="CR19" s="137">
        <f>+EOMONTH(CR$8,$C14)</f>
        <v/>
      </c>
      <c r="CS19" s="137">
        <f>+EOMONTH(CS$8,$C14)</f>
        <v/>
      </c>
      <c r="CT19" s="137">
        <f>+EOMONTH(CT$8,$C14)</f>
        <v/>
      </c>
      <c r="CU19" s="137">
        <f>+EOMONTH(CU$8,$C14)</f>
        <v/>
      </c>
      <c r="CV19" s="137">
        <f>+EOMONTH(CV$8,$C14)</f>
        <v/>
      </c>
      <c r="CW19" s="137">
        <f>+EOMONTH(CW$8,$C14)</f>
        <v/>
      </c>
      <c r="CX19" s="137">
        <f>+EOMONTH(CX$8,$C14)</f>
        <v/>
      </c>
      <c r="CY19" s="137">
        <f>+EOMONTH(CY$8,$C14)</f>
        <v/>
      </c>
      <c r="CZ19" s="137">
        <f>+EOMONTH(CZ$8,$C14)</f>
        <v/>
      </c>
      <c r="DA19" s="137">
        <f>+EOMONTH(DA$8,$C14)</f>
        <v/>
      </c>
      <c r="DB19" s="137">
        <f>+EOMONTH(DB$8,$C14)</f>
        <v/>
      </c>
      <c r="DC19" s="137">
        <f>+EOMONTH(DC$8,$C14)</f>
        <v/>
      </c>
      <c r="DD19" s="137">
        <f>+EOMONTH(DD$8,$C14)</f>
        <v/>
      </c>
      <c r="DE19" s="137">
        <f>+EOMONTH(DE$8,$C14)</f>
        <v/>
      </c>
      <c r="DF19" s="137">
        <f>+EOMONTH(DF$8,$C14)</f>
        <v/>
      </c>
      <c r="DG19" s="137">
        <f>+EOMONTH(DG$8,$C14)</f>
        <v/>
      </c>
      <c r="DH19" s="137">
        <f>+EOMONTH(DH$8,$C14)</f>
        <v/>
      </c>
      <c r="DI19" s="137">
        <f>+EOMONTH(DI$8,$C14)</f>
        <v/>
      </c>
      <c r="DJ19" s="137">
        <f>+EOMONTH(DJ$8,$C14)</f>
        <v/>
      </c>
      <c r="DK19" s="137">
        <f>+EOMONTH(DK$8,$C14)</f>
        <v/>
      </c>
      <c r="DL19" s="137">
        <f>+EOMONTH(DL$8,$C14)</f>
        <v/>
      </c>
      <c r="DM19" s="137">
        <f>+EOMONTH(DM$8,$C14)</f>
        <v/>
      </c>
      <c r="DN19" s="137">
        <f>+EOMONTH(DN$8,$C14)</f>
        <v/>
      </c>
      <c r="DO19" s="137">
        <f>+EOMONTH(DO$8,$C14)</f>
        <v/>
      </c>
      <c r="DP19" s="137">
        <f>+EOMONTH(DP$8,$C14)</f>
        <v/>
      </c>
      <c r="DQ19" s="137">
        <f>+EOMONTH(DQ$8,$C14)</f>
        <v/>
      </c>
      <c r="DR19" s="137">
        <f>+EOMONTH(DR$8,$C14)</f>
        <v/>
      </c>
    </row>
    <row r="20" ht="4.5" customHeight="1"/>
    <row r="21" ht="15.75" customHeight="1">
      <c r="B21" s="95" t="inlineStr">
        <is>
          <t>Mega</t>
        </is>
      </c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6" t="n"/>
      <c r="AQ21" s="96" t="n"/>
      <c r="AR21" s="96" t="n"/>
      <c r="AS21" s="96" t="n"/>
      <c r="AT21" s="96" t="n"/>
      <c r="AU21" s="96" t="n"/>
      <c r="AV21" s="96" t="n"/>
      <c r="AW21" s="96" t="n"/>
      <c r="AX21" s="96" t="n"/>
      <c r="AY21" s="96" t="n"/>
      <c r="AZ21" s="96" t="n"/>
      <c r="BA21" s="96" t="n"/>
      <c r="BB21" s="96" t="n"/>
      <c r="BC21" s="96" t="n"/>
      <c r="BD21" s="96" t="n"/>
      <c r="BE21" s="96" t="n"/>
      <c r="BF21" s="96" t="n"/>
      <c r="BG21" s="96" t="n"/>
      <c r="BH21" s="96" t="n"/>
      <c r="BI21" s="96" t="n"/>
      <c r="BJ21" s="96" t="n"/>
      <c r="BK21" s="96" t="n"/>
      <c r="BL21" s="96" t="n"/>
      <c r="BM21" s="96" t="n"/>
      <c r="BN21" s="96" t="n"/>
      <c r="BO21" s="96" t="n"/>
      <c r="BP21" s="96" t="n"/>
      <c r="BQ21" s="96" t="n"/>
      <c r="BR21" s="96" t="n"/>
      <c r="BS21" s="96" t="n"/>
      <c r="BT21" s="96" t="n"/>
      <c r="BU21" s="96" t="n"/>
      <c r="BV21" s="96" t="n"/>
      <c r="BW21" s="96" t="n"/>
      <c r="BX21" s="96" t="n"/>
      <c r="BY21" s="96" t="n"/>
      <c r="BZ21" s="96" t="n"/>
      <c r="CA21" s="96" t="n"/>
      <c r="CB21" s="96" t="n"/>
      <c r="CC21" s="96" t="n"/>
      <c r="CD21" s="96" t="n"/>
      <c r="CE21" s="96" t="n"/>
      <c r="CF21" s="96" t="n"/>
      <c r="CG21" s="96" t="n"/>
      <c r="CH21" s="96" t="n"/>
      <c r="CI21" s="96" t="n"/>
      <c r="CJ21" s="96" t="n"/>
      <c r="CK21" s="96" t="n"/>
      <c r="CL21" s="96" t="n"/>
      <c r="CM21" s="96" t="n"/>
      <c r="CN21" s="96" t="n"/>
      <c r="CO21" s="96" t="n"/>
      <c r="CP21" s="96" t="n"/>
      <c r="CQ21" s="96" t="n"/>
      <c r="CR21" s="96" t="n"/>
      <c r="CS21" s="96" t="n"/>
      <c r="CT21" s="96" t="n"/>
      <c r="CU21" s="96" t="n"/>
      <c r="CV21" s="96" t="n"/>
      <c r="CW21" s="96" t="n"/>
      <c r="CX21" s="96" t="n"/>
      <c r="CY21" s="96" t="n"/>
      <c r="CZ21" s="96" t="n"/>
      <c r="DA21" s="96" t="n"/>
      <c r="DB21" s="96" t="n"/>
      <c r="DC21" s="96" t="n"/>
      <c r="DD21" s="96" t="n"/>
      <c r="DE21" s="96" t="n"/>
      <c r="DF21" s="96" t="n"/>
      <c r="DG21" s="96" t="n"/>
      <c r="DH21" s="96" t="n"/>
      <c r="DI21" s="96" t="n"/>
      <c r="DJ21" s="96" t="n"/>
      <c r="DK21" s="96" t="n"/>
      <c r="DL21" s="96" t="n"/>
      <c r="DM21" s="96" t="n"/>
      <c r="DN21" s="96" t="n"/>
      <c r="DO21" s="96" t="n"/>
      <c r="DP21" s="96" t="n"/>
      <c r="DQ21" s="96" t="n"/>
      <c r="DR21" s="96" t="n"/>
    </row>
    <row r="22" ht="15.75" customHeight="1">
      <c r="B22" s="5" t="inlineStr">
        <is>
          <t>New Bookings</t>
        </is>
      </c>
      <c r="BN22" s="98" t="n"/>
      <c r="BO22" s="98" t="n"/>
      <c r="BP22" s="98" t="n"/>
      <c r="BQ22" s="98">
        <f>SUMIFS(Revenue_Assumptions!$I$17:$M$17,Revenue_Assumptions!$I$7:$M$7,BQ$7)/12</f>
        <v/>
      </c>
      <c r="BR22" s="98">
        <f>SUMIFS(Revenue_Assumptions!$I$17:$M$17,Revenue_Assumptions!$I$7:$M$7,BR$7)/12</f>
        <v/>
      </c>
      <c r="BS22" s="98">
        <f>SUMIFS(Revenue_Assumptions!$I$17:$M$17,Revenue_Assumptions!$I$7:$M$7,BS$7)/12</f>
        <v/>
      </c>
      <c r="BT22" s="98">
        <f>SUMIFS(Revenue_Assumptions!$I$17:$M$17,Revenue_Assumptions!$I$7:$M$7,BT$7)/12</f>
        <v/>
      </c>
      <c r="BU22" s="98">
        <f>SUMIFS(Revenue_Assumptions!$I$17:$M$17,Revenue_Assumptions!$I$7:$M$7,BU$7)/12</f>
        <v/>
      </c>
      <c r="BV22" s="98">
        <f>SUMIFS(Revenue_Assumptions!$I$17:$M$17,Revenue_Assumptions!$I$7:$M$7,BV$7)/12</f>
        <v/>
      </c>
      <c r="BW22" s="98">
        <f>SUMIFS(Revenue_Assumptions!$I$17:$M$17,Revenue_Assumptions!$I$7:$M$7,BW$7)/12</f>
        <v/>
      </c>
      <c r="BX22" s="98">
        <f>SUMIFS(Revenue_Assumptions!$I$17:$M$17,Revenue_Assumptions!$I$7:$M$7,BX$7)/12</f>
        <v/>
      </c>
      <c r="BY22" s="98">
        <f>SUMIFS(Revenue_Assumptions!$I$17:$M$17,Revenue_Assumptions!$I$7:$M$7,BY$7)/12</f>
        <v/>
      </c>
      <c r="BZ22" s="98">
        <f>SUMIFS(Revenue_Assumptions!$I$17:$M$17,Revenue_Assumptions!$I$7:$M$7,BZ$7)/12</f>
        <v/>
      </c>
      <c r="CA22" s="98">
        <f>SUMIFS(Revenue_Assumptions!$I$17:$M$17,Revenue_Assumptions!$I$7:$M$7,CA$7)/12</f>
        <v/>
      </c>
      <c r="CB22" s="98">
        <f>SUMIFS(Revenue_Assumptions!$I$17:$M$17,Revenue_Assumptions!$I$7:$M$7,CB$7)/12</f>
        <v/>
      </c>
      <c r="CC22" s="98">
        <f>SUMIFS(Revenue_Assumptions!$I$17:$M$17,Revenue_Assumptions!$I$7:$M$7,CC$7)/12</f>
        <v/>
      </c>
      <c r="CD22" s="98">
        <f>SUMIFS(Revenue_Assumptions!$I$17:$M$17,Revenue_Assumptions!$I$7:$M$7,CD$7)/12</f>
        <v/>
      </c>
      <c r="CE22" s="98">
        <f>SUMIFS(Revenue_Assumptions!$I$17:$M$17,Revenue_Assumptions!$I$7:$M$7,CE$7)/12</f>
        <v/>
      </c>
      <c r="CF22" s="98">
        <f>SUMIFS(Revenue_Assumptions!$I$17:$M$17,Revenue_Assumptions!$I$7:$M$7,CF$7)/12</f>
        <v/>
      </c>
      <c r="CG22" s="98">
        <f>SUMIFS(Revenue_Assumptions!$I$17:$M$17,Revenue_Assumptions!$I$7:$M$7,CG$7)/12</f>
        <v/>
      </c>
      <c r="CH22" s="98">
        <f>SUMIFS(Revenue_Assumptions!$I$17:$M$17,Revenue_Assumptions!$I$7:$M$7,CH$7)/12</f>
        <v/>
      </c>
      <c r="CI22" s="98">
        <f>SUMIFS(Revenue_Assumptions!$I$17:$M$17,Revenue_Assumptions!$I$7:$M$7,CI$7)/12</f>
        <v/>
      </c>
      <c r="CJ22" s="98">
        <f>SUMIFS(Revenue_Assumptions!$I$17:$M$17,Revenue_Assumptions!$I$7:$M$7,CJ$7)/12</f>
        <v/>
      </c>
      <c r="CK22" s="98">
        <f>SUMIFS(Revenue_Assumptions!$I$17:$M$17,Revenue_Assumptions!$I$7:$M$7,CK$7)/12</f>
        <v/>
      </c>
      <c r="CL22" s="98">
        <f>SUMIFS(Revenue_Assumptions!$I$17:$M$17,Revenue_Assumptions!$I$7:$M$7,CL$7)/12</f>
        <v/>
      </c>
      <c r="CM22" s="98">
        <f>SUMIFS(Revenue_Assumptions!$I$17:$M$17,Revenue_Assumptions!$I$7:$M$7,CM$7)/12</f>
        <v/>
      </c>
      <c r="CN22" s="98">
        <f>SUMIFS(Revenue_Assumptions!$I$17:$M$17,Revenue_Assumptions!$I$7:$M$7,CN$7)/12</f>
        <v/>
      </c>
      <c r="CO22" s="98">
        <f>SUMIFS(Revenue_Assumptions!$I$17:$M$17,Revenue_Assumptions!$I$7:$M$7,CO$7)/12</f>
        <v/>
      </c>
      <c r="CP22" s="98">
        <f>SUMIFS(Revenue_Assumptions!$I$17:$M$17,Revenue_Assumptions!$I$7:$M$7,CP$7)/12</f>
        <v/>
      </c>
      <c r="CQ22" s="98">
        <f>SUMIFS(Revenue_Assumptions!$I$17:$M$17,Revenue_Assumptions!$I$7:$M$7,CQ$7)/12</f>
        <v/>
      </c>
      <c r="CR22" s="98">
        <f>SUMIFS(Revenue_Assumptions!$I$17:$M$17,Revenue_Assumptions!$I$7:$M$7,CR$7)/12</f>
        <v/>
      </c>
      <c r="CS22" s="98">
        <f>SUMIFS(Revenue_Assumptions!$I$17:$M$17,Revenue_Assumptions!$I$7:$M$7,CS$7)/12</f>
        <v/>
      </c>
      <c r="CT22" s="98">
        <f>SUMIFS(Revenue_Assumptions!$I$17:$M$17,Revenue_Assumptions!$I$7:$M$7,CT$7)/12</f>
        <v/>
      </c>
      <c r="CU22" s="98">
        <f>SUMIFS(Revenue_Assumptions!$I$17:$M$17,Revenue_Assumptions!$I$7:$M$7,CU$7)/12</f>
        <v/>
      </c>
      <c r="CV22" s="98">
        <f>SUMIFS(Revenue_Assumptions!$I$17:$M$17,Revenue_Assumptions!$I$7:$M$7,CV$7)/12</f>
        <v/>
      </c>
      <c r="CW22" s="98">
        <f>SUMIFS(Revenue_Assumptions!$I$17:$M$17,Revenue_Assumptions!$I$7:$M$7,CW$7)/12</f>
        <v/>
      </c>
      <c r="CX22" s="98">
        <f>SUMIFS(Revenue_Assumptions!$I$17:$M$17,Revenue_Assumptions!$I$7:$M$7,CX$7)/12</f>
        <v/>
      </c>
      <c r="CY22" s="98">
        <f>SUMIFS(Revenue_Assumptions!$I$17:$M$17,Revenue_Assumptions!$I$7:$M$7,CY$7)/12</f>
        <v/>
      </c>
      <c r="CZ22" s="98">
        <f>SUMIFS(Revenue_Assumptions!$I$17:$M$17,Revenue_Assumptions!$I$7:$M$7,CZ$7)/12</f>
        <v/>
      </c>
      <c r="DA22" s="98">
        <f>SUMIFS(Revenue_Assumptions!$I$17:$M$17,Revenue_Assumptions!$I$7:$M$7,DA$7)/12</f>
        <v/>
      </c>
      <c r="DB22" s="98">
        <f>SUMIFS(Revenue_Assumptions!$I$17:$M$17,Revenue_Assumptions!$I$7:$M$7,DB$7)/12</f>
        <v/>
      </c>
      <c r="DC22" s="98">
        <f>SUMIFS(Revenue_Assumptions!$I$17:$M$17,Revenue_Assumptions!$I$7:$M$7,DC$7)/12</f>
        <v/>
      </c>
      <c r="DD22" s="98">
        <f>SUMIFS(Revenue_Assumptions!$I$17:$M$17,Revenue_Assumptions!$I$7:$M$7,DD$7)/12</f>
        <v/>
      </c>
      <c r="DE22" s="98">
        <f>SUMIFS(Revenue_Assumptions!$I$17:$M$17,Revenue_Assumptions!$I$7:$M$7,DE$7)/12</f>
        <v/>
      </c>
      <c r="DF22" s="98">
        <f>SUMIFS(Revenue_Assumptions!$I$17:$M$17,Revenue_Assumptions!$I$7:$M$7,DF$7)/12</f>
        <v/>
      </c>
      <c r="DG22" s="98">
        <f>SUMIFS(Revenue_Assumptions!$I$17:$M$17,Revenue_Assumptions!$I$7:$M$7,DG$7)/12</f>
        <v/>
      </c>
      <c r="DH22" s="98">
        <f>SUMIFS(Revenue_Assumptions!$I$17:$M$17,Revenue_Assumptions!$I$7:$M$7,DH$7)/12</f>
        <v/>
      </c>
      <c r="DI22" s="98">
        <f>SUMIFS(Revenue_Assumptions!$I$17:$M$17,Revenue_Assumptions!$I$7:$M$7,DI$7)/12</f>
        <v/>
      </c>
      <c r="DJ22" s="98">
        <f>SUMIFS(Revenue_Assumptions!$I$17:$M$17,Revenue_Assumptions!$I$7:$M$7,DJ$7)/12</f>
        <v/>
      </c>
      <c r="DK22" s="98">
        <f>SUMIFS(Revenue_Assumptions!$I$17:$M$17,Revenue_Assumptions!$I$7:$M$7,DK$7)/12</f>
        <v/>
      </c>
      <c r="DL22" s="98">
        <f>SUMIFS(Revenue_Assumptions!$I$17:$M$17,Revenue_Assumptions!$I$7:$M$7,DL$7)/12</f>
        <v/>
      </c>
      <c r="DM22" s="98">
        <f>SUMIFS(Revenue_Assumptions!$I$17:$M$17,Revenue_Assumptions!$I$7:$M$7,DM$7)/12</f>
        <v/>
      </c>
      <c r="DN22" s="98">
        <f>SUMIFS(Revenue_Assumptions!$I$17:$M$17,Revenue_Assumptions!$I$7:$M$7,DN$7)/12</f>
        <v/>
      </c>
      <c r="DO22" s="98">
        <f>SUMIFS(Revenue_Assumptions!$I$17:$M$17,Revenue_Assumptions!$I$7:$M$7,DO$7)/12</f>
        <v/>
      </c>
      <c r="DP22" s="98">
        <f>SUMIFS(Revenue_Assumptions!$I$17:$M$17,Revenue_Assumptions!$I$7:$M$7,DP$7)/12</f>
        <v/>
      </c>
      <c r="DQ22" s="98">
        <f>SUMIFS(Revenue_Assumptions!$I$17:$M$17,Revenue_Assumptions!$I$7:$M$7,DQ$7)/12</f>
        <v/>
      </c>
      <c r="DR22" s="98">
        <f>SUMIFS(Revenue_Assumptions!$I$17:$M$17,Revenue_Assumptions!$I$7:$M$7,DR$7)/12</f>
        <v/>
      </c>
    </row>
    <row r="23" ht="15.75" customHeight="1">
      <c r="B23" s="5" t="inlineStr">
        <is>
          <t>Active Bookings</t>
        </is>
      </c>
      <c r="BN23" s="98" t="n"/>
      <c r="BO23" s="98" t="n"/>
      <c r="BP23" s="98" t="n"/>
      <c r="BQ23" s="98">
        <f>+SUM(OFFSET(BQ22,0,-$C$11):BQ22)</f>
        <v/>
      </c>
      <c r="BR23" s="98">
        <f>+SUM(OFFSET(BR22,0,-$C$11):BR22)</f>
        <v/>
      </c>
      <c r="BS23" s="98">
        <f>+SUM(OFFSET(BS22,0,-$C$11):BS22)</f>
        <v/>
      </c>
      <c r="BT23" s="98">
        <f>+SUM(OFFSET(BT22,0,-$C$11):BT22)</f>
        <v/>
      </c>
      <c r="BU23" s="98">
        <f>+SUM(OFFSET(BU22,0,-$C$11):BU22)</f>
        <v/>
      </c>
      <c r="BV23" s="98">
        <f>+SUM(OFFSET(BV22,0,-$C$11):BV22)</f>
        <v/>
      </c>
      <c r="BW23" s="98">
        <f>+SUM(OFFSET(BW22,0,-$C$11):BW22)</f>
        <v/>
      </c>
      <c r="BX23" s="98">
        <f>+SUM(OFFSET(BX22,0,-$C$11):BX22)</f>
        <v/>
      </c>
      <c r="BY23" s="98">
        <f>+SUM(OFFSET(BY22,0,-$C$11):BY22)</f>
        <v/>
      </c>
      <c r="BZ23" s="98">
        <f>+SUM(OFFSET(BZ22,0,-$C$11):BZ22)</f>
        <v/>
      </c>
      <c r="CA23" s="98">
        <f>+SUM(OFFSET(CA22,0,-$C$11):CA22)</f>
        <v/>
      </c>
      <c r="CB23" s="98">
        <f>+SUM(OFFSET(CB22,0,-$C$11):CB22)</f>
        <v/>
      </c>
      <c r="CC23" s="98">
        <f>+SUM(OFFSET(CC22,0,-$C$11):CC22)</f>
        <v/>
      </c>
      <c r="CD23" s="98">
        <f>+SUM(OFFSET(CD22,0,-$C$11):CD22)</f>
        <v/>
      </c>
      <c r="CE23" s="98">
        <f>+SUM(OFFSET(CE22,0,-$C$11):CE22)</f>
        <v/>
      </c>
      <c r="CF23" s="98">
        <f>+SUM(OFFSET(CF22,0,-$C$11):CF22)</f>
        <v/>
      </c>
      <c r="CG23" s="98">
        <f>+SUM(OFFSET(CG22,0,-$C$11):CG22)</f>
        <v/>
      </c>
      <c r="CH23" s="98">
        <f>+SUM(OFFSET(CH22,0,-$C$11):CH22)</f>
        <v/>
      </c>
      <c r="CI23" s="98">
        <f>+SUM(OFFSET(CI22,0,-$C$11):CI22)</f>
        <v/>
      </c>
      <c r="CJ23" s="98">
        <f>+SUM(OFFSET(CJ22,0,-$C$11):CJ22)</f>
        <v/>
      </c>
      <c r="CK23" s="98">
        <f>+SUM(OFFSET(CK22,0,-$C$11):CK22)</f>
        <v/>
      </c>
      <c r="CL23" s="98">
        <f>+SUM(OFFSET(CL22,0,-$C$11):CL22)</f>
        <v/>
      </c>
      <c r="CM23" s="98">
        <f>+SUM(OFFSET(CM22,0,-$C$11):CM22)</f>
        <v/>
      </c>
      <c r="CN23" s="98">
        <f>+SUM(OFFSET(CN22,0,-$C$11):CN22)</f>
        <v/>
      </c>
      <c r="CO23" s="98">
        <f>+SUM(OFFSET(CO22,0,-$C$11):CO22)</f>
        <v/>
      </c>
      <c r="CP23" s="98">
        <f>+SUM(OFFSET(CP22,0,-$C$11):CP22)</f>
        <v/>
      </c>
      <c r="CQ23" s="98">
        <f>+SUM(OFFSET(CQ22,0,-$C$11):CQ22)</f>
        <v/>
      </c>
      <c r="CR23" s="98">
        <f>+SUM(OFFSET(CR22,0,-$C$11):CR22)</f>
        <v/>
      </c>
      <c r="CS23" s="98">
        <f>+SUM(OFFSET(CS22,0,-$C$11):CS22)</f>
        <v/>
      </c>
      <c r="CT23" s="98">
        <f>+SUM(OFFSET(CT22,0,-$C$11):CT22)</f>
        <v/>
      </c>
      <c r="CU23" s="98">
        <f>+SUM(OFFSET(CU22,0,-$C$11):CU22)</f>
        <v/>
      </c>
      <c r="CV23" s="98">
        <f>+SUM(OFFSET(CV22,0,-$C$11):CV22)</f>
        <v/>
      </c>
      <c r="CW23" s="98">
        <f>+SUM(OFFSET(CW22,0,-$C$11):CW22)</f>
        <v/>
      </c>
      <c r="CX23" s="98">
        <f>+SUM(OFFSET(CX22,0,-$C$11):CX22)</f>
        <v/>
      </c>
      <c r="CY23" s="98">
        <f>+SUM(OFFSET(CY22,0,-$C$11):CY22)</f>
        <v/>
      </c>
      <c r="CZ23" s="98">
        <f>+SUM(OFFSET(CZ22,0,-$C$11):CZ22)</f>
        <v/>
      </c>
      <c r="DA23" s="98">
        <f>+SUM(OFFSET(DA22,0,-$C$11):DA22)</f>
        <v/>
      </c>
      <c r="DB23" s="98">
        <f>+SUM(OFFSET(DB22,0,-$C$11):DB22)</f>
        <v/>
      </c>
      <c r="DC23" s="98">
        <f>+SUM(OFFSET(DC22,0,-$C$11):DC22)</f>
        <v/>
      </c>
      <c r="DD23" s="98">
        <f>+SUM(OFFSET(DD22,0,-$C$11):DD22)</f>
        <v/>
      </c>
      <c r="DE23" s="98">
        <f>+SUM(OFFSET(DE22,0,-$C$11):DE22)</f>
        <v/>
      </c>
      <c r="DF23" s="98">
        <f>+SUM(OFFSET(DF22,0,-$C$11):DF22)</f>
        <v/>
      </c>
      <c r="DG23" s="98">
        <f>+SUM(OFFSET(DG22,0,-$C$11):DG22)</f>
        <v/>
      </c>
      <c r="DH23" s="98">
        <f>+SUM(OFFSET(DH22,0,-$C$11):DH22)</f>
        <v/>
      </c>
      <c r="DI23" s="98">
        <f>+SUM(OFFSET(DI22,0,-$C$11):DI22)</f>
        <v/>
      </c>
      <c r="DJ23" s="98">
        <f>+SUM(OFFSET(DJ22,0,-$C$11):DJ22)</f>
        <v/>
      </c>
      <c r="DK23" s="98">
        <f>+SUM(OFFSET(DK22,0,-$C$11):DK22)</f>
        <v/>
      </c>
      <c r="DL23" s="98">
        <f>+SUM(OFFSET(DL22,0,-$C$11):DL22)</f>
        <v/>
      </c>
      <c r="DM23" s="98">
        <f>+SUM(OFFSET(DM22,0,-$C$11):DM22)</f>
        <v/>
      </c>
      <c r="DN23" s="98">
        <f>+SUM(OFFSET(DN22,0,-$C$11):DN22)</f>
        <v/>
      </c>
      <c r="DO23" s="98">
        <f>+SUM(OFFSET(DO22,0,-$C$11):DO22)</f>
        <v/>
      </c>
      <c r="DP23" s="98">
        <f>+SUM(OFFSET(DP22,0,-$C$11):DP22)</f>
        <v/>
      </c>
      <c r="DQ23" s="98">
        <f>+SUM(OFFSET(DQ22,0,-$C$11):DQ22)</f>
        <v/>
      </c>
      <c r="DR23" s="98">
        <f>+SUM(OFFSET(DR22,0,-$C$11):DR22)</f>
        <v/>
      </c>
    </row>
    <row r="24" ht="4.5" customHeight="1">
      <c r="BN24" s="48" t="n"/>
      <c r="BO24" s="48" t="n"/>
      <c r="BP24" s="48" t="n"/>
      <c r="BQ24" s="48" t="n"/>
      <c r="BR24" s="48" t="n"/>
      <c r="BS24" s="48" t="n"/>
      <c r="BT24" s="48" t="n"/>
      <c r="BU24" s="48" t="n"/>
      <c r="BV24" s="48" t="n"/>
      <c r="BW24" s="48" t="n"/>
      <c r="BX24" s="48" t="n"/>
      <c r="BY24" s="48" t="n"/>
      <c r="BZ24" s="48" t="n"/>
      <c r="CA24" s="48" t="n"/>
      <c r="CB24" s="48" t="n"/>
      <c r="CC24" s="48" t="n"/>
      <c r="CD24" s="48" t="n"/>
      <c r="CE24" s="48" t="n"/>
      <c r="CF24" s="48" t="n"/>
      <c r="CG24" s="48" t="n"/>
      <c r="CH24" s="48" t="n"/>
      <c r="CI24" s="48" t="n"/>
      <c r="CJ24" s="48" t="n"/>
      <c r="CK24" s="48" t="n"/>
      <c r="CL24" s="48" t="n"/>
      <c r="CM24" s="48" t="n"/>
      <c r="CN24" s="48" t="n"/>
      <c r="CO24" s="48" t="n"/>
      <c r="CP24" s="48" t="n"/>
      <c r="CQ24" s="48" t="n"/>
      <c r="CR24" s="48" t="n"/>
      <c r="CS24" s="48" t="n"/>
      <c r="CT24" s="48" t="n"/>
      <c r="CU24" s="48" t="n"/>
      <c r="CV24" s="48" t="n"/>
      <c r="CW24" s="48" t="n"/>
      <c r="CX24" s="48" t="n"/>
      <c r="CY24" s="48" t="n"/>
      <c r="CZ24" s="48" t="n"/>
      <c r="DA24" s="48" t="n"/>
      <c r="DB24" s="48" t="n"/>
      <c r="DC24" s="48" t="n"/>
      <c r="DD24" s="48" t="n"/>
      <c r="DE24" s="48" t="n"/>
      <c r="DF24" s="48" t="n"/>
      <c r="DG24" s="48" t="n"/>
      <c r="DH24" s="48" t="n"/>
      <c r="DI24" s="48" t="n"/>
      <c r="DJ24" s="48" t="n"/>
      <c r="DK24" s="48" t="n"/>
      <c r="DL24" s="48" t="n"/>
      <c r="DM24" s="48" t="n"/>
      <c r="DN24" s="48" t="n"/>
      <c r="DO24" s="48" t="n"/>
      <c r="DP24" s="48" t="n"/>
      <c r="DQ24" s="48" t="n"/>
      <c r="DR24" s="48" t="n"/>
    </row>
    <row r="25" ht="15.75" customHeight="1">
      <c r="B25" s="5" t="inlineStr">
        <is>
          <t>New Revenue</t>
        </is>
      </c>
      <c r="BN25" s="138" t="n"/>
      <c r="BO25" s="138" t="n"/>
      <c r="BP25" s="138" t="n"/>
      <c r="BQ25" s="138">
        <f>+SUMIFS($BN22:$DR22,$BN$16:$DR$16,BQ$8)</f>
        <v/>
      </c>
      <c r="BR25" s="138">
        <f>+SUMIFS($BN22:$DR22,$BN$16:$DR$16,BR$8)</f>
        <v/>
      </c>
      <c r="BS25" s="138">
        <f>+SUMIFS($BN22:$DR22,$BN$16:$DR$16,BS$8)</f>
        <v/>
      </c>
      <c r="BT25" s="138">
        <f>+SUMIFS($BN22:$DR22,$BN$16:$DR$16,BT$8)</f>
        <v/>
      </c>
      <c r="BU25" s="138">
        <f>+SUMIFS($BN22:$DR22,$BN$16:$DR$16,BU$8)</f>
        <v/>
      </c>
      <c r="BV25" s="138">
        <f>+SUMIFS($BN22:$DR22,$BN$16:$DR$16,BV$8)</f>
        <v/>
      </c>
      <c r="BW25" s="138">
        <f>+SUMIFS($BN22:$DR22,$BN$16:$DR$16,BW$8)</f>
        <v/>
      </c>
      <c r="BX25" s="138">
        <f>+SUMIFS($BN22:$DR22,$BN$16:$DR$16,BX$8)</f>
        <v/>
      </c>
      <c r="BY25" s="138">
        <f>+SUMIFS($BN22:$DR22,$BN$16:$DR$16,BY$8)</f>
        <v/>
      </c>
      <c r="BZ25" s="138">
        <f>+SUMIFS($BN22:$DR22,$BN$16:$DR$16,BZ$8)</f>
        <v/>
      </c>
      <c r="CA25" s="138">
        <f>+SUMIFS($BN22:$DR22,$BN$16:$DR$16,CA$8)</f>
        <v/>
      </c>
      <c r="CB25" s="138">
        <f>+SUMIFS($BN22:$DR22,$BN$16:$DR$16,CB$8)</f>
        <v/>
      </c>
      <c r="CC25" s="138">
        <f>+SUMIFS($BN22:$DR22,$BN$16:$DR$16,CC$8)</f>
        <v/>
      </c>
      <c r="CD25" s="138">
        <f>+SUMIFS($BN22:$DR22,$BN$16:$DR$16,CD$8)</f>
        <v/>
      </c>
      <c r="CE25" s="138">
        <f>+SUMIFS($BN22:$DR22,$BN$16:$DR$16,CE$8)</f>
        <v/>
      </c>
      <c r="CF25" s="138">
        <f>+SUMIFS($BN22:$DR22,$BN$16:$DR$16,CF$8)</f>
        <v/>
      </c>
      <c r="CG25" s="138">
        <f>+SUMIFS($BN22:$DR22,$BN$16:$DR$16,CG$8)</f>
        <v/>
      </c>
      <c r="CH25" s="138">
        <f>+SUMIFS($BN22:$DR22,$BN$16:$DR$16,CH$8)</f>
        <v/>
      </c>
      <c r="CI25" s="138">
        <f>+SUMIFS($BN22:$DR22,$BN$16:$DR$16,CI$8)</f>
        <v/>
      </c>
      <c r="CJ25" s="138">
        <f>+SUMIFS($BN22:$DR22,$BN$16:$DR$16,CJ$8)</f>
        <v/>
      </c>
      <c r="CK25" s="138">
        <f>+SUMIFS($BN22:$DR22,$BN$16:$DR$16,CK$8)</f>
        <v/>
      </c>
      <c r="CL25" s="138">
        <f>+SUMIFS($BN22:$DR22,$BN$16:$DR$16,CL$8)</f>
        <v/>
      </c>
      <c r="CM25" s="138">
        <f>+SUMIFS($BN22:$DR22,$BN$16:$DR$16,CM$8)</f>
        <v/>
      </c>
      <c r="CN25" s="138">
        <f>+SUMIFS($BN22:$DR22,$BN$16:$DR$16,CN$8)</f>
        <v/>
      </c>
      <c r="CO25" s="138">
        <f>+SUMIFS($BN22:$DR22,$BN$16:$DR$16,CO$8)</f>
        <v/>
      </c>
      <c r="CP25" s="138">
        <f>+SUMIFS($BN22:$DR22,$BN$16:$DR$16,CP$8)</f>
        <v/>
      </c>
      <c r="CQ25" s="138">
        <f>+SUMIFS($BN22:$DR22,$BN$16:$DR$16,CQ$8)</f>
        <v/>
      </c>
      <c r="CR25" s="138">
        <f>+SUMIFS($BN22:$DR22,$BN$16:$DR$16,CR$8)</f>
        <v/>
      </c>
      <c r="CS25" s="138">
        <f>+SUMIFS($BN22:$DR22,$BN$16:$DR$16,CS$8)</f>
        <v/>
      </c>
      <c r="CT25" s="138">
        <f>+SUMIFS($BN22:$DR22,$BN$16:$DR$16,CT$8)</f>
        <v/>
      </c>
      <c r="CU25" s="138">
        <f>+SUMIFS($BN22:$DR22,$BN$16:$DR$16,CU$8)</f>
        <v/>
      </c>
      <c r="CV25" s="138">
        <f>+SUMIFS($BN22:$DR22,$BN$16:$DR$16,CV$8)</f>
        <v/>
      </c>
      <c r="CW25" s="138">
        <f>+SUMIFS($BN22:$DR22,$BN$16:$DR$16,CW$8)</f>
        <v/>
      </c>
      <c r="CX25" s="138">
        <f>+SUMIFS($BN22:$DR22,$BN$16:$DR$16,CX$8)</f>
        <v/>
      </c>
      <c r="CY25" s="138">
        <f>+SUMIFS($BN22:$DR22,$BN$16:$DR$16,CY$8)</f>
        <v/>
      </c>
      <c r="CZ25" s="138">
        <f>+SUMIFS($BN22:$DR22,$BN$16:$DR$16,CZ$8)</f>
        <v/>
      </c>
      <c r="DA25" s="138">
        <f>+SUMIFS($BN22:$DR22,$BN$16:$DR$16,DA$8)</f>
        <v/>
      </c>
      <c r="DB25" s="138">
        <f>+SUMIFS($BN22:$DR22,$BN$16:$DR$16,DB$8)</f>
        <v/>
      </c>
      <c r="DC25" s="138">
        <f>+SUMIFS($BN22:$DR22,$BN$16:$DR$16,DC$8)</f>
        <v/>
      </c>
      <c r="DD25" s="138">
        <f>+SUMIFS($BN22:$DR22,$BN$16:$DR$16,DD$8)</f>
        <v/>
      </c>
      <c r="DE25" s="138">
        <f>+SUMIFS($BN22:$DR22,$BN$16:$DR$16,DE$8)</f>
        <v/>
      </c>
      <c r="DF25" s="138">
        <f>+SUMIFS($BN22:$DR22,$BN$16:$DR$16,DF$8)</f>
        <v/>
      </c>
      <c r="DG25" s="138">
        <f>+SUMIFS($BN22:$DR22,$BN$16:$DR$16,DG$8)</f>
        <v/>
      </c>
      <c r="DH25" s="138">
        <f>+SUMIFS($BN22:$DR22,$BN$16:$DR$16,DH$8)</f>
        <v/>
      </c>
      <c r="DI25" s="138">
        <f>+SUMIFS($BN22:$DR22,$BN$16:$DR$16,DI$8)</f>
        <v/>
      </c>
      <c r="DJ25" s="138">
        <f>+SUMIFS($BN22:$DR22,$BN$16:$DR$16,DJ$8)</f>
        <v/>
      </c>
      <c r="DK25" s="138">
        <f>+SUMIFS($BN22:$DR22,$BN$16:$DR$16,DK$8)</f>
        <v/>
      </c>
      <c r="DL25" s="138">
        <f>+SUMIFS($BN22:$DR22,$BN$16:$DR$16,DL$8)</f>
        <v/>
      </c>
      <c r="DM25" s="138">
        <f>+SUMIFS($BN22:$DR22,$BN$16:$DR$16,DM$8)</f>
        <v/>
      </c>
      <c r="DN25" s="138">
        <f>+SUMIFS($BN22:$DR22,$BN$16:$DR$16,DN$8)</f>
        <v/>
      </c>
      <c r="DO25" s="138">
        <f>+SUMIFS($BN22:$DR22,$BN$16:$DR$16,DO$8)</f>
        <v/>
      </c>
      <c r="DP25" s="138">
        <f>+SUMIFS($BN22:$DR22,$BN$16:$DR$16,DP$8)</f>
        <v/>
      </c>
      <c r="DQ25" s="138">
        <f>+SUMIFS($BN22:$DR22,$BN$16:$DR$16,DQ$8)</f>
        <v/>
      </c>
      <c r="DR25" s="138">
        <f>+SUMIFS($BN22:$DR22,$BN$16:$DR$16,DR$8)</f>
        <v/>
      </c>
    </row>
    <row r="26" ht="15.75" customHeight="1">
      <c r="B26" s="5" t="inlineStr">
        <is>
          <t>YTD New Clients</t>
        </is>
      </c>
      <c r="BN26" s="138" t="n"/>
      <c r="BO26" s="138" t="n"/>
      <c r="BP26" s="138" t="n"/>
      <c r="BQ26" s="138">
        <f>+IF(BQ$7=BP$7,BP26+BQ25,BQ25)</f>
        <v/>
      </c>
      <c r="BR26" s="138">
        <f>+IF(BR$7=BQ$7,BQ26+BR25,BR25)</f>
        <v/>
      </c>
      <c r="BS26" s="138">
        <f>+IF(BS$7=BR$7,BR26+BS25,BS25)</f>
        <v/>
      </c>
      <c r="BT26" s="138">
        <f>+IF(BT$7=BS$7,BS26+BT25,BT25)</f>
        <v/>
      </c>
      <c r="BU26" s="138">
        <f>+IF(BU$7=BT$7,BT26+BU25,BU25)</f>
        <v/>
      </c>
      <c r="BV26" s="138">
        <f>+IF(BV$7=BU$7,BU26+BV25,BV25)</f>
        <v/>
      </c>
      <c r="BW26" s="138">
        <f>+IF(BW$7=BV$7,BV26+BW25,BW25)</f>
        <v/>
      </c>
      <c r="BX26" s="138">
        <f>+IF(BX$7=BW$7,BW26+BX25,BX25)</f>
        <v/>
      </c>
      <c r="BY26" s="138">
        <f>+IF(BY$7=BX$7,BX26+BY25,BY25)</f>
        <v/>
      </c>
      <c r="BZ26" s="138">
        <f>+IF(BZ$7=BY$7,BY26+BZ25,BZ25)</f>
        <v/>
      </c>
      <c r="CA26" s="138">
        <f>+IF(CA$7=BZ$7,BZ26+CA25,CA25)</f>
        <v/>
      </c>
      <c r="CB26" s="138">
        <f>+IF(CB$7=CA$7,CA26+CB25,CB25)</f>
        <v/>
      </c>
      <c r="CC26" s="138">
        <f>+IF(CC$7=CB$7,CB26+CC25,CC25)</f>
        <v/>
      </c>
      <c r="CD26" s="138">
        <f>+IF(CD$7=CC$7,CC26+CD25,CD25)</f>
        <v/>
      </c>
      <c r="CE26" s="138">
        <f>+IF(CE$7=CD$7,CD26+CE25,CE25)</f>
        <v/>
      </c>
      <c r="CF26" s="138">
        <f>+IF(CF$7=CE$7,CE26+CF25,CF25)</f>
        <v/>
      </c>
      <c r="CG26" s="138">
        <f>+IF(CG$7=CF$7,CF26+CG25,CG25)</f>
        <v/>
      </c>
      <c r="CH26" s="138">
        <f>+IF(CH$7=CG$7,CG26+CH25,CH25)</f>
        <v/>
      </c>
      <c r="CI26" s="138">
        <f>+IF(CI$7=CH$7,CH26+CI25,CI25)</f>
        <v/>
      </c>
      <c r="CJ26" s="138">
        <f>+IF(CJ$7=CI$7,CI26+CJ25,CJ25)</f>
        <v/>
      </c>
      <c r="CK26" s="138">
        <f>+IF(CK$7=CJ$7,CJ26+CK25,CK25)</f>
        <v/>
      </c>
      <c r="CL26" s="138">
        <f>+IF(CL$7=CK$7,CK26+CL25,CL25)</f>
        <v/>
      </c>
      <c r="CM26" s="138">
        <f>+IF(CM$7=CL$7,CL26+CM25,CM25)</f>
        <v/>
      </c>
      <c r="CN26" s="138">
        <f>+IF(CN$7=CM$7,CM26+CN25,CN25)</f>
        <v/>
      </c>
      <c r="CO26" s="138">
        <f>+IF(CO$7=CN$7,CN26+CO25,CO25)</f>
        <v/>
      </c>
      <c r="CP26" s="138">
        <f>+IF(CP$7=CO$7,CO26+CP25,CP25)</f>
        <v/>
      </c>
      <c r="CQ26" s="138">
        <f>+IF(CQ$7=CP$7,CP26+CQ25,CQ25)</f>
        <v/>
      </c>
      <c r="CR26" s="138">
        <f>+IF(CR$7=CQ$7,CQ26+CR25,CR25)</f>
        <v/>
      </c>
      <c r="CS26" s="138">
        <f>+IF(CS$7=CR$7,CR26+CS25,CS25)</f>
        <v/>
      </c>
      <c r="CT26" s="138">
        <f>+IF(CT$7=CS$7,CS26+CT25,CT25)</f>
        <v/>
      </c>
      <c r="CU26" s="138">
        <f>+IF(CU$7=CT$7,CT26+CU25,CU25)</f>
        <v/>
      </c>
      <c r="CV26" s="138">
        <f>+IF(CV$7=CU$7,CU26+CV25,CV25)</f>
        <v/>
      </c>
      <c r="CW26" s="138">
        <f>+IF(CW$7=CV$7,CV26+CW25,CW25)</f>
        <v/>
      </c>
      <c r="CX26" s="138">
        <f>+IF(CX$7=CW$7,CW26+CX25,CX25)</f>
        <v/>
      </c>
      <c r="CY26" s="138">
        <f>+IF(CY$7=CX$7,CX26+CY25,CY25)</f>
        <v/>
      </c>
      <c r="CZ26" s="138">
        <f>+IF(CZ$7=CY$7,CY26+CZ25,CZ25)</f>
        <v/>
      </c>
      <c r="DA26" s="138">
        <f>+IF(DA$7=CZ$7,CZ26+DA25,DA25)</f>
        <v/>
      </c>
      <c r="DB26" s="138">
        <f>+IF(DB$7=DA$7,DA26+DB25,DB25)</f>
        <v/>
      </c>
      <c r="DC26" s="138">
        <f>+IF(DC$7=DB$7,DB26+DC25,DC25)</f>
        <v/>
      </c>
      <c r="DD26" s="138">
        <f>+IF(DD$7=DC$7,DC26+DD25,DD25)</f>
        <v/>
      </c>
      <c r="DE26" s="138">
        <f>+IF(DE$7=DD$7,DD26+DE25,DE25)</f>
        <v/>
      </c>
      <c r="DF26" s="138">
        <f>+IF(DF$7=DE$7,DE26+DF25,DF25)</f>
        <v/>
      </c>
      <c r="DG26" s="138">
        <f>+IF(DG$7=DF$7,DF26+DG25,DG25)</f>
        <v/>
      </c>
      <c r="DH26" s="138">
        <f>+IF(DH$7=DG$7,DG26+DH25,DH25)</f>
        <v/>
      </c>
      <c r="DI26" s="138">
        <f>+IF(DI$7=DH$7,DH26+DI25,DI25)</f>
        <v/>
      </c>
      <c r="DJ26" s="138">
        <f>+IF(DJ$7=DI$7,DI26+DJ25,DJ25)</f>
        <v/>
      </c>
      <c r="DK26" s="138">
        <f>+IF(DK$7=DJ$7,DJ26+DK25,DK25)</f>
        <v/>
      </c>
      <c r="DL26" s="138">
        <f>+IF(DL$7=DK$7,DK26+DL25,DL25)</f>
        <v/>
      </c>
      <c r="DM26" s="138">
        <f>+IF(DM$7=DL$7,DL26+DM25,DM25)</f>
        <v/>
      </c>
      <c r="DN26" s="138">
        <f>+IF(DN$7=DM$7,DM26+DN25,DN25)</f>
        <v/>
      </c>
      <c r="DO26" s="138">
        <f>+IF(DO$7=DN$7,DN26+DO25,DO25)</f>
        <v/>
      </c>
      <c r="DP26" s="138">
        <f>+IF(DP$7=DO$7,DO26+DP25,DP25)</f>
        <v/>
      </c>
      <c r="DQ26" s="138">
        <f>+IF(DQ$7=DP$7,DP26+DQ25,DQ25)</f>
        <v/>
      </c>
      <c r="DR26" s="138">
        <f>+IF(DR$7=DQ$7,DQ26+DR25,DR25)</f>
        <v/>
      </c>
    </row>
    <row r="27" ht="4.5" customHeight="1"/>
    <row r="28" ht="15.75" customHeight="1">
      <c r="B28" s="95" t="inlineStr">
        <is>
          <t>Major</t>
        </is>
      </c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6" t="n"/>
      <c r="AD28" s="96" t="n"/>
      <c r="AE28" s="96" t="n"/>
      <c r="AF28" s="96" t="n"/>
      <c r="AG28" s="96" t="n"/>
      <c r="AH28" s="96" t="n"/>
      <c r="AI28" s="96" t="n"/>
      <c r="AJ28" s="96" t="n"/>
      <c r="AK28" s="96" t="n"/>
      <c r="AL28" s="96" t="n"/>
      <c r="AM28" s="96" t="n"/>
      <c r="AN28" s="96" t="n"/>
      <c r="AO28" s="96" t="n"/>
      <c r="AP28" s="96" t="n"/>
      <c r="AQ28" s="96" t="n"/>
      <c r="AR28" s="96" t="n"/>
      <c r="AS28" s="96" t="n"/>
      <c r="AT28" s="96" t="n"/>
      <c r="AU28" s="96" t="n"/>
      <c r="AV28" s="96" t="n"/>
      <c r="AW28" s="96" t="n"/>
      <c r="AX28" s="96" t="n"/>
      <c r="AY28" s="96" t="n"/>
      <c r="AZ28" s="96" t="n"/>
      <c r="BA28" s="96" t="n"/>
      <c r="BB28" s="96" t="n"/>
      <c r="BC28" s="96" t="n"/>
      <c r="BD28" s="96" t="n"/>
      <c r="BE28" s="96" t="n"/>
      <c r="BF28" s="96" t="n"/>
      <c r="BG28" s="96" t="n"/>
      <c r="BH28" s="96" t="n"/>
      <c r="BI28" s="96" t="n"/>
      <c r="BJ28" s="96" t="n"/>
      <c r="BK28" s="96" t="n"/>
      <c r="BL28" s="96" t="n"/>
      <c r="BM28" s="96" t="n"/>
      <c r="BN28" s="96" t="n"/>
      <c r="BO28" s="96" t="n"/>
      <c r="BP28" s="96" t="n"/>
      <c r="BQ28" s="96" t="n"/>
      <c r="BR28" s="96" t="n"/>
      <c r="BS28" s="96" t="n"/>
      <c r="BT28" s="96" t="n"/>
      <c r="BU28" s="96" t="n"/>
      <c r="BV28" s="96" t="n"/>
      <c r="BW28" s="96" t="n"/>
      <c r="BX28" s="96" t="n"/>
      <c r="BY28" s="96" t="n"/>
      <c r="BZ28" s="96" t="n"/>
      <c r="CA28" s="96" t="n"/>
      <c r="CB28" s="96" t="n"/>
      <c r="CC28" s="96" t="n"/>
      <c r="CD28" s="96" t="n"/>
      <c r="CE28" s="96" t="n"/>
      <c r="CF28" s="96" t="n"/>
      <c r="CG28" s="96" t="n"/>
      <c r="CH28" s="96" t="n"/>
      <c r="CI28" s="96" t="n"/>
      <c r="CJ28" s="96" t="n"/>
      <c r="CK28" s="96" t="n"/>
      <c r="CL28" s="96" t="n"/>
      <c r="CM28" s="96" t="n"/>
      <c r="CN28" s="96" t="n"/>
      <c r="CO28" s="96" t="n"/>
      <c r="CP28" s="96" t="n"/>
      <c r="CQ28" s="96" t="n"/>
      <c r="CR28" s="96" t="n"/>
      <c r="CS28" s="96" t="n"/>
      <c r="CT28" s="96" t="n"/>
      <c r="CU28" s="96" t="n"/>
      <c r="CV28" s="96" t="n"/>
      <c r="CW28" s="96" t="n"/>
      <c r="CX28" s="96" t="n"/>
      <c r="CY28" s="96" t="n"/>
      <c r="CZ28" s="96" t="n"/>
      <c r="DA28" s="96" t="n"/>
      <c r="DB28" s="96" t="n"/>
      <c r="DC28" s="96" t="n"/>
      <c r="DD28" s="96" t="n"/>
      <c r="DE28" s="96" t="n"/>
      <c r="DF28" s="96" t="n"/>
      <c r="DG28" s="96" t="n"/>
      <c r="DH28" s="96" t="n"/>
      <c r="DI28" s="96" t="n"/>
      <c r="DJ28" s="96" t="n"/>
      <c r="DK28" s="96" t="n"/>
      <c r="DL28" s="96" t="n"/>
      <c r="DM28" s="96" t="n"/>
      <c r="DN28" s="96" t="n"/>
      <c r="DO28" s="96" t="n"/>
      <c r="DP28" s="96" t="n"/>
      <c r="DQ28" s="96" t="n"/>
      <c r="DR28" s="96" t="n"/>
    </row>
    <row r="29" ht="15.75" customHeight="1">
      <c r="B29" s="5" t="inlineStr">
        <is>
          <t>New Bookings</t>
        </is>
      </c>
      <c r="BN29" s="98" t="n"/>
      <c r="BO29" s="98" t="n"/>
      <c r="BP29" s="98" t="n"/>
      <c r="BQ29" s="98">
        <f>SUMIFS(Revenue_Assumptions!$I$24:$M$24,Revenue_Assumptions!$I$7:$M$7,BQ$7)/12</f>
        <v/>
      </c>
      <c r="BR29" s="98">
        <f>SUMIFS(Revenue_Assumptions!$I$24:$M$24,Revenue_Assumptions!$I$7:$M$7,BR$7)/12</f>
        <v/>
      </c>
      <c r="BS29" s="98">
        <f>SUMIFS(Revenue_Assumptions!$I$24:$M$24,Revenue_Assumptions!$I$7:$M$7,BS$7)/12</f>
        <v/>
      </c>
      <c r="BT29" s="98">
        <f>SUMIFS(Revenue_Assumptions!$I$24:$M$24,Revenue_Assumptions!$I$7:$M$7,BT$7)/12</f>
        <v/>
      </c>
      <c r="BU29" s="98">
        <f>SUMIFS(Revenue_Assumptions!$I$24:$M$24,Revenue_Assumptions!$I$7:$M$7,BU$7)/12</f>
        <v/>
      </c>
      <c r="BV29" s="98">
        <f>SUMIFS(Revenue_Assumptions!$I$24:$M$24,Revenue_Assumptions!$I$7:$M$7,BV$7)/12</f>
        <v/>
      </c>
      <c r="BW29" s="98">
        <f>SUMIFS(Revenue_Assumptions!$I$24:$M$24,Revenue_Assumptions!$I$7:$M$7,BW$7)/12</f>
        <v/>
      </c>
      <c r="BX29" s="98">
        <f>SUMIFS(Revenue_Assumptions!$I$24:$M$24,Revenue_Assumptions!$I$7:$M$7,BX$7)/12</f>
        <v/>
      </c>
      <c r="BY29" s="98">
        <f>SUMIFS(Revenue_Assumptions!$I$24:$M$24,Revenue_Assumptions!$I$7:$M$7,BY$7)/12</f>
        <v/>
      </c>
      <c r="BZ29" s="98">
        <f>SUMIFS(Revenue_Assumptions!$I$24:$M$24,Revenue_Assumptions!$I$7:$M$7,BZ$7)/12</f>
        <v/>
      </c>
      <c r="CA29" s="98">
        <f>SUMIFS(Revenue_Assumptions!$I$24:$M$24,Revenue_Assumptions!$I$7:$M$7,CA$7)/12</f>
        <v/>
      </c>
      <c r="CB29" s="98">
        <f>SUMIFS(Revenue_Assumptions!$I$24:$M$24,Revenue_Assumptions!$I$7:$M$7,CB$7)/12</f>
        <v/>
      </c>
      <c r="CC29" s="98">
        <f>SUMIFS(Revenue_Assumptions!$I$24:$M$24,Revenue_Assumptions!$I$7:$M$7,CC$7)/12</f>
        <v/>
      </c>
      <c r="CD29" s="98">
        <f>SUMIFS(Revenue_Assumptions!$I$24:$M$24,Revenue_Assumptions!$I$7:$M$7,CD$7)/12</f>
        <v/>
      </c>
      <c r="CE29" s="98">
        <f>SUMIFS(Revenue_Assumptions!$I$24:$M$24,Revenue_Assumptions!$I$7:$M$7,CE$7)/12</f>
        <v/>
      </c>
      <c r="CF29" s="98">
        <f>SUMIFS(Revenue_Assumptions!$I$24:$M$24,Revenue_Assumptions!$I$7:$M$7,CF$7)/12</f>
        <v/>
      </c>
      <c r="CG29" s="98">
        <f>SUMIFS(Revenue_Assumptions!$I$24:$M$24,Revenue_Assumptions!$I$7:$M$7,CG$7)/12</f>
        <v/>
      </c>
      <c r="CH29" s="98">
        <f>SUMIFS(Revenue_Assumptions!$I$24:$M$24,Revenue_Assumptions!$I$7:$M$7,CH$7)/12</f>
        <v/>
      </c>
      <c r="CI29" s="98">
        <f>SUMIFS(Revenue_Assumptions!$I$24:$M$24,Revenue_Assumptions!$I$7:$M$7,CI$7)/12</f>
        <v/>
      </c>
      <c r="CJ29" s="98">
        <f>SUMIFS(Revenue_Assumptions!$I$24:$M$24,Revenue_Assumptions!$I$7:$M$7,CJ$7)/12</f>
        <v/>
      </c>
      <c r="CK29" s="98">
        <f>SUMIFS(Revenue_Assumptions!$I$24:$M$24,Revenue_Assumptions!$I$7:$M$7,CK$7)/12</f>
        <v/>
      </c>
      <c r="CL29" s="98">
        <f>SUMIFS(Revenue_Assumptions!$I$24:$M$24,Revenue_Assumptions!$I$7:$M$7,CL$7)/12</f>
        <v/>
      </c>
      <c r="CM29" s="98">
        <f>SUMIFS(Revenue_Assumptions!$I$24:$M$24,Revenue_Assumptions!$I$7:$M$7,CM$7)/12</f>
        <v/>
      </c>
      <c r="CN29" s="98">
        <f>SUMIFS(Revenue_Assumptions!$I$24:$M$24,Revenue_Assumptions!$I$7:$M$7,CN$7)/12</f>
        <v/>
      </c>
      <c r="CO29" s="98">
        <f>SUMIFS(Revenue_Assumptions!$I$24:$M$24,Revenue_Assumptions!$I$7:$M$7,CO$7)/12</f>
        <v/>
      </c>
      <c r="CP29" s="98">
        <f>SUMIFS(Revenue_Assumptions!$I$24:$M$24,Revenue_Assumptions!$I$7:$M$7,CP$7)/12</f>
        <v/>
      </c>
      <c r="CQ29" s="98">
        <f>SUMIFS(Revenue_Assumptions!$I$24:$M$24,Revenue_Assumptions!$I$7:$M$7,CQ$7)/12</f>
        <v/>
      </c>
      <c r="CR29" s="98">
        <f>SUMIFS(Revenue_Assumptions!$I$24:$M$24,Revenue_Assumptions!$I$7:$M$7,CR$7)/12</f>
        <v/>
      </c>
      <c r="CS29" s="98">
        <f>SUMIFS(Revenue_Assumptions!$I$24:$M$24,Revenue_Assumptions!$I$7:$M$7,CS$7)/12</f>
        <v/>
      </c>
      <c r="CT29" s="98">
        <f>SUMIFS(Revenue_Assumptions!$I$24:$M$24,Revenue_Assumptions!$I$7:$M$7,CT$7)/12</f>
        <v/>
      </c>
      <c r="CU29" s="98">
        <f>SUMIFS(Revenue_Assumptions!$I$24:$M$24,Revenue_Assumptions!$I$7:$M$7,CU$7)/12</f>
        <v/>
      </c>
      <c r="CV29" s="98">
        <f>SUMIFS(Revenue_Assumptions!$I$24:$M$24,Revenue_Assumptions!$I$7:$M$7,CV$7)/12</f>
        <v/>
      </c>
      <c r="CW29" s="98">
        <f>SUMIFS(Revenue_Assumptions!$I$24:$M$24,Revenue_Assumptions!$I$7:$M$7,CW$7)/12</f>
        <v/>
      </c>
      <c r="CX29" s="98">
        <f>SUMIFS(Revenue_Assumptions!$I$24:$M$24,Revenue_Assumptions!$I$7:$M$7,CX$7)/12</f>
        <v/>
      </c>
      <c r="CY29" s="98">
        <f>SUMIFS(Revenue_Assumptions!$I$24:$M$24,Revenue_Assumptions!$I$7:$M$7,CY$7)/12</f>
        <v/>
      </c>
      <c r="CZ29" s="98">
        <f>SUMIFS(Revenue_Assumptions!$I$24:$M$24,Revenue_Assumptions!$I$7:$M$7,CZ$7)/12</f>
        <v/>
      </c>
      <c r="DA29" s="98">
        <f>SUMIFS(Revenue_Assumptions!$I$24:$M$24,Revenue_Assumptions!$I$7:$M$7,DA$7)/12</f>
        <v/>
      </c>
      <c r="DB29" s="98">
        <f>SUMIFS(Revenue_Assumptions!$I$24:$M$24,Revenue_Assumptions!$I$7:$M$7,DB$7)/12</f>
        <v/>
      </c>
      <c r="DC29" s="98">
        <f>SUMIFS(Revenue_Assumptions!$I$24:$M$24,Revenue_Assumptions!$I$7:$M$7,DC$7)/12</f>
        <v/>
      </c>
      <c r="DD29" s="98">
        <f>SUMIFS(Revenue_Assumptions!$I$24:$M$24,Revenue_Assumptions!$I$7:$M$7,DD$7)/12</f>
        <v/>
      </c>
      <c r="DE29" s="98">
        <f>SUMIFS(Revenue_Assumptions!$I$24:$M$24,Revenue_Assumptions!$I$7:$M$7,DE$7)/12</f>
        <v/>
      </c>
      <c r="DF29" s="98">
        <f>SUMIFS(Revenue_Assumptions!$I$24:$M$24,Revenue_Assumptions!$I$7:$M$7,DF$7)/12</f>
        <v/>
      </c>
      <c r="DG29" s="98">
        <f>SUMIFS(Revenue_Assumptions!$I$24:$M$24,Revenue_Assumptions!$I$7:$M$7,DG$7)/12</f>
        <v/>
      </c>
      <c r="DH29" s="98">
        <f>SUMIFS(Revenue_Assumptions!$I$24:$M$24,Revenue_Assumptions!$I$7:$M$7,DH$7)/12</f>
        <v/>
      </c>
      <c r="DI29" s="98">
        <f>SUMIFS(Revenue_Assumptions!$I$24:$M$24,Revenue_Assumptions!$I$7:$M$7,DI$7)/12</f>
        <v/>
      </c>
      <c r="DJ29" s="98">
        <f>SUMIFS(Revenue_Assumptions!$I$24:$M$24,Revenue_Assumptions!$I$7:$M$7,DJ$7)/12</f>
        <v/>
      </c>
      <c r="DK29" s="98">
        <f>SUMIFS(Revenue_Assumptions!$I$24:$M$24,Revenue_Assumptions!$I$7:$M$7,DK$7)/12</f>
        <v/>
      </c>
      <c r="DL29" s="98">
        <f>SUMIFS(Revenue_Assumptions!$I$24:$M$24,Revenue_Assumptions!$I$7:$M$7,DL$7)/12</f>
        <v/>
      </c>
      <c r="DM29" s="98">
        <f>SUMIFS(Revenue_Assumptions!$I$24:$M$24,Revenue_Assumptions!$I$7:$M$7,DM$7)/12</f>
        <v/>
      </c>
      <c r="DN29" s="98">
        <f>SUMIFS(Revenue_Assumptions!$I$24:$M$24,Revenue_Assumptions!$I$7:$M$7,DN$7)/12</f>
        <v/>
      </c>
      <c r="DO29" s="98">
        <f>SUMIFS(Revenue_Assumptions!$I$24:$M$24,Revenue_Assumptions!$I$7:$M$7,DO$7)/12</f>
        <v/>
      </c>
      <c r="DP29" s="98">
        <f>SUMIFS(Revenue_Assumptions!$I$24:$M$24,Revenue_Assumptions!$I$7:$M$7,DP$7)/12</f>
        <v/>
      </c>
      <c r="DQ29" s="98">
        <f>SUMIFS(Revenue_Assumptions!$I$24:$M$24,Revenue_Assumptions!$I$7:$M$7,DQ$7)/12</f>
        <v/>
      </c>
      <c r="DR29" s="98">
        <f>SUMIFS(Revenue_Assumptions!$I$24:$M$24,Revenue_Assumptions!$I$7:$M$7,DR$7)/12</f>
        <v/>
      </c>
      <c r="DU29" s="5">
        <f>+OFFSET(BU49,0,-$C$14)</f>
        <v/>
      </c>
    </row>
    <row r="30" ht="15.75" customHeight="1">
      <c r="B30" s="5" t="inlineStr">
        <is>
          <t>Active Bookings</t>
        </is>
      </c>
      <c r="BN30" s="98" t="n"/>
      <c r="BO30" s="98" t="n"/>
      <c r="BP30" s="98" t="n"/>
      <c r="BQ30" s="98">
        <f>+SUM(OFFSET(BQ29,0,-$C$12):BQ29)</f>
        <v/>
      </c>
      <c r="BR30" s="98">
        <f>+SUM(OFFSET(BR29,0,-$C$12):BR29)</f>
        <v/>
      </c>
      <c r="BS30" s="98">
        <f>+SUM(OFFSET(BS29,0,-$C$12):BS29)</f>
        <v/>
      </c>
      <c r="BT30" s="98">
        <f>+SUM(OFFSET(BT29,0,-$C$12):BT29)</f>
        <v/>
      </c>
      <c r="BU30" s="98">
        <f>+SUM(OFFSET(BU29,0,-$C$12):BU29)</f>
        <v/>
      </c>
      <c r="BV30" s="98">
        <f>+SUM(OFFSET(BV29,0,-$C$12):BV29)</f>
        <v/>
      </c>
      <c r="BW30" s="98">
        <f>+SUM(OFFSET(BW29,0,-$C$12):BW29)</f>
        <v/>
      </c>
      <c r="BX30" s="98">
        <f>+SUM(OFFSET(BX29,0,-$C$12):BX29)</f>
        <v/>
      </c>
      <c r="BY30" s="98">
        <f>+SUM(OFFSET(BY29,0,-$C$12):BY29)</f>
        <v/>
      </c>
      <c r="BZ30" s="98">
        <f>+SUM(OFFSET(BZ29,0,-$C$12):BZ29)</f>
        <v/>
      </c>
      <c r="CA30" s="98">
        <f>+SUM(OFFSET(CA29,0,-$C$12):CA29)</f>
        <v/>
      </c>
      <c r="CB30" s="98">
        <f>+SUM(OFFSET(CB29,0,-$C$12):CB29)</f>
        <v/>
      </c>
      <c r="CC30" s="98">
        <f>+SUM(OFFSET(CC29,0,-$C$12):CC29)</f>
        <v/>
      </c>
      <c r="CD30" s="98">
        <f>+SUM(OFFSET(CD29,0,-$C$12):CD29)</f>
        <v/>
      </c>
      <c r="CE30" s="98">
        <f>+SUM(OFFSET(CE29,0,-$C$12):CE29)</f>
        <v/>
      </c>
      <c r="CF30" s="98">
        <f>+SUM(OFFSET(CF29,0,-$C$12):CF29)</f>
        <v/>
      </c>
      <c r="CG30" s="98">
        <f>+SUM(OFFSET(CG29,0,-$C$12):CG29)</f>
        <v/>
      </c>
      <c r="CH30" s="98">
        <f>+SUM(OFFSET(CH29,0,-$C$12):CH29)</f>
        <v/>
      </c>
      <c r="CI30" s="98">
        <f>+SUM(OFFSET(CI29,0,-$C$12):CI29)</f>
        <v/>
      </c>
      <c r="CJ30" s="98">
        <f>+SUM(OFFSET(CJ29,0,-$C$12):CJ29)</f>
        <v/>
      </c>
      <c r="CK30" s="98">
        <f>+SUM(OFFSET(CK29,0,-$C$12):CK29)</f>
        <v/>
      </c>
      <c r="CL30" s="98">
        <f>+SUM(OFFSET(CL29,0,-$C$12):CL29)</f>
        <v/>
      </c>
      <c r="CM30" s="98">
        <f>+SUM(OFFSET(CM29,0,-$C$12):CM29)</f>
        <v/>
      </c>
      <c r="CN30" s="98">
        <f>+SUM(OFFSET(CN29,0,-$C$12):CN29)</f>
        <v/>
      </c>
      <c r="CO30" s="98">
        <f>+SUM(OFFSET(CO29,0,-$C$12):CO29)</f>
        <v/>
      </c>
      <c r="CP30" s="98">
        <f>+SUM(OFFSET(CP29,0,-$C$12):CP29)</f>
        <v/>
      </c>
      <c r="CQ30" s="98">
        <f>+SUM(OFFSET(CQ29,0,-$C$12):CQ29)</f>
        <v/>
      </c>
      <c r="CR30" s="98">
        <f>+SUM(OFFSET(CR29,0,-$C$12):CR29)</f>
        <v/>
      </c>
      <c r="CS30" s="98">
        <f>+SUM(OFFSET(CS29,0,-$C$12):CS29)</f>
        <v/>
      </c>
      <c r="CT30" s="98">
        <f>+SUM(OFFSET(CT29,0,-$C$12):CT29)</f>
        <v/>
      </c>
      <c r="CU30" s="98">
        <f>+SUM(OFFSET(CU29,0,-$C$12):CU29)</f>
        <v/>
      </c>
      <c r="CV30" s="98">
        <f>+SUM(OFFSET(CV29,0,-$C$12):CV29)</f>
        <v/>
      </c>
      <c r="CW30" s="98">
        <f>+SUM(OFFSET(CW29,0,-$C$12):CW29)</f>
        <v/>
      </c>
      <c r="CX30" s="98">
        <f>+SUM(OFFSET(CX29,0,-$C$12):CX29)</f>
        <v/>
      </c>
      <c r="CY30" s="98">
        <f>+SUM(OFFSET(CY29,0,-$C$12):CY29)</f>
        <v/>
      </c>
      <c r="CZ30" s="98">
        <f>+SUM(OFFSET(CZ29,0,-$C$12):CZ29)</f>
        <v/>
      </c>
      <c r="DA30" s="98">
        <f>+SUM(OFFSET(DA29,0,-$C$12):DA29)</f>
        <v/>
      </c>
      <c r="DB30" s="98">
        <f>+SUM(OFFSET(DB29,0,-$C$12):DB29)</f>
        <v/>
      </c>
      <c r="DC30" s="98">
        <f>+SUM(OFFSET(DC29,0,-$C$12):DC29)</f>
        <v/>
      </c>
      <c r="DD30" s="98">
        <f>+SUM(OFFSET(DD29,0,-$C$12):DD29)</f>
        <v/>
      </c>
      <c r="DE30" s="98">
        <f>+SUM(OFFSET(DE29,0,-$C$12):DE29)</f>
        <v/>
      </c>
      <c r="DF30" s="98">
        <f>+SUM(OFFSET(DF29,0,-$C$12):DF29)</f>
        <v/>
      </c>
      <c r="DG30" s="98">
        <f>+SUM(OFFSET(DG29,0,-$C$12):DG29)</f>
        <v/>
      </c>
      <c r="DH30" s="98">
        <f>+SUM(OFFSET(DH29,0,-$C$12):DH29)</f>
        <v/>
      </c>
      <c r="DI30" s="98">
        <f>+SUM(OFFSET(DI29,0,-$C$12):DI29)</f>
        <v/>
      </c>
      <c r="DJ30" s="98">
        <f>+SUM(OFFSET(DJ29,0,-$C$12):DJ29)</f>
        <v/>
      </c>
      <c r="DK30" s="98">
        <f>+SUM(OFFSET(DK29,0,-$C$12):DK29)</f>
        <v/>
      </c>
      <c r="DL30" s="98">
        <f>+SUM(OFFSET(DL29,0,-$C$12):DL29)</f>
        <v/>
      </c>
      <c r="DM30" s="98">
        <f>+SUM(OFFSET(DM29,0,-$C$12):DM29)</f>
        <v/>
      </c>
      <c r="DN30" s="98">
        <f>+SUM(OFFSET(DN29,0,-$C$12):DN29)</f>
        <v/>
      </c>
      <c r="DO30" s="98">
        <f>+SUM(OFFSET(DO29,0,-$C$12):DO29)</f>
        <v/>
      </c>
      <c r="DP30" s="98">
        <f>+SUM(OFFSET(DP29,0,-$C$12):DP29)</f>
        <v/>
      </c>
      <c r="DQ30" s="98">
        <f>+SUM(OFFSET(DQ29,0,-$C$12):DQ29)</f>
        <v/>
      </c>
      <c r="DR30" s="98">
        <f>+SUM(OFFSET(DR29,0,-$C$12):DR29)</f>
        <v/>
      </c>
    </row>
    <row r="31" ht="4.5" customHeight="1">
      <c r="BN31" s="48" t="n"/>
      <c r="BO31" s="48" t="n"/>
      <c r="BP31" s="48" t="n"/>
      <c r="BQ31" s="48" t="n"/>
      <c r="BR31" s="48" t="n"/>
      <c r="BS31" s="48" t="n"/>
      <c r="BT31" s="48" t="n"/>
      <c r="BU31" s="48" t="n"/>
      <c r="BV31" s="48" t="n"/>
      <c r="BW31" s="48" t="n"/>
      <c r="BX31" s="48" t="n"/>
      <c r="BY31" s="48" t="n"/>
      <c r="BZ31" s="48" t="n"/>
      <c r="CA31" s="48" t="n"/>
      <c r="CB31" s="48" t="n"/>
      <c r="CC31" s="48" t="n"/>
      <c r="CD31" s="48" t="n"/>
      <c r="CE31" s="48" t="n"/>
      <c r="CF31" s="48" t="n"/>
      <c r="CG31" s="48" t="n"/>
      <c r="CH31" s="48" t="n"/>
      <c r="CI31" s="48" t="n"/>
      <c r="CJ31" s="48" t="n"/>
      <c r="CK31" s="48" t="n"/>
      <c r="CL31" s="48" t="n"/>
      <c r="CM31" s="48" t="n"/>
      <c r="CN31" s="48" t="n"/>
      <c r="CO31" s="48" t="n"/>
      <c r="CP31" s="48" t="n"/>
      <c r="CQ31" s="48" t="n"/>
      <c r="CR31" s="48" t="n"/>
      <c r="CS31" s="48" t="n"/>
      <c r="CT31" s="48" t="n"/>
      <c r="CU31" s="48" t="n"/>
      <c r="CV31" s="48" t="n"/>
      <c r="CW31" s="48" t="n"/>
      <c r="CX31" s="48" t="n"/>
      <c r="CY31" s="48" t="n"/>
      <c r="CZ31" s="48" t="n"/>
      <c r="DA31" s="48" t="n"/>
      <c r="DB31" s="48" t="n"/>
      <c r="DC31" s="48" t="n"/>
      <c r="DD31" s="48" t="n"/>
      <c r="DE31" s="48" t="n"/>
      <c r="DF31" s="48" t="n"/>
      <c r="DG31" s="48" t="n"/>
      <c r="DH31" s="48" t="n"/>
      <c r="DI31" s="48" t="n"/>
      <c r="DJ31" s="48" t="n"/>
      <c r="DK31" s="48" t="n"/>
      <c r="DL31" s="48" t="n"/>
      <c r="DM31" s="48" t="n"/>
      <c r="DN31" s="48" t="n"/>
      <c r="DO31" s="48" t="n"/>
      <c r="DP31" s="48" t="n"/>
      <c r="DQ31" s="48" t="n"/>
      <c r="DR31" s="48" t="n"/>
    </row>
    <row r="32" ht="15.75" customHeight="1">
      <c r="B32" s="5" t="inlineStr">
        <is>
          <t>New Revenue</t>
        </is>
      </c>
      <c r="BN32" s="138" t="n"/>
      <c r="BO32" s="138" t="n"/>
      <c r="BP32" s="138" t="n"/>
      <c r="BQ32" s="138">
        <f>+SUMIFS($BN29:$DR29,$BN$17:$DR$17,BQ$8)</f>
        <v/>
      </c>
      <c r="BR32" s="138">
        <f>+SUMIFS($BN29:$DR29,$BN$17:$DR$17,BR$8)</f>
        <v/>
      </c>
      <c r="BS32" s="138">
        <f>+SUMIFS($BN29:$DR29,$BN$17:$DR$17,BS$8)</f>
        <v/>
      </c>
      <c r="BT32" s="138">
        <f>+SUMIFS($BN29:$DR29,$BN$17:$DR$17,BT$8)</f>
        <v/>
      </c>
      <c r="BU32" s="138">
        <f>+SUMIFS($BN29:$DR29,$BN$17:$DR$17,BU$8)</f>
        <v/>
      </c>
      <c r="BV32" s="138">
        <f>+SUMIFS($BN29:$DR29,$BN$17:$DR$17,BV$8)</f>
        <v/>
      </c>
      <c r="BW32" s="138">
        <f>+SUMIFS($BN29:$DR29,$BN$17:$DR$17,BW$8)</f>
        <v/>
      </c>
      <c r="BX32" s="138">
        <f>+SUMIFS($BN29:$DR29,$BN$17:$DR$17,BX$8)</f>
        <v/>
      </c>
      <c r="BY32" s="138">
        <f>+SUMIFS($BN29:$DR29,$BN$17:$DR$17,BY$8)</f>
        <v/>
      </c>
      <c r="BZ32" s="138">
        <f>+SUMIFS($BN29:$DR29,$BN$17:$DR$17,BZ$8)</f>
        <v/>
      </c>
      <c r="CA32" s="138">
        <f>+SUMIFS($BN29:$DR29,$BN$17:$DR$17,CA$8)</f>
        <v/>
      </c>
      <c r="CB32" s="138">
        <f>+SUMIFS($BN29:$DR29,$BN$17:$DR$17,CB$8)</f>
        <v/>
      </c>
      <c r="CC32" s="138">
        <f>+SUMIFS($BN29:$DR29,$BN$17:$DR$17,CC$8)</f>
        <v/>
      </c>
      <c r="CD32" s="138">
        <f>+SUMIFS($BN29:$DR29,$BN$17:$DR$17,CD$8)</f>
        <v/>
      </c>
      <c r="CE32" s="138">
        <f>+SUMIFS($BN29:$DR29,$BN$17:$DR$17,CE$8)</f>
        <v/>
      </c>
      <c r="CF32" s="138">
        <f>+SUMIFS($BN29:$DR29,$BN$17:$DR$17,CF$8)</f>
        <v/>
      </c>
      <c r="CG32" s="138">
        <f>+SUMIFS($BN29:$DR29,$BN$17:$DR$17,CG$8)</f>
        <v/>
      </c>
      <c r="CH32" s="138">
        <f>+SUMIFS($BN29:$DR29,$BN$17:$DR$17,CH$8)</f>
        <v/>
      </c>
      <c r="CI32" s="138">
        <f>+SUMIFS($BN29:$DR29,$BN$17:$DR$17,CI$8)</f>
        <v/>
      </c>
      <c r="CJ32" s="138">
        <f>+SUMIFS($BN29:$DR29,$BN$17:$DR$17,CJ$8)</f>
        <v/>
      </c>
      <c r="CK32" s="138">
        <f>+SUMIFS($BN29:$DR29,$BN$17:$DR$17,CK$8)</f>
        <v/>
      </c>
      <c r="CL32" s="138">
        <f>+SUMIFS($BN29:$DR29,$BN$17:$DR$17,CL$8)</f>
        <v/>
      </c>
      <c r="CM32" s="138">
        <f>+SUMIFS($BN29:$DR29,$BN$17:$DR$17,CM$8)</f>
        <v/>
      </c>
      <c r="CN32" s="138">
        <f>+SUMIFS($BN29:$DR29,$BN$17:$DR$17,CN$8)</f>
        <v/>
      </c>
      <c r="CO32" s="138">
        <f>+SUMIFS($BN29:$DR29,$BN$17:$DR$17,CO$8)</f>
        <v/>
      </c>
      <c r="CP32" s="138">
        <f>+SUMIFS($BN29:$DR29,$BN$17:$DR$17,CP$8)</f>
        <v/>
      </c>
      <c r="CQ32" s="138">
        <f>+SUMIFS($BN29:$DR29,$BN$17:$DR$17,CQ$8)</f>
        <v/>
      </c>
      <c r="CR32" s="138">
        <f>+SUMIFS($BN29:$DR29,$BN$17:$DR$17,CR$8)</f>
        <v/>
      </c>
      <c r="CS32" s="138">
        <f>+SUMIFS($BN29:$DR29,$BN$17:$DR$17,CS$8)</f>
        <v/>
      </c>
      <c r="CT32" s="138">
        <f>+SUMIFS($BN29:$DR29,$BN$17:$DR$17,CT$8)</f>
        <v/>
      </c>
      <c r="CU32" s="138">
        <f>+SUMIFS($BN29:$DR29,$BN$17:$DR$17,CU$8)</f>
        <v/>
      </c>
      <c r="CV32" s="138">
        <f>+SUMIFS($BN29:$DR29,$BN$17:$DR$17,CV$8)</f>
        <v/>
      </c>
      <c r="CW32" s="138">
        <f>+SUMIFS($BN29:$DR29,$BN$17:$DR$17,CW$8)</f>
        <v/>
      </c>
      <c r="CX32" s="138">
        <f>+SUMIFS($BN29:$DR29,$BN$17:$DR$17,CX$8)</f>
        <v/>
      </c>
      <c r="CY32" s="138">
        <f>+SUMIFS($BN29:$DR29,$BN$17:$DR$17,CY$8)</f>
        <v/>
      </c>
      <c r="CZ32" s="138">
        <f>+SUMIFS($BN29:$DR29,$BN$17:$DR$17,CZ$8)</f>
        <v/>
      </c>
      <c r="DA32" s="138">
        <f>+SUMIFS($BN29:$DR29,$BN$17:$DR$17,DA$8)</f>
        <v/>
      </c>
      <c r="DB32" s="138">
        <f>+SUMIFS($BN29:$DR29,$BN$17:$DR$17,DB$8)</f>
        <v/>
      </c>
      <c r="DC32" s="138">
        <f>+SUMIFS($BN29:$DR29,$BN$17:$DR$17,DC$8)</f>
        <v/>
      </c>
      <c r="DD32" s="138">
        <f>+SUMIFS($BN29:$DR29,$BN$17:$DR$17,DD$8)</f>
        <v/>
      </c>
      <c r="DE32" s="138">
        <f>+SUMIFS($BN29:$DR29,$BN$17:$DR$17,DE$8)</f>
        <v/>
      </c>
      <c r="DF32" s="138">
        <f>+SUMIFS($BN29:$DR29,$BN$17:$DR$17,DF$8)</f>
        <v/>
      </c>
      <c r="DG32" s="138">
        <f>+SUMIFS($BN29:$DR29,$BN$17:$DR$17,DG$8)</f>
        <v/>
      </c>
      <c r="DH32" s="138">
        <f>+SUMIFS($BN29:$DR29,$BN$17:$DR$17,DH$8)</f>
        <v/>
      </c>
      <c r="DI32" s="138">
        <f>+SUMIFS($BN29:$DR29,$BN$17:$DR$17,DI$8)</f>
        <v/>
      </c>
      <c r="DJ32" s="138">
        <f>+SUMIFS($BN29:$DR29,$BN$17:$DR$17,DJ$8)</f>
        <v/>
      </c>
      <c r="DK32" s="138">
        <f>+SUMIFS($BN29:$DR29,$BN$17:$DR$17,DK$8)</f>
        <v/>
      </c>
      <c r="DL32" s="138">
        <f>+SUMIFS($BN29:$DR29,$BN$17:$DR$17,DL$8)</f>
        <v/>
      </c>
      <c r="DM32" s="138">
        <f>+SUMIFS($BN29:$DR29,$BN$17:$DR$17,DM$8)</f>
        <v/>
      </c>
      <c r="DN32" s="138">
        <f>+SUMIFS($BN29:$DR29,$BN$17:$DR$17,DN$8)</f>
        <v/>
      </c>
      <c r="DO32" s="138">
        <f>+SUMIFS($BN29:$DR29,$BN$17:$DR$17,DO$8)</f>
        <v/>
      </c>
      <c r="DP32" s="138">
        <f>+SUMIFS($BN29:$DR29,$BN$17:$DR$17,DP$8)</f>
        <v/>
      </c>
      <c r="DQ32" s="138">
        <f>+SUMIFS($BN29:$DR29,$BN$17:$DR$17,DQ$8)</f>
        <v/>
      </c>
      <c r="DR32" s="138">
        <f>+SUMIFS($BN29:$DR29,$BN$17:$DR$17,DR$8)</f>
        <v/>
      </c>
    </row>
    <row r="33" ht="15.75" customHeight="1">
      <c r="B33" s="5" t="inlineStr">
        <is>
          <t>YTD New Clients</t>
        </is>
      </c>
      <c r="BN33" s="138" t="n"/>
      <c r="BO33" s="138" t="n"/>
      <c r="BP33" s="138" t="n"/>
      <c r="BQ33" s="138">
        <f>+IF(BQ$7=BP$7,BP33+BQ32,BQ32)</f>
        <v/>
      </c>
      <c r="BR33" s="138">
        <f>+IF(BR$7=BQ$7,BQ33+BR32,BR32)</f>
        <v/>
      </c>
      <c r="BS33" s="138">
        <f>+IF(BS$7=BR$7,BR33+BS32,BS32)</f>
        <v/>
      </c>
      <c r="BT33" s="138">
        <f>+IF(BT$7=BS$7,BS33+BT32,BT32)</f>
        <v/>
      </c>
      <c r="BU33" s="138">
        <f>+IF(BU$7=BT$7,BT33+BU32,BU32)</f>
        <v/>
      </c>
      <c r="BV33" s="138">
        <f>+IF(BV$7=BU$7,BU33+BV32,BV32)</f>
        <v/>
      </c>
      <c r="BW33" s="138">
        <f>+IF(BW$7=BV$7,BV33+BW32,BW32)</f>
        <v/>
      </c>
      <c r="BX33" s="138">
        <f>+IF(BX$7=BW$7,BW33+BX32,BX32)</f>
        <v/>
      </c>
      <c r="BY33" s="138">
        <f>+IF(BY$7=BX$7,BX33+BY32,BY32)</f>
        <v/>
      </c>
      <c r="BZ33" s="138">
        <f>+IF(BZ$7=BY$7,BY33+BZ32,BZ32)</f>
        <v/>
      </c>
      <c r="CA33" s="138">
        <f>+IF(CA$7=BZ$7,BZ33+CA32,CA32)</f>
        <v/>
      </c>
      <c r="CB33" s="138">
        <f>+IF(CB$7=CA$7,CA33+CB32,CB32)</f>
        <v/>
      </c>
      <c r="CC33" s="138">
        <f>+IF(CC$7=CB$7,CB33+CC32,CC32)</f>
        <v/>
      </c>
      <c r="CD33" s="138">
        <f>+IF(CD$7=CC$7,CC33+CD32,CD32)</f>
        <v/>
      </c>
      <c r="CE33" s="138">
        <f>+IF(CE$7=CD$7,CD33+CE32,CE32)</f>
        <v/>
      </c>
      <c r="CF33" s="138">
        <f>+IF(CF$7=CE$7,CE33+CF32,CF32)</f>
        <v/>
      </c>
      <c r="CG33" s="138">
        <f>+IF(CG$7=CF$7,CF33+CG32,CG32)</f>
        <v/>
      </c>
      <c r="CH33" s="138">
        <f>+IF(CH$7=CG$7,CG33+CH32,CH32)</f>
        <v/>
      </c>
      <c r="CI33" s="138">
        <f>+IF(CI$7=CH$7,CH33+CI32,CI32)</f>
        <v/>
      </c>
      <c r="CJ33" s="138">
        <f>+IF(CJ$7=CI$7,CI33+CJ32,CJ32)</f>
        <v/>
      </c>
      <c r="CK33" s="138">
        <f>+IF(CK$7=CJ$7,CJ33+CK32,CK32)</f>
        <v/>
      </c>
      <c r="CL33" s="138">
        <f>+IF(CL$7=CK$7,CK33+CL32,CL32)</f>
        <v/>
      </c>
      <c r="CM33" s="138">
        <f>+IF(CM$7=CL$7,CL33+CM32,CM32)</f>
        <v/>
      </c>
      <c r="CN33" s="138">
        <f>+IF(CN$7=CM$7,CM33+CN32,CN32)</f>
        <v/>
      </c>
      <c r="CO33" s="138">
        <f>+IF(CO$7=CN$7,CN33+CO32,CO32)</f>
        <v/>
      </c>
      <c r="CP33" s="138">
        <f>+IF(CP$7=CO$7,CO33+CP32,CP32)</f>
        <v/>
      </c>
      <c r="CQ33" s="138">
        <f>+IF(CQ$7=CP$7,CP33+CQ32,CQ32)</f>
        <v/>
      </c>
      <c r="CR33" s="138">
        <f>+IF(CR$7=CQ$7,CQ33+CR32,CR32)</f>
        <v/>
      </c>
      <c r="CS33" s="138">
        <f>+IF(CS$7=CR$7,CR33+CS32,CS32)</f>
        <v/>
      </c>
      <c r="CT33" s="138">
        <f>+IF(CT$7=CS$7,CS33+CT32,CT32)</f>
        <v/>
      </c>
      <c r="CU33" s="138">
        <f>+IF(CU$7=CT$7,CT33+CU32,CU32)</f>
        <v/>
      </c>
      <c r="CV33" s="138">
        <f>+IF(CV$7=CU$7,CU33+CV32,CV32)</f>
        <v/>
      </c>
      <c r="CW33" s="138">
        <f>+IF(CW$7=CV$7,CV33+CW32,CW32)</f>
        <v/>
      </c>
      <c r="CX33" s="138">
        <f>+IF(CX$7=CW$7,CW33+CX32,CX32)</f>
        <v/>
      </c>
      <c r="CY33" s="138">
        <f>+IF(CY$7=CX$7,CX33+CY32,CY32)</f>
        <v/>
      </c>
      <c r="CZ33" s="138">
        <f>+IF(CZ$7=CY$7,CY33+CZ32,CZ32)</f>
        <v/>
      </c>
      <c r="DA33" s="138">
        <f>+IF(DA$7=CZ$7,CZ33+DA32,DA32)</f>
        <v/>
      </c>
      <c r="DB33" s="138">
        <f>+IF(DB$7=DA$7,DA33+DB32,DB32)</f>
        <v/>
      </c>
      <c r="DC33" s="138">
        <f>+IF(DC$7=DB$7,DB33+DC32,DC32)</f>
        <v/>
      </c>
      <c r="DD33" s="138">
        <f>+IF(DD$7=DC$7,DC33+DD32,DD32)</f>
        <v/>
      </c>
      <c r="DE33" s="138">
        <f>+IF(DE$7=DD$7,DD33+DE32,DE32)</f>
        <v/>
      </c>
      <c r="DF33" s="138">
        <f>+IF(DF$7=DE$7,DE33+DF32,DF32)</f>
        <v/>
      </c>
      <c r="DG33" s="138">
        <f>+IF(DG$7=DF$7,DF33+DG32,DG32)</f>
        <v/>
      </c>
      <c r="DH33" s="138">
        <f>+IF(DH$7=DG$7,DG33+DH32,DH32)</f>
        <v/>
      </c>
      <c r="DI33" s="138">
        <f>+IF(DI$7=DH$7,DH33+DI32,DI32)</f>
        <v/>
      </c>
      <c r="DJ33" s="138">
        <f>+IF(DJ$7=DI$7,DI33+DJ32,DJ32)</f>
        <v/>
      </c>
      <c r="DK33" s="138">
        <f>+IF(DK$7=DJ$7,DJ33+DK32,DK32)</f>
        <v/>
      </c>
      <c r="DL33" s="138">
        <f>+IF(DL$7=DK$7,DK33+DL32,DL32)</f>
        <v/>
      </c>
      <c r="DM33" s="138">
        <f>+IF(DM$7=DL$7,DL33+DM32,DM32)</f>
        <v/>
      </c>
      <c r="DN33" s="138">
        <f>+IF(DN$7=DM$7,DM33+DN32,DN32)</f>
        <v/>
      </c>
      <c r="DO33" s="138">
        <f>+IF(DO$7=DN$7,DN33+DO32,DO32)</f>
        <v/>
      </c>
      <c r="DP33" s="138">
        <f>+IF(DP$7=DO$7,DO33+DP32,DP32)</f>
        <v/>
      </c>
      <c r="DQ33" s="138">
        <f>+IF(DQ$7=DP$7,DP33+DQ32,DQ32)</f>
        <v/>
      </c>
      <c r="DR33" s="138">
        <f>+IF(DR$7=DQ$7,DQ33+DR32,DR32)</f>
        <v/>
      </c>
    </row>
    <row r="34" ht="4.5" customHeight="1"/>
    <row r="35" ht="15.75" customHeight="1">
      <c r="B35" s="95" t="inlineStr">
        <is>
          <t>Upper Middle Market</t>
        </is>
      </c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  <c r="AA35" s="96" t="n"/>
      <c r="AB35" s="96" t="n"/>
      <c r="AC35" s="96" t="n"/>
      <c r="AD35" s="96" t="n"/>
      <c r="AE35" s="96" t="n"/>
      <c r="AF35" s="96" t="n"/>
      <c r="AG35" s="96" t="n"/>
      <c r="AH35" s="96" t="n"/>
      <c r="AI35" s="96" t="n"/>
      <c r="AJ35" s="96" t="n"/>
      <c r="AK35" s="96" t="n"/>
      <c r="AL35" s="96" t="n"/>
      <c r="AM35" s="96" t="n"/>
      <c r="AN35" s="96" t="n"/>
      <c r="AO35" s="96" t="n"/>
      <c r="AP35" s="96" t="n"/>
      <c r="AQ35" s="96" t="n"/>
      <c r="AR35" s="96" t="n"/>
      <c r="AS35" s="96" t="n"/>
      <c r="AT35" s="96" t="n"/>
      <c r="AU35" s="96" t="n"/>
      <c r="AV35" s="96" t="n"/>
      <c r="AW35" s="96" t="n"/>
      <c r="AX35" s="96" t="n"/>
      <c r="AY35" s="96" t="n"/>
      <c r="AZ35" s="96" t="n"/>
      <c r="BA35" s="96" t="n"/>
      <c r="BB35" s="96" t="n"/>
      <c r="BC35" s="96" t="n"/>
      <c r="BD35" s="96" t="n"/>
      <c r="BE35" s="96" t="n"/>
      <c r="BF35" s="96" t="n"/>
      <c r="BG35" s="96" t="n"/>
      <c r="BH35" s="96" t="n"/>
      <c r="BI35" s="96" t="n"/>
      <c r="BJ35" s="96" t="n"/>
      <c r="BK35" s="96" t="n"/>
      <c r="BL35" s="96" t="n"/>
      <c r="BM35" s="96" t="n"/>
      <c r="BN35" s="96" t="n"/>
      <c r="BO35" s="96" t="n"/>
      <c r="BP35" s="96" t="n"/>
      <c r="BQ35" s="96" t="n"/>
      <c r="BR35" s="96" t="n"/>
      <c r="BS35" s="96" t="n"/>
      <c r="BT35" s="96" t="n"/>
      <c r="BU35" s="96" t="n"/>
      <c r="BV35" s="96" t="n"/>
      <c r="BW35" s="96" t="n"/>
      <c r="BX35" s="96" t="n"/>
      <c r="BY35" s="96" t="n"/>
      <c r="BZ35" s="96" t="n"/>
      <c r="CA35" s="96" t="n"/>
      <c r="CB35" s="96" t="n"/>
      <c r="CC35" s="96" t="n"/>
      <c r="CD35" s="96" t="n"/>
      <c r="CE35" s="96" t="n"/>
      <c r="CF35" s="96" t="n"/>
      <c r="CG35" s="96" t="n"/>
      <c r="CH35" s="96" t="n"/>
      <c r="CI35" s="96" t="n"/>
      <c r="CJ35" s="96" t="n"/>
      <c r="CK35" s="96" t="n"/>
      <c r="CL35" s="96" t="n"/>
      <c r="CM35" s="96" t="n"/>
      <c r="CN35" s="96" t="n"/>
      <c r="CO35" s="96" t="n"/>
      <c r="CP35" s="96" t="n"/>
      <c r="CQ35" s="96" t="n"/>
      <c r="CR35" s="96" t="n"/>
      <c r="CS35" s="96" t="n"/>
      <c r="CT35" s="96" t="n"/>
      <c r="CU35" s="96" t="n"/>
      <c r="CV35" s="96" t="n"/>
      <c r="CW35" s="96" t="n"/>
      <c r="CX35" s="96" t="n"/>
      <c r="CY35" s="96" t="n"/>
      <c r="CZ35" s="96" t="n"/>
      <c r="DA35" s="96" t="n"/>
      <c r="DB35" s="96" t="n"/>
      <c r="DC35" s="96" t="n"/>
      <c r="DD35" s="96" t="n"/>
      <c r="DE35" s="96" t="n"/>
      <c r="DF35" s="96" t="n"/>
      <c r="DG35" s="96" t="n"/>
      <c r="DH35" s="96" t="n"/>
      <c r="DI35" s="96" t="n"/>
      <c r="DJ35" s="96" t="n"/>
      <c r="DK35" s="96" t="n"/>
      <c r="DL35" s="96" t="n"/>
      <c r="DM35" s="96" t="n"/>
      <c r="DN35" s="96" t="n"/>
      <c r="DO35" s="96" t="n"/>
      <c r="DP35" s="96" t="n"/>
      <c r="DQ35" s="96" t="n"/>
      <c r="DR35" s="96" t="n"/>
    </row>
    <row r="36" ht="15.75" customHeight="1">
      <c r="B36" s="5" t="inlineStr">
        <is>
          <t>New Bookings</t>
        </is>
      </c>
      <c r="BN36" s="98" t="n"/>
      <c r="BO36" s="98" t="n"/>
      <c r="BP36" s="98" t="n"/>
      <c r="BQ36" s="98">
        <f>SUMIFS(Revenue_Assumptions!$I$31:$M$31,Revenue_Assumptions!$I$7:$M$7,BQ$7)/12</f>
        <v/>
      </c>
      <c r="BR36" s="98">
        <f>SUMIFS(Revenue_Assumptions!$I$31:$M$31,Revenue_Assumptions!$I$7:$M$7,BR$7)/12</f>
        <v/>
      </c>
      <c r="BS36" s="98">
        <f>SUMIFS(Revenue_Assumptions!$I$31:$M$31,Revenue_Assumptions!$I$7:$M$7,BS$7)/12</f>
        <v/>
      </c>
      <c r="BT36" s="98">
        <f>SUMIFS(Revenue_Assumptions!$I$31:$M$31,Revenue_Assumptions!$I$7:$M$7,BT$7)/12</f>
        <v/>
      </c>
      <c r="BU36" s="98">
        <f>SUMIFS(Revenue_Assumptions!$I$31:$M$31,Revenue_Assumptions!$I$7:$M$7,BU$7)/12</f>
        <v/>
      </c>
      <c r="BV36" s="98">
        <f>SUMIFS(Revenue_Assumptions!$I$31:$M$31,Revenue_Assumptions!$I$7:$M$7,BV$7)/12</f>
        <v/>
      </c>
      <c r="BW36" s="98">
        <f>SUMIFS(Revenue_Assumptions!$I$31:$M$31,Revenue_Assumptions!$I$7:$M$7,BW$7)/12</f>
        <v/>
      </c>
      <c r="BX36" s="98">
        <f>SUMIFS(Revenue_Assumptions!$I$31:$M$31,Revenue_Assumptions!$I$7:$M$7,BX$7)/12</f>
        <v/>
      </c>
      <c r="BY36" s="98">
        <f>SUMIFS(Revenue_Assumptions!$I$31:$M$31,Revenue_Assumptions!$I$7:$M$7,BY$7)/12</f>
        <v/>
      </c>
      <c r="BZ36" s="98">
        <f>SUMIFS(Revenue_Assumptions!$I$31:$M$31,Revenue_Assumptions!$I$7:$M$7,BZ$7)/12</f>
        <v/>
      </c>
      <c r="CA36" s="98">
        <f>SUMIFS(Revenue_Assumptions!$I$31:$M$31,Revenue_Assumptions!$I$7:$M$7,CA$7)/12</f>
        <v/>
      </c>
      <c r="CB36" s="98">
        <f>SUMIFS(Revenue_Assumptions!$I$31:$M$31,Revenue_Assumptions!$I$7:$M$7,CB$7)/12</f>
        <v/>
      </c>
      <c r="CC36" s="98">
        <f>SUMIFS(Revenue_Assumptions!$I$31:$M$31,Revenue_Assumptions!$I$7:$M$7,CC$7)/12</f>
        <v/>
      </c>
      <c r="CD36" s="98">
        <f>SUMIFS(Revenue_Assumptions!$I$31:$M$31,Revenue_Assumptions!$I$7:$M$7,CD$7)/12</f>
        <v/>
      </c>
      <c r="CE36" s="98">
        <f>SUMIFS(Revenue_Assumptions!$I$31:$M$31,Revenue_Assumptions!$I$7:$M$7,CE$7)/12</f>
        <v/>
      </c>
      <c r="CF36" s="98">
        <f>SUMIFS(Revenue_Assumptions!$I$31:$M$31,Revenue_Assumptions!$I$7:$M$7,CF$7)/12</f>
        <v/>
      </c>
      <c r="CG36" s="98">
        <f>SUMIFS(Revenue_Assumptions!$I$31:$M$31,Revenue_Assumptions!$I$7:$M$7,CG$7)/12</f>
        <v/>
      </c>
      <c r="CH36" s="98">
        <f>SUMIFS(Revenue_Assumptions!$I$31:$M$31,Revenue_Assumptions!$I$7:$M$7,CH$7)/12</f>
        <v/>
      </c>
      <c r="CI36" s="98">
        <f>SUMIFS(Revenue_Assumptions!$I$31:$M$31,Revenue_Assumptions!$I$7:$M$7,CI$7)/12</f>
        <v/>
      </c>
      <c r="CJ36" s="98">
        <f>SUMIFS(Revenue_Assumptions!$I$31:$M$31,Revenue_Assumptions!$I$7:$M$7,CJ$7)/12</f>
        <v/>
      </c>
      <c r="CK36" s="98">
        <f>SUMIFS(Revenue_Assumptions!$I$31:$M$31,Revenue_Assumptions!$I$7:$M$7,CK$7)/12</f>
        <v/>
      </c>
      <c r="CL36" s="98">
        <f>SUMIFS(Revenue_Assumptions!$I$31:$M$31,Revenue_Assumptions!$I$7:$M$7,CL$7)/12</f>
        <v/>
      </c>
      <c r="CM36" s="98">
        <f>SUMIFS(Revenue_Assumptions!$I$31:$M$31,Revenue_Assumptions!$I$7:$M$7,CM$7)/12</f>
        <v/>
      </c>
      <c r="CN36" s="98">
        <f>SUMIFS(Revenue_Assumptions!$I$31:$M$31,Revenue_Assumptions!$I$7:$M$7,CN$7)/12</f>
        <v/>
      </c>
      <c r="CO36" s="98">
        <f>SUMIFS(Revenue_Assumptions!$I$31:$M$31,Revenue_Assumptions!$I$7:$M$7,CO$7)/12</f>
        <v/>
      </c>
      <c r="CP36" s="98">
        <f>SUMIFS(Revenue_Assumptions!$I$31:$M$31,Revenue_Assumptions!$I$7:$M$7,CP$7)/12</f>
        <v/>
      </c>
      <c r="CQ36" s="98">
        <f>SUMIFS(Revenue_Assumptions!$I$31:$M$31,Revenue_Assumptions!$I$7:$M$7,CQ$7)/12</f>
        <v/>
      </c>
      <c r="CR36" s="98">
        <f>SUMIFS(Revenue_Assumptions!$I$31:$M$31,Revenue_Assumptions!$I$7:$M$7,CR$7)/12</f>
        <v/>
      </c>
      <c r="CS36" s="98">
        <f>SUMIFS(Revenue_Assumptions!$I$31:$M$31,Revenue_Assumptions!$I$7:$M$7,CS$7)/12</f>
        <v/>
      </c>
      <c r="CT36" s="98">
        <f>SUMIFS(Revenue_Assumptions!$I$31:$M$31,Revenue_Assumptions!$I$7:$M$7,CT$7)/12</f>
        <v/>
      </c>
      <c r="CU36" s="98">
        <f>SUMIFS(Revenue_Assumptions!$I$31:$M$31,Revenue_Assumptions!$I$7:$M$7,CU$7)/12</f>
        <v/>
      </c>
      <c r="CV36" s="98">
        <f>SUMIFS(Revenue_Assumptions!$I$31:$M$31,Revenue_Assumptions!$I$7:$M$7,CV$7)/12</f>
        <v/>
      </c>
      <c r="CW36" s="98">
        <f>SUMIFS(Revenue_Assumptions!$I$31:$M$31,Revenue_Assumptions!$I$7:$M$7,CW$7)/12</f>
        <v/>
      </c>
      <c r="CX36" s="98">
        <f>SUMIFS(Revenue_Assumptions!$I$31:$M$31,Revenue_Assumptions!$I$7:$M$7,CX$7)/12</f>
        <v/>
      </c>
      <c r="CY36" s="98">
        <f>SUMIFS(Revenue_Assumptions!$I$31:$M$31,Revenue_Assumptions!$I$7:$M$7,CY$7)/12</f>
        <v/>
      </c>
      <c r="CZ36" s="98">
        <f>SUMIFS(Revenue_Assumptions!$I$31:$M$31,Revenue_Assumptions!$I$7:$M$7,CZ$7)/12</f>
        <v/>
      </c>
      <c r="DA36" s="98">
        <f>SUMIFS(Revenue_Assumptions!$I$31:$M$31,Revenue_Assumptions!$I$7:$M$7,DA$7)/12</f>
        <v/>
      </c>
      <c r="DB36" s="98">
        <f>SUMIFS(Revenue_Assumptions!$I$31:$M$31,Revenue_Assumptions!$I$7:$M$7,DB$7)/12</f>
        <v/>
      </c>
      <c r="DC36" s="98">
        <f>SUMIFS(Revenue_Assumptions!$I$31:$M$31,Revenue_Assumptions!$I$7:$M$7,DC$7)/12</f>
        <v/>
      </c>
      <c r="DD36" s="98">
        <f>SUMIFS(Revenue_Assumptions!$I$31:$M$31,Revenue_Assumptions!$I$7:$M$7,DD$7)/12</f>
        <v/>
      </c>
      <c r="DE36" s="98">
        <f>SUMIFS(Revenue_Assumptions!$I$31:$M$31,Revenue_Assumptions!$I$7:$M$7,DE$7)/12</f>
        <v/>
      </c>
      <c r="DF36" s="98">
        <f>SUMIFS(Revenue_Assumptions!$I$31:$M$31,Revenue_Assumptions!$I$7:$M$7,DF$7)/12</f>
        <v/>
      </c>
      <c r="DG36" s="98">
        <f>SUMIFS(Revenue_Assumptions!$I$31:$M$31,Revenue_Assumptions!$I$7:$M$7,DG$7)/12</f>
        <v/>
      </c>
      <c r="DH36" s="98">
        <f>SUMIFS(Revenue_Assumptions!$I$31:$M$31,Revenue_Assumptions!$I$7:$M$7,DH$7)/12</f>
        <v/>
      </c>
      <c r="DI36" s="98">
        <f>SUMIFS(Revenue_Assumptions!$I$31:$M$31,Revenue_Assumptions!$I$7:$M$7,DI$7)/12</f>
        <v/>
      </c>
      <c r="DJ36" s="98">
        <f>SUMIFS(Revenue_Assumptions!$I$31:$M$31,Revenue_Assumptions!$I$7:$M$7,DJ$7)/12</f>
        <v/>
      </c>
      <c r="DK36" s="98">
        <f>SUMIFS(Revenue_Assumptions!$I$31:$M$31,Revenue_Assumptions!$I$7:$M$7,DK$7)/12</f>
        <v/>
      </c>
      <c r="DL36" s="98">
        <f>SUMIFS(Revenue_Assumptions!$I$31:$M$31,Revenue_Assumptions!$I$7:$M$7,DL$7)/12</f>
        <v/>
      </c>
      <c r="DM36" s="98">
        <f>SUMIFS(Revenue_Assumptions!$I$31:$M$31,Revenue_Assumptions!$I$7:$M$7,DM$7)/12</f>
        <v/>
      </c>
      <c r="DN36" s="98">
        <f>SUMIFS(Revenue_Assumptions!$I$31:$M$31,Revenue_Assumptions!$I$7:$M$7,DN$7)/12</f>
        <v/>
      </c>
      <c r="DO36" s="98">
        <f>SUMIFS(Revenue_Assumptions!$I$31:$M$31,Revenue_Assumptions!$I$7:$M$7,DO$7)/12</f>
        <v/>
      </c>
      <c r="DP36" s="98">
        <f>SUMIFS(Revenue_Assumptions!$I$31:$M$31,Revenue_Assumptions!$I$7:$M$7,DP$7)/12</f>
        <v/>
      </c>
      <c r="DQ36" s="98">
        <f>SUMIFS(Revenue_Assumptions!$I$31:$M$31,Revenue_Assumptions!$I$7:$M$7,DQ$7)/12</f>
        <v/>
      </c>
      <c r="DR36" s="98">
        <f>SUMIFS(Revenue_Assumptions!$I$31:$M$31,Revenue_Assumptions!$I$7:$M$7,DR$7)/12</f>
        <v/>
      </c>
    </row>
    <row r="37" ht="15.75" customHeight="1">
      <c r="B37" s="5" t="inlineStr">
        <is>
          <t>Active Bookings</t>
        </is>
      </c>
      <c r="BN37" s="98" t="n"/>
      <c r="BO37" s="98" t="n"/>
      <c r="BP37" s="98" t="n"/>
      <c r="BQ37" s="98">
        <f>+SUM(OFFSET(BQ36,0,-$C$13):BQ36)</f>
        <v/>
      </c>
      <c r="BR37" s="98">
        <f>+SUM(OFFSET(BR36,0,-$C$13):BR36)</f>
        <v/>
      </c>
      <c r="BS37" s="98">
        <f>+SUM(OFFSET(BS36,0,-$C$13):BS36)</f>
        <v/>
      </c>
      <c r="BT37" s="98">
        <f>+SUM(OFFSET(BT36,0,-$C$13):BT36)</f>
        <v/>
      </c>
      <c r="BU37" s="98">
        <f>+SUM(OFFSET(BU36,0,-$C$13):BU36)</f>
        <v/>
      </c>
      <c r="BV37" s="98">
        <f>+SUM(OFFSET(BV36,0,-$C$13):BV36)</f>
        <v/>
      </c>
      <c r="BW37" s="98">
        <f>+SUM(OFFSET(BW36,0,-$C$13):BW36)</f>
        <v/>
      </c>
      <c r="BX37" s="98">
        <f>+SUM(OFFSET(BX36,0,-$C$13):BX36)</f>
        <v/>
      </c>
      <c r="BY37" s="98">
        <f>+SUM(OFFSET(BY36,0,-$C$13):BY36)</f>
        <v/>
      </c>
      <c r="BZ37" s="98">
        <f>+SUM(OFFSET(BZ36,0,-$C$13):BZ36)</f>
        <v/>
      </c>
      <c r="CA37" s="98">
        <f>+SUM(OFFSET(CA36,0,-$C$13):CA36)</f>
        <v/>
      </c>
      <c r="CB37" s="98">
        <f>+SUM(OFFSET(CB36,0,-$C$13):CB36)</f>
        <v/>
      </c>
      <c r="CC37" s="98">
        <f>+SUM(OFFSET(CC36,0,-$C$13):CC36)</f>
        <v/>
      </c>
      <c r="CD37" s="98">
        <f>+SUM(OFFSET(CD36,0,-$C$13):CD36)</f>
        <v/>
      </c>
      <c r="CE37" s="98">
        <f>+SUM(OFFSET(CE36,0,-$C$13):CE36)</f>
        <v/>
      </c>
      <c r="CF37" s="98">
        <f>+SUM(OFFSET(CF36,0,-$C$13):CF36)</f>
        <v/>
      </c>
      <c r="CG37" s="98">
        <f>+SUM(OFFSET(CG36,0,-$C$13):CG36)</f>
        <v/>
      </c>
      <c r="CH37" s="98">
        <f>+SUM(OFFSET(CH36,0,-$C$13):CH36)</f>
        <v/>
      </c>
      <c r="CI37" s="98">
        <f>+SUM(OFFSET(CI36,0,-$C$13):CI36)</f>
        <v/>
      </c>
      <c r="CJ37" s="98">
        <f>+SUM(OFFSET(CJ36,0,-$C$13):CJ36)</f>
        <v/>
      </c>
      <c r="CK37" s="98">
        <f>+SUM(OFFSET(CK36,0,-$C$13):CK36)</f>
        <v/>
      </c>
      <c r="CL37" s="98">
        <f>+SUM(OFFSET(CL36,0,-$C$13):CL36)</f>
        <v/>
      </c>
      <c r="CM37" s="98">
        <f>+SUM(OFFSET(CM36,0,-$C$13):CM36)</f>
        <v/>
      </c>
      <c r="CN37" s="98">
        <f>+SUM(OFFSET(CN36,0,-$C$13):CN36)</f>
        <v/>
      </c>
      <c r="CO37" s="98">
        <f>+SUM(OFFSET(CO36,0,-$C$13):CO36)</f>
        <v/>
      </c>
      <c r="CP37" s="98">
        <f>+SUM(OFFSET(CP36,0,-$C$13):CP36)</f>
        <v/>
      </c>
      <c r="CQ37" s="98">
        <f>+SUM(OFFSET(CQ36,0,-$C$13):CQ36)</f>
        <v/>
      </c>
      <c r="CR37" s="98">
        <f>+SUM(OFFSET(CR36,0,-$C$13):CR36)</f>
        <v/>
      </c>
      <c r="CS37" s="98">
        <f>+SUM(OFFSET(CS36,0,-$C$13):CS36)</f>
        <v/>
      </c>
      <c r="CT37" s="98">
        <f>+SUM(OFFSET(CT36,0,-$C$13):CT36)</f>
        <v/>
      </c>
      <c r="CU37" s="98">
        <f>+SUM(OFFSET(CU36,0,-$C$13):CU36)</f>
        <v/>
      </c>
      <c r="CV37" s="98">
        <f>+SUM(OFFSET(CV36,0,-$C$13):CV36)</f>
        <v/>
      </c>
      <c r="CW37" s="98">
        <f>+SUM(OFFSET(CW36,0,-$C$13):CW36)</f>
        <v/>
      </c>
      <c r="CX37" s="98">
        <f>+SUM(OFFSET(CX36,0,-$C$13):CX36)</f>
        <v/>
      </c>
      <c r="CY37" s="98">
        <f>+SUM(OFFSET(CY36,0,-$C$13):CY36)</f>
        <v/>
      </c>
      <c r="CZ37" s="98">
        <f>+SUM(OFFSET(CZ36,0,-$C$13):CZ36)</f>
        <v/>
      </c>
      <c r="DA37" s="98">
        <f>+SUM(OFFSET(DA36,0,-$C$13):DA36)</f>
        <v/>
      </c>
      <c r="DB37" s="98">
        <f>+SUM(OFFSET(DB36,0,-$C$13):DB36)</f>
        <v/>
      </c>
      <c r="DC37" s="98">
        <f>+SUM(OFFSET(DC36,0,-$C$13):DC36)</f>
        <v/>
      </c>
      <c r="DD37" s="98">
        <f>+SUM(OFFSET(DD36,0,-$C$13):DD36)</f>
        <v/>
      </c>
      <c r="DE37" s="98">
        <f>+SUM(OFFSET(DE36,0,-$C$13):DE36)</f>
        <v/>
      </c>
      <c r="DF37" s="98">
        <f>+SUM(OFFSET(DF36,0,-$C$13):DF36)</f>
        <v/>
      </c>
      <c r="DG37" s="98">
        <f>+SUM(OFFSET(DG36,0,-$C$13):DG36)</f>
        <v/>
      </c>
      <c r="DH37" s="98">
        <f>+SUM(OFFSET(DH36,0,-$C$13):DH36)</f>
        <v/>
      </c>
      <c r="DI37" s="98">
        <f>+SUM(OFFSET(DI36,0,-$C$13):DI36)</f>
        <v/>
      </c>
      <c r="DJ37" s="98">
        <f>+SUM(OFFSET(DJ36,0,-$C$13):DJ36)</f>
        <v/>
      </c>
      <c r="DK37" s="98">
        <f>+SUM(OFFSET(DK36,0,-$C$13):DK36)</f>
        <v/>
      </c>
      <c r="DL37" s="98">
        <f>+SUM(OFFSET(DL36,0,-$C$13):DL36)</f>
        <v/>
      </c>
      <c r="DM37" s="98">
        <f>+SUM(OFFSET(DM36,0,-$C$13):DM36)</f>
        <v/>
      </c>
      <c r="DN37" s="98">
        <f>+SUM(OFFSET(DN36,0,-$C$13):DN36)</f>
        <v/>
      </c>
      <c r="DO37" s="98">
        <f>+SUM(OFFSET(DO36,0,-$C$13):DO36)</f>
        <v/>
      </c>
      <c r="DP37" s="98">
        <f>+SUM(OFFSET(DP36,0,-$C$13):DP36)</f>
        <v/>
      </c>
      <c r="DQ37" s="98">
        <f>+SUM(OFFSET(DQ36,0,-$C$13):DQ36)</f>
        <v/>
      </c>
      <c r="DR37" s="98">
        <f>+SUM(OFFSET(DR36,0,-$C$13):DR36)</f>
        <v/>
      </c>
    </row>
    <row r="38" ht="4.5" customHeight="1">
      <c r="BN38" s="48" t="n"/>
      <c r="BO38" s="48" t="n"/>
      <c r="BP38" s="48" t="n"/>
      <c r="BQ38" s="48" t="n"/>
      <c r="BR38" s="48" t="n"/>
      <c r="BS38" s="48" t="n"/>
      <c r="BT38" s="48" t="n"/>
      <c r="BU38" s="48" t="n"/>
      <c r="BV38" s="48" t="n"/>
      <c r="BW38" s="48" t="n"/>
      <c r="BX38" s="48" t="n"/>
      <c r="BY38" s="48" t="n"/>
      <c r="BZ38" s="48" t="n"/>
      <c r="CA38" s="48" t="n"/>
      <c r="CB38" s="48" t="n"/>
      <c r="CC38" s="48" t="n"/>
      <c r="CD38" s="48" t="n"/>
      <c r="CE38" s="48" t="n"/>
      <c r="CF38" s="48" t="n"/>
      <c r="CG38" s="48" t="n"/>
      <c r="CH38" s="48" t="n"/>
      <c r="CI38" s="48" t="n"/>
      <c r="CJ38" s="48" t="n"/>
      <c r="CK38" s="48" t="n"/>
      <c r="CL38" s="48" t="n"/>
      <c r="CM38" s="48" t="n"/>
      <c r="CN38" s="48" t="n"/>
      <c r="CO38" s="48" t="n"/>
      <c r="CP38" s="48" t="n"/>
      <c r="CQ38" s="48" t="n"/>
      <c r="CR38" s="48" t="n"/>
      <c r="CS38" s="48" t="n"/>
      <c r="CT38" s="48" t="n"/>
      <c r="CU38" s="48" t="n"/>
      <c r="CV38" s="48" t="n"/>
      <c r="CW38" s="48" t="n"/>
      <c r="CX38" s="48" t="n"/>
      <c r="CY38" s="48" t="n"/>
      <c r="CZ38" s="48" t="n"/>
      <c r="DA38" s="48" t="n"/>
      <c r="DB38" s="48" t="n"/>
      <c r="DC38" s="48" t="n"/>
      <c r="DD38" s="48" t="n"/>
      <c r="DE38" s="48" t="n"/>
      <c r="DF38" s="48" t="n"/>
      <c r="DG38" s="48" t="n"/>
      <c r="DH38" s="48" t="n"/>
      <c r="DI38" s="48" t="n"/>
      <c r="DJ38" s="48" t="n"/>
      <c r="DK38" s="48" t="n"/>
      <c r="DL38" s="48" t="n"/>
      <c r="DM38" s="48" t="n"/>
      <c r="DN38" s="48" t="n"/>
      <c r="DO38" s="48" t="n"/>
      <c r="DP38" s="48" t="n"/>
      <c r="DQ38" s="48" t="n"/>
      <c r="DR38" s="48" t="n"/>
    </row>
    <row r="39" ht="15.75" customHeight="1">
      <c r="B39" s="5" t="inlineStr">
        <is>
          <t>New Revenue</t>
        </is>
      </c>
      <c r="BN39" s="138" t="n"/>
      <c r="BO39" s="138" t="n"/>
      <c r="BP39" s="138" t="n"/>
      <c r="BQ39" s="138">
        <f>+SUMIFS($BN36:$DR36,$BN$18:$DR$18,BQ$8)</f>
        <v/>
      </c>
      <c r="BR39" s="138">
        <f>+SUMIFS($BN36:$DR36,$BN$18:$DR$18,BR$8)</f>
        <v/>
      </c>
      <c r="BS39" s="138">
        <f>+SUMIFS($BN36:$DR36,$BN$18:$DR$18,BS$8)</f>
        <v/>
      </c>
      <c r="BT39" s="138">
        <f>+SUMIFS($BN36:$DR36,$BN$18:$DR$18,BT$8)</f>
        <v/>
      </c>
      <c r="BU39" s="138">
        <f>+SUMIFS($BN36:$DR36,$BN$18:$DR$18,BU$8)</f>
        <v/>
      </c>
      <c r="BV39" s="138">
        <f>+SUMIFS($BN36:$DR36,$BN$18:$DR$18,BV$8)</f>
        <v/>
      </c>
      <c r="BW39" s="138">
        <f>+SUMIFS($BN36:$DR36,$BN$18:$DR$18,BW$8)</f>
        <v/>
      </c>
      <c r="BX39" s="138">
        <f>+SUMIFS($BN36:$DR36,$BN$18:$DR$18,BX$8)</f>
        <v/>
      </c>
      <c r="BY39" s="138">
        <f>+SUMIFS($BN36:$DR36,$BN$18:$DR$18,BY$8)</f>
        <v/>
      </c>
      <c r="BZ39" s="138">
        <f>+SUMIFS($BN36:$DR36,$BN$18:$DR$18,BZ$8)</f>
        <v/>
      </c>
      <c r="CA39" s="138">
        <f>+SUMIFS($BN36:$DR36,$BN$18:$DR$18,CA$8)</f>
        <v/>
      </c>
      <c r="CB39" s="138">
        <f>+SUMIFS($BN36:$DR36,$BN$18:$DR$18,CB$8)</f>
        <v/>
      </c>
      <c r="CC39" s="138">
        <f>+SUMIFS($BN36:$DR36,$BN$18:$DR$18,CC$8)</f>
        <v/>
      </c>
      <c r="CD39" s="138">
        <f>+SUMIFS($BN36:$DR36,$BN$18:$DR$18,CD$8)</f>
        <v/>
      </c>
      <c r="CE39" s="138">
        <f>+SUMIFS($BN36:$DR36,$BN$18:$DR$18,CE$8)</f>
        <v/>
      </c>
      <c r="CF39" s="138">
        <f>+SUMIFS($BN36:$DR36,$BN$18:$DR$18,CF$8)</f>
        <v/>
      </c>
      <c r="CG39" s="138">
        <f>+SUMIFS($BN36:$DR36,$BN$18:$DR$18,CG$8)</f>
        <v/>
      </c>
      <c r="CH39" s="138">
        <f>+SUMIFS($BN36:$DR36,$BN$18:$DR$18,CH$8)</f>
        <v/>
      </c>
      <c r="CI39" s="138">
        <f>+SUMIFS($BN36:$DR36,$BN$18:$DR$18,CI$8)</f>
        <v/>
      </c>
      <c r="CJ39" s="138">
        <f>+SUMIFS($BN36:$DR36,$BN$18:$DR$18,CJ$8)</f>
        <v/>
      </c>
      <c r="CK39" s="138">
        <f>+SUMIFS($BN36:$DR36,$BN$18:$DR$18,CK$8)</f>
        <v/>
      </c>
      <c r="CL39" s="138">
        <f>+SUMIFS($BN36:$DR36,$BN$18:$DR$18,CL$8)</f>
        <v/>
      </c>
      <c r="CM39" s="138">
        <f>+SUMIFS($BN36:$DR36,$BN$18:$DR$18,CM$8)</f>
        <v/>
      </c>
      <c r="CN39" s="138">
        <f>+SUMIFS($BN36:$DR36,$BN$18:$DR$18,CN$8)</f>
        <v/>
      </c>
      <c r="CO39" s="138">
        <f>+SUMIFS($BN36:$DR36,$BN$18:$DR$18,CO$8)</f>
        <v/>
      </c>
      <c r="CP39" s="138">
        <f>+SUMIFS($BN36:$DR36,$BN$18:$DR$18,CP$8)</f>
        <v/>
      </c>
      <c r="CQ39" s="138">
        <f>+SUMIFS($BN36:$DR36,$BN$18:$DR$18,CQ$8)</f>
        <v/>
      </c>
      <c r="CR39" s="138">
        <f>+SUMIFS($BN36:$DR36,$BN$18:$DR$18,CR$8)</f>
        <v/>
      </c>
      <c r="CS39" s="138">
        <f>+SUMIFS($BN36:$DR36,$BN$18:$DR$18,CS$8)</f>
        <v/>
      </c>
      <c r="CT39" s="138">
        <f>+SUMIFS($BN36:$DR36,$BN$18:$DR$18,CT$8)</f>
        <v/>
      </c>
      <c r="CU39" s="138">
        <f>+SUMIFS($BN36:$DR36,$BN$18:$DR$18,CU$8)</f>
        <v/>
      </c>
      <c r="CV39" s="138">
        <f>+SUMIFS($BN36:$DR36,$BN$18:$DR$18,CV$8)</f>
        <v/>
      </c>
      <c r="CW39" s="138">
        <f>+SUMIFS($BN36:$DR36,$BN$18:$DR$18,CW$8)</f>
        <v/>
      </c>
      <c r="CX39" s="138">
        <f>+SUMIFS($BN36:$DR36,$BN$18:$DR$18,CX$8)</f>
        <v/>
      </c>
      <c r="CY39" s="138">
        <f>+SUMIFS($BN36:$DR36,$BN$18:$DR$18,CY$8)</f>
        <v/>
      </c>
      <c r="CZ39" s="138">
        <f>+SUMIFS($BN36:$DR36,$BN$18:$DR$18,CZ$8)</f>
        <v/>
      </c>
      <c r="DA39" s="138">
        <f>+SUMIFS($BN36:$DR36,$BN$18:$DR$18,DA$8)</f>
        <v/>
      </c>
      <c r="DB39" s="138">
        <f>+SUMIFS($BN36:$DR36,$BN$18:$DR$18,DB$8)</f>
        <v/>
      </c>
      <c r="DC39" s="138">
        <f>+SUMIFS($BN36:$DR36,$BN$18:$DR$18,DC$8)</f>
        <v/>
      </c>
      <c r="DD39" s="138">
        <f>+SUMIFS($BN36:$DR36,$BN$18:$DR$18,DD$8)</f>
        <v/>
      </c>
      <c r="DE39" s="138">
        <f>+SUMIFS($BN36:$DR36,$BN$18:$DR$18,DE$8)</f>
        <v/>
      </c>
      <c r="DF39" s="138">
        <f>+SUMIFS($BN36:$DR36,$BN$18:$DR$18,DF$8)</f>
        <v/>
      </c>
      <c r="DG39" s="138">
        <f>+SUMIFS($BN36:$DR36,$BN$18:$DR$18,DG$8)</f>
        <v/>
      </c>
      <c r="DH39" s="138">
        <f>+SUMIFS($BN36:$DR36,$BN$18:$DR$18,DH$8)</f>
        <v/>
      </c>
      <c r="DI39" s="138">
        <f>+SUMIFS($BN36:$DR36,$BN$18:$DR$18,DI$8)</f>
        <v/>
      </c>
      <c r="DJ39" s="138">
        <f>+SUMIFS($BN36:$DR36,$BN$18:$DR$18,DJ$8)</f>
        <v/>
      </c>
      <c r="DK39" s="138">
        <f>+SUMIFS($BN36:$DR36,$BN$18:$DR$18,DK$8)</f>
        <v/>
      </c>
      <c r="DL39" s="138">
        <f>+SUMIFS($BN36:$DR36,$BN$18:$DR$18,DL$8)</f>
        <v/>
      </c>
      <c r="DM39" s="138">
        <f>+SUMIFS($BN36:$DR36,$BN$18:$DR$18,DM$8)</f>
        <v/>
      </c>
      <c r="DN39" s="138">
        <f>+SUMIFS($BN36:$DR36,$BN$18:$DR$18,DN$8)</f>
        <v/>
      </c>
      <c r="DO39" s="138">
        <f>+SUMIFS($BN36:$DR36,$BN$18:$DR$18,DO$8)</f>
        <v/>
      </c>
      <c r="DP39" s="138">
        <f>+SUMIFS($BN36:$DR36,$BN$18:$DR$18,DP$8)</f>
        <v/>
      </c>
      <c r="DQ39" s="138">
        <f>+SUMIFS($BN36:$DR36,$BN$18:$DR$18,DQ$8)</f>
        <v/>
      </c>
      <c r="DR39" s="138">
        <f>+SUMIFS($BN36:$DR36,$BN$18:$DR$18,DR$8)</f>
        <v/>
      </c>
    </row>
    <row r="40" ht="15.75" customHeight="1">
      <c r="B40" s="5" t="inlineStr">
        <is>
          <t>YTD New Clients</t>
        </is>
      </c>
      <c r="BN40" s="138" t="n"/>
      <c r="BO40" s="138" t="n"/>
      <c r="BP40" s="138" t="n"/>
      <c r="BQ40" s="138">
        <f>+IF(BQ$7=BP$7,BP40+BQ39,BQ39)</f>
        <v/>
      </c>
      <c r="BR40" s="138">
        <f>+IF(BR$7=BQ$7,BQ40+BR39,BR39)</f>
        <v/>
      </c>
      <c r="BS40" s="138">
        <f>+IF(BS$7=BR$7,BR40+BS39,BS39)</f>
        <v/>
      </c>
      <c r="BT40" s="138">
        <f>+IF(BT$7=BS$7,BS40+BT39,BT39)</f>
        <v/>
      </c>
      <c r="BU40" s="138">
        <f>+IF(BU$7=BT$7,BT40+BU39,BU39)</f>
        <v/>
      </c>
      <c r="BV40" s="138">
        <f>+IF(BV$7=BU$7,BU40+BV39,BV39)</f>
        <v/>
      </c>
      <c r="BW40" s="138">
        <f>+IF(BW$7=BV$7,BV40+BW39,BW39)</f>
        <v/>
      </c>
      <c r="BX40" s="138">
        <f>+IF(BX$7=BW$7,BW40+BX39,BX39)</f>
        <v/>
      </c>
      <c r="BY40" s="138">
        <f>+IF(BY$7=BX$7,BX40+BY39,BY39)</f>
        <v/>
      </c>
      <c r="BZ40" s="138">
        <f>+IF(BZ$7=BY$7,BY40+BZ39,BZ39)</f>
        <v/>
      </c>
      <c r="CA40" s="138">
        <f>+IF(CA$7=BZ$7,BZ40+CA39,CA39)</f>
        <v/>
      </c>
      <c r="CB40" s="138">
        <f>+IF(CB$7=CA$7,CA40+CB39,CB39)</f>
        <v/>
      </c>
      <c r="CC40" s="138">
        <f>+IF(CC$7=CB$7,CB40+CC39,CC39)</f>
        <v/>
      </c>
      <c r="CD40" s="138">
        <f>+IF(CD$7=CC$7,CC40+CD39,CD39)</f>
        <v/>
      </c>
      <c r="CE40" s="138">
        <f>+IF(CE$7=CD$7,CD40+CE39,CE39)</f>
        <v/>
      </c>
      <c r="CF40" s="138">
        <f>+IF(CF$7=CE$7,CE40+CF39,CF39)</f>
        <v/>
      </c>
      <c r="CG40" s="138">
        <f>+IF(CG$7=CF$7,CF40+CG39,CG39)</f>
        <v/>
      </c>
      <c r="CH40" s="138">
        <f>+IF(CH$7=CG$7,CG40+CH39,CH39)</f>
        <v/>
      </c>
      <c r="CI40" s="138">
        <f>+IF(CI$7=CH$7,CH40+CI39,CI39)</f>
        <v/>
      </c>
      <c r="CJ40" s="138">
        <f>+IF(CJ$7=CI$7,CI40+CJ39,CJ39)</f>
        <v/>
      </c>
      <c r="CK40" s="138">
        <f>+IF(CK$7=CJ$7,CJ40+CK39,CK39)</f>
        <v/>
      </c>
      <c r="CL40" s="138">
        <f>+IF(CL$7=CK$7,CK40+CL39,CL39)</f>
        <v/>
      </c>
      <c r="CM40" s="138">
        <f>+IF(CM$7=CL$7,CL40+CM39,CM39)</f>
        <v/>
      </c>
      <c r="CN40" s="138">
        <f>+IF(CN$7=CM$7,CM40+CN39,CN39)</f>
        <v/>
      </c>
      <c r="CO40" s="138">
        <f>+IF(CO$7=CN$7,CN40+CO39,CO39)</f>
        <v/>
      </c>
      <c r="CP40" s="138">
        <f>+IF(CP$7=CO$7,CO40+CP39,CP39)</f>
        <v/>
      </c>
      <c r="CQ40" s="138">
        <f>+IF(CQ$7=CP$7,CP40+CQ39,CQ39)</f>
        <v/>
      </c>
      <c r="CR40" s="138">
        <f>+IF(CR$7=CQ$7,CQ40+CR39,CR39)</f>
        <v/>
      </c>
      <c r="CS40" s="138">
        <f>+IF(CS$7=CR$7,CR40+CS39,CS39)</f>
        <v/>
      </c>
      <c r="CT40" s="138">
        <f>+IF(CT$7=CS$7,CS40+CT39,CT39)</f>
        <v/>
      </c>
      <c r="CU40" s="138">
        <f>+IF(CU$7=CT$7,CT40+CU39,CU39)</f>
        <v/>
      </c>
      <c r="CV40" s="138">
        <f>+IF(CV$7=CU$7,CU40+CV39,CV39)</f>
        <v/>
      </c>
      <c r="CW40" s="138">
        <f>+IF(CW$7=CV$7,CV40+CW39,CW39)</f>
        <v/>
      </c>
      <c r="CX40" s="138">
        <f>+IF(CX$7=CW$7,CW40+CX39,CX39)</f>
        <v/>
      </c>
      <c r="CY40" s="138">
        <f>+IF(CY$7=CX$7,CX40+CY39,CY39)</f>
        <v/>
      </c>
      <c r="CZ40" s="138">
        <f>+IF(CZ$7=CY$7,CY40+CZ39,CZ39)</f>
        <v/>
      </c>
      <c r="DA40" s="138">
        <f>+IF(DA$7=CZ$7,CZ40+DA39,DA39)</f>
        <v/>
      </c>
      <c r="DB40" s="138">
        <f>+IF(DB$7=DA$7,DA40+DB39,DB39)</f>
        <v/>
      </c>
      <c r="DC40" s="138">
        <f>+IF(DC$7=DB$7,DB40+DC39,DC39)</f>
        <v/>
      </c>
      <c r="DD40" s="138">
        <f>+IF(DD$7=DC$7,DC40+DD39,DD39)</f>
        <v/>
      </c>
      <c r="DE40" s="138">
        <f>+IF(DE$7=DD$7,DD40+DE39,DE39)</f>
        <v/>
      </c>
      <c r="DF40" s="138">
        <f>+IF(DF$7=DE$7,DE40+DF39,DF39)</f>
        <v/>
      </c>
      <c r="DG40" s="138">
        <f>+IF(DG$7=DF$7,DF40+DG39,DG39)</f>
        <v/>
      </c>
      <c r="DH40" s="138">
        <f>+IF(DH$7=DG$7,DG40+DH39,DH39)</f>
        <v/>
      </c>
      <c r="DI40" s="138">
        <f>+IF(DI$7=DH$7,DH40+DI39,DI39)</f>
        <v/>
      </c>
      <c r="DJ40" s="138">
        <f>+IF(DJ$7=DI$7,DI40+DJ39,DJ39)</f>
        <v/>
      </c>
      <c r="DK40" s="138">
        <f>+IF(DK$7=DJ$7,DJ40+DK39,DK39)</f>
        <v/>
      </c>
      <c r="DL40" s="138">
        <f>+IF(DL$7=DK$7,DK40+DL39,DL39)</f>
        <v/>
      </c>
      <c r="DM40" s="138">
        <f>+IF(DM$7=DL$7,DL40+DM39,DM39)</f>
        <v/>
      </c>
      <c r="DN40" s="138">
        <f>+IF(DN$7=DM$7,DM40+DN39,DN39)</f>
        <v/>
      </c>
      <c r="DO40" s="138">
        <f>+IF(DO$7=DN$7,DN40+DO39,DO39)</f>
        <v/>
      </c>
      <c r="DP40" s="138">
        <f>+IF(DP$7=DO$7,DO40+DP39,DP39)</f>
        <v/>
      </c>
      <c r="DQ40" s="138">
        <f>+IF(DQ$7=DP$7,DP40+DQ39,DQ39)</f>
        <v/>
      </c>
      <c r="DR40" s="138">
        <f>+IF(DR$7=DQ$7,DQ40+DR39,DR39)</f>
        <v/>
      </c>
    </row>
    <row r="41" ht="4.5" customHeight="1"/>
    <row r="42" ht="15.75" customHeight="1">
      <c r="B42" s="95" t="inlineStr">
        <is>
          <t>Lower Middle Market</t>
        </is>
      </c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6" t="n"/>
      <c r="AI42" s="96" t="n"/>
      <c r="AJ42" s="96" t="n"/>
      <c r="AK42" s="96" t="n"/>
      <c r="AL42" s="96" t="n"/>
      <c r="AM42" s="96" t="n"/>
      <c r="AN42" s="96" t="n"/>
      <c r="AO42" s="96" t="n"/>
      <c r="AP42" s="96" t="n"/>
      <c r="AQ42" s="96" t="n"/>
      <c r="AR42" s="96" t="n"/>
      <c r="AS42" s="96" t="n"/>
      <c r="AT42" s="96" t="n"/>
      <c r="AU42" s="96" t="n"/>
      <c r="AV42" s="96" t="n"/>
      <c r="AW42" s="96" t="n"/>
      <c r="AX42" s="96" t="n"/>
      <c r="AY42" s="96" t="n"/>
      <c r="AZ42" s="96" t="n"/>
      <c r="BA42" s="96" t="n"/>
      <c r="BB42" s="96" t="n"/>
      <c r="BC42" s="96" t="n"/>
      <c r="BD42" s="96" t="n"/>
      <c r="BE42" s="96" t="n"/>
      <c r="BF42" s="96" t="n"/>
      <c r="BG42" s="96" t="n"/>
      <c r="BH42" s="96" t="n"/>
      <c r="BI42" s="96" t="n"/>
      <c r="BJ42" s="96" t="n"/>
      <c r="BK42" s="96" t="n"/>
      <c r="BL42" s="96" t="n"/>
      <c r="BM42" s="96" t="n"/>
      <c r="BN42" s="96" t="n"/>
      <c r="BO42" s="96" t="n"/>
      <c r="BP42" s="96" t="n"/>
      <c r="BQ42" s="96" t="n"/>
      <c r="BR42" s="96" t="n"/>
      <c r="BS42" s="96" t="n"/>
      <c r="BT42" s="96" t="n"/>
      <c r="BU42" s="96" t="n"/>
      <c r="BV42" s="96" t="n"/>
      <c r="BW42" s="96" t="n"/>
      <c r="BX42" s="96" t="n"/>
      <c r="BY42" s="96" t="n"/>
      <c r="BZ42" s="96" t="n"/>
      <c r="CA42" s="96" t="n"/>
      <c r="CB42" s="96" t="n"/>
      <c r="CC42" s="96" t="n"/>
      <c r="CD42" s="96" t="n"/>
      <c r="CE42" s="96" t="n"/>
      <c r="CF42" s="96" t="n"/>
      <c r="CG42" s="96" t="n"/>
      <c r="CH42" s="96" t="n"/>
      <c r="CI42" s="96" t="n"/>
      <c r="CJ42" s="96" t="n"/>
      <c r="CK42" s="96" t="n"/>
      <c r="CL42" s="96" t="n"/>
      <c r="CM42" s="96" t="n"/>
      <c r="CN42" s="96" t="n"/>
      <c r="CO42" s="96" t="n"/>
      <c r="CP42" s="96" t="n"/>
      <c r="CQ42" s="96" t="n"/>
      <c r="CR42" s="96" t="n"/>
      <c r="CS42" s="96" t="n"/>
      <c r="CT42" s="96" t="n"/>
      <c r="CU42" s="96" t="n"/>
      <c r="CV42" s="96" t="n"/>
      <c r="CW42" s="96" t="n"/>
      <c r="CX42" s="96" t="n"/>
      <c r="CY42" s="96" t="n"/>
      <c r="CZ42" s="96" t="n"/>
      <c r="DA42" s="96" t="n"/>
      <c r="DB42" s="96" t="n"/>
      <c r="DC42" s="96" t="n"/>
      <c r="DD42" s="96" t="n"/>
      <c r="DE42" s="96" t="n"/>
      <c r="DF42" s="96" t="n"/>
      <c r="DG42" s="96" t="n"/>
      <c r="DH42" s="96" t="n"/>
      <c r="DI42" s="96" t="n"/>
      <c r="DJ42" s="96" t="n"/>
      <c r="DK42" s="96" t="n"/>
      <c r="DL42" s="96" t="n"/>
      <c r="DM42" s="96" t="n"/>
      <c r="DN42" s="96" t="n"/>
      <c r="DO42" s="96" t="n"/>
      <c r="DP42" s="96" t="n"/>
      <c r="DQ42" s="96" t="n"/>
      <c r="DR42" s="96" t="n"/>
    </row>
    <row r="43" ht="15.75" customHeight="1">
      <c r="B43" s="5" t="inlineStr">
        <is>
          <t>New Bookings</t>
        </is>
      </c>
      <c r="BN43" s="98" t="n"/>
      <c r="BO43" s="98" t="n"/>
      <c r="BP43" s="98" t="n"/>
      <c r="BQ43" s="98">
        <f>SUMIFS(Revenue_Assumptions!$I$38:$M$38,Revenue_Assumptions!$I$7:$M$7,BQ$7)/12</f>
        <v/>
      </c>
      <c r="BR43" s="98">
        <f>SUMIFS(Revenue_Assumptions!$I$38:$M$38,Revenue_Assumptions!$I$7:$M$7,BR$7)/12</f>
        <v/>
      </c>
      <c r="BS43" s="98">
        <f>SUMIFS(Revenue_Assumptions!$I$38:$M$38,Revenue_Assumptions!$I$7:$M$7,BS$7)/12</f>
        <v/>
      </c>
      <c r="BT43" s="98">
        <f>SUMIFS(Revenue_Assumptions!$I$38:$M$38,Revenue_Assumptions!$I$7:$M$7,BT$7)/12</f>
        <v/>
      </c>
      <c r="BU43" s="98">
        <f>SUMIFS(Revenue_Assumptions!$I$38:$M$38,Revenue_Assumptions!$I$7:$M$7,BU$7)/12</f>
        <v/>
      </c>
      <c r="BV43" s="98">
        <f>SUMIFS(Revenue_Assumptions!$I$38:$M$38,Revenue_Assumptions!$I$7:$M$7,BV$7)/12</f>
        <v/>
      </c>
      <c r="BW43" s="98">
        <f>SUMIFS(Revenue_Assumptions!$I$38:$M$38,Revenue_Assumptions!$I$7:$M$7,BW$7)/12</f>
        <v/>
      </c>
      <c r="BX43" s="98">
        <f>SUMIFS(Revenue_Assumptions!$I$38:$M$38,Revenue_Assumptions!$I$7:$M$7,BX$7)/12</f>
        <v/>
      </c>
      <c r="BY43" s="98">
        <f>SUMIFS(Revenue_Assumptions!$I$38:$M$38,Revenue_Assumptions!$I$7:$M$7,BY$7)/12</f>
        <v/>
      </c>
      <c r="BZ43" s="98">
        <f>SUMIFS(Revenue_Assumptions!$I$38:$M$38,Revenue_Assumptions!$I$7:$M$7,BZ$7)/12</f>
        <v/>
      </c>
      <c r="CA43" s="98">
        <f>SUMIFS(Revenue_Assumptions!$I$38:$M$38,Revenue_Assumptions!$I$7:$M$7,CA$7)/12</f>
        <v/>
      </c>
      <c r="CB43" s="98">
        <f>SUMIFS(Revenue_Assumptions!$I$38:$M$38,Revenue_Assumptions!$I$7:$M$7,CB$7)/12</f>
        <v/>
      </c>
      <c r="CC43" s="98">
        <f>SUMIFS(Revenue_Assumptions!$I$38:$M$38,Revenue_Assumptions!$I$7:$M$7,CC$7)/12</f>
        <v/>
      </c>
      <c r="CD43" s="98">
        <f>SUMIFS(Revenue_Assumptions!$I$38:$M$38,Revenue_Assumptions!$I$7:$M$7,CD$7)/12</f>
        <v/>
      </c>
      <c r="CE43" s="98">
        <f>SUMIFS(Revenue_Assumptions!$I$38:$M$38,Revenue_Assumptions!$I$7:$M$7,CE$7)/12</f>
        <v/>
      </c>
      <c r="CF43" s="98">
        <f>SUMIFS(Revenue_Assumptions!$I$38:$M$38,Revenue_Assumptions!$I$7:$M$7,CF$7)/12</f>
        <v/>
      </c>
      <c r="CG43" s="98">
        <f>SUMIFS(Revenue_Assumptions!$I$38:$M$38,Revenue_Assumptions!$I$7:$M$7,CG$7)/12</f>
        <v/>
      </c>
      <c r="CH43" s="98">
        <f>SUMIFS(Revenue_Assumptions!$I$38:$M$38,Revenue_Assumptions!$I$7:$M$7,CH$7)/12</f>
        <v/>
      </c>
      <c r="CI43" s="98">
        <f>SUMIFS(Revenue_Assumptions!$I$38:$M$38,Revenue_Assumptions!$I$7:$M$7,CI$7)/12</f>
        <v/>
      </c>
      <c r="CJ43" s="98">
        <f>SUMIFS(Revenue_Assumptions!$I$38:$M$38,Revenue_Assumptions!$I$7:$M$7,CJ$7)/12</f>
        <v/>
      </c>
      <c r="CK43" s="98">
        <f>SUMIFS(Revenue_Assumptions!$I$38:$M$38,Revenue_Assumptions!$I$7:$M$7,CK$7)/12</f>
        <v/>
      </c>
      <c r="CL43" s="98">
        <f>SUMIFS(Revenue_Assumptions!$I$38:$M$38,Revenue_Assumptions!$I$7:$M$7,CL$7)/12</f>
        <v/>
      </c>
      <c r="CM43" s="98">
        <f>SUMIFS(Revenue_Assumptions!$I$38:$M$38,Revenue_Assumptions!$I$7:$M$7,CM$7)/12</f>
        <v/>
      </c>
      <c r="CN43" s="98">
        <f>SUMIFS(Revenue_Assumptions!$I$38:$M$38,Revenue_Assumptions!$I$7:$M$7,CN$7)/12</f>
        <v/>
      </c>
      <c r="CO43" s="98">
        <f>SUMIFS(Revenue_Assumptions!$I$38:$M$38,Revenue_Assumptions!$I$7:$M$7,CO$7)/12</f>
        <v/>
      </c>
      <c r="CP43" s="98">
        <f>SUMIFS(Revenue_Assumptions!$I$38:$M$38,Revenue_Assumptions!$I$7:$M$7,CP$7)/12</f>
        <v/>
      </c>
      <c r="CQ43" s="98">
        <f>SUMIFS(Revenue_Assumptions!$I$38:$M$38,Revenue_Assumptions!$I$7:$M$7,CQ$7)/12</f>
        <v/>
      </c>
      <c r="CR43" s="98">
        <f>SUMIFS(Revenue_Assumptions!$I$38:$M$38,Revenue_Assumptions!$I$7:$M$7,CR$7)/12</f>
        <v/>
      </c>
      <c r="CS43" s="98">
        <f>SUMIFS(Revenue_Assumptions!$I$38:$M$38,Revenue_Assumptions!$I$7:$M$7,CS$7)/12</f>
        <v/>
      </c>
      <c r="CT43" s="98">
        <f>SUMIFS(Revenue_Assumptions!$I$38:$M$38,Revenue_Assumptions!$I$7:$M$7,CT$7)/12</f>
        <v/>
      </c>
      <c r="CU43" s="98">
        <f>SUMIFS(Revenue_Assumptions!$I$38:$M$38,Revenue_Assumptions!$I$7:$M$7,CU$7)/12</f>
        <v/>
      </c>
      <c r="CV43" s="98">
        <f>SUMIFS(Revenue_Assumptions!$I$38:$M$38,Revenue_Assumptions!$I$7:$M$7,CV$7)/12</f>
        <v/>
      </c>
      <c r="CW43" s="98">
        <f>SUMIFS(Revenue_Assumptions!$I$38:$M$38,Revenue_Assumptions!$I$7:$M$7,CW$7)/12</f>
        <v/>
      </c>
      <c r="CX43" s="98">
        <f>SUMIFS(Revenue_Assumptions!$I$38:$M$38,Revenue_Assumptions!$I$7:$M$7,CX$7)/12</f>
        <v/>
      </c>
      <c r="CY43" s="98">
        <f>SUMIFS(Revenue_Assumptions!$I$38:$M$38,Revenue_Assumptions!$I$7:$M$7,CY$7)/12</f>
        <v/>
      </c>
      <c r="CZ43" s="98">
        <f>SUMIFS(Revenue_Assumptions!$I$38:$M$38,Revenue_Assumptions!$I$7:$M$7,CZ$7)/12</f>
        <v/>
      </c>
      <c r="DA43" s="98">
        <f>SUMIFS(Revenue_Assumptions!$I$38:$M$38,Revenue_Assumptions!$I$7:$M$7,DA$7)/12</f>
        <v/>
      </c>
      <c r="DB43" s="98">
        <f>SUMIFS(Revenue_Assumptions!$I$38:$M$38,Revenue_Assumptions!$I$7:$M$7,DB$7)/12</f>
        <v/>
      </c>
      <c r="DC43" s="98">
        <f>SUMIFS(Revenue_Assumptions!$I$38:$M$38,Revenue_Assumptions!$I$7:$M$7,DC$7)/12</f>
        <v/>
      </c>
      <c r="DD43" s="98">
        <f>SUMIFS(Revenue_Assumptions!$I$38:$M$38,Revenue_Assumptions!$I$7:$M$7,DD$7)/12</f>
        <v/>
      </c>
      <c r="DE43" s="98">
        <f>SUMIFS(Revenue_Assumptions!$I$38:$M$38,Revenue_Assumptions!$I$7:$M$7,DE$7)/12</f>
        <v/>
      </c>
      <c r="DF43" s="98">
        <f>SUMIFS(Revenue_Assumptions!$I$38:$M$38,Revenue_Assumptions!$I$7:$M$7,DF$7)/12</f>
        <v/>
      </c>
      <c r="DG43" s="98">
        <f>SUMIFS(Revenue_Assumptions!$I$38:$M$38,Revenue_Assumptions!$I$7:$M$7,DG$7)/12</f>
        <v/>
      </c>
      <c r="DH43" s="98">
        <f>SUMIFS(Revenue_Assumptions!$I$38:$M$38,Revenue_Assumptions!$I$7:$M$7,DH$7)/12</f>
        <v/>
      </c>
      <c r="DI43" s="98">
        <f>SUMIFS(Revenue_Assumptions!$I$38:$M$38,Revenue_Assumptions!$I$7:$M$7,DI$7)/12</f>
        <v/>
      </c>
      <c r="DJ43" s="98">
        <f>SUMIFS(Revenue_Assumptions!$I$38:$M$38,Revenue_Assumptions!$I$7:$M$7,DJ$7)/12</f>
        <v/>
      </c>
      <c r="DK43" s="98">
        <f>SUMIFS(Revenue_Assumptions!$I$38:$M$38,Revenue_Assumptions!$I$7:$M$7,DK$7)/12</f>
        <v/>
      </c>
      <c r="DL43" s="98">
        <f>SUMIFS(Revenue_Assumptions!$I$38:$M$38,Revenue_Assumptions!$I$7:$M$7,DL$7)/12</f>
        <v/>
      </c>
      <c r="DM43" s="98">
        <f>SUMIFS(Revenue_Assumptions!$I$38:$M$38,Revenue_Assumptions!$I$7:$M$7,DM$7)/12</f>
        <v/>
      </c>
      <c r="DN43" s="98">
        <f>SUMIFS(Revenue_Assumptions!$I$38:$M$38,Revenue_Assumptions!$I$7:$M$7,DN$7)/12</f>
        <v/>
      </c>
      <c r="DO43" s="98">
        <f>SUMIFS(Revenue_Assumptions!$I$38:$M$38,Revenue_Assumptions!$I$7:$M$7,DO$7)/12</f>
        <v/>
      </c>
      <c r="DP43" s="98">
        <f>SUMIFS(Revenue_Assumptions!$I$38:$M$38,Revenue_Assumptions!$I$7:$M$7,DP$7)/12</f>
        <v/>
      </c>
      <c r="DQ43" s="98">
        <f>SUMIFS(Revenue_Assumptions!$I$38:$M$38,Revenue_Assumptions!$I$7:$M$7,DQ$7)/12</f>
        <v/>
      </c>
      <c r="DR43" s="98">
        <f>SUMIFS(Revenue_Assumptions!$I$38:$M$38,Revenue_Assumptions!$I$7:$M$7,DR$7)/12</f>
        <v/>
      </c>
    </row>
    <row r="44" ht="15.75" customHeight="1">
      <c r="B44" s="5" t="inlineStr">
        <is>
          <t>Active Bookings</t>
        </is>
      </c>
      <c r="BN44" s="98" t="n"/>
      <c r="BO44" s="98" t="n"/>
      <c r="BP44" s="98" t="n"/>
      <c r="BQ44" s="98">
        <f>+SUM(OFFSET(BQ43,0,-$C$14):BQ43)</f>
        <v/>
      </c>
      <c r="BR44" s="98">
        <f>+SUM(OFFSET(BR43,0,-$C$14):BR43)</f>
        <v/>
      </c>
      <c r="BS44" s="98">
        <f>+SUM(OFFSET(BS43,0,-$C$14):BS43)</f>
        <v/>
      </c>
      <c r="BT44" s="98">
        <f>+SUM(OFFSET(BT43,0,-$C$14):BT43)</f>
        <v/>
      </c>
      <c r="BU44" s="98">
        <f>+SUM(OFFSET(BU43,0,-$C$14):BU43)</f>
        <v/>
      </c>
      <c r="BV44" s="98">
        <f>+SUM(OFFSET(BV43,0,-$C$14):BV43)</f>
        <v/>
      </c>
      <c r="BW44" s="98">
        <f>+SUM(OFFSET(BW43,0,-$C$14):BW43)</f>
        <v/>
      </c>
      <c r="BX44" s="98">
        <f>+SUM(OFFSET(BX43,0,-$C$14):BX43)</f>
        <v/>
      </c>
      <c r="BY44" s="98">
        <f>+SUM(OFFSET(BY43,0,-$C$14):BY43)</f>
        <v/>
      </c>
      <c r="BZ44" s="98">
        <f>+SUM(OFFSET(BZ43,0,-$C$14):BZ43)</f>
        <v/>
      </c>
      <c r="CA44" s="98">
        <f>+SUM(OFFSET(CA43,0,-$C$14):CA43)</f>
        <v/>
      </c>
      <c r="CB44" s="98">
        <f>+SUM(OFFSET(CB43,0,-$C$14):CB43)</f>
        <v/>
      </c>
      <c r="CC44" s="98">
        <f>+SUM(OFFSET(CC43,0,-$C$14):CC43)</f>
        <v/>
      </c>
      <c r="CD44" s="98">
        <f>+SUM(OFFSET(CD43,0,-$C$14):CD43)</f>
        <v/>
      </c>
      <c r="CE44" s="98">
        <f>+SUM(OFFSET(CE43,0,-$C$14):CE43)</f>
        <v/>
      </c>
      <c r="CF44" s="98">
        <f>+SUM(OFFSET(CF43,0,-$C$14):CF43)</f>
        <v/>
      </c>
      <c r="CG44" s="98">
        <f>+SUM(OFFSET(CG43,0,-$C$14):CG43)</f>
        <v/>
      </c>
      <c r="CH44" s="98">
        <f>+SUM(OFFSET(CH43,0,-$C$14):CH43)</f>
        <v/>
      </c>
      <c r="CI44" s="98">
        <f>+SUM(OFFSET(CI43,0,-$C$14):CI43)</f>
        <v/>
      </c>
      <c r="CJ44" s="98">
        <f>+SUM(OFFSET(CJ43,0,-$C$14):CJ43)</f>
        <v/>
      </c>
      <c r="CK44" s="98">
        <f>+SUM(OFFSET(CK43,0,-$C$14):CK43)</f>
        <v/>
      </c>
      <c r="CL44" s="98">
        <f>+SUM(OFFSET(CL43,0,-$C$14):CL43)</f>
        <v/>
      </c>
      <c r="CM44" s="98">
        <f>+SUM(OFFSET(CM43,0,-$C$14):CM43)</f>
        <v/>
      </c>
      <c r="CN44" s="98">
        <f>+SUM(OFFSET(CN43,0,-$C$14):CN43)</f>
        <v/>
      </c>
      <c r="CO44" s="98">
        <f>+SUM(OFFSET(CO43,0,-$C$14):CO43)</f>
        <v/>
      </c>
      <c r="CP44" s="98">
        <f>+SUM(OFFSET(CP43,0,-$C$14):CP43)</f>
        <v/>
      </c>
      <c r="CQ44" s="98">
        <f>+SUM(OFFSET(CQ43,0,-$C$14):CQ43)</f>
        <v/>
      </c>
      <c r="CR44" s="98">
        <f>+SUM(OFFSET(CR43,0,-$C$14):CR43)</f>
        <v/>
      </c>
      <c r="CS44" s="98">
        <f>+SUM(OFFSET(CS43,0,-$C$14):CS43)</f>
        <v/>
      </c>
      <c r="CT44" s="98">
        <f>+SUM(OFFSET(CT43,0,-$C$14):CT43)</f>
        <v/>
      </c>
      <c r="CU44" s="98">
        <f>+SUM(OFFSET(CU43,0,-$C$14):CU43)</f>
        <v/>
      </c>
      <c r="CV44" s="98">
        <f>+SUM(OFFSET(CV43,0,-$C$14):CV43)</f>
        <v/>
      </c>
      <c r="CW44" s="98">
        <f>+SUM(OFFSET(CW43,0,-$C$14):CW43)</f>
        <v/>
      </c>
      <c r="CX44" s="98">
        <f>+SUM(OFFSET(CX43,0,-$C$14):CX43)</f>
        <v/>
      </c>
      <c r="CY44" s="98">
        <f>+SUM(OFFSET(CY43,0,-$C$14):CY43)</f>
        <v/>
      </c>
      <c r="CZ44" s="98">
        <f>+SUM(OFFSET(CZ43,0,-$C$14):CZ43)</f>
        <v/>
      </c>
      <c r="DA44" s="98">
        <f>+SUM(OFFSET(DA43,0,-$C$14):DA43)</f>
        <v/>
      </c>
      <c r="DB44" s="98">
        <f>+SUM(OFFSET(DB43,0,-$C$14):DB43)</f>
        <v/>
      </c>
      <c r="DC44" s="98">
        <f>+SUM(OFFSET(DC43,0,-$C$14):DC43)</f>
        <v/>
      </c>
      <c r="DD44" s="98">
        <f>+SUM(OFFSET(DD43,0,-$C$14):DD43)</f>
        <v/>
      </c>
      <c r="DE44" s="98">
        <f>+SUM(OFFSET(DE43,0,-$C$14):DE43)</f>
        <v/>
      </c>
      <c r="DF44" s="98">
        <f>+SUM(OFFSET(DF43,0,-$C$14):DF43)</f>
        <v/>
      </c>
      <c r="DG44" s="98">
        <f>+SUM(OFFSET(DG43,0,-$C$14):DG43)</f>
        <v/>
      </c>
      <c r="DH44" s="98">
        <f>+SUM(OFFSET(DH43,0,-$C$14):DH43)</f>
        <v/>
      </c>
      <c r="DI44" s="98">
        <f>+SUM(OFFSET(DI43,0,-$C$14):DI43)</f>
        <v/>
      </c>
      <c r="DJ44" s="98">
        <f>+SUM(OFFSET(DJ43,0,-$C$14):DJ43)</f>
        <v/>
      </c>
      <c r="DK44" s="98">
        <f>+SUM(OFFSET(DK43,0,-$C$14):DK43)</f>
        <v/>
      </c>
      <c r="DL44" s="98">
        <f>+SUM(OFFSET(DL43,0,-$C$14):DL43)</f>
        <v/>
      </c>
      <c r="DM44" s="98">
        <f>+SUM(OFFSET(DM43,0,-$C$14):DM43)</f>
        <v/>
      </c>
      <c r="DN44" s="98">
        <f>+SUM(OFFSET(DN43,0,-$C$14):DN43)</f>
        <v/>
      </c>
      <c r="DO44" s="98">
        <f>+SUM(OFFSET(DO43,0,-$C$14):DO43)</f>
        <v/>
      </c>
      <c r="DP44" s="98">
        <f>+SUM(OFFSET(DP43,0,-$C$14):DP43)</f>
        <v/>
      </c>
      <c r="DQ44" s="98">
        <f>+SUM(OFFSET(DQ43,0,-$C$14):DQ43)</f>
        <v/>
      </c>
      <c r="DR44" s="98">
        <f>+SUM(OFFSET(DR43,0,-$C$14):DR43)</f>
        <v/>
      </c>
    </row>
    <row r="45" ht="4.5" customHeight="1">
      <c r="BN45" s="48" t="n"/>
      <c r="BO45" s="48" t="n"/>
      <c r="BP45" s="48" t="n"/>
      <c r="BQ45" s="48" t="n"/>
      <c r="BR45" s="48" t="n"/>
      <c r="BS45" s="48" t="n"/>
      <c r="BT45" s="48" t="n"/>
      <c r="BU45" s="48" t="n"/>
      <c r="BV45" s="48" t="n"/>
      <c r="BW45" s="48" t="n"/>
      <c r="BX45" s="48" t="n"/>
      <c r="BY45" s="48" t="n"/>
      <c r="BZ45" s="48" t="n"/>
      <c r="CA45" s="48" t="n"/>
      <c r="CB45" s="48" t="n"/>
      <c r="CC45" s="48" t="n"/>
      <c r="CD45" s="48" t="n"/>
      <c r="CE45" s="48" t="n"/>
      <c r="CF45" s="48" t="n"/>
      <c r="CG45" s="48" t="n"/>
      <c r="CH45" s="48" t="n"/>
      <c r="CI45" s="48" t="n"/>
      <c r="CJ45" s="48" t="n"/>
      <c r="CK45" s="48" t="n"/>
      <c r="CL45" s="48" t="n"/>
      <c r="CM45" s="48" t="n"/>
      <c r="CN45" s="48" t="n"/>
      <c r="CO45" s="48" t="n"/>
      <c r="CP45" s="48" t="n"/>
      <c r="CQ45" s="48" t="n"/>
      <c r="CR45" s="48" t="n"/>
      <c r="CS45" s="48" t="n"/>
      <c r="CT45" s="48" t="n"/>
      <c r="CU45" s="48" t="n"/>
      <c r="CV45" s="48" t="n"/>
      <c r="CW45" s="48" t="n"/>
      <c r="CX45" s="48" t="n"/>
      <c r="CY45" s="48" t="n"/>
      <c r="CZ45" s="48" t="n"/>
      <c r="DA45" s="48" t="n"/>
      <c r="DB45" s="48" t="n"/>
      <c r="DC45" s="48" t="n"/>
      <c r="DD45" s="48" t="n"/>
      <c r="DE45" s="48" t="n"/>
      <c r="DF45" s="48" t="n"/>
      <c r="DG45" s="48" t="n"/>
      <c r="DH45" s="48" t="n"/>
      <c r="DI45" s="48" t="n"/>
      <c r="DJ45" s="48" t="n"/>
      <c r="DK45" s="48" t="n"/>
      <c r="DL45" s="48" t="n"/>
      <c r="DM45" s="48" t="n"/>
      <c r="DN45" s="48" t="n"/>
      <c r="DO45" s="48" t="n"/>
      <c r="DP45" s="48" t="n"/>
      <c r="DQ45" s="48" t="n"/>
      <c r="DR45" s="48" t="n"/>
    </row>
    <row r="46" ht="15.75" customHeight="1">
      <c r="B46" s="5" t="inlineStr">
        <is>
          <t>New Revenue</t>
        </is>
      </c>
      <c r="BN46" s="138" t="n"/>
      <c r="BO46" s="138" t="n"/>
      <c r="BP46" s="138" t="n"/>
      <c r="BQ46" s="138">
        <f>+SUMIFS($BN43:$DR43,$BN$19:$DR$19,BQ$8)</f>
        <v/>
      </c>
      <c r="BR46" s="138">
        <f>+SUMIFS($BN43:$DR43,$BN$19:$DR$19,BR$8)</f>
        <v/>
      </c>
      <c r="BS46" s="138">
        <f>+SUMIFS($BN43:$DR43,$BN$19:$DR$19,BS$8)</f>
        <v/>
      </c>
      <c r="BT46" s="138">
        <f>+SUMIFS($BN43:$DR43,$BN$19:$DR$19,BT$8)</f>
        <v/>
      </c>
      <c r="BU46" s="138">
        <f>+SUMIFS($BN43:$DR43,$BN$19:$DR$19,BU$8)</f>
        <v/>
      </c>
      <c r="BV46" s="138">
        <f>+SUMIFS($BN43:$DR43,$BN$19:$DR$19,BV$8)</f>
        <v/>
      </c>
      <c r="BW46" s="138">
        <f>+SUMIFS($BN43:$DR43,$BN$19:$DR$19,BW$8)</f>
        <v/>
      </c>
      <c r="BX46" s="138">
        <f>+SUMIFS($BN43:$DR43,$BN$19:$DR$19,BX$8)</f>
        <v/>
      </c>
      <c r="BY46" s="138">
        <f>+SUMIFS($BN43:$DR43,$BN$19:$DR$19,BY$8)</f>
        <v/>
      </c>
      <c r="BZ46" s="138">
        <f>+SUMIFS($BN43:$DR43,$BN$19:$DR$19,BZ$8)</f>
        <v/>
      </c>
      <c r="CA46" s="138">
        <f>+SUMIFS($BN43:$DR43,$BN$19:$DR$19,CA$8)</f>
        <v/>
      </c>
      <c r="CB46" s="138">
        <f>+SUMIFS($BN43:$DR43,$BN$19:$DR$19,CB$8)</f>
        <v/>
      </c>
      <c r="CC46" s="138">
        <f>+SUMIFS($BN43:$DR43,$BN$19:$DR$19,CC$8)</f>
        <v/>
      </c>
      <c r="CD46" s="138">
        <f>+SUMIFS($BN43:$DR43,$BN$19:$DR$19,CD$8)</f>
        <v/>
      </c>
      <c r="CE46" s="138">
        <f>+SUMIFS($BN43:$DR43,$BN$19:$DR$19,CE$8)</f>
        <v/>
      </c>
      <c r="CF46" s="138">
        <f>+SUMIFS($BN43:$DR43,$BN$19:$DR$19,CF$8)</f>
        <v/>
      </c>
      <c r="CG46" s="138">
        <f>+SUMIFS($BN43:$DR43,$BN$19:$DR$19,CG$8)</f>
        <v/>
      </c>
      <c r="CH46" s="138">
        <f>+SUMIFS($BN43:$DR43,$BN$19:$DR$19,CH$8)</f>
        <v/>
      </c>
      <c r="CI46" s="138">
        <f>+SUMIFS($BN43:$DR43,$BN$19:$DR$19,CI$8)</f>
        <v/>
      </c>
      <c r="CJ46" s="138">
        <f>+SUMIFS($BN43:$DR43,$BN$19:$DR$19,CJ$8)</f>
        <v/>
      </c>
      <c r="CK46" s="138">
        <f>+SUMIFS($BN43:$DR43,$BN$19:$DR$19,CK$8)</f>
        <v/>
      </c>
      <c r="CL46" s="138">
        <f>+SUMIFS($BN43:$DR43,$BN$19:$DR$19,CL$8)</f>
        <v/>
      </c>
      <c r="CM46" s="138">
        <f>+SUMIFS($BN43:$DR43,$BN$19:$DR$19,CM$8)</f>
        <v/>
      </c>
      <c r="CN46" s="138">
        <f>+SUMIFS($BN43:$DR43,$BN$19:$DR$19,CN$8)</f>
        <v/>
      </c>
      <c r="CO46" s="138">
        <f>+SUMIFS($BN43:$DR43,$BN$19:$DR$19,CO$8)</f>
        <v/>
      </c>
      <c r="CP46" s="138">
        <f>+SUMIFS($BN43:$DR43,$BN$19:$DR$19,CP$8)</f>
        <v/>
      </c>
      <c r="CQ46" s="138">
        <f>+SUMIFS($BN43:$DR43,$BN$19:$DR$19,CQ$8)</f>
        <v/>
      </c>
      <c r="CR46" s="138">
        <f>+SUMIFS($BN43:$DR43,$BN$19:$DR$19,CR$8)</f>
        <v/>
      </c>
      <c r="CS46" s="138">
        <f>+SUMIFS($BN43:$DR43,$BN$19:$DR$19,CS$8)</f>
        <v/>
      </c>
      <c r="CT46" s="138">
        <f>+SUMIFS($BN43:$DR43,$BN$19:$DR$19,CT$8)</f>
        <v/>
      </c>
      <c r="CU46" s="138">
        <f>+SUMIFS($BN43:$DR43,$BN$19:$DR$19,CU$8)</f>
        <v/>
      </c>
      <c r="CV46" s="138">
        <f>+SUMIFS($BN43:$DR43,$BN$19:$DR$19,CV$8)</f>
        <v/>
      </c>
      <c r="CW46" s="138">
        <f>+SUMIFS($BN43:$DR43,$BN$19:$DR$19,CW$8)</f>
        <v/>
      </c>
      <c r="CX46" s="138">
        <f>+SUMIFS($BN43:$DR43,$BN$19:$DR$19,CX$8)</f>
        <v/>
      </c>
      <c r="CY46" s="138">
        <f>+SUMIFS($BN43:$DR43,$BN$19:$DR$19,CY$8)</f>
        <v/>
      </c>
      <c r="CZ46" s="138">
        <f>+SUMIFS($BN43:$DR43,$BN$19:$DR$19,CZ$8)</f>
        <v/>
      </c>
      <c r="DA46" s="138">
        <f>+SUMIFS($BN43:$DR43,$BN$19:$DR$19,DA$8)</f>
        <v/>
      </c>
      <c r="DB46" s="138">
        <f>+SUMIFS($BN43:$DR43,$BN$19:$DR$19,DB$8)</f>
        <v/>
      </c>
      <c r="DC46" s="138">
        <f>+SUMIFS($BN43:$DR43,$BN$19:$DR$19,DC$8)</f>
        <v/>
      </c>
      <c r="DD46" s="138">
        <f>+SUMIFS($BN43:$DR43,$BN$19:$DR$19,DD$8)</f>
        <v/>
      </c>
      <c r="DE46" s="138">
        <f>+SUMIFS($BN43:$DR43,$BN$19:$DR$19,DE$8)</f>
        <v/>
      </c>
      <c r="DF46" s="138">
        <f>+SUMIFS($BN43:$DR43,$BN$19:$DR$19,DF$8)</f>
        <v/>
      </c>
      <c r="DG46" s="138">
        <f>+SUMIFS($BN43:$DR43,$BN$19:$DR$19,DG$8)</f>
        <v/>
      </c>
      <c r="DH46" s="138">
        <f>+SUMIFS($BN43:$DR43,$BN$19:$DR$19,DH$8)</f>
        <v/>
      </c>
      <c r="DI46" s="138">
        <f>+SUMIFS($BN43:$DR43,$BN$19:$DR$19,DI$8)</f>
        <v/>
      </c>
      <c r="DJ46" s="138">
        <f>+SUMIFS($BN43:$DR43,$BN$19:$DR$19,DJ$8)</f>
        <v/>
      </c>
      <c r="DK46" s="138">
        <f>+SUMIFS($BN43:$DR43,$BN$19:$DR$19,DK$8)</f>
        <v/>
      </c>
      <c r="DL46" s="138">
        <f>+SUMIFS($BN43:$DR43,$BN$19:$DR$19,DL$8)</f>
        <v/>
      </c>
      <c r="DM46" s="138">
        <f>+SUMIFS($BN43:$DR43,$BN$19:$DR$19,DM$8)</f>
        <v/>
      </c>
      <c r="DN46" s="138">
        <f>+SUMIFS($BN43:$DR43,$BN$19:$DR$19,DN$8)</f>
        <v/>
      </c>
      <c r="DO46" s="138">
        <f>+SUMIFS($BN43:$DR43,$BN$19:$DR$19,DO$8)</f>
        <v/>
      </c>
      <c r="DP46" s="138">
        <f>+SUMIFS($BN43:$DR43,$BN$19:$DR$19,DP$8)</f>
        <v/>
      </c>
      <c r="DQ46" s="138">
        <f>+SUMIFS($BN43:$DR43,$BN$19:$DR$19,DQ$8)</f>
        <v/>
      </c>
      <c r="DR46" s="138">
        <f>+SUMIFS($BN43:$DR43,$BN$19:$DR$19,DR$8)</f>
        <v/>
      </c>
    </row>
    <row r="47" ht="15.75" customHeight="1">
      <c r="B47" s="5" t="inlineStr">
        <is>
          <t>YTD New Clients</t>
        </is>
      </c>
      <c r="BN47" s="138" t="n"/>
      <c r="BO47" s="138" t="n"/>
      <c r="BP47" s="138" t="n"/>
      <c r="BQ47" s="138">
        <f>+IF(BQ$7=BP$7,BP47+BQ46,BQ46)</f>
        <v/>
      </c>
      <c r="BR47" s="138">
        <f>+IF(BR$7=BQ$7,BQ47+BR46,BR46)</f>
        <v/>
      </c>
      <c r="BS47" s="138">
        <f>+IF(BS$7=BR$7,BR47+BS46,BS46)</f>
        <v/>
      </c>
      <c r="BT47" s="138">
        <f>+IF(BT$7=BS$7,BS47+BT46,BT46)</f>
        <v/>
      </c>
      <c r="BU47" s="138">
        <f>+IF(BU$7=BT$7,BT47+BU46,BU46)</f>
        <v/>
      </c>
      <c r="BV47" s="138">
        <f>+IF(BV$7=BU$7,BU47+BV46,BV46)</f>
        <v/>
      </c>
      <c r="BW47" s="138">
        <f>+IF(BW$7=BV$7,BV47+BW46,BW46)</f>
        <v/>
      </c>
      <c r="BX47" s="138">
        <f>+IF(BX$7=BW$7,BW47+BX46,BX46)</f>
        <v/>
      </c>
      <c r="BY47" s="138">
        <f>+IF(BY$7=BX$7,BX47+BY46,BY46)</f>
        <v/>
      </c>
      <c r="BZ47" s="138">
        <f>+IF(BZ$7=BY$7,BY47+BZ46,BZ46)</f>
        <v/>
      </c>
      <c r="CA47" s="138">
        <f>+IF(CA$7=BZ$7,BZ47+CA46,CA46)</f>
        <v/>
      </c>
      <c r="CB47" s="138">
        <f>+IF(CB$7=CA$7,CA47+CB46,CB46)</f>
        <v/>
      </c>
      <c r="CC47" s="138">
        <f>+IF(CC$7=CB$7,CB47+CC46,CC46)</f>
        <v/>
      </c>
      <c r="CD47" s="138">
        <f>+IF(CD$7=CC$7,CC47+CD46,CD46)</f>
        <v/>
      </c>
      <c r="CE47" s="138">
        <f>+IF(CE$7=CD$7,CD47+CE46,CE46)</f>
        <v/>
      </c>
      <c r="CF47" s="138">
        <f>+IF(CF$7=CE$7,CE47+CF46,CF46)</f>
        <v/>
      </c>
      <c r="CG47" s="138">
        <f>+IF(CG$7=CF$7,CF47+CG46,CG46)</f>
        <v/>
      </c>
      <c r="CH47" s="138">
        <f>+IF(CH$7=CG$7,CG47+CH46,CH46)</f>
        <v/>
      </c>
      <c r="CI47" s="138">
        <f>+IF(CI$7=CH$7,CH47+CI46,CI46)</f>
        <v/>
      </c>
      <c r="CJ47" s="138">
        <f>+IF(CJ$7=CI$7,CI47+CJ46,CJ46)</f>
        <v/>
      </c>
      <c r="CK47" s="138">
        <f>+IF(CK$7=CJ$7,CJ47+CK46,CK46)</f>
        <v/>
      </c>
      <c r="CL47" s="138">
        <f>+IF(CL$7=CK$7,CK47+CL46,CL46)</f>
        <v/>
      </c>
      <c r="CM47" s="138">
        <f>+IF(CM$7=CL$7,CL47+CM46,CM46)</f>
        <v/>
      </c>
      <c r="CN47" s="138">
        <f>+IF(CN$7=CM$7,CM47+CN46,CN46)</f>
        <v/>
      </c>
      <c r="CO47" s="138">
        <f>+IF(CO$7=CN$7,CN47+CO46,CO46)</f>
        <v/>
      </c>
      <c r="CP47" s="138">
        <f>+IF(CP$7=CO$7,CO47+CP46,CP46)</f>
        <v/>
      </c>
      <c r="CQ47" s="138">
        <f>+IF(CQ$7=CP$7,CP47+CQ46,CQ46)</f>
        <v/>
      </c>
      <c r="CR47" s="138">
        <f>+IF(CR$7=CQ$7,CQ47+CR46,CR46)</f>
        <v/>
      </c>
      <c r="CS47" s="138">
        <f>+IF(CS$7=CR$7,CR47+CS46,CS46)</f>
        <v/>
      </c>
      <c r="CT47" s="138">
        <f>+IF(CT$7=CS$7,CS47+CT46,CT46)</f>
        <v/>
      </c>
      <c r="CU47" s="138">
        <f>+IF(CU$7=CT$7,CT47+CU46,CU46)</f>
        <v/>
      </c>
      <c r="CV47" s="138">
        <f>+IF(CV$7=CU$7,CU47+CV46,CV46)</f>
        <v/>
      </c>
      <c r="CW47" s="138">
        <f>+IF(CW$7=CV$7,CV47+CW46,CW46)</f>
        <v/>
      </c>
      <c r="CX47" s="138">
        <f>+IF(CX$7=CW$7,CW47+CX46,CX46)</f>
        <v/>
      </c>
      <c r="CY47" s="138">
        <f>+IF(CY$7=CX$7,CX47+CY46,CY46)</f>
        <v/>
      </c>
      <c r="CZ47" s="138">
        <f>+IF(CZ$7=CY$7,CY47+CZ46,CZ46)</f>
        <v/>
      </c>
      <c r="DA47" s="138">
        <f>+IF(DA$7=CZ$7,CZ47+DA46,DA46)</f>
        <v/>
      </c>
      <c r="DB47" s="138">
        <f>+IF(DB$7=DA$7,DA47+DB46,DB46)</f>
        <v/>
      </c>
      <c r="DC47" s="138">
        <f>+IF(DC$7=DB$7,DB47+DC46,DC46)</f>
        <v/>
      </c>
      <c r="DD47" s="138">
        <f>+IF(DD$7=DC$7,DC47+DD46,DD46)</f>
        <v/>
      </c>
      <c r="DE47" s="138">
        <f>+IF(DE$7=DD$7,DD47+DE46,DE46)</f>
        <v/>
      </c>
      <c r="DF47" s="138">
        <f>+IF(DF$7=DE$7,DE47+DF46,DF46)</f>
        <v/>
      </c>
      <c r="DG47" s="138">
        <f>+IF(DG$7=DF$7,DF47+DG46,DG46)</f>
        <v/>
      </c>
      <c r="DH47" s="138">
        <f>+IF(DH$7=DG$7,DG47+DH46,DH46)</f>
        <v/>
      </c>
      <c r="DI47" s="138">
        <f>+IF(DI$7=DH$7,DH47+DI46,DI46)</f>
        <v/>
      </c>
      <c r="DJ47" s="138">
        <f>+IF(DJ$7=DI$7,DI47+DJ46,DJ46)</f>
        <v/>
      </c>
      <c r="DK47" s="138">
        <f>+IF(DK$7=DJ$7,DJ47+DK46,DK46)</f>
        <v/>
      </c>
      <c r="DL47" s="138">
        <f>+IF(DL$7=DK$7,DK47+DL46,DL46)</f>
        <v/>
      </c>
      <c r="DM47" s="138">
        <f>+IF(DM$7=DL$7,DL47+DM46,DM46)</f>
        <v/>
      </c>
      <c r="DN47" s="138">
        <f>+IF(DN$7=DM$7,DM47+DN46,DN46)</f>
        <v/>
      </c>
      <c r="DO47" s="138">
        <f>+IF(DO$7=DN$7,DN47+DO46,DO46)</f>
        <v/>
      </c>
      <c r="DP47" s="138">
        <f>+IF(DP$7=DO$7,DO47+DP46,DP46)</f>
        <v/>
      </c>
      <c r="DQ47" s="138">
        <f>+IF(DQ$7=DP$7,DP47+DQ46,DQ46)</f>
        <v/>
      </c>
      <c r="DR47" s="138">
        <f>+IF(DR$7=DQ$7,DQ47+DR46,DR46)</f>
        <v/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tabColor rgb="FF44546A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Z58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.5703125" customWidth="1" min="1" max="1"/>
    <col width="32" customWidth="1" min="2" max="2"/>
    <col width="14.42578125" customWidth="1" min="3" max="3"/>
    <col width="2.5703125" customWidth="1" min="4" max="4"/>
    <col hidden="1" outlineLevel="1" width="12.5703125" customWidth="1" min="5" max="5"/>
    <col collapsed="1" width="12.5703125" customWidth="1" min="6" max="6"/>
    <col width="12.5703125" customWidth="1" min="7" max="26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Y3" s="130" t="n"/>
      <c r="Z3" s="130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130" t="n"/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0" t="n"/>
      <c r="Y4" s="130" t="n"/>
      <c r="Z4" s="130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130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130" t="n"/>
      <c r="Y5" s="130" t="n"/>
      <c r="Z5" s="130" t="n"/>
    </row>
    <row r="6" ht="4.5" customHeight="1"/>
    <row r="7">
      <c r="B7" s="34" t="n"/>
      <c r="C7" s="34" t="n"/>
      <c r="D7" s="66" t="n"/>
      <c r="E7" s="36" t="n">
        <v>2018</v>
      </c>
      <c r="F7" s="36">
        <f>+E7+1</f>
        <v/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</row>
    <row r="8">
      <c r="B8" s="34" t="n"/>
      <c r="C8" s="34" t="n"/>
      <c r="D8" s="66" t="n"/>
      <c r="E8" s="39">
        <f>+DATE(E7,12,31)</f>
        <v/>
      </c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</row>
    <row r="9">
      <c r="B9" s="34" t="inlineStr">
        <is>
          <t>$ in thousands</t>
        </is>
      </c>
      <c r="C9" s="34" t="n"/>
      <c r="D9" s="66" t="n"/>
      <c r="E9" s="42">
        <f>+IF(E8&lt;=Cover!$C$20,"Actual","Projection")</f>
        <v/>
      </c>
      <c r="F9" s="42">
        <f>+IF(F8&lt;=Cover!$C$20,"Actual","Projection")</f>
        <v/>
      </c>
      <c r="G9" s="42">
        <f>+IF(G8&lt;=Cover!$C$20,"Actual","Projection")</f>
        <v/>
      </c>
      <c r="H9" s="42">
        <f>+IF(H8&lt;=Cover!$C$20,"Actual","Projection")</f>
        <v/>
      </c>
      <c r="I9" s="42">
        <f>+IF(I8&lt;=Cover!$C$20,"Actual","Projection")</f>
        <v/>
      </c>
      <c r="J9" s="42">
        <f>+IF(J8&lt;=Cover!$C$20,"Actual","Projection")</f>
        <v/>
      </c>
      <c r="K9" s="42">
        <f>+IF(K8&lt;=Cover!$C$20,"Actual","Projection")</f>
        <v/>
      </c>
      <c r="L9" s="42">
        <f>+IF(L8&lt;=Cover!$C$20,"Actual","Projection")</f>
        <v/>
      </c>
      <c r="M9" s="42">
        <f>+IF(M8&lt;=Cover!$C$20,"Actual","Projection")</f>
        <v/>
      </c>
    </row>
    <row r="10" ht="4.5" customHeight="1"/>
    <row r="11">
      <c r="B11" s="67" t="inlineStr">
        <is>
          <t>Licensing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</row>
    <row r="12" ht="4.5" customHeight="1"/>
    <row r="13">
      <c r="B13" s="95" t="inlineStr">
        <is>
          <t>Mega</t>
        </is>
      </c>
      <c r="C13" s="96" t="n"/>
      <c r="D13" s="96" t="n"/>
      <c r="E13" s="96" t="n"/>
      <c r="F13" s="96" t="n"/>
      <c r="G13" s="96" t="n"/>
      <c r="H13" s="96" t="n"/>
      <c r="I13" s="96" t="n"/>
      <c r="J13" s="96" t="n"/>
      <c r="K13" s="96" t="n"/>
      <c r="L13" s="96" t="n"/>
      <c r="M13" s="96" t="n"/>
    </row>
    <row r="14">
      <c r="B14" s="5" t="inlineStr">
        <is>
          <t>Churn</t>
        </is>
      </c>
      <c r="C14" s="125" t="inlineStr">
        <is>
          <t>[%]</t>
        </is>
      </c>
      <c r="E14" s="96" t="n"/>
      <c r="F14" s="139" t="n"/>
      <c r="G14" s="139" t="n"/>
      <c r="H14" s="139" t="n"/>
      <c r="I14" s="139" t="n"/>
      <c r="J14" s="140" t="n">
        <v>0</v>
      </c>
      <c r="K14" s="140" t="n">
        <v>0</v>
      </c>
      <c r="L14" s="140" t="n">
        <v>0</v>
      </c>
      <c r="M14" s="140" t="n">
        <v>0</v>
      </c>
    </row>
    <row r="15">
      <c r="B15" s="5" t="inlineStr">
        <is>
          <t>Expansion</t>
        </is>
      </c>
      <c r="C15" s="125" t="inlineStr">
        <is>
          <t>[%]</t>
        </is>
      </c>
      <c r="E15" s="96" t="n"/>
      <c r="F15" s="139" t="n"/>
      <c r="G15" s="139" t="n"/>
      <c r="H15" s="139" t="n"/>
      <c r="I15" s="139" t="n"/>
      <c r="J15" s="140" t="n">
        <v>0.055</v>
      </c>
      <c r="K15" s="140" t="n">
        <v>0.055</v>
      </c>
      <c r="L15" s="140">
        <f>+K15</f>
        <v/>
      </c>
      <c r="M15" s="140">
        <f>+L15</f>
        <v/>
      </c>
    </row>
    <row r="16" ht="4.5" customHeight="1"/>
    <row r="17">
      <c r="B17" s="5" t="inlineStr">
        <is>
          <t>New Bookings</t>
        </is>
      </c>
      <c r="C17" s="125" t="inlineStr">
        <is>
          <t>[#]</t>
        </is>
      </c>
      <c r="E17" s="96" t="n"/>
      <c r="F17" s="96" t="n"/>
      <c r="G17" s="96" t="n"/>
      <c r="H17" s="96" t="n"/>
      <c r="I17" s="141" t="n">
        <v>0</v>
      </c>
      <c r="J17" s="141" t="n">
        <v>1</v>
      </c>
      <c r="K17" s="141" t="n">
        <v>1</v>
      </c>
      <c r="L17" s="141" t="n">
        <v>1</v>
      </c>
      <c r="M17" s="141" t="n">
        <v>1</v>
      </c>
      <c r="O17" s="46" t="n"/>
      <c r="P17" s="46" t="n"/>
    </row>
    <row r="18">
      <c r="B18" s="5" t="inlineStr">
        <is>
          <t>Average New Client Revenue</t>
        </is>
      </c>
      <c r="C18" s="125" t="inlineStr">
        <is>
          <t>[$]</t>
        </is>
      </c>
      <c r="E18" s="96" t="n"/>
      <c r="F18" s="96" t="n"/>
      <c r="G18" s="96" t="n"/>
      <c r="H18" s="96" t="n"/>
      <c r="I18" s="142" t="n">
        <v>1500</v>
      </c>
      <c r="J18" s="142">
        <f>I18*1.05</f>
        <v/>
      </c>
      <c r="K18" s="142">
        <f>J18*1.05</f>
        <v/>
      </c>
      <c r="L18" s="142">
        <f>K18*1.05</f>
        <v/>
      </c>
      <c r="M18" s="142">
        <f>L18*1.05</f>
        <v/>
      </c>
      <c r="O18" s="143" t="n"/>
      <c r="P18" s="143" t="n"/>
    </row>
    <row r="19" ht="4.5" customHeight="1"/>
    <row r="20">
      <c r="B20" s="95" t="inlineStr">
        <is>
          <t>Major</t>
        </is>
      </c>
      <c r="C20" s="96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n"/>
    </row>
    <row r="21" ht="15.75" customHeight="1">
      <c r="B21" s="5" t="inlineStr">
        <is>
          <t>Churn</t>
        </is>
      </c>
      <c r="C21" s="125" t="inlineStr">
        <is>
          <t>[%]</t>
        </is>
      </c>
      <c r="E21" s="96" t="n"/>
      <c r="F21" s="139" t="n"/>
      <c r="G21" s="139" t="n"/>
      <c r="H21" s="139" t="n"/>
      <c r="I21" s="139" t="n"/>
      <c r="J21" s="140" t="n">
        <v>0</v>
      </c>
      <c r="K21" s="140">
        <f>+J21</f>
        <v/>
      </c>
      <c r="L21" s="140">
        <f>+K21</f>
        <v/>
      </c>
      <c r="M21" s="140">
        <f>+L21</f>
        <v/>
      </c>
    </row>
    <row r="22" ht="15.75" customHeight="1">
      <c r="B22" s="5" t="inlineStr">
        <is>
          <t>Expansion</t>
        </is>
      </c>
      <c r="C22" s="125" t="inlineStr">
        <is>
          <t>[%]</t>
        </is>
      </c>
      <c r="E22" s="96" t="n"/>
      <c r="F22" s="139" t="n"/>
      <c r="G22" s="139" t="n"/>
      <c r="H22" s="139" t="n"/>
      <c r="I22" s="139" t="n"/>
      <c r="J22" s="140" t="n">
        <v>0.06</v>
      </c>
      <c r="K22" s="140" t="n">
        <v>0.06</v>
      </c>
      <c r="L22" s="140" t="n">
        <v>0.06</v>
      </c>
      <c r="M22" s="140" t="n">
        <v>0.06</v>
      </c>
    </row>
    <row r="23" ht="4.5" customHeight="1"/>
    <row r="24" ht="15.75" customHeight="1">
      <c r="B24" s="5" t="inlineStr">
        <is>
          <t>New Bookings</t>
        </is>
      </c>
      <c r="C24" s="125" t="inlineStr">
        <is>
          <t>[#]</t>
        </is>
      </c>
      <c r="E24" s="96" t="n"/>
      <c r="F24" s="96" t="n"/>
      <c r="G24" s="96" t="n"/>
      <c r="H24" s="96" t="n"/>
      <c r="I24" s="141" t="n">
        <v>1</v>
      </c>
      <c r="J24" s="141" t="n">
        <v>1</v>
      </c>
      <c r="K24" s="141" t="n">
        <v>1</v>
      </c>
      <c r="L24" s="141" t="n">
        <v>1</v>
      </c>
      <c r="M24" s="141" t="n">
        <v>1</v>
      </c>
    </row>
    <row r="25" ht="15.75" customHeight="1">
      <c r="B25" s="5" t="inlineStr">
        <is>
          <t>Average New Client Revenue</t>
        </is>
      </c>
      <c r="C25" s="125" t="inlineStr">
        <is>
          <t>[$]</t>
        </is>
      </c>
      <c r="E25" s="96" t="n"/>
      <c r="F25" s="96" t="n"/>
      <c r="G25" s="96" t="n"/>
      <c r="H25" s="96" t="n"/>
      <c r="I25" s="142" t="n">
        <v>600</v>
      </c>
      <c r="J25" s="142">
        <f>I25*1.05</f>
        <v/>
      </c>
      <c r="K25" s="142">
        <f>J25*1.05</f>
        <v/>
      </c>
      <c r="L25" s="142">
        <f>K25*1.05</f>
        <v/>
      </c>
      <c r="M25" s="142">
        <f>L25*1.05</f>
        <v/>
      </c>
    </row>
    <row r="26" ht="4.5" customHeight="1"/>
    <row r="27" ht="15.75" customHeight="1">
      <c r="B27" s="95" t="inlineStr">
        <is>
          <t>Upper Middle Market</t>
        </is>
      </c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</row>
    <row r="28" ht="15.75" customHeight="1">
      <c r="B28" s="5" t="inlineStr">
        <is>
          <t>Churn</t>
        </is>
      </c>
      <c r="C28" s="125" t="inlineStr">
        <is>
          <t>[%]</t>
        </is>
      </c>
      <c r="E28" s="96" t="n"/>
      <c r="F28" s="139" t="n"/>
      <c r="G28" s="139" t="n"/>
      <c r="H28" s="139" t="n"/>
      <c r="I28" s="139" t="n"/>
      <c r="J28" s="140" t="n">
        <v>-0.01</v>
      </c>
      <c r="K28" s="140">
        <f>+J28</f>
        <v/>
      </c>
      <c r="L28" s="140">
        <f>+K28</f>
        <v/>
      </c>
      <c r="M28" s="140">
        <f>+L28</f>
        <v/>
      </c>
    </row>
    <row r="29" ht="15.75" customHeight="1">
      <c r="B29" s="5" t="inlineStr">
        <is>
          <t>Expansion</t>
        </is>
      </c>
      <c r="C29" s="125" t="inlineStr">
        <is>
          <t>[%]</t>
        </is>
      </c>
      <c r="E29" s="96" t="n"/>
      <c r="F29" s="139" t="n"/>
      <c r="G29" s="139" t="n"/>
      <c r="H29" s="139" t="n"/>
      <c r="I29" s="139" t="n"/>
      <c r="J29" s="140" t="n">
        <v>0.12</v>
      </c>
      <c r="K29" s="140">
        <f>+J29</f>
        <v/>
      </c>
      <c r="L29" s="140">
        <f>+K29</f>
        <v/>
      </c>
      <c r="M29" s="140">
        <f>+L29</f>
        <v/>
      </c>
    </row>
    <row r="30" ht="4.5" customHeight="1"/>
    <row r="31" ht="15.75" customHeight="1">
      <c r="B31" s="5" t="inlineStr">
        <is>
          <t>New Bookings</t>
        </is>
      </c>
      <c r="C31" s="125" t="inlineStr">
        <is>
          <t>[#]</t>
        </is>
      </c>
      <c r="E31" s="96" t="n"/>
      <c r="F31" s="96" t="n"/>
      <c r="G31" s="96" t="n"/>
      <c r="H31" s="96" t="n"/>
      <c r="I31" s="141" t="n">
        <v>2</v>
      </c>
      <c r="J31" s="141" t="n">
        <v>3</v>
      </c>
      <c r="K31" s="141" t="n">
        <v>4</v>
      </c>
      <c r="L31" s="141" t="n">
        <v>6</v>
      </c>
      <c r="M31" s="141" t="n">
        <v>8</v>
      </c>
      <c r="O31" s="46" t="n"/>
      <c r="P31" s="143" t="n"/>
    </row>
    <row r="32" ht="15.75" customHeight="1">
      <c r="B32" s="5" t="inlineStr">
        <is>
          <t>Average New Client Revenue</t>
        </is>
      </c>
      <c r="C32" s="125" t="inlineStr">
        <is>
          <t>[$]</t>
        </is>
      </c>
      <c r="E32" s="96" t="n"/>
      <c r="F32" s="96" t="n"/>
      <c r="G32" s="96" t="n"/>
      <c r="H32" s="96" t="n"/>
      <c r="I32" s="142" t="n">
        <v>200</v>
      </c>
      <c r="J32" s="142">
        <f>I32*1.05</f>
        <v/>
      </c>
      <c r="K32" s="142">
        <f>J32*1.05</f>
        <v/>
      </c>
      <c r="L32" s="142">
        <f>K32*1.05</f>
        <v/>
      </c>
      <c r="M32" s="142">
        <f>L32*1.05</f>
        <v/>
      </c>
      <c r="O32" s="46" t="n"/>
      <c r="P32" s="54" t="n"/>
    </row>
    <row r="33" ht="4.5" customHeight="1"/>
    <row r="34" ht="15.75" customHeight="1">
      <c r="B34" s="95" t="inlineStr">
        <is>
          <t>Lower Middle Market</t>
        </is>
      </c>
      <c r="C34" s="96" t="n"/>
      <c r="D34" s="96" t="n"/>
      <c r="E34" s="96" t="n"/>
      <c r="F34" s="96" t="n"/>
      <c r="G34" s="96" t="n"/>
      <c r="H34" s="96" t="n"/>
      <c r="I34" s="96" t="n"/>
      <c r="J34" s="49" t="n"/>
      <c r="K34" s="96" t="n"/>
      <c r="L34" s="96" t="n"/>
      <c r="M34" s="96" t="n"/>
    </row>
    <row r="35" ht="15.75" customHeight="1">
      <c r="B35" s="5" t="inlineStr">
        <is>
          <t>Churn</t>
        </is>
      </c>
      <c r="C35" s="125" t="inlineStr">
        <is>
          <t>[%]</t>
        </is>
      </c>
      <c r="E35" s="96" t="n"/>
      <c r="F35" s="139" t="n"/>
      <c r="G35" s="139" t="n"/>
      <c r="H35" s="139" t="n"/>
      <c r="I35" s="139" t="n"/>
      <c r="J35" s="140" t="n">
        <v>-0.03</v>
      </c>
      <c r="K35" s="140">
        <f>+J35</f>
        <v/>
      </c>
      <c r="L35" s="140">
        <f>+K35</f>
        <v/>
      </c>
      <c r="M35" s="140">
        <f>+L35</f>
        <v/>
      </c>
    </row>
    <row r="36" ht="15.75" customHeight="1">
      <c r="B36" s="5" t="inlineStr">
        <is>
          <t>Expansion</t>
        </is>
      </c>
      <c r="C36" s="125" t="inlineStr">
        <is>
          <t>[%]</t>
        </is>
      </c>
      <c r="E36" s="96" t="n"/>
      <c r="F36" s="139" t="n"/>
      <c r="G36" s="139" t="n"/>
      <c r="H36" s="139" t="n"/>
      <c r="I36" s="139" t="n"/>
      <c r="J36" s="140" t="n">
        <v>0.15</v>
      </c>
      <c r="K36" s="140" t="n">
        <v>0.15</v>
      </c>
      <c r="L36" s="140" t="n">
        <v>0.16</v>
      </c>
      <c r="M36" s="140">
        <f>+L36+0.5%</f>
        <v/>
      </c>
    </row>
    <row r="37" ht="4.5" customHeight="1"/>
    <row r="38" ht="15.75" customHeight="1">
      <c r="B38" s="5" t="inlineStr">
        <is>
          <t>New Bookings</t>
        </is>
      </c>
      <c r="C38" s="125" t="inlineStr">
        <is>
          <t>[#]</t>
        </is>
      </c>
      <c r="E38" s="96" t="n"/>
      <c r="F38" s="96" t="n"/>
      <c r="G38" s="96" t="n"/>
      <c r="H38" s="96" t="n"/>
      <c r="I38" s="141" t="n">
        <v>3</v>
      </c>
      <c r="J38" s="141" t="n">
        <v>4</v>
      </c>
      <c r="K38" s="141" t="n">
        <v>4</v>
      </c>
      <c r="L38" s="141" t="n">
        <v>7</v>
      </c>
      <c r="M38" s="141" t="n">
        <v>9</v>
      </c>
    </row>
    <row r="39" ht="15.75" customHeight="1">
      <c r="B39" s="5" t="inlineStr">
        <is>
          <t>Average New Client Revenue</t>
        </is>
      </c>
      <c r="C39" s="125" t="inlineStr">
        <is>
          <t>[$]</t>
        </is>
      </c>
      <c r="E39" s="96" t="n"/>
      <c r="F39" s="96" t="n"/>
      <c r="G39" s="96" t="n"/>
      <c r="H39" s="96" t="n"/>
      <c r="I39" s="142" t="n">
        <v>125</v>
      </c>
      <c r="J39" s="142">
        <f>I39*1.05</f>
        <v/>
      </c>
      <c r="K39" s="142">
        <f>J39*1.05</f>
        <v/>
      </c>
      <c r="L39" s="142">
        <f>K39*1.05</f>
        <v/>
      </c>
      <c r="M39" s="142">
        <f>L39*1.05</f>
        <v/>
      </c>
    </row>
    <row r="40" ht="4.5" customHeight="1"/>
    <row r="41" ht="15.75" customHeight="1">
      <c r="B41" s="67" t="inlineStr">
        <is>
          <t>Managed Services</t>
        </is>
      </c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</row>
    <row r="42" ht="4.5" customHeight="1"/>
    <row r="43" ht="15.75" customHeight="1">
      <c r="B43" s="5" t="inlineStr">
        <is>
          <t>Mega</t>
        </is>
      </c>
      <c r="C43" s="125" t="inlineStr">
        <is>
          <t>[% of Licensing]</t>
        </is>
      </c>
      <c r="E43" s="105">
        <f>+Revenue_Calcs!E191</f>
        <v/>
      </c>
      <c r="F43" s="105">
        <f>+Revenue_Calcs!F191</f>
        <v/>
      </c>
      <c r="G43" s="105">
        <f>+Revenue_Calcs!G191</f>
        <v/>
      </c>
      <c r="H43" s="105">
        <f>+Revenue_Calcs!H191</f>
        <v/>
      </c>
      <c r="I43" s="105">
        <f>+Revenue_Calcs!I191</f>
        <v/>
      </c>
      <c r="J43" s="140" t="n">
        <v>0.75</v>
      </c>
      <c r="K43" s="140" t="n">
        <v>0.75</v>
      </c>
      <c r="L43" s="140" t="n">
        <v>0.75</v>
      </c>
      <c r="M43" s="140" t="n">
        <v>0.75</v>
      </c>
    </row>
    <row r="44" ht="15.75" customHeight="1">
      <c r="B44" s="5" t="inlineStr">
        <is>
          <t>Major</t>
        </is>
      </c>
      <c r="C44" s="125" t="inlineStr">
        <is>
          <t>[% of Licensing]</t>
        </is>
      </c>
      <c r="E44" s="105">
        <f>+Revenue_Calcs!E196</f>
        <v/>
      </c>
      <c r="F44" s="105">
        <f>+Revenue_Calcs!F196</f>
        <v/>
      </c>
      <c r="G44" s="105">
        <f>+Revenue_Calcs!G196</f>
        <v/>
      </c>
      <c r="H44" s="105">
        <f>+Revenue_Calcs!H196</f>
        <v/>
      </c>
      <c r="I44" s="105">
        <f>+Revenue_Calcs!I196</f>
        <v/>
      </c>
      <c r="J44" s="140" t="n">
        <v>0.46</v>
      </c>
      <c r="K44" s="140">
        <f>+J44-1%</f>
        <v/>
      </c>
      <c r="L44" s="140">
        <f>+K44-1%</f>
        <v/>
      </c>
      <c r="M44" s="140">
        <f>+L44-1%</f>
        <v/>
      </c>
    </row>
    <row r="45" ht="15.75" customHeight="1">
      <c r="B45" s="5" t="inlineStr">
        <is>
          <t>Upper Middle Market</t>
        </is>
      </c>
      <c r="C45" s="125" t="inlineStr">
        <is>
          <t>[% of Licensing]</t>
        </is>
      </c>
      <c r="E45" s="105">
        <f>+Revenue_Calcs!E201</f>
        <v/>
      </c>
      <c r="F45" s="105">
        <f>+Revenue_Calcs!F201</f>
        <v/>
      </c>
      <c r="G45" s="105">
        <f>+Revenue_Calcs!G201</f>
        <v/>
      </c>
      <c r="H45" s="105">
        <f>+Revenue_Calcs!H201</f>
        <v/>
      </c>
      <c r="I45" s="105">
        <f>+Revenue_Calcs!I201</f>
        <v/>
      </c>
      <c r="J45" s="140" t="n">
        <v>0.41</v>
      </c>
      <c r="K45" s="140">
        <f>+J45-1%</f>
        <v/>
      </c>
      <c r="L45" s="140">
        <f>+K45-1%</f>
        <v/>
      </c>
      <c r="M45" s="140">
        <f>+L45-1%</f>
        <v/>
      </c>
    </row>
    <row r="46" ht="15.75" customHeight="1">
      <c r="B46" s="5" t="inlineStr">
        <is>
          <t>Lower Middle Market</t>
        </is>
      </c>
      <c r="C46" s="125" t="inlineStr">
        <is>
          <t>[% of Licensing]</t>
        </is>
      </c>
      <c r="E46" s="105">
        <f>+Revenue_Calcs!E206</f>
        <v/>
      </c>
      <c r="F46" s="105">
        <f>+Revenue_Calcs!F206</f>
        <v/>
      </c>
      <c r="G46" s="105">
        <f>+Revenue_Calcs!G206</f>
        <v/>
      </c>
      <c r="H46" s="105">
        <f>+Revenue_Calcs!H206</f>
        <v/>
      </c>
      <c r="I46" s="105">
        <f>+Revenue_Calcs!I206</f>
        <v/>
      </c>
      <c r="J46" s="140" t="n">
        <v>0.31</v>
      </c>
      <c r="K46" s="140">
        <f>+J46-1%</f>
        <v/>
      </c>
      <c r="L46" s="140">
        <f>+K46-1%</f>
        <v/>
      </c>
      <c r="M46" s="140">
        <f>+L46-1%</f>
        <v/>
      </c>
    </row>
    <row r="47" ht="4.5" customHeight="1"/>
    <row r="48" ht="15.75" customHeight="1">
      <c r="B48" s="67" t="inlineStr">
        <is>
          <t>Implementation</t>
        </is>
      </c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</row>
    <row r="49" ht="4.5" customHeight="1"/>
    <row r="50" ht="15.75" customHeight="1">
      <c r="B50" s="95" t="inlineStr">
        <is>
          <t>Average Implementation Spend</t>
        </is>
      </c>
      <c r="C50" s="96" t="n"/>
      <c r="D50" s="96" t="n"/>
      <c r="E50" s="96" t="n"/>
      <c r="F50" s="96" t="n"/>
      <c r="G50" s="96" t="n"/>
      <c r="H50" s="96" t="n"/>
      <c r="I50" s="96" t="n"/>
      <c r="J50" s="49" t="n"/>
      <c r="K50" s="96" t="n"/>
      <c r="L50" s="96" t="n"/>
      <c r="M50" s="96" t="n"/>
    </row>
    <row r="51" ht="15.75" customHeight="1">
      <c r="B51" s="5" t="inlineStr">
        <is>
          <t>Mega</t>
        </is>
      </c>
      <c r="C51" s="125" t="inlineStr">
        <is>
          <t>[$]</t>
        </is>
      </c>
      <c r="E51" s="108" t="n"/>
      <c r="F51" s="108" t="n"/>
      <c r="G51" s="108" t="n"/>
      <c r="H51" s="108" t="n"/>
      <c r="I51" s="142" t="n">
        <v>1000</v>
      </c>
      <c r="J51" s="142">
        <f>I51*1.05</f>
        <v/>
      </c>
      <c r="K51" s="142">
        <f>J51*1.05</f>
        <v/>
      </c>
      <c r="L51" s="142">
        <f>K51*1.05</f>
        <v/>
      </c>
      <c r="M51" s="142">
        <f>L51*1.05</f>
        <v/>
      </c>
    </row>
    <row r="52" ht="15.75" customHeight="1">
      <c r="B52" s="5" t="inlineStr">
        <is>
          <t>Major</t>
        </is>
      </c>
      <c r="C52" s="125" t="inlineStr">
        <is>
          <t>[$]</t>
        </is>
      </c>
      <c r="E52" s="108" t="n"/>
      <c r="F52" s="108" t="n"/>
      <c r="G52" s="108" t="n"/>
      <c r="H52" s="108" t="n"/>
      <c r="I52" s="142" t="n">
        <v>350</v>
      </c>
      <c r="J52" s="142">
        <f>I52*1.05</f>
        <v/>
      </c>
      <c r="K52" s="142">
        <f>J52*1.05</f>
        <v/>
      </c>
      <c r="L52" s="142">
        <f>K52*1.05</f>
        <v/>
      </c>
      <c r="M52" s="142">
        <f>L52*1.05</f>
        <v/>
      </c>
    </row>
    <row r="53" ht="15.75" customHeight="1">
      <c r="B53" s="5" t="inlineStr">
        <is>
          <t>Upper Middle Market</t>
        </is>
      </c>
      <c r="C53" s="125" t="inlineStr">
        <is>
          <t>[$]</t>
        </is>
      </c>
      <c r="E53" s="108" t="n"/>
      <c r="F53" s="108" t="n"/>
      <c r="G53" s="108" t="n"/>
      <c r="H53" s="108" t="n"/>
      <c r="I53" s="142" t="n">
        <v>200</v>
      </c>
      <c r="J53" s="142">
        <f>I53*1.05</f>
        <v/>
      </c>
      <c r="K53" s="142">
        <f>J53*1.05</f>
        <v/>
      </c>
      <c r="L53" s="142">
        <f>K53*1.05</f>
        <v/>
      </c>
      <c r="M53" s="142">
        <f>L53*1.05</f>
        <v/>
      </c>
    </row>
    <row r="54" ht="15.75" customHeight="1">
      <c r="B54" s="5" t="inlineStr">
        <is>
          <t>Lower Middle Market</t>
        </is>
      </c>
      <c r="C54" s="125" t="inlineStr">
        <is>
          <t>[$]</t>
        </is>
      </c>
      <c r="E54" s="108" t="n"/>
      <c r="F54" s="108" t="n"/>
      <c r="G54" s="108" t="n"/>
      <c r="H54" s="108" t="n"/>
      <c r="I54" s="142" t="n">
        <v>150</v>
      </c>
      <c r="J54" s="142">
        <f>I54*1.05</f>
        <v/>
      </c>
      <c r="K54" s="142">
        <f>J54*1.05</f>
        <v/>
      </c>
      <c r="L54" s="142">
        <f>K54*1.05</f>
        <v/>
      </c>
      <c r="M54" s="142">
        <f>L54*1.05</f>
        <v/>
      </c>
    </row>
    <row r="55" ht="4.5" customHeight="1"/>
    <row r="56" ht="15.75" customHeight="1">
      <c r="B56" s="67" t="inlineStr">
        <is>
          <t>Other Revenue</t>
        </is>
      </c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</row>
    <row r="57" ht="4.5" customHeight="1"/>
    <row r="58" ht="15.75" customHeight="1">
      <c r="B58" s="5" t="inlineStr">
        <is>
          <t>Other Revenue</t>
        </is>
      </c>
      <c r="C58" s="125" t="inlineStr">
        <is>
          <t>[$]</t>
        </is>
      </c>
      <c r="E58" s="96" t="n"/>
      <c r="F58" s="48">
        <f>+Revenue_Calcs!F287</f>
        <v/>
      </c>
      <c r="G58" s="48">
        <f>+Revenue_Calcs!G287</f>
        <v/>
      </c>
      <c r="H58" s="48">
        <f>+Revenue_Calcs!H287</f>
        <v/>
      </c>
      <c r="I58" s="48">
        <f>+Revenue_Calcs!I287</f>
        <v/>
      </c>
      <c r="J58" s="142" t="n">
        <v>125</v>
      </c>
      <c r="K58" s="142">
        <f>J58*1.05</f>
        <v/>
      </c>
      <c r="L58" s="142">
        <f>K58*1.05</f>
        <v/>
      </c>
      <c r="M58" s="142">
        <f>L58*1.05</f>
        <v/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Z36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.5703125" customWidth="1" min="1" max="1"/>
    <col width="25.5703125" customWidth="1" min="2" max="2"/>
    <col width="23.42578125" customWidth="1" min="3" max="3"/>
    <col width="2.5703125" customWidth="1" min="4" max="5"/>
    <col width="12.5703125" customWidth="1" min="6" max="26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Y3" s="130" t="n"/>
      <c r="Z3" s="130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130" t="n"/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0" t="n"/>
      <c r="Y4" s="130" t="n"/>
      <c r="Z4" s="130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130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130" t="n"/>
      <c r="Y5" s="130" t="n"/>
      <c r="Z5" s="130" t="n"/>
    </row>
    <row r="6" ht="4.5" customHeight="1"/>
    <row r="7">
      <c r="B7" s="34" t="n"/>
      <c r="C7" s="34" t="n"/>
      <c r="D7" s="34" t="n"/>
      <c r="E7" s="35" t="n"/>
      <c r="F7" s="36" t="n">
        <v>2019</v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</row>
    <row r="8">
      <c r="B8" s="34" t="n"/>
      <c r="C8" s="34" t="n"/>
      <c r="D8" s="34" t="n"/>
      <c r="E8" s="38" t="n"/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</row>
    <row r="9">
      <c r="B9" s="34" t="inlineStr">
        <is>
          <t>$ in thousands</t>
        </is>
      </c>
      <c r="C9" s="34" t="n"/>
      <c r="D9" s="34" t="n"/>
      <c r="E9" s="41" t="n"/>
      <c r="F9" s="42">
        <f>+IF(F8&lt;=Cover!$C$20,"Actual","Projection")</f>
        <v/>
      </c>
      <c r="G9" s="42">
        <f>+IF(G8&lt;=Cover!$C$20,"Actual","Projection")</f>
        <v/>
      </c>
      <c r="H9" s="42">
        <f>+IF(H8&lt;=Cover!$C$20,"Actual","Projection")</f>
        <v/>
      </c>
      <c r="I9" s="42">
        <f>+IF(I8&lt;=Cover!$C$20,"Actual","Projection")</f>
        <v/>
      </c>
      <c r="J9" s="42">
        <f>+IF(J8&lt;=Cover!$C$20,"Actual","Projection")</f>
        <v/>
      </c>
      <c r="K9" s="42">
        <f>+IF(K8&lt;=Cover!$C$20,"Actual","Projection")</f>
        <v/>
      </c>
      <c r="L9" s="42">
        <f>+IF(L8&lt;=Cover!$C$20,"Actual","Projection")</f>
        <v/>
      </c>
      <c r="M9" s="42">
        <f>+IF(M8&lt;=Cover!$C$20,"Actual","Projection")</f>
        <v/>
      </c>
    </row>
    <row r="10" ht="4.5" customHeight="1"/>
    <row r="11">
      <c r="B11" s="67" t="inlineStr">
        <is>
          <t>Licensing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</row>
    <row r="12" ht="4.5" customHeight="1"/>
    <row r="13">
      <c r="B13" s="5" t="inlineStr">
        <is>
          <t>Mega</t>
        </is>
      </c>
      <c r="C13" s="125" t="inlineStr">
        <is>
          <t>[% Gross Margin]</t>
        </is>
      </c>
      <c r="E13" s="105" t="n"/>
      <c r="F13" s="105">
        <f>+COGS_Calcs!F85</f>
        <v/>
      </c>
      <c r="G13" s="105">
        <f>+COGS_Calcs!G85</f>
        <v/>
      </c>
      <c r="H13" s="105">
        <f>+COGS_Calcs!H85</f>
        <v/>
      </c>
      <c r="I13" s="140" t="n">
        <v>0.92</v>
      </c>
      <c r="J13" s="140">
        <f>+I13</f>
        <v/>
      </c>
      <c r="K13" s="140">
        <f>J13+0.2%</f>
        <v/>
      </c>
      <c r="L13" s="140">
        <f>K13+0.2%</f>
        <v/>
      </c>
      <c r="M13" s="140">
        <f>L13+0.2%</f>
        <v/>
      </c>
    </row>
    <row r="14">
      <c r="B14" s="5" t="inlineStr">
        <is>
          <t>Major</t>
        </is>
      </c>
      <c r="C14" s="125" t="inlineStr">
        <is>
          <t>[% Gross Margin]</t>
        </is>
      </c>
      <c r="E14" s="105" t="n"/>
      <c r="F14" s="105">
        <f>+COGS_Calcs!F87</f>
        <v/>
      </c>
      <c r="G14" s="105">
        <f>+COGS_Calcs!G87</f>
        <v/>
      </c>
      <c r="H14" s="105">
        <f>+COGS_Calcs!H87</f>
        <v/>
      </c>
      <c r="I14" s="140">
        <f>+H14</f>
        <v/>
      </c>
      <c r="J14" s="140">
        <f>+I14</f>
        <v/>
      </c>
      <c r="K14" s="140">
        <f>J14+0.2%</f>
        <v/>
      </c>
      <c r="L14" s="140">
        <f>K14+0.2%</f>
        <v/>
      </c>
      <c r="M14" s="140">
        <f>L14+0.2%</f>
        <v/>
      </c>
    </row>
    <row r="15">
      <c r="B15" s="5" t="inlineStr">
        <is>
          <t>Upper Middle Market</t>
        </is>
      </c>
      <c r="C15" s="125" t="inlineStr">
        <is>
          <t>[% Gross Margin]</t>
        </is>
      </c>
      <c r="E15" s="105" t="n"/>
      <c r="F15" s="105">
        <f>+COGS_Calcs!F88</f>
        <v/>
      </c>
      <c r="G15" s="105">
        <f>+COGS_Calcs!G88</f>
        <v/>
      </c>
      <c r="H15" s="105">
        <f>+COGS_Calcs!H88</f>
        <v/>
      </c>
      <c r="I15" s="140">
        <f>+H15</f>
        <v/>
      </c>
      <c r="J15" s="140">
        <f>+I15</f>
        <v/>
      </c>
      <c r="K15" s="140">
        <f>J15+0.2%</f>
        <v/>
      </c>
      <c r="L15" s="140">
        <f>K15+0.2%</f>
        <v/>
      </c>
      <c r="M15" s="140">
        <f>L15+0.2%</f>
        <v/>
      </c>
    </row>
    <row r="16">
      <c r="B16" s="5" t="inlineStr">
        <is>
          <t>Lower Middle Market</t>
        </is>
      </c>
      <c r="C16" s="125" t="inlineStr">
        <is>
          <t>[% Gross Margin]</t>
        </is>
      </c>
      <c r="E16" s="105" t="n"/>
      <c r="F16" s="105">
        <f>+COGS_Calcs!F89</f>
        <v/>
      </c>
      <c r="G16" s="105">
        <f>+COGS_Calcs!G89</f>
        <v/>
      </c>
      <c r="H16" s="105">
        <f>+COGS_Calcs!H89</f>
        <v/>
      </c>
      <c r="I16" s="140">
        <f>+H16</f>
        <v/>
      </c>
      <c r="J16" s="140">
        <f>+I16</f>
        <v/>
      </c>
      <c r="K16" s="140">
        <f>J16+0.2%</f>
        <v/>
      </c>
      <c r="L16" s="140">
        <f>K16+0.2%</f>
        <v/>
      </c>
      <c r="M16" s="140">
        <f>L16+0.2%</f>
        <v/>
      </c>
    </row>
    <row r="17" ht="4.5" customHeight="1"/>
    <row r="18">
      <c r="B18" s="5" t="inlineStr">
        <is>
          <t>Hosting</t>
        </is>
      </c>
      <c r="C18" s="125" t="inlineStr">
        <is>
          <t>[% of Licensing Revenue]</t>
        </is>
      </c>
      <c r="F18" s="105">
        <f>+COGS_Calcs!F93</f>
        <v/>
      </c>
      <c r="G18" s="105">
        <f>+COGS_Calcs!G93</f>
        <v/>
      </c>
      <c r="H18" s="105">
        <f>+COGS_Calcs!H93</f>
        <v/>
      </c>
      <c r="I18" s="105">
        <f>+COGS_Calcs!I93</f>
        <v/>
      </c>
      <c r="J18" s="105">
        <f>+COGS_Calcs!J93</f>
        <v/>
      </c>
      <c r="K18" s="140">
        <f>J18-0.1%</f>
        <v/>
      </c>
      <c r="L18" s="140">
        <f>K18-0.1%</f>
        <v/>
      </c>
      <c r="M18" s="140">
        <f>L18-0.1%</f>
        <v/>
      </c>
    </row>
    <row r="19">
      <c r="B19" s="5" t="inlineStr">
        <is>
          <t>Service Costs</t>
        </is>
      </c>
      <c r="C19" s="125" t="inlineStr">
        <is>
          <t>[% of Licensing Revenue]</t>
        </is>
      </c>
      <c r="F19" s="105">
        <f>+COGS_Calcs!F98</f>
        <v/>
      </c>
      <c r="G19" s="105">
        <f>+COGS_Calcs!G98</f>
        <v/>
      </c>
      <c r="H19" s="105">
        <f>+COGS_Calcs!H98</f>
        <v/>
      </c>
      <c r="I19" s="105">
        <f>+COGS_Calcs!I98</f>
        <v/>
      </c>
      <c r="J19" s="105">
        <f>+COGS_Calcs!J98</f>
        <v/>
      </c>
      <c r="K19" s="140">
        <f>J19-0.1%</f>
        <v/>
      </c>
      <c r="L19" s="140">
        <f>K19-0.1%</f>
        <v/>
      </c>
      <c r="M19" s="140">
        <f>L19-0.1%</f>
        <v/>
      </c>
    </row>
    <row r="20">
      <c r="B20" s="5" t="inlineStr">
        <is>
          <t>Contractors</t>
        </is>
      </c>
      <c r="C20" s="125" t="inlineStr">
        <is>
          <t>[% of Licensing Revenue]</t>
        </is>
      </c>
      <c r="F20" s="105">
        <f>+COGS_Calcs!F103</f>
        <v/>
      </c>
      <c r="G20" s="105">
        <f>+COGS_Calcs!G103</f>
        <v/>
      </c>
      <c r="H20" s="105">
        <f>+COGS_Calcs!H103</f>
        <v/>
      </c>
      <c r="I20" s="105">
        <f>+COGS_Calcs!I103</f>
        <v/>
      </c>
      <c r="J20" s="105">
        <f>+COGS_Calcs!J103</f>
        <v/>
      </c>
      <c r="K20" s="140">
        <f>+J20</f>
        <v/>
      </c>
      <c r="L20" s="140">
        <f>+K20</f>
        <v/>
      </c>
      <c r="M20" s="140">
        <f>+L20</f>
        <v/>
      </c>
    </row>
    <row r="21" ht="4.5" customHeight="1"/>
    <row r="22" ht="15.75" customHeight="1">
      <c r="B22" s="67" t="inlineStr">
        <is>
          <t>Managed Services</t>
        </is>
      </c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</row>
    <row r="23" ht="4.5" customHeight="1"/>
    <row r="24" ht="15.75" customHeight="1">
      <c r="B24" s="5" t="inlineStr">
        <is>
          <t>Mega</t>
        </is>
      </c>
      <c r="C24" s="125" t="inlineStr">
        <is>
          <t>[% Gross Margin]</t>
        </is>
      </c>
      <c r="E24" s="105" t="n"/>
      <c r="F24" s="105">
        <f>+COGS_Calcs!F185</f>
        <v/>
      </c>
      <c r="G24" s="105">
        <f>+COGS_Calcs!G185</f>
        <v/>
      </c>
      <c r="H24" s="105">
        <f>+COGS_Calcs!H185</f>
        <v/>
      </c>
      <c r="I24" s="140" t="n">
        <v>0.6899999999999999</v>
      </c>
      <c r="J24" s="140">
        <f>+I24</f>
        <v/>
      </c>
      <c r="K24" s="140">
        <f>+J24+0.3%</f>
        <v/>
      </c>
      <c r="L24" s="140">
        <f>+K24+0.3%</f>
        <v/>
      </c>
      <c r="M24" s="140">
        <f>+L24+0.3%</f>
        <v/>
      </c>
      <c r="O24" s="144" t="n"/>
    </row>
    <row r="25" ht="15.75" customHeight="1">
      <c r="B25" s="5" t="inlineStr">
        <is>
          <t>Major</t>
        </is>
      </c>
      <c r="C25" s="125" t="inlineStr">
        <is>
          <t>[% Gross Margin]</t>
        </is>
      </c>
      <c r="E25" s="105" t="n"/>
      <c r="F25" s="105">
        <f>+COGS_Calcs!F186</f>
        <v/>
      </c>
      <c r="G25" s="105">
        <f>+COGS_Calcs!G186</f>
        <v/>
      </c>
      <c r="H25" s="105">
        <f>+COGS_Calcs!H186</f>
        <v/>
      </c>
      <c r="I25" s="140" t="n">
        <v>0.6899999999999999</v>
      </c>
      <c r="J25" s="140">
        <f>+I25</f>
        <v/>
      </c>
      <c r="K25" s="140">
        <f>+J25+0.3%</f>
        <v/>
      </c>
      <c r="L25" s="140">
        <f>+K25+0.3%</f>
        <v/>
      </c>
      <c r="M25" s="140">
        <f>+L25+0.3%</f>
        <v/>
      </c>
      <c r="O25" s="145" t="n"/>
    </row>
    <row r="26" ht="15.75" customHeight="1">
      <c r="B26" s="5" t="inlineStr">
        <is>
          <t>Upper Middle Market</t>
        </is>
      </c>
      <c r="C26" s="125" t="inlineStr">
        <is>
          <t>[% Gross Margin]</t>
        </is>
      </c>
      <c r="E26" s="105" t="n"/>
      <c r="F26" s="105">
        <f>+COGS_Calcs!F187</f>
        <v/>
      </c>
      <c r="G26" s="105">
        <f>+COGS_Calcs!G187</f>
        <v/>
      </c>
      <c r="H26" s="105">
        <f>+COGS_Calcs!H187</f>
        <v/>
      </c>
      <c r="I26" s="140" t="n">
        <v>0.65</v>
      </c>
      <c r="J26" s="140">
        <f>+I26</f>
        <v/>
      </c>
      <c r="K26" s="140">
        <f>+J26+0.3%</f>
        <v/>
      </c>
      <c r="L26" s="140">
        <f>+K26+0.3%</f>
        <v/>
      </c>
      <c r="M26" s="140">
        <f>+L26+0.3%</f>
        <v/>
      </c>
    </row>
    <row r="27" ht="15.75" customHeight="1">
      <c r="B27" s="5" t="inlineStr">
        <is>
          <t>Lower Middle Market</t>
        </is>
      </c>
      <c r="C27" s="125" t="inlineStr">
        <is>
          <t>[% Gross Margin]</t>
        </is>
      </c>
      <c r="E27" s="105" t="n"/>
      <c r="F27" s="105">
        <f>+COGS_Calcs!F188</f>
        <v/>
      </c>
      <c r="G27" s="105">
        <f>+COGS_Calcs!G188</f>
        <v/>
      </c>
      <c r="H27" s="105">
        <f>+COGS_Calcs!H188</f>
        <v/>
      </c>
      <c r="I27" s="140" t="n">
        <v>0.75</v>
      </c>
      <c r="J27" s="140">
        <f>+I27</f>
        <v/>
      </c>
      <c r="K27" s="140">
        <f>+J27+0.3%</f>
        <v/>
      </c>
      <c r="L27" s="140">
        <f>+K27+0.3%</f>
        <v/>
      </c>
      <c r="M27" s="140">
        <f>+L27+0.3%</f>
        <v/>
      </c>
    </row>
    <row r="28" ht="4.5" customHeight="1"/>
    <row r="29" ht="15.75" customHeight="1">
      <c r="B29" s="67" t="inlineStr">
        <is>
          <t>Implementation</t>
        </is>
      </c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</row>
    <row r="30" ht="4.5" customHeight="1"/>
    <row r="31" ht="15.75" customHeight="1">
      <c r="B31" s="5" t="inlineStr">
        <is>
          <t>Mega</t>
        </is>
      </c>
      <c r="C31" s="125" t="inlineStr">
        <is>
          <t>[% Gross Margin]</t>
        </is>
      </c>
      <c r="E31" s="105" t="n"/>
      <c r="F31" s="105">
        <f>+COGS_Calcs!F267</f>
        <v/>
      </c>
      <c r="G31" s="105">
        <f>+COGS_Calcs!G267</f>
        <v/>
      </c>
      <c r="H31" s="105">
        <f>+COGS_Calcs!H267</f>
        <v/>
      </c>
      <c r="I31" s="140" t="n">
        <v>-3.5</v>
      </c>
      <c r="J31" s="140" t="n">
        <v>0.25</v>
      </c>
      <c r="K31" s="140">
        <f>+J31+1%</f>
        <v/>
      </c>
      <c r="L31" s="140">
        <f>+K31+1%</f>
        <v/>
      </c>
      <c r="M31" s="140">
        <f>+L31+1%</f>
        <v/>
      </c>
    </row>
    <row r="32" ht="15.75" customHeight="1">
      <c r="B32" s="5" t="inlineStr">
        <is>
          <t>Major</t>
        </is>
      </c>
      <c r="C32" s="125" t="inlineStr">
        <is>
          <t>[% Gross Margin]</t>
        </is>
      </c>
      <c r="E32" s="105" t="n"/>
      <c r="F32" s="105">
        <f>+COGS_Calcs!F269</f>
        <v/>
      </c>
      <c r="G32" s="105">
        <f>+COGS_Calcs!G269</f>
        <v/>
      </c>
      <c r="H32" s="105">
        <f>+COGS_Calcs!H269</f>
        <v/>
      </c>
      <c r="I32" s="140" t="n">
        <v>0.15</v>
      </c>
      <c r="J32" s="140" t="n">
        <v>0.2</v>
      </c>
      <c r="K32" s="140">
        <f>+J32+1%</f>
        <v/>
      </c>
      <c r="L32" s="140">
        <f>+K32+1%</f>
        <v/>
      </c>
      <c r="M32" s="140">
        <f>+L32+1%</f>
        <v/>
      </c>
    </row>
    <row r="33" ht="15.75" customHeight="1">
      <c r="B33" s="5" t="inlineStr">
        <is>
          <t>Upper Middle Market</t>
        </is>
      </c>
      <c r="C33" s="125" t="inlineStr">
        <is>
          <t>[% Gross Margin]</t>
        </is>
      </c>
      <c r="E33" s="105" t="n"/>
      <c r="F33" s="105">
        <f>+COGS_Calcs!F270</f>
        <v/>
      </c>
      <c r="G33" s="105">
        <f>+COGS_Calcs!G270</f>
        <v/>
      </c>
      <c r="H33" s="105">
        <f>+COGS_Calcs!H270</f>
        <v/>
      </c>
      <c r="I33" s="140" t="n">
        <v>0.2</v>
      </c>
      <c r="J33" s="140" t="n">
        <v>0.25</v>
      </c>
      <c r="K33" s="140">
        <f>+J33+1%</f>
        <v/>
      </c>
      <c r="L33" s="140">
        <f>+K33+1%</f>
        <v/>
      </c>
      <c r="M33" s="140">
        <f>+L33+1%</f>
        <v/>
      </c>
    </row>
    <row r="34" ht="15.75" customHeight="1">
      <c r="B34" s="5" t="inlineStr">
        <is>
          <t>Lower Middle Market</t>
        </is>
      </c>
      <c r="C34" s="125" t="inlineStr">
        <is>
          <t>[% Gross Margin]</t>
        </is>
      </c>
      <c r="E34" s="105" t="n"/>
      <c r="F34" s="105">
        <f>+COGS_Calcs!F270</f>
        <v/>
      </c>
      <c r="G34" s="105">
        <f>+COGS_Calcs!G270</f>
        <v/>
      </c>
      <c r="H34" s="105">
        <f>+COGS_Calcs!H270</f>
        <v/>
      </c>
      <c r="I34" s="140" t="n">
        <v>0.2</v>
      </c>
      <c r="J34" s="140" t="n">
        <v>0.25</v>
      </c>
      <c r="K34" s="140">
        <f>+J34+1%</f>
        <v/>
      </c>
      <c r="L34" s="140">
        <f>+K34+1%</f>
        <v/>
      </c>
      <c r="M34" s="140">
        <f>+L34+1%</f>
        <v/>
      </c>
    </row>
    <row r="35" ht="4.5" customHeight="1"/>
    <row r="36" ht="15.75" customHeight="1">
      <c r="B36" s="5" t="inlineStr">
        <is>
          <t>Contractors</t>
        </is>
      </c>
      <c r="C36" s="125" t="inlineStr">
        <is>
          <t>[% of Revenue]</t>
        </is>
      </c>
      <c r="F36" s="105">
        <f>+COGS_Calcs!F275</f>
        <v/>
      </c>
      <c r="G36" s="105">
        <f>+COGS_Calcs!G275</f>
        <v/>
      </c>
      <c r="H36" s="105">
        <f>+COGS_Calcs!H275</f>
        <v/>
      </c>
      <c r="I36" s="105">
        <f>+COGS_Calcs!I275</f>
        <v/>
      </c>
      <c r="J36" s="140">
        <f>+I36</f>
        <v/>
      </c>
      <c r="K36" s="140">
        <f>+J36</f>
        <v/>
      </c>
      <c r="L36" s="140">
        <f>+K36</f>
        <v/>
      </c>
      <c r="M36" s="140">
        <f>+L36</f>
        <v/>
      </c>
    </row>
    <row r="37" ht="4.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Z43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.5703125" customWidth="1" min="1" max="1"/>
    <col width="25.5703125" customWidth="1" min="2" max="2"/>
    <col width="14.42578125" customWidth="1" min="3" max="3"/>
    <col width="2.5703125" customWidth="1" min="4" max="5"/>
    <col width="12.5703125" customWidth="1" min="6" max="26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Y3" s="130" t="n"/>
      <c r="Z3" s="130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130" t="n"/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0" t="n"/>
      <c r="Y4" s="130" t="n"/>
      <c r="Z4" s="130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130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130" t="n"/>
      <c r="Y5" s="130" t="n"/>
      <c r="Z5" s="130" t="n"/>
    </row>
    <row r="6" ht="4.5" customHeight="1"/>
    <row r="7">
      <c r="B7" s="34" t="n"/>
      <c r="C7" s="34" t="n"/>
      <c r="D7" s="34" t="n"/>
      <c r="E7" s="35" t="n"/>
      <c r="F7" s="36" t="n">
        <v>2019</v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</row>
    <row r="8">
      <c r="B8" s="34" t="n"/>
      <c r="C8" s="34" t="n"/>
      <c r="D8" s="34" t="n"/>
      <c r="E8" s="38" t="n"/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</row>
    <row r="9">
      <c r="B9" s="34" t="inlineStr">
        <is>
          <t>$ in thousands</t>
        </is>
      </c>
      <c r="C9" s="34" t="n"/>
      <c r="D9" s="34" t="n"/>
      <c r="E9" s="41" t="n"/>
      <c r="F9" s="42">
        <f>+IF(F8&lt;=Cover!$C$20,"Actual","Projection")</f>
        <v/>
      </c>
      <c r="G9" s="42">
        <f>+IF(G8&lt;=Cover!$C$20,"Actual","Projection")</f>
        <v/>
      </c>
      <c r="H9" s="42">
        <f>+IF(H8&lt;=Cover!$C$20,"Actual","Projection")</f>
        <v/>
      </c>
      <c r="I9" s="42">
        <f>+IF(I8&lt;=Cover!$C$20,"Actual","Projection")</f>
        <v/>
      </c>
      <c r="J9" s="42">
        <f>+IF(J8&lt;=Cover!$C$20,"Actual","Projection")</f>
        <v/>
      </c>
      <c r="K9" s="42">
        <f>+IF(K8&lt;=Cover!$C$20,"Actual","Projection")</f>
        <v/>
      </c>
      <c r="L9" s="42">
        <f>+IF(L8&lt;=Cover!$C$20,"Actual","Projection")</f>
        <v/>
      </c>
      <c r="M9" s="42">
        <f>+IF(M8&lt;=Cover!$C$20,"Actual","Projection")</f>
        <v/>
      </c>
    </row>
    <row r="10" ht="4.5" customHeight="1"/>
    <row r="11" ht="17.25" customHeight="1">
      <c r="B11" s="44" t="inlineStr">
        <is>
          <t>Net New Hires1</t>
        </is>
      </c>
    </row>
    <row r="12">
      <c r="B12" s="5" t="inlineStr">
        <is>
          <t>Delivery</t>
        </is>
      </c>
      <c r="C12" s="125" t="inlineStr">
        <is>
          <t>[#]</t>
        </is>
      </c>
      <c r="F12" s="96" t="n"/>
      <c r="G12" s="127">
        <f>+Opex_Calcs!G12-Opex_Calcs!F12</f>
        <v/>
      </c>
      <c r="H12" s="127">
        <f>+Opex_Calcs!H12-Opex_Calcs!G12</f>
        <v/>
      </c>
      <c r="I12" s="127">
        <f>+Opex_Calcs!I12-Opex_Calcs!H12</f>
        <v/>
      </c>
      <c r="J12" s="127">
        <f>+Opex_Calcs!J12-Opex_Calcs!I12</f>
        <v/>
      </c>
      <c r="K12" s="141">
        <f>+J12+2</f>
        <v/>
      </c>
      <c r="L12" s="141">
        <f>+K12+2</f>
        <v/>
      </c>
      <c r="M12" s="141">
        <f>+L12+2</f>
        <v/>
      </c>
    </row>
    <row r="13">
      <c r="B13" s="5" t="inlineStr">
        <is>
          <t>Sales &amp; CS</t>
        </is>
      </c>
      <c r="C13" s="125" t="inlineStr">
        <is>
          <t>[#]</t>
        </is>
      </c>
      <c r="F13" s="96" t="n"/>
      <c r="G13" s="127">
        <f>+Opex_Calcs!G13-Opex_Calcs!F13</f>
        <v/>
      </c>
      <c r="H13" s="127">
        <f>+Opex_Calcs!H13-Opex_Calcs!G13</f>
        <v/>
      </c>
      <c r="I13" s="127">
        <f>+Opex_Calcs!I13-Opex_Calcs!H13</f>
        <v/>
      </c>
      <c r="J13" s="127">
        <f>+Opex_Calcs!J13-Opex_Calcs!I13</f>
        <v/>
      </c>
      <c r="K13" s="141" t="n">
        <v>2</v>
      </c>
      <c r="L13" s="141">
        <f>+K13</f>
        <v/>
      </c>
      <c r="M13" s="141">
        <f>+L13</f>
        <v/>
      </c>
    </row>
    <row r="14">
      <c r="B14" s="5" t="inlineStr">
        <is>
          <t>Executive</t>
        </is>
      </c>
      <c r="C14" s="125" t="inlineStr">
        <is>
          <t>[#]</t>
        </is>
      </c>
      <c r="F14" s="96" t="n"/>
      <c r="G14" s="127">
        <f>+Opex_Calcs!G14-Opex_Calcs!F14</f>
        <v/>
      </c>
      <c r="H14" s="127">
        <f>+Opex_Calcs!H14-Opex_Calcs!G14</f>
        <v/>
      </c>
      <c r="I14" s="127">
        <f>+Opex_Calcs!I14-Opex_Calcs!H14</f>
        <v/>
      </c>
      <c r="J14" s="127">
        <f>+Opex_Calcs!J14-Opex_Calcs!I14</f>
        <v/>
      </c>
      <c r="K14" s="141" t="n">
        <v>0</v>
      </c>
      <c r="L14" s="141" t="n">
        <v>0</v>
      </c>
      <c r="M14" s="141" t="n">
        <v>0</v>
      </c>
    </row>
    <row r="15">
      <c r="B15" s="5" t="inlineStr">
        <is>
          <t>Admin</t>
        </is>
      </c>
      <c r="C15" s="125" t="inlineStr">
        <is>
          <t>[#]</t>
        </is>
      </c>
      <c r="F15" s="96" t="n"/>
      <c r="G15" s="127">
        <f>+Opex_Calcs!G15-Opex_Calcs!F15</f>
        <v/>
      </c>
      <c r="H15" s="127">
        <f>+Opex_Calcs!H15-Opex_Calcs!G15</f>
        <v/>
      </c>
      <c r="I15" s="127">
        <f>+Opex_Calcs!I15-Opex_Calcs!H15</f>
        <v/>
      </c>
      <c r="J15" s="127">
        <f>+Opex_Calcs!J15-Opex_Calcs!I15</f>
        <v/>
      </c>
      <c r="K15" s="141" t="n">
        <v>2</v>
      </c>
      <c r="L15" s="141">
        <f>+K15+1</f>
        <v/>
      </c>
      <c r="M15" s="141">
        <f>+L15+1</f>
        <v/>
      </c>
    </row>
    <row r="16" ht="4.5" customHeight="1"/>
    <row r="17" ht="17.25" customHeight="1">
      <c r="B17" s="44" t="inlineStr">
        <is>
          <t>Average Salary1</t>
        </is>
      </c>
    </row>
    <row r="18">
      <c r="B18" s="5" t="inlineStr">
        <is>
          <t>Delivery</t>
        </is>
      </c>
      <c r="C18" s="125" t="inlineStr">
        <is>
          <t>[$]</t>
        </is>
      </c>
      <c r="F18" s="48">
        <f>+Opex_Calcs!F22</f>
        <v/>
      </c>
      <c r="G18" s="48">
        <f>+Opex_Calcs!G22</f>
        <v/>
      </c>
      <c r="H18" s="48">
        <f>+Opex_Calcs!H22</f>
        <v/>
      </c>
      <c r="I18" s="48">
        <f>+Opex_Calcs!I22</f>
        <v/>
      </c>
      <c r="J18" s="48">
        <f>+Opex_Calcs!J22</f>
        <v/>
      </c>
      <c r="K18" s="142">
        <f>+J18*1.03</f>
        <v/>
      </c>
      <c r="L18" s="142">
        <f>+K18*1.03</f>
        <v/>
      </c>
      <c r="M18" s="142">
        <f>+L18*1.03</f>
        <v/>
      </c>
    </row>
    <row r="19">
      <c r="B19" s="5" t="inlineStr">
        <is>
          <t>Sales &amp; CS</t>
        </is>
      </c>
      <c r="C19" s="125" t="inlineStr">
        <is>
          <t>[$]</t>
        </is>
      </c>
      <c r="F19" s="48">
        <f>+Opex_Calcs!F23</f>
        <v/>
      </c>
      <c r="G19" s="48">
        <f>+Opex_Calcs!G23</f>
        <v/>
      </c>
      <c r="H19" s="48">
        <f>+Opex_Calcs!H23</f>
        <v/>
      </c>
      <c r="I19" s="48">
        <f>+Opex_Calcs!I23</f>
        <v/>
      </c>
      <c r="J19" s="48">
        <f>+Opex_Calcs!J23</f>
        <v/>
      </c>
      <c r="K19" s="142">
        <f>+J19*1.03</f>
        <v/>
      </c>
      <c r="L19" s="142">
        <f>+K19*1.03</f>
        <v/>
      </c>
      <c r="M19" s="142">
        <f>+L19*1.03</f>
        <v/>
      </c>
    </row>
    <row r="20">
      <c r="B20" s="5" t="inlineStr">
        <is>
          <t>Executive</t>
        </is>
      </c>
      <c r="C20" s="125" t="inlineStr">
        <is>
          <t>[$]</t>
        </is>
      </c>
      <c r="F20" s="48">
        <f>+Opex_Calcs!F24</f>
        <v/>
      </c>
      <c r="G20" s="48">
        <f>+Opex_Calcs!G24</f>
        <v/>
      </c>
      <c r="H20" s="48">
        <f>+Opex_Calcs!H24</f>
        <v/>
      </c>
      <c r="I20" s="48">
        <f>+Opex_Calcs!I24</f>
        <v/>
      </c>
      <c r="J20" s="48">
        <f>+Opex_Calcs!J24</f>
        <v/>
      </c>
      <c r="K20" s="142">
        <f>+J20*1.03</f>
        <v/>
      </c>
      <c r="L20" s="142">
        <f>+K20*1.03</f>
        <v/>
      </c>
      <c r="M20" s="142">
        <f>+L20*1.03</f>
        <v/>
      </c>
    </row>
    <row r="21" ht="15.75" customHeight="1">
      <c r="B21" s="5" t="inlineStr">
        <is>
          <t>Admin</t>
        </is>
      </c>
      <c r="C21" s="125" t="inlineStr">
        <is>
          <t>[$]</t>
        </is>
      </c>
      <c r="F21" s="48">
        <f>+Opex_Calcs!F25</f>
        <v/>
      </c>
      <c r="G21" s="48">
        <f>+Opex_Calcs!G25</f>
        <v/>
      </c>
      <c r="H21" s="48">
        <f>+Opex_Calcs!H25</f>
        <v/>
      </c>
      <c r="I21" s="48">
        <f>+Opex_Calcs!I25</f>
        <v/>
      </c>
      <c r="J21" s="48">
        <f>+Opex_Calcs!J25</f>
        <v/>
      </c>
      <c r="K21" s="142">
        <f>+J21*1.03</f>
        <v/>
      </c>
      <c r="L21" s="142">
        <f>+K21*1.03</f>
        <v/>
      </c>
      <c r="M21" s="142">
        <f>+L21*1.03</f>
        <v/>
      </c>
    </row>
    <row r="22" ht="4.5" customHeight="1"/>
    <row r="23" ht="15.75" customHeight="1">
      <c r="B23" s="44" t="inlineStr">
        <is>
          <t>Other Personnel Assmptions</t>
        </is>
      </c>
    </row>
    <row r="24" ht="15.75" customHeight="1">
      <c r="B24" s="5" t="inlineStr">
        <is>
          <t>Bonus</t>
        </is>
      </c>
      <c r="C24" s="125" t="inlineStr">
        <is>
          <t>[% of Revenue]</t>
        </is>
      </c>
      <c r="F24" s="105">
        <f>+Opex_Calcs!F38/'Income Statement'!F$16</f>
        <v/>
      </c>
      <c r="G24" s="105">
        <f>+Opex_Calcs!G38/'Income Statement'!G$16</f>
        <v/>
      </c>
      <c r="H24" s="105">
        <f>+Opex_Calcs!H38/'Income Statement'!H$16</f>
        <v/>
      </c>
      <c r="I24" s="105">
        <f>+Opex_Calcs!I38/'Income Statement'!I$16</f>
        <v/>
      </c>
      <c r="J24" s="105">
        <f>+Opex_Calcs!J38/'Income Statement'!J$16</f>
        <v/>
      </c>
      <c r="K24" s="140">
        <f>+J24-0.001</f>
        <v/>
      </c>
      <c r="L24" s="140">
        <f>+K24-0.001</f>
        <v/>
      </c>
      <c r="M24" s="140">
        <f>+L24-0.001</f>
        <v/>
      </c>
    </row>
    <row r="25" ht="15.75" customHeight="1">
      <c r="B25" s="5" t="inlineStr">
        <is>
          <t>Payroll Taxes</t>
        </is>
      </c>
      <c r="C25" s="125" t="inlineStr">
        <is>
          <t>[% of Salary]</t>
        </is>
      </c>
      <c r="F25" s="105">
        <f>+Opex_Calcs!F39/Opex_Calcs!F$32</f>
        <v/>
      </c>
      <c r="G25" s="105">
        <f>+Opex_Calcs!G39/Opex_Calcs!G$32</f>
        <v/>
      </c>
      <c r="H25" s="105">
        <f>+Opex_Calcs!H39/Opex_Calcs!H$32</f>
        <v/>
      </c>
      <c r="I25" s="105">
        <f>+Opex_Calcs!I39/Opex_Calcs!I$32</f>
        <v/>
      </c>
      <c r="J25" s="105">
        <f>+Opex_Calcs!J39/Opex_Calcs!J$32</f>
        <v/>
      </c>
      <c r="K25" s="140">
        <f>+J25</f>
        <v/>
      </c>
      <c r="L25" s="140">
        <f>+K25</f>
        <v/>
      </c>
      <c r="M25" s="140">
        <f>+L25</f>
        <v/>
      </c>
    </row>
    <row r="26" ht="15.75" customHeight="1">
      <c r="B26" s="5" t="inlineStr">
        <is>
          <t>Commission</t>
        </is>
      </c>
      <c r="C26" s="125" t="inlineStr">
        <is>
          <t>[% of Revenue]</t>
        </is>
      </c>
      <c r="F26" s="105">
        <f>+Opex_Calcs!F40/'Income Statement'!F$16</f>
        <v/>
      </c>
      <c r="G26" s="105">
        <f>+Opex_Calcs!G40/'Income Statement'!G$16</f>
        <v/>
      </c>
      <c r="H26" s="105">
        <f>+Opex_Calcs!H40/'Income Statement'!H$16</f>
        <v/>
      </c>
      <c r="I26" s="105">
        <f>+Opex_Calcs!I40/'Income Statement'!I$16</f>
        <v/>
      </c>
      <c r="J26" s="105">
        <f>+Opex_Calcs!J40/'Income Statement'!J$16</f>
        <v/>
      </c>
      <c r="K26" s="140">
        <f>+J26*1.2</f>
        <v/>
      </c>
      <c r="L26" s="140">
        <f>+K26*1.2</f>
        <v/>
      </c>
      <c r="M26" s="140">
        <f>+L26*1.2</f>
        <v/>
      </c>
      <c r="N26" s="146" t="n"/>
    </row>
    <row r="27" ht="15.75" customHeight="1">
      <c r="B27" s="5" t="inlineStr">
        <is>
          <t>Severance</t>
        </is>
      </c>
      <c r="C27" s="125" t="inlineStr">
        <is>
          <t>[% of Salary]</t>
        </is>
      </c>
      <c r="F27" s="105">
        <f>+Opex_Calcs!F41/Opex_Calcs!F$32</f>
        <v/>
      </c>
      <c r="G27" s="105">
        <f>+Opex_Calcs!G41/Opex_Calcs!G$32</f>
        <v/>
      </c>
      <c r="H27" s="105">
        <f>+Opex_Calcs!H41/Opex_Calcs!H$32</f>
        <v/>
      </c>
      <c r="I27" s="105">
        <f>+Opex_Calcs!I41/Opex_Calcs!I$32</f>
        <v/>
      </c>
      <c r="J27" s="105">
        <f>+Opex_Calcs!J41/Opex_Calcs!J$32</f>
        <v/>
      </c>
      <c r="K27" s="140">
        <f>+J27</f>
        <v/>
      </c>
      <c r="L27" s="140">
        <f>+K27</f>
        <v/>
      </c>
      <c r="M27" s="140">
        <f>+L27</f>
        <v/>
      </c>
    </row>
    <row r="28" ht="15.75" customHeight="1">
      <c r="B28" s="5" t="inlineStr">
        <is>
          <t>Benefits</t>
        </is>
      </c>
      <c r="C28" s="125" t="inlineStr">
        <is>
          <t>[% of Salary]</t>
        </is>
      </c>
      <c r="F28" s="105">
        <f>+Opex_Calcs!F42/Opex_Calcs!F$32</f>
        <v/>
      </c>
      <c r="G28" s="105">
        <f>+Opex_Calcs!G42/Opex_Calcs!G$32</f>
        <v/>
      </c>
      <c r="H28" s="105">
        <f>+Opex_Calcs!H42/Opex_Calcs!H$32</f>
        <v/>
      </c>
      <c r="I28" s="105">
        <f>+Opex_Calcs!I42/Opex_Calcs!I$32</f>
        <v/>
      </c>
      <c r="J28" s="105">
        <f>+Opex_Calcs!J42/Opex_Calcs!J$32</f>
        <v/>
      </c>
      <c r="K28" s="140">
        <f>+J28</f>
        <v/>
      </c>
      <c r="L28" s="140">
        <f>+K28</f>
        <v/>
      </c>
      <c r="M28" s="140">
        <f>+L28</f>
        <v/>
      </c>
    </row>
    <row r="29" ht="15.75" customHeight="1">
      <c r="B29" s="5" t="inlineStr">
        <is>
          <t>Payroll Processing Costs</t>
        </is>
      </c>
      <c r="C29" s="125" t="inlineStr">
        <is>
          <t>[% of Salary]</t>
        </is>
      </c>
      <c r="F29" s="105">
        <f>+Opex_Calcs!F43/Opex_Calcs!F$32</f>
        <v/>
      </c>
      <c r="G29" s="105">
        <f>+Opex_Calcs!G43/Opex_Calcs!G$32</f>
        <v/>
      </c>
      <c r="H29" s="105">
        <f>+Opex_Calcs!H43/Opex_Calcs!H$32</f>
        <v/>
      </c>
      <c r="I29" s="105">
        <f>+Opex_Calcs!I43/Opex_Calcs!I$32</f>
        <v/>
      </c>
      <c r="J29" s="105">
        <f>+Opex_Calcs!J43/Opex_Calcs!J$32</f>
        <v/>
      </c>
      <c r="K29" s="140">
        <f>+J29</f>
        <v/>
      </c>
      <c r="L29" s="140">
        <f>+K29</f>
        <v/>
      </c>
      <c r="M29" s="140">
        <f>+L29</f>
        <v/>
      </c>
    </row>
    <row r="30" ht="4.5" customHeight="1"/>
    <row r="31" ht="15.75" customHeight="1">
      <c r="B31" s="44" t="inlineStr">
        <is>
          <t>Other Operating Expenses</t>
        </is>
      </c>
    </row>
    <row r="32" ht="15.75" customHeight="1">
      <c r="B32" s="5" t="inlineStr">
        <is>
          <t>Office and Occupancy</t>
        </is>
      </c>
      <c r="C32" s="125" t="inlineStr">
        <is>
          <t>[% Growth]</t>
        </is>
      </c>
      <c r="F32" s="105">
        <f>+Opex_Calcs!F46/Opex_Calcs!F$32</f>
        <v/>
      </c>
      <c r="G32" s="105">
        <f>+Opex_Calcs!G46/Opex_Calcs!G$32</f>
        <v/>
      </c>
      <c r="H32" s="105">
        <f>+Opex_Calcs!H46/Opex_Calcs!H$32</f>
        <v/>
      </c>
      <c r="I32" s="105">
        <f>+Opex_Calcs!I46/Opex_Calcs!I$32</f>
        <v/>
      </c>
      <c r="J32" s="105">
        <f>+Opex_Calcs!J46/Opex_Calcs!J$32</f>
        <v/>
      </c>
      <c r="K32" s="140" t="n">
        <v>0.03</v>
      </c>
      <c r="L32" s="140" t="n">
        <v>0.03</v>
      </c>
      <c r="M32" s="140" t="n">
        <v>0.03</v>
      </c>
    </row>
    <row r="33" ht="15.75" customHeight="1">
      <c r="B33" s="5" t="inlineStr">
        <is>
          <t>HR Other</t>
        </is>
      </c>
      <c r="C33" s="125" t="inlineStr">
        <is>
          <t>[% of Salary]</t>
        </is>
      </c>
      <c r="F33" s="105">
        <f>+Opex_Calcs!F47/Opex_Calcs!F$32</f>
        <v/>
      </c>
      <c r="G33" s="105">
        <f>+Opex_Calcs!G47/Opex_Calcs!G$32</f>
        <v/>
      </c>
      <c r="H33" s="105">
        <f>+Opex_Calcs!H47/Opex_Calcs!H$32</f>
        <v/>
      </c>
      <c r="I33" s="105">
        <f>+Opex_Calcs!I47/Opex_Calcs!I$32</f>
        <v/>
      </c>
      <c r="J33" s="105">
        <f>+Opex_Calcs!J47/Opex_Calcs!J$32</f>
        <v/>
      </c>
      <c r="K33" s="140">
        <f>+J33-0.2%</f>
        <v/>
      </c>
      <c r="L33" s="140">
        <f>+K33-0.2%</f>
        <v/>
      </c>
      <c r="M33" s="140">
        <f>+L33-0.2%</f>
        <v/>
      </c>
    </row>
    <row r="34" ht="15.75" customHeight="1">
      <c r="B34" s="5" t="inlineStr">
        <is>
          <t>Sales and Marketing</t>
        </is>
      </c>
      <c r="C34" s="125" t="inlineStr">
        <is>
          <t>[% of Revenue]</t>
        </is>
      </c>
      <c r="F34" s="105">
        <f>+Opex_Calcs!F48/'Income Statement'!F$16</f>
        <v/>
      </c>
      <c r="G34" s="105">
        <f>+Opex_Calcs!G48/'Income Statement'!G$16</f>
        <v/>
      </c>
      <c r="H34" s="105">
        <f>+Opex_Calcs!H48/'Income Statement'!H$16</f>
        <v/>
      </c>
      <c r="I34" s="105">
        <f>+Opex_Calcs!I48/'Income Statement'!I$16</f>
        <v/>
      </c>
      <c r="J34" s="105">
        <f>+Opex_Calcs!J48/'Income Statement'!J$16</f>
        <v/>
      </c>
      <c r="K34" s="140">
        <f>+J34</f>
        <v/>
      </c>
      <c r="L34" s="140">
        <f>+K34</f>
        <v/>
      </c>
      <c r="M34" s="140">
        <f>+L34</f>
        <v/>
      </c>
    </row>
    <row r="35" ht="15.75" customHeight="1">
      <c r="B35" s="5" t="inlineStr">
        <is>
          <t>Other G&amp;A</t>
        </is>
      </c>
      <c r="C35" s="125" t="inlineStr">
        <is>
          <t>[% Growth]</t>
        </is>
      </c>
      <c r="F35" s="96" t="n"/>
      <c r="G35" s="105">
        <f>+Opex_Calcs!G49/Opex_Calcs!F49-1</f>
        <v/>
      </c>
      <c r="H35" s="105">
        <f>+Opex_Calcs!H49/Opex_Calcs!G49-1</f>
        <v/>
      </c>
      <c r="I35" s="105">
        <f>+Opex_Calcs!I49/Opex_Calcs!H49-1</f>
        <v/>
      </c>
      <c r="J35" s="105">
        <f>+Opex_Calcs!J49/Opex_Calcs!I49-1</f>
        <v/>
      </c>
      <c r="K35" s="140">
        <f>+J35</f>
        <v/>
      </c>
      <c r="L35" s="140">
        <f>+K35</f>
        <v/>
      </c>
      <c r="M35" s="140">
        <f>+L35</f>
        <v/>
      </c>
    </row>
    <row r="36" ht="15.75" customHeight="1">
      <c r="B36" s="5" t="inlineStr">
        <is>
          <t>Professional Fees</t>
        </is>
      </c>
      <c r="C36" s="125" t="inlineStr">
        <is>
          <t>[% Growth]</t>
        </is>
      </c>
      <c r="F36" s="96" t="n"/>
      <c r="G36" s="105">
        <f>+Opex_Calcs!G50/Opex_Calcs!F50-1</f>
        <v/>
      </c>
      <c r="H36" s="105">
        <f>+Opex_Calcs!H50/Opex_Calcs!G50-1</f>
        <v/>
      </c>
      <c r="I36" s="105">
        <f>+Opex_Calcs!I50/Opex_Calcs!H50-1</f>
        <v/>
      </c>
      <c r="J36" s="105">
        <f>+Opex_Calcs!J50/Opex_Calcs!I50-1</f>
        <v/>
      </c>
      <c r="K36" s="140">
        <f>+J36</f>
        <v/>
      </c>
      <c r="L36" s="140">
        <f>+K36</f>
        <v/>
      </c>
      <c r="M36" s="140">
        <f>+L36</f>
        <v/>
      </c>
    </row>
    <row r="37" ht="15.75" customHeight="1">
      <c r="B37" s="5" t="inlineStr">
        <is>
          <t>Service Costs</t>
        </is>
      </c>
      <c r="C37" s="125" t="inlineStr">
        <is>
          <t>[% Growth]</t>
        </is>
      </c>
      <c r="F37" s="96" t="n"/>
      <c r="G37" s="105">
        <f>+IFERROR(Opex_Calcs!G51/Opex_Calcs!F51-1,0)</f>
        <v/>
      </c>
      <c r="H37" s="105">
        <f>+IFERROR(Opex_Calcs!H51/Opex_Calcs!G51-1,0)</f>
        <v/>
      </c>
      <c r="I37" s="105">
        <f>+IFERROR(Opex_Calcs!I51/Opex_Calcs!H51-1,0)</f>
        <v/>
      </c>
      <c r="J37" s="105">
        <f>+IFERROR(Opex_Calcs!J51/Opex_Calcs!I51-1,0)</f>
        <v/>
      </c>
      <c r="K37" s="140">
        <f>+J37</f>
        <v/>
      </c>
      <c r="L37" s="140">
        <f>+K37</f>
        <v/>
      </c>
      <c r="M37" s="140">
        <f>+L37</f>
        <v/>
      </c>
    </row>
    <row r="38" ht="4.5" customHeight="1"/>
    <row r="39" ht="15.75" customHeight="1">
      <c r="B39" s="44" t="inlineStr">
        <is>
          <t>Other Expenses Expenses</t>
        </is>
      </c>
    </row>
    <row r="40" ht="15.75" customHeight="1">
      <c r="B40" s="5" t="inlineStr">
        <is>
          <t>Other Income / Expenses</t>
        </is>
      </c>
      <c r="C40" s="125" t="inlineStr">
        <is>
          <t>[$]</t>
        </is>
      </c>
      <c r="F40" s="48">
        <f>+Opex_Calcs!F55</f>
        <v/>
      </c>
      <c r="G40" s="48">
        <f>+Opex_Calcs!G55</f>
        <v/>
      </c>
      <c r="H40" s="48">
        <f>+Opex_Calcs!H55</f>
        <v/>
      </c>
      <c r="I40" s="142" t="n">
        <v>0</v>
      </c>
      <c r="J40" s="142">
        <f>+I40</f>
        <v/>
      </c>
      <c r="K40" s="142">
        <f>+J40</f>
        <v/>
      </c>
      <c r="L40" s="142">
        <f>+K40</f>
        <v/>
      </c>
      <c r="M40" s="142">
        <f>+L40</f>
        <v/>
      </c>
    </row>
    <row r="41" ht="15.75" customHeight="1">
      <c r="B41" s="5" t="inlineStr">
        <is>
          <t>Eligible Costs for Capitalization</t>
        </is>
      </c>
      <c r="C41" s="125" t="inlineStr">
        <is>
          <t>[$]</t>
        </is>
      </c>
      <c r="F41" s="48">
        <f>+'Income Statement'!F47</f>
        <v/>
      </c>
      <c r="G41" s="48">
        <f>+'Income Statement'!G47</f>
        <v/>
      </c>
      <c r="H41" s="48">
        <f>+'Income Statement'!H47</f>
        <v/>
      </c>
      <c r="I41" s="142">
        <f>+H41*1.15</f>
        <v/>
      </c>
      <c r="J41" s="142" t="n">
        <v>1100</v>
      </c>
      <c r="K41" s="142">
        <f>+J41*1.15</f>
        <v/>
      </c>
      <c r="L41" s="142">
        <f>+K41*1.15</f>
        <v/>
      </c>
      <c r="M41" s="142">
        <f>+L41*1.15</f>
        <v/>
      </c>
    </row>
    <row r="42" ht="15.75" customHeight="1"/>
    <row r="43" ht="15.75" customHeight="1">
      <c r="B43" s="66" t="inlineStr">
        <is>
          <t>Notes: (1) Includes Full-Time Contractors</t>
        </is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T50" sqref="T50"/>
    </sheetView>
  </sheetViews>
  <sheetFormatPr baseColWidth="8" defaultColWidth="14.42578125" defaultRowHeight="15" customHeight="1"/>
  <cols>
    <col width="8.710937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</dc:creator>
  <dcterms:created xmlns:dcterms="http://purl.org/dc/terms/" xmlns:xsi="http://www.w3.org/2001/XMLSchema-instance" xsi:type="dcterms:W3CDTF">2026-01-21T22:48:32Z</dcterms:created>
  <dcterms:modified xmlns:dcterms="http://purl.org/dc/terms/" xmlns:xsi="http://www.w3.org/2001/XMLSchema-instance" xsi:type="dcterms:W3CDTF">2026-04-21T02:10:18Z</dcterms:modified>
  <cp:lastModifiedBy>Adam Dolin</cp:lastModifiedBy>
</cp:coreProperties>
</file>